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1A171F2B-BBA5-40C0-9BF9-5510DDB91672}" xr6:coauthVersionLast="47" xr6:coauthVersionMax="47" xr10:uidLastSave="{00000000-0000-0000-0000-000000000000}"/>
  <bookViews>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21">'Meta-Map2-1'!$D$8</definedName>
    <definedName name="PatientRole" localSheetId="13">'RelAftFlt-Map2-1'!$D$8</definedName>
    <definedName name="PatientRole" localSheetId="29">'Sct-Map2-1'!$D$8</definedName>
    <definedName name="PatientRole.addr" localSheetId="37">'Flt-Map2-1'!$D$13</definedName>
    <definedName name="PatientRole.addr" localSheetId="21">'Meta-Map2-1'!$D$13</definedName>
    <definedName name="PatientRole.addr" localSheetId="13">'RelAftFlt-Map2-1'!$D$13</definedName>
    <definedName name="PatientRole.addr" localSheetId="29">'Sct-Map2-1'!$D$13</definedName>
    <definedName name="PatientRole.classCode" localSheetId="37">'Flt-Map2-1'!$D$9</definedName>
    <definedName name="PatientRole.classCode" localSheetId="21">'Meta-Map2-1'!$D$9</definedName>
    <definedName name="PatientRole.classCode" localSheetId="13">'RelAftFlt-Map2-1'!$D$9</definedName>
    <definedName name="PatientRole.classCode" localSheetId="29">'Sct-Map2-1'!$D$9</definedName>
    <definedName name="PatientRole.identifiedBy" localSheetId="37">'Flt-Map2-1'!$D$12</definedName>
    <definedName name="PatientRole.identifiedBy" localSheetId="21">'Meta-Map2-1'!$D$12</definedName>
    <definedName name="PatientRole.identifiedBy" localSheetId="13">'RelAftFlt-Map2-1'!$D$12</definedName>
    <definedName name="PatientRole.identifiedBy" localSheetId="29">'Sct-Map2-1'!$D$12</definedName>
    <definedName name="PatientRole.patient" localSheetId="37">'Flt-Map2-1'!$D$15</definedName>
    <definedName name="PatientRole.patient" localSheetId="21">'Meta-Map2-1'!$D$15</definedName>
    <definedName name="PatientRole.patient" localSheetId="13">'RelAftFlt-Map2-1'!$D$15</definedName>
    <definedName name="PatientRole.patient" localSheetId="29">'Sct-Map2-1'!$D$15</definedName>
    <definedName name="PatientRole.providerOrganization" localSheetId="37">'Flt-Map2-1'!$D$16</definedName>
    <definedName name="PatientRole.providerOrganization" localSheetId="21">'Meta-Map2-1'!$D$16</definedName>
    <definedName name="PatientRole.providerOrganization" localSheetId="13">'RelAftFlt-Map2-1'!$D$16</definedName>
    <definedName name="PatientRole.providerOrganization" localSheetId="29">'Sct-Map2-1'!$D$16</definedName>
    <definedName name="PatientRole.telecom" localSheetId="37">'Flt-Map2-1'!$D$14</definedName>
    <definedName name="PatientRole.telecom" localSheetId="21">'Meta-Map2-1'!$D$14</definedName>
    <definedName name="PatientRole.telecom" localSheetId="13">'RelAftFlt-Map2-1'!$D$14</definedName>
    <definedName name="PatientRole.telecom" localSheetId="29">'Sct-Map2-1'!$D$14</definedName>
    <definedName name="PatientRole.templateId" localSheetId="37">'Flt-Map2-1'!$D$11</definedName>
    <definedName name="PatientRole.templateId" localSheetId="21">'Meta-Map2-1'!$D$11</definedName>
    <definedName name="PatientRole.templateId" localSheetId="13">'RelAftFlt-Map2-1'!$D$11</definedName>
    <definedName name="PatientRole.templateId" localSheetId="29">'Sct-Map2-1'!$D$11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1" i="59"/>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B8" i="102" l="1"/>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11" i="93" a="1"/>
  <c r="D11" i="93" s="1"/>
  <c r="D11" i="104" s="1"/>
  <c r="D12" i="93" a="1"/>
  <c r="D12" i="93" s="1"/>
  <c r="D12" i="104" s="1"/>
  <c r="D13" i="93" a="1"/>
  <c r="D13" i="93" s="1"/>
  <c r="D13" i="104" s="1"/>
  <c r="D14" i="93" a="1"/>
  <c r="D14" i="93" s="1"/>
  <c r="D14" i="104" s="1"/>
  <c r="D17" i="93" a="1"/>
  <c r="D17" i="93" s="1"/>
  <c r="D17" i="104" s="1"/>
  <c r="D20" i="93" a="1"/>
  <c r="D20" i="93" s="1"/>
  <c r="D20" i="104" s="1"/>
  <c r="D21" i="93" a="1"/>
  <c r="D21" i="93" s="1"/>
  <c r="D21" i="104" s="1"/>
  <c r="D23" i="93" a="1"/>
  <c r="D23" i="93" s="1"/>
  <c r="D23" i="104" s="1"/>
  <c r="D27" i="93" a="1"/>
  <c r="D27" i="93" s="1"/>
  <c r="D27" i="104" s="1"/>
  <c r="D28" i="93" a="1"/>
  <c r="D28" i="93" s="1"/>
  <c r="D28" i="104" s="1"/>
  <c r="D29" i="93" a="1"/>
  <c r="D29" i="93" s="1"/>
  <c r="D29" i="104" s="1"/>
  <c r="D30" i="93" a="1"/>
  <c r="D30" i="93" s="1"/>
  <c r="D30" i="104" s="1"/>
  <c r="D31" i="93" a="1"/>
  <c r="D31" i="93" s="1"/>
  <c r="D31" i="104" s="1"/>
  <c r="D32" i="93" a="1"/>
  <c r="D32" i="93" s="1"/>
  <c r="D32" i="104" s="1"/>
  <c r="D33" i="93" a="1"/>
  <c r="D33" i="93" s="1"/>
  <c r="D33" i="104" s="1"/>
  <c r="D34" i="93" a="1"/>
  <c r="D34" i="93" s="1"/>
  <c r="D34" i="104" s="1"/>
  <c r="D35" i="93" a="1"/>
  <c r="D35" i="93" s="1"/>
  <c r="D35" i="104" s="1"/>
  <c r="D36" i="93" a="1"/>
  <c r="D36" i="93" s="1"/>
  <c r="D36" i="104" s="1"/>
  <c r="D37" i="93" a="1"/>
  <c r="D37" i="93" s="1"/>
  <c r="D37" i="104" s="1"/>
  <c r="D38" i="93" a="1"/>
  <c r="D38" i="93" s="1"/>
  <c r="D38" i="104" s="1"/>
  <c r="G13" i="92"/>
  <c r="H13" i="92" s="1"/>
  <c r="J13" i="92"/>
  <c r="G14" i="92"/>
  <c r="I14" i="92" s="1"/>
  <c r="D25" i="93" s="1" a="1"/>
  <c r="D25" i="93" s="1"/>
  <c r="D25" i="104" s="1"/>
  <c r="J14" i="92"/>
  <c r="D26" i="93" s="1" a="1"/>
  <c r="D26" i="93" s="1"/>
  <c r="D26" i="104" s="1"/>
  <c r="G15" i="92"/>
  <c r="H15" i="92" s="1"/>
  <c r="J15" i="92"/>
  <c r="G16" i="92"/>
  <c r="H16" i="92"/>
  <c r="I16" i="92"/>
  <c r="J16" i="92"/>
  <c r="B13" i="92"/>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D41" i="104" s="1"/>
  <c r="G20" i="92"/>
  <c r="H20" i="92" s="1"/>
  <c r="J20" i="92"/>
  <c r="G21" i="92"/>
  <c r="I21" i="92" s="1"/>
  <c r="J21" i="92"/>
  <c r="D47" i="93" s="1" a="1"/>
  <c r="D47" i="93" s="1"/>
  <c r="D47" i="104" s="1"/>
  <c r="G22" i="92"/>
  <c r="H22" i="92" s="1"/>
  <c r="J22" i="92"/>
  <c r="G23" i="92"/>
  <c r="I23" i="92" s="1"/>
  <c r="H23" i="92"/>
  <c r="D51" i="93" s="1" a="1"/>
  <c r="D51" i="93" s="1"/>
  <c r="D51" i="104" s="1"/>
  <c r="J23" i="92"/>
  <c r="D53" i="93" s="1" a="1"/>
  <c r="D53" i="93" s="1"/>
  <c r="D53" i="104" s="1"/>
  <c r="G24" i="92"/>
  <c r="H24" i="92" s="1"/>
  <c r="J24" i="92"/>
  <c r="G25" i="92"/>
  <c r="I25" i="92" s="1"/>
  <c r="J25" i="92"/>
  <c r="G26" i="92"/>
  <c r="H26" i="92" s="1"/>
  <c r="J26" i="92"/>
  <c r="D62" i="93" s="1" a="1"/>
  <c r="D62" i="93" s="1"/>
  <c r="D62" i="104" s="1"/>
  <c r="G27" i="92"/>
  <c r="I27" i="92" s="1"/>
  <c r="J27" i="92"/>
  <c r="G28" i="92"/>
  <c r="H28" i="92" s="1"/>
  <c r="J28" i="92"/>
  <c r="D68" i="93" s="1" a="1"/>
  <c r="D68" i="93" s="1"/>
  <c r="D68" i="104" s="1"/>
  <c r="G29" i="92"/>
  <c r="I29" i="92" s="1"/>
  <c r="J29" i="92"/>
  <c r="G30" i="92"/>
  <c r="H30" i="92" s="1"/>
  <c r="J30" i="92"/>
  <c r="D74" i="93" s="1" a="1"/>
  <c r="D74" i="93" s="1"/>
  <c r="D74" i="104" s="1"/>
  <c r="G31" i="92"/>
  <c r="I31" i="92" s="1"/>
  <c r="J31" i="92"/>
  <c r="G32" i="92"/>
  <c r="H32" i="92" s="1"/>
  <c r="D78" i="93" s="1" a="1"/>
  <c r="D78" i="93" s="1"/>
  <c r="D78" i="104" s="1"/>
  <c r="J32" i="92"/>
  <c r="G33" i="92"/>
  <c r="I33" i="92" s="1"/>
  <c r="J33" i="92"/>
  <c r="D83" i="93" s="1" a="1"/>
  <c r="D83" i="93" s="1"/>
  <c r="D83" i="104" s="1"/>
  <c r="G34" i="92"/>
  <c r="H34" i="92" s="1"/>
  <c r="J34" i="92"/>
  <c r="G35" i="92"/>
  <c r="I35" i="92" s="1"/>
  <c r="J35" i="92"/>
  <c r="D89" i="93" s="1" a="1"/>
  <c r="D89" i="93" s="1"/>
  <c r="D89" i="104" s="1"/>
  <c r="G36" i="92"/>
  <c r="H36" i="92" s="1"/>
  <c r="J36" i="92"/>
  <c r="J37" i="92"/>
  <c r="J38" i="92"/>
  <c r="J39" i="92"/>
  <c r="D101" i="93" s="1" a="1"/>
  <c r="D101" i="93" s="1"/>
  <c r="D101" i="104" s="1"/>
  <c r="J40" i="92"/>
  <c r="D104" i="93" s="1" a="1"/>
  <c r="D104" i="93" s="1"/>
  <c r="D104" i="104" s="1"/>
  <c r="J41" i="92"/>
  <c r="J42" i="92"/>
  <c r="D110" i="93" s="1" a="1"/>
  <c r="D110" i="93" s="1"/>
  <c r="D110" i="104" s="1"/>
  <c r="J43" i="92"/>
  <c r="D113" i="93" s="1" a="1"/>
  <c r="D113" i="93" s="1"/>
  <c r="D113" i="104" s="1"/>
  <c r="J44" i="92"/>
  <c r="J45" i="92"/>
  <c r="J46" i="92"/>
  <c r="J47" i="92"/>
  <c r="D125" i="93" s="1" a="1"/>
  <c r="D125" i="93" s="1"/>
  <c r="D125" i="104" s="1"/>
  <c r="J48" i="92"/>
  <c r="D128" i="93" s="1" a="1"/>
  <c r="D128" i="93" s="1"/>
  <c r="D128" i="104" s="1"/>
  <c r="J49" i="92"/>
  <c r="J50" i="92"/>
  <c r="D134" i="93" s="1" a="1"/>
  <c r="D134" i="93" s="1"/>
  <c r="D134" i="104" s="1"/>
  <c r="J51" i="92"/>
  <c r="D137" i="93" s="1" a="1"/>
  <c r="D137" i="93" s="1"/>
  <c r="D137" i="104" s="1"/>
  <c r="J52" i="92"/>
  <c r="J53" i="92"/>
  <c r="J54" i="92"/>
  <c r="J55" i="92"/>
  <c r="D149" i="93" s="1" a="1"/>
  <c r="D149" i="93" s="1"/>
  <c r="D149" i="104" s="1"/>
  <c r="J56" i="92"/>
  <c r="D152" i="93" s="1" a="1"/>
  <c r="D152" i="93" s="1"/>
  <c r="D152" i="104" s="1"/>
  <c r="J57" i="92"/>
  <c r="J58" i="92"/>
  <c r="D158" i="93" s="1" a="1"/>
  <c r="D158" i="93" s="1"/>
  <c r="D158" i="104" s="1"/>
  <c r="J59" i="92"/>
  <c r="D161" i="93" s="1" a="1"/>
  <c r="D161" i="93" s="1"/>
  <c r="D161" i="104" s="1"/>
  <c r="J60" i="92"/>
  <c r="J61" i="92"/>
  <c r="D167" i="93" s="1" a="1"/>
  <c r="D167" i="93" s="1"/>
  <c r="D167" i="104" s="1"/>
  <c r="G9" i="92"/>
  <c r="G10" i="92"/>
  <c r="G12"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14" i="92" l="1"/>
  <c r="D24" i="93" s="1" a="1"/>
  <c r="D24" i="93" s="1"/>
  <c r="D24" i="104" s="1"/>
  <c r="I15" i="92"/>
  <c r="I13" i="92"/>
  <c r="H27" i="92"/>
  <c r="D63" i="93" s="1" a="1"/>
  <c r="D63" i="93" s="1"/>
  <c r="D63" i="104" s="1"/>
  <c r="H33" i="92"/>
  <c r="D98" i="93" a="1"/>
  <c r="D98" i="93" s="1"/>
  <c r="D98" i="104" s="1"/>
  <c r="D155" i="93" a="1"/>
  <c r="D155" i="93" s="1"/>
  <c r="D155" i="104" s="1"/>
  <c r="D131" i="93" a="1"/>
  <c r="D131" i="93" s="1"/>
  <c r="D131" i="104" s="1"/>
  <c r="D107" i="93" a="1"/>
  <c r="D107" i="93" s="1"/>
  <c r="D107" i="104" s="1"/>
  <c r="D77" i="93" a="1"/>
  <c r="D77" i="93" s="1"/>
  <c r="D77" i="104" s="1"/>
  <c r="D56" i="93" a="1"/>
  <c r="D56" i="93" s="1"/>
  <c r="D56" i="104" s="1"/>
  <c r="H17" i="92"/>
  <c r="D86" i="93" a="1"/>
  <c r="D86" i="93" s="1"/>
  <c r="D86" i="104" s="1"/>
  <c r="H31" i="92"/>
  <c r="D75" i="93" s="1" a="1"/>
  <c r="D75" i="93" s="1"/>
  <c r="D75" i="104" s="1"/>
  <c r="D65" i="93" a="1"/>
  <c r="D65" i="93" s="1"/>
  <c r="D65" i="104" s="1"/>
  <c r="D54" i="93" a="1"/>
  <c r="D54" i="93" s="1"/>
  <c r="D54" i="104" s="1"/>
  <c r="D44" i="93" a="1"/>
  <c r="D44" i="93" s="1"/>
  <c r="D44" i="104" s="1"/>
  <c r="D143" i="93" a="1"/>
  <c r="D143" i="93" s="1"/>
  <c r="D143" i="104" s="1"/>
  <c r="D119" i="93" a="1"/>
  <c r="D119" i="93" s="1"/>
  <c r="D119" i="104" s="1"/>
  <c r="D95" i="93" a="1"/>
  <c r="D95" i="93" s="1"/>
  <c r="D95" i="104" s="1"/>
  <c r="D81" i="93" a="1"/>
  <c r="D81" i="93" s="1"/>
  <c r="D81" i="104" s="1"/>
  <c r="D164" i="93" a="1"/>
  <c r="D164" i="93" s="1"/>
  <c r="D164" i="104" s="1"/>
  <c r="D140" i="93" a="1"/>
  <c r="D140" i="93" s="1"/>
  <c r="D140" i="104" s="1"/>
  <c r="D116" i="93" a="1"/>
  <c r="D116" i="93" s="1"/>
  <c r="D116" i="104" s="1"/>
  <c r="D92" i="93" a="1"/>
  <c r="D92" i="93" s="1"/>
  <c r="D92" i="104" s="1"/>
  <c r="D71" i="93" a="1"/>
  <c r="D71" i="93" s="1"/>
  <c r="D71" i="104" s="1"/>
  <c r="D60" i="93" a="1"/>
  <c r="D60" i="93" s="1"/>
  <c r="D60" i="104" s="1"/>
  <c r="D50" i="93" a="1"/>
  <c r="D50" i="93" s="1"/>
  <c r="D50" i="104" s="1"/>
  <c r="D146" i="93" a="1"/>
  <c r="D146" i="93" s="1"/>
  <c r="D146" i="104" s="1"/>
  <c r="D80" i="93" a="1"/>
  <c r="D80" i="93" s="1"/>
  <c r="D80" i="104" s="1"/>
  <c r="D59" i="93" a="1"/>
  <c r="D59" i="93" s="1"/>
  <c r="D59" i="104" s="1"/>
  <c r="D48" i="93" a="1"/>
  <c r="D48" i="93" s="1"/>
  <c r="D48" i="104" s="1"/>
  <c r="D122" i="93" a="1"/>
  <c r="D122" i="93" s="1"/>
  <c r="D122" i="104" s="1"/>
  <c r="H29" i="92"/>
  <c r="D69" i="93" s="1" a="1"/>
  <c r="D69" i="93" s="1"/>
  <c r="D69" i="104" s="1"/>
  <c r="H35" i="92"/>
  <c r="D87" i="93" s="1" a="1"/>
  <c r="D87" i="93" s="1"/>
  <c r="D87" i="104" s="1"/>
  <c r="H19" i="92"/>
  <c r="D39" i="93" s="1" a="1"/>
  <c r="D39" i="93" s="1"/>
  <c r="D39" i="104" s="1"/>
  <c r="H25" i="92"/>
  <c r="D57" i="93" s="1" a="1"/>
  <c r="D57" i="93" s="1"/>
  <c r="D57" i="104" s="1"/>
  <c r="H21" i="92"/>
  <c r="D45" i="93" s="1" a="1"/>
  <c r="D45" i="93" s="1"/>
  <c r="D45" i="104" s="1"/>
  <c r="H12" i="92"/>
  <c r="D18" i="93" s="1" a="1"/>
  <c r="D18" i="93" s="1"/>
  <c r="D18" i="104" s="1"/>
  <c r="H10" i="92"/>
  <c r="I11" i="92"/>
  <c r="D16" i="93" s="1" a="1"/>
  <c r="D16" i="93" s="1"/>
  <c r="D16" i="104" s="1"/>
  <c r="H11" i="92"/>
  <c r="D15" i="93" s="1" a="1"/>
  <c r="D15" i="93" s="1"/>
  <c r="D15" i="104" s="1"/>
  <c r="I36" i="92"/>
  <c r="D88" i="93" s="1" a="1"/>
  <c r="D88" i="93" s="1"/>
  <c r="D88" i="104" s="1"/>
  <c r="I34" i="92"/>
  <c r="D85" i="93" s="1" a="1"/>
  <c r="D85" i="93" s="1"/>
  <c r="D85" i="104" s="1"/>
  <c r="I32" i="92"/>
  <c r="D79" i="93" s="1" a="1"/>
  <c r="D79" i="93" s="1"/>
  <c r="D79" i="104" s="1"/>
  <c r="I30" i="92"/>
  <c r="I28" i="92"/>
  <c r="D67" i="93" s="1" a="1"/>
  <c r="D67" i="93" s="1"/>
  <c r="D67" i="104" s="1"/>
  <c r="I26" i="92"/>
  <c r="D61" i="93" s="1" a="1"/>
  <c r="D61" i="93" s="1"/>
  <c r="D61" i="104" s="1"/>
  <c r="I24" i="92"/>
  <c r="D55" i="93" s="1" a="1"/>
  <c r="D55" i="93" s="1"/>
  <c r="D55" i="104" s="1"/>
  <c r="I22" i="92"/>
  <c r="D49" i="93" s="1" a="1"/>
  <c r="D49" i="93" s="1"/>
  <c r="D49" i="104" s="1"/>
  <c r="I20" i="92"/>
  <c r="D43" i="93" s="1" a="1"/>
  <c r="D43" i="93" s="1"/>
  <c r="D43" i="104" s="1"/>
  <c r="I18" i="92"/>
  <c r="I12" i="92"/>
  <c r="D19" i="93" s="1" a="1"/>
  <c r="D19" i="93" s="1"/>
  <c r="D19" i="104" s="1"/>
  <c r="I10" i="92"/>
  <c r="D22" i="93" l="1" a="1"/>
  <c r="D22" i="93" s="1"/>
  <c r="D22" i="104" s="1"/>
  <c r="D58" i="93" a="1"/>
  <c r="D58" i="93" s="1"/>
  <c r="D58" i="104" s="1"/>
  <c r="D72" i="93" a="1"/>
  <c r="D72" i="93" s="1"/>
  <c r="D72" i="104" s="1"/>
  <c r="D66" i="93" a="1"/>
  <c r="D66" i="93" s="1"/>
  <c r="D66" i="104" s="1"/>
  <c r="D76" i="93" a="1"/>
  <c r="D76" i="93" s="1"/>
  <c r="D76" i="104" s="1"/>
  <c r="D73" i="93" a="1"/>
  <c r="D73" i="93" s="1"/>
  <c r="D73" i="104" s="1"/>
  <c r="D70" i="93" a="1"/>
  <c r="D70" i="93" s="1"/>
  <c r="D70" i="104" s="1"/>
  <c r="D64" i="93" a="1"/>
  <c r="D64" i="93" s="1"/>
  <c r="D64" i="104" s="1"/>
  <c r="D82" i="93" a="1"/>
  <c r="D82" i="93" s="1"/>
  <c r="D82" i="104" s="1"/>
  <c r="D40" i="93" a="1"/>
  <c r="D40" i="93" s="1"/>
  <c r="D40" i="104" s="1"/>
  <c r="D42" i="93" a="1"/>
  <c r="D42" i="93" s="1"/>
  <c r="D42" i="104" s="1"/>
  <c r="D52" i="93" a="1"/>
  <c r="D52" i="93" s="1"/>
  <c r="D52" i="104" s="1"/>
  <c r="D84" i="93" a="1"/>
  <c r="D84" i="93" s="1"/>
  <c r="D84" i="104" s="1"/>
  <c r="D46" i="93" a="1"/>
  <c r="D46" i="93" s="1"/>
  <c r="D46" i="104"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I9" i="92"/>
  <c r="H60" i="92"/>
  <c r="I60" i="92"/>
  <c r="I59" i="92"/>
  <c r="D160" i="93" s="1" a="1"/>
  <c r="D160" i="93" s="1"/>
  <c r="D160" i="104" s="1"/>
  <c r="H59" i="92"/>
  <c r="D159" i="93" s="1" a="1"/>
  <c r="D159" i="93" s="1"/>
  <c r="D159" i="104" s="1"/>
  <c r="I51" i="92"/>
  <c r="D136" i="93" s="1" a="1"/>
  <c r="D136" i="93" s="1"/>
  <c r="D136" i="104" s="1"/>
  <c r="H51" i="92"/>
  <c r="D135" i="93" s="1" a="1"/>
  <c r="D135" i="93" s="1"/>
  <c r="D135" i="104" s="1"/>
  <c r="I43" i="92"/>
  <c r="H43" i="92"/>
  <c r="H52" i="92"/>
  <c r="I52" i="92"/>
  <c r="H58" i="92"/>
  <c r="D156" i="93" s="1" a="1"/>
  <c r="D156" i="93" s="1"/>
  <c r="D156" i="104" s="1"/>
  <c r="I58" i="92"/>
  <c r="D157" i="93" s="1" a="1"/>
  <c r="D157" i="93" s="1"/>
  <c r="D157" i="104" s="1"/>
  <c r="H50" i="92"/>
  <c r="I50" i="92"/>
  <c r="D133" i="93" s="1" a="1"/>
  <c r="D133" i="93" s="1"/>
  <c r="D133" i="104" s="1"/>
  <c r="H42" i="92"/>
  <c r="D108" i="93" s="1" a="1"/>
  <c r="D108" i="93" s="1"/>
  <c r="D108" i="104" s="1"/>
  <c r="I42" i="92"/>
  <c r="D109" i="93" s="1" a="1"/>
  <c r="D109" i="93" s="1"/>
  <c r="D109" i="104" s="1"/>
  <c r="I57" i="92"/>
  <c r="H57" i="92"/>
  <c r="I49" i="92"/>
  <c r="H49" i="92"/>
  <c r="D129" i="93" s="1" a="1"/>
  <c r="D129" i="93" s="1"/>
  <c r="D129" i="104" s="1"/>
  <c r="I41" i="92"/>
  <c r="H41" i="92"/>
  <c r="D105" i="93" s="1" a="1"/>
  <c r="D105" i="93" s="1"/>
  <c r="D105" i="104" s="1"/>
  <c r="H40" i="92"/>
  <c r="I40" i="92"/>
  <c r="D103" i="93" s="1" a="1"/>
  <c r="D103" i="93" s="1"/>
  <c r="D103" i="104" s="1"/>
  <c r="H56" i="92"/>
  <c r="D150" i="93" s="1" a="1"/>
  <c r="D150" i="93" s="1"/>
  <c r="D150" i="104" s="1"/>
  <c r="I56" i="92"/>
  <c r="I55" i="92"/>
  <c r="D148" i="93" s="1" a="1"/>
  <c r="D148" i="93" s="1"/>
  <c r="D148" i="104" s="1"/>
  <c r="H55" i="92"/>
  <c r="D147" i="93" s="1" a="1"/>
  <c r="D147" i="93" s="1"/>
  <c r="D147" i="104" s="1"/>
  <c r="I47" i="92"/>
  <c r="H47" i="92"/>
  <c r="D123" i="93" s="1" a="1"/>
  <c r="D123" i="93" s="1"/>
  <c r="D123" i="104" s="1"/>
  <c r="H48" i="92"/>
  <c r="D126" i="93" s="1" a="1"/>
  <c r="D126" i="93" s="1"/>
  <c r="D126" i="104" s="1"/>
  <c r="I48" i="92"/>
  <c r="D127" i="93" s="1" a="1"/>
  <c r="D127" i="93" s="1"/>
  <c r="D127" i="104" s="1"/>
  <c r="H54" i="92"/>
  <c r="I54" i="92"/>
  <c r="H46" i="92"/>
  <c r="I46" i="92"/>
  <c r="D121" i="93" s="1" a="1"/>
  <c r="D121" i="93" s="1"/>
  <c r="D121" i="104" s="1"/>
  <c r="I61" i="92"/>
  <c r="H61" i="92"/>
  <c r="I53" i="92"/>
  <c r="D142" i="93" s="1" a="1"/>
  <c r="D142" i="93" s="1"/>
  <c r="D142" i="104" s="1"/>
  <c r="H53" i="92"/>
  <c r="D141" i="93" s="1" a="1"/>
  <c r="D141" i="93" s="1"/>
  <c r="D141" i="104" s="1"/>
  <c r="I45" i="92"/>
  <c r="H45" i="92"/>
  <c r="H44" i="92"/>
  <c r="D114" i="93" s="1" a="1"/>
  <c r="D114" i="93" s="1"/>
  <c r="D114" i="104" s="1"/>
  <c r="I44" i="92"/>
  <c r="D115" i="93" s="1" a="1"/>
  <c r="D115" i="93" s="1"/>
  <c r="D115" i="104" s="1"/>
  <c r="I39" i="92"/>
  <c r="H39" i="92"/>
  <c r="D99" i="93" s="1" a="1"/>
  <c r="D99" i="93" s="1"/>
  <c r="D99" i="104" s="1"/>
  <c r="H38" i="92"/>
  <c r="D96" i="93" s="1" a="1"/>
  <c r="D96" i="93" s="1"/>
  <c r="D96" i="104" s="1"/>
  <c r="I38" i="92"/>
  <c r="D97" i="93" s="1" a="1"/>
  <c r="D97" i="93" s="1"/>
  <c r="D97" i="104" s="1"/>
  <c r="I37" i="92"/>
  <c r="H37" i="92"/>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00" i="93" l="1" a="1"/>
  <c r="D100" i="93" s="1"/>
  <c r="D100" i="104" s="1"/>
  <c r="D124" i="93" a="1"/>
  <c r="D124" i="93" s="1"/>
  <c r="D124" i="104" s="1"/>
  <c r="D106" i="93" a="1"/>
  <c r="D106" i="93" s="1"/>
  <c r="D106" i="104" s="1"/>
  <c r="D132" i="93" a="1"/>
  <c r="D132" i="93" s="1"/>
  <c r="D132" i="104" s="1"/>
  <c r="D130" i="93" a="1"/>
  <c r="D130" i="93" s="1"/>
  <c r="D130" i="104" s="1"/>
  <c r="D93" i="93" a="1"/>
  <c r="D93" i="93" s="1"/>
  <c r="D93" i="104" s="1"/>
  <c r="D90" i="93" a="1"/>
  <c r="D90" i="93" s="1"/>
  <c r="D90" i="104" s="1"/>
  <c r="D117" i="93" a="1"/>
  <c r="D117" i="93" s="1"/>
  <c r="D117" i="104" s="1"/>
  <c r="D145" i="93" a="1"/>
  <c r="D145" i="93" s="1"/>
  <c r="D145" i="104" s="1"/>
  <c r="D151" i="93" a="1"/>
  <c r="D151" i="93" s="1"/>
  <c r="D151" i="104" s="1"/>
  <c r="D153" i="93" a="1"/>
  <c r="D153" i="93" s="1"/>
  <c r="D153" i="104" s="1"/>
  <c r="D139" i="93" a="1"/>
  <c r="D139" i="93" s="1"/>
  <c r="D139" i="104" s="1"/>
  <c r="D163" i="93" a="1"/>
  <c r="D163" i="93" s="1"/>
  <c r="D163" i="104" s="1"/>
  <c r="D120" i="93" a="1"/>
  <c r="D120" i="93" s="1"/>
  <c r="D120" i="104" s="1"/>
  <c r="D94" i="93" a="1"/>
  <c r="D94" i="93" s="1"/>
  <c r="D94" i="104" s="1"/>
  <c r="D91" i="93" a="1"/>
  <c r="D91" i="93" s="1"/>
  <c r="D91" i="104" s="1"/>
  <c r="D118" i="93" a="1"/>
  <c r="D118" i="93" s="1"/>
  <c r="D118" i="104" s="1"/>
  <c r="D144" i="93" a="1"/>
  <c r="D144" i="93" s="1"/>
  <c r="D144" i="104" s="1"/>
  <c r="D154" i="93" a="1"/>
  <c r="D154" i="93" s="1"/>
  <c r="D154" i="104" s="1"/>
  <c r="D138" i="93" a="1"/>
  <c r="D138" i="93" s="1"/>
  <c r="D138" i="104" s="1"/>
  <c r="D162" i="93" a="1"/>
  <c r="D162" i="93" s="1"/>
  <c r="D162" i="104" s="1"/>
  <c r="D111" i="93" a="1"/>
  <c r="D111" i="93" s="1"/>
  <c r="D111" i="104" s="1"/>
  <c r="D102" i="93" a="1"/>
  <c r="D102" i="93" s="1"/>
  <c r="D102" i="104" s="1"/>
  <c r="D112" i="93" a="1"/>
  <c r="D112" i="93" s="1"/>
  <c r="D112" i="104"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D171" i="104" s="1"/>
  <c r="G64" i="92"/>
  <c r="H64" i="92" s="1"/>
  <c r="D174" i="93" s="1" a="1"/>
  <c r="D174" i="93" s="1"/>
  <c r="D174" i="104" s="1"/>
  <c r="G65" i="92"/>
  <c r="H65" i="92" s="1"/>
  <c r="D177" i="93" s="1" a="1"/>
  <c r="D177" i="93" s="1"/>
  <c r="D177" i="104" s="1"/>
  <c r="G66" i="92"/>
  <c r="H66" i="92" s="1"/>
  <c r="G67" i="92"/>
  <c r="H67" i="92" s="1"/>
  <c r="G68" i="92"/>
  <c r="H68" i="92" s="1"/>
  <c r="D183" i="93" s="1" a="1"/>
  <c r="D183" i="93" s="1"/>
  <c r="D183" i="104" s="1"/>
  <c r="G69" i="92"/>
  <c r="H69" i="92" s="1"/>
  <c r="I66" i="92" l="1"/>
  <c r="D181" i="93" s="1" a="1"/>
  <c r="D181" i="93" s="1"/>
  <c r="D181" i="104" s="1"/>
  <c r="D186" i="93" a="1"/>
  <c r="D186" i="93" s="1"/>
  <c r="D186" i="104" s="1"/>
  <c r="D189" i="93" a="1"/>
  <c r="D189" i="93" s="1"/>
  <c r="D189" i="104" s="1"/>
  <c r="D180" i="93" a="1"/>
  <c r="D180" i="93" s="1"/>
  <c r="D180" i="104" s="1"/>
  <c r="D168" i="93" a="1"/>
  <c r="D168" i="93" s="1"/>
  <c r="D168" i="104" s="1"/>
  <c r="D165" i="93" a="1"/>
  <c r="D165" i="93" s="1"/>
  <c r="D165" i="104" s="1"/>
  <c r="I69" i="92"/>
  <c r="I65" i="92"/>
  <c r="D178" i="93" s="1" a="1"/>
  <c r="D178" i="93" s="1"/>
  <c r="D178" i="104" s="1"/>
  <c r="I68" i="92"/>
  <c r="D184" i="93" s="1" a="1"/>
  <c r="D184" i="93" s="1"/>
  <c r="D184" i="104" s="1"/>
  <c r="I64" i="92"/>
  <c r="D175" i="93" s="1" a="1"/>
  <c r="D175" i="93" s="1"/>
  <c r="D175" i="104" s="1"/>
  <c r="D166" i="93" a="1"/>
  <c r="D166" i="93" s="1"/>
  <c r="D166" i="104" s="1"/>
  <c r="I63" i="92"/>
  <c r="D172" i="93" s="1" a="1"/>
  <c r="D172" i="93" s="1"/>
  <c r="D172" i="104"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D187" i="93" l="1" a="1"/>
  <c r="D187" i="93" s="1"/>
  <c r="D187" i="104" s="1"/>
  <c r="D190" i="93" a="1"/>
  <c r="D190" i="93" s="1"/>
  <c r="D190" i="104" s="1"/>
  <c r="D169" i="93" a="1"/>
  <c r="D169" i="93" s="1"/>
  <c r="D169" i="104"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<sst xmlns="http://schemas.openxmlformats.org/spreadsheetml/2006/main" count="2629" uniqueCount="1150">
  <si>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</si>
  <si>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</si>
  <si>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</si>
  <si>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</si>
  <si>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</si>
  <si>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</si>
  <si>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</si>
  <si>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</si>
  <si>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</si>
  <si>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</si>
  <si>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</si>
  <si>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</si>
  <si>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</si>
  <si>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</si>
  <si>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</si>
  <si>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</si>
  <si>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</si>
  <si>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</si>
  <si>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</si>
  <si>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</si>
  <si>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</si>
  <si>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</si>
  <si>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</si>
  <si>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</si>
  <si>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</si>
  <si>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</si>
  <si>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</si>
  <si>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</si>
  <si>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</si>
  <si>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</si>
  <si>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</si>
  <si>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</si>
  <si>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</si>
  <si>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</si>
  <si>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</si>
  <si>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</si>
  <si>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</si>
  <si>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</si>
  <si>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</si>
  <si>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</si>
  <si>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</si>
  <si>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</si>
  <si>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</si>
  <si>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</si>
  <si>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</si>
  <si>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</si>
  <si>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</si>
  <si>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</si>
  <si>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</si>
  <si>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</si>
  <si>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</si>
  <si>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</si>
  <si>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</si>
  <si>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</si>
  <si>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</si>
  <si>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</si>
  <si>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</si>
  <si>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</si>
  <si>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</si>
  <si>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</si>
  <si>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</si>
  <si>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</si>
  <si>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</si>
  <si>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</si>
  <si>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</si>
  <si>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</si>
  <si>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</si>
  <si>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</si>
  <si>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</si>
  <si>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</si>
  <si>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</si>
  <si>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</si>
  <si>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</si>
  <si>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</si>
  <si>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</si>
  <si>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</si>
  <si>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</si>
  <si>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</si>
  <si>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</si>
  <si>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</si>
  <si>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</si>
  <si>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</si>
  <si>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</si>
  <si>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</si>
  <si>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</si>
  <si>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</si>
  <si>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</si>
  <si>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</si>
  <si>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</si>
  <si>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</si>
  <si>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</si>
  <si>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</si>
  <si>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</si>
  <si>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</si>
  <si>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</si>
  <si>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</si>
  <si>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</si>
  <si>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</si>
  <si>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</si>
  <si>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</si>
  <si>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</si>
  <si>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</si>
  <si>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</si>
  <si>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</si>
  <si>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</si>
  <si>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</si>
  <si>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</si>
  <si>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</si>
  <si>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</si>
  <si>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</si>
  <si>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</si>
  <si>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</si>
  <si>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</si>
  <si>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</si>
  <si>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</si>
  <si>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</si>
  <si>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</si>
  <si>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</si>
  <si>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</si>
  <si>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</si>
  <si>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</si>
  <si>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</si>
  <si>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</si>
  <si>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</si>
  <si>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</si>
  <si>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</si>
  <si>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</si>
  <si>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</si>
  <si>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</si>
  <si>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</si>
  <si>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</si>
  <si>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</si>
  <si>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</si>
  <si>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</si>
  <si>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</si>
  <si>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</si>
  <si>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</si>
  <si>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</si>
  <si>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</si>
  <si>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</si>
  <si>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</si>
  <si>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</si>
  <si>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</si>
  <si>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</si>
  <si>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</si>
  <si>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</si>
  <si>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</si>
  <si>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</si>
  <si>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</si>
  <si>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</si>
  <si>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</si>
  <si>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</si>
  <si>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</si>
  <si>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</si>
  <si>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</si>
  <si>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</si>
  <si>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</si>
  <si>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</si>
  <si>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</si>
  <si>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</si>
  <si>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</si>
  <si>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</si>
  <si>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</si>
  <si>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</si>
  <si>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</si>
  <si>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</si>
  <si>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</si>
  <si>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</si>
  <si>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</si>
  <si>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</si>
  <si>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</si>
  <si>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</si>
  <si>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</si>
  <si>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</si>
  <si>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</si>
  <si>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</si>
  <si>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</si>
  <si>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</si>
  <si>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</si>
  <si>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</si>
  <si>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</si>
  <si>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</si>
  <si>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</si>
  <si>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</si>
  <si>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</si>
  <si>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</si>
  <si>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</si>
  <si>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</si>
  <si>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</si>
  <si>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</si>
  <si>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</si>
  <si>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</si>
  <si>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</si>
  <si>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</si>
  <si>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</si>
  <si>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</si>
  <si>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</si>
  <si>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</si>
  <si>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</si>
  <si>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</si>
  <si>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</si>
  <si>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</si>
  <si>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</si>
  <si>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</si>
  <si>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</si>
  <si>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</si>
  <si>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</si>
  <si>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</si>
  <si>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</si>
  <si>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</si>
  <si>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</si>
  <si>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</si>
  <si>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</si>
  <si>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</si>
  <si>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</si>
  <si>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</si>
  <si>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</si>
  <si>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</si>
  <si>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</si>
  <si>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</si>
  <si>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</si>
  <si>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</si>
  <si>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</si>
  <si>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</si>
  <si>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</si>
  <si>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</si>
  <si>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</si>
  <si>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</si>
  <si>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</si>
  <si>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</si>
  <si>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</si>
  <si>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</si>
  <si>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</si>
  <si>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</si>
  <si>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</si>
  <si>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</si>
  <si>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</si>
  <si>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</si>
  <si>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</si>
  <si>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</si>
  <si>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</si>
  <si>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</si>
  <si>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</si>
  <si>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</si>
  <si>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</si>
  <si>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</si>
  <si>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</si>
  <si>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</si>
  <si>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</si>
  <si>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</si>
  <si>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</si>
  <si>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</si>
  <si>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</si>
  <si>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</si>
  <si>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</si>
  <si>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</si>
  <si>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</si>
  <si>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</si>
  <si>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</si>
  <si>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</si>
  <si>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</si>
  <si>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</si>
  <si>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</si>
  <si>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</si>
  <si>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</si>
  <si>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</si>
  <si>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</si>
  <si>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</si>
  <si>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</si>
  <si>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</si>
  <si>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</si>
  <si>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</si>
  <si>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</si>
  <si>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</si>
  <si>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</si>
  <si>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</si>
  <si>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</si>
  <si>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</si>
  <si>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</si>
  <si>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</si>
  <si>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</si>
  <si>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</si>
  <si>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</si>
  <si>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</si>
  <si>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</si>
  <si>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</si>
  <si>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</si>
  <si>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</si>
  <si>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</si>
  <si>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</si>
  <si>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</si>
  <si>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</si>
  <si>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</si>
  <si>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</si>
  <si>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</si>
  <si>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</si>
  <si>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</si>
  <si>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</si>
  <si>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</si>
  <si>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</si>
  <si>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</si>
  <si>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</si>
  <si>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</si>
  <si>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</si>
  <si>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</si>
  <si>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</si>
  <si>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</si>
  <si>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</si>
  <si>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</si>
  <si>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</si>
  <si>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</si>
  <si>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</si>
  <si>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</si>
  <si>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</si>
  <si>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</si>
  <si>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</si>
  <si>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</si>
  <si>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</si>
  <si>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</si>
  <si>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</si>
  <si>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</si>
  <si>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</si>
  <si>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</si>
  <si>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</si>
  <si>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</si>
  <si>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</si>
  <si>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</si>
  <si>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</si>
  <si>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</si>
  <si>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</si>
  <si>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</si>
  <si>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</si>
  <si>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</si>
  <si>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</si>
  <si>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</si>
  <si>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</si>
  <si>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</si>
  <si>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</si>
  <si>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</si>
  <si>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</si>
  <si>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</si>
  <si>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</si>
  <si>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</si>
  <si>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</si>
  <si>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</si>
  <si>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</si>
  <si>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</si>
  <si>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</si>
  <si>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</si>
  <si>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</si>
  <si>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</si>
  <si>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</si>
  <si>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</si>
  <si>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</si>
  <si>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</si>
  <si>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</si>
  <si>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</si>
  <si>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</si>
  <si>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</si>
  <si>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</si>
  <si>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</si>
  <si>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</si>
  <si>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</si>
  <si>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</si>
  <si>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</si>
  <si>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</si>
  <si>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</si>
  <si>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</si>
  <si>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</si>
  <si>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</si>
  <si>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</si>
  <si>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</si>
  <si>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</si>
  <si>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</si>
  <si>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</si>
  <si>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</si>
  <si>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</si>
  <si>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</si>
  <si>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</si>
  <si>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</si>
  <si>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</si>
  <si>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</si>
  <si>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</si>
  <si>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</si>
  <si>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</si>
  <si>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</si>
  <si>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</si>
  <si>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</si>
  <si>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</si>
  <si>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</si>
  <si>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</si>
  <si>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</si>
  <si>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</si>
  <si>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</si>
  <si>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</si>
  <si>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</si>
  <si>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</si>
  <si>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</si>
  <si>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</si>
  <si>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</si>
  <si>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</si>
  <si>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</si>
  <si>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</si>
  <si>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</si>
  <si>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</si>
  <si>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</si>
  <si>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</si>
  <si>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</si>
  <si>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</si>
  <si>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</si>
  <si>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</si>
  <si>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</si>
  <si>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</si>
  <si>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</si>
  <si>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</si>
  <si>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</si>
  <si>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</si>
  <si>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</si>
  <si>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</si>
  <si>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</si>
  <si>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</si>
  <si>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</si>
  <si>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</si>
  <si>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</si>
  <si>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</si>
  <si>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</si>
  <si>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</si>
  <si>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</si>
  <si>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</si>
  <si>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</si>
  <si>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</si>
  <si>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</si>
  <si>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</si>
  <si>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</si>
  <si>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</si>
  <si>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</si>
  <si>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</si>
  <si>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</si>
  <si>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</si>
  <si>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</si>
  <si>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</si>
  <si>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</si>
  <si>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</si>
  <si>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</si>
  <si>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</si>
  <si>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</si>
  <si>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</si>
  <si>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</si>
  <si>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</si>
  <si>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</si>
  <si>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</si>
  <si>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</si>
  <si>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</si>
  <si>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</si>
  <si>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</si>
  <si>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</si>
  <si>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</si>
  <si>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</si>
  <si>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</si>
  <si>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</si>
  <si>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</si>
  <si>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</si>
  <si>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</si>
  <si>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</si>
  <si>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</si>
  <si>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</si>
  <si>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</si>
  <si>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</si>
  <si>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</si>
  <si>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</si>
  <si>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</si>
  <si>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</si>
  <si>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</si>
  <si>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</si>
  <si>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</si>
  <si>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</si>
  <si>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</si>
  <si>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</si>
  <si>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</si>
  <si>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</si>
  <si>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</si>
  <si>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</si>
  <si>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</si>
  <si>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</si>
  <si>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</si>
  <si>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</si>
  <si>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</si>
  <si>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</si>
  <si>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</si>
  <si>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</si>
  <si>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</si>
  <si>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</si>
  <si>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</si>
  <si>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</si>
  <si>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</si>
  <si>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</si>
  <si>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</si>
  <si>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</si>
  <si>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</si>
  <si>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</si>
  <si>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</si>
  <si>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</si>
  <si>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</si>
  <si>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</si>
  <si>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</si>
  <si>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</si>
  <si>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</si>
  <si>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</si>
  <si>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</si>
  <si>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</si>
  <si>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</si>
  <si>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</si>
  <si>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</si>
  <si>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</si>
  <si>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</si>
  <si>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</si>
  <si>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</si>
  <si>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</si>
  <si>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</si>
  <si>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</si>
  <si>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</si>
  <si>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</si>
  <si>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</si>
  <si>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</si>
  <si>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</si>
  <si>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</si>
  <si>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</si>
  <si>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</si>
  <si>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</si>
  <si>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</si>
  <si>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</si>
  <si>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</si>
  <si>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</si>
  <si>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</si>
  <si>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</si>
  <si>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</si>
  <si>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</si>
  <si>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</si>
  <si>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</si>
  <si>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</si>
  <si>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</si>
  <si>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</si>
  <si>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</si>
  <si>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</si>
  <si>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</si>
  <si>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</si>
  <si>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</si>
  <si>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</si>
  <si>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</si>
  <si>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</si>
  <si>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</si>
  <si>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</si>
  <si>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</si>
  <si>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</si>
  <si>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</si>
  <si>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</si>
  <si>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</si>
  <si>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</si>
  <si>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</si>
  <si>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</si>
  <si>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</si>
  <si>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</si>
  <si>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</si>
  <si>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</si>
  <si>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</si>
  <si>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</si>
  <si>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</si>
  <si>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</si>
  <si>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</si>
  <si>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</si>
  <si>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</si>
  <si>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</si>
  <si>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</si>
  <si>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</si>
  <si>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</si>
  <si>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</si>
  <si>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</si>
  <si>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</si>
  <si>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</si>
  <si>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</si>
  <si>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</si>
  <si>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</si>
  <si>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</si>
  <si>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</si>
  <si>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</si>
  <si>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</si>
  <si>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</si>
  <si>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</si>
  <si>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</si>
  <si>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</si>
  <si>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</si>
  <si>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</si>
  <si>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</si>
  <si>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</si>
  <si>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</si>
  <si>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</si>
  <si>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</si>
  <si>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</si>
  <si>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</si>
  <si>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</si>
  <si>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</si>
  <si>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</si>
  <si>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</si>
  <si>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</si>
  <si>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</si>
  <si>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</si>
  <si>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</si>
  <si>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</si>
  <si>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</si>
  <si>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</si>
  <si>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</si>
  <si>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</si>
  <si>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</si>
  <si>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</si>
  <si>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</si>
  <si>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</si>
  <si>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</si>
  <si>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</si>
  <si>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</si>
  <si>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</si>
  <si>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</si>
  <si>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</si>
  <si>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</si>
  <si>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</si>
  <si>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</si>
  <si>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</si>
  <si>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</si>
  <si>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</si>
  <si>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</si>
  <si>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</si>
  <si>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</si>
  <si>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</si>
  <si>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</si>
  <si>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</si>
  <si>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</si>
  <si>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</si>
  <si>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</si>
  <si>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</si>
  <si>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</si>
  <si>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</si>
  <si>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</si>
  <si>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</si>
  <si>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</si>
  <si>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</si>
  <si>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</si>
  <si>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</si>
  <si>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</si>
  <si>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</si>
  <si>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</si>
  <si>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</si>
  <si>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</si>
  <si>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</si>
  <si>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</si>
  <si>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</si>
  <si>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</si>
  <si>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</si>
  <si>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</si>
  <si>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</si>
  <si>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</si>
  <si>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</si>
  <si>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</si>
  <si>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</si>
  <si>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</si>
  <si>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</si>
  <si>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</si>
  <si>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</si>
  <si>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</si>
  <si>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</si>
  <si>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</si>
  <si>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</si>
  <si>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</si>
  <si>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</si>
  <si>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</si>
  <si>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</si>
  <si>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</si>
  <si>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</si>
  <si>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</si>
  <si>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</si>
  <si>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</si>
  <si>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</si>
  <si>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</si>
  <si>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</si>
  <si>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</si>
  <si>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</si>
  <si>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</si>
  <si>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</si>
  <si>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</si>
  <si>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</si>
  <si>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</si>
  <si>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</si>
  <si>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</si>
  <si>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</si>
  <si>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</si>
  <si>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</si>
  <si>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</si>
  <si>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</si>
  <si>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</si>
  <si>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</si>
  <si>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</si>
  <si>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</si>
  <si>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</si>
  <si>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</si>
  <si>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</si>
  <si>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</si>
  <si>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</si>
  <si>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</si>
  <si>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</si>
  <si>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</si>
  <si>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</si>
  <si>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</si>
  <si>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</si>
  <si>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</si>
  <si>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</si>
  <si>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</si>
  <si>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</si>
  <si>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</si>
  <si>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</si>
  <si>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</si>
  <si>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</si>
  <si>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</si>
  <si>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</si>
  <si>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</si>
  <si>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</si>
  <si>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</si>
  <si>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</si>
  <si>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</si>
  <si>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</si>
  <si>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</si>
  <si>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</si>
  <si>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</si>
  <si>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</si>
  <si>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</si>
  <si>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</si>
  <si>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</si>
  <si>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</si>
  <si>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</si>
  <si>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</si>
  <si>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</si>
  <si>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</si>
  <si>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</si>
  <si>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</si>
  <si>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</si>
  <si>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</si>
  <si>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</si>
  <si>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</si>
  <si>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</si>
  <si>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</si>
  <si>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</si>
  <si>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</si>
  <si>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</si>
  <si>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</si>
  <si>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</si>
  <si>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</si>
  <si>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</si>
  <si>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</si>
  <si>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</si>
  <si>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</si>
  <si>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</si>
  <si>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</si>
  <si>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</si>
  <si>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</si>
  <si>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</si>
  <si>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</si>
  <si>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</si>
  <si>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</si>
  <si>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</si>
  <si>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</si>
  <si>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</si>
  <si>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</si>
  <si>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</si>
  <si>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</si>
  <si>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</si>
  <si>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</si>
  <si>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</si>
  <si>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</si>
  <si>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</si>
  <si>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</si>
  <si>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</si>
  <si>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</si>
  <si>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</si>
  <si>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</si>
  <si>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</si>
  <si>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</si>
  <si>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</si>
  <si>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</si>
  <si>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</si>
  <si>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</si>
  <si>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</si>
  <si>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</si>
  <si>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</si>
  <si>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</si>
  <si>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</si>
  <si>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</si>
  <si>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</si>
  <si>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</si>
  <si>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</si>
  <si>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</si>
  <si>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</si>
  <si>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</si>
  <si>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</si>
  <si>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</si>
  <si>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</si>
  <si>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</si>
  <si>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</si>
  <si>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</si>
  <si>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</si>
  <si>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</si>
  <si>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</si>
  <si>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</si>
  <si>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</si>
  <si>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</si>
  <si>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</si>
  <si>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</si>
  <si>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</si>
  <si>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</si>
  <si>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</si>
  <si>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</si>
  <si>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</si>
  <si>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</si>
  <si>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</si>
  <si>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</si>
  <si>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</si>
  <si>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</si>
  <si>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</si>
  <si>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</si>
  <si>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</si>
  <si>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</si>
  <si>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</si>
  <si>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</si>
  <si>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</si>
  <si>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</si>
  <si>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</si>
  <si>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</si>
  <si>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</si>
  <si>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</si>
  <si>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</si>
  <si>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</si>
  <si>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</si>
  <si>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</si>
  <si>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</si>
  <si>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</si>
  <si>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</si>
  <si>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</si>
  <si>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</si>
  <si>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</si>
  <si>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</si>
  <si>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</si>
  <si>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</si>
  <si>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</si>
  <si>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</si>
  <si>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</si>
  <si>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</si>
  <si>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</si>
  <si>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</si>
  <si>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</si>
  <si>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</si>
  <si>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</si>
  <si>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</si>
  <si>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</si>
  <si>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</si>
  <si>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</si>
  <si>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</si>
  <si>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</si>
  <si>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</si>
  <si>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</si>
  <si>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</si>
  <si>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</si>
  <si>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</si>
  <si>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</si>
  <si>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</si>
  <si>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</si>
  <si>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</si>
  <si>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</si>
  <si>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</si>
  <si>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</si>
  <si>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</si>
  <si>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</si>
  <si>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</si>
  <si>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</si>
  <si>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</si>
  <si>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</si>
  <si>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</si>
  <si>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</si>
  <si>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</si>
  <si>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</si>
  <si>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</si>
  <si>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</si>
  <si>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</si>
  <si>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</si>
  <si>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</si>
  <si>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</si>
  <si>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ClinicalDocument.participant</t>
  </si>
  <si>
    <t>http://hl7.org/v3/cda</t>
  </si>
  <si>
    <t>CDA (R2)</t>
  </si>
  <si>
    <t>.associatedEntity.telecom</t>
  </si>
  <si>
    <t>relatedDiagnosis</t>
  </si>
  <si>
    <t>relatedRelapse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</si>
  <si>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</si>
  <si>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</si>
  <si>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</si>
  <si>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</si>
  <si>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</si>
  <si>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</si>
  <si>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</si>
  <si>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</si>
  <si>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</si>
  <si>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</si>
  <si>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</si>
  <si>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</si>
  <si>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</si>
  <si>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</si>
  <si>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</si>
  <si>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</si>
  <si>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</si>
  <si>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</si>
  <si>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</si>
  <si>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</si>
  <si>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</si>
  <si>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</si>
  <si>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</si>
  <si>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</si>
  <si>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</si>
  <si>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</si>
  <si>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</si>
  <si>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</si>
  <si>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</si>
  <si>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</si>
  <si>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</si>
  <si>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</si>
  <si>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</si>
  <si>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</si>
  <si>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</si>
  <si>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</si>
  <si>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</si>
  <si>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</si>
  <si>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</si>
  <si>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</si>
  <si>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</si>
  <si>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</si>
  <si>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</si>
  <si>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</si>
  <si>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</si>
  <si>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</si>
  <si>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</si>
  <si>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</si>
  <si>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</si>
  <si>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</si>
  <si>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</si>
  <si>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</si>
  <si>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</si>
  <si>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</si>
  <si>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</si>
  <si>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</si>
  <si>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</si>
  <si>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</si>
  <si>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</si>
  <si>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</si>
  <si>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</si>
  <si>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</si>
  <si>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</si>
  <si>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</si>
  <si>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</si>
  <si>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</si>
  <si>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</si>
  <si>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</si>
  <si>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</si>
  <si>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</si>
  <si>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</si>
  <si>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</si>
  <si>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</si>
  <si>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</si>
  <si>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</si>
  <si>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</si>
  <si>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</si>
  <si>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</si>
  <si>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</si>
  <si>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</si>
  <si>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</si>
  <si>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</si>
  <si>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</si>
  <si>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</si>
  <si>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</si>
  <si>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</si>
  <si>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</si>
  <si>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</si>
  <si>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</si>
  <si>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</si>
  <si>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</si>
  <si>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</si>
  <si>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</si>
  <si>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</si>
  <si>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</si>
  <si>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</si>
  <si>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</si>
  <si>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</si>
  <si>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</si>
  <si>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</si>
  <si>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</si>
  <si>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</si>
  <si>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</si>
  <si>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</si>
  <si>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</si>
  <si>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</si>
  <si>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</si>
  <si>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</si>
  <si>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</si>
  <si>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</si>
  <si>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</si>
  <si>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</si>
  <si>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</si>
  <si>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</si>
  <si>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</si>
  <si>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</si>
  <si>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</si>
  <si>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</si>
  <si>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</si>
  <si>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</si>
  <si>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</si>
  <si>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</si>
  <si>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</si>
  <si>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</si>
  <si>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</si>
  <si>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</si>
  <si>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</si>
  <si>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</si>
  <si>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</si>
  <si>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</si>
  <si>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</si>
  <si>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</si>
  <si>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</si>
  <si>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</si>
  <si>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</si>
  <si>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</si>
  <si>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</si>
  <si>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</si>
  <si>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</si>
  <si>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</si>
  <si>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</si>
  <si>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</si>
  <si>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</si>
  <si>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</si>
  <si>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</si>
  <si>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</si>
  <si>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</si>
  <si>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</si>
  <si>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</si>
  <si>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</si>
  <si>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</si>
  <si>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</si>
  <si>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</si>
  <si>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</si>
  <si>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</si>
  <si>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</si>
  <si>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</si>
  <si>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</si>
  <si>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</si>
  <si>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</si>
  <si>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</si>
  <si>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</si>
  <si>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</si>
  <si>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</si>
  <si>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</si>
  <si>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</si>
  <si>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</si>
  <si>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</si>
  <si>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</si>
  <si>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</si>
  <si>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</si>
  <si>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</si>
  <si>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</si>
  <si>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</si>
  <si>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</si>
  <si>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</si>
  <si>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</si>
  <si>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</si>
  <si>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</si>
  <si>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</si>
  <si>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</si>
  <si>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</si>
  <si>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</si>
  <si>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</si>
  <si>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</si>
  <si>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</si>
  <si>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</si>
  <si>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</si>
  <si>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</si>
  <si>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</si>
  <si>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</si>
  <si>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</si>
  <si>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</si>
  <si>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</si>
  <si>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</si>
  <si>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</si>
  <si>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</si>
  <si>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</si>
  <si>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</si>
  <si>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</si>
  <si>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</si>
  <si>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</si>
  <si>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</si>
  <si>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</si>
  <si>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</si>
  <si>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</si>
  <si>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</si>
  <si>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</si>
  <si>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</si>
  <si>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</si>
  <si>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</si>
  <si>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</si>
  <si>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</si>
  <si>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</si>
  <si>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</si>
  <si>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</si>
  <si>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</si>
  <si>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</si>
  <si>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</si>
  <si>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</si>
  <si>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</si>
  <si>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</si>
  <si>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</si>
  <si>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</si>
  <si>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</si>
  <si>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</si>
  <si>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</si>
  <si>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</si>
  <si>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</si>
  <si>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</si>
  <si>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</si>
  <si>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</si>
  <si>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</si>
  <si>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</si>
  <si>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</si>
  <si>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</si>
  <si>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</si>
  <si>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</si>
  <si>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</si>
  <si>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</si>
  <si>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</si>
  <si>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</si>
  <si>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</si>
  <si>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</si>
  <si>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</si>
  <si>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</si>
  <si>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</si>
  <si>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</si>
  <si>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</si>
  <si>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</si>
  <si>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</si>
  <si>
    <t>.extension('http://hl7.eu/fhir/ig/pcsp/StructureDefinition/condition-relapseType').valueCodeableConcept</t>
  </si>
  <si>
    <t>relapseOrProgression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</si>
</sst>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9" t="s">
        <v>79</v>
      </c>
      <c r="B2" s="61"/>
      <c r="C2" s="62" t="s">
        <v>80</v>
      </c>
      <c r="D2" s="63"/>
      <c r="E2" s="63"/>
      <c r="F2" s="63"/>
      <c r="G2" s="63"/>
      <c r="H2" s="63"/>
      <c r="I2" s="63"/>
      <c r="J2" s="64"/>
      <c r="K2" s="63"/>
    </row>
    <row r="3" spans="1:11" ht="40.5" customHeight="1" x14ac:dyDescent="0.75">
      <c r="A3" s="160"/>
      <c r="B3" s="65"/>
      <c r="C3" s="66" t="s">
        <v>22</v>
      </c>
      <c r="D3" s="67" t="s">
        <v>22</v>
      </c>
      <c r="E3" s="67" t="s">
        <v>81</v>
      </c>
      <c r="F3" s="67"/>
      <c r="G3" s="67" t="s">
        <v>82</v>
      </c>
      <c r="H3" s="67"/>
      <c r="I3" s="67" t="s">
        <v>83</v>
      </c>
      <c r="J3" s="67" t="s">
        <v>84</v>
      </c>
      <c r="K3" s="68" t="s">
        <v>83</v>
      </c>
    </row>
    <row r="4" spans="1:11" ht="40.5" customHeight="1" x14ac:dyDescent="0.75">
      <c r="A4" s="160"/>
      <c r="B4" s="65"/>
      <c r="C4" s="69" t="s">
        <v>53</v>
      </c>
      <c r="D4" s="70" t="s">
        <v>85</v>
      </c>
      <c r="E4" s="70" t="s">
        <v>81</v>
      </c>
      <c r="F4" s="70"/>
      <c r="G4" s="67" t="s">
        <v>86</v>
      </c>
      <c r="H4" s="67"/>
      <c r="I4" s="70" t="s">
        <v>87</v>
      </c>
      <c r="J4" s="67" t="s">
        <v>88</v>
      </c>
      <c r="K4" s="68" t="s">
        <v>89</v>
      </c>
    </row>
    <row r="5" spans="1:11" ht="40.5" customHeight="1" x14ac:dyDescent="0.75">
      <c r="A5" s="160"/>
      <c r="B5" s="65"/>
      <c r="C5" s="69" t="s">
        <v>56</v>
      </c>
      <c r="D5" s="70" t="s">
        <v>90</v>
      </c>
      <c r="E5" s="70" t="s">
        <v>81</v>
      </c>
      <c r="F5" s="70"/>
      <c r="G5" s="67" t="s">
        <v>86</v>
      </c>
      <c r="H5" s="67"/>
      <c r="I5" s="70" t="s">
        <v>91</v>
      </c>
      <c r="J5" s="67" t="s">
        <v>92</v>
      </c>
      <c r="K5" s="68" t="s">
        <v>89</v>
      </c>
    </row>
    <row r="6" spans="1:11" ht="40.5" customHeight="1" x14ac:dyDescent="0.75">
      <c r="A6" s="160"/>
      <c r="B6" s="65"/>
      <c r="C6" s="69" t="s">
        <v>54</v>
      </c>
      <c r="D6" s="70" t="s">
        <v>93</v>
      </c>
      <c r="E6" s="70" t="s">
        <v>81</v>
      </c>
      <c r="F6" s="70"/>
      <c r="G6" s="67" t="s">
        <v>86</v>
      </c>
      <c r="H6" s="67"/>
      <c r="I6" s="70" t="s">
        <v>91</v>
      </c>
      <c r="J6" s="67" t="s">
        <v>94</v>
      </c>
      <c r="K6" s="68" t="s">
        <v>89</v>
      </c>
    </row>
    <row r="7" spans="1:11" ht="40.5" customHeight="1" x14ac:dyDescent="0.75">
      <c r="A7" s="160"/>
      <c r="B7" s="65"/>
      <c r="C7" s="69" t="s">
        <v>55</v>
      </c>
      <c r="D7" s="70" t="s">
        <v>95</v>
      </c>
      <c r="E7" s="70" t="s">
        <v>81</v>
      </c>
      <c r="F7" s="70"/>
      <c r="G7" s="67" t="s">
        <v>86</v>
      </c>
      <c r="H7" s="67"/>
      <c r="I7" s="70" t="s">
        <v>87</v>
      </c>
      <c r="J7" s="67" t="s">
        <v>96</v>
      </c>
      <c r="K7" s="68" t="s">
        <v>89</v>
      </c>
    </row>
    <row r="8" spans="1:11" ht="55.5" x14ac:dyDescent="0.75">
      <c r="A8" s="160"/>
      <c r="B8" s="162" t="s">
        <v>97</v>
      </c>
      <c r="C8" s="69" t="s">
        <v>57</v>
      </c>
      <c r="D8" s="70" t="s">
        <v>98</v>
      </c>
      <c r="E8" s="70" t="s">
        <v>99</v>
      </c>
      <c r="F8" s="70"/>
      <c r="G8" s="71" t="s">
        <v>82</v>
      </c>
      <c r="H8" s="67" t="s">
        <v>100</v>
      </c>
      <c r="I8" s="70" t="s">
        <v>87</v>
      </c>
      <c r="J8" s="67" t="s">
        <v>101</v>
      </c>
      <c r="K8" s="68" t="s">
        <v>83</v>
      </c>
    </row>
    <row r="9" spans="1:11" ht="40.5" customHeight="1" x14ac:dyDescent="0.75">
      <c r="A9" s="160"/>
      <c r="B9" s="162"/>
      <c r="C9" s="66" t="s">
        <v>102</v>
      </c>
      <c r="D9" s="67" t="s">
        <v>103</v>
      </c>
      <c r="E9" s="70" t="s">
        <v>81</v>
      </c>
      <c r="F9" s="70"/>
      <c r="G9" s="71" t="s">
        <v>86</v>
      </c>
      <c r="H9" s="67"/>
      <c r="I9" s="67" t="s">
        <v>104</v>
      </c>
      <c r="J9" s="67" t="s">
        <v>105</v>
      </c>
      <c r="K9" s="68" t="s">
        <v>83</v>
      </c>
    </row>
    <row r="10" spans="1:11" ht="40.5" customHeight="1" x14ac:dyDescent="0.75">
      <c r="A10" s="160"/>
      <c r="B10" s="162" t="s">
        <v>106</v>
      </c>
      <c r="C10" s="69" t="s">
        <v>58</v>
      </c>
      <c r="D10" s="70" t="s">
        <v>107</v>
      </c>
      <c r="E10" s="70" t="s">
        <v>4</v>
      </c>
      <c r="F10" s="70"/>
      <c r="G10" s="67" t="s">
        <v>4</v>
      </c>
      <c r="H10" s="67" t="s">
        <v>108</v>
      </c>
      <c r="I10" s="70" t="s">
        <v>87</v>
      </c>
      <c r="J10" s="67" t="s">
        <v>109</v>
      </c>
      <c r="K10" s="68" t="s">
        <v>89</v>
      </c>
    </row>
    <row r="11" spans="1:11" ht="40.5" customHeight="1" x14ac:dyDescent="0.75">
      <c r="A11" s="160"/>
      <c r="B11" s="162"/>
      <c r="C11" s="69" t="s">
        <v>110</v>
      </c>
      <c r="D11" s="70" t="s">
        <v>111</v>
      </c>
      <c r="E11" s="70" t="s">
        <v>82</v>
      </c>
      <c r="F11" s="70" t="s">
        <v>83</v>
      </c>
      <c r="G11" s="67" t="s">
        <v>82</v>
      </c>
      <c r="H11" s="67"/>
      <c r="I11" s="70" t="s">
        <v>83</v>
      </c>
      <c r="J11" s="67" t="s">
        <v>112</v>
      </c>
      <c r="K11" s="68" t="s">
        <v>83</v>
      </c>
    </row>
    <row r="12" spans="1:11" ht="40.5" customHeight="1" x14ac:dyDescent="0.75">
      <c r="A12" s="160"/>
      <c r="B12" s="65"/>
      <c r="C12" s="69" t="s">
        <v>59</v>
      </c>
      <c r="D12" s="70" t="s">
        <v>113</v>
      </c>
      <c r="E12" s="70" t="s">
        <v>81</v>
      </c>
      <c r="F12" s="70"/>
      <c r="G12" s="67" t="s">
        <v>86</v>
      </c>
      <c r="H12" s="67"/>
      <c r="I12" s="70" t="s">
        <v>91</v>
      </c>
      <c r="J12" s="67" t="s">
        <v>114</v>
      </c>
      <c r="K12" s="68" t="s">
        <v>89</v>
      </c>
    </row>
    <row r="13" spans="1:11" ht="40.5" customHeight="1" x14ac:dyDescent="0.75">
      <c r="A13" s="160"/>
      <c r="B13" s="163" t="s">
        <v>115</v>
      </c>
      <c r="C13" s="69" t="s">
        <v>116</v>
      </c>
      <c r="D13" s="70" t="s">
        <v>117</v>
      </c>
      <c r="E13" s="70" t="s">
        <v>99</v>
      </c>
      <c r="F13" s="70"/>
      <c r="G13" s="67" t="s">
        <v>82</v>
      </c>
      <c r="H13" s="67" t="s">
        <v>118</v>
      </c>
      <c r="I13" s="70" t="s">
        <v>87</v>
      </c>
      <c r="J13" s="67" t="s">
        <v>119</v>
      </c>
      <c r="K13" s="68" t="s">
        <v>89</v>
      </c>
    </row>
    <row r="14" spans="1:11" ht="40.5" customHeight="1" x14ac:dyDescent="0.75">
      <c r="A14" s="160"/>
      <c r="B14" s="164"/>
      <c r="C14" s="69" t="s">
        <v>60</v>
      </c>
      <c r="D14" s="70" t="s">
        <v>120</v>
      </c>
      <c r="E14" s="70" t="s">
        <v>81</v>
      </c>
      <c r="F14" s="70"/>
      <c r="G14" s="67" t="s">
        <v>86</v>
      </c>
      <c r="H14" s="67"/>
      <c r="I14" s="70" t="s">
        <v>121</v>
      </c>
      <c r="J14" s="67" t="s">
        <v>122</v>
      </c>
      <c r="K14" s="70" t="s">
        <v>89</v>
      </c>
    </row>
    <row r="15" spans="1:11" ht="40.5" customHeight="1" thickBot="1" x14ac:dyDescent="0.9">
      <c r="A15" s="161"/>
      <c r="B15" s="165"/>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6" t="s">
        <v>127</v>
      </c>
      <c r="B17" s="61"/>
      <c r="C17" s="66" t="s">
        <v>128</v>
      </c>
      <c r="D17" s="67" t="s">
        <v>129</v>
      </c>
      <c r="E17" s="67" t="s">
        <v>82</v>
      </c>
      <c r="F17" s="67" t="s">
        <v>83</v>
      </c>
      <c r="G17" s="67" t="s">
        <v>82</v>
      </c>
      <c r="H17" s="67"/>
      <c r="I17" s="67" t="s">
        <v>83</v>
      </c>
      <c r="J17" s="67" t="s">
        <v>130</v>
      </c>
      <c r="K17" s="68" t="s">
        <v>83</v>
      </c>
    </row>
    <row r="18" spans="1:14" ht="40.5" customHeight="1" x14ac:dyDescent="0.75">
      <c r="A18" s="167"/>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7"/>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7"/>
      <c r="B20" s="65"/>
      <c r="C20" s="69" t="s">
        <v>139</v>
      </c>
      <c r="D20" s="70" t="s">
        <v>140</v>
      </c>
      <c r="E20" s="70" t="s">
        <v>81</v>
      </c>
      <c r="F20" s="70" t="s">
        <v>83</v>
      </c>
      <c r="G20" s="70" t="s">
        <v>86</v>
      </c>
      <c r="H20" s="70"/>
      <c r="I20" s="70" t="s">
        <v>83</v>
      </c>
      <c r="J20" s="67" t="s">
        <v>141</v>
      </c>
      <c r="K20" s="75" t="s">
        <v>83</v>
      </c>
    </row>
    <row r="21" spans="1:14" ht="40.5" customHeight="1" x14ac:dyDescent="0.75">
      <c r="A21" s="167"/>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7"/>
      <c r="B22" s="76"/>
      <c r="C22" s="66" t="s">
        <v>146</v>
      </c>
      <c r="D22" s="67" t="s">
        <v>147</v>
      </c>
      <c r="E22" s="70" t="s">
        <v>81</v>
      </c>
      <c r="F22" s="70"/>
      <c r="G22" s="67" t="s">
        <v>86</v>
      </c>
      <c r="H22" s="67"/>
      <c r="I22" s="67" t="s">
        <v>148</v>
      </c>
      <c r="J22" s="67" t="s">
        <v>149</v>
      </c>
      <c r="K22" s="77" t="s">
        <v>83</v>
      </c>
    </row>
    <row r="23" spans="1:14" ht="40.5" customHeight="1" x14ac:dyDescent="0.75">
      <c r="A23" s="167"/>
      <c r="B23" s="65"/>
      <c r="C23" s="69" t="s">
        <v>150</v>
      </c>
      <c r="D23" s="70" t="s">
        <v>151</v>
      </c>
      <c r="E23" s="70" t="s">
        <v>4</v>
      </c>
      <c r="F23" s="70"/>
      <c r="G23" s="67" t="s">
        <v>4</v>
      </c>
      <c r="H23" s="67" t="s">
        <v>108</v>
      </c>
      <c r="I23" s="70" t="s">
        <v>152</v>
      </c>
      <c r="J23" s="67" t="s">
        <v>153</v>
      </c>
      <c r="K23" s="70" t="s">
        <v>89</v>
      </c>
    </row>
    <row r="24" spans="1:14" ht="40.5" customHeight="1" x14ac:dyDescent="0.75">
      <c r="A24" s="167"/>
      <c r="B24" s="65"/>
      <c r="C24" s="69" t="s">
        <v>154</v>
      </c>
      <c r="D24" s="70" t="s">
        <v>155</v>
      </c>
      <c r="E24" s="70" t="s">
        <v>99</v>
      </c>
      <c r="F24" s="70" t="s">
        <v>83</v>
      </c>
      <c r="G24" s="67" t="s">
        <v>86</v>
      </c>
      <c r="H24" s="67" t="s">
        <v>156</v>
      </c>
      <c r="I24" s="70" t="s">
        <v>83</v>
      </c>
      <c r="J24" s="67" t="s">
        <v>157</v>
      </c>
      <c r="K24" s="68" t="s">
        <v>83</v>
      </c>
    </row>
    <row r="25" spans="1:14" ht="40.5" customHeight="1" x14ac:dyDescent="0.75">
      <c r="A25" s="167"/>
      <c r="B25" s="65"/>
      <c r="C25" s="69" t="s">
        <v>62</v>
      </c>
      <c r="D25" s="70" t="s">
        <v>158</v>
      </c>
      <c r="E25" s="70" t="s">
        <v>99</v>
      </c>
      <c r="F25" s="70"/>
      <c r="G25" s="67" t="s">
        <v>86</v>
      </c>
      <c r="H25" s="67" t="s">
        <v>159</v>
      </c>
      <c r="I25" s="70" t="s">
        <v>87</v>
      </c>
      <c r="J25" s="67" t="s">
        <v>160</v>
      </c>
      <c r="K25" s="68" t="s">
        <v>83</v>
      </c>
    </row>
    <row r="26" spans="1:14" ht="40.5" customHeight="1" x14ac:dyDescent="0.75">
      <c r="A26" s="167"/>
      <c r="B26" s="65"/>
      <c r="C26" s="69" t="s">
        <v>161</v>
      </c>
      <c r="D26" s="70" t="s">
        <v>162</v>
      </c>
      <c r="E26" s="70" t="s">
        <v>99</v>
      </c>
      <c r="F26" s="70" t="s">
        <v>83</v>
      </c>
      <c r="G26" s="67" t="s">
        <v>82</v>
      </c>
      <c r="H26" s="67"/>
      <c r="I26" s="70" t="s">
        <v>83</v>
      </c>
      <c r="J26" s="67" t="s">
        <v>163</v>
      </c>
      <c r="K26" s="68" t="s">
        <v>89</v>
      </c>
    </row>
    <row r="27" spans="1:14" ht="40.5" customHeight="1" x14ac:dyDescent="0.75">
      <c r="A27" s="167"/>
      <c r="B27" s="65"/>
      <c r="C27" s="69" t="s">
        <v>164</v>
      </c>
      <c r="D27" s="70" t="s">
        <v>165</v>
      </c>
      <c r="E27" s="70" t="s">
        <v>81</v>
      </c>
      <c r="F27" s="70"/>
      <c r="G27" s="67" t="s">
        <v>86</v>
      </c>
      <c r="H27" s="67"/>
      <c r="I27" s="70" t="s">
        <v>91</v>
      </c>
      <c r="J27" s="67" t="s">
        <v>166</v>
      </c>
      <c r="K27" s="68" t="s">
        <v>83</v>
      </c>
    </row>
    <row r="28" spans="1:14" ht="40.5" customHeight="1" x14ac:dyDescent="0.75">
      <c r="A28" s="167"/>
      <c r="B28" s="65"/>
      <c r="C28" s="69" t="s">
        <v>167</v>
      </c>
      <c r="D28" s="67" t="s">
        <v>168</v>
      </c>
      <c r="E28" s="70" t="s">
        <v>99</v>
      </c>
      <c r="F28" s="70"/>
      <c r="G28" s="67" t="s">
        <v>86</v>
      </c>
      <c r="H28" s="67" t="s">
        <v>169</v>
      </c>
      <c r="I28" s="70" t="s">
        <v>87</v>
      </c>
      <c r="J28" s="67" t="s">
        <v>170</v>
      </c>
      <c r="K28" s="68" t="s">
        <v>83</v>
      </c>
    </row>
    <row r="29" spans="1:14" ht="40.5" customHeight="1" x14ac:dyDescent="0.75">
      <c r="A29" s="167"/>
      <c r="B29" s="65"/>
      <c r="C29" s="69" t="s">
        <v>171</v>
      </c>
      <c r="D29" s="70" t="s">
        <v>172</v>
      </c>
      <c r="E29" s="70" t="s">
        <v>81</v>
      </c>
      <c r="F29" s="70"/>
      <c r="G29" s="67" t="s">
        <v>86</v>
      </c>
      <c r="H29" s="67"/>
      <c r="I29" s="70" t="s">
        <v>91</v>
      </c>
      <c r="J29" s="67" t="s">
        <v>173</v>
      </c>
      <c r="K29" s="68" t="s">
        <v>83</v>
      </c>
    </row>
    <row r="30" spans="1:14" ht="111" x14ac:dyDescent="0.75">
      <c r="A30" s="167"/>
      <c r="B30" s="65"/>
      <c r="C30" s="69" t="s">
        <v>174</v>
      </c>
      <c r="D30" s="70" t="s">
        <v>175</v>
      </c>
      <c r="E30" s="70" t="s">
        <v>99</v>
      </c>
      <c r="F30" s="70"/>
      <c r="G30" s="67" t="s">
        <v>82</v>
      </c>
      <c r="H30" s="67" t="s">
        <v>176</v>
      </c>
      <c r="I30" s="67" t="s">
        <v>83</v>
      </c>
      <c r="J30" s="67" t="s">
        <v>177</v>
      </c>
      <c r="K30" s="68" t="s">
        <v>83</v>
      </c>
    </row>
    <row r="31" spans="1:14" ht="40.5" customHeight="1" x14ac:dyDescent="0.75">
      <c r="A31" s="167"/>
      <c r="B31" s="65"/>
      <c r="C31" s="69" t="s">
        <v>178</v>
      </c>
      <c r="D31" s="70" t="s">
        <v>179</v>
      </c>
      <c r="E31" s="70" t="s">
        <v>99</v>
      </c>
      <c r="F31" s="70"/>
      <c r="G31" s="67" t="s">
        <v>82</v>
      </c>
      <c r="H31" s="67" t="s">
        <v>180</v>
      </c>
      <c r="I31" s="67" t="s">
        <v>83</v>
      </c>
      <c r="J31" s="67" t="s">
        <v>181</v>
      </c>
      <c r="K31" s="68" t="s">
        <v>83</v>
      </c>
    </row>
    <row r="32" spans="1:14" ht="40.5" customHeight="1" x14ac:dyDescent="0.75">
      <c r="A32" s="167"/>
      <c r="B32" s="65"/>
      <c r="C32" s="69" t="s">
        <v>182</v>
      </c>
      <c r="D32" s="70" t="s">
        <v>183</v>
      </c>
      <c r="E32" s="70" t="s">
        <v>99</v>
      </c>
      <c r="F32" s="70"/>
      <c r="G32" s="67" t="s">
        <v>82</v>
      </c>
      <c r="H32" s="67" t="s">
        <v>184</v>
      </c>
      <c r="I32" s="67" t="s">
        <v>185</v>
      </c>
      <c r="J32" s="67"/>
      <c r="K32" s="68" t="s">
        <v>89</v>
      </c>
    </row>
    <row r="33" spans="1:11" ht="40.5" customHeight="1" x14ac:dyDescent="0.75">
      <c r="A33" s="167"/>
      <c r="B33" s="65"/>
      <c r="C33" s="69" t="s">
        <v>186</v>
      </c>
      <c r="D33" s="70" t="s">
        <v>187</v>
      </c>
      <c r="E33" s="70" t="s">
        <v>99</v>
      </c>
      <c r="F33" s="70"/>
      <c r="G33" s="67" t="s">
        <v>86</v>
      </c>
      <c r="H33" s="67"/>
      <c r="I33" s="70" t="s">
        <v>188</v>
      </c>
      <c r="J33" s="67" t="s">
        <v>189</v>
      </c>
      <c r="K33" s="68" t="s">
        <v>83</v>
      </c>
    </row>
    <row r="34" spans="1:11" ht="40.5" customHeight="1" x14ac:dyDescent="0.75">
      <c r="A34" s="167"/>
      <c r="B34" s="65"/>
      <c r="C34" s="69" t="s">
        <v>190</v>
      </c>
      <c r="D34" s="70" t="s">
        <v>191</v>
      </c>
      <c r="E34" s="70" t="s">
        <v>81</v>
      </c>
      <c r="F34" s="70"/>
      <c r="G34" s="67" t="s">
        <v>86</v>
      </c>
      <c r="H34" s="67"/>
      <c r="I34" s="70" t="s">
        <v>192</v>
      </c>
      <c r="J34" s="67" t="s">
        <v>193</v>
      </c>
      <c r="K34" s="68" t="s">
        <v>83</v>
      </c>
    </row>
    <row r="35" spans="1:11" ht="40.5" customHeight="1" x14ac:dyDescent="0.75">
      <c r="A35" s="167"/>
      <c r="B35" s="65"/>
      <c r="C35" s="69" t="s">
        <v>194</v>
      </c>
      <c r="D35" s="70" t="s">
        <v>195</v>
      </c>
      <c r="E35" s="70" t="s">
        <v>81</v>
      </c>
      <c r="F35" s="70"/>
      <c r="G35" s="67" t="s">
        <v>86</v>
      </c>
      <c r="H35" s="67"/>
      <c r="I35" s="70" t="s">
        <v>91</v>
      </c>
      <c r="J35" s="67" t="s">
        <v>196</v>
      </c>
      <c r="K35" s="68" t="s">
        <v>83</v>
      </c>
    </row>
    <row r="36" spans="1:11" ht="40.5" customHeight="1" x14ac:dyDescent="0.75">
      <c r="A36" s="167"/>
      <c r="B36" s="65"/>
      <c r="C36" s="69" t="s">
        <v>197</v>
      </c>
      <c r="D36" s="70" t="s">
        <v>198</v>
      </c>
      <c r="E36" s="70" t="s">
        <v>81</v>
      </c>
      <c r="F36" s="70"/>
      <c r="G36" s="67" t="s">
        <v>86</v>
      </c>
      <c r="H36" s="67"/>
      <c r="I36" s="70" t="s">
        <v>91</v>
      </c>
      <c r="J36" s="67" t="s">
        <v>199</v>
      </c>
      <c r="K36" s="68" t="s">
        <v>83</v>
      </c>
    </row>
    <row r="37" spans="1:11" ht="40.5" customHeight="1" x14ac:dyDescent="0.75">
      <c r="A37" s="167"/>
      <c r="B37" s="65"/>
      <c r="C37" s="69" t="s">
        <v>200</v>
      </c>
      <c r="D37" s="70" t="s">
        <v>201</v>
      </c>
      <c r="E37" s="70" t="s">
        <v>81</v>
      </c>
      <c r="F37" s="70"/>
      <c r="G37" s="67" t="s">
        <v>86</v>
      </c>
      <c r="H37" s="67"/>
      <c r="I37" s="70" t="s">
        <v>91</v>
      </c>
      <c r="J37" s="67" t="s">
        <v>202</v>
      </c>
      <c r="K37" s="68" t="s">
        <v>83</v>
      </c>
    </row>
    <row r="38" spans="1:11" ht="40.5" customHeight="1" x14ac:dyDescent="0.75">
      <c r="A38" s="167"/>
      <c r="B38" s="65"/>
      <c r="C38" s="69" t="s">
        <v>203</v>
      </c>
      <c r="D38" s="70" t="s">
        <v>204</v>
      </c>
      <c r="E38" s="70" t="s">
        <v>99</v>
      </c>
      <c r="F38" s="70"/>
      <c r="G38" s="67" t="s">
        <v>82</v>
      </c>
      <c r="H38" s="79" t="s">
        <v>205</v>
      </c>
      <c r="I38" s="70" t="s">
        <v>87</v>
      </c>
      <c r="J38" s="67" t="s">
        <v>206</v>
      </c>
      <c r="K38" s="68" t="s">
        <v>83</v>
      </c>
    </row>
    <row r="39" spans="1:11" ht="40.5" customHeight="1" x14ac:dyDescent="0.75">
      <c r="A39" s="167"/>
      <c r="B39" s="65"/>
      <c r="C39" s="69" t="s">
        <v>207</v>
      </c>
      <c r="D39" s="67" t="s">
        <v>208</v>
      </c>
      <c r="E39" s="70" t="s">
        <v>99</v>
      </c>
      <c r="F39" s="70"/>
      <c r="G39" s="67" t="s">
        <v>86</v>
      </c>
      <c r="H39" s="67" t="s">
        <v>209</v>
      </c>
      <c r="I39" s="67" t="s">
        <v>210</v>
      </c>
      <c r="J39" s="67" t="s">
        <v>211</v>
      </c>
      <c r="K39" s="68" t="s">
        <v>83</v>
      </c>
    </row>
    <row r="40" spans="1:11" ht="40.5" customHeight="1" x14ac:dyDescent="0.75">
      <c r="A40" s="167"/>
      <c r="B40" s="65"/>
      <c r="C40" s="69" t="s">
        <v>212</v>
      </c>
      <c r="D40" s="67" t="s">
        <v>213</v>
      </c>
      <c r="E40" s="70" t="s">
        <v>81</v>
      </c>
      <c r="F40" s="70"/>
      <c r="G40" s="67" t="s">
        <v>86</v>
      </c>
      <c r="H40" s="67"/>
      <c r="I40" s="67" t="s">
        <v>214</v>
      </c>
      <c r="J40" s="67" t="s">
        <v>215</v>
      </c>
      <c r="K40" s="68" t="s">
        <v>83</v>
      </c>
    </row>
    <row r="41" spans="1:11" ht="40.5" customHeight="1" x14ac:dyDescent="0.75">
      <c r="A41" s="167"/>
      <c r="B41" s="80" t="s">
        <v>216</v>
      </c>
      <c r="C41" s="69" t="s">
        <v>217</v>
      </c>
      <c r="D41" s="70" t="s">
        <v>218</v>
      </c>
      <c r="E41" s="70" t="s">
        <v>99</v>
      </c>
      <c r="F41" s="70"/>
      <c r="G41" s="67" t="s">
        <v>82</v>
      </c>
      <c r="H41" s="67" t="s">
        <v>205</v>
      </c>
      <c r="I41" s="70" t="s">
        <v>87</v>
      </c>
      <c r="J41" s="67" t="s">
        <v>219</v>
      </c>
      <c r="K41" s="68" t="s">
        <v>83</v>
      </c>
    </row>
    <row r="42" spans="1:11" ht="40.5" customHeight="1" x14ac:dyDescent="0.75">
      <c r="A42" s="167"/>
      <c r="B42" s="80" t="s">
        <v>220</v>
      </c>
      <c r="C42" s="81" t="s">
        <v>221</v>
      </c>
      <c r="D42" s="79" t="s">
        <v>222</v>
      </c>
      <c r="E42" s="67" t="s">
        <v>223</v>
      </c>
      <c r="F42" s="67"/>
      <c r="G42" s="67" t="s">
        <v>86</v>
      </c>
      <c r="H42" s="77"/>
      <c r="I42" s="67" t="s">
        <v>224</v>
      </c>
      <c r="J42" s="79" t="s">
        <v>225</v>
      </c>
      <c r="K42" s="68" t="s">
        <v>83</v>
      </c>
    </row>
    <row r="43" spans="1:11" ht="40.5" customHeight="1" thickBot="1" x14ac:dyDescent="0.9">
      <c r="A43" s="168"/>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3" t="s">
        <v>233</v>
      </c>
      <c r="C46" s="69" t="s">
        <v>234</v>
      </c>
      <c r="D46" s="70" t="s">
        <v>235</v>
      </c>
      <c r="E46" s="70" t="s">
        <v>99</v>
      </c>
      <c r="F46" s="70"/>
      <c r="G46" s="67" t="s">
        <v>82</v>
      </c>
      <c r="H46" s="67" t="s">
        <v>236</v>
      </c>
      <c r="I46" s="70" t="s">
        <v>87</v>
      </c>
      <c r="J46" s="67" t="s">
        <v>237</v>
      </c>
      <c r="K46" s="68" t="s">
        <v>83</v>
      </c>
    </row>
    <row r="47" spans="1:11" ht="40.5" customHeight="1" x14ac:dyDescent="0.75">
      <c r="A47" s="89"/>
      <c r="B47" s="164"/>
      <c r="C47" s="69" t="s">
        <v>238</v>
      </c>
      <c r="D47" s="70" t="s">
        <v>239</v>
      </c>
      <c r="E47" s="70" t="s">
        <v>81</v>
      </c>
      <c r="F47" s="70"/>
      <c r="G47" s="67" t="s">
        <v>86</v>
      </c>
      <c r="H47" s="67"/>
      <c r="I47" s="67" t="s">
        <v>240</v>
      </c>
      <c r="J47" s="67" t="s">
        <v>241</v>
      </c>
      <c r="K47" s="68" t="s">
        <v>83</v>
      </c>
    </row>
    <row r="48" spans="1:11" ht="40.5" customHeight="1" x14ac:dyDescent="0.75">
      <c r="A48" s="89"/>
      <c r="B48" s="165"/>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6"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7"/>
      <c r="C101" s="67" t="s">
        <v>411</v>
      </c>
      <c r="D101" s="67" t="s">
        <v>412</v>
      </c>
      <c r="E101" s="70" t="s">
        <v>99</v>
      </c>
      <c r="F101" s="70"/>
      <c r="G101" s="67" t="s">
        <v>82</v>
      </c>
      <c r="H101" s="67" t="s">
        <v>413</v>
      </c>
      <c r="I101" s="70" t="s">
        <v>91</v>
      </c>
      <c r="J101" s="67" t="s">
        <v>414</v>
      </c>
      <c r="K101" s="68" t="s">
        <v>89</v>
      </c>
    </row>
    <row r="102" spans="1:11" ht="40.5" customHeight="1" x14ac:dyDescent="0.75">
      <c r="A102" s="68"/>
      <c r="B102" s="157"/>
      <c r="C102" s="70" t="s">
        <v>415</v>
      </c>
      <c r="D102" s="70" t="s">
        <v>416</v>
      </c>
      <c r="E102" s="70" t="s">
        <v>99</v>
      </c>
      <c r="F102" s="70"/>
      <c r="G102" s="67" t="s">
        <v>82</v>
      </c>
      <c r="H102" s="70" t="s">
        <v>417</v>
      </c>
      <c r="I102" s="70" t="s">
        <v>418</v>
      </c>
      <c r="J102" s="67" t="s">
        <v>415</v>
      </c>
      <c r="K102" s="68" t="s">
        <v>89</v>
      </c>
    </row>
    <row r="103" spans="1:11" ht="40.5" customHeight="1" x14ac:dyDescent="0.75">
      <c r="A103" s="68"/>
      <c r="B103" s="158"/>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890</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90"/>
  <sheetViews>
    <sheetView tabSelected="1" workbookViewId="0">
      <selection activeCell="E1" sqref="E1:E599"/>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after FLT - Maturity Level: 2 - Ready for Review"</v>
      </c>
    </row>
    <row r="4" spans="5:5" x14ac:dyDescent="0.75">
      <c r="E4" s="109" t="str">
        <f>'RelAftFlt-3'!D5</f>
        <v>Title: "Progression-Relapse after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after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after FLT - Maturity Level: 2 - Ready for Review"</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str">
        <f>'RelAftFlt-3'!D53</f>
        <v>* differential.element[3].id = "RelapseAfterFLT.date"</v>
      </c>
    </row>
    <row r="48" spans="5:5" x14ac:dyDescent="0.75">
      <c r="E48" s="109" t="str">
        <f>'RelAftFlt-3'!D54</f>
        <v>* differential.element[3].path = "RelapseAfterFLT.date"</v>
      </c>
    </row>
    <row r="49" spans="5:5" x14ac:dyDescent="0.75">
      <c r="E49" s="109" t="str">
        <f>'RelAftFlt-3'!D55</f>
        <v>* differential.element[3].short = "date of relapse"</v>
      </c>
    </row>
    <row r="50" spans="5:5" x14ac:dyDescent="0.75">
      <c r="E50" s="109" t="str">
        <f>'RelAftFlt-3'!D56</f>
        <v>* differential.element[3].definition = "Report here the date (dd/mm/yyyy ) of the relapse/progression. If the date is unkown or partially missed insert the year at the best of your knowledge."</v>
      </c>
    </row>
    <row r="51" spans="5:5" x14ac:dyDescent="0.75">
      <c r="E51" s="109" t="str">
        <f>'RelAftFlt-3'!D57</f>
        <v>* differential.element[3].min = 0</v>
      </c>
    </row>
    <row r="52" spans="5:5" x14ac:dyDescent="0.75">
      <c r="E52" s="109" t="str">
        <f>'RelAftFlt-3'!D58</f>
        <v>* differential.element[3].max = "1"</v>
      </c>
    </row>
    <row r="53" spans="5:5" x14ac:dyDescent="0.75">
      <c r="E53" s="109" t="str">
        <f>'RelAftFlt-3'!D59</f>
        <v>* differential.element[3].type.code = #date</v>
      </c>
    </row>
    <row r="54" spans="5:5" x14ac:dyDescent="0.75">
      <c r="E54" s="109" t="str">
        <f>'RelAftFlt-3'!D60</f>
        <v/>
      </c>
    </row>
    <row r="55" spans="5:5" x14ac:dyDescent="0.75">
      <c r="E55" s="109" t="str">
        <f>'RelAftFlt-3'!D61</f>
        <v/>
      </c>
    </row>
    <row r="56" spans="5:5" x14ac:dyDescent="0.75">
      <c r="E56" s="109" t="str">
        <f>'RelAftFlt-3'!D62</f>
        <v>* differential.element[4].id = "RelapseAfterFLT.relapseOrProgression"</v>
      </c>
    </row>
    <row r="57" spans="5:5" x14ac:dyDescent="0.75">
      <c r="E57" s="109" t="str">
        <f>'RelAftFlt-3'!D63</f>
        <v>* differential.element[4].path = "RelapseAfterFLT.relapseOrProgression"</v>
      </c>
    </row>
    <row r="58" spans="5:5" x14ac:dyDescent="0.75">
      <c r="E58" s="109" t="str">
        <f>'RelAftFlt-3'!D64</f>
        <v>* differential.element[4].short = "relapse | progression"</v>
      </c>
    </row>
    <row r="59" spans="5:5" x14ac:dyDescent="0.75">
      <c r="E59" s="109" t="str">
        <f>'RelAftFlt-3'!D65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0" spans="5:5" x14ac:dyDescent="0.75">
      <c r="E60" s="109" t="str">
        <f>'RelAftFlt-3'!D66</f>
        <v>* differential.element[4].min = 0</v>
      </c>
    </row>
    <row r="61" spans="5:5" x14ac:dyDescent="0.75">
      <c r="E61" s="109" t="str">
        <f>'RelAftFlt-3'!D67</f>
        <v>* differential.element[4].max = "1"</v>
      </c>
    </row>
    <row r="62" spans="5:5" x14ac:dyDescent="0.75">
      <c r="E62" s="109" t="str">
        <f>'RelAftFlt-3'!D68</f>
        <v>* differential.element[4].type.code = #CodeableConcept</v>
      </c>
    </row>
    <row r="63" spans="5:5" x14ac:dyDescent="0.75">
      <c r="E63" s="109" t="str">
        <f>'RelAftFlt-3'!D69</f>
        <v/>
      </c>
    </row>
    <row r="64" spans="5:5" x14ac:dyDescent="0.75">
      <c r="E64" s="109" t="str">
        <f>'RelAftFlt-3'!D70</f>
        <v/>
      </c>
    </row>
    <row r="65" spans="5:5" x14ac:dyDescent="0.75">
      <c r="E65" s="109" t="str">
        <f>'RelAftFlt-3'!D71</f>
        <v>* differential.element[5].id = "RelapseAfterFLT.type"</v>
      </c>
    </row>
    <row r="66" spans="5:5" x14ac:dyDescent="0.75">
      <c r="E66" s="109" t="str">
        <f>'RelAftFlt-3'!D72</f>
        <v>* differential.element[5].path = "RelapseAfterFLT.type"</v>
      </c>
    </row>
    <row r="67" spans="5:5" x14ac:dyDescent="0.75">
      <c r="E67" s="109" t="str">
        <f>'RelAftFlt-3'!D73</f>
        <v>* differential.element[5].short = "local | distant | combined"</v>
      </c>
    </row>
    <row r="68" spans="5:5" x14ac:dyDescent="0.75">
      <c r="E68" s="109" t="str">
        <f>'RelAftFlt-3'!D74</f>
        <v>* differential.element[5].definition = "Please define if the relapse/progression was local, distant or combined.
"</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#CodeableConcept</v>
      </c>
    </row>
    <row r="72" spans="5:5" x14ac:dyDescent="0.75">
      <c r="E72" s="109" t="str">
        <f>'RelAftFlt-3'!D78</f>
        <v/>
      </c>
    </row>
    <row r="73" spans="5:5" x14ac:dyDescent="0.75">
      <c r="E73" s="109" t="str">
        <f>'RelAftFlt-3'!D79</f>
        <v/>
      </c>
    </row>
    <row r="74" spans="5:5" x14ac:dyDescent="0.75">
      <c r="E74" s="109" t="str">
        <f>'RelAftFlt-3'!D80</f>
        <v>* differential.element[6].id = "RelapseAfterFLT.site"</v>
      </c>
    </row>
    <row r="75" spans="5:5" x14ac:dyDescent="0.75">
      <c r="E75" s="109" t="str">
        <f>'RelAftFlt-3'!D81</f>
        <v>* differential.element[6].path = "RelapseAfterFLT.site"</v>
      </c>
    </row>
    <row r="76" spans="5:5" x14ac:dyDescent="0.75">
      <c r="E76" s="109" t="str">
        <f>'RelAftFlt-3'!D82</f>
        <v>* differential.element[6].short = "If distant, site of metastases"</v>
      </c>
    </row>
    <row r="77" spans="5:5" x14ac:dyDescent="0.75">
      <c r="E77" s="109" t="str">
        <f>'RelAftFlt-3'!D83</f>
        <v>* differential.element[6].definition = "Please define if the relapse/progression was local, distant or combined.
"</v>
      </c>
    </row>
    <row r="78" spans="5:5" x14ac:dyDescent="0.75">
      <c r="E78" s="109" t="str">
        <f>'RelAftFlt-3'!D84</f>
        <v>* differential.element[6].min = 0</v>
      </c>
    </row>
    <row r="79" spans="5:5" x14ac:dyDescent="0.75">
      <c r="E79" s="109" t="str">
        <f>'RelAftFlt-3'!D85</f>
        <v>* differential.element[6].max = "1"</v>
      </c>
    </row>
    <row r="80" spans="5:5" x14ac:dyDescent="0.75">
      <c r="E80" s="109" t="str">
        <f>'RelAftFlt-3'!D86</f>
        <v>* differential.element[6].type.code = #string</v>
      </c>
    </row>
    <row r="81" spans="5:5" x14ac:dyDescent="0.75">
      <c r="E81" s="109" t="str">
        <f>'RelAftFlt-3'!D88</f>
        <v/>
      </c>
    </row>
    <row r="82" spans="5:5" x14ac:dyDescent="0.75">
      <c r="E82" s="109" t="str">
        <f>'RelAftFlt-3'!D115</f>
        <v/>
      </c>
    </row>
    <row r="83" spans="5:5" x14ac:dyDescent="0.75">
      <c r="E83" s="109" t="str">
        <f>'RelAftFlt-3'!D124</f>
        <v/>
      </c>
    </row>
    <row r="84" spans="5:5" x14ac:dyDescent="0.75">
      <c r="E84" s="109" t="str">
        <f>'RelAftFlt-3'!D133</f>
        <v/>
      </c>
    </row>
    <row r="85" spans="5:5" x14ac:dyDescent="0.75">
      <c r="E85" s="109" t="str">
        <f>'RelAftFlt-3'!D142</f>
        <v/>
      </c>
    </row>
    <row r="86" spans="5:5" x14ac:dyDescent="0.75">
      <c r="E86" s="109" t="str">
        <f>'RelAftFlt-3'!D151</f>
        <v/>
      </c>
    </row>
    <row r="87" spans="5:5" x14ac:dyDescent="0.75">
      <c r="E87" s="109" t="str">
        <f>'RelAftFlt-3'!D160</f>
        <v/>
      </c>
    </row>
    <row r="88" spans="5:5" x14ac:dyDescent="0.75">
      <c r="E88" s="109" t="str">
        <f>'RelAftFlt-3'!D169</f>
        <v/>
      </c>
    </row>
    <row r="89" spans="5:5" x14ac:dyDescent="0.75">
      <c r="E89" s="109" t="str">
        <f>'RelAftFlt-3'!D178</f>
        <v/>
      </c>
    </row>
    <row r="90" spans="5:5" x14ac:dyDescent="0.75">
      <c r="E90" s="109" t="str">
        <f>'RelAftFlt-3'!D187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1051</v>
      </c>
      <c r="E2" s="25"/>
      <c r="F2" s="25"/>
      <c r="G2" s="25"/>
    </row>
    <row r="3" spans="1:9" x14ac:dyDescent="0.75">
      <c r="B3" s="118" t="s">
        <v>34</v>
      </c>
      <c r="C3" s="107" t="s">
        <v>36</v>
      </c>
      <c r="D3" s="56"/>
      <c r="E3" s="25"/>
      <c r="F3" s="25"/>
      <c r="G3" s="25"/>
    </row>
    <row r="4" spans="1:9" ht="15.5" thickBot="1" x14ac:dyDescent="0.9">
      <c r="B4" s="119" t="s">
        <v>52</v>
      </c>
      <c r="C4" s="16" t="s">
        <v>1028</v>
      </c>
      <c r="D4" s="57"/>
      <c r="E4" s="25"/>
      <c r="F4" s="25"/>
      <c r="G4" s="25"/>
    </row>
    <row r="5" spans="1:9" x14ac:dyDescent="0.75">
      <c r="C5" s="3" t="s">
        <v>7</v>
      </c>
      <c r="D5" s="4" t="s">
        <v>8</v>
      </c>
      <c r="E5" s="11" t="s">
        <v>17</v>
      </c>
      <c r="F5" s="11" t="s">
        <v>18</v>
      </c>
      <c r="G5" s="11" t="s">
        <v>19</v>
      </c>
    </row>
    <row r="6" spans="1:9" x14ac:dyDescent="0.75">
      <c r="A6">
        <v>0</v>
      </c>
      <c r="B6" s="16" t="s">
        <v>1028</v>
      </c>
      <c r="C6" s="16"/>
      <c r="D6" s="122"/>
      <c r="E6" s="34">
        <v>1</v>
      </c>
      <c r="F6" s="34">
        <v>1</v>
      </c>
      <c r="G6" s="34" t="s">
        <v>21</v>
      </c>
      <c r="I6" s="25"/>
    </row>
    <row r="7" spans="1:9" x14ac:dyDescent="0.75">
      <c r="A7" s="109">
        <v>1</v>
      </c>
      <c r="B7" s="111" t="s">
        <v>35</v>
      </c>
      <c r="C7" s="154" t="s">
        <v>1029</v>
      </c>
      <c r="D7" s="111" t="s">
        <v>807</v>
      </c>
      <c r="E7" s="111">
        <v>0</v>
      </c>
      <c r="F7" s="111">
        <v>1</v>
      </c>
      <c r="G7" s="111" t="s">
        <v>0</v>
      </c>
    </row>
    <row r="8" spans="1:9" x14ac:dyDescent="0.75">
      <c r="A8" s="109">
        <v>2</v>
      </c>
      <c r="B8" s="111" t="s">
        <v>895</v>
      </c>
      <c r="C8" s="111" t="s">
        <v>128</v>
      </c>
      <c r="D8" s="111" t="s">
        <v>128</v>
      </c>
      <c r="E8" s="111">
        <v>0</v>
      </c>
      <c r="F8" s="111">
        <v>1</v>
      </c>
      <c r="G8" s="111" t="s">
        <v>0</v>
      </c>
    </row>
    <row r="9" spans="1:9" s="109" customFormat="1" x14ac:dyDescent="0.75">
      <c r="A9" s="109">
        <v>3</v>
      </c>
      <c r="B9" s="111" t="s">
        <v>896</v>
      </c>
      <c r="C9" s="111" t="s">
        <v>281</v>
      </c>
      <c r="D9" s="111" t="s">
        <v>281</v>
      </c>
      <c r="E9" s="111">
        <v>0</v>
      </c>
      <c r="F9" s="111">
        <v>1</v>
      </c>
      <c r="G9" s="111" t="s">
        <v>0</v>
      </c>
    </row>
    <row r="10" spans="1:9" s="109" customFormat="1" ht="59" x14ac:dyDescent="0.75">
      <c r="A10" s="109">
        <v>4</v>
      </c>
      <c r="B10" s="112" t="s">
        <v>1030</v>
      </c>
      <c r="C10" s="111" t="s">
        <v>1048</v>
      </c>
      <c r="D10" s="112" t="s">
        <v>812</v>
      </c>
      <c r="E10" s="111">
        <v>0</v>
      </c>
      <c r="F10" s="111" t="s">
        <v>20</v>
      </c>
      <c r="G10" s="111" t="s">
        <v>5</v>
      </c>
    </row>
    <row r="11" spans="1:9" s="109" customFormat="1" x14ac:dyDescent="0.75">
      <c r="A11" s="109">
        <v>5</v>
      </c>
      <c r="B11" s="112" t="s">
        <v>1053</v>
      </c>
      <c r="C11" s="111" t="s">
        <v>1054</v>
      </c>
      <c r="D11" s="111" t="s">
        <v>1054</v>
      </c>
      <c r="E11" s="111">
        <v>0</v>
      </c>
      <c r="F11" s="111">
        <v>1</v>
      </c>
      <c r="G11" s="111" t="s">
        <v>3</v>
      </c>
    </row>
    <row r="12" spans="1:9" x14ac:dyDescent="0.75">
      <c r="A12" s="109">
        <v>6</v>
      </c>
      <c r="B12" s="112" t="s">
        <v>1031</v>
      </c>
      <c r="C12" s="111" t="s">
        <v>1033</v>
      </c>
      <c r="D12" s="112" t="s">
        <v>1036</v>
      </c>
      <c r="E12" s="111">
        <v>0</v>
      </c>
      <c r="F12" s="111">
        <v>1</v>
      </c>
      <c r="G12" s="111" t="s">
        <v>3</v>
      </c>
      <c r="H12" s="2"/>
      <c r="I12" s="25"/>
    </row>
    <row r="13" spans="1:9" s="25" customFormat="1" x14ac:dyDescent="0.75">
      <c r="A13" s="109">
        <v>7</v>
      </c>
      <c r="B13" s="112" t="s">
        <v>1037</v>
      </c>
      <c r="C13" s="111" t="s">
        <v>1038</v>
      </c>
      <c r="D13" s="111" t="s">
        <v>1039</v>
      </c>
      <c r="E13" s="111">
        <v>0</v>
      </c>
      <c r="F13" s="111">
        <v>1</v>
      </c>
      <c r="G13" s="111" t="s">
        <v>1043</v>
      </c>
      <c r="H13" s="21"/>
    </row>
    <row r="14" spans="1:9" s="109" customFormat="1" x14ac:dyDescent="0.75">
      <c r="A14" s="109">
        <v>8</v>
      </c>
      <c r="B14" s="112" t="s">
        <v>1032</v>
      </c>
      <c r="C14" s="111" t="s">
        <v>1035</v>
      </c>
      <c r="D14" s="111" t="s">
        <v>1040</v>
      </c>
      <c r="E14" s="111">
        <v>0</v>
      </c>
      <c r="F14" s="111">
        <v>1</v>
      </c>
      <c r="G14" s="111" t="s">
        <v>1034</v>
      </c>
      <c r="H14" s="114"/>
    </row>
    <row r="15" spans="1:9" s="25" customFormat="1" ht="29.5" x14ac:dyDescent="0.75">
      <c r="A15" s="109">
        <v>9</v>
      </c>
      <c r="B15" s="112" t="s">
        <v>1041</v>
      </c>
      <c r="C15" s="111" t="s">
        <v>1049</v>
      </c>
      <c r="D15" s="112" t="s">
        <v>815</v>
      </c>
      <c r="E15" s="111">
        <v>0</v>
      </c>
      <c r="F15" s="111">
        <v>1</v>
      </c>
      <c r="G15" s="111" t="s">
        <v>2</v>
      </c>
      <c r="H15" s="21"/>
    </row>
    <row r="16" spans="1:9" s="109" customFormat="1" x14ac:dyDescent="0.75">
      <c r="B16" s="112" t="s">
        <v>1042</v>
      </c>
      <c r="C16" s="111" t="s">
        <v>1050</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9" t="s">
        <v>1057</v>
      </c>
      <c r="C24" s="170"/>
      <c r="D24" s="171"/>
      <c r="E24" s="111"/>
      <c r="F24" s="111"/>
      <c r="G24" s="113"/>
      <c r="H24" s="114"/>
    </row>
    <row r="25" spans="1:8" s="109" customFormat="1" x14ac:dyDescent="0.75">
      <c r="B25" s="172"/>
      <c r="C25" s="173"/>
      <c r="D25" s="174"/>
      <c r="E25" s="111"/>
      <c r="F25" s="111"/>
      <c r="G25" s="113"/>
      <c r="H25" s="114"/>
    </row>
    <row r="26" spans="1:8" s="109" customFormat="1" x14ac:dyDescent="0.75">
      <c r="B26" s="172"/>
      <c r="C26" s="173"/>
      <c r="D26" s="174"/>
      <c r="E26" s="111"/>
      <c r="F26" s="111"/>
      <c r="G26" s="113"/>
      <c r="H26" s="114"/>
    </row>
    <row r="27" spans="1:8" s="109" customFormat="1" x14ac:dyDescent="0.75">
      <c r="B27" s="172"/>
      <c r="C27" s="173"/>
      <c r="D27" s="174"/>
      <c r="E27" s="111"/>
      <c r="F27" s="111"/>
      <c r="G27" s="113"/>
      <c r="H27" s="114"/>
    </row>
    <row r="28" spans="1:8" x14ac:dyDescent="0.75">
      <c r="A28" s="109"/>
      <c r="B28" s="175"/>
      <c r="C28" s="176"/>
      <c r="D28" s="177"/>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1006</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1006</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1006</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1006</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1006</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1006</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1006</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1006</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1006</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1006</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1006</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B11" sqref="B11"/>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1047</v>
      </c>
      <c r="D2" s="122" t="s">
        <v>1058</v>
      </c>
    </row>
    <row r="3" spans="1:9" x14ac:dyDescent="0.75">
      <c r="B3" s="118" t="s">
        <v>34</v>
      </c>
      <c r="C3" s="123" t="s">
        <v>36</v>
      </c>
      <c r="D3" s="56"/>
    </row>
    <row r="4" spans="1:9" ht="15.5" thickBot="1" x14ac:dyDescent="0.9">
      <c r="B4" s="119" t="s">
        <v>52</v>
      </c>
      <c r="C4" s="124" t="s">
        <v>1044</v>
      </c>
      <c r="D4" s="57"/>
    </row>
    <row r="5" spans="1:9" x14ac:dyDescent="0.75">
      <c r="C5" s="3" t="s">
        <v>7</v>
      </c>
      <c r="D5" s="4" t="s">
        <v>8</v>
      </c>
      <c r="E5" s="11" t="s">
        <v>17</v>
      </c>
      <c r="F5" s="11" t="s">
        <v>18</v>
      </c>
      <c r="G5" s="11" t="s">
        <v>19</v>
      </c>
      <c r="H5" s="178" t="s">
        <v>888</v>
      </c>
      <c r="I5" s="178"/>
    </row>
    <row r="6" spans="1:9" ht="15.5" thickBot="1" x14ac:dyDescent="0.9">
      <c r="A6" s="109">
        <v>0</v>
      </c>
      <c r="B6" s="124" t="s">
        <v>1044</v>
      </c>
      <c r="C6" s="16" t="s">
        <v>1045</v>
      </c>
      <c r="D6" s="16" t="s">
        <v>1045</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895</v>
      </c>
      <c r="C8" s="112" t="s">
        <v>128</v>
      </c>
      <c r="D8" s="122" t="s">
        <v>705</v>
      </c>
      <c r="E8" s="111">
        <v>0</v>
      </c>
      <c r="F8" s="111">
        <v>1</v>
      </c>
      <c r="G8" s="111" t="s">
        <v>0</v>
      </c>
      <c r="H8" s="111"/>
      <c r="I8" s="111"/>
    </row>
    <row r="9" spans="1:9" ht="29.5" x14ac:dyDescent="0.75">
      <c r="A9" s="109">
        <v>3</v>
      </c>
      <c r="B9" s="111" t="s">
        <v>4</v>
      </c>
      <c r="C9" s="112" t="s">
        <v>1056</v>
      </c>
      <c r="D9" s="112" t="s">
        <v>824</v>
      </c>
      <c r="E9" s="111">
        <v>0</v>
      </c>
      <c r="F9" s="111">
        <v>1</v>
      </c>
      <c r="G9" s="111" t="s">
        <v>4</v>
      </c>
      <c r="H9" s="67"/>
      <c r="I9" s="111"/>
    </row>
    <row r="10" spans="1:9" ht="103.25" x14ac:dyDescent="0.75">
      <c r="A10" s="109">
        <v>4</v>
      </c>
      <c r="B10" s="111" t="s">
        <v>1149</v>
      </c>
      <c r="C10" s="112" t="s">
        <v>1023</v>
      </c>
      <c r="D10" s="112" t="s">
        <v>1046</v>
      </c>
      <c r="E10" s="111">
        <v>0</v>
      </c>
      <c r="F10" s="111">
        <v>1</v>
      </c>
      <c r="G10" s="111" t="s">
        <v>1</v>
      </c>
      <c r="H10" s="67"/>
      <c r="I10" s="111"/>
    </row>
    <row r="11" spans="1:9" ht="29.5" x14ac:dyDescent="0.75">
      <c r="A11" s="109">
        <v>5</v>
      </c>
      <c r="B11" s="111" t="s">
        <v>47</v>
      </c>
      <c r="C11" s="112" t="s">
        <v>1022</v>
      </c>
      <c r="D11" s="112" t="s">
        <v>826</v>
      </c>
      <c r="E11" s="111">
        <v>0</v>
      </c>
      <c r="F11" s="111">
        <v>1</v>
      </c>
      <c r="G11" s="111" t="s">
        <v>1</v>
      </c>
      <c r="H11" s="67"/>
      <c r="I11" s="111"/>
    </row>
    <row r="12" spans="1:9" ht="29.5" x14ac:dyDescent="0.75">
      <c r="A12" s="109">
        <v>6</v>
      </c>
      <c r="B12" s="111" t="s">
        <v>1024</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"RelapseAfterFLT.relapseOrProgression"</v>
      </c>
      <c r="C5" s="112" t="str">
        <f>CONCATENATE("* differential.element[",'RelAftFlt-1'!$A10,"].path = """,'RelAftFlt-1'!$B$6,".",'RelAftFlt-1'!B10,"""")</f>
        <v>* differential.element[4].path = "RelapseAfterFLT.relapseOrProgression"</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"RelapseAfterFLT.type"</v>
      </c>
      <c r="C6" s="112" t="str">
        <f>CONCATENATE("* differential.element[",'RelAftFlt-1'!$A11,"].path = """,'RelAftFlt-1'!$B$6,".",'RelAftFlt-1'!B11,"""")</f>
        <v>* differential.element[5].path = "RelapseAfterFLT.type"</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889</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"RelapseAfterFLT.relapseOrProgression"</v>
      </c>
    </row>
    <row r="63" spans="1:4" x14ac:dyDescent="0.75">
      <c r="A63" s="111">
        <v>29</v>
      </c>
      <c r="B63" s="111">
        <f t="shared" si="2"/>
        <v>3</v>
      </c>
      <c r="C63" s="111">
        <f t="shared" si="3"/>
        <v>2</v>
      </c>
      <c r="D63" s="112" t="str" cm="1">
        <f t="array" ref="D63">INDEX('RelAftFlt-2'!$B$2:$J$100,1+B63,C63)</f>
        <v>* differential.element[4].path = "RelapseAfterFLT.relapseOrProgression"</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"RelapseAfterFLT.type"</v>
      </c>
    </row>
    <row r="72" spans="1:4" x14ac:dyDescent="0.75">
      <c r="A72" s="111">
        <v>38</v>
      </c>
      <c r="B72" s="111">
        <f t="shared" si="2"/>
        <v>4</v>
      </c>
      <c r="C72" s="111">
        <f t="shared" si="3"/>
        <v>2</v>
      </c>
      <c r="D72" s="112" t="str" cm="1">
        <f t="array" ref="D72">INDEX('RelAftFlt-2'!$B$2:$J$100,1+B72,C72)</f>
        <v>* differential.element[5].path = "RelapseAfterFLT.type"</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1" sqref="D11"/>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1055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905</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1025</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1026</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relapseOrProgression</v>
      </c>
      <c r="D11" s="112" t="s">
        <v>1059</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relapseOrProgression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type</v>
      </c>
      <c r="D12" s="112" t="s">
        <v>1148</v>
      </c>
      <c r="G12" s="109" t="b">
        <f t="shared" si="0"/>
        <v>1</v>
      </c>
      <c r="H12" s="110" t="str">
        <f t="shared" si="1"/>
        <v>* differential.element[5].mapping[0].identity = "fhir"</v>
      </c>
      <c r="I12" s="110" t="str">
        <f t="shared" si="2"/>
        <v>* differential.element[5].mapping[0].map = ".extension('http://hl7.eu/fhir/ig/pcsp/StructureDefinition/condition-relapseType').valueCodeableConcept"</v>
      </c>
      <c r="J12" s="110" t="str">
        <f t="shared" si="3"/>
        <v/>
      </c>
      <c r="M12" s="109" t="str">
        <f t="shared" si="4"/>
        <v>* type -&gt; ".extension('http://hl7.eu/fhir/ig/pcsp/StructureDefinition/condition-relapseType').valueCodeableConcept"</v>
      </c>
    </row>
    <row r="13" spans="1:13" ht="29.5" x14ac:dyDescent="0.75">
      <c r="A13" s="111">
        <v>0</v>
      </c>
      <c r="B13" s="111">
        <f>'RelAftFlt-1'!A12</f>
        <v>6</v>
      </c>
      <c r="C13" s="113" t="str">
        <f>'RelAftFlt-1'!B12</f>
        <v>site</v>
      </c>
      <c r="D13" s="112" t="s">
        <v>907</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".bodySite"</v>
      </c>
      <c r="J13" s="110" t="str">
        <f t="shared" ref="J13:J16" si="8">IF(E13&gt;"",CONCATENATE("* differential.element[",$B13,"].mapping[",$A13,"].comment = """,E13,""""),"")</f>
        <v/>
      </c>
    </row>
    <row r="14" spans="1:13" ht="59" x14ac:dyDescent="0.75">
      <c r="A14" s="111"/>
      <c r="B14" s="111"/>
      <c r="C14" s="113"/>
      <c r="D14" s="111"/>
      <c r="G14" s="109" t="b">
        <f t="shared" si="5"/>
        <v>0</v>
      </c>
      <c r="H14" s="110" t="str">
        <f t="shared" si="6"/>
        <v/>
      </c>
      <c r="I14" s="110" t="str">
        <f t="shared" si="7"/>
        <v/>
      </c>
      <c r="J14" s="110" t="str">
        <f t="shared" si="8"/>
        <v/>
      </c>
      <c r="M14" s="109" t="str">
        <f t="shared" si="4"/>
        <v>*  -&gt; ""</v>
      </c>
    </row>
    <row r="15" spans="1:13" ht="59"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ht="59"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910</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906</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911</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907</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909</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908</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".extension('http://hl7.eu/fhir/ig/pcsp/StructureDefinition/condition-relapseType').valueCodeableConcept"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relapseOrProgression</v>
      </c>
      <c r="D11" s="113"/>
      <c r="H11" s="109" t="b">
        <f t="shared" si="0"/>
        <v>0</v>
      </c>
      <c r="I11" s="110" t="str">
        <f t="shared" si="1"/>
        <v/>
      </c>
      <c r="J11" s="110" t="str">
        <f t="shared" si="2"/>
        <v/>
      </c>
      <c r="K11" s="110" t="str">
        <f t="shared" si="4"/>
        <v/>
      </c>
      <c r="M11" s="44"/>
      <c r="N11" s="109" t="str">
        <f t="shared" si="3"/>
        <v>* relapseOrProgression -&gt; ""</v>
      </c>
    </row>
    <row r="12" spans="1:14" x14ac:dyDescent="0.75">
      <c r="A12" s="111">
        <v>0</v>
      </c>
      <c r="B12" s="111">
        <f>'RelAftFlt-1'!A11</f>
        <v>5</v>
      </c>
      <c r="C12" s="24" t="str">
        <f>'RelAftFlt-1'!B11</f>
        <v>type</v>
      </c>
      <c r="D12" s="113"/>
      <c r="H12" s="109" t="b">
        <f t="shared" si="0"/>
        <v>0</v>
      </c>
      <c r="I12" s="110" t="str">
        <f t="shared" si="1"/>
        <v/>
      </c>
      <c r="J12" s="110" t="str">
        <f t="shared" si="2"/>
        <v/>
      </c>
      <c r="K12" s="110" t="str">
        <f t="shared" si="4"/>
        <v/>
      </c>
      <c r="M12" s="44"/>
      <c r="N12" s="109" t="str">
        <f t="shared" si="3"/>
        <v>* type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".extension('http://hl7.eu/fhir/ig/pcsp/StructureDefinition/condition-relapseType').valueCodeableConcept"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1060</v>
      </c>
      <c r="D2" s="153" t="s">
        <v>1061</v>
      </c>
    </row>
    <row r="3" spans="1:9" x14ac:dyDescent="0.75">
      <c r="B3" s="20" t="s">
        <v>34</v>
      </c>
      <c r="D3" s="134"/>
    </row>
    <row r="4" spans="1:9" ht="15.5" thickBot="1" x14ac:dyDescent="0.9">
      <c r="B4" s="22" t="s">
        <v>52</v>
      </c>
      <c r="C4" s="23" t="s">
        <v>1083</v>
      </c>
      <c r="D4" s="135"/>
    </row>
    <row r="5" spans="1:9" x14ac:dyDescent="0.75">
      <c r="C5" s="51" t="s">
        <v>7</v>
      </c>
      <c r="D5" s="4" t="s">
        <v>8</v>
      </c>
      <c r="E5" s="11" t="s">
        <v>17</v>
      </c>
      <c r="F5" s="11" t="s">
        <v>18</v>
      </c>
      <c r="G5" s="11" t="s">
        <v>19</v>
      </c>
    </row>
    <row r="6" spans="1:9" ht="15.5" thickBot="1" x14ac:dyDescent="0.9">
      <c r="A6" s="109">
        <v>0</v>
      </c>
      <c r="B6" s="23" t="s">
        <v>1083</v>
      </c>
      <c r="C6" s="33" t="s">
        <v>1060</v>
      </c>
      <c r="D6" s="33" t="s">
        <v>1060</v>
      </c>
      <c r="E6" s="34">
        <v>1</v>
      </c>
      <c r="F6" s="34">
        <v>1</v>
      </c>
      <c r="G6" s="34" t="s">
        <v>21</v>
      </c>
      <c r="I6" s="111" t="str">
        <f>TRIM(C6)</f>
        <v>Metadata FSE Italy</v>
      </c>
    </row>
    <row r="7" spans="1:9" x14ac:dyDescent="0.75">
      <c r="A7" s="111">
        <v>1</v>
      </c>
      <c r="B7" s="111" t="s">
        <v>35</v>
      </c>
      <c r="C7" s="111" t="s">
        <v>1092</v>
      </c>
      <c r="D7" s="155" t="s">
        <v>1062</v>
      </c>
      <c r="E7" s="111">
        <v>0</v>
      </c>
      <c r="F7" s="111">
        <v>1</v>
      </c>
      <c r="G7" s="111" t="s">
        <v>0</v>
      </c>
      <c r="H7" s="111"/>
      <c r="I7" s="111" t="str">
        <f t="shared" ref="I7:I31" si="0">TRIM(C7)</f>
        <v>document ID</v>
      </c>
    </row>
    <row r="8" spans="1:9" x14ac:dyDescent="0.75">
      <c r="A8" s="111">
        <v>2</v>
      </c>
      <c r="B8" s="111" t="s">
        <v>1084</v>
      </c>
      <c r="C8" s="111" t="s">
        <v>1093</v>
      </c>
      <c r="D8" s="155" t="s">
        <v>1071</v>
      </c>
      <c r="E8" s="111">
        <v>0</v>
      </c>
      <c r="F8" s="111">
        <v>1</v>
      </c>
      <c r="G8" s="111" t="s">
        <v>1088</v>
      </c>
      <c r="H8" s="111"/>
      <c r="I8" s="111" t="str">
        <f t="shared" si="0"/>
        <v>MIME type</v>
      </c>
    </row>
    <row r="9" spans="1:9" x14ac:dyDescent="0.75">
      <c r="A9" s="111">
        <v>3</v>
      </c>
      <c r="B9" s="111" t="s">
        <v>1085</v>
      </c>
      <c r="C9" s="111" t="s">
        <v>1085</v>
      </c>
      <c r="D9" s="155" t="s">
        <v>1081</v>
      </c>
      <c r="E9" s="111">
        <v>0</v>
      </c>
      <c r="F9" s="111">
        <v>1</v>
      </c>
      <c r="G9" s="111" t="s">
        <v>1134</v>
      </c>
      <c r="H9" s="111"/>
      <c r="I9" s="111" t="str">
        <f t="shared" si="0"/>
        <v>size</v>
      </c>
    </row>
    <row r="10" spans="1:9" x14ac:dyDescent="0.75">
      <c r="A10" s="111">
        <v>4</v>
      </c>
      <c r="B10" s="111" t="s">
        <v>1087</v>
      </c>
      <c r="C10" s="111" t="s">
        <v>1087</v>
      </c>
      <c r="D10" s="155" t="s">
        <v>1082</v>
      </c>
      <c r="E10" s="111">
        <v>0</v>
      </c>
      <c r="F10" s="111">
        <v>1</v>
      </c>
      <c r="G10" s="111" t="s">
        <v>1133</v>
      </c>
      <c r="H10" s="111"/>
      <c r="I10" s="111" t="str">
        <f t="shared" si="0"/>
        <v>hash</v>
      </c>
    </row>
    <row r="11" spans="1:9" x14ac:dyDescent="0.75">
      <c r="A11" s="111">
        <v>5</v>
      </c>
      <c r="B11" s="111" t="s">
        <v>1088</v>
      </c>
      <c r="C11" s="111" t="s">
        <v>1094</v>
      </c>
      <c r="D11" s="155" t="s">
        <v>1072</v>
      </c>
      <c r="E11" s="111">
        <v>0</v>
      </c>
      <c r="F11" s="111">
        <v>1</v>
      </c>
      <c r="G11" s="111" t="s">
        <v>1</v>
      </c>
      <c r="H11" s="111"/>
      <c r="I11" s="111" t="str">
        <f t="shared" si="0"/>
        <v>document code</v>
      </c>
    </row>
    <row r="12" spans="1:9" x14ac:dyDescent="0.75">
      <c r="A12" s="111">
        <v>6</v>
      </c>
      <c r="B12" s="111" t="s">
        <v>1095</v>
      </c>
      <c r="C12" s="111" t="s">
        <v>1097</v>
      </c>
      <c r="D12" s="155" t="s">
        <v>1073</v>
      </c>
      <c r="E12" s="111">
        <v>0</v>
      </c>
      <c r="F12" s="111">
        <v>1</v>
      </c>
      <c r="G12" s="111" t="s">
        <v>1</v>
      </c>
      <c r="H12" s="111"/>
      <c r="I12" s="111" t="str">
        <f t="shared" si="0"/>
        <v>Type of document</v>
      </c>
    </row>
    <row r="13" spans="1:9" x14ac:dyDescent="0.75">
      <c r="A13" s="111">
        <v>7</v>
      </c>
      <c r="B13" s="150" t="s">
        <v>1113</v>
      </c>
      <c r="C13" s="150" t="s">
        <v>1114</v>
      </c>
      <c r="D13" s="155" t="s">
        <v>1080</v>
      </c>
      <c r="E13" s="111">
        <v>0</v>
      </c>
      <c r="F13" s="111">
        <v>1</v>
      </c>
      <c r="G13" s="111" t="s">
        <v>1</v>
      </c>
      <c r="H13" s="111"/>
      <c r="I13" s="111" t="str">
        <f t="shared" si="0"/>
        <v>Content Type</v>
      </c>
    </row>
    <row r="14" spans="1:9" x14ac:dyDescent="0.75">
      <c r="A14" s="111">
        <v>8</v>
      </c>
      <c r="B14" s="111" t="s">
        <v>1089</v>
      </c>
      <c r="C14" s="111" t="s">
        <v>1100</v>
      </c>
      <c r="D14" s="155" t="s">
        <v>1069</v>
      </c>
      <c r="E14" s="111">
        <v>0</v>
      </c>
      <c r="F14" s="111">
        <v>1</v>
      </c>
      <c r="G14" s="111" t="s">
        <v>2</v>
      </c>
      <c r="H14" s="111"/>
      <c r="I14" s="111" t="str">
        <f t="shared" si="0"/>
        <v>creation date</v>
      </c>
    </row>
    <row r="15" spans="1:9" x14ac:dyDescent="0.75">
      <c r="A15" s="111">
        <v>9</v>
      </c>
      <c r="B15" s="111" t="s">
        <v>1090</v>
      </c>
      <c r="C15" s="111" t="s">
        <v>1090</v>
      </c>
      <c r="D15" s="155" t="s">
        <v>1077</v>
      </c>
      <c r="E15" s="111">
        <v>0</v>
      </c>
      <c r="F15" s="111">
        <v>1</v>
      </c>
      <c r="G15" s="111" t="s">
        <v>1</v>
      </c>
      <c r="H15" s="111"/>
      <c r="I15" s="111" t="str">
        <f t="shared" si="0"/>
        <v>confidentiality</v>
      </c>
    </row>
    <row r="16" spans="1:9" x14ac:dyDescent="0.75">
      <c r="A16" s="111">
        <v>10</v>
      </c>
      <c r="B16" s="111" t="s">
        <v>1091</v>
      </c>
      <c r="C16" s="111" t="s">
        <v>1101</v>
      </c>
      <c r="D16" s="155" t="s">
        <v>1078</v>
      </c>
      <c r="E16" s="111">
        <v>0</v>
      </c>
      <c r="F16" s="111">
        <v>1</v>
      </c>
      <c r="G16" s="111" t="s">
        <v>1</v>
      </c>
      <c r="H16" s="111"/>
      <c r="I16" s="111" t="str">
        <f t="shared" si="0"/>
        <v>mask (oscuramento)</v>
      </c>
    </row>
    <row r="17" spans="1:9" x14ac:dyDescent="0.75">
      <c r="A17" s="111">
        <v>11</v>
      </c>
      <c r="B17" s="111" t="s">
        <v>1086</v>
      </c>
      <c r="C17" s="111" t="s">
        <v>1099</v>
      </c>
      <c r="D17" s="155" t="s">
        <v>1070</v>
      </c>
      <c r="E17" s="111">
        <v>0</v>
      </c>
      <c r="F17" s="111">
        <v>1</v>
      </c>
      <c r="G17" s="111" t="s">
        <v>0</v>
      </c>
      <c r="H17" s="111"/>
      <c r="I17" s="111" t="str">
        <f t="shared" si="0"/>
        <v>replaced document</v>
      </c>
    </row>
    <row r="18" spans="1:9" x14ac:dyDescent="0.75">
      <c r="A18" s="111">
        <v>12</v>
      </c>
      <c r="B18" s="111" t="s">
        <v>1096</v>
      </c>
      <c r="C18" s="112" t="s">
        <v>1098</v>
      </c>
      <c r="D18" s="155" t="s">
        <v>1074</v>
      </c>
      <c r="E18" s="111">
        <v>0</v>
      </c>
      <c r="F18" s="111">
        <v>1</v>
      </c>
      <c r="G18" s="111" t="s">
        <v>1</v>
      </c>
      <c r="H18" s="111"/>
      <c r="I18" s="111" t="str">
        <f t="shared" si="0"/>
        <v>Format of document</v>
      </c>
    </row>
    <row r="19" spans="1:9" x14ac:dyDescent="0.75">
      <c r="A19" s="111">
        <v>13</v>
      </c>
      <c r="B19" s="111" t="s">
        <v>1102</v>
      </c>
      <c r="C19" s="111" t="s">
        <v>1111</v>
      </c>
      <c r="D19" s="155" t="s">
        <v>1075</v>
      </c>
      <c r="E19" s="111">
        <v>0</v>
      </c>
      <c r="F19" s="111">
        <v>1</v>
      </c>
      <c r="G19" s="111" t="s">
        <v>0</v>
      </c>
      <c r="H19" s="111"/>
      <c r="I19" s="111" t="str">
        <f t="shared" si="0"/>
        <v>Repository Id</v>
      </c>
    </row>
    <row r="20" spans="1:9" x14ac:dyDescent="0.75">
      <c r="A20" s="111">
        <v>14</v>
      </c>
      <c r="B20" s="150" t="s">
        <v>1115</v>
      </c>
      <c r="C20" s="150" t="s">
        <v>1116</v>
      </c>
      <c r="D20" s="155" t="s">
        <v>1079</v>
      </c>
      <c r="E20" s="111">
        <v>0</v>
      </c>
      <c r="F20" s="111">
        <v>1</v>
      </c>
      <c r="G20" s="111" t="s">
        <v>2</v>
      </c>
      <c r="I20" s="111" t="str">
        <f t="shared" si="0"/>
        <v>Index Date</v>
      </c>
    </row>
    <row r="21" spans="1:9" x14ac:dyDescent="0.75">
      <c r="A21" s="111">
        <v>15</v>
      </c>
      <c r="B21" s="150" t="s">
        <v>1117</v>
      </c>
      <c r="C21" s="155" t="s">
        <v>1118</v>
      </c>
      <c r="D21" s="155" t="s">
        <v>1076</v>
      </c>
      <c r="E21" s="111">
        <v>0</v>
      </c>
      <c r="F21" s="111">
        <v>1</v>
      </c>
      <c r="G21" s="111" t="s">
        <v>1</v>
      </c>
      <c r="I21" s="111" t="str">
        <f t="shared" si="0"/>
        <v>Practice setting code</v>
      </c>
    </row>
    <row r="22" spans="1:9" x14ac:dyDescent="0.75">
      <c r="A22" s="111">
        <v>16</v>
      </c>
      <c r="B22" s="111" t="s">
        <v>1119</v>
      </c>
      <c r="C22" s="111" t="s">
        <v>1103</v>
      </c>
      <c r="D22" s="155" t="s">
        <v>1063</v>
      </c>
      <c r="E22" s="111">
        <v>0</v>
      </c>
      <c r="F22" s="111">
        <v>1</v>
      </c>
      <c r="G22" s="111" t="s">
        <v>0</v>
      </c>
      <c r="I22" s="111" t="str">
        <f t="shared" si="0"/>
        <v>Patient Fiscal Code</v>
      </c>
    </row>
    <row r="23" spans="1:9" x14ac:dyDescent="0.75">
      <c r="A23" s="111">
        <v>17</v>
      </c>
      <c r="B23" s="150" t="s">
        <v>1105</v>
      </c>
      <c r="C23" s="150" t="s">
        <v>1110</v>
      </c>
      <c r="D23" s="110" t="s">
        <v>1110</v>
      </c>
      <c r="E23" s="111">
        <v>0</v>
      </c>
      <c r="F23" s="111">
        <v>1</v>
      </c>
      <c r="G23" s="111" t="s">
        <v>5</v>
      </c>
      <c r="I23" s="111" t="str">
        <f t="shared" si="0"/>
        <v>Author</v>
      </c>
    </row>
    <row r="24" spans="1:9" x14ac:dyDescent="0.75">
      <c r="A24" s="111">
        <v>18</v>
      </c>
      <c r="B24" s="111" t="s">
        <v>1106</v>
      </c>
      <c r="C24" s="111" t="s">
        <v>1104</v>
      </c>
      <c r="D24" s="155" t="s">
        <v>1064</v>
      </c>
      <c r="E24" s="111">
        <v>0</v>
      </c>
      <c r="F24" s="111">
        <v>1</v>
      </c>
      <c r="G24" s="111" t="s">
        <v>0</v>
      </c>
      <c r="I24" s="111" t="str">
        <f t="shared" si="0"/>
        <v>Author Fiscal Code</v>
      </c>
    </row>
    <row r="25" spans="1:9" x14ac:dyDescent="0.75">
      <c r="A25" s="111">
        <v>19</v>
      </c>
      <c r="B25" s="111" t="s">
        <v>1108</v>
      </c>
      <c r="C25" s="111" t="s">
        <v>1109</v>
      </c>
      <c r="D25" s="155" t="s">
        <v>1065</v>
      </c>
      <c r="E25" s="111">
        <v>0</v>
      </c>
      <c r="F25" s="111">
        <v>1</v>
      </c>
      <c r="G25" s="111" t="s">
        <v>1</v>
      </c>
      <c r="I25" s="111" t="str">
        <f t="shared" si="0"/>
        <v>Author Organization (code)</v>
      </c>
    </row>
    <row r="26" spans="1:9" x14ac:dyDescent="0.75">
      <c r="A26" s="111">
        <v>20</v>
      </c>
      <c r="B26" s="111" t="s">
        <v>1107</v>
      </c>
      <c r="C26" s="111" t="s">
        <v>1112</v>
      </c>
      <c r="D26" s="155" t="s">
        <v>1066</v>
      </c>
      <c r="E26" s="111">
        <v>0</v>
      </c>
      <c r="F26" s="111">
        <v>1</v>
      </c>
      <c r="G26" s="111" t="s">
        <v>1</v>
      </c>
      <c r="I26" s="111" t="str">
        <f t="shared" si="0"/>
        <v>Author Role (code)</v>
      </c>
    </row>
    <row r="27" spans="1:9" x14ac:dyDescent="0.75">
      <c r="A27" s="111">
        <v>21</v>
      </c>
      <c r="B27" s="111" t="s">
        <v>1122</v>
      </c>
      <c r="C27" s="111" t="s">
        <v>1120</v>
      </c>
      <c r="D27" s="155" t="s">
        <v>1067</v>
      </c>
      <c r="E27" s="111">
        <v>0</v>
      </c>
      <c r="F27" s="111">
        <v>1</v>
      </c>
      <c r="G27" s="111" t="s">
        <v>0</v>
      </c>
      <c r="I27" s="111" t="str">
        <f t="shared" si="0"/>
        <v>Attester Fiscal Code</v>
      </c>
    </row>
    <row r="28" spans="1:9" x14ac:dyDescent="0.75">
      <c r="A28" s="111">
        <v>22</v>
      </c>
      <c r="B28" s="111" t="s">
        <v>1123</v>
      </c>
      <c r="C28" s="111" t="s">
        <v>1121</v>
      </c>
      <c r="D28" s="155" t="s">
        <v>1068</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88.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88.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88.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1124</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1141</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1126</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1127</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x14ac:dyDescent="0.75">
      <c r="A11" s="111">
        <v>0</v>
      </c>
      <c r="B11" s="111">
        <f>'Meta-1'!A10</f>
        <v>4</v>
      </c>
      <c r="C11" s="111" t="str">
        <f>'Meta-1'!B10</f>
        <v>hash</v>
      </c>
      <c r="D11" s="112" t="s">
        <v>1128</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1125</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1137</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1138</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x14ac:dyDescent="0.75">
      <c r="A15" s="111">
        <v>0</v>
      </c>
      <c r="B15" s="111">
        <f>'Meta-1'!A14</f>
        <v>8</v>
      </c>
      <c r="C15" s="111" t="str">
        <f>'Meta-1'!B14</f>
        <v>creationDate</v>
      </c>
      <c r="D15" s="138" t="s">
        <v>1129</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x14ac:dyDescent="0.75">
      <c r="A16" s="111">
        <v>0</v>
      </c>
      <c r="B16" s="111">
        <f>'Meta-1'!A15</f>
        <v>9</v>
      </c>
      <c r="C16" s="111" t="str">
        <f>'Meta-1'!B15</f>
        <v>confidentiality</v>
      </c>
      <c r="D16" s="112" t="s">
        <v>1130</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x14ac:dyDescent="0.75">
      <c r="A17" s="111">
        <v>0</v>
      </c>
      <c r="B17" s="111">
        <f>'Meta-1'!A16</f>
        <v>10</v>
      </c>
      <c r="C17" s="111" t="str">
        <f>'Meta-1'!B16</f>
        <v>mask</v>
      </c>
      <c r="D17" s="112" t="s">
        <v>1130</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29.5" x14ac:dyDescent="0.75">
      <c r="A18" s="111">
        <v>0</v>
      </c>
      <c r="B18" s="111">
        <f>'Meta-1'!A17</f>
        <v>11</v>
      </c>
      <c r="C18" s="111" t="str">
        <f>'Meta-1'!B17</f>
        <v>replace</v>
      </c>
      <c r="D18" s="112" t="s">
        <v>1147</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x14ac:dyDescent="0.75">
      <c r="A19" s="111">
        <v>0</v>
      </c>
      <c r="B19" s="111">
        <f>'Meta-1'!A18</f>
        <v>12</v>
      </c>
      <c r="C19" s="111" t="str">
        <f>'Meta-1'!B18</f>
        <v>formatCode</v>
      </c>
      <c r="D19" s="112" t="s">
        <v>1131</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x14ac:dyDescent="0.75">
      <c r="A20" s="111">
        <v>0</v>
      </c>
      <c r="B20" s="111">
        <f>'Meta-1'!A19</f>
        <v>13</v>
      </c>
      <c r="C20" s="111" t="str">
        <f>'Meta-1'!B19</f>
        <v>repositoryId</v>
      </c>
      <c r="D20" s="112" t="s">
        <v>1140</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1139</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1132</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1142</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x14ac:dyDescent="0.75">
      <c r="A24" s="111">
        <v>0</v>
      </c>
      <c r="B24" s="111">
        <f>'Meta-1'!A23</f>
        <v>17</v>
      </c>
      <c r="C24" s="111" t="str">
        <f>'Meta-1'!B23</f>
        <v>author</v>
      </c>
      <c r="D24" s="138" t="s">
        <v>1135</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1144</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1143</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59" x14ac:dyDescent="0.75">
      <c r="A27" s="111">
        <v>0</v>
      </c>
      <c r="B27" s="111">
        <f>'Meta-1'!A26</f>
        <v>20</v>
      </c>
      <c r="C27" s="111" t="str">
        <f>'Meta-1'!B26</f>
        <v>author.role</v>
      </c>
      <c r="D27" s="138" t="s">
        <v>1145</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59" x14ac:dyDescent="0.75">
      <c r="A28" s="111">
        <v>0</v>
      </c>
      <c r="B28" s="111">
        <f>'Meta-1'!A27</f>
        <v>21</v>
      </c>
      <c r="C28" s="111" t="str">
        <f>'Meta-1'!B27</f>
        <v>attesterFiscalCode</v>
      </c>
      <c r="D28" s="138" t="s">
        <v>1146</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29.5" x14ac:dyDescent="0.75">
      <c r="A29" s="111">
        <v>0</v>
      </c>
      <c r="B29" s="111">
        <f>'Meta-1'!A28</f>
        <v>22</v>
      </c>
      <c r="C29" s="111" t="str">
        <f>'Meta-1'!B28</f>
        <v>custiodian</v>
      </c>
      <c r="D29" s="138" t="s">
        <v>1136</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workbookViewId="0"/>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912</v>
      </c>
      <c r="D2" s="152" t="s">
        <v>989</v>
      </c>
      <c r="E2" s="25"/>
      <c r="F2" s="25"/>
      <c r="G2" s="25"/>
    </row>
    <row r="3" spans="1:9" x14ac:dyDescent="0.75">
      <c r="B3" s="20" t="s">
        <v>34</v>
      </c>
      <c r="C3" s="25"/>
      <c r="D3" s="56"/>
      <c r="E3" s="25"/>
      <c r="F3" s="25"/>
      <c r="G3" s="25"/>
    </row>
    <row r="4" spans="1:9" ht="15.5" thickBot="1" x14ac:dyDescent="0.9">
      <c r="B4" s="22" t="s">
        <v>52</v>
      </c>
      <c r="C4" s="148" t="s">
        <v>913</v>
      </c>
      <c r="D4" s="57"/>
      <c r="E4" s="25"/>
      <c r="F4" s="25"/>
      <c r="G4" s="25"/>
    </row>
    <row r="5" spans="1:9" x14ac:dyDescent="0.75">
      <c r="B5" s="25"/>
      <c r="C5" s="51" t="s">
        <v>7</v>
      </c>
      <c r="D5" s="4" t="s">
        <v>8</v>
      </c>
      <c r="E5" s="11" t="s">
        <v>17</v>
      </c>
      <c r="F5" s="11" t="s">
        <v>18</v>
      </c>
      <c r="G5" s="11" t="s">
        <v>19</v>
      </c>
    </row>
    <row r="6" spans="1:9" ht="15.5" thickBot="1" x14ac:dyDescent="0.9">
      <c r="A6">
        <v>0</v>
      </c>
      <c r="B6" s="33" t="s">
        <v>913</v>
      </c>
      <c r="C6" s="148" t="s">
        <v>912</v>
      </c>
      <c r="D6" s="148" t="s">
        <v>912</v>
      </c>
      <c r="E6" s="34">
        <v>1</v>
      </c>
      <c r="F6" s="34">
        <v>1</v>
      </c>
      <c r="G6" s="34" t="s">
        <v>21</v>
      </c>
    </row>
    <row r="7" spans="1:9" x14ac:dyDescent="0.75">
      <c r="A7" s="2">
        <v>1</v>
      </c>
      <c r="B7" s="26" t="s">
        <v>35</v>
      </c>
      <c r="C7" s="111" t="s">
        <v>914</v>
      </c>
      <c r="D7" s="111" t="s">
        <v>342</v>
      </c>
      <c r="E7" s="26">
        <v>1</v>
      </c>
      <c r="F7" s="26" t="s">
        <v>20</v>
      </c>
      <c r="G7" s="26" t="s">
        <v>0</v>
      </c>
      <c r="H7" s="2"/>
      <c r="I7" s="2"/>
    </row>
    <row r="8" spans="1:9" x14ac:dyDescent="0.75">
      <c r="A8" s="25">
        <v>2</v>
      </c>
      <c r="B8" s="111" t="s">
        <v>895</v>
      </c>
      <c r="C8" s="111" t="s">
        <v>128</v>
      </c>
      <c r="D8" s="111" t="s">
        <v>128</v>
      </c>
      <c r="E8" s="26">
        <v>1</v>
      </c>
      <c r="F8" s="26" t="s">
        <v>20</v>
      </c>
      <c r="G8" s="111" t="s">
        <v>0</v>
      </c>
      <c r="H8" s="2"/>
      <c r="I8" s="2"/>
    </row>
    <row r="9" spans="1:9" x14ac:dyDescent="0.75">
      <c r="A9" s="26">
        <v>3</v>
      </c>
      <c r="B9" s="111" t="s">
        <v>896</v>
      </c>
      <c r="C9" s="111" t="s">
        <v>281</v>
      </c>
      <c r="D9" s="111" t="s">
        <v>281</v>
      </c>
      <c r="E9" s="26">
        <v>1</v>
      </c>
      <c r="F9" s="26" t="s">
        <v>20</v>
      </c>
      <c r="G9" s="111" t="s">
        <v>0</v>
      </c>
      <c r="H9" s="2"/>
      <c r="I9" s="2"/>
    </row>
    <row r="10" spans="1:9" x14ac:dyDescent="0.75">
      <c r="A10" s="25">
        <v>4</v>
      </c>
      <c r="B10" s="112" t="s">
        <v>874</v>
      </c>
      <c r="C10" s="112" t="s">
        <v>887</v>
      </c>
      <c r="D10" s="112" t="s">
        <v>915</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947</v>
      </c>
      <c r="D16" s="67" t="s">
        <v>350</v>
      </c>
      <c r="E16" s="26">
        <v>0</v>
      </c>
      <c r="F16" s="26" t="s">
        <v>20</v>
      </c>
      <c r="G16" s="26" t="s">
        <v>5</v>
      </c>
      <c r="H16" s="2"/>
      <c r="I16" s="2"/>
    </row>
    <row r="17" spans="1:11" ht="74" x14ac:dyDescent="0.75">
      <c r="A17" s="111">
        <v>11</v>
      </c>
      <c r="B17" s="149" t="s">
        <v>918</v>
      </c>
      <c r="C17" s="26" t="s">
        <v>948</v>
      </c>
      <c r="D17" s="67" t="s">
        <v>917</v>
      </c>
      <c r="E17" s="26">
        <v>0</v>
      </c>
      <c r="F17" s="26">
        <v>1</v>
      </c>
      <c r="G17" s="111" t="s">
        <v>1</v>
      </c>
      <c r="H17" s="67"/>
      <c r="I17" s="2"/>
    </row>
    <row r="18" spans="1:11" ht="240.5" x14ac:dyDescent="0.75">
      <c r="A18" s="109">
        <v>12</v>
      </c>
      <c r="B18" s="149" t="s">
        <v>919</v>
      </c>
      <c r="C18" s="26" t="s">
        <v>921</v>
      </c>
      <c r="D18" s="95" t="s">
        <v>920</v>
      </c>
      <c r="E18" s="26">
        <v>0</v>
      </c>
      <c r="F18" s="26">
        <v>1</v>
      </c>
      <c r="G18" s="111" t="s">
        <v>1</v>
      </c>
      <c r="H18" s="67"/>
      <c r="I18" s="2"/>
    </row>
    <row r="19" spans="1:11" ht="92.5" x14ac:dyDescent="0.75">
      <c r="A19" s="109">
        <v>13</v>
      </c>
      <c r="B19" s="149" t="s">
        <v>922</v>
      </c>
      <c r="C19" s="26" t="s">
        <v>365</v>
      </c>
      <c r="D19" s="67" t="s">
        <v>916</v>
      </c>
      <c r="E19" s="32">
        <v>0</v>
      </c>
      <c r="F19" s="2">
        <v>1</v>
      </c>
      <c r="G19" s="111" t="s">
        <v>1</v>
      </c>
      <c r="H19" s="67"/>
    </row>
    <row r="20" spans="1:11" ht="129.5" x14ac:dyDescent="0.75">
      <c r="A20" s="111">
        <v>14</v>
      </c>
      <c r="B20" s="151" t="s">
        <v>944</v>
      </c>
      <c r="C20" s="24" t="s">
        <v>949</v>
      </c>
      <c r="D20" s="71" t="s">
        <v>372</v>
      </c>
      <c r="E20" s="32">
        <v>0</v>
      </c>
      <c r="F20" s="2">
        <v>1</v>
      </c>
      <c r="G20" s="2" t="s">
        <v>3</v>
      </c>
      <c r="H20" s="67"/>
    </row>
    <row r="21" spans="1:11" s="109" customFormat="1" ht="18.5" x14ac:dyDescent="0.75">
      <c r="A21" s="109">
        <v>15</v>
      </c>
      <c r="B21" s="149" t="s">
        <v>923</v>
      </c>
      <c r="C21" s="111" t="s">
        <v>960</v>
      </c>
      <c r="D21" s="95" t="s">
        <v>960</v>
      </c>
      <c r="E21" s="113">
        <v>0</v>
      </c>
      <c r="F21" s="111">
        <v>1</v>
      </c>
      <c r="G21" s="111" t="s">
        <v>5</v>
      </c>
      <c r="H21" s="67"/>
    </row>
    <row r="22" spans="1:11" ht="111" x14ac:dyDescent="0.75">
      <c r="A22" s="111">
        <v>16</v>
      </c>
      <c r="B22" s="26" t="s">
        <v>924</v>
      </c>
      <c r="C22" s="26" t="s">
        <v>950</v>
      </c>
      <c r="D22" s="95" t="s">
        <v>945</v>
      </c>
      <c r="E22" s="32">
        <v>0</v>
      </c>
      <c r="F22" s="2">
        <v>1</v>
      </c>
      <c r="G22" s="111" t="s">
        <v>1</v>
      </c>
      <c r="H22" s="67"/>
    </row>
    <row r="23" spans="1:11" ht="18.5" x14ac:dyDescent="0.75">
      <c r="A23" s="109">
        <v>17</v>
      </c>
      <c r="B23" s="111" t="s">
        <v>925</v>
      </c>
      <c r="C23" s="26" t="s">
        <v>951</v>
      </c>
      <c r="D23" s="67" t="s">
        <v>961</v>
      </c>
      <c r="E23" s="113">
        <v>0</v>
      </c>
      <c r="F23" s="113">
        <v>1</v>
      </c>
      <c r="G23" s="111" t="s">
        <v>5</v>
      </c>
      <c r="H23" s="67"/>
      <c r="K23">
        <f>800*20</f>
        <v>16000</v>
      </c>
    </row>
    <row r="24" spans="1:11" s="109" customFormat="1" ht="74" x14ac:dyDescent="0.75">
      <c r="A24" s="111">
        <v>18</v>
      </c>
      <c r="B24" s="111" t="s">
        <v>933</v>
      </c>
      <c r="C24" s="111" t="s">
        <v>952</v>
      </c>
      <c r="D24" s="67" t="s">
        <v>962</v>
      </c>
      <c r="E24" s="113">
        <v>1</v>
      </c>
      <c r="F24" s="113">
        <v>1</v>
      </c>
      <c r="G24" s="111" t="s">
        <v>1</v>
      </c>
      <c r="H24" s="67"/>
    </row>
    <row r="25" spans="1:11" ht="129.5" x14ac:dyDescent="0.75">
      <c r="A25" s="109">
        <v>19</v>
      </c>
      <c r="B25" s="111" t="s">
        <v>927</v>
      </c>
      <c r="C25" s="26" t="s">
        <v>381</v>
      </c>
      <c r="D25" s="67" t="s">
        <v>963</v>
      </c>
      <c r="E25" s="113">
        <v>1</v>
      </c>
      <c r="F25" s="113">
        <v>1</v>
      </c>
      <c r="G25" s="111" t="s">
        <v>1</v>
      </c>
      <c r="H25" s="67"/>
    </row>
    <row r="26" spans="1:11" ht="37" x14ac:dyDescent="0.75">
      <c r="A26" s="111">
        <v>20</v>
      </c>
      <c r="B26" s="111" t="s">
        <v>928</v>
      </c>
      <c r="C26" s="26" t="s">
        <v>885</v>
      </c>
      <c r="D26" s="67" t="s">
        <v>388</v>
      </c>
      <c r="E26" s="32">
        <v>0</v>
      </c>
      <c r="F26" s="2">
        <v>1</v>
      </c>
      <c r="G26" s="2" t="s">
        <v>4</v>
      </c>
      <c r="H26" s="67" t="s">
        <v>108</v>
      </c>
    </row>
    <row r="27" spans="1:11" ht="37" x14ac:dyDescent="0.75">
      <c r="A27" s="109">
        <v>21</v>
      </c>
      <c r="B27" s="111" t="s">
        <v>929</v>
      </c>
      <c r="C27" s="26" t="s">
        <v>886</v>
      </c>
      <c r="D27" s="67" t="s">
        <v>391</v>
      </c>
      <c r="E27" s="113">
        <v>0</v>
      </c>
      <c r="F27" s="111">
        <v>1</v>
      </c>
      <c r="G27" s="111" t="s">
        <v>4</v>
      </c>
      <c r="H27" s="67" t="s">
        <v>108</v>
      </c>
    </row>
    <row r="28" spans="1:11" ht="18.5" x14ac:dyDescent="0.75">
      <c r="A28" s="111">
        <v>22</v>
      </c>
      <c r="B28" s="111" t="s">
        <v>926</v>
      </c>
      <c r="C28" s="111" t="s">
        <v>953</v>
      </c>
      <c r="D28" s="111" t="s">
        <v>964</v>
      </c>
      <c r="E28" s="113">
        <v>0</v>
      </c>
      <c r="F28" s="113">
        <v>1</v>
      </c>
      <c r="G28" s="111" t="s">
        <v>5</v>
      </c>
      <c r="H28" s="67"/>
    </row>
    <row r="29" spans="1:11" s="109" customFormat="1" ht="74" x14ac:dyDescent="0.75">
      <c r="A29" s="109">
        <v>23</v>
      </c>
      <c r="B29" s="111" t="s">
        <v>934</v>
      </c>
      <c r="C29" s="111" t="s">
        <v>954</v>
      </c>
      <c r="D29" s="95" t="s">
        <v>965</v>
      </c>
      <c r="E29" s="113">
        <v>1</v>
      </c>
      <c r="F29" s="113">
        <v>1</v>
      </c>
      <c r="G29" s="111" t="s">
        <v>1</v>
      </c>
      <c r="H29" s="67"/>
    </row>
    <row r="30" spans="1:11" ht="74" x14ac:dyDescent="0.75">
      <c r="A30" s="111">
        <v>24</v>
      </c>
      <c r="B30" s="111" t="s">
        <v>930</v>
      </c>
      <c r="C30" s="111" t="s">
        <v>381</v>
      </c>
      <c r="D30" s="67" t="s">
        <v>966</v>
      </c>
      <c r="E30" s="113">
        <v>1</v>
      </c>
      <c r="F30" s="113">
        <v>1</v>
      </c>
      <c r="G30" s="111" t="s">
        <v>1</v>
      </c>
      <c r="H30" s="67"/>
    </row>
    <row r="31" spans="1:11" ht="37" x14ac:dyDescent="0.75">
      <c r="A31" s="109">
        <v>25</v>
      </c>
      <c r="B31" s="111" t="s">
        <v>931</v>
      </c>
      <c r="C31" s="111" t="s">
        <v>885</v>
      </c>
      <c r="D31" s="67" t="s">
        <v>400</v>
      </c>
      <c r="E31" s="10">
        <v>0</v>
      </c>
      <c r="F31" s="10">
        <v>1</v>
      </c>
      <c r="G31" s="2" t="s">
        <v>4</v>
      </c>
      <c r="H31" s="67" t="s">
        <v>108</v>
      </c>
    </row>
    <row r="32" spans="1:11" ht="37" x14ac:dyDescent="0.75">
      <c r="A32" s="109">
        <v>26</v>
      </c>
      <c r="B32" s="111" t="s">
        <v>932</v>
      </c>
      <c r="C32" s="111" t="s">
        <v>886</v>
      </c>
      <c r="D32" s="67" t="s">
        <v>402</v>
      </c>
      <c r="E32" s="10">
        <v>0</v>
      </c>
      <c r="F32" s="10">
        <v>1</v>
      </c>
      <c r="G32" s="2" t="s">
        <v>4</v>
      </c>
      <c r="H32" s="67" t="s">
        <v>108</v>
      </c>
    </row>
    <row r="33" spans="1:8" ht="18.5" x14ac:dyDescent="0.75">
      <c r="A33" s="111">
        <v>27</v>
      </c>
      <c r="B33" s="26" t="s">
        <v>935</v>
      </c>
      <c r="C33" s="111" t="s">
        <v>955</v>
      </c>
      <c r="D33" s="67" t="s">
        <v>406</v>
      </c>
      <c r="E33" s="10">
        <v>0</v>
      </c>
      <c r="F33" s="10" t="s">
        <v>20</v>
      </c>
      <c r="G33" s="2" t="s">
        <v>3</v>
      </c>
      <c r="H33" s="67"/>
    </row>
    <row r="34" spans="1:8" s="109" customFormat="1" ht="18.5" x14ac:dyDescent="0.75">
      <c r="A34" s="109">
        <v>28</v>
      </c>
      <c r="B34" s="111" t="s">
        <v>936</v>
      </c>
      <c r="C34" s="111" t="s">
        <v>956</v>
      </c>
      <c r="D34" s="111" t="s">
        <v>967</v>
      </c>
      <c r="E34" s="113">
        <v>0</v>
      </c>
      <c r="F34" s="113">
        <v>1</v>
      </c>
      <c r="G34" s="111" t="s">
        <v>5</v>
      </c>
      <c r="H34" s="67"/>
    </row>
    <row r="35" spans="1:8" ht="111" x14ac:dyDescent="0.75">
      <c r="A35" s="111">
        <v>29</v>
      </c>
      <c r="B35" s="111" t="s">
        <v>938</v>
      </c>
      <c r="C35" s="111" t="s">
        <v>937</v>
      </c>
      <c r="D35" s="67" t="s">
        <v>968</v>
      </c>
      <c r="E35" s="10">
        <v>1</v>
      </c>
      <c r="F35" s="10">
        <v>1</v>
      </c>
      <c r="G35" s="111" t="s">
        <v>1</v>
      </c>
      <c r="H35" s="70"/>
    </row>
    <row r="36" spans="1:8" ht="74" x14ac:dyDescent="0.75">
      <c r="A36" s="109">
        <v>30</v>
      </c>
      <c r="B36" s="111" t="s">
        <v>939</v>
      </c>
      <c r="C36" s="111" t="s">
        <v>957</v>
      </c>
      <c r="D36" s="67" t="s">
        <v>969</v>
      </c>
      <c r="E36" s="10">
        <v>1</v>
      </c>
      <c r="F36" s="10">
        <v>1</v>
      </c>
      <c r="G36" s="111" t="s">
        <v>1</v>
      </c>
      <c r="H36" s="67"/>
    </row>
    <row r="37" spans="1:8" s="109" customFormat="1" ht="18.5" x14ac:dyDescent="0.75">
      <c r="A37" s="111">
        <v>31</v>
      </c>
      <c r="B37" s="111" t="s">
        <v>940</v>
      </c>
      <c r="C37" s="111" t="s">
        <v>958</v>
      </c>
      <c r="D37" s="111" t="s">
        <v>970</v>
      </c>
      <c r="E37" s="113">
        <v>0</v>
      </c>
      <c r="F37" s="113">
        <v>1</v>
      </c>
      <c r="G37" s="111" t="s">
        <v>5</v>
      </c>
      <c r="H37" s="67"/>
    </row>
    <row r="38" spans="1:8" ht="111" x14ac:dyDescent="0.75">
      <c r="A38" s="109">
        <v>32</v>
      </c>
      <c r="B38" s="111" t="s">
        <v>941</v>
      </c>
      <c r="C38" s="111" t="s">
        <v>937</v>
      </c>
      <c r="D38" s="67" t="s">
        <v>971</v>
      </c>
      <c r="E38" s="113">
        <v>1</v>
      </c>
      <c r="F38" s="113">
        <v>1</v>
      </c>
      <c r="G38" s="111" t="s">
        <v>1</v>
      </c>
      <c r="H38" s="70"/>
    </row>
    <row r="39" spans="1:8" ht="74" x14ac:dyDescent="0.75">
      <c r="A39" s="111">
        <v>33</v>
      </c>
      <c r="B39" s="111" t="s">
        <v>942</v>
      </c>
      <c r="C39" s="111" t="s">
        <v>957</v>
      </c>
      <c r="D39" s="67" t="s">
        <v>972</v>
      </c>
      <c r="E39" s="113">
        <v>1</v>
      </c>
      <c r="F39" s="113">
        <v>1</v>
      </c>
      <c r="G39" s="111" t="s">
        <v>1</v>
      </c>
      <c r="H39" s="67"/>
    </row>
    <row r="40" spans="1:8" ht="55.5" x14ac:dyDescent="0.75">
      <c r="A40" s="109">
        <v>34</v>
      </c>
      <c r="B40" s="150" t="s">
        <v>943</v>
      </c>
      <c r="C40" s="111" t="s">
        <v>959</v>
      </c>
      <c r="D40" s="67" t="s">
        <v>424</v>
      </c>
      <c r="E40" s="150">
        <v>0</v>
      </c>
      <c r="F40" s="150">
        <v>1</v>
      </c>
      <c r="G40" s="150" t="s">
        <v>4</v>
      </c>
      <c r="H40" s="67" t="s">
        <v>108</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1027</v>
      </c>
      <c r="E2" s="35"/>
      <c r="G2" s="25" t="s">
        <v>38</v>
      </c>
      <c r="M2" s="44"/>
      <c r="N2" s="25" t="str">
        <f>CONCATENATE("Mapping: ",E2)</f>
        <v xml:space="preserve">Mapping: </v>
      </c>
    </row>
    <row r="3" spans="1:14" x14ac:dyDescent="0.75">
      <c r="C3" s="104" t="str">
        <f>'Sct-1'!B3</f>
        <v>Publisher</v>
      </c>
      <c r="D3" s="40"/>
      <c r="E3" s="36"/>
      <c r="G3" s="25" t="s">
        <v>1027</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946</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905</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904</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904</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899</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900</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901</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902</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903</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973</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906</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984</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985</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986</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974</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987</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978</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979</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975</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897</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898</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980</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981</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975</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897</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898</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907</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976</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982</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983</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977</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982</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983</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988</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855</v>
      </c>
      <c r="N1" s="25" t="s">
        <v>39</v>
      </c>
    </row>
    <row r="2" spans="1:14" ht="30.25" thickBot="1" x14ac:dyDescent="0.9">
      <c r="C2" s="105" t="str">
        <f>'Sct-1'!B2</f>
        <v>http://hl7.eu/fhir/ig/pcsp</v>
      </c>
      <c r="D2" s="16" t="s">
        <v>846</v>
      </c>
      <c r="E2" s="35"/>
      <c r="G2" s="137" t="s">
        <v>892</v>
      </c>
      <c r="M2" s="44"/>
      <c r="N2" s="25" t="str">
        <f>CONCATENATE("Mapping: ",E2)</f>
        <v xml:space="preserve">Mapping: </v>
      </c>
    </row>
    <row r="3" spans="1:14" x14ac:dyDescent="0.75">
      <c r="C3" s="104" t="str">
        <f>'Sct-1'!B3</f>
        <v>Publisher</v>
      </c>
      <c r="D3" s="40"/>
      <c r="E3" s="36"/>
      <c r="G3" s="25" t="s">
        <v>893</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852</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851</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849</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853</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854</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891</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894</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894</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990</v>
      </c>
      <c r="D2" s="112" t="s">
        <v>1052</v>
      </c>
    </row>
    <row r="3" spans="1:9" x14ac:dyDescent="0.75">
      <c r="B3" s="118" t="s">
        <v>34</v>
      </c>
      <c r="C3" s="123" t="s">
        <v>36</v>
      </c>
      <c r="D3" s="56"/>
    </row>
    <row r="4" spans="1:9" ht="15.5" thickBot="1" x14ac:dyDescent="0.9">
      <c r="B4" s="119" t="s">
        <v>52</v>
      </c>
      <c r="C4" s="112" t="s">
        <v>990</v>
      </c>
      <c r="D4" s="57"/>
    </row>
    <row r="5" spans="1:9" x14ac:dyDescent="0.75">
      <c r="B5" s="110"/>
      <c r="C5" s="3" t="s">
        <v>7</v>
      </c>
      <c r="D5" s="4" t="s">
        <v>8</v>
      </c>
      <c r="E5" s="11" t="s">
        <v>17</v>
      </c>
      <c r="F5" s="11" t="s">
        <v>18</v>
      </c>
      <c r="G5" s="11" t="s">
        <v>19</v>
      </c>
    </row>
    <row r="6" spans="1:9" x14ac:dyDescent="0.75">
      <c r="A6" s="109">
        <v>0</v>
      </c>
      <c r="B6" s="112" t="s">
        <v>990</v>
      </c>
      <c r="C6" s="111" t="s">
        <v>63</v>
      </c>
      <c r="D6" s="111" t="s">
        <v>63</v>
      </c>
      <c r="E6" s="34">
        <v>1</v>
      </c>
      <c r="F6" s="34">
        <v>1</v>
      </c>
      <c r="G6" s="34"/>
    </row>
    <row r="7" spans="1:9" x14ac:dyDescent="0.75">
      <c r="A7" s="109">
        <v>1</v>
      </c>
      <c r="B7" s="112" t="s">
        <v>1004</v>
      </c>
      <c r="C7" s="111" t="s">
        <v>857</v>
      </c>
      <c r="D7" s="111" t="s">
        <v>857</v>
      </c>
      <c r="E7" s="111">
        <v>0</v>
      </c>
      <c r="F7" s="111" t="s">
        <v>20</v>
      </c>
      <c r="G7" s="111" t="s">
        <v>5</v>
      </c>
      <c r="H7" s="111"/>
      <c r="I7" s="111"/>
    </row>
    <row r="8" spans="1:9" ht="59" x14ac:dyDescent="0.75">
      <c r="A8" s="109">
        <v>2</v>
      </c>
      <c r="B8" s="112" t="s">
        <v>991</v>
      </c>
      <c r="C8" s="111" t="s">
        <v>861</v>
      </c>
      <c r="D8" s="112" t="s">
        <v>860</v>
      </c>
      <c r="E8" s="111">
        <v>0</v>
      </c>
      <c r="F8" s="111">
        <v>1</v>
      </c>
      <c r="G8" s="111" t="s">
        <v>1</v>
      </c>
      <c r="H8" s="111"/>
      <c r="I8" s="111"/>
    </row>
    <row r="9" spans="1:9" x14ac:dyDescent="0.75">
      <c r="A9" s="109">
        <v>3</v>
      </c>
      <c r="B9" s="112" t="s">
        <v>1016</v>
      </c>
      <c r="C9" s="111" t="s">
        <v>1017</v>
      </c>
      <c r="D9" s="111" t="s">
        <v>1017</v>
      </c>
      <c r="E9" s="111">
        <v>0</v>
      </c>
      <c r="F9" s="111">
        <v>1</v>
      </c>
      <c r="G9" s="111" t="s">
        <v>3</v>
      </c>
      <c r="H9" s="111"/>
      <c r="I9" s="111"/>
    </row>
    <row r="10" spans="1:9" ht="59" x14ac:dyDescent="0.75">
      <c r="A10" s="109">
        <v>4</v>
      </c>
      <c r="B10" s="112" t="s">
        <v>992</v>
      </c>
      <c r="C10" s="111" t="s">
        <v>858</v>
      </c>
      <c r="D10" s="112" t="s">
        <v>859</v>
      </c>
      <c r="E10" s="111">
        <v>0</v>
      </c>
      <c r="F10" s="111">
        <v>1</v>
      </c>
      <c r="G10" s="111" t="s">
        <v>3</v>
      </c>
      <c r="H10" s="111"/>
      <c r="I10" s="111"/>
    </row>
    <row r="11" spans="1:9" x14ac:dyDescent="0.75">
      <c r="A11" s="109">
        <v>5</v>
      </c>
      <c r="B11" s="112" t="s">
        <v>993</v>
      </c>
      <c r="C11" s="115" t="s">
        <v>869</v>
      </c>
      <c r="D11" s="111" t="s">
        <v>249</v>
      </c>
      <c r="E11" s="111">
        <v>0</v>
      </c>
      <c r="F11" s="111">
        <v>1</v>
      </c>
      <c r="G11" s="111" t="s">
        <v>3</v>
      </c>
      <c r="H11" s="111"/>
      <c r="I11" s="111"/>
    </row>
    <row r="12" spans="1:9" x14ac:dyDescent="0.75">
      <c r="A12" s="109">
        <v>6</v>
      </c>
      <c r="B12" s="112" t="s">
        <v>994</v>
      </c>
      <c r="C12" s="111" t="s">
        <v>870</v>
      </c>
      <c r="D12" s="111" t="s">
        <v>870</v>
      </c>
      <c r="E12" s="111">
        <v>0</v>
      </c>
      <c r="F12" s="111">
        <v>1</v>
      </c>
      <c r="G12" s="111" t="s">
        <v>3</v>
      </c>
      <c r="H12" s="111"/>
      <c r="I12" s="111"/>
    </row>
    <row r="13" spans="1:9" x14ac:dyDescent="0.75">
      <c r="A13" s="109">
        <v>7</v>
      </c>
      <c r="B13" s="112" t="s">
        <v>995</v>
      </c>
      <c r="C13" s="112" t="s">
        <v>865</v>
      </c>
      <c r="D13" s="112" t="s">
        <v>865</v>
      </c>
      <c r="E13" s="111">
        <v>0</v>
      </c>
      <c r="F13" s="111">
        <v>1</v>
      </c>
      <c r="G13" s="111" t="s">
        <v>5</v>
      </c>
      <c r="H13" s="111"/>
      <c r="I13" s="111"/>
    </row>
    <row r="14" spans="1:9" x14ac:dyDescent="0.75">
      <c r="A14" s="109">
        <v>8</v>
      </c>
      <c r="B14" s="112" t="s">
        <v>996</v>
      </c>
      <c r="C14" s="112" t="s">
        <v>866</v>
      </c>
      <c r="D14" s="112" t="s">
        <v>866</v>
      </c>
      <c r="E14" s="111">
        <v>1</v>
      </c>
      <c r="F14" s="111">
        <v>1</v>
      </c>
      <c r="G14" s="111" t="s">
        <v>2</v>
      </c>
      <c r="I14" s="111"/>
    </row>
    <row r="15" spans="1:9" x14ac:dyDescent="0.75">
      <c r="A15" s="109">
        <v>9</v>
      </c>
      <c r="B15" s="112" t="s">
        <v>997</v>
      </c>
      <c r="C15" s="112" t="s">
        <v>867</v>
      </c>
      <c r="D15" s="112" t="s">
        <v>867</v>
      </c>
      <c r="E15" s="111">
        <v>1</v>
      </c>
      <c r="F15" s="111">
        <v>1</v>
      </c>
      <c r="G15" s="111" t="s">
        <v>1</v>
      </c>
      <c r="H15" s="111"/>
      <c r="I15" s="111"/>
    </row>
    <row r="16" spans="1:9" x14ac:dyDescent="0.75">
      <c r="A16" s="109">
        <v>10</v>
      </c>
      <c r="B16" s="112" t="s">
        <v>998</v>
      </c>
      <c r="C16" s="115" t="s">
        <v>862</v>
      </c>
      <c r="D16" s="115" t="s">
        <v>862</v>
      </c>
      <c r="E16" s="111">
        <v>0</v>
      </c>
      <c r="F16" s="111">
        <v>1</v>
      </c>
      <c r="G16" s="111" t="s">
        <v>3</v>
      </c>
      <c r="H16" s="111"/>
      <c r="I16" s="111"/>
    </row>
    <row r="17" spans="1:9" x14ac:dyDescent="0.75">
      <c r="A17" s="109">
        <v>11</v>
      </c>
      <c r="B17" s="112" t="s">
        <v>999</v>
      </c>
      <c r="C17" s="115" t="s">
        <v>863</v>
      </c>
      <c r="D17" s="115" t="s">
        <v>863</v>
      </c>
      <c r="E17" s="111">
        <v>0</v>
      </c>
      <c r="F17" s="111">
        <v>1</v>
      </c>
      <c r="G17" s="111" t="s">
        <v>1</v>
      </c>
      <c r="H17" s="111"/>
      <c r="I17" s="111"/>
    </row>
    <row r="18" spans="1:9" x14ac:dyDescent="0.75">
      <c r="A18" s="109">
        <v>12</v>
      </c>
      <c r="B18" s="112" t="s">
        <v>1000</v>
      </c>
      <c r="C18" s="115" t="s">
        <v>871</v>
      </c>
      <c r="D18" s="115" t="s">
        <v>871</v>
      </c>
      <c r="E18" s="111">
        <v>0</v>
      </c>
      <c r="F18" s="111">
        <v>1</v>
      </c>
      <c r="G18" s="111" t="s">
        <v>1</v>
      </c>
      <c r="H18" s="111"/>
      <c r="I18" s="111"/>
    </row>
    <row r="19" spans="1:9" x14ac:dyDescent="0.75">
      <c r="A19" s="109">
        <v>13</v>
      </c>
      <c r="B19" s="112" t="s">
        <v>1001</v>
      </c>
      <c r="C19" s="115" t="s">
        <v>864</v>
      </c>
      <c r="D19" s="115" t="s">
        <v>864</v>
      </c>
      <c r="E19" s="111">
        <v>0</v>
      </c>
      <c r="F19" s="111">
        <v>1</v>
      </c>
      <c r="G19" s="111" t="s">
        <v>1</v>
      </c>
      <c r="H19" s="111"/>
      <c r="I19" s="111"/>
    </row>
    <row r="20" spans="1:9" x14ac:dyDescent="0.75">
      <c r="A20" s="109">
        <v>14</v>
      </c>
      <c r="B20" s="112" t="s">
        <v>1002</v>
      </c>
      <c r="C20" s="111" t="s">
        <v>872</v>
      </c>
      <c r="D20" s="111" t="s">
        <v>872</v>
      </c>
      <c r="E20" s="111">
        <v>0</v>
      </c>
      <c r="F20" s="111">
        <v>1</v>
      </c>
      <c r="G20" s="111" t="s">
        <v>1</v>
      </c>
      <c r="H20" s="111"/>
      <c r="I20" s="111"/>
    </row>
    <row r="21" spans="1:9" ht="29.5" x14ac:dyDescent="0.75">
      <c r="A21" s="109">
        <v>15</v>
      </c>
      <c r="B21" s="112" t="s">
        <v>1003</v>
      </c>
      <c r="C21" s="112" t="s">
        <v>868</v>
      </c>
      <c r="D21" s="112" t="s">
        <v>868</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1015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1005</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1018</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1019</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1020</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1021</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1006</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1007</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1008</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1009</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1010</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1011</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1012</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1013</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1014</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1006</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1006</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'Meta-Map-1'!DocumentReference</vt:lpstr>
      <vt:lpstr>'Flt-Map-1'!MedicationStatement.medication_x_</vt:lpstr>
      <vt:lpstr>'Flt-Map2-1'!PatientRole</vt:lpstr>
      <vt:lpstr>'Meta-Map2-1'!PatientRole</vt:lpstr>
      <vt:lpstr>'RelAftFlt-Map2-1'!PatientRole</vt:lpstr>
      <vt:lpstr>'Sct-Map2-1'!PatientRole</vt:lpstr>
      <vt:lpstr>'Flt-Map2-1'!PatientRole.addr</vt:lpstr>
      <vt:lpstr>'Meta-Map2-1'!PatientRole.addr</vt:lpstr>
      <vt:lpstr>'RelAftFlt-Map2-1'!PatientRole.addr</vt:lpstr>
      <vt:lpstr>'Sct-Map2-1'!PatientRole.addr</vt:lpstr>
      <vt:lpstr>'Flt-Map2-1'!PatientRole.classCode</vt:lpstr>
      <vt:lpstr>'Meta-Map2-1'!PatientRole.classCode</vt:lpstr>
      <vt:lpstr>'RelAftFlt-Map2-1'!PatientRole.classCode</vt:lpstr>
      <vt:lpstr>'Sct-Map2-1'!PatientRole.classCode</vt:lpstr>
      <vt:lpstr>'Flt-Map2-1'!PatientRole.identifiedBy</vt:lpstr>
      <vt:lpstr>'Meta-Map2-1'!PatientRole.identifiedBy</vt:lpstr>
      <vt:lpstr>'RelAftFlt-Map2-1'!PatientRole.identifiedBy</vt:lpstr>
      <vt:lpstr>'Sct-Map2-1'!PatientRole.identifiedBy</vt:lpstr>
      <vt:lpstr>'Flt-Map2-1'!PatientRole.patient</vt:lpstr>
      <vt:lpstr>'Meta-Map2-1'!PatientRole.patient</vt:lpstr>
      <vt:lpstr>'RelAftFlt-Map2-1'!PatientRole.patient</vt:lpstr>
      <vt:lpstr>'Sct-Map2-1'!PatientRole.patient</vt:lpstr>
      <vt:lpstr>'Flt-Map2-1'!PatientRole.providerOrganization</vt:lpstr>
      <vt:lpstr>'Meta-Map2-1'!PatientRole.providerOrganization</vt:lpstr>
      <vt:lpstr>'RelAftFlt-Map2-1'!PatientRole.providerOrganization</vt:lpstr>
      <vt:lpstr>'Sct-Map2-1'!PatientRole.providerOrganization</vt:lpstr>
      <vt:lpstr>'Flt-Map2-1'!PatientRole.telecom</vt:lpstr>
      <vt:lpstr>'Meta-Map2-1'!PatientRole.telecom</vt:lpstr>
      <vt:lpstr>'RelAftFlt-Map2-1'!PatientRole.telecom</vt:lpstr>
      <vt:lpstr>'Sct-Map2-1'!PatientRole.telecom</vt:lpstr>
      <vt:lpstr>'Flt-Map2-1'!PatientRole.templateId</vt:lpstr>
      <vt:lpstr>'Meta-Map2-1'!PatientRole.templateId</vt:lpstr>
      <vt:lpstr>'RelAftFlt-Map2-1'!PatientRole.templateId</vt:lpstr>
      <vt:lpstr>'Sct-Map2-1'!PatientRole.templateId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2022-08-30T12:52:47Z</dcterms:modified>
</cp:coreProperties>
</file>