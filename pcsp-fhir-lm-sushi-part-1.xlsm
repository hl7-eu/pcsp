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
    </mc:Choice>
  </mc:AlternateContent>
  <xr:revisionPtr revIDLastSave="0" documentId="13_ncr:1_{ABA2590F-824D-4D15-8501-9342B33A446E}" xr6:coauthVersionLast="47" xr6:coauthVersionMax="47" xr10:uidLastSave="{00000000-0000-0000-0000-000000000000}"/>
  <bookViews>
    <workbookView xWindow="-90" yWindow="-21710" windowWidth="38620" windowHeight="21100" tabRatio="819" firstSheet="1" activeTab="1" xr2:uid="{82F0A5E9-86C8-45A2-AB20-6CF6AA2FD42B}"/>
  </bookViews>
  <sheets>
    <sheet name="VariablesList" sheetId="70" r:id="rId1"/>
    <sheet name="Common" sheetId="59" r:id="rId2"/>
    <sheet name="Base-1" sheetId="8" r:id="rId3"/>
    <sheet name="Base-2" sheetId="9" r:id="rId4"/>
    <sheet name="Base-3" sheetId="10" r:id="rId5"/>
    <sheet name="BaseMap-1" sheetId="31" r:id="rId6"/>
    <sheet name="BaseMap-2" sheetId="32" r:id="rId7"/>
    <sheet name="Diag-1" sheetId="94" r:id="rId8"/>
    <sheet name="Diag-2" sheetId="95" r:id="rId9"/>
    <sheet name="Diag-3" sheetId="96" r:id="rId10"/>
    <sheet name="Diag-Map-1" sheetId="97" r:id="rId11"/>
    <sheet name="Diag-Map-2" sheetId="98" r:id="rId12"/>
    <sheet name="Diag-Map2-1" sheetId="99" r:id="rId13"/>
    <sheet name="Diag-Map2-2" sheetId="100" r:id="rId14"/>
    <sheet name="Diag-Map-all" sheetId="101" r:id="rId15"/>
    <sheet name="Subj-1" sheetId="12" r:id="rId16"/>
    <sheet name="Subj-2" sheetId="13" r:id="rId17"/>
    <sheet name="Subj-3" sheetId="14" r:id="rId18"/>
    <sheet name="Subj-Map-1" sheetId="33" r:id="rId19"/>
    <sheet name="Subj-Map-2" sheetId="34" r:id="rId20"/>
    <sheet name="Subj-Map2-1" sheetId="71" r:id="rId21"/>
    <sheet name="Subj-Map2-2" sheetId="72" r:id="rId22"/>
    <sheet name="Subj-Map-all" sheetId="73" r:id="rId23"/>
    <sheet name="Chemo-1" sheetId="74" r:id="rId24"/>
    <sheet name="Chemo-2" sheetId="75" r:id="rId25"/>
    <sheet name="Chemo-3" sheetId="76" r:id="rId26"/>
    <sheet name="Chemo-Map-1" sheetId="77" r:id="rId27"/>
    <sheet name="Chemo-Map-2" sheetId="78" r:id="rId28"/>
    <sheet name="Chemo-Map2-1" sheetId="79" r:id="rId29"/>
    <sheet name="Chemo-Map2-2" sheetId="80" r:id="rId30"/>
    <sheet name="Chemo-Map-all" sheetId="81" r:id="rId31"/>
    <sheet name="Rad-1" sheetId="89" r:id="rId32"/>
    <sheet name="Rad-2" sheetId="90" r:id="rId33"/>
    <sheet name="Rad-3" sheetId="91" r:id="rId34"/>
    <sheet name="Radio-Map-1" sheetId="92" r:id="rId35"/>
    <sheet name="Radio-Map-2" sheetId="93" r:id="rId36"/>
    <sheet name="Radio-Map2-1" sheetId="102" r:id="rId37"/>
    <sheet name="Radio-Map2-2" sheetId="103" r:id="rId38"/>
    <sheet name="Radio-Map-all" sheetId="104" r:id="rId39"/>
  </sheets>
  <definedNames>
    <definedName name="_xlnm._FilterDatabase" localSheetId="31" hidden="1">'Rad-1'!$A$5:$I$62</definedName>
    <definedName name="_xlnm._FilterDatabase" localSheetId="0" hidden="1">VariablesList!$C$1:$K$254</definedName>
    <definedName name="ImmunizationRecommendation.recommendation.supportingPatientInformation" localSheetId="5">'BaseMap-1'!#REF!</definedName>
    <definedName name="ImmunizationRecommendation.recommendation.supportingPatientInformation" localSheetId="34">'Radio-Map-1'!#REF!</definedName>
    <definedName name="MedicationStatement.medication_x_" localSheetId="26">'Chemo-Map-1'!$D$29</definedName>
    <definedName name="PatientRole" localSheetId="28">'Chemo-Map2-1'!$D$8</definedName>
    <definedName name="PatientRole" localSheetId="12">'Diag-Map2-1'!$D$8</definedName>
    <definedName name="PatientRole" localSheetId="36">'Radio-Map2-1'!$D$8</definedName>
    <definedName name="PatientRole" localSheetId="20">'Subj-Map2-1'!$D$8</definedName>
    <definedName name="PatientRole.addr" localSheetId="28">'Chemo-Map2-1'!$D$13</definedName>
    <definedName name="PatientRole.addr" localSheetId="12">'Diag-Map2-1'!$D$13</definedName>
    <definedName name="PatientRole.addr" localSheetId="36">'Radio-Map2-1'!$D$13</definedName>
    <definedName name="PatientRole.addr" localSheetId="20">'Subj-Map2-1'!$D$13</definedName>
    <definedName name="PatientRole.classCode" localSheetId="28">'Chemo-Map2-1'!$D$9</definedName>
    <definedName name="PatientRole.classCode" localSheetId="12">'Diag-Map2-1'!$D$9</definedName>
    <definedName name="PatientRole.classCode" localSheetId="36">'Radio-Map2-1'!$D$9</definedName>
    <definedName name="PatientRole.classCode" localSheetId="20">'Subj-Map2-1'!$D$9</definedName>
    <definedName name="PatientRole.identifiedBy" localSheetId="28">'Chemo-Map2-1'!$D$12</definedName>
    <definedName name="PatientRole.identifiedBy" localSheetId="12">'Diag-Map2-1'!$D$12</definedName>
    <definedName name="PatientRole.identifiedBy" localSheetId="36">'Radio-Map2-1'!$D$12</definedName>
    <definedName name="PatientRole.identifiedBy" localSheetId="20">'Subj-Map2-1'!$D$12</definedName>
    <definedName name="PatientRole.patient" localSheetId="28">'Chemo-Map2-1'!$D$15</definedName>
    <definedName name="PatientRole.patient" localSheetId="12">'Diag-Map2-1'!$D$15</definedName>
    <definedName name="PatientRole.patient" localSheetId="36">'Radio-Map2-1'!$D$15</definedName>
    <definedName name="PatientRole.patient" localSheetId="20">'Subj-Map2-1'!$D$15</definedName>
    <definedName name="PatientRole.providerOrganization" localSheetId="28">'Chemo-Map2-1'!$D$16</definedName>
    <definedName name="PatientRole.providerOrganization" localSheetId="12">'Diag-Map2-1'!$D$16</definedName>
    <definedName name="PatientRole.providerOrganization" localSheetId="36">'Radio-Map2-1'!$D$16</definedName>
    <definedName name="PatientRole.providerOrganization" localSheetId="20">'Subj-Map2-1'!$D$16</definedName>
    <definedName name="PatientRole.telecom" localSheetId="28">'Chemo-Map2-1'!$D$14</definedName>
    <definedName name="PatientRole.telecom" localSheetId="12">'Diag-Map2-1'!$D$14</definedName>
    <definedName name="PatientRole.telecom" localSheetId="36">'Radio-Map2-1'!$D$14</definedName>
    <definedName name="PatientRole.telecom" localSheetId="20">'Subj-Map2-1'!$D$14</definedName>
    <definedName name="PatientRole.templateId" localSheetId="28">'Chemo-Map2-1'!$D$11</definedName>
    <definedName name="PatientRole.templateId" localSheetId="12">'Diag-Map2-1'!$D$11</definedName>
    <definedName name="PatientRole.templateId" localSheetId="36">'Radio-Map2-1'!$D$11</definedName>
    <definedName name="PatientRole.templateId" localSheetId="20">'Subj-Map2-1'!$D$11</definedName>
    <definedName name="Product.code.medicinalProductCode" localSheetId="2">'Base-1'!#REF!</definedName>
    <definedName name="Product.code.medicinalProductCode" localSheetId="31">'Rad-1'!#REF!</definedName>
    <definedName name="Product.code.MPID" localSheetId="2">'Base-1'!#REF!</definedName>
    <definedName name="Product.code.MPID" localSheetId="31">'Rad-1'!#REF!</definedName>
    <definedName name="Product.code.packagedProductCode" localSheetId="2">'Base-1'!#REF!</definedName>
    <definedName name="Product.code.packagedProductCode" localSheetId="31">'Rad-1'!#REF!</definedName>
    <definedName name="Product.code.PCID" localSheetId="2">'Base-1'!#REF!</definedName>
    <definedName name="Product.code.PCID" localSheetId="31">'Rad-1'!#REF!</definedName>
    <definedName name="Product.code.pharmaceuticalProductCode" localSheetId="2">'Base-1'!#REF!</definedName>
    <definedName name="Product.code.pharmaceuticalProductCode" localSheetId="31">'Rad-1'!#REF!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 i="59" l="1"/>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34" i="59"/>
  <c r="E135" i="59"/>
  <c r="E136" i="59"/>
  <c r="E137" i="59"/>
  <c r="E138" i="59"/>
  <c r="E139" i="59"/>
  <c r="E140" i="59"/>
  <c r="E141" i="59"/>
  <c r="E142" i="59"/>
  <c r="E143" i="59"/>
  <c r="E144" i="59"/>
  <c r="E145" i="59"/>
  <c r="E146" i="59"/>
  <c r="E147" i="59"/>
  <c r="E148" i="59"/>
  <c r="E149" i="59"/>
  <c r="E150" i="59"/>
  <c r="E151" i="59"/>
  <c r="E152" i="59"/>
  <c r="E153" i="59"/>
  <c r="E154" i="59"/>
  <c r="E155" i="59"/>
  <c r="E156" i="59"/>
  <c r="E157" i="59"/>
  <c r="E158" i="59"/>
  <c r="E159" i="59"/>
  <c r="E160" i="59"/>
  <c r="E161" i="59"/>
  <c r="E162" i="59"/>
  <c r="E163" i="59"/>
  <c r="E164" i="59"/>
  <c r="E165" i="59"/>
  <c r="E166" i="59"/>
  <c r="E167" i="59"/>
  <c r="E168" i="59"/>
  <c r="E169" i="59"/>
  <c r="E170" i="59"/>
  <c r="E171" i="59"/>
  <c r="E172" i="59"/>
  <c r="E173" i="59"/>
  <c r="E174" i="59"/>
  <c r="E175" i="59"/>
  <c r="E176" i="59"/>
  <c r="E177" i="59"/>
  <c r="E178" i="59"/>
  <c r="E179" i="59"/>
  <c r="E180" i="59"/>
  <c r="E181" i="59"/>
  <c r="E182" i="59"/>
  <c r="E183" i="59"/>
  <c r="E184" i="59"/>
  <c r="E185" i="59"/>
  <c r="E186" i="59"/>
  <c r="E187" i="59"/>
  <c r="E188" i="59"/>
  <c r="E189" i="59"/>
  <c r="E190" i="59"/>
  <c r="E191" i="59"/>
  <c r="E192" i="59"/>
  <c r="E193" i="59"/>
  <c r="E194" i="59"/>
  <c r="E195" i="59"/>
  <c r="E196" i="59"/>
  <c r="E197" i="59"/>
  <c r="E198" i="59"/>
  <c r="E199" i="59"/>
  <c r="E200" i="59"/>
  <c r="E201" i="59"/>
  <c r="E202" i="59"/>
  <c r="E203" i="59"/>
  <c r="E204" i="59"/>
  <c r="E205" i="59"/>
  <c r="E206" i="59"/>
  <c r="E207" i="59"/>
  <c r="E208" i="59"/>
  <c r="E209" i="59"/>
  <c r="E210" i="59"/>
  <c r="E1" i="59"/>
  <c r="D210" i="76" a="1"/>
  <c r="D210" i="76"/>
  <c r="D211" i="76" a="1"/>
  <c r="D211" i="76" s="1"/>
  <c r="D212" i="76" a="1"/>
  <c r="D212" i="76"/>
  <c r="D213" i="76" a="1"/>
  <c r="D213" i="76" s="1"/>
  <c r="D214" i="76" a="1"/>
  <c r="D214" i="76"/>
  <c r="D215" i="76" a="1"/>
  <c r="D215" i="76" s="1"/>
  <c r="D216" i="76" a="1"/>
  <c r="D216" i="76"/>
  <c r="B27" i="75"/>
  <c r="C27" i="75"/>
  <c r="D27" i="75"/>
  <c r="E27" i="75"/>
  <c r="F27" i="75"/>
  <c r="G27" i="75"/>
  <c r="H27"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C16" i="75"/>
  <c r="D16" i="75"/>
  <c r="E16" i="75"/>
  <c r="F16" i="75"/>
  <c r="G16" i="75"/>
  <c r="H16" i="75"/>
  <c r="B17" i="75"/>
  <c r="C17" i="75"/>
  <c r="D17" i="75"/>
  <c r="E17" i="75"/>
  <c r="F17" i="75"/>
  <c r="G17" i="75"/>
  <c r="H17" i="75"/>
  <c r="B18" i="75"/>
  <c r="C18" i="75"/>
  <c r="D18" i="75"/>
  <c r="E18" i="75"/>
  <c r="F18" i="75"/>
  <c r="G18" i="75"/>
  <c r="H18" i="75"/>
  <c r="B19" i="75"/>
  <c r="C19" i="75"/>
  <c r="D19" i="75"/>
  <c r="E19" i="75"/>
  <c r="F19" i="75"/>
  <c r="G19" i="75"/>
  <c r="H19" i="75"/>
  <c r="B20" i="75"/>
  <c r="C20" i="75"/>
  <c r="D20" i="75"/>
  <c r="E20" i="75"/>
  <c r="F20" i="75"/>
  <c r="G20" i="75"/>
  <c r="H20" i="75"/>
  <c r="B21" i="75"/>
  <c r="C21" i="75"/>
  <c r="D21" i="75"/>
  <c r="E21" i="75"/>
  <c r="F21" i="75"/>
  <c r="G21" i="75"/>
  <c r="H21" i="75"/>
  <c r="B22" i="75"/>
  <c r="C22" i="75"/>
  <c r="D22" i="75"/>
  <c r="E22" i="75"/>
  <c r="F22" i="75"/>
  <c r="G22" i="75"/>
  <c r="H22" i="75"/>
  <c r="B23" i="75"/>
  <c r="C23" i="75"/>
  <c r="D23" i="75"/>
  <c r="E23" i="75"/>
  <c r="F23" i="75"/>
  <c r="G23" i="75"/>
  <c r="H23" i="75"/>
  <c r="B24" i="75"/>
  <c r="C24" i="75"/>
  <c r="D24" i="75"/>
  <c r="E24" i="75"/>
  <c r="F24" i="75"/>
  <c r="G24" i="75"/>
  <c r="H24" i="75"/>
  <c r="B25" i="75"/>
  <c r="C25" i="75"/>
  <c r="D25" i="75"/>
  <c r="E25" i="75"/>
  <c r="F25" i="75"/>
  <c r="G25" i="75"/>
  <c r="H25" i="75"/>
  <c r="B26" i="75"/>
  <c r="C26" i="75"/>
  <c r="D26" i="75"/>
  <c r="E26" i="75"/>
  <c r="F26" i="75"/>
  <c r="G26" i="75"/>
  <c r="H26" i="75"/>
  <c r="H28" i="77"/>
  <c r="I28" i="77" s="1"/>
  <c r="H29" i="77"/>
  <c r="I29" i="77" s="1"/>
  <c r="H30" i="77"/>
  <c r="I30" i="77"/>
  <c r="J30" i="77"/>
  <c r="H31" i="77"/>
  <c r="I31" i="77"/>
  <c r="J31" i="77"/>
  <c r="H32" i="77"/>
  <c r="I32" i="77" s="1"/>
  <c r="J32" i="77"/>
  <c r="H33" i="77"/>
  <c r="I33" i="77" s="1"/>
  <c r="H34" i="77"/>
  <c r="J34" i="77" s="1"/>
  <c r="I34" i="77"/>
  <c r="H35" i="77"/>
  <c r="I35" i="77"/>
  <c r="J35" i="77"/>
  <c r="H36" i="77"/>
  <c r="I36" i="77" s="1"/>
  <c r="H37" i="77"/>
  <c r="I37" i="77" s="1"/>
  <c r="H38" i="77"/>
  <c r="I38" i="77"/>
  <c r="J38" i="77"/>
  <c r="H39" i="77"/>
  <c r="I39" i="77"/>
  <c r="J39" i="77"/>
  <c r="H40" i="77"/>
  <c r="I40" i="77" s="1"/>
  <c r="J40" i="77"/>
  <c r="H41" i="77"/>
  <c r="I41" i="77" s="1"/>
  <c r="H42" i="77"/>
  <c r="J42" i="77" s="1"/>
  <c r="I42" i="77"/>
  <c r="H43" i="77"/>
  <c r="I43" i="77"/>
  <c r="J43" i="77"/>
  <c r="H44" i="77"/>
  <c r="I44" i="77" s="1"/>
  <c r="H45" i="77"/>
  <c r="I45" i="77" s="1"/>
  <c r="H46" i="77"/>
  <c r="I46" i="77"/>
  <c r="J46" i="77"/>
  <c r="H47" i="77"/>
  <c r="I47" i="77"/>
  <c r="J47" i="77"/>
  <c r="H48" i="77"/>
  <c r="I48" i="77" s="1"/>
  <c r="J48" i="77"/>
  <c r="H49" i="77"/>
  <c r="I49" i="77" s="1"/>
  <c r="H50" i="77"/>
  <c r="J50" i="77" s="1"/>
  <c r="I50" i="77"/>
  <c r="H51" i="77"/>
  <c r="I51" i="77"/>
  <c r="J51" i="77"/>
  <c r="H52" i="77"/>
  <c r="I52" i="77" s="1"/>
  <c r="H53" i="77"/>
  <c r="I53" i="77" s="1"/>
  <c r="H54" i="77"/>
  <c r="I54" i="77"/>
  <c r="J54" i="77"/>
  <c r="H27" i="77"/>
  <c r="I27" i="77" s="1"/>
  <c r="H20" i="77"/>
  <c r="I20" i="77" s="1"/>
  <c r="H21" i="77"/>
  <c r="I21" i="77" s="1"/>
  <c r="H22" i="77"/>
  <c r="J22" i="77" s="1"/>
  <c r="I22" i="77"/>
  <c r="H23" i="77"/>
  <c r="I23" i="77" s="1"/>
  <c r="J23" i="77"/>
  <c r="H24" i="77"/>
  <c r="I24" i="77" s="1"/>
  <c r="J24" i="77"/>
  <c r="H25" i="77"/>
  <c r="I25" i="77" s="1"/>
  <c r="H26" i="77"/>
  <c r="I26" i="77"/>
  <c r="J26" i="77"/>
  <c r="C21" i="77"/>
  <c r="B21" i="77"/>
  <c r="K27" i="77"/>
  <c r="C27" i="77"/>
  <c r="B27" i="77"/>
  <c r="K32" i="77"/>
  <c r="C32" i="77"/>
  <c r="B32" i="77"/>
  <c r="H11" i="77"/>
  <c r="H12" i="77"/>
  <c r="H13" i="77"/>
  <c r="H14" i="77"/>
  <c r="H15" i="77"/>
  <c r="J15" i="77" s="1"/>
  <c r="H16" i="77"/>
  <c r="H17" i="77"/>
  <c r="H18" i="77"/>
  <c r="H19" i="77"/>
  <c r="C8" i="77"/>
  <c r="C9" i="77"/>
  <c r="C10" i="77"/>
  <c r="C11" i="77"/>
  <c r="C12" i="77"/>
  <c r="C13" i="77"/>
  <c r="C14" i="77"/>
  <c r="C15" i="77"/>
  <c r="C16" i="77"/>
  <c r="C17" i="77"/>
  <c r="C18" i="77"/>
  <c r="C19" i="77"/>
  <c r="C20" i="77"/>
  <c r="C22" i="77"/>
  <c r="C23" i="77"/>
  <c r="C24" i="77"/>
  <c r="C25" i="77"/>
  <c r="C26" i="77"/>
  <c r="C28" i="77"/>
  <c r="C29" i="77"/>
  <c r="C30" i="77"/>
  <c r="C31" i="77"/>
  <c r="C33" i="77"/>
  <c r="C34" i="77"/>
  <c r="C35" i="77"/>
  <c r="C36" i="77"/>
  <c r="B8" i="77"/>
  <c r="B9" i="77"/>
  <c r="B10" i="77"/>
  <c r="B11" i="77"/>
  <c r="B12" i="77"/>
  <c r="B13" i="77"/>
  <c r="B14" i="77"/>
  <c r="B15" i="77"/>
  <c r="B16" i="77"/>
  <c r="B17" i="77"/>
  <c r="B18" i="77"/>
  <c r="B19" i="77"/>
  <c r="B20" i="77"/>
  <c r="B22" i="77"/>
  <c r="B23" i="77"/>
  <c r="B24" i="77"/>
  <c r="B25" i="77"/>
  <c r="B26" i="77"/>
  <c r="B28" i="77"/>
  <c r="B29" i="77"/>
  <c r="B30" i="77"/>
  <c r="B31" i="77"/>
  <c r="B33" i="77"/>
  <c r="B34" i="77"/>
  <c r="B35" i="77"/>
  <c r="B36" i="77"/>
  <c r="K31" i="77"/>
  <c r="J7" i="92"/>
  <c r="J53" i="77" l="1"/>
  <c r="J45" i="77"/>
  <c r="J37" i="77"/>
  <c r="J29" i="77"/>
  <c r="J52" i="77"/>
  <c r="J44" i="77"/>
  <c r="J28" i="77"/>
  <c r="J36" i="77"/>
  <c r="J49" i="77"/>
  <c r="J41" i="77"/>
  <c r="J33" i="77"/>
  <c r="J27" i="77"/>
  <c r="J21" i="77"/>
  <c r="J20" i="77"/>
  <c r="J25" i="77"/>
  <c r="J14" i="77"/>
  <c r="J13" i="77"/>
  <c r="J12" i="77"/>
  <c r="J19" i="77"/>
  <c r="J11" i="77"/>
  <c r="I18" i="77"/>
  <c r="J17" i="77"/>
  <c r="I17" i="77"/>
  <c r="J16" i="77"/>
  <c r="J18" i="77"/>
  <c r="I16" i="77"/>
  <c r="I15" i="77"/>
  <c r="I14" i="77"/>
  <c r="I13" i="77"/>
  <c r="I12" i="77"/>
  <c r="I19" i="77"/>
  <c r="I11" i="77"/>
  <c r="D32" i="93" a="1"/>
  <c r="D32" i="93" s="1"/>
  <c r="D32" i="104" s="1"/>
  <c r="D57" i="93" a="1"/>
  <c r="D57" i="93" s="1"/>
  <c r="D57" i="104" s="1"/>
  <c r="D58" i="93" a="1"/>
  <c r="D58" i="93" s="1"/>
  <c r="D58" i="104" s="1"/>
  <c r="D59" i="93" a="1"/>
  <c r="D59" i="93" s="1"/>
  <c r="D59" i="104" s="1"/>
  <c r="D74" i="93" a="1"/>
  <c r="D74" i="93" s="1"/>
  <c r="D74" i="104" s="1"/>
  <c r="D98" i="93" a="1"/>
  <c r="D98" i="93" s="1"/>
  <c r="D98" i="104" s="1"/>
  <c r="D122" i="93" a="1"/>
  <c r="D122" i="93" s="1"/>
  <c r="D122" i="104" s="1"/>
  <c r="D143" i="93" a="1"/>
  <c r="D143" i="93" s="1"/>
  <c r="D143" i="104" s="1"/>
  <c r="D146" i="93" a="1"/>
  <c r="D146" i="93" s="1"/>
  <c r="D146" i="104" s="1"/>
  <c r="D167" i="93" a="1"/>
  <c r="D167" i="93" s="1"/>
  <c r="D167" i="104" s="1"/>
  <c r="D170" i="93" a="1"/>
  <c r="D170" i="93" s="1"/>
  <c r="D170" i="104" s="1"/>
  <c r="D173" i="93" a="1"/>
  <c r="D173" i="93" s="1"/>
  <c r="D173" i="104" s="1"/>
  <c r="D176" i="93" a="1"/>
  <c r="D176" i="93" s="1"/>
  <c r="D176" i="104" s="1"/>
  <c r="D179" i="93" a="1"/>
  <c r="D179" i="93" s="1"/>
  <c r="D179" i="104" s="1"/>
  <c r="D182" i="93" a="1"/>
  <c r="D182" i="93" s="1"/>
  <c r="D182" i="104" s="1"/>
  <c r="D185" i="93" a="1"/>
  <c r="D185" i="93" s="1"/>
  <c r="D185" i="104" s="1"/>
  <c r="D188" i="93" a="1"/>
  <c r="D188" i="93" s="1"/>
  <c r="D188" i="104" s="1"/>
  <c r="D191" i="93" a="1"/>
  <c r="D191" i="93" s="1"/>
  <c r="D191"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0" i="104"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C34" i="102"/>
  <c r="C35" i="102"/>
  <c r="C36" i="102"/>
  <c r="N36" i="102" s="1"/>
  <c r="C37" i="102"/>
  <c r="C38" i="102"/>
  <c r="C39" i="102"/>
  <c r="C40" i="102"/>
  <c r="N40" i="102" s="1"/>
  <c r="C41" i="102"/>
  <c r="C9" i="102"/>
  <c r="C10" i="102"/>
  <c r="C11" i="102"/>
  <c r="C12" i="102"/>
  <c r="C13" i="102"/>
  <c r="C14" i="102"/>
  <c r="N14" i="102" s="1"/>
  <c r="C15" i="102"/>
  <c r="C16" i="102"/>
  <c r="N16" i="102" s="1"/>
  <c r="C17" i="102"/>
  <c r="C18" i="102"/>
  <c r="C19" i="102"/>
  <c r="C20" i="102"/>
  <c r="C21" i="102"/>
  <c r="C22" i="102"/>
  <c r="N22" i="102" s="1"/>
  <c r="C23" i="102"/>
  <c r="C24" i="102"/>
  <c r="N24" i="102" s="1"/>
  <c r="C25" i="102"/>
  <c r="C26" i="102"/>
  <c r="C27" i="102"/>
  <c r="C28" i="102"/>
  <c r="C29" i="102"/>
  <c r="C30" i="102"/>
  <c r="N30" i="102" s="1"/>
  <c r="C31" i="102"/>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D166" i="103" s="1" a="1"/>
  <c r="D166" i="103" s="1"/>
  <c r="C165" i="103"/>
  <c r="B165" i="103"/>
  <c r="D165" i="103" s="1" a="1"/>
  <c r="D165" i="103" s="1"/>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3" i="103" s="1" a="1"/>
  <c r="D153" i="103" s="1"/>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D145" i="103" s="1" a="1"/>
  <c r="D145" i="103" s="1"/>
  <c r="C144" i="103"/>
  <c r="B144" i="103"/>
  <c r="C143" i="103"/>
  <c r="B143" i="103"/>
  <c r="D143" i="103" s="1" a="1"/>
  <c r="D143" i="103" s="1"/>
  <c r="C142" i="103"/>
  <c r="B142" i="103"/>
  <c r="D142" i="103" s="1" a="1"/>
  <c r="D142" i="103" s="1"/>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D131" i="103" s="1" a="1"/>
  <c r="D131" i="103" s="1"/>
  <c r="B131" i="103"/>
  <c r="C130" i="103"/>
  <c r="B130" i="103"/>
  <c r="C129" i="103"/>
  <c r="B129" i="103"/>
  <c r="D128" i="103" a="1"/>
  <c r="D128" i="103" s="1"/>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D77" i="103" s="1" a="1"/>
  <c r="D77" i="103" s="1"/>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D65" i="103" s="1" a="1"/>
  <c r="D65" i="103" s="1"/>
  <c r="C64" i="103"/>
  <c r="B64" i="103"/>
  <c r="C63" i="103"/>
  <c r="B63" i="103"/>
  <c r="C62" i="103"/>
  <c r="B62" i="103"/>
  <c r="C61" i="103"/>
  <c r="D61" i="103" s="1" a="1"/>
  <c r="D61" i="103" s="1"/>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D38" i="103" s="1" a="1"/>
  <c r="D38" i="103" s="1"/>
  <c r="B38" i="103"/>
  <c r="C37" i="103"/>
  <c r="B37" i="103"/>
  <c r="C36" i="103"/>
  <c r="B36" i="103"/>
  <c r="C35" i="103"/>
  <c r="B35" i="103"/>
  <c r="D35" i="103" s="1" a="1"/>
  <c r="D35" i="103" s="1"/>
  <c r="C34" i="103"/>
  <c r="B34" i="103"/>
  <c r="C33" i="103"/>
  <c r="B33" i="103"/>
  <c r="C32" i="103"/>
  <c r="B32" i="103"/>
  <c r="C31" i="103"/>
  <c r="B31" i="103"/>
  <c r="C30" i="103"/>
  <c r="B30" i="103"/>
  <c r="C29" i="103"/>
  <c r="B29" i="103"/>
  <c r="C28" i="103"/>
  <c r="B28" i="103"/>
  <c r="C27" i="103"/>
  <c r="B27" i="103"/>
  <c r="C26" i="103"/>
  <c r="B26" i="103"/>
  <c r="D26" i="103" s="1" a="1"/>
  <c r="D26" i="103" s="1"/>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D14" i="103" s="1" a="1"/>
  <c r="D14" i="103" s="1"/>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K47" i="102"/>
  <c r="K46" i="102"/>
  <c r="D122" i="103" s="1" a="1"/>
  <c r="D122" i="103" s="1"/>
  <c r="K45" i="102"/>
  <c r="K44" i="102"/>
  <c r="D114" i="103" a="1"/>
  <c r="D114" i="103" s="1"/>
  <c r="K43" i="102"/>
  <c r="D112" i="103" a="1"/>
  <c r="D112" i="103" s="1"/>
  <c r="K42" i="102"/>
  <c r="N41" i="102"/>
  <c r="K41" i="102"/>
  <c r="K40" i="102"/>
  <c r="D104" i="103" s="1" a="1"/>
  <c r="D104" i="103" s="1"/>
  <c r="N39" i="102"/>
  <c r="K39" i="102"/>
  <c r="N38" i="102"/>
  <c r="K38" i="102"/>
  <c r="D98" i="103" s="1" a="1"/>
  <c r="D98" i="103" s="1"/>
  <c r="N37" i="102"/>
  <c r="K37" i="102"/>
  <c r="K36" i="102"/>
  <c r="N35" i="102"/>
  <c r="K35" i="102"/>
  <c r="D87" i="103" a="1"/>
  <c r="D87" i="103" s="1"/>
  <c r="N34" i="102"/>
  <c r="K34" i="102"/>
  <c r="N33" i="102"/>
  <c r="K33" i="102"/>
  <c r="K32" i="102"/>
  <c r="D80" i="103" s="1" a="1"/>
  <c r="D80" i="103" s="1"/>
  <c r="N31" i="102"/>
  <c r="K31" i="102"/>
  <c r="K30" i="102"/>
  <c r="K29" i="102"/>
  <c r="D71" i="103" s="1" a="1"/>
  <c r="D71" i="103" s="1"/>
  <c r="K28" i="102"/>
  <c r="D68" i="103" s="1" a="1"/>
  <c r="D68" i="103" s="1"/>
  <c r="N28" i="102"/>
  <c r="N27" i="102"/>
  <c r="K27" i="102"/>
  <c r="D64" i="103" a="1"/>
  <c r="D64" i="103" s="1"/>
  <c r="K26" i="102"/>
  <c r="N26" i="102"/>
  <c r="N25" i="102"/>
  <c r="K25" i="102"/>
  <c r="K24" i="102"/>
  <c r="N23" i="102"/>
  <c r="K23" i="102"/>
  <c r="K22" i="102"/>
  <c r="K21" i="102"/>
  <c r="K20" i="102"/>
  <c r="N20" i="102"/>
  <c r="N19" i="102"/>
  <c r="K19" i="102"/>
  <c r="K18" i="102"/>
  <c r="N18" i="102"/>
  <c r="N17" i="102"/>
  <c r="K17" i="102"/>
  <c r="K16" i="102"/>
  <c r="N15" i="102"/>
  <c r="K15" i="102"/>
  <c r="K14" i="102"/>
  <c r="K13" i="102"/>
  <c r="K12" i="102"/>
  <c r="N12" i="102"/>
  <c r="N11" i="102"/>
  <c r="K11" i="102"/>
  <c r="K10" i="102"/>
  <c r="N10" i="102"/>
  <c r="N9" i="102"/>
  <c r="K9" i="102"/>
  <c r="K8" i="102"/>
  <c r="K7" i="102"/>
  <c r="J7" i="102"/>
  <c r="I7" i="102"/>
  <c r="D3" i="103" s="1" a="1"/>
  <c r="D3" i="103" s="1"/>
  <c r="H7" i="102"/>
  <c r="N6" i="102"/>
  <c r="N4" i="102"/>
  <c r="C4" i="102"/>
  <c r="N3" i="102"/>
  <c r="C3" i="102"/>
  <c r="N2" i="102"/>
  <c r="C2" i="102"/>
  <c r="N5" i="102" s="1"/>
  <c r="C1" i="102"/>
  <c r="I68" i="92"/>
  <c r="D187" i="93" s="1" a="1"/>
  <c r="D187" i="93" s="1"/>
  <c r="D187" i="104" s="1"/>
  <c r="I69" i="92"/>
  <c r="D190" i="93" s="1" a="1"/>
  <c r="D190" i="93" s="1"/>
  <c r="D190" i="104" s="1"/>
  <c r="H70" i="92"/>
  <c r="D192" i="93" s="1" a="1"/>
  <c r="D192" i="93" s="1"/>
  <c r="D192" i="104" s="1"/>
  <c r="G63" i="92"/>
  <c r="H63" i="92" s="1"/>
  <c r="D171" i="93" s="1" a="1"/>
  <c r="D171" i="93" s="1"/>
  <c r="D171" i="104" s="1"/>
  <c r="G64" i="92"/>
  <c r="I64" i="92" s="1"/>
  <c r="D175" i="93" s="1" a="1"/>
  <c r="D175" i="93" s="1"/>
  <c r="D175" i="104" s="1"/>
  <c r="G65" i="92"/>
  <c r="H65" i="92" s="1"/>
  <c r="D177" i="93" s="1" a="1"/>
  <c r="D177" i="93" s="1"/>
  <c r="D177" i="104" s="1"/>
  <c r="G66" i="92"/>
  <c r="I66" i="92" s="1"/>
  <c r="D181" i="93" s="1" a="1"/>
  <c r="D181" i="93" s="1"/>
  <c r="D181" i="104" s="1"/>
  <c r="G67" i="92"/>
  <c r="G68" i="92"/>
  <c r="H68" i="92" s="1"/>
  <c r="D186" i="93" s="1" a="1"/>
  <c r="D186" i="93" s="1"/>
  <c r="D186" i="104" s="1"/>
  <c r="G69" i="92"/>
  <c r="H69" i="92" s="1"/>
  <c r="D189" i="93" s="1" a="1"/>
  <c r="D189" i="93" s="1"/>
  <c r="D189" i="104" s="1"/>
  <c r="G70" i="92"/>
  <c r="I70" i="92" s="1"/>
  <c r="D193" i="93" s="1" a="1"/>
  <c r="D193" i="93" s="1"/>
  <c r="D193" i="104" s="1"/>
  <c r="H45" i="92"/>
  <c r="D117" i="93" s="1" a="1"/>
  <c r="D117" i="93" s="1"/>
  <c r="D117" i="104" s="1"/>
  <c r="G45" i="92"/>
  <c r="I45" i="92" s="1"/>
  <c r="D118" i="93" s="1" a="1"/>
  <c r="D118" i="93" s="1"/>
  <c r="D118" i="104" s="1"/>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6" i="92"/>
  <c r="D62" i="93" s="1" a="1"/>
  <c r="D62" i="93" s="1"/>
  <c r="D62" i="104" s="1"/>
  <c r="J27" i="92"/>
  <c r="D65" i="93" s="1" a="1"/>
  <c r="D65" i="93" s="1"/>
  <c r="D65" i="104" s="1"/>
  <c r="J28" i="92"/>
  <c r="D68" i="93" s="1" a="1"/>
  <c r="D68" i="93" s="1"/>
  <c r="D68" i="104" s="1"/>
  <c r="J29" i="92"/>
  <c r="D71" i="93" s="1" a="1"/>
  <c r="D71" i="93" s="1"/>
  <c r="D71" i="104" s="1"/>
  <c r="J30" i="92"/>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J54" i="92"/>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J62" i="92"/>
  <c r="C45" i="92"/>
  <c r="B45" i="92"/>
  <c r="I65" i="92" l="1"/>
  <c r="D178" i="93" s="1" a="1"/>
  <c r="D178" i="93" s="1"/>
  <c r="D178" i="104" s="1"/>
  <c r="I63" i="92"/>
  <c r="D172" i="93" s="1" a="1"/>
  <c r="D172" i="93" s="1"/>
  <c r="D172" i="104" s="1"/>
  <c r="H66" i="92"/>
  <c r="D180" i="93" s="1" a="1"/>
  <c r="D180" i="93" s="1"/>
  <c r="D180" i="104" s="1"/>
  <c r="H67" i="92"/>
  <c r="D183" i="93" s="1" a="1"/>
  <c r="D183" i="93" s="1"/>
  <c r="D183" i="104" s="1"/>
  <c r="I67" i="92"/>
  <c r="D184" i="93" s="1" a="1"/>
  <c r="D184" i="93" s="1"/>
  <c r="D184" i="104" s="1"/>
  <c r="H64" i="92"/>
  <c r="D174" i="93" s="1" a="1"/>
  <c r="D174" i="93" s="1"/>
  <c r="D174" i="104" s="1"/>
  <c r="D156" i="103" a="1"/>
  <c r="D156" i="103" s="1"/>
  <c r="D168" i="103" a="1"/>
  <c r="D168" i="103" s="1"/>
  <c r="D180" i="103" a="1"/>
  <c r="D180" i="103" s="1"/>
  <c r="D192" i="103" a="1"/>
  <c r="D192" i="103" s="1"/>
  <c r="D204" i="103" a="1"/>
  <c r="D204" i="103" s="1"/>
  <c r="J74" i="102"/>
  <c r="D205" i="103" s="1" a="1"/>
  <c r="D205" i="103" s="1"/>
  <c r="J66" i="102"/>
  <c r="D181" i="103" s="1" a="1"/>
  <c r="D181" i="103" s="1"/>
  <c r="J58" i="102"/>
  <c r="D135" i="103" a="1"/>
  <c r="D135" i="103" s="1"/>
  <c r="D150" i="103" a="1"/>
  <c r="D150" i="103" s="1"/>
  <c r="D139" i="103" a="1"/>
  <c r="D139" i="103" s="1"/>
  <c r="D174" i="103" a="1"/>
  <c r="D174" i="103" s="1"/>
  <c r="D186" i="103" a="1"/>
  <c r="D186" i="103" s="1"/>
  <c r="D198" i="103" a="1"/>
  <c r="D198" i="103" s="1"/>
  <c r="D162" i="103" a="1"/>
  <c r="D162" i="103" s="1"/>
  <c r="D151" i="103" a="1"/>
  <c r="D151"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7" i="103" a="1"/>
  <c r="D157" i="103" s="1"/>
  <c r="D141" i="103" a="1"/>
  <c r="D141" i="103" s="1"/>
  <c r="D66" i="103" a="1"/>
  <c r="D66" i="103" s="1"/>
  <c r="J47" i="102"/>
  <c r="D124" i="103" s="1" a="1"/>
  <c r="D124" i="103" s="1"/>
  <c r="J39" i="102"/>
  <c r="J31" i="102"/>
  <c r="J23" i="102"/>
  <c r="D52" i="103" s="1" a="1"/>
  <c r="D52" i="103" s="1"/>
  <c r="J15" i="102"/>
  <c r="D10" i="103" a="1"/>
  <c r="D10" i="103" s="1"/>
  <c r="D73" i="103" a="1"/>
  <c r="D73" i="103" s="1"/>
  <c r="D34" i="103" a="1"/>
  <c r="D34" i="103" s="1"/>
  <c r="D42" i="103" a="1"/>
  <c r="D42" i="103" s="1"/>
  <c r="D46" i="103" a="1"/>
  <c r="D46" i="103" s="1"/>
  <c r="D58" i="103" a="1"/>
  <c r="D58" i="103" s="1"/>
  <c r="D7" i="103" a="1"/>
  <c r="D7" i="103" s="1"/>
  <c r="J48" i="102"/>
  <c r="J40" i="102"/>
  <c r="J32" i="102"/>
  <c r="J24" i="102"/>
  <c r="J16" i="102"/>
  <c r="J8" i="102"/>
  <c r="D6" i="103" a="1"/>
  <c r="D6" i="103" s="1"/>
  <c r="D18" i="103" a="1"/>
  <c r="D18" i="103" s="1"/>
  <c r="D121" i="103" a="1"/>
  <c r="D121" i="103" s="1"/>
  <c r="D125" i="103" a="1"/>
  <c r="D125" i="103" s="1"/>
  <c r="D134" i="103" a="1"/>
  <c r="D134" i="103" s="1"/>
  <c r="D127" i="103" a="1"/>
  <c r="D127"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76" i="103" a="1"/>
  <c r="D76"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1" i="103" a="1"/>
  <c r="D31"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79" i="103" a="1"/>
  <c r="D79" i="103" s="1"/>
  <c r="D126" i="103" a="1"/>
  <c r="D126" i="103" s="1"/>
  <c r="D33" i="103" a="1"/>
  <c r="D33" i="103" s="1"/>
  <c r="D57" i="103" a="1"/>
  <c r="D57" i="103" s="1"/>
  <c r="D115" i="103" a="1"/>
  <c r="D115" i="103" s="1"/>
  <c r="D9" i="103" a="1"/>
  <c r="D9" i="103" s="1"/>
  <c r="D100" i="103" a="1"/>
  <c r="D100"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B27" i="92"/>
  <c r="C27" i="92"/>
  <c r="M27" i="92" s="1"/>
  <c r="G27" i="92"/>
  <c r="B42" i="92"/>
  <c r="B43" i="92"/>
  <c r="B44" i="92"/>
  <c r="B46" i="92"/>
  <c r="B47" i="92"/>
  <c r="B48" i="92"/>
  <c r="B49" i="92"/>
  <c r="B50" i="92"/>
  <c r="B51" i="92"/>
  <c r="B52" i="92"/>
  <c r="B53" i="92"/>
  <c r="B54" i="92"/>
  <c r="B55" i="92"/>
  <c r="B56" i="92"/>
  <c r="B57" i="92"/>
  <c r="B58" i="92"/>
  <c r="B59" i="92"/>
  <c r="B60" i="92"/>
  <c r="B61" i="92"/>
  <c r="B62" i="92"/>
  <c r="B63" i="92"/>
  <c r="B64" i="92"/>
  <c r="B65" i="92"/>
  <c r="B66" i="92"/>
  <c r="B40" i="92"/>
  <c r="B41" i="92"/>
  <c r="B8" i="92"/>
  <c r="J8" i="92" s="1"/>
  <c r="D8" i="93" s="1" a="1"/>
  <c r="D8" i="93" s="1"/>
  <c r="D8" i="104" s="1"/>
  <c r="B9" i="92"/>
  <c r="B10" i="92"/>
  <c r="B11" i="92"/>
  <c r="B12" i="92"/>
  <c r="B13" i="92"/>
  <c r="B14" i="92"/>
  <c r="B15" i="92"/>
  <c r="B16" i="92"/>
  <c r="B17" i="92"/>
  <c r="B18" i="92"/>
  <c r="B19" i="92"/>
  <c r="B20" i="92"/>
  <c r="B21" i="92"/>
  <c r="B22" i="92"/>
  <c r="B23" i="92"/>
  <c r="B24" i="92"/>
  <c r="B26" i="92"/>
  <c r="B28" i="92"/>
  <c r="B29" i="92"/>
  <c r="B30" i="92"/>
  <c r="B31" i="92"/>
  <c r="B32" i="92"/>
  <c r="B33" i="92"/>
  <c r="B34" i="92"/>
  <c r="B35" i="92"/>
  <c r="B36" i="92"/>
  <c r="B37" i="92"/>
  <c r="B38" i="92"/>
  <c r="B39" i="92"/>
  <c r="C8" i="92"/>
  <c r="C9" i="92"/>
  <c r="C10" i="92"/>
  <c r="C11" i="92"/>
  <c r="C12" i="92"/>
  <c r="C13" i="92"/>
  <c r="C14" i="92"/>
  <c r="C15" i="92"/>
  <c r="C16" i="92"/>
  <c r="C17" i="92"/>
  <c r="C18" i="92"/>
  <c r="C19" i="92"/>
  <c r="C20" i="92"/>
  <c r="C21" i="92"/>
  <c r="C22" i="92"/>
  <c r="C23" i="92"/>
  <c r="C24" i="92"/>
  <c r="C26" i="92"/>
  <c r="C28" i="92"/>
  <c r="C29" i="92"/>
  <c r="C30" i="92"/>
  <c r="C31" i="92"/>
  <c r="C32" i="92"/>
  <c r="C33" i="92"/>
  <c r="C34" i="92"/>
  <c r="C35" i="92"/>
  <c r="C36" i="92"/>
  <c r="C37" i="92"/>
  <c r="C38" i="92"/>
  <c r="C39" i="92"/>
  <c r="C40" i="92"/>
  <c r="C41" i="92"/>
  <c r="C42" i="92"/>
  <c r="C43" i="92"/>
  <c r="C44" i="92"/>
  <c r="C46" i="92"/>
  <c r="C47" i="92"/>
  <c r="C48" i="92"/>
  <c r="C49" i="92"/>
  <c r="C50" i="92"/>
  <c r="C51" i="92"/>
  <c r="C52" i="92"/>
  <c r="C53" i="92"/>
  <c r="C54" i="92"/>
  <c r="C55" i="92"/>
  <c r="C56" i="92"/>
  <c r="C57" i="92"/>
  <c r="C58" i="92"/>
  <c r="C59" i="92"/>
  <c r="C60" i="92"/>
  <c r="C61" i="92"/>
  <c r="C62" i="92"/>
  <c r="C63" i="92"/>
  <c r="C64" i="92"/>
  <c r="C65" i="92"/>
  <c r="C66" i="92"/>
  <c r="D69" i="78" a="1"/>
  <c r="D69" i="78" s="1"/>
  <c r="D70" i="78" a="1"/>
  <c r="D70" i="78" s="1"/>
  <c r="K8" i="77"/>
  <c r="D8" i="78" s="1" a="1"/>
  <c r="D8" i="78" s="1"/>
  <c r="K9" i="77"/>
  <c r="D11" i="78" s="1" a="1"/>
  <c r="D11" i="78" s="1"/>
  <c r="D11" i="81" s="1"/>
  <c r="K10" i="77"/>
  <c r="D14" i="78" s="1" a="1"/>
  <c r="D14" i="78" s="1"/>
  <c r="D14" i="81" s="1"/>
  <c r="K11" i="77"/>
  <c r="D17" i="78" s="1" a="1"/>
  <c r="D17" i="78" s="1"/>
  <c r="D17" i="81" s="1"/>
  <c r="K12" i="77"/>
  <c r="D20" i="78" s="1" a="1"/>
  <c r="D20" i="78" s="1"/>
  <c r="D20" i="81" s="1"/>
  <c r="K13" i="77"/>
  <c r="D23" i="78" s="1" a="1"/>
  <c r="D23" i="78" s="1"/>
  <c r="D23" i="81" s="1"/>
  <c r="K14" i="77"/>
  <c r="D26" i="78" s="1" a="1"/>
  <c r="D26" i="78" s="1"/>
  <c r="D26" i="81" s="1"/>
  <c r="K15" i="77"/>
  <c r="D29" i="78" s="1" a="1"/>
  <c r="D29" i="78" s="1"/>
  <c r="K16" i="77"/>
  <c r="D32" i="78" s="1" a="1"/>
  <c r="D32" i="78" s="1"/>
  <c r="D32" i="81" s="1"/>
  <c r="K17" i="77"/>
  <c r="D35" i="78" s="1" a="1"/>
  <c r="D35" i="78" s="1"/>
  <c r="D35" i="81" s="1"/>
  <c r="K18" i="77"/>
  <c r="D38" i="78" s="1" a="1"/>
  <c r="D38" i="78" s="1"/>
  <c r="D38" i="81" s="1"/>
  <c r="K19" i="77"/>
  <c r="D41" i="78" s="1" a="1"/>
  <c r="D41" i="78" s="1"/>
  <c r="D41" i="81" s="1"/>
  <c r="K20" i="77"/>
  <c r="D44" i="78" s="1" a="1"/>
  <c r="D44" i="78" s="1"/>
  <c r="D44" i="81" s="1"/>
  <c r="K22" i="77"/>
  <c r="D47" i="78" s="1" a="1"/>
  <c r="D47" i="78" s="1"/>
  <c r="D47" i="81" s="1"/>
  <c r="K23" i="77"/>
  <c r="D50" i="78" s="1" a="1"/>
  <c r="D50" i="78" s="1"/>
  <c r="D50" i="81" s="1"/>
  <c r="K24" i="77"/>
  <c r="K25" i="77"/>
  <c r="D56" i="78" s="1" a="1"/>
  <c r="D56" i="78" s="1"/>
  <c r="D56" i="81" s="1"/>
  <c r="K26" i="77"/>
  <c r="D59" i="78" s="1" a="1"/>
  <c r="D59" i="78" s="1"/>
  <c r="D59" i="81" s="1"/>
  <c r="K28" i="77"/>
  <c r="D62" i="78" s="1" a="1"/>
  <c r="D62" i="78" s="1"/>
  <c r="D62" i="81" s="1"/>
  <c r="K29" i="77"/>
  <c r="D71" i="78" s="1" a="1"/>
  <c r="D71" i="78" s="1"/>
  <c r="D71" i="81" s="1"/>
  <c r="K30" i="77"/>
  <c r="D68" i="78" s="1" a="1"/>
  <c r="D68" i="78" s="1"/>
  <c r="D68" i="81" s="1"/>
  <c r="K33" i="77"/>
  <c r="D74" i="78" s="1" a="1"/>
  <c r="D74" i="78" s="1"/>
  <c r="D74" i="81" s="1"/>
  <c r="K34" i="77"/>
  <c r="K35" i="77"/>
  <c r="D80" i="78" s="1" a="1"/>
  <c r="D80" i="78" s="1"/>
  <c r="D80" i="81" s="1"/>
  <c r="K36" i="77"/>
  <c r="K37" i="77"/>
  <c r="K38" i="77"/>
  <c r="D89" i="78" s="1" a="1"/>
  <c r="D89" i="78" s="1"/>
  <c r="D89" i="81" s="1"/>
  <c r="K39" i="77"/>
  <c r="K40" i="77"/>
  <c r="D95" i="78" s="1" a="1"/>
  <c r="D95" i="78" s="1"/>
  <c r="D95" i="81" s="1"/>
  <c r="K41" i="77"/>
  <c r="K42" i="77"/>
  <c r="K43" i="77"/>
  <c r="D104" i="78" s="1" a="1"/>
  <c r="D104" i="78" s="1"/>
  <c r="D104" i="81" s="1"/>
  <c r="K44" i="77"/>
  <c r="K45" i="77"/>
  <c r="K46" i="77"/>
  <c r="D113" i="78" s="1" a="1"/>
  <c r="D113" i="78" s="1"/>
  <c r="K47" i="77"/>
  <c r="D116" i="78" s="1" a="1"/>
  <c r="D116" i="78" s="1"/>
  <c r="K48" i="77"/>
  <c r="D119" i="78" s="1" a="1"/>
  <c r="D119" i="78" s="1"/>
  <c r="K49" i="77"/>
  <c r="K50" i="77"/>
  <c r="K51" i="77"/>
  <c r="D125" i="78" s="1" a="1"/>
  <c r="D125" i="78" s="1"/>
  <c r="K52" i="77"/>
  <c r="K53" i="77"/>
  <c r="K54" i="77"/>
  <c r="H8" i="77"/>
  <c r="J8" i="77" s="1"/>
  <c r="D7" i="78" s="1" a="1"/>
  <c r="D7" i="78" s="1"/>
  <c r="H9" i="77"/>
  <c r="I9" i="77" s="1"/>
  <c r="D9" i="78" s="1" a="1"/>
  <c r="D9" i="78" s="1"/>
  <c r="H10" i="77"/>
  <c r="D84" i="78" a="1"/>
  <c r="D84" i="78" s="1"/>
  <c r="D88" i="78" a="1"/>
  <c r="D88" i="78" s="1"/>
  <c r="D91" i="78" a="1"/>
  <c r="D91" i="78" s="1"/>
  <c r="D94" i="78" a="1"/>
  <c r="D94" i="78" s="1"/>
  <c r="D103" i="78" a="1"/>
  <c r="D103" i="78" s="1"/>
  <c r="D112" i="78" a="1"/>
  <c r="D112" i="78" s="1"/>
  <c r="D118" i="78" a="1"/>
  <c r="D118" i="78" s="1"/>
  <c r="D127" i="78" a="1"/>
  <c r="D127" i="78" s="1"/>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D75" i="78" a="1"/>
  <c r="D75" i="78" s="1"/>
  <c r="D78" i="78" a="1"/>
  <c r="D78" i="78" s="1"/>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D186" i="91" s="1" a="1"/>
  <c r="D186" i="91" s="1"/>
  <c r="J18" i="90"/>
  <c r="I19" i="90"/>
  <c r="J19" i="90"/>
  <c r="D196" i="91" s="1" a="1"/>
  <c r="D196" i="91" s="1"/>
  <c r="I20" i="90"/>
  <c r="D204" i="91" s="1" a="1"/>
  <c r="D204" i="91" s="1"/>
  <c r="J20" i="90"/>
  <c r="D205" i="91" s="1" a="1"/>
  <c r="D205" i="91" s="1"/>
  <c r="I21" i="90"/>
  <c r="D213" i="91" s="1" a="1"/>
  <c r="D213" i="91" s="1"/>
  <c r="J21" i="90"/>
  <c r="D214" i="91" s="1" a="1"/>
  <c r="D214" i="91" s="1"/>
  <c r="I22" i="90"/>
  <c r="D222" i="91" s="1" a="1"/>
  <c r="D222" i="91" s="1"/>
  <c r="J22" i="90"/>
  <c r="I23" i="90"/>
  <c r="J23" i="90"/>
  <c r="D232" i="91" s="1" a="1"/>
  <c r="D232" i="91" s="1"/>
  <c r="I24" i="90"/>
  <c r="D240" i="91" s="1" a="1"/>
  <c r="D240" i="91" s="1"/>
  <c r="J24" i="90"/>
  <c r="D241" i="91" s="1" a="1"/>
  <c r="D241" i="91" s="1"/>
  <c r="I25" i="90"/>
  <c r="D249" i="91" s="1" a="1"/>
  <c r="D249" i="91" s="1"/>
  <c r="J25" i="90"/>
  <c r="D250" i="91" s="1" a="1"/>
  <c r="D250" i="91" s="1"/>
  <c r="I26" i="90"/>
  <c r="D258" i="91" s="1" a="1"/>
  <c r="D258" i="91" s="1"/>
  <c r="J26" i="90"/>
  <c r="I27" i="90"/>
  <c r="J27" i="90"/>
  <c r="D268" i="91" s="1" a="1"/>
  <c r="D268" i="91" s="1"/>
  <c r="I28" i="90"/>
  <c r="D276" i="91" s="1" a="1"/>
  <c r="D276" i="91" s="1"/>
  <c r="J28" i="90"/>
  <c r="D277" i="91" s="1" a="1"/>
  <c r="D277" i="91" s="1"/>
  <c r="I29" i="90"/>
  <c r="D285" i="91" s="1" a="1"/>
  <c r="D285" i="91" s="1"/>
  <c r="J29" i="90"/>
  <c r="D286" i="91" s="1" a="1"/>
  <c r="D286" i="91" s="1"/>
  <c r="I30" i="90"/>
  <c r="D294" i="91" s="1" a="1"/>
  <c r="D294" i="91" s="1"/>
  <c r="J30" i="90"/>
  <c r="I31" i="90"/>
  <c r="J31" i="90"/>
  <c r="D304" i="91" s="1" a="1"/>
  <c r="D304" i="91" s="1"/>
  <c r="I32" i="90"/>
  <c r="D312" i="91" s="1" a="1"/>
  <c r="D312" i="91" s="1"/>
  <c r="J32" i="90"/>
  <c r="D313" i="91" s="1" a="1"/>
  <c r="D313" i="91" s="1"/>
  <c r="I33" i="90"/>
  <c r="D321" i="91" s="1" a="1"/>
  <c r="D321" i="91" s="1"/>
  <c r="J33" i="90"/>
  <c r="D322" i="91" s="1" a="1"/>
  <c r="D322" i="91" s="1"/>
  <c r="I34" i="90"/>
  <c r="D330" i="91" s="1" a="1"/>
  <c r="D330" i="91" s="1"/>
  <c r="J34" i="90"/>
  <c r="D331" i="91" s="1" a="1"/>
  <c r="D331" i="91" s="1"/>
  <c r="I35" i="90"/>
  <c r="J35" i="90"/>
  <c r="D340" i="91" s="1" a="1"/>
  <c r="D340" i="91" s="1"/>
  <c r="I36" i="90"/>
  <c r="D348" i="91" s="1" a="1"/>
  <c r="D348" i="91" s="1"/>
  <c r="J36" i="90"/>
  <c r="D349" i="91" s="1" a="1"/>
  <c r="D349" i="91" s="1"/>
  <c r="I37" i="90"/>
  <c r="D357" i="91" s="1" a="1"/>
  <c r="D357" i="91" s="1"/>
  <c r="J37" i="90"/>
  <c r="D358" i="91" s="1" a="1"/>
  <c r="D358" i="91" s="1"/>
  <c r="I38" i="90"/>
  <c r="D366" i="91" s="1" a="1"/>
  <c r="D366" i="91" s="1"/>
  <c r="J38" i="90"/>
  <c r="I39" i="90"/>
  <c r="J39" i="90"/>
  <c r="D376" i="91" s="1" a="1"/>
  <c r="D376" i="91" s="1"/>
  <c r="I40" i="90"/>
  <c r="D384" i="91" s="1" a="1"/>
  <c r="D384" i="91" s="1"/>
  <c r="J40" i="90"/>
  <c r="D385" i="91" s="1" a="1"/>
  <c r="D385" i="91" s="1"/>
  <c r="I41" i="90"/>
  <c r="D393" i="91" s="1" a="1"/>
  <c r="D393" i="91" s="1"/>
  <c r="J41" i="90"/>
  <c r="D394" i="91" s="1" a="1"/>
  <c r="D394" i="91" s="1"/>
  <c r="I42" i="90"/>
  <c r="D402" i="91" s="1" a="1"/>
  <c r="D402" i="91" s="1"/>
  <c r="J42" i="90"/>
  <c r="I43" i="90"/>
  <c r="J43" i="90"/>
  <c r="D412" i="91" s="1" a="1"/>
  <c r="D412" i="91" s="1"/>
  <c r="I44" i="90"/>
  <c r="D420" i="91" s="1" a="1"/>
  <c r="D420" i="91" s="1"/>
  <c r="J44" i="90"/>
  <c r="D421" i="91" s="1" a="1"/>
  <c r="D421" i="91" s="1"/>
  <c r="I45" i="90"/>
  <c r="D429" i="91" s="1" a="1"/>
  <c r="D429" i="91" s="1"/>
  <c r="J45" i="90"/>
  <c r="D430" i="91" s="1" a="1"/>
  <c r="D430" i="91" s="1"/>
  <c r="I46" i="90"/>
  <c r="D438" i="91" s="1" a="1"/>
  <c r="D438" i="91" s="1"/>
  <c r="J46" i="90"/>
  <c r="I47" i="90"/>
  <c r="J47" i="90"/>
  <c r="D448" i="91" s="1" a="1"/>
  <c r="D448" i="91" s="1"/>
  <c r="I48" i="90"/>
  <c r="D456" i="91" s="1" a="1"/>
  <c r="D456" i="91" s="1"/>
  <c r="J48" i="90"/>
  <c r="D457" i="91" s="1" a="1"/>
  <c r="D457" i="91" s="1"/>
  <c r="I49" i="90"/>
  <c r="D465" i="91" s="1" a="1"/>
  <c r="D465" i="91" s="1"/>
  <c r="J49" i="90"/>
  <c r="D466" i="91" s="1" a="1"/>
  <c r="D466" i="91" s="1"/>
  <c r="I50" i="90"/>
  <c r="D474" i="91" s="1" a="1"/>
  <c r="D474" i="91" s="1"/>
  <c r="J50" i="90"/>
  <c r="I51" i="90"/>
  <c r="J51" i="90"/>
  <c r="D484" i="91" s="1" a="1"/>
  <c r="D484" i="91" s="1"/>
  <c r="I52" i="90"/>
  <c r="D492" i="91" s="1" a="1"/>
  <c r="D492" i="91" s="1"/>
  <c r="J52" i="90"/>
  <c r="D493" i="91" s="1" a="1"/>
  <c r="D493" i="91" s="1"/>
  <c r="I53" i="90"/>
  <c r="D501" i="91" s="1" a="1"/>
  <c r="D501" i="91" s="1"/>
  <c r="J53" i="90"/>
  <c r="D502" i="91" s="1" a="1"/>
  <c r="D502" i="91" s="1"/>
  <c r="I54" i="90"/>
  <c r="D510" i="91" s="1" a="1"/>
  <c r="D510" i="91" s="1"/>
  <c r="J54" i="90"/>
  <c r="I55" i="90"/>
  <c r="D519" i="91" s="1" a="1"/>
  <c r="D519" i="91" s="1"/>
  <c r="J55" i="90"/>
  <c r="D520" i="91" s="1" a="1"/>
  <c r="D520" i="91" s="1"/>
  <c r="I56" i="90"/>
  <c r="D528" i="91" s="1" a="1"/>
  <c r="D528" i="91" s="1"/>
  <c r="J56" i="90"/>
  <c r="D529" i="91" s="1" a="1"/>
  <c r="D529" i="91" s="1"/>
  <c r="I57" i="90"/>
  <c r="D537" i="91" s="1" a="1"/>
  <c r="D537" i="91" s="1"/>
  <c r="J57" i="90"/>
  <c r="D538" i="91" s="1" a="1"/>
  <c r="D538" i="91" s="1"/>
  <c r="I3" i="90"/>
  <c r="J3" i="90"/>
  <c r="D52" i="91" s="1" a="1"/>
  <c r="D52" i="91" s="1"/>
  <c r="I4" i="90"/>
  <c r="D60" i="91" s="1" a="1"/>
  <c r="D60" i="91" s="1"/>
  <c r="J4" i="90"/>
  <c r="D61" i="91" s="1" a="1"/>
  <c r="D61" i="91" s="1"/>
  <c r="I5" i="90"/>
  <c r="D69" i="91" s="1" a="1"/>
  <c r="D69" i="91" s="1"/>
  <c r="J5" i="90"/>
  <c r="D70" i="91" s="1" a="1"/>
  <c r="D70" i="91" s="1"/>
  <c r="I6" i="90"/>
  <c r="D78" i="91" s="1" a="1"/>
  <c r="D78" i="91" s="1"/>
  <c r="J6" i="90"/>
  <c r="I7" i="90"/>
  <c r="J7" i="90"/>
  <c r="D88" i="91" s="1" a="1"/>
  <c r="D88" i="91" s="1"/>
  <c r="I8" i="90"/>
  <c r="D96" i="91" s="1" a="1"/>
  <c r="D96" i="91" s="1"/>
  <c r="J8" i="90"/>
  <c r="D97" i="91" s="1" a="1"/>
  <c r="D97" i="91" s="1"/>
  <c r="I9" i="90"/>
  <c r="D105" i="91" s="1" a="1"/>
  <c r="D105" i="91" s="1"/>
  <c r="J9" i="90"/>
  <c r="D106" i="91" s="1" a="1"/>
  <c r="D106" i="91" s="1"/>
  <c r="I10" i="90"/>
  <c r="D114" i="91" s="1" a="1"/>
  <c r="D114" i="91" s="1"/>
  <c r="J10" i="90"/>
  <c r="I11" i="90"/>
  <c r="J11" i="90"/>
  <c r="D124" i="91" s="1" a="1"/>
  <c r="D124" i="91" s="1"/>
  <c r="I12" i="90"/>
  <c r="D132" i="91" s="1" a="1"/>
  <c r="D132" i="91" s="1"/>
  <c r="J12" i="90"/>
  <c r="D133" i="91" s="1" a="1"/>
  <c r="D133" i="91" s="1"/>
  <c r="I13" i="90"/>
  <c r="D141" i="91" s="1" a="1"/>
  <c r="D141" i="91" s="1"/>
  <c r="J13" i="90"/>
  <c r="D142" i="91" s="1" a="1"/>
  <c r="D142" i="91" s="1"/>
  <c r="I14" i="90"/>
  <c r="D150" i="91" s="1" a="1"/>
  <c r="D150" i="91" s="1"/>
  <c r="J14" i="90"/>
  <c r="I15" i="90"/>
  <c r="J15" i="90"/>
  <c r="D160" i="91" s="1" a="1"/>
  <c r="D160" i="91" s="1"/>
  <c r="I16" i="90"/>
  <c r="D168" i="91" s="1" a="1"/>
  <c r="D168" i="91" s="1"/>
  <c r="J16" i="90"/>
  <c r="D169" i="91" s="1" a="1"/>
  <c r="D169" i="91" s="1"/>
  <c r="I17" i="90"/>
  <c r="D177" i="91" s="1" a="1"/>
  <c r="D177" i="91" s="1"/>
  <c r="J17" i="90"/>
  <c r="D178" i="91" s="1" a="1"/>
  <c r="D178" i="91" s="1"/>
  <c r="J2" i="90"/>
  <c r="D43" i="91" s="1" a="1"/>
  <c r="D43" i="91" s="1"/>
  <c r="I2" i="90"/>
  <c r="D42" i="91" s="1" a="1"/>
  <c r="D42" i="91" s="1"/>
  <c r="B43" i="90"/>
  <c r="D404" i="91" s="1" a="1"/>
  <c r="D404" i="91" s="1"/>
  <c r="C43" i="90"/>
  <c r="D405" i="91" s="1" a="1"/>
  <c r="D405" i="91" s="1"/>
  <c r="D43" i="90"/>
  <c r="D406" i="91" s="1" a="1"/>
  <c r="D406" i="91" s="1"/>
  <c r="E43" i="90"/>
  <c r="F43" i="90"/>
  <c r="D408" i="91" s="1" a="1"/>
  <c r="D408" i="91" s="1"/>
  <c r="G43" i="90"/>
  <c r="D409" i="91" s="1" a="1"/>
  <c r="D409" i="91" s="1"/>
  <c r="H43" i="90"/>
  <c r="D410" i="91" s="1" a="1"/>
  <c r="D410" i="91" s="1"/>
  <c r="B44" i="90"/>
  <c r="D413" i="91" s="1" a="1"/>
  <c r="D413" i="91" s="1"/>
  <c r="C44" i="90"/>
  <c r="D414" i="91" s="1" a="1"/>
  <c r="D414" i="91" s="1"/>
  <c r="D44" i="90"/>
  <c r="E44" i="90"/>
  <c r="D416" i="91" s="1" a="1"/>
  <c r="D416" i="91" s="1"/>
  <c r="F44" i="90"/>
  <c r="D417" i="91" s="1" a="1"/>
  <c r="D417" i="91" s="1"/>
  <c r="G44" i="90"/>
  <c r="D418" i="91" s="1" a="1"/>
  <c r="D418" i="91" s="1"/>
  <c r="H44" i="90"/>
  <c r="B45" i="90"/>
  <c r="D422" i="91" s="1" a="1"/>
  <c r="D422" i="91" s="1"/>
  <c r="C45" i="90"/>
  <c r="D423" i="91" s="1" a="1"/>
  <c r="D423" i="91" s="1"/>
  <c r="D45" i="90"/>
  <c r="D424" i="91" s="1" a="1"/>
  <c r="D424" i="91" s="1"/>
  <c r="E45" i="90"/>
  <c r="D425" i="91" s="1" a="1"/>
  <c r="D425" i="91" s="1"/>
  <c r="F45" i="90"/>
  <c r="D426" i="91" s="1" a="1"/>
  <c r="D426" i="91" s="1"/>
  <c r="G45" i="90"/>
  <c r="H45" i="90"/>
  <c r="D428" i="91" s="1" a="1"/>
  <c r="D428" i="91" s="1"/>
  <c r="B46" i="90"/>
  <c r="C46" i="90"/>
  <c r="D432" i="91" s="1" a="1"/>
  <c r="D432" i="91" s="1"/>
  <c r="D46" i="90"/>
  <c r="D433" i="91" s="1" a="1"/>
  <c r="D433" i="91" s="1"/>
  <c r="E46" i="90"/>
  <c r="D434" i="91" s="1" a="1"/>
  <c r="D434" i="91" s="1"/>
  <c r="F46" i="90"/>
  <c r="G46" i="90"/>
  <c r="D436" i="91" s="1" a="1"/>
  <c r="D436" i="91" s="1"/>
  <c r="H46" i="90"/>
  <c r="D437" i="91" s="1" a="1"/>
  <c r="D437" i="91" s="1"/>
  <c r="B47" i="90"/>
  <c r="D440" i="91" s="1" a="1"/>
  <c r="D440" i="91" s="1"/>
  <c r="C47" i="90"/>
  <c r="D441" i="91" s="1" a="1"/>
  <c r="D441" i="91" s="1"/>
  <c r="D47" i="90"/>
  <c r="D442" i="91" s="1" a="1"/>
  <c r="D442" i="91" s="1"/>
  <c r="E47" i="90"/>
  <c r="F47" i="90"/>
  <c r="D444" i="91" s="1" a="1"/>
  <c r="D444" i="91" s="1"/>
  <c r="G47" i="90"/>
  <c r="D445" i="91" s="1" a="1"/>
  <c r="D445" i="91" s="1"/>
  <c r="H47" i="90"/>
  <c r="D446" i="91" s="1" a="1"/>
  <c r="D446" i="91" s="1"/>
  <c r="B48" i="90"/>
  <c r="D449" i="91" s="1" a="1"/>
  <c r="D449" i="91" s="1"/>
  <c r="C48" i="90"/>
  <c r="D450" i="91" s="1" a="1"/>
  <c r="D450" i="91" s="1"/>
  <c r="D48" i="90"/>
  <c r="E48" i="90"/>
  <c r="D452" i="91" s="1" a="1"/>
  <c r="D452" i="91" s="1"/>
  <c r="F48" i="90"/>
  <c r="D453" i="91" s="1" a="1"/>
  <c r="D453" i="91" s="1"/>
  <c r="G48" i="90"/>
  <c r="D454" i="91" s="1" a="1"/>
  <c r="D454" i="91" s="1"/>
  <c r="H48" i="90"/>
  <c r="D455" i="91" s="1" a="1"/>
  <c r="D455" i="91" s="1"/>
  <c r="B49" i="90"/>
  <c r="D458" i="91" s="1" a="1"/>
  <c r="D458" i="91" s="1"/>
  <c r="C49" i="90"/>
  <c r="D49" i="90"/>
  <c r="D460" i="91" s="1" a="1"/>
  <c r="D460" i="91" s="1"/>
  <c r="E49" i="90"/>
  <c r="D461" i="91" s="1" a="1"/>
  <c r="D461" i="91" s="1"/>
  <c r="F49" i="90"/>
  <c r="D462" i="91" s="1" a="1"/>
  <c r="D462" i="91" s="1"/>
  <c r="G49" i="90"/>
  <c r="H49" i="90"/>
  <c r="D464" i="91" s="1" a="1"/>
  <c r="D464" i="91" s="1"/>
  <c r="B50" i="90"/>
  <c r="C50" i="90"/>
  <c r="D468" i="91" s="1" a="1"/>
  <c r="D468" i="91" s="1"/>
  <c r="D50" i="90"/>
  <c r="D469" i="91" s="1" a="1"/>
  <c r="D469" i="91" s="1"/>
  <c r="E50" i="90"/>
  <c r="D470" i="91" s="1" a="1"/>
  <c r="D470" i="91" s="1"/>
  <c r="F50" i="90"/>
  <c r="G50" i="90"/>
  <c r="D472" i="91" s="1" a="1"/>
  <c r="D472" i="91" s="1"/>
  <c r="H50" i="90"/>
  <c r="D473" i="91" s="1" a="1"/>
  <c r="D473" i="91" s="1"/>
  <c r="B51" i="90"/>
  <c r="D476" i="91" s="1" a="1"/>
  <c r="D476" i="91" s="1"/>
  <c r="C51" i="90"/>
  <c r="D477" i="91" s="1" a="1"/>
  <c r="D477" i="91" s="1"/>
  <c r="D51" i="90"/>
  <c r="D478" i="91" s="1" a="1"/>
  <c r="D478" i="91" s="1"/>
  <c r="E51" i="90"/>
  <c r="F51" i="90"/>
  <c r="D480" i="91" s="1" a="1"/>
  <c r="D480" i="91" s="1"/>
  <c r="G51" i="90"/>
  <c r="D481" i="91" s="1" a="1"/>
  <c r="D481" i="91" s="1"/>
  <c r="H51" i="90"/>
  <c r="D482" i="91" s="1" a="1"/>
  <c r="D482" i="91" s="1"/>
  <c r="B52" i="90"/>
  <c r="D485" i="91" s="1" a="1"/>
  <c r="D485" i="91" s="1"/>
  <c r="C52" i="90"/>
  <c r="D486" i="91" s="1" a="1"/>
  <c r="D486" i="91" s="1"/>
  <c r="D52" i="90"/>
  <c r="D487" i="91" s="1" a="1"/>
  <c r="D487" i="91" s="1"/>
  <c r="E52" i="90"/>
  <c r="D488" i="91" s="1" a="1"/>
  <c r="D488" i="91" s="1"/>
  <c r="F52" i="90"/>
  <c r="D489" i="91" s="1" a="1"/>
  <c r="D489" i="91" s="1"/>
  <c r="G52" i="90"/>
  <c r="D490" i="91" s="1" a="1"/>
  <c r="D490" i="91" s="1"/>
  <c r="H52" i="90"/>
  <c r="B53" i="90"/>
  <c r="D494" i="91" s="1" a="1"/>
  <c r="D494" i="91" s="1"/>
  <c r="C53" i="90"/>
  <c r="D53" i="90"/>
  <c r="D496" i="91" s="1" a="1"/>
  <c r="D496" i="91" s="1"/>
  <c r="E53" i="90"/>
  <c r="D497" i="91" s="1" a="1"/>
  <c r="D497" i="91" s="1"/>
  <c r="F53" i="90"/>
  <c r="D498" i="91" s="1" a="1"/>
  <c r="D498" i="91" s="1"/>
  <c r="G53" i="90"/>
  <c r="H53" i="90"/>
  <c r="D500" i="91" s="1" a="1"/>
  <c r="D500" i="91" s="1"/>
  <c r="B54" i="90"/>
  <c r="C54" i="90"/>
  <c r="D504" i="91" s="1" a="1"/>
  <c r="D504" i="91" s="1"/>
  <c r="D54" i="90"/>
  <c r="D505" i="91" s="1" a="1"/>
  <c r="D505" i="91" s="1"/>
  <c r="E54" i="90"/>
  <c r="D506" i="91" s="1" a="1"/>
  <c r="D506" i="91" s="1"/>
  <c r="F54" i="90"/>
  <c r="G54" i="90"/>
  <c r="D508" i="91" s="1" a="1"/>
  <c r="D508" i="91" s="1"/>
  <c r="H54" i="90"/>
  <c r="D509" i="91" s="1" a="1"/>
  <c r="D509" i="91" s="1"/>
  <c r="B55" i="90"/>
  <c r="D512" i="91" s="1" a="1"/>
  <c r="D512" i="91" s="1"/>
  <c r="C55" i="90"/>
  <c r="D513" i="91" s="1" a="1"/>
  <c r="D513" i="91" s="1"/>
  <c r="D55" i="90"/>
  <c r="D514" i="91" s="1" a="1"/>
  <c r="D514" i="91" s="1"/>
  <c r="E55" i="90"/>
  <c r="F55" i="90"/>
  <c r="D516" i="91" s="1" a="1"/>
  <c r="D516" i="91" s="1"/>
  <c r="G55" i="90"/>
  <c r="D517" i="91" s="1" a="1"/>
  <c r="D517" i="91" s="1"/>
  <c r="H55" i="90"/>
  <c r="D518" i="91" s="1" a="1"/>
  <c r="D518" i="91" s="1"/>
  <c r="B56" i="90"/>
  <c r="D521" i="91" s="1" a="1"/>
  <c r="D521" i="91" s="1"/>
  <c r="C56" i="90"/>
  <c r="D522" i="91" s="1" a="1"/>
  <c r="D522" i="91" s="1"/>
  <c r="D56" i="90"/>
  <c r="E56" i="90"/>
  <c r="D524" i="91" s="1" a="1"/>
  <c r="D524" i="91" s="1"/>
  <c r="F56" i="90"/>
  <c r="D525" i="91" s="1" a="1"/>
  <c r="D525" i="91" s="1"/>
  <c r="G56" i="90"/>
  <c r="D526" i="91" s="1" a="1"/>
  <c r="D526" i="91" s="1"/>
  <c r="H56" i="90"/>
  <c r="B57" i="90"/>
  <c r="D530" i="91" s="1" a="1"/>
  <c r="D530" i="91" s="1"/>
  <c r="C57" i="90"/>
  <c r="D57" i="90"/>
  <c r="D532" i="91" s="1" a="1"/>
  <c r="D532" i="91" s="1"/>
  <c r="E57" i="90"/>
  <c r="D533" i="91" s="1" a="1"/>
  <c r="D533" i="91" s="1"/>
  <c r="F57" i="90"/>
  <c r="D534" i="91" s="1" a="1"/>
  <c r="D534" i="91" s="1"/>
  <c r="G57" i="90"/>
  <c r="H57" i="90"/>
  <c r="D536" i="91" s="1" a="1"/>
  <c r="D536" i="91" s="1"/>
  <c r="B18" i="90"/>
  <c r="D179" i="91" s="1" a="1"/>
  <c r="D179" i="91" s="1"/>
  <c r="C18" i="90"/>
  <c r="D180" i="91" s="1" a="1"/>
  <c r="D180" i="91" s="1"/>
  <c r="D18" i="90"/>
  <c r="D181" i="91" s="1" a="1"/>
  <c r="D181" i="91" s="1"/>
  <c r="E18" i="90"/>
  <c r="D182" i="91" s="1" a="1"/>
  <c r="D182" i="91" s="1"/>
  <c r="F18" i="90"/>
  <c r="G18" i="90"/>
  <c r="D184" i="91" s="1" a="1"/>
  <c r="D184" i="91" s="1"/>
  <c r="H18" i="90"/>
  <c r="D185" i="91" s="1" a="1"/>
  <c r="D185" i="91" s="1"/>
  <c r="B19" i="90"/>
  <c r="D188" i="91" s="1" a="1"/>
  <c r="D188" i="91" s="1"/>
  <c r="C19" i="90"/>
  <c r="D189" i="91" s="1" a="1"/>
  <c r="D189" i="91" s="1"/>
  <c r="D19" i="90"/>
  <c r="D190" i="91" s="1" a="1"/>
  <c r="D190" i="91" s="1"/>
  <c r="E19" i="90"/>
  <c r="F19" i="90"/>
  <c r="D192" i="91" s="1" a="1"/>
  <c r="D192" i="91" s="1"/>
  <c r="G19" i="90"/>
  <c r="D193" i="91" s="1" a="1"/>
  <c r="D193" i="91" s="1"/>
  <c r="H19" i="90"/>
  <c r="D194" i="91" s="1" a="1"/>
  <c r="D194" i="91" s="1"/>
  <c r="B20" i="90"/>
  <c r="D197" i="91" s="1" a="1"/>
  <c r="D197" i="91" s="1"/>
  <c r="C20" i="90"/>
  <c r="D198" i="91" s="1" a="1"/>
  <c r="D198" i="91" s="1"/>
  <c r="D20" i="90"/>
  <c r="E20" i="90"/>
  <c r="D200" i="91" s="1" a="1"/>
  <c r="D200" i="91" s="1"/>
  <c r="F20" i="90"/>
  <c r="D201" i="91" s="1" a="1"/>
  <c r="D201" i="91" s="1"/>
  <c r="G20" i="90"/>
  <c r="D202" i="91" s="1" a="1"/>
  <c r="D202" i="91" s="1"/>
  <c r="H20" i="90"/>
  <c r="B21" i="90"/>
  <c r="D206" i="91" s="1" a="1"/>
  <c r="D206" i="91" s="1"/>
  <c r="C21" i="90"/>
  <c r="D21" i="90"/>
  <c r="D208" i="91" s="1" a="1"/>
  <c r="D208" i="91" s="1"/>
  <c r="E21" i="90"/>
  <c r="D209" i="91" s="1" a="1"/>
  <c r="D209" i="91" s="1"/>
  <c r="F21" i="90"/>
  <c r="D210" i="91" s="1" a="1"/>
  <c r="D210" i="91" s="1"/>
  <c r="G21" i="90"/>
  <c r="H21" i="90"/>
  <c r="D212" i="91" s="1" a="1"/>
  <c r="D212" i="91" s="1"/>
  <c r="B22" i="90"/>
  <c r="D215" i="91" s="1" a="1"/>
  <c r="D215" i="91" s="1"/>
  <c r="C22" i="90"/>
  <c r="D216" i="91" s="1" a="1"/>
  <c r="D216" i="91" s="1"/>
  <c r="D22" i="90"/>
  <c r="D217" i="91" s="1" a="1"/>
  <c r="D217" i="91" s="1"/>
  <c r="E22" i="90"/>
  <c r="D218" i="91" s="1" a="1"/>
  <c r="D218" i="91" s="1"/>
  <c r="F22" i="90"/>
  <c r="G22" i="90"/>
  <c r="D220" i="91" s="1" a="1"/>
  <c r="D220" i="91" s="1"/>
  <c r="H22" i="90"/>
  <c r="D221" i="91" s="1" a="1"/>
  <c r="D221" i="91" s="1"/>
  <c r="B23" i="90"/>
  <c r="D224" i="91" s="1" a="1"/>
  <c r="D224" i="91" s="1"/>
  <c r="C23" i="90"/>
  <c r="D225" i="91" s="1" a="1"/>
  <c r="D225" i="91" s="1"/>
  <c r="D23" i="90"/>
  <c r="D226" i="91" s="1" a="1"/>
  <c r="D226" i="91" s="1"/>
  <c r="E23" i="90"/>
  <c r="F23" i="90"/>
  <c r="D228" i="91" s="1" a="1"/>
  <c r="D228" i="91" s="1"/>
  <c r="G23" i="90"/>
  <c r="D229" i="91" s="1" a="1"/>
  <c r="D229" i="91" s="1"/>
  <c r="H23" i="90"/>
  <c r="D230" i="91" s="1" a="1"/>
  <c r="D230" i="91" s="1"/>
  <c r="B24" i="90"/>
  <c r="D233" i="91" s="1" a="1"/>
  <c r="D233" i="91" s="1"/>
  <c r="C24" i="90"/>
  <c r="D234" i="91" s="1" a="1"/>
  <c r="D234" i="91" s="1"/>
  <c r="D24" i="90"/>
  <c r="E24" i="90"/>
  <c r="D236" i="91" s="1" a="1"/>
  <c r="D236" i="91" s="1"/>
  <c r="F24" i="90"/>
  <c r="D237" i="91" s="1" a="1"/>
  <c r="D237" i="91" s="1"/>
  <c r="G24" i="90"/>
  <c r="D238" i="91" s="1" a="1"/>
  <c r="D238" i="91" s="1"/>
  <c r="H24" i="90"/>
  <c r="B25" i="90"/>
  <c r="D242" i="91" s="1" a="1"/>
  <c r="D242" i="91" s="1"/>
  <c r="C25" i="90"/>
  <c r="D25" i="90"/>
  <c r="D244" i="91" s="1" a="1"/>
  <c r="D244" i="91" s="1"/>
  <c r="E25" i="90"/>
  <c r="D245" i="91" s="1" a="1"/>
  <c r="D245" i="91" s="1"/>
  <c r="F25" i="90"/>
  <c r="D246" i="91" s="1" a="1"/>
  <c r="D246" i="91" s="1"/>
  <c r="G25" i="90"/>
  <c r="H25" i="90"/>
  <c r="D248" i="91" s="1" a="1"/>
  <c r="D248" i="91" s="1"/>
  <c r="B26" i="90"/>
  <c r="D251" i="91" s="1" a="1"/>
  <c r="D251" i="91" s="1"/>
  <c r="C26" i="90"/>
  <c r="D252" i="91" s="1" a="1"/>
  <c r="D252" i="91" s="1"/>
  <c r="D26" i="90"/>
  <c r="D253" i="91" s="1" a="1"/>
  <c r="D253" i="91" s="1"/>
  <c r="E26" i="90"/>
  <c r="D254" i="91" s="1" a="1"/>
  <c r="D254" i="91" s="1"/>
  <c r="F26" i="90"/>
  <c r="G26" i="90"/>
  <c r="D256" i="91" s="1" a="1"/>
  <c r="D256" i="91" s="1"/>
  <c r="H26" i="90"/>
  <c r="D257" i="91" s="1" a="1"/>
  <c r="D257" i="91" s="1"/>
  <c r="B27" i="90"/>
  <c r="D260" i="91" s="1" a="1"/>
  <c r="D260" i="91" s="1"/>
  <c r="C27" i="90"/>
  <c r="D261" i="91" s="1" a="1"/>
  <c r="D261" i="91" s="1"/>
  <c r="D27" i="90"/>
  <c r="D262" i="91" s="1" a="1"/>
  <c r="D262" i="91" s="1"/>
  <c r="E27" i="90"/>
  <c r="F27" i="90"/>
  <c r="D264" i="91" s="1" a="1"/>
  <c r="D264" i="91" s="1"/>
  <c r="G27" i="90"/>
  <c r="D265" i="91" s="1" a="1"/>
  <c r="D265" i="91" s="1"/>
  <c r="H27" i="90"/>
  <c r="D266" i="91" s="1" a="1"/>
  <c r="D266" i="91" s="1"/>
  <c r="B28" i="90"/>
  <c r="D269" i="91" s="1" a="1"/>
  <c r="D269" i="91" s="1"/>
  <c r="C28" i="90"/>
  <c r="D270" i="91" s="1" a="1"/>
  <c r="D270" i="91" s="1"/>
  <c r="D28" i="90"/>
  <c r="E28" i="90"/>
  <c r="D272" i="91" s="1" a="1"/>
  <c r="D272" i="91" s="1"/>
  <c r="F28" i="90"/>
  <c r="D273" i="91" s="1" a="1"/>
  <c r="D273" i="91" s="1"/>
  <c r="G28" i="90"/>
  <c r="D274" i="91" s="1" a="1"/>
  <c r="D274" i="91" s="1"/>
  <c r="H28" i="90"/>
  <c r="B29" i="90"/>
  <c r="D278" i="91" s="1" a="1"/>
  <c r="D278" i="91" s="1"/>
  <c r="C29" i="90"/>
  <c r="D279" i="91" s="1" a="1"/>
  <c r="D279" i="91" s="1"/>
  <c r="D29" i="90"/>
  <c r="D280" i="91" s="1" a="1"/>
  <c r="D280" i="91" s="1"/>
  <c r="E29" i="90"/>
  <c r="D281" i="91" s="1" a="1"/>
  <c r="D281" i="91" s="1"/>
  <c r="F29" i="90"/>
  <c r="D282" i="91" s="1" a="1"/>
  <c r="D282" i="91" s="1"/>
  <c r="G29" i="90"/>
  <c r="H29" i="90"/>
  <c r="D284" i="91" s="1" a="1"/>
  <c r="D284" i="91" s="1"/>
  <c r="B30" i="90"/>
  <c r="D287" i="91" s="1" a="1"/>
  <c r="D287" i="91" s="1"/>
  <c r="C30" i="90"/>
  <c r="D288" i="91" s="1" a="1"/>
  <c r="D288" i="91" s="1"/>
  <c r="D30" i="90"/>
  <c r="D289" i="91" s="1" a="1"/>
  <c r="D289" i="91" s="1"/>
  <c r="E30" i="90"/>
  <c r="D290" i="91" s="1" a="1"/>
  <c r="D290" i="91" s="1"/>
  <c r="F30" i="90"/>
  <c r="G30" i="90"/>
  <c r="D292" i="91" s="1" a="1"/>
  <c r="D292" i="91" s="1"/>
  <c r="H30" i="90"/>
  <c r="D293" i="91" s="1" a="1"/>
  <c r="D293" i="91" s="1"/>
  <c r="B31" i="90"/>
  <c r="D296" i="91" s="1" a="1"/>
  <c r="D296" i="91" s="1"/>
  <c r="C31" i="90"/>
  <c r="D297" i="91" s="1" a="1"/>
  <c r="D297" i="91" s="1"/>
  <c r="D31" i="90"/>
  <c r="D298" i="91" s="1" a="1"/>
  <c r="D298" i="91" s="1"/>
  <c r="E31" i="90"/>
  <c r="F31" i="90"/>
  <c r="D300" i="91" s="1" a="1"/>
  <c r="D300" i="91" s="1"/>
  <c r="G31" i="90"/>
  <c r="D301" i="91" s="1" a="1"/>
  <c r="D301" i="91" s="1"/>
  <c r="H31" i="90"/>
  <c r="D302" i="91" s="1" a="1"/>
  <c r="D302" i="91" s="1"/>
  <c r="B32" i="90"/>
  <c r="D305" i="91" s="1" a="1"/>
  <c r="D305" i="91" s="1"/>
  <c r="C32" i="90"/>
  <c r="D306" i="91" s="1" a="1"/>
  <c r="D306" i="91" s="1"/>
  <c r="D32" i="90"/>
  <c r="E32" i="90"/>
  <c r="D308" i="91" s="1" a="1"/>
  <c r="D308" i="91" s="1"/>
  <c r="F32" i="90"/>
  <c r="D309" i="91" s="1" a="1"/>
  <c r="D309" i="91" s="1"/>
  <c r="G32" i="90"/>
  <c r="D310" i="91" s="1" a="1"/>
  <c r="D310" i="91" s="1"/>
  <c r="H32" i="90"/>
  <c r="B33" i="90"/>
  <c r="D314" i="91" s="1" a="1"/>
  <c r="D314" i="91" s="1"/>
  <c r="C33" i="90"/>
  <c r="D33" i="90"/>
  <c r="D316" i="91" s="1" a="1"/>
  <c r="D316" i="91" s="1"/>
  <c r="E33" i="90"/>
  <c r="D317" i="91" s="1" a="1"/>
  <c r="D317" i="91" s="1"/>
  <c r="F33" i="90"/>
  <c r="D318" i="91" s="1" a="1"/>
  <c r="D318" i="91" s="1"/>
  <c r="G33" i="90"/>
  <c r="H33" i="90"/>
  <c r="D320" i="91" s="1" a="1"/>
  <c r="D320" i="91" s="1"/>
  <c r="B34" i="90"/>
  <c r="C34" i="90"/>
  <c r="D324" i="91" s="1" a="1"/>
  <c r="D324" i="91" s="1"/>
  <c r="D34" i="90"/>
  <c r="D325" i="91" s="1" a="1"/>
  <c r="D325" i="91" s="1"/>
  <c r="E34" i="90"/>
  <c r="D326" i="91" s="1" a="1"/>
  <c r="D326" i="91" s="1"/>
  <c r="F34" i="90"/>
  <c r="G34" i="90"/>
  <c r="D328" i="91" s="1" a="1"/>
  <c r="D328" i="91" s="1"/>
  <c r="H34" i="90"/>
  <c r="D329" i="91" s="1" a="1"/>
  <c r="D329" i="91" s="1"/>
  <c r="B35" i="90"/>
  <c r="D332" i="91" s="1" a="1"/>
  <c r="D332" i="91" s="1"/>
  <c r="C35" i="90"/>
  <c r="D333" i="91" s="1" a="1"/>
  <c r="D333" i="91" s="1"/>
  <c r="D35" i="90"/>
  <c r="D334" i="91" s="1" a="1"/>
  <c r="D334" i="91" s="1"/>
  <c r="E35" i="90"/>
  <c r="F35" i="90"/>
  <c r="D336" i="91" s="1" a="1"/>
  <c r="D336" i="91" s="1"/>
  <c r="G35" i="90"/>
  <c r="D337" i="91" s="1" a="1"/>
  <c r="D337" i="91" s="1"/>
  <c r="H35" i="90"/>
  <c r="D338" i="91" s="1" a="1"/>
  <c r="D338" i="91" s="1"/>
  <c r="B36" i="90"/>
  <c r="D341" i="91" s="1" a="1"/>
  <c r="D341" i="91" s="1"/>
  <c r="C36" i="90"/>
  <c r="D342" i="91" s="1" a="1"/>
  <c r="D342" i="91" s="1"/>
  <c r="D36" i="90"/>
  <c r="E36" i="90"/>
  <c r="D344" i="91" s="1" a="1"/>
  <c r="D344" i="91" s="1"/>
  <c r="F36" i="90"/>
  <c r="D345" i="91" s="1" a="1"/>
  <c r="D345" i="91" s="1"/>
  <c r="G36" i="90"/>
  <c r="D346" i="91" s="1" a="1"/>
  <c r="D346" i="91" s="1"/>
  <c r="H36" i="90"/>
  <c r="B37" i="90"/>
  <c r="D350" i="91" s="1" a="1"/>
  <c r="D350" i="91" s="1"/>
  <c r="C37" i="90"/>
  <c r="D351" i="91" s="1" a="1"/>
  <c r="D351" i="91" s="1"/>
  <c r="D37" i="90"/>
  <c r="D352" i="91" s="1" a="1"/>
  <c r="D352" i="91" s="1"/>
  <c r="E37" i="90"/>
  <c r="D353" i="91" s="1" a="1"/>
  <c r="D353" i="91" s="1"/>
  <c r="F37" i="90"/>
  <c r="D354" i="91" s="1" a="1"/>
  <c r="D354" i="91" s="1"/>
  <c r="G37" i="90"/>
  <c r="H37" i="90"/>
  <c r="D356" i="91" s="1" a="1"/>
  <c r="D356" i="91" s="1"/>
  <c r="B38" i="90"/>
  <c r="C38" i="90"/>
  <c r="D360" i="91" s="1" a="1"/>
  <c r="D360" i="91" s="1"/>
  <c r="D38" i="90"/>
  <c r="D361" i="91" s="1" a="1"/>
  <c r="D361" i="91" s="1"/>
  <c r="E38" i="90"/>
  <c r="D362" i="91" s="1" a="1"/>
  <c r="D362" i="91" s="1"/>
  <c r="F38" i="90"/>
  <c r="G38" i="90"/>
  <c r="D364" i="91" s="1" a="1"/>
  <c r="D364" i="91" s="1"/>
  <c r="H38" i="90"/>
  <c r="D365" i="91" s="1" a="1"/>
  <c r="D365" i="91" s="1"/>
  <c r="B39" i="90"/>
  <c r="D368" i="91" s="1" a="1"/>
  <c r="D368" i="91" s="1"/>
  <c r="C39" i="90"/>
  <c r="D369" i="91" s="1" a="1"/>
  <c r="D369" i="91" s="1"/>
  <c r="D39" i="90"/>
  <c r="D370" i="91" s="1" a="1"/>
  <c r="D370" i="91" s="1"/>
  <c r="E39" i="90"/>
  <c r="F39" i="90"/>
  <c r="D372" i="91" s="1" a="1"/>
  <c r="D372" i="91" s="1"/>
  <c r="G39" i="90"/>
  <c r="D373" i="91" s="1" a="1"/>
  <c r="D373" i="91" s="1"/>
  <c r="H39" i="90"/>
  <c r="D374" i="91" s="1" a="1"/>
  <c r="D374" i="91" s="1"/>
  <c r="B40" i="90"/>
  <c r="D377" i="91" s="1" a="1"/>
  <c r="D377" i="91" s="1"/>
  <c r="C40" i="90"/>
  <c r="D378" i="91" s="1" a="1"/>
  <c r="D378" i="91" s="1"/>
  <c r="D40" i="90"/>
  <c r="E40" i="90"/>
  <c r="D380" i="91" s="1" a="1"/>
  <c r="D380" i="91" s="1"/>
  <c r="F40" i="90"/>
  <c r="D381" i="91" s="1" a="1"/>
  <c r="D381" i="91" s="1"/>
  <c r="G40" i="90"/>
  <c r="D382" i="91" s="1" a="1"/>
  <c r="D382" i="91" s="1"/>
  <c r="H40" i="90"/>
  <c r="B41" i="90"/>
  <c r="D386" i="91" s="1" a="1"/>
  <c r="D386" i="91" s="1"/>
  <c r="C41" i="90"/>
  <c r="D41" i="90"/>
  <c r="D388" i="91" s="1" a="1"/>
  <c r="D388" i="91" s="1"/>
  <c r="E41" i="90"/>
  <c r="D389" i="91" s="1" a="1"/>
  <c r="D389" i="91" s="1"/>
  <c r="F41" i="90"/>
  <c r="D390" i="91" s="1" a="1"/>
  <c r="D390" i="91" s="1"/>
  <c r="G41" i="90"/>
  <c r="D391" i="91" s="1" a="1"/>
  <c r="D391" i="91" s="1"/>
  <c r="H41" i="90"/>
  <c r="D392" i="91" s="1" a="1"/>
  <c r="D392" i="91" s="1"/>
  <c r="B42" i="90"/>
  <c r="C42" i="90"/>
  <c r="D396" i="91" s="1" a="1"/>
  <c r="D396" i="91" s="1"/>
  <c r="D42" i="90"/>
  <c r="D397" i="91" s="1" a="1"/>
  <c r="D397" i="91" s="1"/>
  <c r="E42" i="90"/>
  <c r="D398" i="91" s="1" a="1"/>
  <c r="D398" i="91" s="1"/>
  <c r="F42" i="90"/>
  <c r="G42" i="90"/>
  <c r="D400" i="91" s="1" a="1"/>
  <c r="D400" i="91" s="1"/>
  <c r="H42" i="90"/>
  <c r="D401" i="91" s="1" a="1"/>
  <c r="D401" i="91" s="1"/>
  <c r="B3" i="90"/>
  <c r="D44" i="91" s="1" a="1"/>
  <c r="D44" i="91" s="1"/>
  <c r="C3" i="90"/>
  <c r="D45" i="91" s="1" a="1"/>
  <c r="D45" i="91" s="1"/>
  <c r="D3" i="90"/>
  <c r="D46" i="91" s="1" a="1"/>
  <c r="D46" i="91" s="1"/>
  <c r="E3" i="90"/>
  <c r="F3" i="90"/>
  <c r="D48" i="91" s="1" a="1"/>
  <c r="D48" i="91" s="1"/>
  <c r="G3" i="90"/>
  <c r="D49" i="91" s="1" a="1"/>
  <c r="D49" i="91" s="1"/>
  <c r="H3" i="90"/>
  <c r="D50" i="91" s="1" a="1"/>
  <c r="D50" i="91" s="1"/>
  <c r="B4" i="90"/>
  <c r="D53" i="91" s="1" a="1"/>
  <c r="D53" i="91" s="1"/>
  <c r="C4" i="90"/>
  <c r="D54" i="91" s="1" a="1"/>
  <c r="D54" i="91" s="1"/>
  <c r="D4" i="90"/>
  <c r="D55" i="91" s="1" a="1"/>
  <c r="D55" i="91" s="1"/>
  <c r="E4" i="90"/>
  <c r="D56" i="91" s="1" a="1"/>
  <c r="D56" i="91" s="1"/>
  <c r="F4" i="90"/>
  <c r="D57" i="91" s="1" a="1"/>
  <c r="D57" i="91" s="1"/>
  <c r="G4" i="90"/>
  <c r="D58" i="91" s="1" a="1"/>
  <c r="D58" i="91" s="1"/>
  <c r="H4" i="90"/>
  <c r="B5" i="90"/>
  <c r="D62" i="91" s="1" a="1"/>
  <c r="D62" i="91" s="1"/>
  <c r="C5" i="90"/>
  <c r="D5" i="90"/>
  <c r="D64" i="91" s="1" a="1"/>
  <c r="D64" i="91" s="1"/>
  <c r="E5" i="90"/>
  <c r="D65" i="91" s="1" a="1"/>
  <c r="D65" i="91" s="1"/>
  <c r="F5" i="90"/>
  <c r="D66" i="91" s="1" a="1"/>
  <c r="D66" i="91" s="1"/>
  <c r="G5" i="90"/>
  <c r="H5" i="90"/>
  <c r="D68" i="91" s="1" a="1"/>
  <c r="D68" i="91" s="1"/>
  <c r="B6" i="90"/>
  <c r="C6" i="90"/>
  <c r="D72" i="91" s="1" a="1"/>
  <c r="D72" i="91" s="1"/>
  <c r="D6" i="90"/>
  <c r="D73" i="91" s="1" a="1"/>
  <c r="D73" i="91" s="1"/>
  <c r="E6" i="90"/>
  <c r="D74" i="91" s="1" a="1"/>
  <c r="D74" i="91" s="1"/>
  <c r="F6" i="90"/>
  <c r="G6" i="90"/>
  <c r="D76" i="91" s="1" a="1"/>
  <c r="D76" i="91" s="1"/>
  <c r="H6" i="90"/>
  <c r="D77" i="91" s="1" a="1"/>
  <c r="D77" i="91" s="1"/>
  <c r="B7" i="90"/>
  <c r="D80" i="91" s="1" a="1"/>
  <c r="D80" i="91" s="1"/>
  <c r="C7" i="90"/>
  <c r="D81" i="91" s="1" a="1"/>
  <c r="D81" i="91" s="1"/>
  <c r="D7" i="90"/>
  <c r="D82" i="91" s="1" a="1"/>
  <c r="D82" i="91" s="1"/>
  <c r="E7" i="90"/>
  <c r="F7" i="90"/>
  <c r="D84" i="91" s="1" a="1"/>
  <c r="D84" i="91" s="1"/>
  <c r="G7" i="90"/>
  <c r="D85" i="91" s="1" a="1"/>
  <c r="D85" i="91" s="1"/>
  <c r="H7" i="90"/>
  <c r="D86" i="91" s="1" a="1"/>
  <c r="D86" i="91" s="1"/>
  <c r="B8" i="90"/>
  <c r="D89" i="91" s="1" a="1"/>
  <c r="D89" i="91" s="1"/>
  <c r="C8" i="90"/>
  <c r="D90" i="91" s="1" a="1"/>
  <c r="D90" i="91" s="1"/>
  <c r="D8" i="90"/>
  <c r="D91" i="91" s="1" a="1"/>
  <c r="D91" i="91" s="1"/>
  <c r="E8" i="90"/>
  <c r="D92" i="91" s="1" a="1"/>
  <c r="D92" i="91" s="1"/>
  <c r="F8" i="90"/>
  <c r="D93" i="91" s="1" a="1"/>
  <c r="D93" i="91" s="1"/>
  <c r="G8" i="90"/>
  <c r="D94" i="91" s="1" a="1"/>
  <c r="D94" i="91" s="1"/>
  <c r="H8" i="90"/>
  <c r="B9" i="90"/>
  <c r="D98" i="91" s="1" a="1"/>
  <c r="D98" i="91" s="1"/>
  <c r="C9" i="90"/>
  <c r="D99" i="91" s="1" a="1"/>
  <c r="D99" i="91" s="1"/>
  <c r="D9" i="90"/>
  <c r="D100" i="91" s="1" a="1"/>
  <c r="D100" i="91" s="1"/>
  <c r="E9" i="90"/>
  <c r="D101" i="91" s="1" a="1"/>
  <c r="D101" i="91" s="1"/>
  <c r="F9" i="90"/>
  <c r="D102" i="91" s="1" a="1"/>
  <c r="D102" i="91" s="1"/>
  <c r="G9" i="90"/>
  <c r="H9" i="90"/>
  <c r="D104" i="91" s="1" a="1"/>
  <c r="D104" i="91" s="1"/>
  <c r="B10" i="90"/>
  <c r="C10" i="90"/>
  <c r="D108" i="91" s="1" a="1"/>
  <c r="D108" i="91" s="1"/>
  <c r="D10" i="90"/>
  <c r="D109" i="91" s="1" a="1"/>
  <c r="D109" i="91" s="1"/>
  <c r="E10" i="90"/>
  <c r="D110" i="91" s="1" a="1"/>
  <c r="D110" i="91" s="1"/>
  <c r="F10" i="90"/>
  <c r="G10" i="90"/>
  <c r="D112" i="91" s="1" a="1"/>
  <c r="D112" i="91" s="1"/>
  <c r="H10" i="90"/>
  <c r="D113" i="91" s="1" a="1"/>
  <c r="D113" i="91" s="1"/>
  <c r="B11" i="90"/>
  <c r="D116" i="91" s="1" a="1"/>
  <c r="D116" i="91" s="1"/>
  <c r="C11" i="90"/>
  <c r="D117" i="91" s="1" a="1"/>
  <c r="D117" i="91" s="1"/>
  <c r="D11" i="90"/>
  <c r="D118" i="91" s="1" a="1"/>
  <c r="D118" i="91" s="1"/>
  <c r="E11" i="90"/>
  <c r="F11" i="90"/>
  <c r="D120" i="91" s="1" a="1"/>
  <c r="D120" i="91" s="1"/>
  <c r="G11" i="90"/>
  <c r="D121" i="91" s="1" a="1"/>
  <c r="D121" i="91" s="1"/>
  <c r="H11" i="90"/>
  <c r="D122" i="91" s="1" a="1"/>
  <c r="D122" i="91" s="1"/>
  <c r="B12" i="90"/>
  <c r="D125" i="91" s="1" a="1"/>
  <c r="D125" i="91" s="1"/>
  <c r="C12" i="90"/>
  <c r="D126" i="91" s="1" a="1"/>
  <c r="D126" i="91" s="1"/>
  <c r="D12" i="90"/>
  <c r="E12" i="90"/>
  <c r="D128" i="91" s="1" a="1"/>
  <c r="D128" i="91" s="1"/>
  <c r="F12" i="90"/>
  <c r="D129" i="91" s="1" a="1"/>
  <c r="D129" i="91" s="1"/>
  <c r="G12" i="90"/>
  <c r="D130" i="91" s="1" a="1"/>
  <c r="D130" i="91" s="1"/>
  <c r="H12" i="90"/>
  <c r="B13" i="90"/>
  <c r="D134" i="91" s="1" a="1"/>
  <c r="D134" i="91" s="1"/>
  <c r="C13" i="90"/>
  <c r="D135" i="91" s="1" a="1"/>
  <c r="D135" i="91" s="1"/>
  <c r="D13" i="90"/>
  <c r="D136" i="91" s="1" a="1"/>
  <c r="D136" i="91" s="1"/>
  <c r="E13" i="90"/>
  <c r="D137" i="91" s="1" a="1"/>
  <c r="D137" i="91" s="1"/>
  <c r="F13" i="90"/>
  <c r="D138" i="91" s="1" a="1"/>
  <c r="D138" i="91" s="1"/>
  <c r="G13" i="90"/>
  <c r="H13" i="90"/>
  <c r="D140" i="91" s="1" a="1"/>
  <c r="D140" i="91" s="1"/>
  <c r="B14" i="90"/>
  <c r="D143" i="91" s="1" a="1"/>
  <c r="D143" i="91" s="1"/>
  <c r="C14" i="90"/>
  <c r="D144" i="91" s="1" a="1"/>
  <c r="D144" i="91" s="1"/>
  <c r="D14" i="90"/>
  <c r="D145" i="91" s="1" a="1"/>
  <c r="D145" i="91" s="1"/>
  <c r="E14" i="90"/>
  <c r="D146" i="91" s="1" a="1"/>
  <c r="D146" i="91" s="1"/>
  <c r="F14" i="90"/>
  <c r="G14" i="90"/>
  <c r="D148" i="91" s="1" a="1"/>
  <c r="D148" i="91" s="1"/>
  <c r="H14" i="90"/>
  <c r="D149" i="91" s="1" a="1"/>
  <c r="D149" i="91" s="1"/>
  <c r="B15" i="90"/>
  <c r="D152" i="91" s="1" a="1"/>
  <c r="D152" i="91" s="1"/>
  <c r="C15" i="90"/>
  <c r="D153" i="91" s="1" a="1"/>
  <c r="D153" i="91" s="1"/>
  <c r="D15" i="90"/>
  <c r="D154" i="91" s="1" a="1"/>
  <c r="D154" i="91" s="1"/>
  <c r="E15" i="90"/>
  <c r="F15" i="90"/>
  <c r="D156" i="91" s="1" a="1"/>
  <c r="D156" i="91" s="1"/>
  <c r="G15" i="90"/>
  <c r="D157" i="91" s="1" a="1"/>
  <c r="D157" i="91" s="1"/>
  <c r="H15" i="90"/>
  <c r="D158" i="91" s="1" a="1"/>
  <c r="D158" i="91" s="1"/>
  <c r="B16" i="90"/>
  <c r="D161" i="91" s="1" a="1"/>
  <c r="D161" i="91" s="1"/>
  <c r="C16" i="90"/>
  <c r="D162" i="91" s="1" a="1"/>
  <c r="D162" i="91" s="1"/>
  <c r="D16" i="90"/>
  <c r="E16" i="90"/>
  <c r="D164" i="91" s="1" a="1"/>
  <c r="D164" i="91" s="1"/>
  <c r="F16" i="90"/>
  <c r="D165" i="91" s="1" a="1"/>
  <c r="D165" i="91" s="1"/>
  <c r="G16" i="90"/>
  <c r="D166" i="91" s="1" a="1"/>
  <c r="D166" i="91" s="1"/>
  <c r="H16" i="90"/>
  <c r="B17" i="90"/>
  <c r="D170" i="91" s="1" a="1"/>
  <c r="D170" i="91" s="1"/>
  <c r="C17" i="90"/>
  <c r="D17" i="90"/>
  <c r="D172" i="91" s="1" a="1"/>
  <c r="D172" i="91" s="1"/>
  <c r="E17" i="90"/>
  <c r="D173" i="91" s="1" a="1"/>
  <c r="D173" i="91" s="1"/>
  <c r="F17" i="90"/>
  <c r="D174" i="91" s="1" a="1"/>
  <c r="D174" i="91" s="1"/>
  <c r="G17" i="90"/>
  <c r="H17" i="90"/>
  <c r="D176" i="91" s="1" a="1"/>
  <c r="D176" i="91" s="1"/>
  <c r="H2" i="90"/>
  <c r="D41" i="91" s="1" a="1"/>
  <c r="D41" i="91" s="1"/>
  <c r="G2" i="90"/>
  <c r="D40" i="91" s="1" a="1"/>
  <c r="D40" i="91" s="1"/>
  <c r="F2" i="90"/>
  <c r="D39" i="91" s="1" a="1"/>
  <c r="D39" i="91" s="1"/>
  <c r="E2" i="90"/>
  <c r="D38" i="91" s="1" a="1"/>
  <c r="D38" i="91" s="1"/>
  <c r="D2" i="90"/>
  <c r="D37" i="91" s="1" a="1"/>
  <c r="D37" i="91" s="1"/>
  <c r="C2" i="90"/>
  <c r="D36" i="91" s="1" a="1"/>
  <c r="D36" i="91" s="1"/>
  <c r="B2" i="90"/>
  <c r="D203" i="76" a="1"/>
  <c r="D203" i="76" s="1"/>
  <c r="D204" i="76" a="1"/>
  <c r="D204" i="76" s="1"/>
  <c r="D205" i="76" a="1"/>
  <c r="D205" i="76" s="1"/>
  <c r="D206" i="76" a="1"/>
  <c r="D206" i="76" s="1"/>
  <c r="D207" i="76" a="1"/>
  <c r="D207" i="76" s="1"/>
  <c r="D208" i="76" a="1"/>
  <c r="D208" i="76" s="1"/>
  <c r="D209" i="76" a="1"/>
  <c r="D209" i="76" s="1"/>
  <c r="D42" i="76" a="1"/>
  <c r="D42" i="76" s="1"/>
  <c r="D43" i="76" a="1"/>
  <c r="D43" i="76" s="1"/>
  <c r="D44" i="76" a="1"/>
  <c r="D44" i="76" s="1"/>
  <c r="D45" i="76" a="1"/>
  <c r="D45" i="76" s="1"/>
  <c r="D46" i="76" a="1"/>
  <c r="D46" i="76" s="1"/>
  <c r="D47" i="76" a="1"/>
  <c r="D47" i="76" s="1"/>
  <c r="D48" i="76" a="1"/>
  <c r="D48" i="76" s="1"/>
  <c r="D49" i="76" a="1"/>
  <c r="D49" i="76" s="1"/>
  <c r="D50" i="76" a="1"/>
  <c r="D50" i="76" s="1"/>
  <c r="D51" i="76" a="1"/>
  <c r="D51" i="76" s="1"/>
  <c r="D52" i="76" a="1"/>
  <c r="D52" i="76" s="1"/>
  <c r="D53" i="76" a="1"/>
  <c r="D53" i="76" s="1"/>
  <c r="D54" i="76" a="1"/>
  <c r="D54" i="76" s="1"/>
  <c r="D55" i="76" a="1"/>
  <c r="D55" i="76" s="1"/>
  <c r="D56" i="76" a="1"/>
  <c r="D56" i="76" s="1"/>
  <c r="D57" i="76" a="1"/>
  <c r="D57" i="76" s="1"/>
  <c r="D58" i="76" a="1"/>
  <c r="D58" i="76" s="1"/>
  <c r="D59" i="76" a="1"/>
  <c r="D59" i="76" s="1"/>
  <c r="D60" i="76" a="1"/>
  <c r="D60" i="76" s="1"/>
  <c r="D61" i="76" a="1"/>
  <c r="D61" i="76" s="1"/>
  <c r="D62" i="76" a="1"/>
  <c r="D62" i="76" s="1"/>
  <c r="D63" i="76" a="1"/>
  <c r="D63" i="76" s="1"/>
  <c r="D64" i="76" a="1"/>
  <c r="D64" i="76" s="1"/>
  <c r="D65" i="76" a="1"/>
  <c r="D65" i="76" s="1"/>
  <c r="D66" i="76" a="1"/>
  <c r="D66" i="76" s="1"/>
  <c r="D67" i="76" a="1"/>
  <c r="D67" i="76" s="1"/>
  <c r="D68" i="76" a="1"/>
  <c r="D68" i="76" s="1"/>
  <c r="D69" i="76" a="1"/>
  <c r="D69" i="76" s="1"/>
  <c r="D70" i="76" a="1"/>
  <c r="D70" i="76" s="1"/>
  <c r="D71" i="76" a="1"/>
  <c r="D71" i="76" s="1"/>
  <c r="D72" i="76" a="1"/>
  <c r="D72" i="76" s="1"/>
  <c r="D73" i="76" a="1"/>
  <c r="D73" i="76" s="1"/>
  <c r="D74" i="76" a="1"/>
  <c r="D74" i="76" s="1"/>
  <c r="D75" i="76" a="1"/>
  <c r="D75" i="76" s="1"/>
  <c r="D76" i="76" a="1"/>
  <c r="D76" i="76" s="1"/>
  <c r="D77" i="76" a="1"/>
  <c r="D77" i="76" s="1"/>
  <c r="D78" i="76" a="1"/>
  <c r="D78" i="76" s="1"/>
  <c r="D79" i="76" a="1"/>
  <c r="D79" i="76" s="1"/>
  <c r="D80" i="76" a="1"/>
  <c r="D80" i="76" s="1"/>
  <c r="D81" i="76" a="1"/>
  <c r="D81" i="76" s="1"/>
  <c r="D82" i="76" a="1"/>
  <c r="D82" i="76" s="1"/>
  <c r="D83" i="76" a="1"/>
  <c r="D83" i="76" s="1"/>
  <c r="D84" i="76" a="1"/>
  <c r="D84" i="76" s="1"/>
  <c r="D85" i="76" a="1"/>
  <c r="D85" i="76" s="1"/>
  <c r="D86" i="76" a="1"/>
  <c r="D86" i="76" s="1"/>
  <c r="D87" i="76" a="1"/>
  <c r="D87" i="76" s="1"/>
  <c r="D88" i="76" a="1"/>
  <c r="D88" i="76" s="1"/>
  <c r="D89" i="76" a="1"/>
  <c r="D89" i="76" s="1"/>
  <c r="D90" i="76" a="1"/>
  <c r="D90" i="76" s="1"/>
  <c r="D91" i="76" a="1"/>
  <c r="D91" i="76" s="1"/>
  <c r="D92" i="76" a="1"/>
  <c r="D92" i="76" s="1"/>
  <c r="D93" i="76" a="1"/>
  <c r="D93" i="76" s="1"/>
  <c r="D94" i="76" a="1"/>
  <c r="D94" i="76" s="1"/>
  <c r="D95" i="76" a="1"/>
  <c r="D95" i="76" s="1"/>
  <c r="D96" i="76" a="1"/>
  <c r="D96" i="76" s="1"/>
  <c r="D97" i="76" a="1"/>
  <c r="D97" i="76" s="1"/>
  <c r="D98" i="76" a="1"/>
  <c r="D98" i="76" s="1"/>
  <c r="D99" i="76" a="1"/>
  <c r="D99" i="76" s="1"/>
  <c r="D100" i="76" a="1"/>
  <c r="D100" i="76" s="1"/>
  <c r="D101" i="76" a="1"/>
  <c r="D101" i="76" s="1"/>
  <c r="D102" i="76" a="1"/>
  <c r="D102" i="76" s="1"/>
  <c r="D103" i="76" a="1"/>
  <c r="D103" i="76" s="1"/>
  <c r="D104" i="76" a="1"/>
  <c r="D104" i="76" s="1"/>
  <c r="D105" i="76" a="1"/>
  <c r="D105" i="76" s="1"/>
  <c r="D106" i="76" a="1"/>
  <c r="D106" i="76" s="1"/>
  <c r="D107" i="76" a="1"/>
  <c r="D107" i="76" s="1"/>
  <c r="D108" i="76" a="1"/>
  <c r="D108" i="76" s="1"/>
  <c r="D109" i="76" a="1"/>
  <c r="D109" i="76" s="1"/>
  <c r="D110" i="76" a="1"/>
  <c r="D110" i="76" s="1"/>
  <c r="D111" i="76" a="1"/>
  <c r="D111" i="76" s="1"/>
  <c r="D112" i="76" a="1"/>
  <c r="D112" i="76" s="1"/>
  <c r="D113" i="76" a="1"/>
  <c r="D113" i="76" s="1"/>
  <c r="D114" i="76" a="1"/>
  <c r="D114" i="76" s="1"/>
  <c r="D115" i="76" a="1"/>
  <c r="D115" i="76" s="1"/>
  <c r="D116" i="76" a="1"/>
  <c r="D116" i="76" s="1"/>
  <c r="D117" i="76" a="1"/>
  <c r="D117" i="76" s="1"/>
  <c r="D118" i="76" a="1"/>
  <c r="D118" i="76" s="1"/>
  <c r="D119" i="76" a="1"/>
  <c r="D119" i="76" s="1"/>
  <c r="D120" i="76" a="1"/>
  <c r="D120" i="76" s="1"/>
  <c r="D121" i="76" a="1"/>
  <c r="D121" i="76" s="1"/>
  <c r="D122" i="76" a="1"/>
  <c r="D122" i="76" s="1"/>
  <c r="D123" i="76" a="1"/>
  <c r="D123" i="76" s="1"/>
  <c r="D124" i="76" a="1"/>
  <c r="D124" i="76" s="1"/>
  <c r="D125" i="76" a="1"/>
  <c r="D125" i="76" s="1"/>
  <c r="D126" i="76" a="1"/>
  <c r="D126" i="76" s="1"/>
  <c r="D127" i="76" a="1"/>
  <c r="D127" i="76" s="1"/>
  <c r="D128" i="76" a="1"/>
  <c r="D128" i="76" s="1"/>
  <c r="D129" i="76" a="1"/>
  <c r="D129" i="76" s="1"/>
  <c r="D130" i="76" a="1"/>
  <c r="D130" i="76" s="1"/>
  <c r="D131" i="76" a="1"/>
  <c r="D131" i="76" s="1"/>
  <c r="D132" i="76" a="1"/>
  <c r="D132" i="76" s="1"/>
  <c r="D133" i="76" a="1"/>
  <c r="D133" i="76" s="1"/>
  <c r="D134" i="76" a="1"/>
  <c r="D134" i="76" s="1"/>
  <c r="D135" i="76" a="1"/>
  <c r="D135" i="76" s="1"/>
  <c r="D136" i="76" a="1"/>
  <c r="D136" i="76" s="1"/>
  <c r="D137" i="76" a="1"/>
  <c r="D137" i="76" s="1"/>
  <c r="D138" i="76" a="1"/>
  <c r="D138" i="76" s="1"/>
  <c r="D139" i="76" a="1"/>
  <c r="D139" i="76" s="1"/>
  <c r="D140" i="76" a="1"/>
  <c r="D140" i="76" s="1"/>
  <c r="D141" i="76" a="1"/>
  <c r="D141" i="76" s="1"/>
  <c r="D142" i="76" a="1"/>
  <c r="D142" i="76" s="1"/>
  <c r="D143" i="76" a="1"/>
  <c r="D143" i="76" s="1"/>
  <c r="D144" i="76" a="1"/>
  <c r="D144" i="76" s="1"/>
  <c r="D145" i="76" a="1"/>
  <c r="D145" i="76" s="1"/>
  <c r="D146" i="76" a="1"/>
  <c r="D146" i="76" s="1"/>
  <c r="D147" i="76" a="1"/>
  <c r="D147" i="76" s="1"/>
  <c r="D148" i="76" a="1"/>
  <c r="D148" i="76" s="1"/>
  <c r="D149" i="76" a="1"/>
  <c r="D149" i="76" s="1"/>
  <c r="D150" i="76" a="1"/>
  <c r="D150" i="76" s="1"/>
  <c r="D151" i="76" a="1"/>
  <c r="D151" i="76" s="1"/>
  <c r="D152" i="76" a="1"/>
  <c r="D152" i="76" s="1"/>
  <c r="D153" i="76" a="1"/>
  <c r="D153" i="76" s="1"/>
  <c r="D154" i="76" a="1"/>
  <c r="D154" i="76" s="1"/>
  <c r="D155" i="76" a="1"/>
  <c r="D155" i="76" s="1"/>
  <c r="D156" i="76" a="1"/>
  <c r="D156" i="76" s="1"/>
  <c r="D157" i="76" a="1"/>
  <c r="D157" i="76" s="1"/>
  <c r="D158" i="76" a="1"/>
  <c r="D158" i="76" s="1"/>
  <c r="D159" i="76" a="1"/>
  <c r="D159" i="76" s="1"/>
  <c r="D160" i="76" a="1"/>
  <c r="D160" i="76" s="1"/>
  <c r="D161" i="76" a="1"/>
  <c r="D161" i="76" s="1"/>
  <c r="D162" i="76" a="1"/>
  <c r="D162" i="76" s="1"/>
  <c r="D163" i="76" a="1"/>
  <c r="D163" i="76" s="1"/>
  <c r="D164" i="76" a="1"/>
  <c r="D164" i="76" s="1"/>
  <c r="D165" i="76" a="1"/>
  <c r="D165" i="76" s="1"/>
  <c r="D166" i="76" a="1"/>
  <c r="D166" i="76" s="1"/>
  <c r="D167" i="76" a="1"/>
  <c r="D167" i="76" s="1"/>
  <c r="D168" i="76" a="1"/>
  <c r="D168" i="76" s="1"/>
  <c r="D169" i="76" a="1"/>
  <c r="D169" i="76" s="1"/>
  <c r="D170" i="76" a="1"/>
  <c r="D170" i="76" s="1"/>
  <c r="D171" i="76" a="1"/>
  <c r="D171" i="76" s="1"/>
  <c r="D172" i="76" a="1"/>
  <c r="D172" i="76" s="1"/>
  <c r="D173" i="76" a="1"/>
  <c r="D173" i="76" s="1"/>
  <c r="D174" i="76" a="1"/>
  <c r="D174" i="76" s="1"/>
  <c r="D175" i="76" a="1"/>
  <c r="D175" i="76" s="1"/>
  <c r="D176" i="76" a="1"/>
  <c r="D176" i="76" s="1"/>
  <c r="D177" i="76" a="1"/>
  <c r="D177" i="76" s="1"/>
  <c r="D178" i="76" a="1"/>
  <c r="D178" i="76" s="1"/>
  <c r="D179" i="76" a="1"/>
  <c r="D179" i="76" s="1"/>
  <c r="D180" i="76" a="1"/>
  <c r="D180" i="76" s="1"/>
  <c r="D181" i="76" a="1"/>
  <c r="D181" i="76" s="1"/>
  <c r="D182" i="76" a="1"/>
  <c r="D182" i="76" s="1"/>
  <c r="D183" i="76" a="1"/>
  <c r="D183" i="76" s="1"/>
  <c r="D184" i="76" a="1"/>
  <c r="D184" i="76" s="1"/>
  <c r="D185" i="76" a="1"/>
  <c r="D185" i="76" s="1"/>
  <c r="D186" i="76" a="1"/>
  <c r="D186" i="76" s="1"/>
  <c r="D187" i="76" a="1"/>
  <c r="D187" i="76" s="1"/>
  <c r="D188" i="76" a="1"/>
  <c r="D188" i="76" s="1"/>
  <c r="D189" i="76" a="1"/>
  <c r="D189" i="76" s="1"/>
  <c r="D190" i="76" a="1"/>
  <c r="D190" i="76" s="1"/>
  <c r="D191" i="76" a="1"/>
  <c r="D191" i="76" s="1"/>
  <c r="D192" i="76" a="1"/>
  <c r="D192" i="76" s="1"/>
  <c r="D193" i="76" a="1"/>
  <c r="D193" i="76" s="1"/>
  <c r="D194" i="76" a="1"/>
  <c r="D194" i="76" s="1"/>
  <c r="D195" i="76" a="1"/>
  <c r="D195" i="76" s="1"/>
  <c r="D196" i="76" a="1"/>
  <c r="D196" i="76" s="1"/>
  <c r="D197" i="76" a="1"/>
  <c r="D197" i="76" s="1"/>
  <c r="D198" i="76" a="1"/>
  <c r="D198" i="76" s="1"/>
  <c r="D199" i="76" a="1"/>
  <c r="D199" i="76" s="1"/>
  <c r="D200" i="76" a="1"/>
  <c r="D200" i="76" s="1"/>
  <c r="D201" i="76" a="1"/>
  <c r="D201" i="76" s="1"/>
  <c r="D202" i="76" a="1"/>
  <c r="D202" i="76" s="1"/>
  <c r="H2" i="75"/>
  <c r="D41" i="76" s="1" a="1"/>
  <c r="D41" i="76" s="1"/>
  <c r="G2" i="75"/>
  <c r="D40" i="76" s="1" a="1"/>
  <c r="D40" i="76" s="1"/>
  <c r="F2" i="75"/>
  <c r="D39" i="76" s="1" a="1"/>
  <c r="D39" i="76" s="1"/>
  <c r="E2" i="75"/>
  <c r="D38" i="76" s="1" a="1"/>
  <c r="D38" i="76" s="1"/>
  <c r="D2" i="75"/>
  <c r="D37" i="76" s="1" a="1"/>
  <c r="D37" i="76" s="1"/>
  <c r="C2" i="75"/>
  <c r="D36" i="76" s="1" a="1"/>
  <c r="D36" i="76" s="1"/>
  <c r="B2" i="75"/>
  <c r="D35" i="76" s="1" a="1"/>
  <c r="D35" i="76" s="1"/>
  <c r="H8" i="97"/>
  <c r="H9" i="97"/>
  <c r="H10" i="97"/>
  <c r="H11" i="97"/>
  <c r="H12" i="97"/>
  <c r="H13" i="97"/>
  <c r="H14" i="97"/>
  <c r="H15" i="97"/>
  <c r="J15" i="97" s="1"/>
  <c r="D28" i="98" s="1" a="1"/>
  <c r="D28" i="98" s="1"/>
  <c r="H16" i="97"/>
  <c r="H17" i="97"/>
  <c r="H18" i="97"/>
  <c r="H19" i="97"/>
  <c r="H20" i="97"/>
  <c r="H21" i="97"/>
  <c r="H22" i="97"/>
  <c r="H23" i="97"/>
  <c r="J23" i="97" s="1"/>
  <c r="D52" i="98" s="1" a="1"/>
  <c r="D52" i="98" s="1"/>
  <c r="H24" i="97"/>
  <c r="H25" i="97"/>
  <c r="H26" i="97"/>
  <c r="H27" i="97"/>
  <c r="H28" i="97"/>
  <c r="H29" i="97"/>
  <c r="I29" i="97" s="1"/>
  <c r="D69" i="98" s="1" a="1"/>
  <c r="D69" i="98" s="1"/>
  <c r="H30" i="97"/>
  <c r="H31" i="97"/>
  <c r="J31" i="97" s="1"/>
  <c r="D76" i="98" s="1" a="1"/>
  <c r="D76" i="98" s="1"/>
  <c r="H32" i="97"/>
  <c r="H33" i="97"/>
  <c r="H34" i="97"/>
  <c r="H35" i="97"/>
  <c r="H36" i="97"/>
  <c r="H37" i="97"/>
  <c r="H38" i="97"/>
  <c r="H39" i="97"/>
  <c r="J39" i="97" s="1"/>
  <c r="D100" i="98" s="1" a="1"/>
  <c r="D100" i="98" s="1"/>
  <c r="H40" i="97"/>
  <c r="H41" i="97"/>
  <c r="H42" i="97"/>
  <c r="H43" i="97"/>
  <c r="H44" i="97"/>
  <c r="H45" i="97"/>
  <c r="H46" i="97"/>
  <c r="H47" i="97"/>
  <c r="J47" i="97" s="1"/>
  <c r="D124" i="98" s="1" a="1"/>
  <c r="D124" i="98" s="1"/>
  <c r="H48" i="97"/>
  <c r="H49" i="97"/>
  <c r="H50" i="97"/>
  <c r="I30" i="97"/>
  <c r="I32" i="97"/>
  <c r="I33" i="97"/>
  <c r="D81" i="98" s="1" a="1"/>
  <c r="D81" i="98" s="1"/>
  <c r="I34" i="97"/>
  <c r="D84" i="98" s="1" a="1"/>
  <c r="D84" i="98" s="1"/>
  <c r="I35" i="97"/>
  <c r="I36" i="97"/>
  <c r="D90" i="98" s="1" a="1"/>
  <c r="D90" i="98" s="1"/>
  <c r="I37" i="97"/>
  <c r="I38" i="97"/>
  <c r="I40" i="97"/>
  <c r="I41" i="97"/>
  <c r="I42" i="97"/>
  <c r="D108" i="98" s="1" a="1"/>
  <c r="D108" i="98" s="1"/>
  <c r="I43" i="97"/>
  <c r="I44" i="97"/>
  <c r="I45" i="97"/>
  <c r="I46" i="97"/>
  <c r="I48" i="97"/>
  <c r="I49" i="97"/>
  <c r="D129" i="98" s="1" a="1"/>
  <c r="D129" i="98" s="1"/>
  <c r="I50" i="97"/>
  <c r="D132" i="98" s="1" a="1"/>
  <c r="D132" i="98" s="1"/>
  <c r="D4" i="98" a="1"/>
  <c r="D4" i="98" s="1"/>
  <c r="D5" i="98" a="1"/>
  <c r="D5" i="98" s="1"/>
  <c r="D8" i="98" a="1"/>
  <c r="D8" i="98" s="1"/>
  <c r="D10" i="98" a="1"/>
  <c r="D10" i="98" s="1"/>
  <c r="D11" i="98" a="1"/>
  <c r="D11" i="98" s="1"/>
  <c r="D14" i="98" a="1"/>
  <c r="D14" i="98" s="1"/>
  <c r="D17" i="98" a="1"/>
  <c r="D17" i="98" s="1"/>
  <c r="D20" i="98" a="1"/>
  <c r="D20" i="98" s="1"/>
  <c r="D23" i="98" a="1"/>
  <c r="D23" i="98" s="1"/>
  <c r="D24" i="98" a="1"/>
  <c r="D24" i="98" s="1"/>
  <c r="D26" i="98" a="1"/>
  <c r="D26" i="98" s="1"/>
  <c r="D29" i="98" a="1"/>
  <c r="D29" i="98" s="1"/>
  <c r="D32" i="98" a="1"/>
  <c r="D32" i="98" s="1"/>
  <c r="D35" i="98" a="1"/>
  <c r="D35" i="98" s="1"/>
  <c r="D38" i="98" a="1"/>
  <c r="D38" i="98" s="1"/>
  <c r="D39" i="98" a="1"/>
  <c r="D39" i="98" s="1"/>
  <c r="D41" i="98" a="1"/>
  <c r="D41" i="98" s="1"/>
  <c r="D44" i="98" a="1"/>
  <c r="D44" i="98" s="1"/>
  <c r="D46" i="98" a="1"/>
  <c r="D46" i="98" s="1"/>
  <c r="D47" i="98" a="1"/>
  <c r="D47" i="98" s="1"/>
  <c r="D50" i="98" a="1"/>
  <c r="D50" i="98" s="1"/>
  <c r="D53" i="98" a="1"/>
  <c r="D53" i="98" s="1"/>
  <c r="D56" i="98" a="1"/>
  <c r="D56" i="98" s="1"/>
  <c r="D59" i="98" a="1"/>
  <c r="D59" i="98" s="1"/>
  <c r="D60" i="98" a="1"/>
  <c r="D60" i="98" s="1"/>
  <c r="D62" i="98" a="1"/>
  <c r="D62" i="98" s="1"/>
  <c r="D65" i="98" a="1"/>
  <c r="D65" i="98" s="1"/>
  <c r="D68" i="98" a="1"/>
  <c r="D68" i="98" s="1"/>
  <c r="D71" i="98" a="1"/>
  <c r="D71" i="98" s="1"/>
  <c r="D72" i="98" a="1"/>
  <c r="D72" i="98" s="1"/>
  <c r="D74" i="98" a="1"/>
  <c r="D74" i="98" s="1"/>
  <c r="D77" i="98" a="1"/>
  <c r="D77" i="98" s="1"/>
  <c r="D78" i="98" a="1"/>
  <c r="D78" i="98" s="1"/>
  <c r="D80" i="98" a="1"/>
  <c r="D80" i="98" s="1"/>
  <c r="D82" i="98" a="1"/>
  <c r="D82" i="98" s="1"/>
  <c r="D83" i="98" a="1"/>
  <c r="D83" i="98" s="1"/>
  <c r="D86" i="98" a="1"/>
  <c r="D86" i="98" s="1"/>
  <c r="D87" i="98" a="1"/>
  <c r="D87" i="98" s="1"/>
  <c r="D89" i="98" a="1"/>
  <c r="D89" i="98" s="1"/>
  <c r="D92" i="98" a="1"/>
  <c r="D92" i="98" s="1"/>
  <c r="D93" i="98" a="1"/>
  <c r="D93" i="98" s="1"/>
  <c r="D95" i="98" a="1"/>
  <c r="D95" i="98" s="1"/>
  <c r="D96" i="98" a="1"/>
  <c r="D96" i="98" s="1"/>
  <c r="D98" i="98" a="1"/>
  <c r="D98" i="98" s="1"/>
  <c r="D101" i="98" a="1"/>
  <c r="D101" i="98" s="1"/>
  <c r="D102" i="98" a="1"/>
  <c r="D102" i="98" s="1"/>
  <c r="D104" i="98" a="1"/>
  <c r="D104" i="98" s="1"/>
  <c r="D105" i="98" a="1"/>
  <c r="D105" i="98" s="1"/>
  <c r="D107" i="98" a="1"/>
  <c r="D107" i="98"/>
  <c r="D110" i="98" a="1"/>
  <c r="D110" i="98" s="1"/>
  <c r="D111" i="98" a="1"/>
  <c r="D111" i="98" s="1"/>
  <c r="D113" i="98" a="1"/>
  <c r="D113" i="98" s="1"/>
  <c r="D114" i="98" a="1"/>
  <c r="D114" i="98" s="1"/>
  <c r="D116" i="98" a="1"/>
  <c r="D116" i="98" s="1"/>
  <c r="D117" i="98" a="1"/>
  <c r="D117" i="98" s="1"/>
  <c r="D119" i="98" a="1"/>
  <c r="D119" i="98" s="1"/>
  <c r="D120" i="98" a="1"/>
  <c r="D120" i="98" s="1"/>
  <c r="D122" i="98" a="1"/>
  <c r="D122" i="98" s="1"/>
  <c r="D125" i="98" a="1"/>
  <c r="D125" i="98" s="1"/>
  <c r="D126" i="98" a="1"/>
  <c r="D126" i="98" s="1"/>
  <c r="D127" i="98" a="1"/>
  <c r="D127" i="98" s="1"/>
  <c r="D128" i="98" a="1"/>
  <c r="D128" i="98" s="1"/>
  <c r="D131" i="98" a="1"/>
  <c r="D131" i="98" s="1"/>
  <c r="D134" i="98" a="1"/>
  <c r="D134" i="98" s="1"/>
  <c r="D135" i="98" a="1"/>
  <c r="D135" i="98" s="1"/>
  <c r="D136" i="98" a="1"/>
  <c r="D136" i="98" s="1"/>
  <c r="D137" i="98" a="1"/>
  <c r="D137" i="98" s="1"/>
  <c r="D138" i="98" a="1"/>
  <c r="D138" i="98" s="1"/>
  <c r="D139" i="98" a="1"/>
  <c r="D139" i="98" s="1"/>
  <c r="D140" i="98" a="1"/>
  <c r="D140"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c r="D156" i="98" a="1"/>
  <c r="D156" i="98" s="1"/>
  <c r="D157" i="98" a="1"/>
  <c r="D157" i="98" s="1"/>
  <c r="D158" i="98" a="1"/>
  <c r="D158" i="98" s="1"/>
  <c r="D159" i="98" a="1"/>
  <c r="D159" i="98" s="1"/>
  <c r="D160" i="98" a="1"/>
  <c r="D160" i="98" s="1"/>
  <c r="D161" i="98" a="1"/>
  <c r="D161" i="98" s="1"/>
  <c r="D162" i="98" a="1"/>
  <c r="D162" i="98" s="1"/>
  <c r="D163" i="98" a="1"/>
  <c r="D163" i="98"/>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K8" i="97"/>
  <c r="K9" i="97"/>
  <c r="K10" i="97"/>
  <c r="K11" i="97"/>
  <c r="K12" i="97"/>
  <c r="K13" i="97"/>
  <c r="K14" i="97"/>
  <c r="K15" i="97"/>
  <c r="K16" i="97"/>
  <c r="K17" i="97"/>
  <c r="K18" i="97"/>
  <c r="K19" i="97"/>
  <c r="K20" i="97"/>
  <c r="K21" i="97"/>
  <c r="K22" i="97"/>
  <c r="K23" i="97"/>
  <c r="K24" i="97"/>
  <c r="K25" i="97"/>
  <c r="K26" i="97"/>
  <c r="K27" i="97"/>
  <c r="K28" i="97"/>
  <c r="K29" i="97"/>
  <c r="K30" i="97"/>
  <c r="K31" i="97"/>
  <c r="K32" i="97"/>
  <c r="K33" i="97"/>
  <c r="K34" i="97"/>
  <c r="K35" i="97"/>
  <c r="K36" i="97"/>
  <c r="K37" i="97"/>
  <c r="K38" i="97"/>
  <c r="K39" i="97"/>
  <c r="K40" i="97"/>
  <c r="K41" i="97"/>
  <c r="K42" i="97"/>
  <c r="K43" i="97"/>
  <c r="K44" i="97"/>
  <c r="K45" i="97"/>
  <c r="K46" i="97"/>
  <c r="K47" i="97"/>
  <c r="K48" i="97"/>
  <c r="K49" i="97"/>
  <c r="K50" i="97"/>
  <c r="J8" i="97"/>
  <c r="D7" i="98" s="1" a="1"/>
  <c r="D7" i="98" s="1"/>
  <c r="J9" i="97"/>
  <c r="J10" i="97"/>
  <c r="D13" i="98" s="1" a="1"/>
  <c r="D13" i="98" s="1"/>
  <c r="J11" i="97"/>
  <c r="D16" i="98" s="1" a="1"/>
  <c r="D16" i="98" s="1"/>
  <c r="J12" i="97"/>
  <c r="D19" i="98" s="1" a="1"/>
  <c r="D19" i="98" s="1"/>
  <c r="J13" i="97"/>
  <c r="D22" i="98" s="1" a="1"/>
  <c r="D22" i="98" s="1"/>
  <c r="J14" i="97"/>
  <c r="D25" i="98" s="1" a="1"/>
  <c r="D25" i="98" s="1"/>
  <c r="J16" i="97"/>
  <c r="D31" i="98" s="1" a="1"/>
  <c r="D31" i="98" s="1"/>
  <c r="J17" i="97"/>
  <c r="D34" i="98" s="1" a="1"/>
  <c r="D34" i="98" s="1"/>
  <c r="J18" i="97"/>
  <c r="D37" i="98" s="1" a="1"/>
  <c r="D37" i="98" s="1"/>
  <c r="J19" i="97"/>
  <c r="D40" i="98" s="1" a="1"/>
  <c r="D40" i="98" s="1"/>
  <c r="J20" i="97"/>
  <c r="D43" i="98" s="1" a="1"/>
  <c r="D43" i="98" s="1"/>
  <c r="J21" i="97"/>
  <c r="J22" i="97"/>
  <c r="D49" i="98" s="1" a="1"/>
  <c r="D49" i="98" s="1"/>
  <c r="J24" i="97"/>
  <c r="D55" i="98" s="1" a="1"/>
  <c r="D55" i="98" s="1"/>
  <c r="J25" i="97"/>
  <c r="D58" i="98" s="1" a="1"/>
  <c r="D58" i="98" s="1"/>
  <c r="J26" i="97"/>
  <c r="D61" i="98" s="1" a="1"/>
  <c r="D61" i="98" s="1"/>
  <c r="J27" i="97"/>
  <c r="D64" i="98" s="1" a="1"/>
  <c r="D64" i="98" s="1"/>
  <c r="J28" i="97"/>
  <c r="D67" i="98" s="1" a="1"/>
  <c r="D67" i="98" s="1"/>
  <c r="J29" i="97"/>
  <c r="D70" i="98" s="1" a="1"/>
  <c r="D70" i="98" s="1"/>
  <c r="J30" i="97"/>
  <c r="D73" i="98" s="1" a="1"/>
  <c r="D73" i="98" s="1"/>
  <c r="J32" i="97"/>
  <c r="D79" i="98" s="1" a="1"/>
  <c r="D79" i="98" s="1"/>
  <c r="J33" i="97"/>
  <c r="J34" i="97"/>
  <c r="D85" i="98" s="1" a="1"/>
  <c r="D85" i="98" s="1"/>
  <c r="J35" i="97"/>
  <c r="D88" i="98" s="1" a="1"/>
  <c r="D88" i="98" s="1"/>
  <c r="J36" i="97"/>
  <c r="D91" i="98" s="1" a="1"/>
  <c r="D91" i="98" s="1"/>
  <c r="J37" i="97"/>
  <c r="D94" i="98" s="1" a="1"/>
  <c r="D94" i="98" s="1"/>
  <c r="J38" i="97"/>
  <c r="D97" i="98" s="1" a="1"/>
  <c r="D97" i="98" s="1"/>
  <c r="J40" i="97"/>
  <c r="D103" i="98" s="1" a="1"/>
  <c r="D103" i="98" s="1"/>
  <c r="J41" i="97"/>
  <c r="D106" i="98" s="1" a="1"/>
  <c r="D106" i="98" s="1"/>
  <c r="J42" i="97"/>
  <c r="D109" i="98" s="1" a="1"/>
  <c r="D109" i="98" s="1"/>
  <c r="J43" i="97"/>
  <c r="D112" i="98" s="1" a="1"/>
  <c r="D112" i="98" s="1"/>
  <c r="J44" i="97"/>
  <c r="D115" i="98" s="1" a="1"/>
  <c r="D115" i="98" s="1"/>
  <c r="J45" i="97"/>
  <c r="D118" i="98" s="1" a="1"/>
  <c r="D118" i="98" s="1"/>
  <c r="J46" i="97"/>
  <c r="D121" i="98" s="1" a="1"/>
  <c r="D121" i="98" s="1"/>
  <c r="J48" i="97"/>
  <c r="J49" i="97"/>
  <c r="D130" i="98" s="1" a="1"/>
  <c r="D130" i="98" s="1"/>
  <c r="J50" i="97"/>
  <c r="D133" i="98" s="1" a="1"/>
  <c r="D133" i="98" s="1"/>
  <c r="I8" i="97"/>
  <c r="D6" i="98" s="1" a="1"/>
  <c r="D6" i="98" s="1"/>
  <c r="I9" i="97"/>
  <c r="D9" i="98" s="1" a="1"/>
  <c r="D9" i="98" s="1"/>
  <c r="I10" i="97"/>
  <c r="D12" i="98" s="1" a="1"/>
  <c r="D12" i="98" s="1"/>
  <c r="I11" i="97"/>
  <c r="D15" i="98" s="1" a="1"/>
  <c r="D15" i="98" s="1"/>
  <c r="I12" i="97"/>
  <c r="D18" i="98" s="1" a="1"/>
  <c r="D18" i="98" s="1"/>
  <c r="I13" i="97"/>
  <c r="D21" i="98" s="1" a="1"/>
  <c r="D21" i="98" s="1"/>
  <c r="I14" i="97"/>
  <c r="I16" i="97"/>
  <c r="D30" i="98" s="1" a="1"/>
  <c r="D30" i="98" s="1"/>
  <c r="I17" i="97"/>
  <c r="D33" i="98" s="1" a="1"/>
  <c r="D33" i="98" s="1"/>
  <c r="I18" i="97"/>
  <c r="D36" i="98" s="1" a="1"/>
  <c r="D36" i="98" s="1"/>
  <c r="I19" i="97"/>
  <c r="I20" i="97"/>
  <c r="D42" i="98" s="1" a="1"/>
  <c r="D42" i="98" s="1"/>
  <c r="I21" i="97"/>
  <c r="D45" i="98" s="1" a="1"/>
  <c r="D45" i="98" s="1"/>
  <c r="I22" i="97"/>
  <c r="D48" i="98" s="1" a="1"/>
  <c r="D48" i="98" s="1"/>
  <c r="I24" i="97"/>
  <c r="D54" i="98" s="1" a="1"/>
  <c r="D54" i="98" s="1"/>
  <c r="I25" i="97"/>
  <c r="D57" i="98" s="1" a="1"/>
  <c r="D57" i="98" s="1"/>
  <c r="I26" i="97"/>
  <c r="I27" i="97"/>
  <c r="D63" i="98" s="1" a="1"/>
  <c r="D63" i="98" s="1"/>
  <c r="I28" i="97"/>
  <c r="D66" i="98" s="1" a="1"/>
  <c r="D66"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B33" i="99"/>
  <c r="C33" i="99"/>
  <c r="B34" i="99"/>
  <c r="C34" i="99"/>
  <c r="B35" i="99"/>
  <c r="C35" i="99"/>
  <c r="B36" i="99"/>
  <c r="C36" i="99"/>
  <c r="B37" i="99"/>
  <c r="C37" i="99"/>
  <c r="B9" i="99"/>
  <c r="B10" i="99"/>
  <c r="B11" i="99"/>
  <c r="B12" i="99"/>
  <c r="B13" i="99"/>
  <c r="B14" i="99"/>
  <c r="B15" i="99"/>
  <c r="B16" i="99"/>
  <c r="B17" i="99"/>
  <c r="B18" i="99"/>
  <c r="B19" i="99"/>
  <c r="B20" i="99"/>
  <c r="B21" i="99"/>
  <c r="B22" i="99"/>
  <c r="B23" i="99"/>
  <c r="B24" i="99"/>
  <c r="B25" i="99"/>
  <c r="B26" i="99"/>
  <c r="B27" i="99"/>
  <c r="B28" i="99"/>
  <c r="B29" i="99"/>
  <c r="B30" i="99"/>
  <c r="B31" i="99"/>
  <c r="B32" i="99"/>
  <c r="C9" i="99"/>
  <c r="C10" i="99"/>
  <c r="C11" i="99"/>
  <c r="C12" i="99"/>
  <c r="C13" i="99"/>
  <c r="C14" i="99"/>
  <c r="C15" i="99"/>
  <c r="C16" i="99"/>
  <c r="C17" i="99"/>
  <c r="C18" i="99"/>
  <c r="C19" i="99"/>
  <c r="C20" i="99"/>
  <c r="C21" i="99"/>
  <c r="C22" i="99"/>
  <c r="C23" i="99"/>
  <c r="C24" i="99"/>
  <c r="C25" i="99"/>
  <c r="C26" i="99"/>
  <c r="C27" i="99"/>
  <c r="C28" i="99"/>
  <c r="C29" i="99"/>
  <c r="C30" i="99"/>
  <c r="C31" i="99"/>
  <c r="C32" i="99"/>
  <c r="B33" i="97"/>
  <c r="B34" i="97"/>
  <c r="B35" i="97"/>
  <c r="B36" i="97"/>
  <c r="B37" i="97"/>
  <c r="C33" i="97"/>
  <c r="C34" i="97"/>
  <c r="C35" i="97"/>
  <c r="C36" i="97"/>
  <c r="C37" i="97"/>
  <c r="C11" i="97"/>
  <c r="C12" i="97"/>
  <c r="C13" i="97"/>
  <c r="C14" i="97"/>
  <c r="C15" i="97"/>
  <c r="C16" i="97"/>
  <c r="C17" i="97"/>
  <c r="C18" i="97"/>
  <c r="C19" i="97"/>
  <c r="C20" i="97"/>
  <c r="C21" i="97"/>
  <c r="C22" i="97"/>
  <c r="C23" i="97"/>
  <c r="C24" i="97"/>
  <c r="C25" i="97"/>
  <c r="C26" i="97"/>
  <c r="C27" i="97"/>
  <c r="C28" i="97"/>
  <c r="C29" i="97"/>
  <c r="C30" i="97"/>
  <c r="C31" i="97"/>
  <c r="C32" i="97"/>
  <c r="C9" i="97"/>
  <c r="C10" i="97"/>
  <c r="B9" i="97"/>
  <c r="B10" i="97"/>
  <c r="B11" i="97"/>
  <c r="B12" i="97"/>
  <c r="B13" i="97"/>
  <c r="B14" i="97"/>
  <c r="B15" i="97"/>
  <c r="B16" i="97"/>
  <c r="B17" i="97"/>
  <c r="B18" i="97"/>
  <c r="B19" i="97"/>
  <c r="B20" i="97"/>
  <c r="B21" i="97"/>
  <c r="B22" i="97"/>
  <c r="B23" i="97"/>
  <c r="B24" i="97"/>
  <c r="B25" i="97"/>
  <c r="B26" i="97"/>
  <c r="B27" i="97"/>
  <c r="B28" i="97"/>
  <c r="B29" i="97"/>
  <c r="B30" i="97"/>
  <c r="B31" i="97"/>
  <c r="B32" i="97"/>
  <c r="C8" i="97"/>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D4" i="34" a="1"/>
  <c r="D4" i="34" s="1"/>
  <c r="D4" i="73" s="1"/>
  <c r="D5" i="34" a="1"/>
  <c r="D5" i="34" s="1"/>
  <c r="D5" i="73" s="1"/>
  <c r="D6" i="34" a="1"/>
  <c r="D6" i="34" s="1"/>
  <c r="D6" i="73" s="1"/>
  <c r="D7" i="34" a="1"/>
  <c r="D7" i="34" s="1"/>
  <c r="D7" i="73" s="1"/>
  <c r="D8" i="34" a="1"/>
  <c r="D8" i="34" s="1"/>
  <c r="D8" i="73" s="1"/>
  <c r="D9" i="34" a="1"/>
  <c r="D9" i="34" s="1"/>
  <c r="D9" i="73" s="1"/>
  <c r="D10" i="34" a="1"/>
  <c r="D10" i="34" s="1"/>
  <c r="D10" i="73" s="1"/>
  <c r="D11" i="34" a="1"/>
  <c r="D11" i="34" s="1"/>
  <c r="D11" i="73" s="1"/>
  <c r="D12" i="34" a="1"/>
  <c r="D12" i="34" s="1"/>
  <c r="D12" i="73" s="1"/>
  <c r="D13" i="34" a="1"/>
  <c r="D13" i="34" s="1"/>
  <c r="D13" i="73" s="1"/>
  <c r="D14" i="34" a="1"/>
  <c r="D14" i="34" s="1"/>
  <c r="D14" i="73" s="1"/>
  <c r="D15" i="34" a="1"/>
  <c r="D15" i="34" s="1"/>
  <c r="D15" i="73" s="1"/>
  <c r="D16" i="34" a="1"/>
  <c r="D16" i="34" s="1"/>
  <c r="D16" i="73" s="1"/>
  <c r="D17" i="34" a="1"/>
  <c r="D17" i="34" s="1"/>
  <c r="D17" i="73" s="1"/>
  <c r="D18" i="34" a="1"/>
  <c r="D18" i="34" s="1"/>
  <c r="D18" i="73" s="1"/>
  <c r="D19" i="34" a="1"/>
  <c r="D19" i="34" s="1"/>
  <c r="D19" i="73" s="1"/>
  <c r="D20" i="34" a="1"/>
  <c r="D20" i="34" s="1"/>
  <c r="D20" i="73" s="1"/>
  <c r="D23" i="34" a="1"/>
  <c r="D23" i="34" s="1"/>
  <c r="D23" i="73" s="1"/>
  <c r="D24" i="34" a="1"/>
  <c r="D24" i="34" s="1"/>
  <c r="D24" i="73" s="1"/>
  <c r="D25" i="34" a="1"/>
  <c r="D25" i="34" s="1"/>
  <c r="D25" i="73" s="1"/>
  <c r="D26" i="34" a="1"/>
  <c r="D26" i="34" s="1"/>
  <c r="D26" i="73" s="1"/>
  <c r="D27" i="34" a="1"/>
  <c r="D27" i="34" s="1"/>
  <c r="D27" i="73" s="1"/>
  <c r="D28" i="34" a="1"/>
  <c r="D28" i="34" s="1"/>
  <c r="D28" i="73" s="1"/>
  <c r="D29" i="34" a="1"/>
  <c r="D29" i="34" s="1"/>
  <c r="D29" i="73" s="1"/>
  <c r="D32" i="34" a="1"/>
  <c r="D32" i="34" s="1"/>
  <c r="D32" i="73" s="1"/>
  <c r="D35" i="34" a="1"/>
  <c r="D35" i="34" s="1"/>
  <c r="D35" i="73" s="1"/>
  <c r="D38" i="34" a="1"/>
  <c r="D38" i="34" s="1"/>
  <c r="D38" i="73" s="1"/>
  <c r="D41" i="34" a="1"/>
  <c r="D41" i="34" s="1"/>
  <c r="D41" i="73" s="1"/>
  <c r="D44" i="34" a="1"/>
  <c r="D44" i="34" s="1"/>
  <c r="D44" i="73" s="1"/>
  <c r="D45" i="34" a="1"/>
  <c r="D45" i="34" s="1"/>
  <c r="D45" i="73" s="1"/>
  <c r="D46" i="34" a="1"/>
  <c r="D46" i="34" s="1"/>
  <c r="D46" i="73" s="1"/>
  <c r="D47" i="34" a="1"/>
  <c r="D47" i="34" s="1"/>
  <c r="D47" i="73" s="1"/>
  <c r="D48" i="34" a="1"/>
  <c r="D48" i="34" s="1"/>
  <c r="D48" i="73" s="1"/>
  <c r="D49" i="34" a="1"/>
  <c r="D49" i="34" s="1"/>
  <c r="D49" i="73" s="1"/>
  <c r="D50" i="34" a="1"/>
  <c r="D50" i="34" s="1"/>
  <c r="D50" i="73" s="1"/>
  <c r="D51" i="34" a="1"/>
  <c r="D51" i="34" s="1"/>
  <c r="D51" i="73" s="1"/>
  <c r="D52" i="34" a="1"/>
  <c r="D52" i="34" s="1"/>
  <c r="D52" i="73" s="1"/>
  <c r="D53" i="34" a="1"/>
  <c r="D53" i="34" s="1"/>
  <c r="D53" i="73" s="1"/>
  <c r="D54" i="34" a="1"/>
  <c r="D54" i="34" s="1"/>
  <c r="D54" i="73" s="1"/>
  <c r="D55" i="34" a="1"/>
  <c r="D55" i="34" s="1"/>
  <c r="D55" i="73" s="1"/>
  <c r="D56" i="34" a="1"/>
  <c r="D56" i="34" s="1"/>
  <c r="D56" i="73" s="1"/>
  <c r="D57" i="34" a="1"/>
  <c r="D57" i="34" s="1"/>
  <c r="D57" i="73" s="1"/>
  <c r="D58" i="34" a="1"/>
  <c r="D58" i="34" s="1"/>
  <c r="D58" i="73" s="1"/>
  <c r="D59" i="34" a="1"/>
  <c r="D59" i="34" s="1"/>
  <c r="D59" i="73" s="1"/>
  <c r="D60" i="34" a="1"/>
  <c r="D60" i="34" s="1"/>
  <c r="D60" i="73" s="1"/>
  <c r="D61" i="34" a="1"/>
  <c r="D61" i="34" s="1"/>
  <c r="D61" i="73" s="1"/>
  <c r="D62" i="34" a="1"/>
  <c r="D62" i="34" s="1"/>
  <c r="D62" i="73" s="1"/>
  <c r="D63" i="34" a="1"/>
  <c r="D63" i="34" s="1"/>
  <c r="D63" i="73" s="1"/>
  <c r="D64" i="34" a="1"/>
  <c r="D64" i="34" s="1"/>
  <c r="D64" i="73" s="1"/>
  <c r="D65" i="34" a="1"/>
  <c r="D65" i="34" s="1"/>
  <c r="D65" i="73" s="1"/>
  <c r="D66" i="34" a="1"/>
  <c r="D66" i="34" s="1"/>
  <c r="D66" i="73" s="1"/>
  <c r="D67" i="34" a="1"/>
  <c r="D67" i="34" s="1"/>
  <c r="D67" i="73" s="1"/>
  <c r="D68" i="34" a="1"/>
  <c r="D68" i="34" s="1"/>
  <c r="D68" i="73" s="1"/>
  <c r="D69" i="34" a="1"/>
  <c r="D69" i="34" s="1"/>
  <c r="D69" i="73" s="1"/>
  <c r="D70" i="34" a="1"/>
  <c r="D70" i="34" s="1"/>
  <c r="D70" i="73" s="1"/>
  <c r="D71" i="34" a="1"/>
  <c r="D71" i="34" s="1"/>
  <c r="D71" i="73" s="1"/>
  <c r="D72" i="34" a="1"/>
  <c r="D72" i="34" s="1"/>
  <c r="D72" i="73" s="1"/>
  <c r="D73" i="34" a="1"/>
  <c r="D73" i="34" s="1"/>
  <c r="D73" i="73" s="1"/>
  <c r="D74" i="34" a="1"/>
  <c r="D74" i="34" s="1"/>
  <c r="D74" i="73" s="1"/>
  <c r="D75" i="34" a="1"/>
  <c r="D75" i="34" s="1"/>
  <c r="D75" i="73" s="1"/>
  <c r="D76" i="34" a="1"/>
  <c r="D76" i="34" s="1"/>
  <c r="D76" i="73" s="1"/>
  <c r="D77" i="34" a="1"/>
  <c r="D77" i="34" s="1"/>
  <c r="D77" i="73" s="1"/>
  <c r="D78" i="34" a="1"/>
  <c r="D78" i="34" s="1"/>
  <c r="D78" i="73" s="1"/>
  <c r="D79" i="34" a="1"/>
  <c r="D79" i="34" s="1"/>
  <c r="D79" i="73" s="1"/>
  <c r="D80" i="34" a="1"/>
  <c r="D80" i="34" s="1"/>
  <c r="D80" i="73" s="1"/>
  <c r="D81" i="34" a="1"/>
  <c r="D81" i="34" s="1"/>
  <c r="D81" i="73" s="1"/>
  <c r="D82" i="34" a="1"/>
  <c r="D82" i="34" s="1"/>
  <c r="D82" i="73" s="1"/>
  <c r="D83" i="34" a="1"/>
  <c r="D83" i="34" s="1"/>
  <c r="D83" i="73" s="1"/>
  <c r="D84" i="34" a="1"/>
  <c r="D84" i="34" s="1"/>
  <c r="D84" i="73" s="1"/>
  <c r="D85" i="34" a="1"/>
  <c r="D85" i="34" s="1"/>
  <c r="D85" i="73" s="1"/>
  <c r="D86" i="34" a="1"/>
  <c r="D86" i="34" s="1"/>
  <c r="D86" i="73" s="1"/>
  <c r="D87" i="34" a="1"/>
  <c r="D87" i="34" s="1"/>
  <c r="D87" i="73" s="1"/>
  <c r="D88" i="34" a="1"/>
  <c r="D88" i="34" s="1"/>
  <c r="D88" i="73" s="1"/>
  <c r="D89" i="34" a="1"/>
  <c r="D89" i="34" s="1"/>
  <c r="D89" i="73" s="1"/>
  <c r="D90" i="34" a="1"/>
  <c r="D90" i="34" s="1"/>
  <c r="D90" i="73" s="1"/>
  <c r="D91" i="34" a="1"/>
  <c r="D91" i="34" s="1"/>
  <c r="D91" i="73" s="1"/>
  <c r="D92" i="34" a="1"/>
  <c r="D92" i="34" s="1"/>
  <c r="D92" i="73" s="1"/>
  <c r="D93" i="34" a="1"/>
  <c r="D93" i="34" s="1"/>
  <c r="D93" i="73" s="1"/>
  <c r="D94" i="34" a="1"/>
  <c r="D94" i="34" s="1"/>
  <c r="D94" i="73" s="1"/>
  <c r="D95" i="34" a="1"/>
  <c r="D95" i="34" s="1"/>
  <c r="D95" i="73" s="1"/>
  <c r="D96" i="34" a="1"/>
  <c r="D96" i="34" s="1"/>
  <c r="D96" i="73" s="1"/>
  <c r="D97" i="34" a="1"/>
  <c r="D97" i="34" s="1"/>
  <c r="D97" i="73" s="1"/>
  <c r="D98" i="34" a="1"/>
  <c r="D98" i="34" s="1"/>
  <c r="D98" i="73" s="1"/>
  <c r="D99" i="34" a="1"/>
  <c r="D99" i="34" s="1"/>
  <c r="D99" i="73" s="1"/>
  <c r="D100" i="34" a="1"/>
  <c r="D100" i="34" s="1"/>
  <c r="D100" i="73" s="1"/>
  <c r="D101" i="34" a="1"/>
  <c r="D101" i="34" s="1"/>
  <c r="D101" i="73" s="1"/>
  <c r="D102" i="34" a="1"/>
  <c r="D102" i="34" s="1"/>
  <c r="D102" i="73" s="1"/>
  <c r="D103" i="34" a="1"/>
  <c r="D103" i="34" s="1"/>
  <c r="D103" i="73" s="1"/>
  <c r="D104" i="34" a="1"/>
  <c r="D104" i="34" s="1"/>
  <c r="D104" i="73" s="1"/>
  <c r="D105" i="34" a="1"/>
  <c r="D105" i="34" s="1"/>
  <c r="D105" i="73" s="1"/>
  <c r="D106" i="34" a="1"/>
  <c r="D106" i="34" s="1"/>
  <c r="D106" i="73" s="1"/>
  <c r="D107" i="34" a="1"/>
  <c r="D107" i="34" s="1"/>
  <c r="D107" i="73" s="1"/>
  <c r="D108" i="34" a="1"/>
  <c r="D108" i="34" s="1"/>
  <c r="D109" i="34" a="1"/>
  <c r="D109" i="34" s="1"/>
  <c r="D110" i="34" a="1"/>
  <c r="D110" i="34" s="1"/>
  <c r="D111" i="34" a="1"/>
  <c r="D111" i="34" s="1"/>
  <c r="D112" i="34" a="1"/>
  <c r="D112" i="34" s="1"/>
  <c r="D113" i="34" a="1"/>
  <c r="D113" i="34" s="1"/>
  <c r="D114" i="34" a="1"/>
  <c r="D114" i="34" s="1"/>
  <c r="D115" i="34" a="1"/>
  <c r="D115" i="34" s="1"/>
  <c r="D116" i="34" a="1"/>
  <c r="D116" i="34" s="1"/>
  <c r="D117" i="34" a="1"/>
  <c r="D117" i="34" s="1"/>
  <c r="D118" i="34" a="1"/>
  <c r="D118" i="34" s="1"/>
  <c r="D119" i="34" a="1"/>
  <c r="D119" i="34" s="1"/>
  <c r="D120" i="34" a="1"/>
  <c r="D120" i="34" s="1"/>
  <c r="D121" i="34" a="1"/>
  <c r="D121" i="34" s="1"/>
  <c r="D122" i="34" a="1"/>
  <c r="D122" i="34" s="1"/>
  <c r="D123" i="34" a="1"/>
  <c r="D123" i="34" s="1"/>
  <c r="D124" i="34" a="1"/>
  <c r="D124" i="34" s="1"/>
  <c r="D125" i="34" a="1"/>
  <c r="D125" i="34" s="1"/>
  <c r="D126" i="34" a="1"/>
  <c r="D126" i="34" s="1"/>
  <c r="D127" i="34" a="1"/>
  <c r="D127" i="34" s="1"/>
  <c r="D128" i="34" a="1"/>
  <c r="D128" i="34" s="1"/>
  <c r="D129" i="34" a="1"/>
  <c r="D129" i="34" s="1"/>
  <c r="D130" i="34" a="1"/>
  <c r="D130" i="34" s="1"/>
  <c r="D131" i="34" a="1"/>
  <c r="D131" i="34" s="1"/>
  <c r="D132" i="34" a="1"/>
  <c r="D132" i="34" s="1"/>
  <c r="D133" i="34" a="1"/>
  <c r="D133" i="34" s="1"/>
  <c r="D134" i="34" a="1"/>
  <c r="D134" i="34" s="1"/>
  <c r="D135" i="34" a="1"/>
  <c r="D135" i="34" s="1"/>
  <c r="D136" i="34" a="1"/>
  <c r="D136" i="34" s="1"/>
  <c r="D137" i="34" a="1"/>
  <c r="D137" i="34" s="1"/>
  <c r="D138" i="34" a="1"/>
  <c r="D138" i="34" s="1"/>
  <c r="D139" i="34" a="1"/>
  <c r="D139" i="34" s="1"/>
  <c r="D140" i="34" a="1"/>
  <c r="D140" i="34" s="1"/>
  <c r="D141" i="34" a="1"/>
  <c r="D141" i="34" s="1"/>
  <c r="D142" i="34" a="1"/>
  <c r="D142" i="34" s="1"/>
  <c r="D143" i="34" a="1"/>
  <c r="D143" i="34" s="1"/>
  <c r="D144" i="34" a="1"/>
  <c r="D144" i="34" s="1"/>
  <c r="D145" i="34" a="1"/>
  <c r="D145" i="34" s="1"/>
  <c r="D146" i="34" a="1"/>
  <c r="D146" i="34" s="1"/>
  <c r="D147" i="34" a="1"/>
  <c r="D147" i="34" s="1"/>
  <c r="D148" i="34" a="1"/>
  <c r="D148" i="34" s="1"/>
  <c r="D149" i="34" a="1"/>
  <c r="D149" i="34" s="1"/>
  <c r="D150" i="34" a="1"/>
  <c r="D150" i="34" s="1"/>
  <c r="D151" i="34" a="1"/>
  <c r="D151" i="34" s="1"/>
  <c r="D152" i="34" a="1"/>
  <c r="D152" i="34" s="1"/>
  <c r="D153" i="34" a="1"/>
  <c r="D153" i="34" s="1"/>
  <c r="D154" i="34" a="1"/>
  <c r="D154" i="34" s="1"/>
  <c r="D155" i="34" a="1"/>
  <c r="D155" i="34" s="1"/>
  <c r="D156" i="34" a="1"/>
  <c r="D156" i="34" s="1"/>
  <c r="D157" i="34" a="1"/>
  <c r="D157" i="34" s="1"/>
  <c r="D158" i="34" a="1"/>
  <c r="D158" i="34" s="1"/>
  <c r="D159" i="34" a="1"/>
  <c r="D159" i="34" s="1"/>
  <c r="D160" i="34" a="1"/>
  <c r="D160" i="34" s="1"/>
  <c r="D161" i="34" a="1"/>
  <c r="D161" i="34" s="1"/>
  <c r="D162" i="34" a="1"/>
  <c r="D162" i="34" s="1"/>
  <c r="D163" i="34" a="1"/>
  <c r="D163" i="34" s="1"/>
  <c r="D164" i="34" a="1"/>
  <c r="D164" i="34" s="1"/>
  <c r="D165" i="34" a="1"/>
  <c r="D165" i="34" s="1"/>
  <c r="D166" i="34" a="1"/>
  <c r="D166" i="34" s="1"/>
  <c r="D167" i="34" a="1"/>
  <c r="D167" i="34" s="1"/>
  <c r="D168" i="34" a="1"/>
  <c r="D168" i="34" s="1"/>
  <c r="D169" i="34" a="1"/>
  <c r="D169" i="34" s="1"/>
  <c r="D170" i="34" a="1"/>
  <c r="D170" i="34" s="1"/>
  <c r="D171" i="34" a="1"/>
  <c r="D171" i="34" s="1"/>
  <c r="D172" i="34" a="1"/>
  <c r="D172" i="34" s="1"/>
  <c r="D173" i="34" a="1"/>
  <c r="D173" i="34" s="1"/>
  <c r="D174" i="34" a="1"/>
  <c r="D174" i="34" s="1"/>
  <c r="D175" i="34" a="1"/>
  <c r="D175" i="34" s="1"/>
  <c r="D176" i="34" a="1"/>
  <c r="D176" i="34" s="1"/>
  <c r="D177" i="34" a="1"/>
  <c r="D177" i="34" s="1"/>
  <c r="D178" i="34" a="1"/>
  <c r="D178" i="34" s="1"/>
  <c r="D179" i="34" a="1"/>
  <c r="D179" i="34" s="1"/>
  <c r="D180" i="34" a="1"/>
  <c r="D180" i="34" s="1"/>
  <c r="D181" i="34" a="1"/>
  <c r="D181" i="34" s="1"/>
  <c r="D182" i="34" a="1"/>
  <c r="D182" i="34" s="1"/>
  <c r="D183" i="34" a="1"/>
  <c r="D183" i="34" s="1"/>
  <c r="D184" i="34" a="1"/>
  <c r="D184" i="34" s="1"/>
  <c r="D185" i="34" a="1"/>
  <c r="D185" i="34" s="1"/>
  <c r="D186" i="34" a="1"/>
  <c r="D186" i="34" s="1"/>
  <c r="D187" i="34" a="1"/>
  <c r="D187" i="34" s="1"/>
  <c r="D188" i="34" a="1"/>
  <c r="D188" i="34" s="1"/>
  <c r="D189" i="34" a="1"/>
  <c r="D189" i="34" s="1"/>
  <c r="D190" i="34" a="1"/>
  <c r="D190" i="34" s="1"/>
  <c r="D191" i="34" a="1"/>
  <c r="D191" i="34" s="1"/>
  <c r="D192" i="34" a="1"/>
  <c r="D192" i="34" s="1"/>
  <c r="D193" i="34" a="1"/>
  <c r="D193" i="34" s="1"/>
  <c r="D194" i="34" a="1"/>
  <c r="D194" i="34" s="1"/>
  <c r="D195" i="34" a="1"/>
  <c r="D195" i="34" s="1"/>
  <c r="D196" i="34" a="1"/>
  <c r="D196" i="34" s="1"/>
  <c r="D197" i="34" a="1"/>
  <c r="D197" i="34" s="1"/>
  <c r="D198" i="34" a="1"/>
  <c r="D198" i="34" s="1"/>
  <c r="D199" i="34" a="1"/>
  <c r="D199" i="34" s="1"/>
  <c r="D200" i="34" a="1"/>
  <c r="D200" i="34" s="1"/>
  <c r="D201" i="34" a="1"/>
  <c r="D201" i="34" s="1"/>
  <c r="D202" i="34" a="1"/>
  <c r="D202" i="34" s="1"/>
  <c r="D203" i="34" a="1"/>
  <c r="D203" i="34" s="1"/>
  <c r="D204" i="34" a="1"/>
  <c r="D204" i="34" s="1"/>
  <c r="D205" i="34" a="1"/>
  <c r="D205" i="34" s="1"/>
  <c r="D206" i="34" a="1"/>
  <c r="D206" i="34" s="1"/>
  <c r="B9" i="33"/>
  <c r="B10" i="33"/>
  <c r="B11" i="33"/>
  <c r="B12" i="33"/>
  <c r="B13" i="33"/>
  <c r="B14" i="33"/>
  <c r="B15" i="33"/>
  <c r="B16" i="33"/>
  <c r="B17" i="33"/>
  <c r="B18" i="33"/>
  <c r="B19" i="33"/>
  <c r="B20" i="33"/>
  <c r="B21" i="33"/>
  <c r="B22" i="33"/>
  <c r="B23" i="33"/>
  <c r="B24" i="33"/>
  <c r="B25" i="33"/>
  <c r="B26" i="33"/>
  <c r="B27" i="33"/>
  <c r="B28" i="33"/>
  <c r="B29" i="33"/>
  <c r="B30" i="33"/>
  <c r="B31" i="33"/>
  <c r="B32" i="33"/>
  <c r="C8" i="33"/>
  <c r="C9" i="33"/>
  <c r="C10" i="33"/>
  <c r="C11" i="33"/>
  <c r="C12" i="33"/>
  <c r="C13" i="33"/>
  <c r="C14" i="33"/>
  <c r="C15" i="33"/>
  <c r="C16" i="33"/>
  <c r="C17" i="33"/>
  <c r="C18" i="33"/>
  <c r="C19" i="33"/>
  <c r="C20" i="33"/>
  <c r="C21" i="33"/>
  <c r="C22" i="33"/>
  <c r="C23" i="33"/>
  <c r="C24" i="33"/>
  <c r="C25" i="33"/>
  <c r="C26" i="33"/>
  <c r="C27" i="33"/>
  <c r="C28" i="33"/>
  <c r="C29" i="33"/>
  <c r="C30" i="33"/>
  <c r="C31" i="33"/>
  <c r="C32" i="33"/>
  <c r="B3" i="13"/>
  <c r="C3" i="13"/>
  <c r="D3" i="13"/>
  <c r="E3" i="13"/>
  <c r="F3" i="13"/>
  <c r="G3" i="13"/>
  <c r="H3" i="13"/>
  <c r="B4" i="13"/>
  <c r="C4" i="13"/>
  <c r="D4" i="13"/>
  <c r="E4" i="13"/>
  <c r="F4" i="13"/>
  <c r="G4" i="13"/>
  <c r="H4" i="13"/>
  <c r="B5" i="13"/>
  <c r="C5" i="13"/>
  <c r="D5" i="13"/>
  <c r="E5" i="13"/>
  <c r="F5" i="13"/>
  <c r="G5" i="13"/>
  <c r="H5" i="13"/>
  <c r="B6" i="13"/>
  <c r="C6" i="13"/>
  <c r="D6" i="13"/>
  <c r="E6" i="13"/>
  <c r="F6" i="13"/>
  <c r="G6" i="13"/>
  <c r="H6" i="13"/>
  <c r="B7" i="13"/>
  <c r="C7" i="13"/>
  <c r="D7" i="13"/>
  <c r="E7" i="13"/>
  <c r="F7" i="13"/>
  <c r="G7" i="13"/>
  <c r="H7" i="13"/>
  <c r="B8" i="13"/>
  <c r="C8" i="13"/>
  <c r="D8" i="13"/>
  <c r="E8" i="13"/>
  <c r="F8" i="13"/>
  <c r="G8" i="13"/>
  <c r="H8" i="13"/>
  <c r="B9" i="13"/>
  <c r="C9" i="13"/>
  <c r="D9" i="13"/>
  <c r="E9" i="13"/>
  <c r="F9" i="13"/>
  <c r="G9" i="13"/>
  <c r="H9" i="13"/>
  <c r="B10" i="13"/>
  <c r="C10" i="13"/>
  <c r="D10" i="13"/>
  <c r="E10" i="13"/>
  <c r="F10" i="13"/>
  <c r="G10" i="13"/>
  <c r="H10" i="13"/>
  <c r="B11" i="13"/>
  <c r="C11" i="13"/>
  <c r="D11" i="13"/>
  <c r="E11" i="13"/>
  <c r="F11" i="13"/>
  <c r="G11" i="13"/>
  <c r="H11" i="13"/>
  <c r="B12" i="13"/>
  <c r="C12" i="13"/>
  <c r="D12" i="13"/>
  <c r="E12" i="13"/>
  <c r="F12" i="13"/>
  <c r="G12" i="13"/>
  <c r="H12" i="13"/>
  <c r="B13" i="13"/>
  <c r="C13" i="13"/>
  <c r="D13" i="13"/>
  <c r="E13" i="13"/>
  <c r="F13" i="13"/>
  <c r="G13" i="13"/>
  <c r="H13" i="13"/>
  <c r="B14" i="13"/>
  <c r="C14" i="13"/>
  <c r="D14" i="13"/>
  <c r="E14" i="13"/>
  <c r="F14" i="13"/>
  <c r="G14" i="13"/>
  <c r="H14" i="13"/>
  <c r="I31" i="94"/>
  <c r="I15" i="94"/>
  <c r="I7" i="94"/>
  <c r="I8" i="94"/>
  <c r="I9" i="94"/>
  <c r="I10" i="94"/>
  <c r="I11" i="94"/>
  <c r="I12" i="94"/>
  <c r="I13" i="94"/>
  <c r="I14" i="94"/>
  <c r="I16" i="94"/>
  <c r="I17" i="94"/>
  <c r="I18" i="94"/>
  <c r="I19" i="94"/>
  <c r="I20" i="94"/>
  <c r="I21" i="94"/>
  <c r="I22" i="94"/>
  <c r="I23" i="94"/>
  <c r="I24" i="94"/>
  <c r="I25" i="94"/>
  <c r="I26" i="94"/>
  <c r="I27" i="94"/>
  <c r="I28" i="94"/>
  <c r="I29" i="94"/>
  <c r="I30" i="94"/>
  <c r="I32" i="94"/>
  <c r="I33" i="94"/>
  <c r="I34" i="94"/>
  <c r="I35" i="94"/>
  <c r="I36" i="94"/>
  <c r="D44" i="10" a="1"/>
  <c r="D44" i="10" s="1"/>
  <c r="D45" i="10" a="1"/>
  <c r="D45" i="10" s="1"/>
  <c r="D46" i="10" a="1"/>
  <c r="D46" i="10" s="1"/>
  <c r="D47" i="10" a="1"/>
  <c r="D47" i="10" s="1"/>
  <c r="D48" i="10" a="1"/>
  <c r="D48" i="10" s="1"/>
  <c r="D49" i="10" a="1"/>
  <c r="D49" i="10" s="1"/>
  <c r="D50" i="10" a="1"/>
  <c r="D50" i="10" s="1"/>
  <c r="D51" i="10" a="1"/>
  <c r="D51" i="10" s="1"/>
  <c r="D52" i="10" a="1"/>
  <c r="D52" i="10" s="1"/>
  <c r="D53" i="10" a="1"/>
  <c r="D53" i="10" s="1"/>
  <c r="D54" i="10" a="1"/>
  <c r="D54" i="10" s="1"/>
  <c r="D55" i="10" a="1"/>
  <c r="D55" i="10" s="1"/>
  <c r="D56" i="10" a="1"/>
  <c r="D56" i="10" s="1"/>
  <c r="D57" i="10" a="1"/>
  <c r="D57" i="10" s="1"/>
  <c r="D58" i="10" a="1"/>
  <c r="D58" i="10" s="1"/>
  <c r="D59" i="10" a="1"/>
  <c r="D59" i="10" s="1"/>
  <c r="D60" i="10" a="1"/>
  <c r="D60" i="10" s="1"/>
  <c r="D61" i="10" a="1"/>
  <c r="D61" i="10" s="1"/>
  <c r="D62" i="10" a="1"/>
  <c r="D62" i="10" s="1"/>
  <c r="D63" i="10" a="1"/>
  <c r="D63" i="10" s="1"/>
  <c r="D64" i="10" a="1"/>
  <c r="D64" i="10" s="1"/>
  <c r="D65" i="10" a="1"/>
  <c r="D65" i="10" s="1"/>
  <c r="D66" i="10" a="1"/>
  <c r="D66" i="10" s="1"/>
  <c r="D67" i="10" a="1"/>
  <c r="D67" i="10" s="1"/>
  <c r="D68" i="10" a="1"/>
  <c r="D68" i="10" s="1"/>
  <c r="D69" i="10" a="1"/>
  <c r="D69" i="10" s="1"/>
  <c r="D70" i="10" a="1"/>
  <c r="D70" i="10" s="1"/>
  <c r="D71" i="10" a="1"/>
  <c r="D71" i="10" s="1"/>
  <c r="D72" i="10" a="1"/>
  <c r="D72" i="10" s="1"/>
  <c r="D73" i="10" a="1"/>
  <c r="D73" i="10" s="1"/>
  <c r="D74" i="10" a="1"/>
  <c r="D74" i="10" s="1"/>
  <c r="D75" i="10" a="1"/>
  <c r="D75" i="10" s="1"/>
  <c r="D76" i="10" a="1"/>
  <c r="D76" i="10" s="1"/>
  <c r="D77" i="10" a="1"/>
  <c r="D77" i="10" s="1"/>
  <c r="D78" i="10" a="1"/>
  <c r="D78" i="10" s="1"/>
  <c r="D79" i="10" a="1"/>
  <c r="D79" i="10" s="1"/>
  <c r="D80" i="10" a="1"/>
  <c r="D80" i="10" s="1"/>
  <c r="D81" i="10" a="1"/>
  <c r="D81" i="10" s="1"/>
  <c r="D82" i="10" a="1"/>
  <c r="D82" i="10" s="1"/>
  <c r="D83" i="10" a="1"/>
  <c r="D83" i="10" s="1"/>
  <c r="D84" i="10" a="1"/>
  <c r="D84" i="10" s="1"/>
  <c r="D85" i="10" a="1"/>
  <c r="D85" i="10" s="1"/>
  <c r="D86" i="10" a="1"/>
  <c r="D86" i="10" s="1"/>
  <c r="D87" i="10" a="1"/>
  <c r="D87" i="10" s="1"/>
  <c r="D88" i="10" a="1"/>
  <c r="D88" i="10" s="1"/>
  <c r="D89" i="10" a="1"/>
  <c r="D89" i="10" s="1"/>
  <c r="D90" i="10" a="1"/>
  <c r="D90" i="10" s="1"/>
  <c r="D91" i="10" a="1"/>
  <c r="D91" i="10" s="1"/>
  <c r="D92" i="10" a="1"/>
  <c r="D92" i="10" s="1"/>
  <c r="D93" i="10" a="1"/>
  <c r="D93" i="10" s="1"/>
  <c r="D94" i="10" a="1"/>
  <c r="D94" i="10" s="1"/>
  <c r="D95" i="10" a="1"/>
  <c r="D95" i="10" s="1"/>
  <c r="D96" i="10" a="1"/>
  <c r="D96" i="10" s="1"/>
  <c r="D97" i="10" a="1"/>
  <c r="D97" i="10" s="1"/>
  <c r="D98" i="10" a="1"/>
  <c r="D98" i="10" s="1"/>
  <c r="D99" i="10" a="1"/>
  <c r="D99" i="10" s="1"/>
  <c r="D100" i="10" a="1"/>
  <c r="D100" i="10" s="1"/>
  <c r="D101" i="10" a="1"/>
  <c r="D101" i="10" s="1"/>
  <c r="D102" i="10" a="1"/>
  <c r="D102" i="10" s="1"/>
  <c r="D103" i="10" a="1"/>
  <c r="D103" i="10" s="1"/>
  <c r="D104" i="10" a="1"/>
  <c r="D104" i="10" s="1"/>
  <c r="D105" i="10" a="1"/>
  <c r="D105" i="10" s="1"/>
  <c r="D106" i="10" a="1"/>
  <c r="D106" i="10" s="1"/>
  <c r="D107" i="10" a="1"/>
  <c r="D107" i="10" s="1"/>
  <c r="D108" i="10" a="1"/>
  <c r="D108" i="10" s="1"/>
  <c r="D109" i="10" a="1"/>
  <c r="D109" i="10" s="1"/>
  <c r="D110" i="10" a="1"/>
  <c r="D110" i="10" s="1"/>
  <c r="D111" i="10" a="1"/>
  <c r="D111" i="10" s="1"/>
  <c r="D112" i="10" a="1"/>
  <c r="D112" i="10" s="1"/>
  <c r="D113" i="10" a="1"/>
  <c r="D113" i="10" s="1"/>
  <c r="D114" i="10" a="1"/>
  <c r="D114" i="10" s="1"/>
  <c r="D115" i="10" a="1"/>
  <c r="D115" i="10" s="1"/>
  <c r="D116" i="10" a="1"/>
  <c r="D116" i="10" s="1"/>
  <c r="D117" i="10" a="1"/>
  <c r="D117" i="10" s="1"/>
  <c r="D118" i="10" a="1"/>
  <c r="D118" i="10" s="1"/>
  <c r="D119" i="10" a="1"/>
  <c r="D119" i="10" s="1"/>
  <c r="D120" i="10" a="1"/>
  <c r="D120" i="10" s="1"/>
  <c r="D121" i="10" a="1"/>
  <c r="D121" i="10" s="1"/>
  <c r="D122" i="10" a="1"/>
  <c r="D122" i="10" s="1"/>
  <c r="D123" i="10" a="1"/>
  <c r="D123" i="10" s="1"/>
  <c r="D124" i="10" a="1"/>
  <c r="D124" i="10" s="1"/>
  <c r="D125" i="10" a="1"/>
  <c r="D125" i="10" s="1"/>
  <c r="D126" i="10" a="1"/>
  <c r="D126" i="10" s="1"/>
  <c r="D127" i="10" a="1"/>
  <c r="D127" i="10" s="1"/>
  <c r="D128" i="10" a="1"/>
  <c r="D128" i="10" s="1"/>
  <c r="D129" i="10" a="1"/>
  <c r="D129" i="10" s="1"/>
  <c r="D130" i="10" a="1"/>
  <c r="D130" i="10" s="1"/>
  <c r="D131" i="10" a="1"/>
  <c r="D131" i="10" s="1"/>
  <c r="D132" i="10" a="1"/>
  <c r="D132" i="10" s="1"/>
  <c r="D133" i="10" a="1"/>
  <c r="D133" i="10" s="1"/>
  <c r="D134" i="10" a="1"/>
  <c r="D134" i="10" s="1"/>
  <c r="D135" i="10" a="1"/>
  <c r="D135" i="10" s="1"/>
  <c r="D136" i="10" a="1"/>
  <c r="D136" i="10" s="1"/>
  <c r="D137" i="10" a="1"/>
  <c r="D137" i="10" s="1"/>
  <c r="D138" i="10" a="1"/>
  <c r="D138" i="10" s="1"/>
  <c r="D139" i="10" a="1"/>
  <c r="D139" i="10" s="1"/>
  <c r="D140" i="10" a="1"/>
  <c r="D140" i="10" s="1"/>
  <c r="D141" i="10" a="1"/>
  <c r="D141" i="10" s="1"/>
  <c r="D142" i="10" a="1"/>
  <c r="D142" i="10" s="1"/>
  <c r="D143" i="10" a="1"/>
  <c r="D143" i="10" s="1"/>
  <c r="D144" i="10" a="1"/>
  <c r="D144" i="10" s="1"/>
  <c r="D145" i="10" a="1"/>
  <c r="D145" i="10" s="1"/>
  <c r="D146" i="10" a="1"/>
  <c r="D146" i="10" s="1"/>
  <c r="D147" i="10" a="1"/>
  <c r="D147" i="10" s="1"/>
  <c r="D148" i="10" a="1"/>
  <c r="D148" i="10" s="1"/>
  <c r="D149" i="10" a="1"/>
  <c r="D149" i="10" s="1"/>
  <c r="D150" i="10" a="1"/>
  <c r="D150" i="10" s="1"/>
  <c r="D151" i="10" a="1"/>
  <c r="D151" i="10" s="1"/>
  <c r="D152" i="10" a="1"/>
  <c r="D152" i="10" s="1"/>
  <c r="D153" i="10" a="1"/>
  <c r="D153" i="10" s="1"/>
  <c r="D154" i="10" a="1"/>
  <c r="D154" i="10" s="1"/>
  <c r="D155" i="10" a="1"/>
  <c r="D155" i="10" s="1"/>
  <c r="D156" i="10" a="1"/>
  <c r="D156" i="10" s="1"/>
  <c r="D157" i="10" a="1"/>
  <c r="D157" i="10" s="1"/>
  <c r="D158" i="10" a="1"/>
  <c r="D158" i="10" s="1"/>
  <c r="D159" i="10" a="1"/>
  <c r="D159" i="10" s="1"/>
  <c r="D160" i="10" a="1"/>
  <c r="D160" i="10" s="1"/>
  <c r="D161" i="10" a="1"/>
  <c r="D161" i="10" s="1"/>
  <c r="D162" i="10" a="1"/>
  <c r="D162" i="10" s="1"/>
  <c r="D163" i="10" a="1"/>
  <c r="D163" i="10" s="1"/>
  <c r="D164" i="10" a="1"/>
  <c r="D164" i="10" s="1"/>
  <c r="D165" i="10" a="1"/>
  <c r="D165" i="10" s="1"/>
  <c r="D166" i="10" a="1"/>
  <c r="D166" i="10" s="1"/>
  <c r="D167" i="10" a="1"/>
  <c r="D167" i="10" s="1"/>
  <c r="D168" i="10" a="1"/>
  <c r="D168" i="10" s="1"/>
  <c r="D169" i="10" a="1"/>
  <c r="D169" i="10" s="1"/>
  <c r="D170" i="10" a="1"/>
  <c r="D170" i="10" s="1"/>
  <c r="D171" i="10" a="1"/>
  <c r="D171" i="10" s="1"/>
  <c r="D172" i="10" a="1"/>
  <c r="D172" i="10" s="1"/>
  <c r="D173" i="10" a="1"/>
  <c r="D173" i="10" s="1"/>
  <c r="D174" i="10" a="1"/>
  <c r="D174" i="10" s="1"/>
  <c r="D175" i="10" a="1"/>
  <c r="D175" i="10" s="1"/>
  <c r="D176" i="10" a="1"/>
  <c r="D176" i="10" s="1"/>
  <c r="D177" i="10" a="1"/>
  <c r="D177" i="10" s="1"/>
  <c r="D178" i="10" a="1"/>
  <c r="D178" i="10" s="1"/>
  <c r="D179" i="10" a="1"/>
  <c r="D179" i="10" s="1"/>
  <c r="D180" i="10" a="1"/>
  <c r="D180" i="10" s="1"/>
  <c r="D182" i="10" a="1"/>
  <c r="D182" i="10" s="1"/>
  <c r="D183" i="10" a="1"/>
  <c r="D183" i="10" s="1"/>
  <c r="D184" i="10" a="1"/>
  <c r="D184" i="10" s="1"/>
  <c r="D185" i="10" a="1"/>
  <c r="D185" i="10" s="1"/>
  <c r="D186" i="10" a="1"/>
  <c r="D186" i="10" s="1"/>
  <c r="D187" i="10" a="1"/>
  <c r="D187" i="10" s="1"/>
  <c r="D188" i="10" a="1"/>
  <c r="D188" i="10" s="1"/>
  <c r="D189" i="10" a="1"/>
  <c r="D189" i="10" s="1"/>
  <c r="D190" i="10" a="1"/>
  <c r="D190" i="10" s="1"/>
  <c r="D191" i="10" a="1"/>
  <c r="D191" i="10" s="1"/>
  <c r="D192" i="10" a="1"/>
  <c r="D192" i="10" s="1"/>
  <c r="D193" i="10" a="1"/>
  <c r="D193" i="10" s="1"/>
  <c r="D194" i="10" a="1"/>
  <c r="D194" i="10" s="1"/>
  <c r="D195" i="10" a="1"/>
  <c r="D195" i="10" s="1"/>
  <c r="D196" i="10" a="1"/>
  <c r="D196" i="10" s="1"/>
  <c r="D197" i="10" a="1"/>
  <c r="D197" i="10" s="1"/>
  <c r="D198" i="10" a="1"/>
  <c r="D198" i="10" s="1"/>
  <c r="D199" i="10" a="1"/>
  <c r="D199" i="10" s="1"/>
  <c r="D200" i="10" a="1"/>
  <c r="D200" i="10" s="1"/>
  <c r="D201" i="10" a="1"/>
  <c r="D201" i="10" s="1"/>
  <c r="D202" i="10" a="1"/>
  <c r="D202" i="10" s="1"/>
  <c r="D203" i="10" a="1"/>
  <c r="D203" i="10" s="1"/>
  <c r="D204" i="10"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D238" i="10" a="1"/>
  <c r="D238" i="10" s="1"/>
  <c r="D239" i="10" a="1"/>
  <c r="D239" i="10" s="1"/>
  <c r="D240" i="10" a="1"/>
  <c r="D240" i="10" s="1"/>
  <c r="D241" i="10" a="1"/>
  <c r="D241" i="10" s="1"/>
  <c r="D242" i="10" a="1"/>
  <c r="D242" i="10" s="1"/>
  <c r="D243" i="10" a="1"/>
  <c r="D243" i="10" s="1"/>
  <c r="D244" i="10" a="1"/>
  <c r="D244" i="10" s="1"/>
  <c r="D245" i="10" a="1"/>
  <c r="D245" i="10" s="1"/>
  <c r="D246" i="10" a="1"/>
  <c r="D246" i="10" s="1"/>
  <c r="D247" i="10" a="1"/>
  <c r="D247" i="10" s="1"/>
  <c r="D248" i="10" a="1"/>
  <c r="D248" i="10" s="1"/>
  <c r="D249" i="10" a="1"/>
  <c r="D249" i="10" s="1"/>
  <c r="D250" i="10" a="1"/>
  <c r="D250" i="10" s="1"/>
  <c r="D251" i="10" a="1"/>
  <c r="D251" i="10" s="1"/>
  <c r="D252" i="10" a="1"/>
  <c r="D252" i="10" s="1"/>
  <c r="D253" i="10" a="1"/>
  <c r="D253" i="10" s="1"/>
  <c r="D254" i="10" a="1"/>
  <c r="D254" i="10" s="1"/>
  <c r="D255" i="10" a="1"/>
  <c r="D255" i="10" s="1"/>
  <c r="D256" i="10" a="1"/>
  <c r="D256" i="10" s="1"/>
  <c r="D257" i="10" a="1"/>
  <c r="D257" i="10" s="1"/>
  <c r="D258" i="10" a="1"/>
  <c r="D258" i="10" s="1"/>
  <c r="D259" i="10" a="1"/>
  <c r="D259" i="10" s="1"/>
  <c r="D260" i="10" a="1"/>
  <c r="D260" i="10" s="1"/>
  <c r="D261" i="10" a="1"/>
  <c r="D261"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B27" i="9"/>
  <c r="C27" i="9"/>
  <c r="D27" i="9"/>
  <c r="E27" i="9"/>
  <c r="F27" i="9"/>
  <c r="G27" i="9"/>
  <c r="H27" i="9"/>
  <c r="B28" i="9"/>
  <c r="C28" i="9"/>
  <c r="D28" i="9"/>
  <c r="D219" i="10" s="1" a="1"/>
  <c r="D219" i="10" s="1"/>
  <c r="E28" i="9"/>
  <c r="D220" i="10" s="1" a="1"/>
  <c r="D220" i="10" s="1"/>
  <c r="F28" i="9"/>
  <c r="G28" i="9"/>
  <c r="H28" i="9"/>
  <c r="B3" i="9"/>
  <c r="C3" i="9"/>
  <c r="D3" i="9"/>
  <c r="E3" i="9"/>
  <c r="F3" i="9"/>
  <c r="G3" i="9"/>
  <c r="H3" i="9"/>
  <c r="B4" i="9"/>
  <c r="C4" i="9"/>
  <c r="D4" i="9"/>
  <c r="E4" i="9"/>
  <c r="F4" i="9"/>
  <c r="G4" i="9"/>
  <c r="H4" i="9"/>
  <c r="B5" i="9"/>
  <c r="C5" i="9"/>
  <c r="D5" i="9"/>
  <c r="E5" i="9"/>
  <c r="F5" i="9"/>
  <c r="G5" i="9"/>
  <c r="H5" i="9"/>
  <c r="B6" i="9"/>
  <c r="C6" i="9"/>
  <c r="D6" i="9"/>
  <c r="E6" i="9"/>
  <c r="F6" i="9"/>
  <c r="G6" i="9"/>
  <c r="H6" i="9"/>
  <c r="B7" i="9"/>
  <c r="C7" i="9"/>
  <c r="D7" i="9"/>
  <c r="E7" i="9"/>
  <c r="F7" i="9"/>
  <c r="G7" i="9"/>
  <c r="H7" i="9"/>
  <c r="B8" i="9"/>
  <c r="C8" i="9"/>
  <c r="D8" i="9"/>
  <c r="E8" i="9"/>
  <c r="F8" i="9"/>
  <c r="G8" i="9"/>
  <c r="H8" i="9"/>
  <c r="B9" i="9"/>
  <c r="C9" i="9"/>
  <c r="D9" i="9"/>
  <c r="E9" i="9"/>
  <c r="F9" i="9"/>
  <c r="G9" i="9"/>
  <c r="H9" i="9"/>
  <c r="B10" i="9"/>
  <c r="C10" i="9"/>
  <c r="D10" i="9"/>
  <c r="E10" i="9"/>
  <c r="F10" i="9"/>
  <c r="G10" i="9"/>
  <c r="H10" i="9"/>
  <c r="B11" i="9"/>
  <c r="C11" i="9"/>
  <c r="D11" i="9"/>
  <c r="E11" i="9"/>
  <c r="F11" i="9"/>
  <c r="G11" i="9"/>
  <c r="H11" i="9"/>
  <c r="B12" i="9"/>
  <c r="C12" i="9"/>
  <c r="D12" i="9"/>
  <c r="E12" i="9"/>
  <c r="F12" i="9"/>
  <c r="G12" i="9"/>
  <c r="H12" i="9"/>
  <c r="B13" i="9"/>
  <c r="C13" i="9"/>
  <c r="D13" i="9"/>
  <c r="E13" i="9"/>
  <c r="F13" i="9"/>
  <c r="G13" i="9"/>
  <c r="H13" i="9"/>
  <c r="B14" i="9"/>
  <c r="C14" i="9"/>
  <c r="D14" i="9"/>
  <c r="E14" i="9"/>
  <c r="F14" i="9"/>
  <c r="G14" i="9"/>
  <c r="H14" i="9"/>
  <c r="B15" i="9"/>
  <c r="C15" i="9"/>
  <c r="D15" i="9"/>
  <c r="E15" i="9"/>
  <c r="F15" i="9"/>
  <c r="G15" i="9"/>
  <c r="H15" i="9"/>
  <c r="B16" i="9"/>
  <c r="C16" i="9"/>
  <c r="D16" i="9"/>
  <c r="E16" i="9"/>
  <c r="F16" i="9"/>
  <c r="G16" i="9"/>
  <c r="H16" i="9"/>
  <c r="B17" i="9"/>
  <c r="C17" i="9"/>
  <c r="D17" i="9"/>
  <c r="E17" i="9"/>
  <c r="F17" i="9"/>
  <c r="G17" i="9"/>
  <c r="H17" i="9"/>
  <c r="B18" i="9"/>
  <c r="C18" i="9"/>
  <c r="D18" i="9"/>
  <c r="E18" i="9"/>
  <c r="F18" i="9"/>
  <c r="G18" i="9"/>
  <c r="H18" i="9"/>
  <c r="B19" i="9"/>
  <c r="C19" i="9"/>
  <c r="D19" i="9"/>
  <c r="E19" i="9"/>
  <c r="F19" i="9"/>
  <c r="G19" i="9"/>
  <c r="H19" i="9"/>
  <c r="B20" i="9"/>
  <c r="C20" i="9"/>
  <c r="D20" i="9"/>
  <c r="E20" i="9"/>
  <c r="F20" i="9"/>
  <c r="G20" i="9"/>
  <c r="H20" i="9"/>
  <c r="B21" i="9"/>
  <c r="C21" i="9"/>
  <c r="D21" i="9"/>
  <c r="E21" i="9"/>
  <c r="F21" i="9"/>
  <c r="G21" i="9"/>
  <c r="H21" i="9"/>
  <c r="B22" i="9"/>
  <c r="C22" i="9"/>
  <c r="D22" i="9"/>
  <c r="E22" i="9"/>
  <c r="F22" i="9"/>
  <c r="G22" i="9"/>
  <c r="H22" i="9"/>
  <c r="D181" i="10" s="1" a="1"/>
  <c r="D181" i="10" s="1"/>
  <c r="B23" i="9"/>
  <c r="C23" i="9"/>
  <c r="D23" i="9"/>
  <c r="E23" i="9"/>
  <c r="F23" i="9"/>
  <c r="G23" i="9"/>
  <c r="H23" i="9"/>
  <c r="B24" i="9"/>
  <c r="C24" i="9"/>
  <c r="D24" i="9"/>
  <c r="E24" i="9"/>
  <c r="F24" i="9"/>
  <c r="G24" i="9"/>
  <c r="H24" i="9"/>
  <c r="B25" i="9"/>
  <c r="C25" i="9"/>
  <c r="D25" i="9"/>
  <c r="E25" i="9"/>
  <c r="F25" i="9"/>
  <c r="G25" i="9"/>
  <c r="H25" i="9"/>
  <c r="B26" i="9"/>
  <c r="C26" i="9"/>
  <c r="D26" i="9"/>
  <c r="E26" i="9"/>
  <c r="F26" i="9"/>
  <c r="G26" i="9"/>
  <c r="H26" i="9"/>
  <c r="D92" i="78" l="1" a="1"/>
  <c r="D92" i="78" s="1"/>
  <c r="D92" i="81" s="1"/>
  <c r="D53" i="78" a="1"/>
  <c r="D53" i="78" s="1"/>
  <c r="D65" i="78" a="1"/>
  <c r="D65" i="78" s="1"/>
  <c r="D65" i="81" s="1"/>
  <c r="D107" i="78" a="1"/>
  <c r="D107" i="78" s="1"/>
  <c r="D107" i="81" s="1"/>
  <c r="D83" i="78" a="1"/>
  <c r="D83" i="78" s="1"/>
  <c r="D83" i="81" s="1"/>
  <c r="D134" i="78" a="1"/>
  <c r="D134" i="78" s="1"/>
  <c r="D110" i="78" a="1"/>
  <c r="D110" i="78" s="1"/>
  <c r="D110" i="81" s="1"/>
  <c r="D86" i="78" a="1"/>
  <c r="D86" i="78" s="1"/>
  <c r="D86" i="81" s="1"/>
  <c r="D131" i="78" a="1"/>
  <c r="D131" i="78" s="1"/>
  <c r="D122" i="78" a="1"/>
  <c r="D122" i="78" s="1"/>
  <c r="D101" i="78" a="1"/>
  <c r="D101" i="78" s="1"/>
  <c r="D101" i="81" s="1"/>
  <c r="D77" i="78" a="1"/>
  <c r="D77" i="78" s="1"/>
  <c r="D77" i="81" s="1"/>
  <c r="D98" i="78" a="1"/>
  <c r="D98" i="78" s="1"/>
  <c r="D98" i="81" s="1"/>
  <c r="D51" i="78" a="1"/>
  <c r="D51" i="78" s="1"/>
  <c r="D28" i="78" a="1"/>
  <c r="D28" i="78" s="1"/>
  <c r="D27" i="78" a="1"/>
  <c r="D27" i="78" s="1"/>
  <c r="D90" i="78" a="1"/>
  <c r="D90" i="78" s="1"/>
  <c r="D48" i="78" a="1"/>
  <c r="D48" i="78" s="1"/>
  <c r="D49" i="78" a="1"/>
  <c r="D49" i="78" s="1"/>
  <c r="D87" i="78" a="1"/>
  <c r="D87" i="78" s="1"/>
  <c r="D45" i="78" a="1"/>
  <c r="D45" i="78" s="1"/>
  <c r="D46" i="78" a="1"/>
  <c r="D46" i="78" s="1"/>
  <c r="D121" i="78" a="1"/>
  <c r="D121" i="78" s="1"/>
  <c r="D43" i="78" a="1"/>
  <c r="D43" i="78" s="1"/>
  <c r="D42" i="78" a="1"/>
  <c r="D42" i="78" s="1"/>
  <c r="D57" i="78" a="1"/>
  <c r="D57" i="78" s="1"/>
  <c r="D58" i="78" a="1"/>
  <c r="D58" i="78" s="1"/>
  <c r="D55" i="78" a="1"/>
  <c r="D55" i="78" s="1"/>
  <c r="D54" i="78" a="1"/>
  <c r="D54" i="78" s="1"/>
  <c r="D109" i="78" a="1"/>
  <c r="D109" i="78" s="1"/>
  <c r="D85" i="78" a="1"/>
  <c r="D85" i="78" s="1"/>
  <c r="I10" i="77"/>
  <c r="D12" i="78" s="1" a="1"/>
  <c r="D12" i="78" s="1"/>
  <c r="J9" i="77"/>
  <c r="D10" i="78" s="1" a="1"/>
  <c r="D10" i="78" s="1"/>
  <c r="D82" i="78" a="1"/>
  <c r="D82" i="78" s="1"/>
  <c r="D61" i="78" a="1"/>
  <c r="D61" i="78" s="1"/>
  <c r="D60" i="78" a="1"/>
  <c r="D60" i="78" s="1"/>
  <c r="D37" i="78" a="1"/>
  <c r="D37" i="78" s="1"/>
  <c r="D36" i="78" a="1"/>
  <c r="D36" i="78" s="1"/>
  <c r="I8" i="77"/>
  <c r="D6" i="78" s="1" a="1"/>
  <c r="D6" i="78" s="1"/>
  <c r="D33" i="78" a="1"/>
  <c r="D33" i="78" s="1"/>
  <c r="D34" i="78" a="1"/>
  <c r="D34" i="78" s="1"/>
  <c r="D79" i="78" a="1"/>
  <c r="D79" i="78" s="1"/>
  <c r="D31" i="78" a="1"/>
  <c r="D31" i="78" s="1"/>
  <c r="D76" i="78" a="1"/>
  <c r="D76" i="78" s="1"/>
  <c r="D63" i="78" a="1"/>
  <c r="D63" i="78" s="1"/>
  <c r="D64" i="78" a="1"/>
  <c r="D64" i="78" s="1"/>
  <c r="D39" i="78" a="1"/>
  <c r="D39" i="78" s="1"/>
  <c r="D40" i="78" a="1"/>
  <c r="D40" i="78" s="1"/>
  <c r="D18" i="78" a="1"/>
  <c r="D18" i="78" s="1"/>
  <c r="D66" i="78" a="1"/>
  <c r="D66" i="78" s="1"/>
  <c r="D67" i="78" a="1"/>
  <c r="D67" i="78" s="1"/>
  <c r="D120" i="78" a="1"/>
  <c r="D120" i="78" s="1"/>
  <c r="D96" i="78" a="1"/>
  <c r="D96" i="78" s="1"/>
  <c r="D25" i="78" a="1"/>
  <c r="D25" i="78" s="1"/>
  <c r="D123" i="78" a="1"/>
  <c r="D123" i="78" s="1"/>
  <c r="J10" i="77"/>
  <c r="D13" i="78" s="1" a="1"/>
  <c r="D13" i="78" s="1"/>
  <c r="D117" i="78" a="1"/>
  <c r="D117" i="78" s="1"/>
  <c r="D72" i="78" a="1"/>
  <c r="D72" i="78" s="1"/>
  <c r="D22" i="78" a="1"/>
  <c r="D22" i="78" s="1"/>
  <c r="D81" i="78" a="1"/>
  <c r="D81" i="78" s="1"/>
  <c r="D130" i="78" a="1"/>
  <c r="D130" i="78" s="1"/>
  <c r="D52" i="78" a="1"/>
  <c r="D52" i="78" s="1"/>
  <c r="D16" i="78" a="1"/>
  <c r="D16" i="78" s="1"/>
  <c r="D115" i="78" a="1"/>
  <c r="D115" i="78" s="1"/>
  <c r="D132" i="78" a="1"/>
  <c r="D132" i="78" s="1"/>
  <c r="D106" i="78" a="1"/>
  <c r="D106" i="78" s="1"/>
  <c r="D93" i="78" a="1"/>
  <c r="D93" i="78" s="1"/>
  <c r="D97" i="78" a="1"/>
  <c r="D97" i="78" s="1"/>
  <c r="D128" i="78" a="1"/>
  <c r="D128" i="78" s="1"/>
  <c r="D30" i="78" a="1"/>
  <c r="D30" i="78" s="1"/>
  <c r="D19" i="78" a="1"/>
  <c r="D19" i="78" s="1"/>
  <c r="I27" i="92"/>
  <c r="D64" i="93" s="1" a="1"/>
  <c r="D64" i="93" s="1"/>
  <c r="D64" i="104" s="1"/>
  <c r="H27" i="92"/>
  <c r="D63" i="93" s="1" a="1"/>
  <c r="D63" i="93" s="1"/>
  <c r="D63" i="104" s="1"/>
  <c r="D99" i="78" a="1"/>
  <c r="D99" i="78" s="1"/>
  <c r="D24" i="78" a="1"/>
  <c r="D24" i="78" s="1"/>
  <c r="D21" i="78" a="1"/>
  <c r="D21" i="78" s="1"/>
  <c r="D15" i="78" a="1"/>
  <c r="D15" i="78" s="1"/>
  <c r="D8" i="81"/>
  <c r="D53" i="81"/>
  <c r="D29" i="81"/>
  <c r="D73" i="78" a="1"/>
  <c r="D73" i="78" s="1"/>
  <c r="D535" i="91" a="1"/>
  <c r="D535" i="91" s="1"/>
  <c r="D531" i="91" a="1"/>
  <c r="D531" i="91" s="1"/>
  <c r="D527" i="91" a="1"/>
  <c r="D527" i="91" s="1"/>
  <c r="D523" i="91" a="1"/>
  <c r="D523" i="91" s="1"/>
  <c r="D515" i="91" a="1"/>
  <c r="D515" i="91" s="1"/>
  <c r="D511" i="91" a="1"/>
  <c r="D511" i="91" s="1"/>
  <c r="D507" i="91" a="1"/>
  <c r="D507" i="91" s="1"/>
  <c r="D503" i="91" a="1"/>
  <c r="D503" i="91" s="1"/>
  <c r="D499" i="91" a="1"/>
  <c r="D499" i="91" s="1"/>
  <c r="D495" i="91" a="1"/>
  <c r="D495" i="91" s="1"/>
  <c r="D491" i="91" a="1"/>
  <c r="D491" i="91" s="1"/>
  <c r="D483" i="91" a="1"/>
  <c r="D483" i="91" s="1"/>
  <c r="D479" i="91" a="1"/>
  <c r="D479" i="91" s="1"/>
  <c r="D475" i="91" a="1"/>
  <c r="D475" i="91" s="1"/>
  <c r="D471" i="91" a="1"/>
  <c r="D471" i="91" s="1"/>
  <c r="D467" i="91" a="1"/>
  <c r="D467" i="91" s="1"/>
  <c r="D463" i="91" a="1"/>
  <c r="D463" i="91" s="1"/>
  <c r="D459" i="91" a="1"/>
  <c r="D459" i="91" s="1"/>
  <c r="D451" i="91" a="1"/>
  <c r="D451" i="91" s="1"/>
  <c r="D447" i="91" a="1"/>
  <c r="D447" i="91" s="1"/>
  <c r="D443" i="91" a="1"/>
  <c r="D443" i="91" s="1"/>
  <c r="D439" i="91" a="1"/>
  <c r="D439" i="91" s="1"/>
  <c r="D435" i="91" a="1"/>
  <c r="D435" i="91" s="1"/>
  <c r="D431" i="91" a="1"/>
  <c r="D431" i="91" s="1"/>
  <c r="D427" i="91" a="1"/>
  <c r="D427" i="91" s="1"/>
  <c r="D419" i="91" a="1"/>
  <c r="D419" i="91" s="1"/>
  <c r="D415" i="91" a="1"/>
  <c r="D415" i="91" s="1"/>
  <c r="D411" i="91" a="1"/>
  <c r="D411" i="91" s="1"/>
  <c r="D407" i="91" a="1"/>
  <c r="D407" i="91" s="1"/>
  <c r="D403" i="91" a="1"/>
  <c r="D403" i="91" s="1"/>
  <c r="D399" i="91" a="1"/>
  <c r="D399" i="91" s="1"/>
  <c r="D395" i="91" a="1"/>
  <c r="D395" i="91" s="1"/>
  <c r="D387" i="91" a="1"/>
  <c r="D387" i="91" s="1"/>
  <c r="D383" i="91" a="1"/>
  <c r="D383" i="91" s="1"/>
  <c r="D379" i="91" a="1"/>
  <c r="D379" i="91" s="1"/>
  <c r="D375" i="91" a="1"/>
  <c r="D375" i="91" s="1"/>
  <c r="D371" i="91" a="1"/>
  <c r="D371" i="91" s="1"/>
  <c r="D367" i="91" a="1"/>
  <c r="D367" i="91" s="1"/>
  <c r="D363" i="91" a="1"/>
  <c r="D363" i="91" s="1"/>
  <c r="D359" i="91" a="1"/>
  <c r="D359" i="91" s="1"/>
  <c r="D355" i="91" a="1"/>
  <c r="D355" i="91" s="1"/>
  <c r="D347" i="91" a="1"/>
  <c r="D347" i="91" s="1"/>
  <c r="D343" i="91" a="1"/>
  <c r="D343" i="91" s="1"/>
  <c r="D339" i="91" a="1"/>
  <c r="D339" i="91" s="1"/>
  <c r="D335" i="91" a="1"/>
  <c r="D335" i="91" s="1"/>
  <c r="D327" i="91" a="1"/>
  <c r="D327" i="91" s="1"/>
  <c r="D323" i="91" a="1"/>
  <c r="D323" i="91" s="1"/>
  <c r="D319" i="91" a="1"/>
  <c r="D319" i="91" s="1"/>
  <c r="D315" i="91" a="1"/>
  <c r="D315" i="91" s="1"/>
  <c r="D311" i="91" a="1"/>
  <c r="D311" i="91" s="1"/>
  <c r="D307" i="91" a="1"/>
  <c r="D307" i="91" s="1"/>
  <c r="D303" i="91" a="1"/>
  <c r="D303" i="91" s="1"/>
  <c r="D299" i="91" a="1"/>
  <c r="D299" i="91" s="1"/>
  <c r="D295" i="91" a="1"/>
  <c r="D295" i="91" s="1"/>
  <c r="D291" i="91" a="1"/>
  <c r="D291" i="91" s="1"/>
  <c r="D283" i="91" a="1"/>
  <c r="D283" i="91" s="1"/>
  <c r="D275" i="91" a="1"/>
  <c r="D275" i="91" s="1"/>
  <c r="D271" i="91" a="1"/>
  <c r="D271" i="91" s="1"/>
  <c r="D267" i="91" a="1"/>
  <c r="D267" i="91" s="1"/>
  <c r="D263" i="91" a="1"/>
  <c r="D263" i="91" s="1"/>
  <c r="D259" i="91" a="1"/>
  <c r="D259" i="91" s="1"/>
  <c r="D255" i="91" a="1"/>
  <c r="D255" i="91" s="1"/>
  <c r="D247" i="91" a="1"/>
  <c r="D247" i="91" s="1"/>
  <c r="D243" i="91" a="1"/>
  <c r="D243" i="91" s="1"/>
  <c r="D239" i="91" a="1"/>
  <c r="D239" i="91" s="1"/>
  <c r="D235" i="91" a="1"/>
  <c r="D235" i="91" s="1"/>
  <c r="D231" i="91" a="1"/>
  <c r="D231" i="91" s="1"/>
  <c r="D227" i="91" a="1"/>
  <c r="D227" i="91" s="1"/>
  <c r="D223" i="91" a="1"/>
  <c r="D223" i="91" s="1"/>
  <c r="D219" i="91" a="1"/>
  <c r="D219" i="91" s="1"/>
  <c r="D211" i="91" a="1"/>
  <c r="D211" i="91" s="1"/>
  <c r="D207" i="91" a="1"/>
  <c r="D207" i="91" s="1"/>
  <c r="D203" i="91" a="1"/>
  <c r="D203" i="91" s="1"/>
  <c r="D199" i="91" a="1"/>
  <c r="D199" i="91" s="1"/>
  <c r="D195" i="91" a="1"/>
  <c r="D195" i="91" s="1"/>
  <c r="D191" i="91" a="1"/>
  <c r="D191" i="91" s="1"/>
  <c r="D187" i="91" a="1"/>
  <c r="D187" i="91" s="1"/>
  <c r="D183" i="91" a="1"/>
  <c r="D183" i="91" s="1"/>
  <c r="D175" i="91" a="1"/>
  <c r="D175" i="91" s="1"/>
  <c r="D171" i="91" a="1"/>
  <c r="D171" i="91" s="1"/>
  <c r="D167" i="91" a="1"/>
  <c r="D167" i="91" s="1"/>
  <c r="D163" i="91" a="1"/>
  <c r="D163" i="91" s="1"/>
  <c r="D159" i="91" a="1"/>
  <c r="D159" i="91" s="1"/>
  <c r="D155" i="91" a="1"/>
  <c r="D155" i="91" s="1"/>
  <c r="D151" i="91" a="1"/>
  <c r="D151" i="91" s="1"/>
  <c r="D147" i="91" a="1"/>
  <c r="D147" i="91" s="1"/>
  <c r="D139" i="91" a="1"/>
  <c r="D139" i="91" s="1"/>
  <c r="D131" i="91" a="1"/>
  <c r="D131" i="91" s="1"/>
  <c r="D127" i="91" a="1"/>
  <c r="D127" i="91" s="1"/>
  <c r="D123" i="91" a="1"/>
  <c r="D123" i="91" s="1"/>
  <c r="D119" i="91" a="1"/>
  <c r="D119" i="91" s="1"/>
  <c r="D115" i="91" a="1"/>
  <c r="D115" i="91" s="1"/>
  <c r="D111" i="91" a="1"/>
  <c r="D111" i="91" s="1"/>
  <c r="D107" i="91" a="1"/>
  <c r="D107" i="91" s="1"/>
  <c r="D103" i="91" a="1"/>
  <c r="D103" i="91" s="1"/>
  <c r="D95" i="91" a="1"/>
  <c r="D95" i="91" s="1"/>
  <c r="D87" i="91" a="1"/>
  <c r="D87" i="91" s="1"/>
  <c r="D83" i="91" a="1"/>
  <c r="D83" i="91" s="1"/>
  <c r="D79" i="91" a="1"/>
  <c r="D79" i="91" s="1"/>
  <c r="D75" i="91" a="1"/>
  <c r="D75" i="91" s="1"/>
  <c r="D71" i="91" a="1"/>
  <c r="D71" i="91" s="1"/>
  <c r="D67" i="91" a="1"/>
  <c r="D67" i="91" s="1"/>
  <c r="D63" i="91" a="1"/>
  <c r="D63" i="91" s="1"/>
  <c r="D51" i="91" a="1"/>
  <c r="D51" i="91" s="1"/>
  <c r="D47" i="91" a="1"/>
  <c r="D47" i="91" s="1"/>
  <c r="D59" i="91" a="1"/>
  <c r="D59" i="91" s="1"/>
  <c r="I23" i="97"/>
  <c r="D51" i="98" s="1" a="1"/>
  <c r="D51" i="98" s="1"/>
  <c r="I15" i="97"/>
  <c r="D27" i="98" s="1" a="1"/>
  <c r="D27" i="98" s="1"/>
  <c r="I47" i="97"/>
  <c r="D123" i="98" s="1" a="1"/>
  <c r="D123" i="98" s="1"/>
  <c r="I39" i="97"/>
  <c r="D99" i="98" s="1" a="1"/>
  <c r="D99" i="98" s="1"/>
  <c r="I31" i="97"/>
  <c r="D75" i="98" s="1" a="1"/>
  <c r="D75" i="98" s="1"/>
  <c r="D235" i="96" a="1"/>
  <c r="D235" i="96" s="1"/>
  <c r="D236" i="96" a="1"/>
  <c r="D236" i="96" s="1"/>
  <c r="D237" i="96" a="1"/>
  <c r="D237" i="96" s="1"/>
  <c r="D238" i="96" a="1"/>
  <c r="D238" i="96" s="1"/>
  <c r="D239" i="96" a="1"/>
  <c r="D239" i="96" s="1"/>
  <c r="D242" i="96" a="1"/>
  <c r="D242" i="96" s="1"/>
  <c r="D243" i="96" a="1"/>
  <c r="D243" i="96" s="1"/>
  <c r="D244" i="96" a="1"/>
  <c r="D244" i="96" s="1"/>
  <c r="D245" i="96" a="1"/>
  <c r="D245" i="96" s="1"/>
  <c r="D246" i="96" a="1"/>
  <c r="D246" i="96" s="1"/>
  <c r="D247" i="96" a="1"/>
  <c r="D247" i="96" s="1"/>
  <c r="D248" i="96" a="1"/>
  <c r="D248" i="96" s="1"/>
  <c r="D249" i="96" a="1"/>
  <c r="D249" i="96" s="1"/>
  <c r="D250" i="96" a="1"/>
  <c r="D250" i="96" s="1"/>
  <c r="D251" i="96" a="1"/>
  <c r="D251" i="96" s="1"/>
  <c r="D252" i="96" a="1"/>
  <c r="D252" i="96" s="1"/>
  <c r="D253" i="96" a="1"/>
  <c r="D253" i="96" s="1"/>
  <c r="D254" i="96" a="1"/>
  <c r="D254" i="96" s="1"/>
  <c r="D255" i="96" a="1"/>
  <c r="D255" i="96" s="1"/>
  <c r="D256" i="96" a="1"/>
  <c r="D256" i="96" s="1"/>
  <c r="D214" i="96" a="1"/>
  <c r="D214" i="96" s="1"/>
  <c r="D215" i="96" a="1"/>
  <c r="D215" i="96" s="1"/>
  <c r="D216" i="96" a="1"/>
  <c r="D216" i="96" s="1"/>
  <c r="D217" i="96" a="1"/>
  <c r="D217" i="96" s="1"/>
  <c r="D218" i="96" a="1"/>
  <c r="D218" i="96" s="1"/>
  <c r="D221" i="96" a="1"/>
  <c r="D221" i="96" s="1"/>
  <c r="D222" i="96" a="1"/>
  <c r="D222" i="96" s="1"/>
  <c r="D223" i="96" a="1"/>
  <c r="D223" i="96" s="1"/>
  <c r="D224" i="96" a="1"/>
  <c r="D224" i="96" s="1"/>
  <c r="D225" i="96" a="1"/>
  <c r="D225" i="96" s="1"/>
  <c r="D228" i="96" a="1"/>
  <c r="D228" i="96" s="1"/>
  <c r="D229" i="96" a="1"/>
  <c r="D229" i="96" s="1"/>
  <c r="D230" i="96" a="1"/>
  <c r="D230" i="96" s="1"/>
  <c r="D231" i="96" a="1"/>
  <c r="D231" i="96" s="1"/>
  <c r="D232" i="96" a="1"/>
  <c r="D232" i="96" s="1"/>
  <c r="D154" i="96" a="1"/>
  <c r="D154" i="96" s="1"/>
  <c r="D155" i="96" a="1"/>
  <c r="D155" i="96" s="1"/>
  <c r="D157" i="96" a="1"/>
  <c r="D157" i="96" s="1"/>
  <c r="D158" i="96" a="1"/>
  <c r="D158" i="96" s="1"/>
  <c r="D159" i="96" a="1"/>
  <c r="D159" i="96" s="1"/>
  <c r="D160" i="96" a="1"/>
  <c r="D160" i="96" s="1"/>
  <c r="D161" i="96" a="1"/>
  <c r="D161" i="96" s="1"/>
  <c r="D162" i="96" a="1"/>
  <c r="D162" i="96" s="1"/>
  <c r="D165" i="96" a="1"/>
  <c r="D165" i="96" s="1"/>
  <c r="D166" i="96" a="1"/>
  <c r="D166" i="96" s="1"/>
  <c r="D167" i="96" a="1"/>
  <c r="D167" i="96" s="1"/>
  <c r="D168" i="96" a="1"/>
  <c r="D168" i="96" s="1"/>
  <c r="D169" i="96" a="1"/>
  <c r="D169" i="96" s="1"/>
  <c r="D172" i="96" a="1"/>
  <c r="D172" i="96" s="1"/>
  <c r="D173" i="96" a="1"/>
  <c r="D173" i="96" s="1"/>
  <c r="D174" i="96" a="1"/>
  <c r="D174" i="96" s="1"/>
  <c r="D178" i="96" a="1"/>
  <c r="D178" i="96" s="1"/>
  <c r="D179" i="96" a="1"/>
  <c r="D179" i="96" s="1"/>
  <c r="D180" i="96" a="1"/>
  <c r="D180" i="96" s="1"/>
  <c r="D181" i="96" a="1"/>
  <c r="D181" i="96" s="1"/>
  <c r="D186" i="96" a="1"/>
  <c r="D186" i="96" s="1"/>
  <c r="D187" i="96" a="1"/>
  <c r="D187" i="96" s="1"/>
  <c r="D188" i="96" a="1"/>
  <c r="D188" i="96" s="1"/>
  <c r="D193" i="96" a="1"/>
  <c r="D193" i="96" s="1"/>
  <c r="D194" i="96" a="1"/>
  <c r="D194" i="96" s="1"/>
  <c r="D195" i="96" a="1"/>
  <c r="D195" i="96" s="1"/>
  <c r="D196" i="96" a="1"/>
  <c r="D196" i="96" s="1"/>
  <c r="D200" i="96" a="1"/>
  <c r="D200" i="96" s="1"/>
  <c r="D201" i="96" a="1"/>
  <c r="D201" i="96" s="1"/>
  <c r="D202" i="96" a="1"/>
  <c r="D202" i="96" s="1"/>
  <c r="D207" i="96" a="1"/>
  <c r="D207" i="96" s="1"/>
  <c r="D208" i="96" a="1"/>
  <c r="D208" i="96" s="1"/>
  <c r="D209" i="96" a="1"/>
  <c r="D209" i="96" s="1"/>
  <c r="D210" i="96" a="1"/>
  <c r="D210" i="96" s="1"/>
  <c r="D211" i="96" a="1"/>
  <c r="D211" i="96" s="1"/>
  <c r="D41" i="96" a="1"/>
  <c r="D41" i="96" s="1"/>
  <c r="D47" i="96" a="1"/>
  <c r="D47" i="96" s="1"/>
  <c r="D48" i="96" a="1"/>
  <c r="D48" i="96" s="1"/>
  <c r="D49" i="96" a="1"/>
  <c r="D49" i="96" s="1"/>
  <c r="D50" i="96" a="1"/>
  <c r="D50" i="96" s="1"/>
  <c r="D54" i="96" a="1"/>
  <c r="D54" i="96" s="1"/>
  <c r="D55" i="96" a="1"/>
  <c r="D55" i="96" s="1"/>
  <c r="D60" i="96" a="1"/>
  <c r="D60" i="96" s="1"/>
  <c r="D61" i="96" a="1"/>
  <c r="D61" i="96" s="1"/>
  <c r="D63" i="96" a="1"/>
  <c r="D63" i="96" s="1"/>
  <c r="D64" i="96" a="1"/>
  <c r="D64" i="96" s="1"/>
  <c r="D66" i="96" a="1"/>
  <c r="D66" i="96" s="1"/>
  <c r="D67" i="96" a="1"/>
  <c r="D67" i="96" s="1"/>
  <c r="D68" i="96" a="1"/>
  <c r="D68" i="96" s="1"/>
  <c r="D69" i="96" a="1"/>
  <c r="D69" i="96" s="1"/>
  <c r="D70" i="96" a="1"/>
  <c r="D70" i="96" s="1"/>
  <c r="D71" i="96" a="1"/>
  <c r="D71" i="96" s="1"/>
  <c r="D74" i="96" a="1"/>
  <c r="D74" i="96" s="1"/>
  <c r="D75" i="96" a="1"/>
  <c r="D75" i="96" s="1"/>
  <c r="D76" i="96" a="1"/>
  <c r="D76" i="96" s="1"/>
  <c r="D77" i="96" a="1"/>
  <c r="D77" i="96" s="1"/>
  <c r="D78" i="96" a="1"/>
  <c r="D78" i="96" s="1"/>
  <c r="D81" i="96" a="1"/>
  <c r="D81" i="96" s="1"/>
  <c r="D82" i="96" a="1"/>
  <c r="D82" i="96" s="1"/>
  <c r="D83" i="96" a="1"/>
  <c r="D83" i="96" s="1"/>
  <c r="D88" i="96" a="1"/>
  <c r="D88" i="96" s="1"/>
  <c r="D89" i="96" a="1"/>
  <c r="D89" i="96" s="1"/>
  <c r="D90" i="96" a="1"/>
  <c r="D90" i="96" s="1"/>
  <c r="D91" i="96" a="1"/>
  <c r="D91" i="96" s="1"/>
  <c r="D92" i="96" a="1"/>
  <c r="D92" i="96" s="1"/>
  <c r="D94" i="96" a="1"/>
  <c r="D94" i="96" s="1"/>
  <c r="D95" i="96" a="1"/>
  <c r="D95" i="96" s="1"/>
  <c r="D96" i="96" a="1"/>
  <c r="D96" i="96" s="1"/>
  <c r="D97" i="96" a="1"/>
  <c r="D97" i="96" s="1"/>
  <c r="D98" i="96" a="1"/>
  <c r="D98" i="96" s="1"/>
  <c r="D99" i="96" a="1"/>
  <c r="D99" i="96" s="1"/>
  <c r="D101" i="96" a="1"/>
  <c r="D101" i="96" s="1"/>
  <c r="D102" i="96" a="1"/>
  <c r="D102" i="96" s="1"/>
  <c r="D103" i="96" a="1"/>
  <c r="D103" i="96" s="1"/>
  <c r="D104" i="96" a="1"/>
  <c r="D104" i="96" s="1"/>
  <c r="D105" i="96" a="1"/>
  <c r="D105" i="96" s="1"/>
  <c r="D106" i="96" a="1"/>
  <c r="D106" i="96" s="1"/>
  <c r="D109" i="96" a="1"/>
  <c r="D109" i="96" s="1"/>
  <c r="D110" i="96" a="1"/>
  <c r="D110" i="96" s="1"/>
  <c r="D111" i="96" a="1"/>
  <c r="D111" i="96" s="1"/>
  <c r="D112" i="96" a="1"/>
  <c r="D112" i="96" s="1"/>
  <c r="D113" i="96" a="1"/>
  <c r="D113" i="96" s="1"/>
  <c r="D116" i="96" a="1"/>
  <c r="D116" i="96" s="1"/>
  <c r="D117" i="96" a="1"/>
  <c r="D117" i="96" s="1"/>
  <c r="D118" i="96" a="1"/>
  <c r="D118" i="96" s="1"/>
  <c r="D119" i="96" a="1"/>
  <c r="D119" i="96" s="1"/>
  <c r="D120" i="96" a="1"/>
  <c r="D120" i="96" s="1"/>
  <c r="D123" i="96" a="1"/>
  <c r="D123" i="96" s="1"/>
  <c r="D124" i="96" a="1"/>
  <c r="D124" i="96" s="1"/>
  <c r="D125" i="96" a="1"/>
  <c r="D125" i="96" s="1"/>
  <c r="D126" i="96" a="1"/>
  <c r="D126" i="96" s="1"/>
  <c r="D127" i="96" a="1"/>
  <c r="D127" i="96" s="1"/>
  <c r="D130" i="96" a="1"/>
  <c r="D130" i="96" s="1"/>
  <c r="D131" i="96" a="1"/>
  <c r="D131" i="96" s="1"/>
  <c r="D132" i="96" a="1"/>
  <c r="D132" i="96" s="1"/>
  <c r="D133" i="96" a="1"/>
  <c r="D133" i="96" s="1"/>
  <c r="D134" i="96" a="1"/>
  <c r="D134" i="96" s="1"/>
  <c r="D136" i="96" a="1"/>
  <c r="D136" i="96" s="1"/>
  <c r="D137" i="96" a="1"/>
  <c r="D137" i="96" s="1"/>
  <c r="D138" i="96" a="1"/>
  <c r="D138" i="96" s="1"/>
  <c r="D139" i="96" a="1"/>
  <c r="D139" i="96" s="1"/>
  <c r="D140" i="96" a="1"/>
  <c r="D140" i="96" s="1"/>
  <c r="D141" i="96" a="1"/>
  <c r="D141" i="96" s="1"/>
  <c r="D144" i="96" a="1"/>
  <c r="D144" i="96" s="1"/>
  <c r="D145" i="96" a="1"/>
  <c r="D145" i="96" s="1"/>
  <c r="D146" i="96" a="1"/>
  <c r="D146" i="96" s="1"/>
  <c r="D147" i="96" a="1"/>
  <c r="D147" i="96" s="1"/>
  <c r="D148" i="96" a="1"/>
  <c r="D148" i="96" s="1"/>
  <c r="D151" i="96" a="1"/>
  <c r="D151" i="96" s="1"/>
  <c r="D152" i="96" a="1"/>
  <c r="D152" i="96" s="1"/>
  <c r="D153" i="96" a="1"/>
  <c r="D153" i="96" s="1"/>
  <c r="B30" i="95"/>
  <c r="C30" i="95"/>
  <c r="D30" i="95"/>
  <c r="D233" i="96" s="1" a="1"/>
  <c r="D233" i="96" s="1"/>
  <c r="E30" i="95"/>
  <c r="D234" i="96" s="1" a="1"/>
  <c r="D234" i="96" s="1"/>
  <c r="F30" i="95"/>
  <c r="G30" i="95"/>
  <c r="H30" i="95"/>
  <c r="B31" i="95"/>
  <c r="C31" i="95"/>
  <c r="D31" i="95"/>
  <c r="D240" i="96" s="1" a="1"/>
  <c r="D240" i="96" s="1"/>
  <c r="E31" i="95"/>
  <c r="D241" i="96" s="1" a="1"/>
  <c r="D241" i="96" s="1"/>
  <c r="F31" i="95"/>
  <c r="G31" i="95"/>
  <c r="H31" i="95"/>
  <c r="B18" i="95"/>
  <c r="C18" i="95"/>
  <c r="D18" i="95"/>
  <c r="D149" i="96" s="1" a="1"/>
  <c r="D149" i="96" s="1"/>
  <c r="E18" i="95"/>
  <c r="D150" i="96" s="1" a="1"/>
  <c r="D150" i="96" s="1"/>
  <c r="F18" i="95"/>
  <c r="G18" i="95"/>
  <c r="H18" i="95"/>
  <c r="B19" i="95"/>
  <c r="C19" i="95"/>
  <c r="D19" i="95"/>
  <c r="D156" i="96" s="1" a="1"/>
  <c r="D156" i="96" s="1"/>
  <c r="E19" i="95"/>
  <c r="F19" i="95"/>
  <c r="G19" i="95"/>
  <c r="H19" i="95"/>
  <c r="B20" i="95"/>
  <c r="C20" i="95"/>
  <c r="D20" i="95"/>
  <c r="D163" i="96" s="1" a="1"/>
  <c r="D163" i="96" s="1"/>
  <c r="E20" i="95"/>
  <c r="D164" i="96" s="1" a="1"/>
  <c r="D164" i="96" s="1"/>
  <c r="F20" i="95"/>
  <c r="G20" i="95"/>
  <c r="H20" i="95"/>
  <c r="B21" i="95"/>
  <c r="C21" i="95"/>
  <c r="D21" i="95"/>
  <c r="D170" i="96" s="1" a="1"/>
  <c r="D170" i="96" s="1"/>
  <c r="E21" i="95"/>
  <c r="D171" i="96" s="1" a="1"/>
  <c r="D171" i="96" s="1"/>
  <c r="F21" i="95"/>
  <c r="G21" i="95"/>
  <c r="H21" i="95"/>
  <c r="B22" i="95"/>
  <c r="D175" i="96" s="1" a="1"/>
  <c r="D175" i="96" s="1"/>
  <c r="C22" i="95"/>
  <c r="D176" i="96" s="1" a="1"/>
  <c r="D176" i="96" s="1"/>
  <c r="D22" i="95"/>
  <c r="D177" i="96" s="1" a="1"/>
  <c r="D177" i="96" s="1"/>
  <c r="E22" i="95"/>
  <c r="F22" i="95"/>
  <c r="G22" i="95"/>
  <c r="H22" i="95"/>
  <c r="B23" i="95"/>
  <c r="D182" i="96" s="1" a="1"/>
  <c r="D182" i="96" s="1"/>
  <c r="C23" i="95"/>
  <c r="D183" i="96" s="1" a="1"/>
  <c r="D183" i="96" s="1"/>
  <c r="D23" i="95"/>
  <c r="D184" i="96" s="1" a="1"/>
  <c r="D184" i="96" s="1"/>
  <c r="E23" i="95"/>
  <c r="D185" i="96" s="1" a="1"/>
  <c r="D185" i="96" s="1"/>
  <c r="F23" i="95"/>
  <c r="G23" i="95"/>
  <c r="H23" i="95"/>
  <c r="B24" i="95"/>
  <c r="D189" i="96" s="1" a="1"/>
  <c r="D189" i="96" s="1"/>
  <c r="C24" i="95"/>
  <c r="D190" i="96" s="1" a="1"/>
  <c r="D190" i="96" s="1"/>
  <c r="D24" i="95"/>
  <c r="D191" i="96" s="1" a="1"/>
  <c r="D191" i="96" s="1"/>
  <c r="E24" i="95"/>
  <c r="D192" i="96" s="1" a="1"/>
  <c r="D192" i="96" s="1"/>
  <c r="F24" i="95"/>
  <c r="G24" i="95"/>
  <c r="H24" i="95"/>
  <c r="B25" i="95"/>
  <c r="C25" i="95"/>
  <c r="D197" i="96" s="1" a="1"/>
  <c r="D197" i="96" s="1"/>
  <c r="D25" i="95"/>
  <c r="D198" i="96" s="1" a="1"/>
  <c r="D198" i="96" s="1"/>
  <c r="E25" i="95"/>
  <c r="D199" i="96" s="1" a="1"/>
  <c r="D199" i="96" s="1"/>
  <c r="F25" i="95"/>
  <c r="G25" i="95"/>
  <c r="H25" i="95"/>
  <c r="B26" i="95"/>
  <c r="D203" i="96" s="1" a="1"/>
  <c r="D203" i="96" s="1"/>
  <c r="C26" i="95"/>
  <c r="D204" i="96" s="1" a="1"/>
  <c r="D204" i="96" s="1"/>
  <c r="D26" i="95"/>
  <c r="D205" i="96" s="1" a="1"/>
  <c r="D205" i="96" s="1"/>
  <c r="E26" i="95"/>
  <c r="D206" i="96" s="1" a="1"/>
  <c r="D206" i="96" s="1"/>
  <c r="F26" i="95"/>
  <c r="G26" i="95"/>
  <c r="H26" i="95"/>
  <c r="B27" i="95"/>
  <c r="C27" i="95"/>
  <c r="D27" i="95"/>
  <c r="D212" i="96" s="1" a="1"/>
  <c r="D212" i="96" s="1"/>
  <c r="E27" i="95"/>
  <c r="D213" i="96" s="1" a="1"/>
  <c r="D213" i="96" s="1"/>
  <c r="F27" i="95"/>
  <c r="G27" i="95"/>
  <c r="H27" i="95"/>
  <c r="B28" i="95"/>
  <c r="C28" i="95"/>
  <c r="D28" i="95"/>
  <c r="D219" i="96" s="1" a="1"/>
  <c r="D219" i="96" s="1"/>
  <c r="E28" i="95"/>
  <c r="D220" i="96" s="1" a="1"/>
  <c r="D220" i="96" s="1"/>
  <c r="F28" i="95"/>
  <c r="G28" i="95"/>
  <c r="H28" i="95"/>
  <c r="B29" i="95"/>
  <c r="C29" i="95"/>
  <c r="D29" i="95"/>
  <c r="D226" i="96" s="1" a="1"/>
  <c r="D226" i="96" s="1"/>
  <c r="E29" i="95"/>
  <c r="D227" i="96" s="1" a="1"/>
  <c r="D227" i="96" s="1"/>
  <c r="F29" i="95"/>
  <c r="G29" i="95"/>
  <c r="H29" i="95"/>
  <c r="B3" i="95"/>
  <c r="D42" i="96" s="1" a="1"/>
  <c r="D42" i="96" s="1"/>
  <c r="C3" i="95"/>
  <c r="D43" i="96" s="1" a="1"/>
  <c r="D43" i="96" s="1"/>
  <c r="D3" i="95"/>
  <c r="D44" i="96" s="1" a="1"/>
  <c r="D44" i="96" s="1"/>
  <c r="E3" i="95"/>
  <c r="D45" i="96" s="1" a="1"/>
  <c r="D45" i="96" s="1"/>
  <c r="F3" i="95"/>
  <c r="D46" i="96" s="1" a="1"/>
  <c r="D46" i="96" s="1"/>
  <c r="G3" i="95"/>
  <c r="H3" i="95"/>
  <c r="B4" i="95"/>
  <c r="C4" i="95"/>
  <c r="D4" i="95"/>
  <c r="D51" i="96" s="1" a="1"/>
  <c r="D51" i="96" s="1"/>
  <c r="E4" i="95"/>
  <c r="D52" i="96" s="1" a="1"/>
  <c r="D52" i="96" s="1"/>
  <c r="F4" i="95"/>
  <c r="D53" i="96" s="1" a="1"/>
  <c r="D53" i="96" s="1"/>
  <c r="G4" i="95"/>
  <c r="H4" i="95"/>
  <c r="B5" i="95"/>
  <c r="D56" i="96" s="1" a="1"/>
  <c r="D56" i="96" s="1"/>
  <c r="C5" i="95"/>
  <c r="D57" i="96" s="1" a="1"/>
  <c r="D57" i="96" s="1"/>
  <c r="D5" i="95"/>
  <c r="D58" i="96" s="1" a="1"/>
  <c r="D58" i="96" s="1"/>
  <c r="E5" i="95"/>
  <c r="D59" i="96" s="1" a="1"/>
  <c r="D59" i="96" s="1"/>
  <c r="F5" i="95"/>
  <c r="G5" i="95"/>
  <c r="H5" i="95"/>
  <c r="D62" i="96" s="1" a="1"/>
  <c r="D62" i="96" s="1"/>
  <c r="B6" i="95"/>
  <c r="C6" i="95"/>
  <c r="D6" i="95"/>
  <c r="D65" i="96" s="1" a="1"/>
  <c r="D65" i="96" s="1"/>
  <c r="E6" i="95"/>
  <c r="F6" i="95"/>
  <c r="G6" i="95"/>
  <c r="H6" i="95"/>
  <c r="B7" i="95"/>
  <c r="C7" i="95"/>
  <c r="D7" i="95"/>
  <c r="D72" i="96" s="1" a="1"/>
  <c r="D72" i="96" s="1"/>
  <c r="E7" i="95"/>
  <c r="D73" i="96" s="1" a="1"/>
  <c r="D73" i="96" s="1"/>
  <c r="F7" i="95"/>
  <c r="G7" i="95"/>
  <c r="H7" i="95"/>
  <c r="B8" i="95"/>
  <c r="C8" i="95"/>
  <c r="D8" i="95"/>
  <c r="D79" i="96" s="1" a="1"/>
  <c r="D79" i="96" s="1"/>
  <c r="E8" i="95"/>
  <c r="D80" i="96" s="1" a="1"/>
  <c r="D80" i="96" s="1"/>
  <c r="F8" i="95"/>
  <c r="G8" i="95"/>
  <c r="H8" i="95"/>
  <c r="B9" i="95"/>
  <c r="D84" i="96" s="1" a="1"/>
  <c r="D84" i="96" s="1"/>
  <c r="C9" i="95"/>
  <c r="D85" i="96" s="1" a="1"/>
  <c r="D85" i="96" s="1"/>
  <c r="D9" i="95"/>
  <c r="D86" i="96" s="1" a="1"/>
  <c r="D86" i="96" s="1"/>
  <c r="E9" i="95"/>
  <c r="D87" i="96" s="1" a="1"/>
  <c r="D87" i="96" s="1"/>
  <c r="F9" i="95"/>
  <c r="G9" i="95"/>
  <c r="H9" i="95"/>
  <c r="B10" i="95"/>
  <c r="C10" i="95"/>
  <c r="D10" i="95"/>
  <c r="D93" i="96" s="1" a="1"/>
  <c r="D93" i="96" s="1"/>
  <c r="E10" i="95"/>
  <c r="F10" i="95"/>
  <c r="G10" i="95"/>
  <c r="H10" i="95"/>
  <c r="B11" i="95"/>
  <c r="C11" i="95"/>
  <c r="D11" i="95"/>
  <c r="D100" i="96" s="1" a="1"/>
  <c r="D100" i="96" s="1"/>
  <c r="E11" i="95"/>
  <c r="F11" i="95"/>
  <c r="G11" i="95"/>
  <c r="H11" i="95"/>
  <c r="B12" i="95"/>
  <c r="C12" i="95"/>
  <c r="D12" i="95"/>
  <c r="D107" i="96" s="1" a="1"/>
  <c r="D107" i="96" s="1"/>
  <c r="E12" i="95"/>
  <c r="D108" i="96" s="1" a="1"/>
  <c r="D108" i="96" s="1"/>
  <c r="F12" i="95"/>
  <c r="G12" i="95"/>
  <c r="H12" i="95"/>
  <c r="B13" i="95"/>
  <c r="C13" i="95"/>
  <c r="D13" i="95"/>
  <c r="D114" i="96" s="1" a="1"/>
  <c r="D114" i="96" s="1"/>
  <c r="E13" i="95"/>
  <c r="D115" i="96" s="1" a="1"/>
  <c r="D115" i="96" s="1"/>
  <c r="F13" i="95"/>
  <c r="G13" i="95"/>
  <c r="H13" i="95"/>
  <c r="B14" i="95"/>
  <c r="C14" i="95"/>
  <c r="D14" i="95"/>
  <c r="D121" i="96" s="1" a="1"/>
  <c r="D121" i="96" s="1"/>
  <c r="E14" i="95"/>
  <c r="D122" i="96" s="1" a="1"/>
  <c r="D122" i="96" s="1"/>
  <c r="F14" i="95"/>
  <c r="G14" i="95"/>
  <c r="H14" i="95"/>
  <c r="B15" i="95"/>
  <c r="C15" i="95"/>
  <c r="D15" i="95"/>
  <c r="D128" i="96" s="1" a="1"/>
  <c r="D128" i="96" s="1"/>
  <c r="E15" i="95"/>
  <c r="D129" i="96" s="1" a="1"/>
  <c r="D129" i="96" s="1"/>
  <c r="F15" i="95"/>
  <c r="G15" i="95"/>
  <c r="H15" i="95"/>
  <c r="B16" i="95"/>
  <c r="C16" i="95"/>
  <c r="D16" i="95"/>
  <c r="D135" i="96" s="1" a="1"/>
  <c r="D135" i="96" s="1"/>
  <c r="E16" i="95"/>
  <c r="F16" i="95"/>
  <c r="G16" i="95"/>
  <c r="H16" i="95"/>
  <c r="B17" i="95"/>
  <c r="C17" i="95"/>
  <c r="D17" i="95"/>
  <c r="D142" i="96" s="1" a="1"/>
  <c r="D142" i="96" s="1"/>
  <c r="E17" i="95"/>
  <c r="D143" i="96" s="1" a="1"/>
  <c r="D143" i="96" s="1"/>
  <c r="F17" i="95"/>
  <c r="G17" i="95"/>
  <c r="H17" i="95"/>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C8" i="99"/>
  <c r="N8" i="99" s="1"/>
  <c r="B8" i="99"/>
  <c r="K7" i="99"/>
  <c r="H7" i="99"/>
  <c r="C7" i="99"/>
  <c r="B7" i="99"/>
  <c r="N6" i="99"/>
  <c r="N4" i="99"/>
  <c r="C4" i="99"/>
  <c r="N3" i="99"/>
  <c r="C3" i="99"/>
  <c r="N2" i="99"/>
  <c r="C2" i="99"/>
  <c r="N5" i="99" s="1"/>
  <c r="C1" i="99"/>
  <c r="C3" i="98"/>
  <c r="B3" i="98"/>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C52" i="97"/>
  <c r="B52" i="97"/>
  <c r="C51" i="97"/>
  <c r="B51" i="97"/>
  <c r="C50" i="97"/>
  <c r="B50" i="97"/>
  <c r="C49" i="97"/>
  <c r="B49" i="97"/>
  <c r="C48" i="97"/>
  <c r="B48" i="97"/>
  <c r="C47" i="97"/>
  <c r="B47" i="97"/>
  <c r="B46" i="97"/>
  <c r="N41" i="97"/>
  <c r="D106" i="101"/>
  <c r="N40" i="97"/>
  <c r="D104" i="101"/>
  <c r="N39" i="97"/>
  <c r="N38" i="97"/>
  <c r="D98" i="101"/>
  <c r="N37" i="97"/>
  <c r="D94" i="101"/>
  <c r="N36" i="97"/>
  <c r="D92" i="101"/>
  <c r="N35" i="97"/>
  <c r="N34" i="97"/>
  <c r="D86" i="101"/>
  <c r="N33" i="97"/>
  <c r="D82" i="101"/>
  <c r="D80" i="101"/>
  <c r="N32" i="97"/>
  <c r="D76" i="101"/>
  <c r="N31" i="97"/>
  <c r="D74" i="101"/>
  <c r="N30" i="97"/>
  <c r="N29" i="97"/>
  <c r="D68" i="101"/>
  <c r="D66" i="101"/>
  <c r="N28" i="97"/>
  <c r="D64" i="101"/>
  <c r="N27" i="97"/>
  <c r="D62" i="101"/>
  <c r="N26" i="97"/>
  <c r="N25" i="97"/>
  <c r="D56" i="101"/>
  <c r="N24" i="97"/>
  <c r="N23" i="97"/>
  <c r="D50" i="101"/>
  <c r="N22" i="97"/>
  <c r="N21" i="97"/>
  <c r="D44" i="101"/>
  <c r="D42" i="101"/>
  <c r="N20" i="97"/>
  <c r="N19" i="97"/>
  <c r="D38" i="101"/>
  <c r="N18" i="97"/>
  <c r="D34" i="101"/>
  <c r="N17" i="97"/>
  <c r="D32" i="101"/>
  <c r="N16" i="97"/>
  <c r="N15" i="97"/>
  <c r="D26" i="101"/>
  <c r="N14" i="97"/>
  <c r="N13" i="97"/>
  <c r="D20" i="101"/>
  <c r="N12" i="97"/>
  <c r="D16" i="101"/>
  <c r="N11" i="97"/>
  <c r="D14" i="101"/>
  <c r="N10" i="97"/>
  <c r="D10" i="101"/>
  <c r="N9" i="97"/>
  <c r="D8" i="101"/>
  <c r="N8" i="97"/>
  <c r="B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20" i="96"/>
  <c r="D19" i="96"/>
  <c r="D18" i="96"/>
  <c r="D15" i="96"/>
  <c r="D12" i="96"/>
  <c r="D11" i="96"/>
  <c r="D10" i="96"/>
  <c r="D8" i="96"/>
  <c r="D5" i="96"/>
  <c r="D4" i="96"/>
  <c r="D2" i="96"/>
  <c r="H2" i="95"/>
  <c r="G2" i="95"/>
  <c r="D40" i="96" s="1" a="1"/>
  <c r="D40" i="96" s="1"/>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2" i="92"/>
  <c r="G61" i="92"/>
  <c r="G60" i="92"/>
  <c r="G59" i="92"/>
  <c r="G58" i="92"/>
  <c r="G57" i="92"/>
  <c r="G56" i="92"/>
  <c r="G55" i="92"/>
  <c r="G54" i="92"/>
  <c r="G53" i="92"/>
  <c r="G52" i="92"/>
  <c r="G51" i="92"/>
  <c r="G50" i="92"/>
  <c r="G49" i="92"/>
  <c r="G48" i="92"/>
  <c r="G47" i="92"/>
  <c r="G46" i="92"/>
  <c r="G44" i="92"/>
  <c r="I44" i="92" s="1"/>
  <c r="D115" i="93" s="1" a="1"/>
  <c r="D115" i="93" s="1"/>
  <c r="D115" i="104" s="1"/>
  <c r="G43" i="92"/>
  <c r="G42" i="92"/>
  <c r="I42" i="92" s="1"/>
  <c r="D109" i="93" s="1" a="1"/>
  <c r="D109" i="93" s="1"/>
  <c r="D109" i="104" s="1"/>
  <c r="G41" i="92"/>
  <c r="H41" i="92" s="1"/>
  <c r="D105" i="93" s="1" a="1"/>
  <c r="D105" i="93" s="1"/>
  <c r="D105" i="104" s="1"/>
  <c r="G40" i="92"/>
  <c r="I40" i="92" s="1"/>
  <c r="D103" i="93" s="1" a="1"/>
  <c r="D103" i="93" s="1"/>
  <c r="D103" i="104" s="1"/>
  <c r="G39" i="92"/>
  <c r="H39" i="92" s="1"/>
  <c r="D99" i="93" s="1" a="1"/>
  <c r="D99" i="93" s="1"/>
  <c r="D99" i="104" s="1"/>
  <c r="G38" i="92"/>
  <c r="I38" i="92" s="1"/>
  <c r="D97" i="93" s="1" a="1"/>
  <c r="D97" i="93" s="1"/>
  <c r="D97" i="104" s="1"/>
  <c r="M38" i="92"/>
  <c r="G37" i="92"/>
  <c r="I37" i="92" s="1"/>
  <c r="D94" i="93" s="1" a="1"/>
  <c r="D94" i="93" s="1"/>
  <c r="D94" i="104" s="1"/>
  <c r="M37" i="92"/>
  <c r="G36" i="92"/>
  <c r="M36" i="92"/>
  <c r="G35" i="92"/>
  <c r="H35" i="92" s="1"/>
  <c r="D87" i="93" s="1" a="1"/>
  <c r="D87" i="93" s="1"/>
  <c r="D87" i="104" s="1"/>
  <c r="M35" i="92"/>
  <c r="G34" i="92"/>
  <c r="H34" i="92" s="1"/>
  <c r="D84" i="93" s="1" a="1"/>
  <c r="D84" i="93" s="1"/>
  <c r="D84" i="104" s="1"/>
  <c r="M34" i="92"/>
  <c r="G33" i="92"/>
  <c r="I33" i="92" s="1"/>
  <c r="D82" i="93" s="1" a="1"/>
  <c r="D82" i="93" s="1"/>
  <c r="D82" i="104" s="1"/>
  <c r="M33" i="92"/>
  <c r="G32" i="92"/>
  <c r="I32" i="92" s="1"/>
  <c r="D79" i="93" s="1" a="1"/>
  <c r="D79" i="93" s="1"/>
  <c r="D79" i="104" s="1"/>
  <c r="M32" i="92"/>
  <c r="G31" i="92"/>
  <c r="H31" i="92" s="1"/>
  <c r="D75" i="93" s="1" a="1"/>
  <c r="D75" i="93" s="1"/>
  <c r="D75" i="104" s="1"/>
  <c r="M31" i="92"/>
  <c r="G30" i="92"/>
  <c r="H30" i="92" s="1"/>
  <c r="D72" i="93" s="1" a="1"/>
  <c r="D72" i="93" s="1"/>
  <c r="D72" i="104" s="1"/>
  <c r="M30" i="92"/>
  <c r="G29" i="92"/>
  <c r="G28" i="92"/>
  <c r="H28" i="92" s="1"/>
  <c r="D66" i="93" s="1" a="1"/>
  <c r="D66" i="93" s="1"/>
  <c r="D66" i="104" s="1"/>
  <c r="M28" i="92"/>
  <c r="G26" i="92"/>
  <c r="I26" i="92" s="1"/>
  <c r="D61" i="93" s="1" a="1"/>
  <c r="D61" i="93" s="1"/>
  <c r="D61" i="104" s="1"/>
  <c r="M26"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H46" i="92"/>
  <c r="D120" i="93" s="1" a="1"/>
  <c r="D120" i="93" s="1"/>
  <c r="D120" i="104" s="1"/>
  <c r="I46" i="92"/>
  <c r="D121" i="93" s="1" a="1"/>
  <c r="D121" i="93" s="1"/>
  <c r="D121" i="104" s="1"/>
  <c r="H54" i="92"/>
  <c r="D144" i="93" s="1" a="1"/>
  <c r="D144" i="93" s="1"/>
  <c r="D144" i="104" s="1"/>
  <c r="I54" i="92"/>
  <c r="D145" i="93" s="1" a="1"/>
  <c r="D145" i="93" s="1"/>
  <c r="D145" i="104" s="1"/>
  <c r="I62" i="92"/>
  <c r="D169" i="93" s="1" a="1"/>
  <c r="D169" i="93" s="1"/>
  <c r="D169" i="104" s="1"/>
  <c r="H62" i="92"/>
  <c r="D168" i="93" s="1" a="1"/>
  <c r="D168" i="93" s="1"/>
  <c r="D168" i="104" s="1"/>
  <c r="H47" i="92"/>
  <c r="D123" i="93" s="1" a="1"/>
  <c r="D123" i="93" s="1"/>
  <c r="D123" i="104" s="1"/>
  <c r="I47" i="92"/>
  <c r="D124" i="93" s="1" a="1"/>
  <c r="D124" i="93" s="1"/>
  <c r="D124" i="104" s="1"/>
  <c r="H55" i="92"/>
  <c r="D147" i="93" s="1" a="1"/>
  <c r="D147" i="93" s="1"/>
  <c r="D147" i="104" s="1"/>
  <c r="I55" i="92"/>
  <c r="D148" i="93" s="1" a="1"/>
  <c r="D148" i="93" s="1"/>
  <c r="D148" i="104" s="1"/>
  <c r="H56" i="92"/>
  <c r="D150" i="93" s="1" a="1"/>
  <c r="D150" i="93" s="1"/>
  <c r="D150" i="104" s="1"/>
  <c r="I56" i="92"/>
  <c r="D151" i="93" s="1" a="1"/>
  <c r="D151" i="93" s="1"/>
  <c r="D151" i="104" s="1"/>
  <c r="H57" i="92"/>
  <c r="D153" i="93" s="1" a="1"/>
  <c r="D153" i="93" s="1"/>
  <c r="D153" i="104" s="1"/>
  <c r="I57" i="92"/>
  <c r="D154" i="93" s="1" a="1"/>
  <c r="D154" i="93" s="1"/>
  <c r="D154" i="104" s="1"/>
  <c r="H49" i="92"/>
  <c r="D129" i="93" s="1" a="1"/>
  <c r="D129" i="93" s="1"/>
  <c r="D129" i="104" s="1"/>
  <c r="I49" i="92"/>
  <c r="D130" i="93" s="1" a="1"/>
  <c r="D130" i="93" s="1"/>
  <c r="D130" i="104" s="1"/>
  <c r="I50" i="92"/>
  <c r="D133" i="93" s="1" a="1"/>
  <c r="D133" i="93" s="1"/>
  <c r="D133" i="104" s="1"/>
  <c r="H50" i="92"/>
  <c r="D132" i="93" s="1" a="1"/>
  <c r="D132" i="93" s="1"/>
  <c r="D132" i="104" s="1"/>
  <c r="I58" i="92"/>
  <c r="D157" i="93" s="1" a="1"/>
  <c r="D157" i="93" s="1"/>
  <c r="D157" i="104" s="1"/>
  <c r="H58" i="92"/>
  <c r="D156" i="93" s="1" a="1"/>
  <c r="D156" i="93" s="1"/>
  <c r="D156" i="104" s="1"/>
  <c r="H51" i="92"/>
  <c r="D135" i="93" s="1" a="1"/>
  <c r="D135" i="93" s="1"/>
  <c r="D135" i="104" s="1"/>
  <c r="I51" i="92"/>
  <c r="D136" i="93" s="1" a="1"/>
  <c r="D136" i="93" s="1"/>
  <c r="D136" i="104" s="1"/>
  <c r="H59" i="92"/>
  <c r="D159" i="93" s="1" a="1"/>
  <c r="D159" i="93" s="1"/>
  <c r="D159" i="104" s="1"/>
  <c r="I59" i="92"/>
  <c r="D160" i="93" s="1" a="1"/>
  <c r="D160" i="93" s="1"/>
  <c r="D160" i="104" s="1"/>
  <c r="H52" i="92"/>
  <c r="D138" i="93" s="1" a="1"/>
  <c r="D138" i="93" s="1"/>
  <c r="D138" i="104" s="1"/>
  <c r="I52" i="92"/>
  <c r="D139" i="93" s="1" a="1"/>
  <c r="D139" i="93" s="1"/>
  <c r="D139" i="104" s="1"/>
  <c r="H60" i="92"/>
  <c r="D162" i="93" s="1" a="1"/>
  <c r="D162" i="93" s="1"/>
  <c r="D162" i="104" s="1"/>
  <c r="I60" i="92"/>
  <c r="D163" i="93" s="1" a="1"/>
  <c r="D163" i="93" s="1"/>
  <c r="D163" i="104" s="1"/>
  <c r="H48" i="92"/>
  <c r="D126" i="93" s="1" a="1"/>
  <c r="D126" i="93" s="1"/>
  <c r="D126" i="104" s="1"/>
  <c r="I48" i="92"/>
  <c r="D127" i="93" s="1" a="1"/>
  <c r="D127" i="93" s="1"/>
  <c r="D127" i="104" s="1"/>
  <c r="H53" i="92"/>
  <c r="D141" i="93" s="1" a="1"/>
  <c r="D141" i="93" s="1"/>
  <c r="D141" i="104" s="1"/>
  <c r="I53" i="92"/>
  <c r="D142" i="93" s="1" a="1"/>
  <c r="D142" i="93" s="1"/>
  <c r="D142" i="104" s="1"/>
  <c r="H61" i="92"/>
  <c r="D165" i="93" s="1" a="1"/>
  <c r="D165" i="93" s="1"/>
  <c r="D165" i="104" s="1"/>
  <c r="I61" i="92"/>
  <c r="D166" i="93" s="1" a="1"/>
  <c r="D166" i="93" s="1"/>
  <c r="D166" i="104" s="1"/>
  <c r="D100" i="78" a="1"/>
  <c r="D100" i="78" s="1"/>
  <c r="D105" i="78" a="1"/>
  <c r="D105" i="78" s="1"/>
  <c r="D124" i="78" a="1"/>
  <c r="D124" i="78" s="1"/>
  <c r="D133" i="78" a="1"/>
  <c r="D133" i="78" s="1"/>
  <c r="D108" i="78" a="1"/>
  <c r="D108" i="78" s="1"/>
  <c r="D111" i="78" a="1"/>
  <c r="D111" i="78" s="1"/>
  <c r="D114" i="78" a="1"/>
  <c r="D114" i="78" s="1"/>
  <c r="D126" i="78" a="1"/>
  <c r="D126" i="78" s="1"/>
  <c r="D102" i="78" a="1"/>
  <c r="D102" i="78" s="1"/>
  <c r="D129" i="78" a="1"/>
  <c r="D129" i="78" s="1"/>
  <c r="I22" i="92"/>
  <c r="D49" i="93" s="1" a="1"/>
  <c r="D49" i="93" s="1"/>
  <c r="D49" i="104" s="1"/>
  <c r="I13" i="92"/>
  <c r="D22" i="93" s="1" a="1"/>
  <c r="D22" i="93" s="1"/>
  <c r="D22" i="104" s="1"/>
  <c r="H44" i="92"/>
  <c r="D114" i="93" s="1" a="1"/>
  <c r="D114" i="93" s="1"/>
  <c r="D114" i="104" s="1"/>
  <c r="H37" i="92"/>
  <c r="D93" i="93" s="1" a="1"/>
  <c r="D93" i="93" s="1"/>
  <c r="D93" i="104" s="1"/>
  <c r="I39" i="92"/>
  <c r="D100" i="93" s="1" a="1"/>
  <c r="D100" i="93" s="1"/>
  <c r="D100" i="104" s="1"/>
  <c r="H42" i="92"/>
  <c r="D108" i="93" s="1" a="1"/>
  <c r="D108" i="93" s="1"/>
  <c r="D108" i="104" s="1"/>
  <c r="H21" i="92"/>
  <c r="D45" i="93" s="1" a="1"/>
  <c r="D45" i="93" s="1"/>
  <c r="D45" i="104" s="1"/>
  <c r="I30" i="92"/>
  <c r="D73" i="93" s="1" a="1"/>
  <c r="D73" i="93" s="1"/>
  <c r="D73" i="104" s="1"/>
  <c r="I35" i="92"/>
  <c r="D88" i="93" s="1" a="1"/>
  <c r="D88" i="93" s="1"/>
  <c r="D88" i="104" s="1"/>
  <c r="H17" i="92"/>
  <c r="D33" i="93" s="1" a="1"/>
  <c r="D33" i="93" s="1"/>
  <c r="D33" i="104" s="1"/>
  <c r="H38" i="92"/>
  <c r="D96" i="93" s="1" a="1"/>
  <c r="D96" i="93" s="1"/>
  <c r="D96" i="104" s="1"/>
  <c r="H9" i="92"/>
  <c r="D9" i="93" s="1" a="1"/>
  <c r="D9" i="93" s="1"/>
  <c r="D9" i="104" s="1"/>
  <c r="I41" i="92"/>
  <c r="D106" i="93" s="1" a="1"/>
  <c r="D106" i="93" s="1"/>
  <c r="D106" i="104" s="1"/>
  <c r="I34" i="92"/>
  <c r="D85" i="93" s="1" a="1"/>
  <c r="D85" i="93" s="1"/>
  <c r="D85" i="104" s="1"/>
  <c r="H20" i="92"/>
  <c r="D42" i="93" s="1" a="1"/>
  <c r="D42" i="93" s="1"/>
  <c r="D42" i="104" s="1"/>
  <c r="I28" i="92"/>
  <c r="D67" i="93" s="1" a="1"/>
  <c r="D67" i="93" s="1"/>
  <c r="D67" i="104" s="1"/>
  <c r="H26" i="92"/>
  <c r="D60" i="93" s="1" a="1"/>
  <c r="D60" i="93" s="1"/>
  <c r="D60" i="104" s="1"/>
  <c r="I31" i="92"/>
  <c r="D76" i="93" s="1" a="1"/>
  <c r="D76" i="93" s="1"/>
  <c r="D76" i="104" s="1"/>
  <c r="I18" i="92"/>
  <c r="D37" i="93" s="1" a="1"/>
  <c r="D37" i="93" s="1"/>
  <c r="D37" i="104" s="1"/>
  <c r="I14" i="92"/>
  <c r="D25" i="93" s="1" a="1"/>
  <c r="D25" i="93" s="1"/>
  <c r="D25" i="104" s="1"/>
  <c r="H12" i="92"/>
  <c r="D18" i="93" s="1" a="1"/>
  <c r="D18" i="93" s="1"/>
  <c r="D18" i="104" s="1"/>
  <c r="I10" i="92"/>
  <c r="D13" i="93" s="1" a="1"/>
  <c r="D13" i="93" s="1"/>
  <c r="D13" i="104" s="1"/>
  <c r="I7" i="99"/>
  <c r="J15" i="99"/>
  <c r="I24" i="99"/>
  <c r="I32" i="99"/>
  <c r="J23" i="99"/>
  <c r="J21" i="99"/>
  <c r="J31" i="99"/>
  <c r="J8" i="99"/>
  <c r="D7" i="100" s="1" a="1"/>
  <c r="D7" i="100" s="1"/>
  <c r="D114" i="101" s="1"/>
  <c r="J10" i="99"/>
  <c r="I12" i="99"/>
  <c r="I14" i="99"/>
  <c r="J16" i="99"/>
  <c r="J18" i="99"/>
  <c r="I20" i="99"/>
  <c r="I28" i="99"/>
  <c r="I30" i="99"/>
  <c r="D72" i="100" s="1" a="1"/>
  <c r="D72" i="100" s="1"/>
  <c r="D179" i="101" s="1"/>
  <c r="D100" i="101"/>
  <c r="D93" i="101"/>
  <c r="D81" i="101"/>
  <c r="D67" i="101"/>
  <c r="D88" i="101"/>
  <c r="D54" i="101"/>
  <c r="D70" i="101"/>
  <c r="D58" i="101"/>
  <c r="D78" i="101"/>
  <c r="D105" i="101"/>
  <c r="D90" i="101"/>
  <c r="D102" i="101"/>
  <c r="D75" i="10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5" i="101"/>
  <c r="D13" i="101"/>
  <c r="D98" i="100" a="1"/>
  <c r="D98" i="100" s="1"/>
  <c r="D205" i="101" s="1"/>
  <c r="I8" i="99"/>
  <c r="E3" i="100" s="1"/>
  <c r="D100" i="100" a="1"/>
  <c r="D100" i="100" s="1"/>
  <c r="D112" i="100" a="1"/>
  <c r="D112" i="100" s="1"/>
  <c r="D119" i="100" a="1"/>
  <c r="D119" i="100" s="1"/>
  <c r="D131" i="100" a="1"/>
  <c r="D131" i="100" s="1"/>
  <c r="D134" i="100" a="1"/>
  <c r="D134" i="100" s="1"/>
  <c r="D40" i="10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D37" i="96" a="1"/>
  <c r="D37" i="96" s="1"/>
  <c r="D37" i="101"/>
  <c r="D46" i="101"/>
  <c r="D52" i="10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47" i="101"/>
  <c r="D3" i="100" a="1"/>
  <c r="D3" i="100" s="1"/>
  <c r="D110" i="101" s="1"/>
  <c r="D14" i="100" a="1"/>
  <c r="D14" i="100" s="1"/>
  <c r="D121" i="101" s="1"/>
  <c r="D18" i="100" a="1"/>
  <c r="D18" i="100" s="1"/>
  <c r="D125" i="101" s="1"/>
  <c r="D37" i="100" a="1"/>
  <c r="D37" i="100" s="1"/>
  <c r="D144"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54" i="100" a="1"/>
  <c r="D54" i="100" s="1"/>
  <c r="D161" i="101" s="1"/>
  <c r="D69" i="100" a="1"/>
  <c r="D69" i="100" s="1"/>
  <c r="D176" i="101" s="1"/>
  <c r="D73" i="100" a="1"/>
  <c r="D73" i="100" s="1"/>
  <c r="D180" i="101" s="1"/>
  <c r="D77" i="100" a="1"/>
  <c r="D77" i="100" s="1"/>
  <c r="D184" i="101" s="1"/>
  <c r="D30" i="101"/>
  <c r="I18" i="99"/>
  <c r="D20" i="100" a="1"/>
  <c r="D20" i="100" s="1"/>
  <c r="D127" i="101" s="1"/>
  <c r="D62" i="100" a="1"/>
  <c r="D62" i="100" s="1"/>
  <c r="D169" i="101" s="1"/>
  <c r="D66" i="100" a="1"/>
  <c r="D66" i="100" s="1"/>
  <c r="D173" i="101" s="1"/>
  <c r="E3" i="98"/>
  <c r="D22" i="101"/>
  <c r="D28" i="10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36" i="100" a="1"/>
  <c r="D36" i="100" s="1"/>
  <c r="D143" i="101" s="1"/>
  <c r="D47" i="100" a="1"/>
  <c r="D47" i="100" s="1"/>
  <c r="D154" i="101" s="1"/>
  <c r="D55" i="100" a="1"/>
  <c r="D55" i="100" s="1"/>
  <c r="D162" i="101" s="1"/>
  <c r="D59" i="100" a="1"/>
  <c r="D59" i="100" s="1"/>
  <c r="D166" i="101" s="1"/>
  <c r="D78" i="100" a="1"/>
  <c r="D78" i="100" s="1"/>
  <c r="D185" i="101" s="1"/>
  <c r="D13" i="100" a="1"/>
  <c r="D13" i="100" s="1"/>
  <c r="D120" i="101" s="1"/>
  <c r="D17" i="100" a="1"/>
  <c r="D17" i="100" s="1"/>
  <c r="D124" i="101" s="1"/>
  <c r="D44" i="100" a="1"/>
  <c r="D44" i="100" s="1"/>
  <c r="D151" i="101" s="1"/>
  <c r="D39" i="96" a="1"/>
  <c r="D39" i="96" s="1"/>
  <c r="N5" i="97"/>
  <c r="D6" i="100" a="1"/>
  <c r="D6" i="100" s="1"/>
  <c r="D113" i="101" s="1"/>
  <c r="D29" i="100" a="1"/>
  <c r="D29" i="100" s="1"/>
  <c r="D136" i="101" s="1"/>
  <c r="D60" i="100" a="1"/>
  <c r="D60" i="100" s="1"/>
  <c r="D167" i="101" s="1"/>
  <c r="D71" i="100" a="1"/>
  <c r="D71" i="100" s="1"/>
  <c r="D178" i="101" s="1"/>
  <c r="D79" i="100" a="1"/>
  <c r="D79" i="100" s="1"/>
  <c r="D186" i="101" s="1"/>
  <c r="D35" i="96" a="1"/>
  <c r="D35" i="96" s="1"/>
  <c r="D36" i="96" a="1"/>
  <c r="D36" i="96" s="1"/>
  <c r="D38" i="96" a="1"/>
  <c r="D38" i="96" s="1"/>
  <c r="D25" i="101"/>
  <c r="D24" i="101"/>
  <c r="D73" i="101"/>
  <c r="D72" i="101"/>
  <c r="D49" i="101"/>
  <c r="D48" i="101"/>
  <c r="D19" i="101"/>
  <c r="D18" i="101"/>
  <c r="J7" i="97"/>
  <c r="D4" i="101" s="1"/>
  <c r="I7" i="97"/>
  <c r="D3" i="98" s="1" a="1"/>
  <c r="D3" i="98" s="1"/>
  <c r="D3" i="101" s="1"/>
  <c r="D85" i="101"/>
  <c r="D84" i="101"/>
  <c r="D79" i="101"/>
  <c r="D5" i="101"/>
  <c r="D35" i="101"/>
  <c r="D41" i="101"/>
  <c r="D57" i="101"/>
  <c r="D89" i="101"/>
  <c r="D29" i="101"/>
  <c r="D51" i="101"/>
  <c r="D83" i="101"/>
  <c r="D99" i="101"/>
  <c r="D11" i="101"/>
  <c r="D23" i="101"/>
  <c r="D45" i="101"/>
  <c r="D61" i="101"/>
  <c r="D77" i="101"/>
  <c r="I13" i="99"/>
  <c r="D21" i="100" s="1" a="1"/>
  <c r="D21" i="100" s="1"/>
  <c r="D128" i="101" s="1"/>
  <c r="J13" i="99"/>
  <c r="D22" i="100" s="1" a="1"/>
  <c r="D22" i="100" s="1"/>
  <c r="D129" i="101" s="1"/>
  <c r="D15" i="101"/>
  <c r="D39" i="101"/>
  <c r="D63" i="101"/>
  <c r="D17" i="101"/>
  <c r="D55" i="101"/>
  <c r="D71" i="101"/>
  <c r="D87" i="101"/>
  <c r="D103" i="101"/>
  <c r="D12" i="101"/>
  <c r="D36" i="101"/>
  <c r="D60" i="101"/>
  <c r="D96" i="101"/>
  <c r="D6" i="101"/>
  <c r="D27" i="101"/>
  <c r="D65" i="101"/>
  <c r="D97" i="101"/>
  <c r="D9" i="101"/>
  <c r="D33" i="101"/>
  <c r="D21" i="101"/>
  <c r="D43" i="101"/>
  <c r="D59" i="101"/>
  <c r="D91" i="101"/>
  <c r="D107" i="101"/>
  <c r="D7" i="101"/>
  <c r="D31" i="101"/>
  <c r="D53" i="101"/>
  <c r="D69" i="101"/>
  <c r="D101" i="101"/>
  <c r="I19" i="99"/>
  <c r="D39" i="100" s="1" a="1"/>
  <c r="D39" i="100" s="1"/>
  <c r="D146" i="101" s="1"/>
  <c r="J19" i="99"/>
  <c r="D40" i="100" s="1" a="1"/>
  <c r="D40" i="100" s="1"/>
  <c r="D147" i="101" s="1"/>
  <c r="D28" i="100" a="1"/>
  <c r="D28" i="100" s="1"/>
  <c r="D135" i="101" s="1"/>
  <c r="D76" i="100" a="1"/>
  <c r="D76" i="100" s="1"/>
  <c r="D183"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2" i="100" a="1"/>
  <c r="D42" i="100" s="1"/>
  <c r="D149"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46" i="100" a="1"/>
  <c r="D46" i="100" s="1"/>
  <c r="D15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3" i="92"/>
  <c r="D112" i="93" s="1" a="1"/>
  <c r="D112" i="93" s="1"/>
  <c r="D112" i="104" s="1"/>
  <c r="H43" i="92"/>
  <c r="D111" i="93" s="1" a="1"/>
  <c r="D111" i="93" s="1"/>
  <c r="D111" i="104" s="1"/>
  <c r="I36" i="92"/>
  <c r="D91" i="93" s="1" a="1"/>
  <c r="D91" i="93" s="1"/>
  <c r="D91" i="104" s="1"/>
  <c r="H36" i="92"/>
  <c r="D90" i="93" s="1" a="1"/>
  <c r="D90" i="93" s="1"/>
  <c r="D90" i="104" s="1"/>
  <c r="I11" i="92"/>
  <c r="D16" i="93" s="1" a="1"/>
  <c r="D16" i="93" s="1"/>
  <c r="D16" i="104" s="1"/>
  <c r="H11" i="92"/>
  <c r="D15" i="93" s="1" a="1"/>
  <c r="D15" i="93" s="1"/>
  <c r="D15" i="104" s="1"/>
  <c r="I19" i="92"/>
  <c r="D40" i="93" s="1" a="1"/>
  <c r="D40" i="93" s="1"/>
  <c r="D40" i="104" s="1"/>
  <c r="H19" i="92"/>
  <c r="D39" i="93" s="1" a="1"/>
  <c r="D39" i="93" s="1"/>
  <c r="D39" i="104" s="1"/>
  <c r="I29" i="92"/>
  <c r="D70" i="93" s="1" a="1"/>
  <c r="D70" i="93" s="1"/>
  <c r="D70" i="104" s="1"/>
  <c r="H29" i="92"/>
  <c r="D69" i="93" s="1" a="1"/>
  <c r="D69" i="93" s="1"/>
  <c r="D69" i="104" s="1"/>
  <c r="H40" i="92"/>
  <c r="D102" i="93" s="1" a="1"/>
  <c r="D102" i="93" s="1"/>
  <c r="D102" i="104" s="1"/>
  <c r="H8" i="92"/>
  <c r="D6" i="93" s="1" a="1"/>
  <c r="D6" i="93" s="1"/>
  <c r="D6" i="104" s="1"/>
  <c r="H16" i="92"/>
  <c r="D30" i="93" s="1" a="1"/>
  <c r="D30" i="93" s="1"/>
  <c r="D30" i="104" s="1"/>
  <c r="H24" i="92"/>
  <c r="D54" i="93" s="1" a="1"/>
  <c r="D54" i="93" s="1"/>
  <c r="D54" i="104" s="1"/>
  <c r="H33" i="92"/>
  <c r="D81" i="93" s="1" a="1"/>
  <c r="D81" i="93" s="1"/>
  <c r="D81" i="104" s="1"/>
  <c r="H15" i="92"/>
  <c r="D27" i="93" s="1" a="1"/>
  <c r="D27" i="93" s="1"/>
  <c r="D27" i="104" s="1"/>
  <c r="H23" i="92"/>
  <c r="D51" i="93" s="1" a="1"/>
  <c r="D51" i="93" s="1"/>
  <c r="D51" i="104" s="1"/>
  <c r="H32" i="92"/>
  <c r="D78" i="93" s="1" a="1"/>
  <c r="D78" i="93" s="1"/>
  <c r="D78" i="104" s="1"/>
  <c r="C206" i="80" l="1"/>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9" i="77"/>
  <c r="B109" i="77"/>
  <c r="C108" i="77"/>
  <c r="B108" i="77"/>
  <c r="C107" i="77"/>
  <c r="B107" i="77"/>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N45" i="77"/>
  <c r="D106" i="81"/>
  <c r="N44" i="77"/>
  <c r="D102" i="81"/>
  <c r="N43" i="77"/>
  <c r="D100" i="81"/>
  <c r="N42" i="77"/>
  <c r="D96" i="81"/>
  <c r="N41" i="77"/>
  <c r="D94" i="81"/>
  <c r="N40" i="77"/>
  <c r="D90" i="81"/>
  <c r="N39" i="77"/>
  <c r="D88" i="81"/>
  <c r="N38" i="77"/>
  <c r="N37" i="77"/>
  <c r="D82" i="81"/>
  <c r="D81" i="81"/>
  <c r="D78" i="81"/>
  <c r="N36" i="77"/>
  <c r="D75" i="81"/>
  <c r="N35" i="77"/>
  <c r="N34" i="77"/>
  <c r="D70" i="81"/>
  <c r="N33" i="77"/>
  <c r="D66" i="81"/>
  <c r="N30" i="77"/>
  <c r="D64" i="81"/>
  <c r="N29" i="77"/>
  <c r="D61" i="81"/>
  <c r="N28" i="77"/>
  <c r="D58" i="81"/>
  <c r="N26" i="77"/>
  <c r="D54" i="81"/>
  <c r="N25" i="77"/>
  <c r="D52" i="81"/>
  <c r="N24" i="77"/>
  <c r="N23" i="77"/>
  <c r="N22" i="77"/>
  <c r="D42" i="81"/>
  <c r="N20" i="77"/>
  <c r="D40" i="81"/>
  <c r="N19" i="77"/>
  <c r="N18" i="77"/>
  <c r="D33" i="81"/>
  <c r="N17" i="77"/>
  <c r="N16" i="77"/>
  <c r="N15" i="77"/>
  <c r="D28" i="81"/>
  <c r="N14" i="77"/>
  <c r="N13" i="77"/>
  <c r="D19" i="81"/>
  <c r="N12" i="77"/>
  <c r="D16" i="81"/>
  <c r="D15" i="81"/>
  <c r="N11" i="77"/>
  <c r="N10" i="77"/>
  <c r="D9" i="81"/>
  <c r="N9" i="77"/>
  <c r="N8" i="77"/>
  <c r="K7" i="77"/>
  <c r="D5" i="78" s="1" a="1"/>
  <c r="D5" i="78" s="1"/>
  <c r="D5" i="81" s="1"/>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D42" i="10" a="1"/>
  <c r="D42" i="10" s="1"/>
  <c r="D43" i="10" a="1"/>
  <c r="D43" i="10" s="1"/>
  <c r="H7" i="71"/>
  <c r="H8" i="71"/>
  <c r="H9" i="71"/>
  <c r="H10" i="71"/>
  <c r="H11" i="71"/>
  <c r="H12" i="71"/>
  <c r="H13" i="71"/>
  <c r="J13" i="71" s="1"/>
  <c r="D22" i="72" s="1" a="1"/>
  <c r="D22" i="72" s="1"/>
  <c r="D129" i="73"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D118" i="72" s="1" a="1"/>
  <c r="D118" i="72" s="1"/>
  <c r="C117" i="72"/>
  <c r="B117" i="72"/>
  <c r="C116" i="72"/>
  <c r="B116" i="72"/>
  <c r="D115" i="72" a="1"/>
  <c r="D115" i="72" s="1"/>
  <c r="C115" i="72"/>
  <c r="B115" i="72"/>
  <c r="C114" i="72"/>
  <c r="B114" i="72"/>
  <c r="C113" i="72"/>
  <c r="B113" i="72"/>
  <c r="D113" i="72" s="1" a="1"/>
  <c r="D113" i="72" s="1"/>
  <c r="C112" i="72"/>
  <c r="B112" i="72"/>
  <c r="D112" i="72" s="1" a="1"/>
  <c r="D112" i="72" s="1"/>
  <c r="C111" i="72"/>
  <c r="B111" i="72"/>
  <c r="C110" i="72"/>
  <c r="D110" i="72" s="1" a="1"/>
  <c r="D110" i="72" s="1"/>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D193" i="73"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D199" i="73" s="1"/>
  <c r="H36" i="71"/>
  <c r="J36" i="71" s="1"/>
  <c r="N35" i="71"/>
  <c r="K35" i="71"/>
  <c r="J35" i="71"/>
  <c r="I35" i="71"/>
  <c r="H35" i="71"/>
  <c r="N34" i="71"/>
  <c r="K34" i="71"/>
  <c r="J34" i="71"/>
  <c r="D85" i="72" s="1" a="1"/>
  <c r="D85" i="72" s="1"/>
  <c r="D192" i="73" s="1"/>
  <c r="H34" i="71"/>
  <c r="I34" i="71" s="1"/>
  <c r="D84" i="72" s="1" a="1"/>
  <c r="D84" i="72" s="1"/>
  <c r="D191" i="73" s="1"/>
  <c r="N33" i="71"/>
  <c r="K33" i="71"/>
  <c r="D83" i="72" s="1" a="1"/>
  <c r="D83" i="72" s="1"/>
  <c r="D190" i="73" s="1"/>
  <c r="J33" i="71"/>
  <c r="I33" i="71"/>
  <c r="H33" i="71"/>
  <c r="K32" i="71"/>
  <c r="I32" i="71"/>
  <c r="H32" i="71"/>
  <c r="J32" i="71" s="1"/>
  <c r="N32" i="71"/>
  <c r="K31" i="71"/>
  <c r="D77" i="72" s="1" a="1"/>
  <c r="D77" i="72" s="1"/>
  <c r="D184" i="73" s="1"/>
  <c r="H31" i="71"/>
  <c r="J31" i="71" s="1"/>
  <c r="D76" i="72" s="1" a="1"/>
  <c r="D76" i="72" s="1"/>
  <c r="D183" i="73" s="1"/>
  <c r="N31" i="71"/>
  <c r="K30" i="71"/>
  <c r="D74" i="72" s="1" a="1"/>
  <c r="D74" i="72" s="1"/>
  <c r="D181" i="73" s="1"/>
  <c r="J30" i="71"/>
  <c r="I30" i="71"/>
  <c r="H30" i="71"/>
  <c r="N30" i="71"/>
  <c r="K29" i="71"/>
  <c r="I29" i="71"/>
  <c r="D69" i="72" s="1" a="1"/>
  <c r="D69" i="72" s="1"/>
  <c r="D176" i="73" s="1"/>
  <c r="H29" i="71"/>
  <c r="J29" i="71" s="1"/>
  <c r="N29" i="71"/>
  <c r="N28" i="71"/>
  <c r="K28" i="71"/>
  <c r="D68" i="72" s="1" a="1"/>
  <c r="D68" i="72" s="1"/>
  <c r="D175" i="73" s="1"/>
  <c r="H28" i="71"/>
  <c r="J28" i="71" s="1"/>
  <c r="D67" i="72" s="1" a="1"/>
  <c r="D67" i="72" s="1"/>
  <c r="D174" i="73" s="1"/>
  <c r="K27" i="71"/>
  <c r="J27" i="71"/>
  <c r="I27" i="71"/>
  <c r="H27" i="71"/>
  <c r="N27" i="71"/>
  <c r="K26" i="71"/>
  <c r="J26" i="71"/>
  <c r="D61" i="72" s="1" a="1"/>
  <c r="D61" i="72" s="1"/>
  <c r="D168" i="73" s="1"/>
  <c r="I26" i="71"/>
  <c r="D60" i="72" s="1" a="1"/>
  <c r="D60" i="72" s="1"/>
  <c r="D167" i="73" s="1"/>
  <c r="H26" i="71"/>
  <c r="N26" i="71"/>
  <c r="K25" i="71"/>
  <c r="J25" i="71"/>
  <c r="D58" i="72" s="1" a="1"/>
  <c r="D58" i="72" s="1"/>
  <c r="D165" i="73" s="1"/>
  <c r="I25" i="71"/>
  <c r="H25" i="71"/>
  <c r="N25" i="71"/>
  <c r="K24" i="71"/>
  <c r="I24" i="71"/>
  <c r="H24" i="71"/>
  <c r="J24" i="71" s="1"/>
  <c r="N24" i="71"/>
  <c r="K23" i="71"/>
  <c r="D53" i="72" s="1" a="1"/>
  <c r="D53" i="72" s="1"/>
  <c r="D160" i="73" s="1"/>
  <c r="H23" i="71"/>
  <c r="J23" i="71" s="1"/>
  <c r="D52" i="72" s="1" a="1"/>
  <c r="D52" i="72" s="1"/>
  <c r="D159" i="73" s="1"/>
  <c r="N23" i="71"/>
  <c r="K22" i="71"/>
  <c r="H22" i="71"/>
  <c r="N22" i="71"/>
  <c r="N21" i="71"/>
  <c r="K21" i="71"/>
  <c r="H21" i="71"/>
  <c r="J21" i="71" s="1"/>
  <c r="N20" i="71"/>
  <c r="K20" i="71"/>
  <c r="D44" i="72" s="1" a="1"/>
  <c r="D44" i="72" s="1"/>
  <c r="D151" i="73" s="1"/>
  <c r="H20" i="71"/>
  <c r="J20" i="71" s="1"/>
  <c r="K19" i="71"/>
  <c r="H19" i="71"/>
  <c r="N19" i="71"/>
  <c r="N18" i="71"/>
  <c r="K18" i="71"/>
  <c r="H18" i="71"/>
  <c r="K17" i="71"/>
  <c r="D35" i="72" s="1" a="1"/>
  <c r="D35" i="72" s="1"/>
  <c r="D142" i="73" s="1"/>
  <c r="H17" i="71"/>
  <c r="N17" i="71"/>
  <c r="K16" i="71"/>
  <c r="D32" i="72" s="1" a="1"/>
  <c r="D32" i="72" s="1"/>
  <c r="D139" i="73" s="1"/>
  <c r="I16" i="71"/>
  <c r="D30" i="72" s="1" a="1"/>
  <c r="D30" i="72" s="1"/>
  <c r="D137" i="73" s="1"/>
  <c r="N16" i="71"/>
  <c r="J16" i="71"/>
  <c r="D31" i="72" s="1" a="1"/>
  <c r="D31" i="72" s="1"/>
  <c r="D138" i="73" s="1"/>
  <c r="K15" i="71"/>
  <c r="D29" i="72" s="1" a="1"/>
  <c r="D29" i="72" s="1"/>
  <c r="D136" i="73" s="1"/>
  <c r="J15" i="71"/>
  <c r="D28" i="72" s="1" a="1"/>
  <c r="D28" i="72" s="1"/>
  <c r="D135" i="73" s="1"/>
  <c r="N15" i="71"/>
  <c r="K14" i="71"/>
  <c r="D26" i="72" s="1" a="1"/>
  <c r="D26" i="72" s="1"/>
  <c r="D133" i="73" s="1"/>
  <c r="N14" i="71"/>
  <c r="K13" i="71"/>
  <c r="D23" i="72" s="1" a="1"/>
  <c r="D23" i="72" s="1"/>
  <c r="D130" i="73" s="1"/>
  <c r="N13" i="71"/>
  <c r="I13" i="71"/>
  <c r="D21" i="72" s="1" a="1"/>
  <c r="D21" i="72" s="1"/>
  <c r="D128" i="73" s="1"/>
  <c r="N12" i="71"/>
  <c r="K12" i="71"/>
  <c r="D20" i="72" s="1" a="1"/>
  <c r="D20" i="72" s="1"/>
  <c r="D127" i="73" s="1"/>
  <c r="K11" i="71"/>
  <c r="D17" i="72" s="1" a="1"/>
  <c r="D17" i="72" s="1"/>
  <c r="D124" i="73" s="1"/>
  <c r="J11" i="71"/>
  <c r="D16" i="72" s="1" a="1"/>
  <c r="D16" i="72" s="1"/>
  <c r="D123" i="73" s="1"/>
  <c r="N11" i="71"/>
  <c r="N10" i="71"/>
  <c r="K10" i="71"/>
  <c r="D14" i="72" s="1" a="1"/>
  <c r="D14" i="72" s="1"/>
  <c r="D121" i="73" s="1"/>
  <c r="K9" i="71"/>
  <c r="D11" i="72" s="1" a="1"/>
  <c r="D11" i="72" s="1"/>
  <c r="D118" i="73" s="1"/>
  <c r="J9" i="71"/>
  <c r="D10" i="72" s="1" a="1"/>
  <c r="D10" i="72" s="1"/>
  <c r="D117" i="73" s="1"/>
  <c r="N9" i="71"/>
  <c r="B9" i="71"/>
  <c r="I9" i="71" s="1"/>
  <c r="D9" i="72" s="1" a="1"/>
  <c r="D9" i="72" s="1"/>
  <c r="D116" i="73" s="1"/>
  <c r="K8" i="71"/>
  <c r="D8" i="72" s="1" a="1"/>
  <c r="D8" i="72" s="1"/>
  <c r="D115" i="73" s="1"/>
  <c r="J8" i="71"/>
  <c r="D7" i="72" s="1" a="1"/>
  <c r="D7" i="72" s="1"/>
  <c r="D114" i="73" s="1"/>
  <c r="C8" i="71"/>
  <c r="N8" i="71" s="1"/>
  <c r="B8" i="71"/>
  <c r="I8" i="71" s="1"/>
  <c r="E3" i="72" s="1"/>
  <c r="K7" i="71"/>
  <c r="D5" i="72" s="1" a="1"/>
  <c r="D5" i="72" s="1"/>
  <c r="D112" i="73" s="1"/>
  <c r="J7" i="71"/>
  <c r="D4" i="72" s="1" a="1"/>
  <c r="D4" i="72" s="1"/>
  <c r="D111" i="73" s="1"/>
  <c r="C7" i="71"/>
  <c r="B7" i="71"/>
  <c r="I7" i="71" s="1"/>
  <c r="N6" i="71"/>
  <c r="N4" i="71"/>
  <c r="C4" i="71"/>
  <c r="N3" i="71"/>
  <c r="C3" i="71"/>
  <c r="N2" i="71"/>
  <c r="C2" i="71"/>
  <c r="N5" i="71" s="1"/>
  <c r="C1" i="71"/>
  <c r="D159" i="32" a="1"/>
  <c r="D159" i="32" s="1"/>
  <c r="D160" i="32" a="1"/>
  <c r="D160" i="32" s="1"/>
  <c r="D161" i="32" a="1"/>
  <c r="D161" i="32" s="1"/>
  <c r="D162" i="32" a="1"/>
  <c r="D162" i="32" s="1"/>
  <c r="D163" i="32" a="1"/>
  <c r="D163" i="32" s="1"/>
  <c r="D164" i="32" a="1"/>
  <c r="D164" i="32" s="1"/>
  <c r="D165" i="32" a="1"/>
  <c r="D165" i="32" s="1"/>
  <c r="D166" i="32" a="1"/>
  <c r="D166" i="32" s="1"/>
  <c r="D167" i="32" a="1"/>
  <c r="D167" i="32" s="1"/>
  <c r="D168" i="32" a="1"/>
  <c r="D168" i="32" s="1"/>
  <c r="D169" i="32" a="1"/>
  <c r="D169" i="32" s="1"/>
  <c r="D170" i="32" a="1"/>
  <c r="D170" i="32" s="1"/>
  <c r="D171" i="32" a="1"/>
  <c r="D171" i="32" s="1"/>
  <c r="D172" i="32" a="1"/>
  <c r="D172" i="32" s="1"/>
  <c r="D173" i="32" a="1"/>
  <c r="D173" i="32" s="1"/>
  <c r="D174" i="32" a="1"/>
  <c r="D174" i="32" s="1"/>
  <c r="D175" i="32" a="1"/>
  <c r="D175" i="32" s="1"/>
  <c r="D176" i="32" a="1"/>
  <c r="D176" i="32" s="1"/>
  <c r="D177" i="32" a="1"/>
  <c r="D177" i="32" s="1"/>
  <c r="D178" i="32" a="1"/>
  <c r="D178" i="32" s="1"/>
  <c r="D179" i="32" a="1"/>
  <c r="D179" i="32" s="1"/>
  <c r="D180" i="32" a="1"/>
  <c r="D180" i="32" s="1"/>
  <c r="D181" i="32" a="1"/>
  <c r="D181" i="32" s="1"/>
  <c r="D182" i="32" a="1"/>
  <c r="D182" i="32" s="1"/>
  <c r="D183" i="32" a="1"/>
  <c r="D183" i="32" s="1"/>
  <c r="D184" i="32" a="1"/>
  <c r="D184" i="32" s="1"/>
  <c r="D185" i="32" a="1"/>
  <c r="D185" i="32" s="1"/>
  <c r="D186" i="32" a="1"/>
  <c r="D186" i="32" s="1"/>
  <c r="D187" i="32" a="1"/>
  <c r="D187" i="32" s="1"/>
  <c r="D188" i="32" a="1"/>
  <c r="D188" i="32" s="1"/>
  <c r="D189" i="32" a="1"/>
  <c r="D189" i="32" s="1"/>
  <c r="D190" i="32" a="1"/>
  <c r="D190" i="32" s="1"/>
  <c r="D191" i="32" a="1"/>
  <c r="D191" i="32" s="1"/>
  <c r="D192" i="32" a="1"/>
  <c r="D192" i="32" s="1"/>
  <c r="D193" i="32" a="1"/>
  <c r="D193" i="32" s="1"/>
  <c r="D194" i="32" a="1"/>
  <c r="D194" i="32" s="1"/>
  <c r="D195" i="32" a="1"/>
  <c r="D195" i="32" s="1"/>
  <c r="D196" i="32" a="1"/>
  <c r="D196" i="32" s="1"/>
  <c r="D197" i="32" a="1"/>
  <c r="D197" i="32" s="1"/>
  <c r="D198" i="32" a="1"/>
  <c r="D198" i="32" s="1"/>
  <c r="D199" i="32" a="1"/>
  <c r="D199" i="32" s="1"/>
  <c r="D200" i="32" a="1"/>
  <c r="D200" i="32" s="1"/>
  <c r="D201" i="32" a="1"/>
  <c r="D201" i="32" s="1"/>
  <c r="D202" i="32" a="1"/>
  <c r="D202" i="32" s="1"/>
  <c r="D203" i="32" a="1"/>
  <c r="D203" i="32" s="1"/>
  <c r="D204" i="32" a="1"/>
  <c r="D204" i="32" s="1"/>
  <c r="D205" i="32" a="1"/>
  <c r="D205" i="32" s="1"/>
  <c r="D206" i="32" a="1"/>
  <c r="D206" i="32" s="1"/>
  <c r="D207" i="32" a="1"/>
  <c r="D207" i="32" s="1"/>
  <c r="D208" i="32" a="1"/>
  <c r="D208" i="32" s="1"/>
  <c r="D209" i="32" a="1"/>
  <c r="D209" i="32" s="1"/>
  <c r="D210" i="32" a="1"/>
  <c r="D210" i="32" s="1"/>
  <c r="D211" i="32" a="1"/>
  <c r="D211" i="32" s="1"/>
  <c r="D212" i="32" a="1"/>
  <c r="D212" i="32" s="1"/>
  <c r="D213" i="32" a="1"/>
  <c r="D213" i="32" s="1"/>
  <c r="D214" i="32" a="1"/>
  <c r="D214" i="32" s="1"/>
  <c r="D215" i="32" a="1"/>
  <c r="D215" i="32" s="1"/>
  <c r="D216" i="32" a="1"/>
  <c r="D216" i="32" s="1"/>
  <c r="D217" i="32" a="1"/>
  <c r="D217" i="32" s="1"/>
  <c r="D218" i="32" a="1"/>
  <c r="D218" i="32" s="1"/>
  <c r="D219" i="32" a="1"/>
  <c r="D219" i="32" s="1"/>
  <c r="D220" i="32" a="1"/>
  <c r="D220" i="32" s="1"/>
  <c r="D221" i="32" a="1"/>
  <c r="D221" i="32" s="1"/>
  <c r="D222" i="32" a="1"/>
  <c r="D222" i="32" s="1"/>
  <c r="D223" i="32" a="1"/>
  <c r="D223" i="32" s="1"/>
  <c r="D224" i="32" a="1"/>
  <c r="D224" i="32" s="1"/>
  <c r="D225" i="32" a="1"/>
  <c r="D225" i="32" s="1"/>
  <c r="D226" i="32" a="1"/>
  <c r="D226" i="32" s="1"/>
  <c r="D227" i="32" a="1"/>
  <c r="D227" i="32" s="1"/>
  <c r="D228" i="32" a="1"/>
  <c r="D228" i="32" s="1"/>
  <c r="D229" i="32" a="1"/>
  <c r="D229" i="32" s="1"/>
  <c r="D230" i="32" a="1"/>
  <c r="D230" i="32" s="1"/>
  <c r="D231" i="32" a="1"/>
  <c r="D231" i="32" s="1"/>
  <c r="D232" i="32" a="1"/>
  <c r="D232" i="32" s="1"/>
  <c r="D233" i="32" a="1"/>
  <c r="D233" i="32" s="1"/>
  <c r="D234" i="32" a="1"/>
  <c r="D234" i="32" s="1"/>
  <c r="D235" i="32" a="1"/>
  <c r="D235" i="32" s="1"/>
  <c r="D236" i="32" a="1"/>
  <c r="D236" i="32" s="1"/>
  <c r="D237" i="32" a="1"/>
  <c r="D237" i="32" s="1"/>
  <c r="D238" i="32" a="1"/>
  <c r="D238" i="32" s="1"/>
  <c r="D239" i="32" a="1"/>
  <c r="D239" i="32" s="1"/>
  <c r="D240" i="32" a="1"/>
  <c r="D240" i="32" s="1"/>
  <c r="D241" i="32" a="1"/>
  <c r="D241" i="32" s="1"/>
  <c r="D242" i="32" a="1"/>
  <c r="D242" i="32" s="1"/>
  <c r="D243" i="32" a="1"/>
  <c r="D243" i="32" s="1"/>
  <c r="D244" i="32" a="1"/>
  <c r="D244" i="32" s="1"/>
  <c r="D245" i="32" a="1"/>
  <c r="D245" i="32" s="1"/>
  <c r="D246" i="32" a="1"/>
  <c r="D246" i="32" s="1"/>
  <c r="D247" i="32" a="1"/>
  <c r="D247" i="32" s="1"/>
  <c r="D248" i="32" a="1"/>
  <c r="D248" i="32" s="1"/>
  <c r="D249" i="32" a="1"/>
  <c r="D249" i="32" s="1"/>
  <c r="D250" i="32" a="1"/>
  <c r="D250" i="32" s="1"/>
  <c r="D251" i="32" a="1"/>
  <c r="D251" i="32" s="1"/>
  <c r="D252" i="32" a="1"/>
  <c r="D252" i="32" s="1"/>
  <c r="D253" i="32" a="1"/>
  <c r="D253" i="32" s="1"/>
  <c r="D254" i="32" a="1"/>
  <c r="D254" i="32" s="1"/>
  <c r="D255" i="32" a="1"/>
  <c r="D255" i="32" s="1"/>
  <c r="D256" i="32" a="1"/>
  <c r="D256" i="32" s="1"/>
  <c r="D257" i="32" a="1"/>
  <c r="D257" i="32" s="1"/>
  <c r="D258" i="32" a="1"/>
  <c r="D258" i="32" s="1"/>
  <c r="D259" i="32" a="1"/>
  <c r="D259" i="32" s="1"/>
  <c r="D260" i="32" a="1"/>
  <c r="D260" i="32" s="1"/>
  <c r="D261" i="32" a="1"/>
  <c r="D261" i="32" s="1"/>
  <c r="D262" i="32" a="1"/>
  <c r="D262" i="32" s="1"/>
  <c r="D263" i="32" a="1"/>
  <c r="D263" i="32" s="1"/>
  <c r="D264" i="32" a="1"/>
  <c r="D264" i="32" s="1"/>
  <c r="D265" i="32" a="1"/>
  <c r="D265" i="32" s="1"/>
  <c r="D266" i="32" a="1"/>
  <c r="D266" i="32" s="1"/>
  <c r="D267" i="32" a="1"/>
  <c r="D267" i="32" s="1"/>
  <c r="D268" i="32" a="1"/>
  <c r="D268" i="32" s="1"/>
  <c r="D269" i="32" a="1"/>
  <c r="D269" i="32" s="1"/>
  <c r="D270" i="32" a="1"/>
  <c r="D270" i="32" s="1"/>
  <c r="D271" i="32" a="1"/>
  <c r="D271" i="32" s="1"/>
  <c r="D272" i="32" a="1"/>
  <c r="D272" i="32" s="1"/>
  <c r="D273" i="32" a="1"/>
  <c r="D273" i="32" s="1"/>
  <c r="D274" i="32" a="1"/>
  <c r="D274" i="32" s="1"/>
  <c r="D275" i="32" a="1"/>
  <c r="D275" i="32" s="1"/>
  <c r="D276" i="32" a="1"/>
  <c r="D276" i="32" s="1"/>
  <c r="D277" i="32" a="1"/>
  <c r="D277" i="32" s="1"/>
  <c r="D278" i="32" a="1"/>
  <c r="D278" i="32" s="1"/>
  <c r="D279" i="32" a="1"/>
  <c r="D279" i="32" s="1"/>
  <c r="D280" i="32" a="1"/>
  <c r="D280" i="32" s="1"/>
  <c r="D281" i="32" a="1"/>
  <c r="D281" i="32" s="1"/>
  <c r="D282" i="32" a="1"/>
  <c r="D282" i="32" s="1"/>
  <c r="D283" i="32" a="1"/>
  <c r="D283" i="32" s="1"/>
  <c r="D284" i="32" a="1"/>
  <c r="D284" i="32" s="1"/>
  <c r="D285" i="32" a="1"/>
  <c r="D285" i="32" s="1"/>
  <c r="D286" i="32" a="1"/>
  <c r="D286" i="32" s="1"/>
  <c r="D287" i="32" a="1"/>
  <c r="D287" i="32" s="1"/>
  <c r="D288" i="32" a="1"/>
  <c r="D288" i="32" s="1"/>
  <c r="D289" i="32" a="1"/>
  <c r="D289" i="32" s="1"/>
  <c r="D290" i="32" a="1"/>
  <c r="D290" i="32" s="1"/>
  <c r="D291" i="32" a="1"/>
  <c r="D291" i="32" s="1"/>
  <c r="D292" i="32" a="1"/>
  <c r="D292" i="32" s="1"/>
  <c r="D293" i="32" a="1"/>
  <c r="D293" i="32" s="1"/>
  <c r="D294" i="32" a="1"/>
  <c r="D294" i="32" s="1"/>
  <c r="D295" i="32" a="1"/>
  <c r="D295" i="32" s="1"/>
  <c r="D296" i="32" a="1"/>
  <c r="D296" i="32" s="1"/>
  <c r="D297" i="32" a="1"/>
  <c r="D297" i="32" s="1"/>
  <c r="D298" i="32" a="1"/>
  <c r="D298" i="32" s="1"/>
  <c r="D299" i="32" a="1"/>
  <c r="D299" i="32" s="1"/>
  <c r="D300" i="32" a="1"/>
  <c r="D300" i="32" s="1"/>
  <c r="D301" i="32" a="1"/>
  <c r="D301" i="32" s="1"/>
  <c r="D302" i="32" a="1"/>
  <c r="D302" i="32" s="1"/>
  <c r="D303" i="32" a="1"/>
  <c r="D303" i="32" s="1"/>
  <c r="D304" i="32" a="1"/>
  <c r="D304" i="32" s="1"/>
  <c r="D305" i="32" a="1"/>
  <c r="D305" i="32" s="1"/>
  <c r="D306" i="32" a="1"/>
  <c r="D306" i="32" s="1"/>
  <c r="D307" i="32" a="1"/>
  <c r="D307" i="32" s="1"/>
  <c r="D308" i="32" a="1"/>
  <c r="D308" i="32" s="1"/>
  <c r="D309" i="32" a="1"/>
  <c r="D309" i="32" s="1"/>
  <c r="D310" i="32" a="1"/>
  <c r="D310" i="32" s="1"/>
  <c r="D311" i="32" a="1"/>
  <c r="D311" i="32" s="1"/>
  <c r="D312" i="32" a="1"/>
  <c r="D312" i="32" s="1"/>
  <c r="D313" i="32" a="1"/>
  <c r="D313" i="32" s="1"/>
  <c r="D314" i="32" a="1"/>
  <c r="D314" i="32" s="1"/>
  <c r="D315" i="32" a="1"/>
  <c r="D315" i="32" s="1"/>
  <c r="D316" i="32" a="1"/>
  <c r="D316" i="32" s="1"/>
  <c r="D317" i="32" a="1"/>
  <c r="D317" i="32" s="1"/>
  <c r="D318" i="32" a="1"/>
  <c r="D318" i="32" s="1"/>
  <c r="D319" i="32" a="1"/>
  <c r="D319" i="32" s="1"/>
  <c r="D320" i="32" a="1"/>
  <c r="D320" i="32" s="1"/>
  <c r="D321" i="32" a="1"/>
  <c r="D321" i="32" s="1"/>
  <c r="D322" i="32" a="1"/>
  <c r="D322" i="32" s="1"/>
  <c r="D323" i="32" a="1"/>
  <c r="D323" i="32" s="1"/>
  <c r="D324" i="32" a="1"/>
  <c r="D324" i="32" s="1"/>
  <c r="D325" i="32" a="1"/>
  <c r="D325" i="32" s="1"/>
  <c r="D326" i="32" a="1"/>
  <c r="D326" i="32" s="1"/>
  <c r="D327" i="32" a="1"/>
  <c r="D327" i="32" s="1"/>
  <c r="D328" i="32" a="1"/>
  <c r="D328" i="32" s="1"/>
  <c r="D329" i="32" a="1"/>
  <c r="D329" i="32" s="1"/>
  <c r="D330" i="32" a="1"/>
  <c r="D330" i="32" s="1"/>
  <c r="D331" i="32" a="1"/>
  <c r="D331" i="32" s="1"/>
  <c r="D332" i="32" a="1"/>
  <c r="D332" i="32" s="1"/>
  <c r="D333" i="32" a="1"/>
  <c r="D333" i="32" s="1"/>
  <c r="D334" i="32" a="1"/>
  <c r="D334" i="32" s="1"/>
  <c r="D335" i="32" a="1"/>
  <c r="D335" i="32" s="1"/>
  <c r="D336" i="32" a="1"/>
  <c r="D336" i="32" s="1"/>
  <c r="D337" i="32" a="1"/>
  <c r="D337" i="32" s="1"/>
  <c r="D338" i="32" a="1"/>
  <c r="D338" i="32" s="1"/>
  <c r="D339" i="32" a="1"/>
  <c r="D339" i="32" s="1"/>
  <c r="D340" i="32" a="1"/>
  <c r="D340" i="32" s="1"/>
  <c r="D341" i="32" a="1"/>
  <c r="D341" i="32" s="1"/>
  <c r="D342" i="32" a="1"/>
  <c r="D342" i="32" s="1"/>
  <c r="D343" i="32" a="1"/>
  <c r="D343" i="32" s="1"/>
  <c r="D344" i="32" a="1"/>
  <c r="D344" i="32" s="1"/>
  <c r="D345" i="32" a="1"/>
  <c r="D345" i="32" s="1"/>
  <c r="I35" i="79" l="1"/>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95" i="73" s="1"/>
  <c r="D104" i="72" a="1"/>
  <c r="D104" i="72" s="1"/>
  <c r="D81" i="72" a="1"/>
  <c r="D81" i="72" s="1"/>
  <c r="D188" i="73" s="1"/>
  <c r="D89" i="72" a="1"/>
  <c r="D89" i="72" s="1"/>
  <c r="D196" i="73" s="1"/>
  <c r="D97" i="72" a="1"/>
  <c r="D97" i="72" s="1"/>
  <c r="D204" i="73" s="1"/>
  <c r="D82" i="72" a="1"/>
  <c r="D82" i="72" s="1"/>
  <c r="D189" i="73" s="1"/>
  <c r="D47" i="72" a="1"/>
  <c r="D47" i="72" s="1"/>
  <c r="D154" i="73" s="1"/>
  <c r="D59" i="72" a="1"/>
  <c r="D59" i="72" s="1"/>
  <c r="D166" i="73" s="1"/>
  <c r="D55" i="72" a="1"/>
  <c r="D55" i="72" s="1"/>
  <c r="D162" i="73" s="1"/>
  <c r="D71" i="72" a="1"/>
  <c r="D71" i="72" s="1"/>
  <c r="D178" i="73" s="1"/>
  <c r="J17" i="71"/>
  <c r="D34" i="72" s="1" a="1"/>
  <c r="D34" i="72" s="1"/>
  <c r="D141" i="73" s="1"/>
  <c r="I22" i="71"/>
  <c r="D48" i="72" s="1" a="1"/>
  <c r="D48" i="72" s="1"/>
  <c r="D155" i="73" s="1"/>
  <c r="D56" i="72" a="1"/>
  <c r="D56" i="72" s="1"/>
  <c r="D163" i="73" s="1"/>
  <c r="D64" i="72" a="1"/>
  <c r="D64" i="72" s="1"/>
  <c r="D171" i="73" s="1"/>
  <c r="J14" i="71"/>
  <c r="D25" i="72" s="1" a="1"/>
  <c r="D25" i="72" s="1"/>
  <c r="D132" i="73" s="1"/>
  <c r="J19" i="71"/>
  <c r="D40" i="72" s="1" a="1"/>
  <c r="D40" i="72" s="1"/>
  <c r="D147" i="73" s="1"/>
  <c r="D80" i="72" a="1"/>
  <c r="D80" i="72" s="1"/>
  <c r="D187" i="73" s="1"/>
  <c r="D41" i="72" a="1"/>
  <c r="D41" i="72" s="1"/>
  <c r="D148" i="73" s="1"/>
  <c r="D57" i="72" a="1"/>
  <c r="D57" i="72" s="1"/>
  <c r="D164" i="73" s="1"/>
  <c r="D65" i="72" a="1"/>
  <c r="D65" i="72" s="1"/>
  <c r="D172" i="73" s="1"/>
  <c r="D73" i="72" a="1"/>
  <c r="D73" i="72" s="1"/>
  <c r="D180" i="73" s="1"/>
  <c r="J12" i="71"/>
  <c r="D19" i="72" s="1" a="1"/>
  <c r="D19" i="72" s="1"/>
  <c r="D126" i="73" s="1"/>
  <c r="D38" i="72" a="1"/>
  <c r="D38" i="72" s="1"/>
  <c r="D145" i="73" s="1"/>
  <c r="D50" i="72" a="1"/>
  <c r="D50" i="72" s="1"/>
  <c r="D157" i="73" s="1"/>
  <c r="D62" i="72" a="1"/>
  <c r="D62" i="72" s="1"/>
  <c r="D169" i="73"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D4" i="78" s="1" a="1"/>
  <c r="D4" i="78" s="1"/>
  <c r="D4" i="81" s="1"/>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61" i="73" s="1"/>
  <c r="D105" i="72" a="1"/>
  <c r="D105" i="72" s="1"/>
  <c r="D120" i="72" a="1"/>
  <c r="D120" i="72" s="1"/>
  <c r="D63" i="72" a="1"/>
  <c r="D63" i="72" s="1"/>
  <c r="D170" i="73" s="1"/>
  <c r="D78" i="72" a="1"/>
  <c r="D78" i="72" s="1"/>
  <c r="D185" i="73" s="1"/>
  <c r="D102" i="72" a="1"/>
  <c r="D102" i="72" s="1"/>
  <c r="D72" i="72" a="1"/>
  <c r="D72" i="72" s="1"/>
  <c r="D179" i="73" s="1"/>
  <c r="D114" i="72" a="1"/>
  <c r="D114" i="72" s="1"/>
  <c r="D87" i="72" a="1"/>
  <c r="D87" i="72" s="1"/>
  <c r="D194" i="73" s="1"/>
  <c r="D96" i="72" a="1"/>
  <c r="D96" i="72" s="1"/>
  <c r="D203" i="73" s="1"/>
  <c r="I21" i="71"/>
  <c r="D45" i="72" s="1" a="1"/>
  <c r="D45" i="72" s="1"/>
  <c r="D152" i="73" s="1"/>
  <c r="I14" i="71"/>
  <c r="D24" i="72" s="1" a="1"/>
  <c r="D24" i="72" s="1"/>
  <c r="D131" i="73" s="1"/>
  <c r="D3" i="72" a="1"/>
  <c r="D3" i="72" s="1"/>
  <c r="D110" i="73" s="1"/>
  <c r="J18" i="71"/>
  <c r="D37" i="72" s="1" a="1"/>
  <c r="D37" i="72" s="1"/>
  <c r="D144" i="73" s="1"/>
  <c r="J22" i="71"/>
  <c r="D49" i="72" s="1" a="1"/>
  <c r="D49" i="72" s="1"/>
  <c r="D156" i="73" s="1"/>
  <c r="J10" i="71"/>
  <c r="D13" i="72" s="1" a="1"/>
  <c r="D13" i="72" s="1"/>
  <c r="D120" i="73" s="1"/>
  <c r="I11" i="71"/>
  <c r="D15" i="72" s="1" a="1"/>
  <c r="D15" i="72" s="1"/>
  <c r="D122" i="73" s="1"/>
  <c r="I17" i="71"/>
  <c r="D33" i="72" s="1" a="1"/>
  <c r="D33" i="72" s="1"/>
  <c r="D140" i="73" s="1"/>
  <c r="I19" i="71"/>
  <c r="D39" i="72" s="1" a="1"/>
  <c r="D39" i="72" s="1"/>
  <c r="D146" i="73" s="1"/>
  <c r="D91" i="72" a="1"/>
  <c r="D91" i="72" s="1"/>
  <c r="D198" i="73" s="1"/>
  <c r="D79" i="72" a="1"/>
  <c r="D79" i="72" s="1"/>
  <c r="D186" i="73" s="1"/>
  <c r="D103" i="72" a="1"/>
  <c r="D103" i="72" s="1"/>
  <c r="D111" i="72" a="1"/>
  <c r="D111" i="72" s="1"/>
  <c r="D94" i="72" a="1"/>
  <c r="D94" i="72" s="1"/>
  <c r="D201" i="73" s="1"/>
  <c r="D70" i="72" a="1"/>
  <c r="D70" i="72" s="1"/>
  <c r="D177" i="73" s="1"/>
  <c r="D46" i="72" a="1"/>
  <c r="D46" i="72" s="1"/>
  <c r="D153" i="73" s="1"/>
  <c r="D43" i="72" a="1"/>
  <c r="D43" i="72" s="1"/>
  <c r="D150" i="73" s="1"/>
  <c r="I15" i="71"/>
  <c r="D27" i="72" s="1" a="1"/>
  <c r="D27" i="72" s="1"/>
  <c r="D134" i="73" s="1"/>
  <c r="I23" i="71"/>
  <c r="D51" i="72" s="1" a="1"/>
  <c r="D51" i="72" s="1"/>
  <c r="D158" i="73" s="1"/>
  <c r="I31" i="71"/>
  <c r="D75" i="72" s="1" a="1"/>
  <c r="D75" i="72" s="1"/>
  <c r="D182" i="73" s="1"/>
  <c r="I37" i="71"/>
  <c r="D93" i="72" s="1" a="1"/>
  <c r="D93" i="72" s="1"/>
  <c r="D200" i="73" s="1"/>
  <c r="I47" i="71"/>
  <c r="D123" i="72" s="1" a="1"/>
  <c r="D123" i="72" s="1"/>
  <c r="D6" i="72" a="1"/>
  <c r="D6" i="72" s="1"/>
  <c r="D113" i="73" s="1"/>
  <c r="I12" i="71"/>
  <c r="D18" i="72" s="1" a="1"/>
  <c r="D18" i="72" s="1"/>
  <c r="D125" i="73" s="1"/>
  <c r="I20" i="71"/>
  <c r="D42" i="72" s="1" a="1"/>
  <c r="D42" i="72" s="1"/>
  <c r="D149" i="73" s="1"/>
  <c r="I28" i="71"/>
  <c r="D66" i="72" s="1" a="1"/>
  <c r="D66" i="72" s="1"/>
  <c r="D173" i="73" s="1"/>
  <c r="I36" i="71"/>
  <c r="D90" i="72" s="1" a="1"/>
  <c r="D90" i="72" s="1"/>
  <c r="D197" i="73" s="1"/>
  <c r="I10" i="71"/>
  <c r="D12" i="72" s="1" a="1"/>
  <c r="D12" i="72" s="1"/>
  <c r="D119" i="73" s="1"/>
  <c r="I18" i="71"/>
  <c r="D36" i="72" s="1" a="1"/>
  <c r="D36" i="72" s="1"/>
  <c r="D143" i="73" s="1"/>
  <c r="H11" i="33"/>
  <c r="N24" i="33"/>
  <c r="C4" i="33"/>
  <c r="C3" i="33"/>
  <c r="C2" i="33"/>
  <c r="C1" i="33"/>
  <c r="C2" i="31"/>
  <c r="C3" i="31"/>
  <c r="C4" i="31"/>
  <c r="C1" i="31"/>
  <c r="D11" i="14"/>
  <c r="N9" i="33"/>
  <c r="N11" i="33"/>
  <c r="N12" i="33"/>
  <c r="N13" i="33"/>
  <c r="N15" i="33"/>
  <c r="N19" i="33"/>
  <c r="N20" i="33"/>
  <c r="N23" i="33"/>
  <c r="B2" i="13"/>
  <c r="C2" i="13"/>
  <c r="D2" i="13"/>
  <c r="E2" i="13"/>
  <c r="F2" i="13"/>
  <c r="G2" i="13"/>
  <c r="H2" i="13"/>
  <c r="G9" i="31"/>
  <c r="H9" i="31" s="1"/>
  <c r="D6" i="32" s="1" a="1"/>
  <c r="D6" i="32" s="1"/>
  <c r="J9" i="31"/>
  <c r="D8" i="32" s="1" a="1"/>
  <c r="D8" i="32" s="1"/>
  <c r="G10" i="31"/>
  <c r="H10" i="31" s="1"/>
  <c r="D9" i="32" s="1" a="1"/>
  <c r="D9" i="32" s="1"/>
  <c r="I10" i="31"/>
  <c r="D10" i="32" s="1" a="1"/>
  <c r="D10" i="32" s="1"/>
  <c r="J10" i="31"/>
  <c r="D11" i="32" s="1" a="1"/>
  <c r="D11" i="32" s="1"/>
  <c r="G11" i="31"/>
  <c r="H11" i="31" s="1"/>
  <c r="D12" i="32" s="1" a="1"/>
  <c r="D12" i="32" s="1"/>
  <c r="J11" i="31"/>
  <c r="D14" i="32" s="1" a="1"/>
  <c r="D14" i="32" s="1"/>
  <c r="G12" i="31"/>
  <c r="H12" i="31" s="1"/>
  <c r="D15" i="32" s="1" a="1"/>
  <c r="D15" i="32" s="1"/>
  <c r="J12" i="31"/>
  <c r="D17" i="32" s="1" a="1"/>
  <c r="D17" i="32" s="1"/>
  <c r="G13" i="31"/>
  <c r="H13" i="31" s="1"/>
  <c r="D18" i="32" s="1" a="1"/>
  <c r="D18" i="32" s="1"/>
  <c r="J13" i="31"/>
  <c r="D20" i="32" s="1" a="1"/>
  <c r="D20" i="32" s="1"/>
  <c r="G14" i="31"/>
  <c r="H14" i="31" s="1"/>
  <c r="D21" i="32" s="1" a="1"/>
  <c r="D21" i="32" s="1"/>
  <c r="J14" i="31"/>
  <c r="D23" i="32" s="1" a="1"/>
  <c r="D23" i="32" s="1"/>
  <c r="G15" i="31"/>
  <c r="H15" i="31" s="1"/>
  <c r="D24" i="32" s="1" a="1"/>
  <c r="D24" i="32" s="1"/>
  <c r="J15" i="31"/>
  <c r="D26" i="32" s="1" a="1"/>
  <c r="D26" i="32" s="1"/>
  <c r="G16" i="31"/>
  <c r="H16" i="31" s="1"/>
  <c r="D27" i="32" s="1" a="1"/>
  <c r="D27" i="32" s="1"/>
  <c r="J16" i="31"/>
  <c r="D29" i="32" s="1" a="1"/>
  <c r="D29" i="32" s="1"/>
  <c r="G17" i="31"/>
  <c r="H17" i="31" s="1"/>
  <c r="D30" i="32" s="1" a="1"/>
  <c r="D30" i="32" s="1"/>
  <c r="J17" i="31"/>
  <c r="D32" i="32" s="1" a="1"/>
  <c r="D32" i="32" s="1"/>
  <c r="G18" i="31"/>
  <c r="H18" i="31" s="1"/>
  <c r="D33" i="32" s="1" a="1"/>
  <c r="D33" i="32" s="1"/>
  <c r="I18" i="31"/>
  <c r="D34" i="32" s="1" a="1"/>
  <c r="D34" i="32" s="1"/>
  <c r="J18" i="31"/>
  <c r="D35" i="32" s="1" a="1"/>
  <c r="D35" i="32" s="1"/>
  <c r="G19" i="31"/>
  <c r="H19" i="31" s="1"/>
  <c r="D36" i="32" s="1" a="1"/>
  <c r="D36" i="32" s="1"/>
  <c r="J19" i="31"/>
  <c r="D38" i="32" s="1" a="1"/>
  <c r="D38" i="32" s="1"/>
  <c r="G20" i="31"/>
  <c r="H20" i="31" s="1"/>
  <c r="D39" i="32" s="1" a="1"/>
  <c r="D39" i="32" s="1"/>
  <c r="J20" i="31"/>
  <c r="D41" i="32" s="1" a="1"/>
  <c r="D41" i="32" s="1"/>
  <c r="G21" i="31"/>
  <c r="H21" i="31" s="1"/>
  <c r="D42" i="32" s="1" a="1"/>
  <c r="D42" i="32" s="1"/>
  <c r="J21" i="31"/>
  <c r="D44" i="32" s="1" a="1"/>
  <c r="D44" i="32" s="1"/>
  <c r="G22" i="31"/>
  <c r="H22" i="31" s="1"/>
  <c r="D45" i="32" s="1" a="1"/>
  <c r="D45" i="32" s="1"/>
  <c r="J22" i="31"/>
  <c r="D47" i="32" s="1" a="1"/>
  <c r="D47" i="32" s="1"/>
  <c r="G23" i="31"/>
  <c r="H23" i="31" s="1"/>
  <c r="D48" i="32" s="1" a="1"/>
  <c r="D48" i="32" s="1"/>
  <c r="J23" i="31"/>
  <c r="D50" i="32" s="1" a="1"/>
  <c r="D50" i="32" s="1"/>
  <c r="G24" i="31"/>
  <c r="H24" i="31" s="1"/>
  <c r="D51" i="32" s="1" a="1"/>
  <c r="D51" i="32" s="1"/>
  <c r="J24" i="31"/>
  <c r="D53" i="32" s="1" a="1"/>
  <c r="D53" i="32" s="1"/>
  <c r="G25" i="31"/>
  <c r="H25" i="31" s="1"/>
  <c r="D54" i="32" s="1" a="1"/>
  <c r="D54" i="32" s="1"/>
  <c r="J25" i="31"/>
  <c r="D56" i="32" s="1" a="1"/>
  <c r="D56" i="32" s="1"/>
  <c r="G26" i="31"/>
  <c r="H26" i="31" s="1"/>
  <c r="D57" i="32" s="1" a="1"/>
  <c r="D57" i="32" s="1"/>
  <c r="I26" i="31"/>
  <c r="D58" i="32" s="1" a="1"/>
  <c r="D58" i="32" s="1"/>
  <c r="J26" i="31"/>
  <c r="D59" i="32" s="1" a="1"/>
  <c r="D59" i="32" s="1"/>
  <c r="G27" i="31"/>
  <c r="H27" i="31" s="1"/>
  <c r="D60" i="32" s="1" a="1"/>
  <c r="D60" i="32" s="1"/>
  <c r="J27" i="31"/>
  <c r="D62" i="32" s="1" a="1"/>
  <c r="D62" i="32" s="1"/>
  <c r="G28" i="31"/>
  <c r="H28" i="31" s="1"/>
  <c r="D63" i="32" s="1" a="1"/>
  <c r="D63" i="32" s="1"/>
  <c r="J28" i="31"/>
  <c r="D65" i="32" s="1" a="1"/>
  <c r="D65" i="32" s="1"/>
  <c r="G29" i="31"/>
  <c r="H29" i="31" s="1"/>
  <c r="D66" i="32" s="1" a="1"/>
  <c r="D66" i="32" s="1"/>
  <c r="J29" i="31"/>
  <c r="D68" i="32" s="1" a="1"/>
  <c r="D68" i="32" s="1"/>
  <c r="G30" i="31"/>
  <c r="H30" i="31" s="1"/>
  <c r="D69" i="32" s="1" a="1"/>
  <c r="D69" i="32" s="1"/>
  <c r="J30" i="31"/>
  <c r="D71" i="32" s="1" a="1"/>
  <c r="D71" i="32" s="1"/>
  <c r="G31" i="31"/>
  <c r="H31" i="31" s="1"/>
  <c r="D72" i="32" s="1" a="1"/>
  <c r="D72" i="32" s="1"/>
  <c r="J31" i="31"/>
  <c r="D74" i="32" s="1" a="1"/>
  <c r="D74" i="32" s="1"/>
  <c r="G32" i="31"/>
  <c r="H32" i="31" s="1"/>
  <c r="D75" i="32" s="1" a="1"/>
  <c r="D75" i="32" s="1"/>
  <c r="J32" i="31"/>
  <c r="D77" i="32" s="1" a="1"/>
  <c r="D77" i="32" s="1"/>
  <c r="G33" i="31"/>
  <c r="H33" i="31" s="1"/>
  <c r="D78" i="32" s="1" a="1"/>
  <c r="D78" i="32" s="1"/>
  <c r="J33" i="31"/>
  <c r="D80" i="32" s="1" a="1"/>
  <c r="D80" i="32" s="1"/>
  <c r="G34" i="31"/>
  <c r="H34" i="31" s="1"/>
  <c r="D81" i="32" s="1" a="1"/>
  <c r="D81" i="32" s="1"/>
  <c r="I34" i="31"/>
  <c r="D82" i="32" s="1" a="1"/>
  <c r="D82" i="32" s="1"/>
  <c r="J34" i="31"/>
  <c r="D83" i="32" s="1" a="1"/>
  <c r="D83" i="32" s="1"/>
  <c r="G35" i="31"/>
  <c r="H35" i="31" s="1"/>
  <c r="D84" i="32" s="1" a="1"/>
  <c r="D84" i="32" s="1"/>
  <c r="J35" i="31"/>
  <c r="D86" i="32" s="1" a="1"/>
  <c r="D86" i="32" s="1"/>
  <c r="G36" i="31"/>
  <c r="H36" i="31" s="1"/>
  <c r="D87" i="32" s="1" a="1"/>
  <c r="D87" i="32" s="1"/>
  <c r="J36" i="31"/>
  <c r="D89" i="32" s="1" a="1"/>
  <c r="D89" i="32" s="1"/>
  <c r="G37" i="31"/>
  <c r="H37" i="31" s="1"/>
  <c r="D90" i="32" s="1" a="1"/>
  <c r="D90" i="32" s="1"/>
  <c r="J37" i="31"/>
  <c r="D92" i="32" s="1" a="1"/>
  <c r="D92" i="32" s="1"/>
  <c r="G38" i="31"/>
  <c r="H38" i="31"/>
  <c r="D93" i="32" s="1" a="1"/>
  <c r="D93" i="32" s="1"/>
  <c r="I38" i="31"/>
  <c r="D94" i="32" s="1" a="1"/>
  <c r="D94" i="32" s="1"/>
  <c r="J38" i="31"/>
  <c r="D95" i="32" s="1" a="1"/>
  <c r="D95" i="32" s="1"/>
  <c r="G39" i="31"/>
  <c r="H39" i="31" s="1"/>
  <c r="D96" i="32" s="1" a="1"/>
  <c r="D96" i="32" s="1"/>
  <c r="J39" i="31"/>
  <c r="D98" i="32" s="1" a="1"/>
  <c r="D98" i="32" s="1"/>
  <c r="G40" i="31"/>
  <c r="H40" i="31"/>
  <c r="D99" i="32" s="1" a="1"/>
  <c r="D99" i="32" s="1"/>
  <c r="I40" i="31"/>
  <c r="D100" i="32" s="1" a="1"/>
  <c r="D100" i="32" s="1"/>
  <c r="J40" i="31"/>
  <c r="D101" i="32" s="1" a="1"/>
  <c r="D101" i="32" s="1"/>
  <c r="G41" i="31"/>
  <c r="H41" i="31" s="1"/>
  <c r="D102" i="32" s="1" a="1"/>
  <c r="D102" i="32" s="1"/>
  <c r="J41" i="31"/>
  <c r="D104" i="32" s="1" a="1"/>
  <c r="D104" i="32" s="1"/>
  <c r="G42" i="31"/>
  <c r="H42" i="31"/>
  <c r="D105" i="32" s="1" a="1"/>
  <c r="D105" i="32" s="1"/>
  <c r="I42" i="31"/>
  <c r="D106" i="32" s="1" a="1"/>
  <c r="D106" i="32" s="1"/>
  <c r="J42" i="31"/>
  <c r="D107" i="32" s="1" a="1"/>
  <c r="D107" i="32" s="1"/>
  <c r="G43" i="31"/>
  <c r="H43" i="31" s="1"/>
  <c r="D108" i="32" s="1" a="1"/>
  <c r="D108" i="32" s="1"/>
  <c r="J43" i="31"/>
  <c r="D110" i="32" s="1" a="1"/>
  <c r="D110" i="32" s="1"/>
  <c r="G44" i="31"/>
  <c r="H44" i="31"/>
  <c r="D111" i="32" s="1" a="1"/>
  <c r="D111" i="32" s="1"/>
  <c r="I44" i="31"/>
  <c r="D112" i="32" s="1" a="1"/>
  <c r="D112" i="32" s="1"/>
  <c r="J44" i="31"/>
  <c r="D113" i="32" s="1" a="1"/>
  <c r="D113" i="32" s="1"/>
  <c r="G45" i="31"/>
  <c r="H45" i="31" s="1"/>
  <c r="D114" i="32" s="1" a="1"/>
  <c r="D114" i="32" s="1"/>
  <c r="J45" i="31"/>
  <c r="D116" i="32" s="1" a="1"/>
  <c r="D116" i="32" s="1"/>
  <c r="G46" i="31"/>
  <c r="H46" i="31"/>
  <c r="D117" i="32" s="1" a="1"/>
  <c r="D117" i="32" s="1"/>
  <c r="I46" i="31"/>
  <c r="D118" i="32" s="1" a="1"/>
  <c r="D118" i="32" s="1"/>
  <c r="J46" i="31"/>
  <c r="D119" i="32" s="1" a="1"/>
  <c r="D119" i="32" s="1"/>
  <c r="G47" i="31"/>
  <c r="H47" i="31" s="1"/>
  <c r="D120" i="32" s="1" a="1"/>
  <c r="D120" i="32" s="1"/>
  <c r="J47" i="31"/>
  <c r="D122" i="32" s="1" a="1"/>
  <c r="D122" i="32" s="1"/>
  <c r="G48" i="31"/>
  <c r="H48" i="31"/>
  <c r="D123" i="32" s="1" a="1"/>
  <c r="D123" i="32" s="1"/>
  <c r="I48" i="31"/>
  <c r="D124" i="32" s="1" a="1"/>
  <c r="D124" i="32" s="1"/>
  <c r="J48" i="31"/>
  <c r="D125" i="32" s="1" a="1"/>
  <c r="D125" i="32" s="1"/>
  <c r="G49" i="31"/>
  <c r="H49" i="31" s="1"/>
  <c r="D126" i="32" s="1" a="1"/>
  <c r="D126" i="32" s="1"/>
  <c r="J49" i="31"/>
  <c r="D128" i="32" s="1" a="1"/>
  <c r="D128" i="32" s="1"/>
  <c r="G50" i="31"/>
  <c r="H50" i="31"/>
  <c r="D129" i="32" s="1" a="1"/>
  <c r="D129" i="32" s="1"/>
  <c r="I50" i="31"/>
  <c r="D130" i="32" s="1" a="1"/>
  <c r="D130" i="32" s="1"/>
  <c r="J50" i="31"/>
  <c r="D131" i="32" s="1" a="1"/>
  <c r="D131" i="32" s="1"/>
  <c r="G51" i="31"/>
  <c r="H51" i="31" s="1"/>
  <c r="D132" i="32" s="1" a="1"/>
  <c r="D132" i="32" s="1"/>
  <c r="J51" i="31"/>
  <c r="D134" i="32" s="1" a="1"/>
  <c r="D134" i="32" s="1"/>
  <c r="G52" i="31"/>
  <c r="H52" i="31"/>
  <c r="D135" i="32" s="1" a="1"/>
  <c r="D135" i="32" s="1"/>
  <c r="I52" i="31"/>
  <c r="D136" i="32" s="1" a="1"/>
  <c r="D136" i="32" s="1"/>
  <c r="J52" i="31"/>
  <c r="D137" i="32" s="1" a="1"/>
  <c r="D137" i="32" s="1"/>
  <c r="G53" i="31"/>
  <c r="H53" i="31" s="1"/>
  <c r="D138" i="32" s="1" a="1"/>
  <c r="D138" i="32" s="1"/>
  <c r="J53" i="31"/>
  <c r="D140" i="32" s="1" a="1"/>
  <c r="D140" i="32" s="1"/>
  <c r="G54" i="31"/>
  <c r="H54" i="31"/>
  <c r="D141" i="32" s="1" a="1"/>
  <c r="D141" i="32" s="1"/>
  <c r="I54" i="31"/>
  <c r="D142" i="32" s="1" a="1"/>
  <c r="D142" i="32" s="1"/>
  <c r="J54" i="31"/>
  <c r="D143" i="32" s="1" a="1"/>
  <c r="D143" i="32" s="1"/>
  <c r="G55" i="31"/>
  <c r="H55" i="31" s="1"/>
  <c r="D144" i="32" s="1" a="1"/>
  <c r="D144" i="32" s="1"/>
  <c r="J55" i="31"/>
  <c r="D146" i="32" s="1" a="1"/>
  <c r="D146" i="32" s="1"/>
  <c r="G56" i="31"/>
  <c r="H56" i="31"/>
  <c r="D147" i="32" s="1" a="1"/>
  <c r="D147" i="32" s="1"/>
  <c r="I56" i="31"/>
  <c r="D148" i="32" s="1" a="1"/>
  <c r="D148" i="32" s="1"/>
  <c r="J56" i="31"/>
  <c r="D149" i="32" s="1" a="1"/>
  <c r="D149" i="32" s="1"/>
  <c r="G57" i="31"/>
  <c r="H57" i="31" s="1"/>
  <c r="D150" i="32" s="1" a="1"/>
  <c r="D150" i="32" s="1"/>
  <c r="J57" i="31"/>
  <c r="D152" i="32" s="1" a="1"/>
  <c r="D152" i="32" s="1"/>
  <c r="G58" i="31"/>
  <c r="H58" i="31"/>
  <c r="D153" i="32" s="1" a="1"/>
  <c r="D153" i="32" s="1"/>
  <c r="I58" i="31"/>
  <c r="D154" i="32" s="1" a="1"/>
  <c r="D154" i="32" s="1"/>
  <c r="J58" i="31"/>
  <c r="D155" i="32" s="1" a="1"/>
  <c r="D155" i="32" s="1"/>
  <c r="G59" i="31"/>
  <c r="H59" i="31" s="1"/>
  <c r="D156" i="32" s="1" a="1"/>
  <c r="D156" i="32" s="1"/>
  <c r="J59" i="31"/>
  <c r="D158" i="32" s="1" a="1"/>
  <c r="D158" i="32" s="1"/>
  <c r="B37" i="31"/>
  <c r="C37" i="31"/>
  <c r="B9" i="31"/>
  <c r="C9" i="31"/>
  <c r="M9" i="31" s="1"/>
  <c r="B10" i="31"/>
  <c r="C10" i="31"/>
  <c r="M10" i="31" s="1"/>
  <c r="B11" i="31"/>
  <c r="C11" i="31"/>
  <c r="M11" i="31" s="1"/>
  <c r="B12" i="31"/>
  <c r="C12" i="31"/>
  <c r="M12" i="31" s="1"/>
  <c r="B13" i="31"/>
  <c r="C13" i="31"/>
  <c r="M13" i="31" s="1"/>
  <c r="B14" i="31"/>
  <c r="C14" i="31"/>
  <c r="M14" i="31" s="1"/>
  <c r="B15" i="31"/>
  <c r="C15" i="31"/>
  <c r="M15" i="31" s="1"/>
  <c r="B16" i="31"/>
  <c r="C16" i="31"/>
  <c r="M16" i="31" s="1"/>
  <c r="B17" i="31"/>
  <c r="C17" i="31"/>
  <c r="M17" i="31" s="1"/>
  <c r="B18" i="31"/>
  <c r="C18" i="31"/>
  <c r="M18" i="31" s="1"/>
  <c r="B19" i="31"/>
  <c r="C19" i="31"/>
  <c r="M19" i="31" s="1"/>
  <c r="B20" i="31"/>
  <c r="C20" i="31"/>
  <c r="M20" i="31" s="1"/>
  <c r="B21" i="31"/>
  <c r="C21" i="31"/>
  <c r="M21" i="31" s="1"/>
  <c r="B22" i="31"/>
  <c r="C22" i="31"/>
  <c r="M22" i="31" s="1"/>
  <c r="B23" i="31"/>
  <c r="C23" i="31"/>
  <c r="M23" i="31" s="1"/>
  <c r="B24" i="31"/>
  <c r="C24" i="31"/>
  <c r="M24" i="31" s="1"/>
  <c r="B25" i="31"/>
  <c r="C25" i="31"/>
  <c r="M25" i="31" s="1"/>
  <c r="B26" i="31"/>
  <c r="C26" i="31"/>
  <c r="M26" i="31" s="1"/>
  <c r="B28" i="31"/>
  <c r="C28" i="31"/>
  <c r="M28" i="31" s="1"/>
  <c r="B29" i="31"/>
  <c r="C29" i="31"/>
  <c r="M29" i="31" s="1"/>
  <c r="B30" i="31"/>
  <c r="C30" i="31"/>
  <c r="M30" i="31" s="1"/>
  <c r="B31" i="31"/>
  <c r="C31" i="31"/>
  <c r="M31" i="31" s="1"/>
  <c r="B32" i="31"/>
  <c r="C32" i="31"/>
  <c r="M32" i="31" s="1"/>
  <c r="B33" i="31"/>
  <c r="C33" i="31"/>
  <c r="M33" i="31" s="1"/>
  <c r="B34" i="31"/>
  <c r="C34" i="31"/>
  <c r="M34" i="31" s="1"/>
  <c r="B35" i="31"/>
  <c r="C35" i="31"/>
  <c r="M35" i="31" s="1"/>
  <c r="B36" i="31"/>
  <c r="C36" i="31"/>
  <c r="M36" i="31" s="1"/>
  <c r="B4" i="32"/>
  <c r="C4" i="32"/>
  <c r="B5" i="32"/>
  <c r="C5" i="32"/>
  <c r="B6" i="32"/>
  <c r="C6" i="32"/>
  <c r="B7" i="32"/>
  <c r="C7" i="32"/>
  <c r="B8" i="32"/>
  <c r="C8" i="32"/>
  <c r="B9" i="32"/>
  <c r="C9" i="32"/>
  <c r="B10" i="32"/>
  <c r="C10" i="32"/>
  <c r="B11" i="32"/>
  <c r="C11" i="32"/>
  <c r="B12" i="32"/>
  <c r="C12" i="32"/>
  <c r="B13" i="32"/>
  <c r="C13" i="32"/>
  <c r="B14" i="32"/>
  <c r="C14" i="32"/>
  <c r="B15" i="32"/>
  <c r="C15" i="32"/>
  <c r="B16" i="32"/>
  <c r="C16" i="32"/>
  <c r="B17" i="32"/>
  <c r="C17" i="32"/>
  <c r="B18" i="32"/>
  <c r="C18" i="32"/>
  <c r="B19" i="32"/>
  <c r="C19" i="32"/>
  <c r="B20" i="32"/>
  <c r="C20" i="32"/>
  <c r="B21" i="32"/>
  <c r="C21" i="32"/>
  <c r="B22" i="32"/>
  <c r="C22" i="32"/>
  <c r="B23" i="32"/>
  <c r="C23" i="32"/>
  <c r="B24" i="32"/>
  <c r="C24" i="32"/>
  <c r="B25" i="32"/>
  <c r="C25" i="32"/>
  <c r="B26" i="32"/>
  <c r="C26" i="32"/>
  <c r="B27" i="32"/>
  <c r="C27" i="32"/>
  <c r="B28" i="32"/>
  <c r="C28" i="32"/>
  <c r="B29" i="32"/>
  <c r="C29" i="32"/>
  <c r="B30" i="32"/>
  <c r="C30" i="32"/>
  <c r="B31" i="32"/>
  <c r="C31" i="32"/>
  <c r="B32" i="32"/>
  <c r="C32" i="32"/>
  <c r="B33" i="32"/>
  <c r="C33" i="32"/>
  <c r="B34" i="32"/>
  <c r="C34" i="32"/>
  <c r="B35" i="32"/>
  <c r="C35" i="32"/>
  <c r="B36" i="32"/>
  <c r="C36" i="32"/>
  <c r="B37" i="32"/>
  <c r="C37" i="32"/>
  <c r="B38" i="32"/>
  <c r="C38" i="32"/>
  <c r="B39" i="32"/>
  <c r="C39" i="32"/>
  <c r="B40" i="32"/>
  <c r="C40" i="32"/>
  <c r="B41" i="32"/>
  <c r="C41" i="32"/>
  <c r="B42" i="32"/>
  <c r="C42" i="32"/>
  <c r="B43" i="32"/>
  <c r="C43" i="32"/>
  <c r="B44" i="32"/>
  <c r="C44" i="32"/>
  <c r="B45" i="32"/>
  <c r="C45" i="32"/>
  <c r="B46" i="32"/>
  <c r="C46" i="32"/>
  <c r="B47" i="32"/>
  <c r="C47" i="32"/>
  <c r="B48" i="32"/>
  <c r="C48" i="32"/>
  <c r="B49" i="32"/>
  <c r="C49" i="32"/>
  <c r="B50" i="32"/>
  <c r="C50" i="32"/>
  <c r="B51" i="32"/>
  <c r="C51" i="32"/>
  <c r="B52" i="32"/>
  <c r="C52" i="32"/>
  <c r="B53" i="32"/>
  <c r="C53" i="32"/>
  <c r="B54" i="32"/>
  <c r="C54" i="32"/>
  <c r="B55" i="32"/>
  <c r="C55" i="32"/>
  <c r="B56" i="32"/>
  <c r="C56" i="32"/>
  <c r="B57" i="32"/>
  <c r="C57" i="32"/>
  <c r="B58" i="32"/>
  <c r="C58" i="32"/>
  <c r="B59" i="32"/>
  <c r="C59" i="32"/>
  <c r="B60" i="32"/>
  <c r="C60" i="32"/>
  <c r="B61" i="32"/>
  <c r="C61" i="32"/>
  <c r="B62" i="32"/>
  <c r="C62" i="32"/>
  <c r="B63" i="32"/>
  <c r="C63" i="32"/>
  <c r="B64" i="32"/>
  <c r="C64" i="32"/>
  <c r="B65" i="32"/>
  <c r="C65" i="32"/>
  <c r="B66" i="32"/>
  <c r="C66" i="32"/>
  <c r="B67" i="32"/>
  <c r="C67" i="32"/>
  <c r="B68" i="32"/>
  <c r="C68" i="32"/>
  <c r="B69" i="32"/>
  <c r="C69" i="32"/>
  <c r="B70" i="32"/>
  <c r="C70" i="32"/>
  <c r="B71" i="32"/>
  <c r="C71" i="32"/>
  <c r="B72" i="32"/>
  <c r="C72" i="32"/>
  <c r="B73" i="32"/>
  <c r="C73" i="32"/>
  <c r="B74" i="32"/>
  <c r="C74" i="32"/>
  <c r="B75" i="32"/>
  <c r="C75" i="32"/>
  <c r="B76" i="32"/>
  <c r="C76" i="32"/>
  <c r="B77" i="32"/>
  <c r="C77" i="32"/>
  <c r="B78" i="32"/>
  <c r="C78" i="32"/>
  <c r="B79" i="32"/>
  <c r="C79" i="32"/>
  <c r="B80" i="32"/>
  <c r="C80" i="32"/>
  <c r="B81" i="32"/>
  <c r="C81" i="32"/>
  <c r="B82" i="32"/>
  <c r="C82" i="32"/>
  <c r="B83" i="32"/>
  <c r="C83" i="32"/>
  <c r="B84" i="32"/>
  <c r="C84" i="32"/>
  <c r="B85" i="32"/>
  <c r="C85" i="32"/>
  <c r="B86" i="32"/>
  <c r="C86" i="32"/>
  <c r="B87" i="32"/>
  <c r="C87" i="32"/>
  <c r="B88" i="32"/>
  <c r="C88" i="32"/>
  <c r="B89" i="32"/>
  <c r="C89" i="32"/>
  <c r="B90" i="32"/>
  <c r="C90" i="32"/>
  <c r="B91" i="32"/>
  <c r="C91" i="32"/>
  <c r="B92" i="32"/>
  <c r="C92" i="32"/>
  <c r="B93" i="32"/>
  <c r="C93" i="32"/>
  <c r="B94" i="32"/>
  <c r="C94" i="32"/>
  <c r="B95" i="32"/>
  <c r="C95" i="32"/>
  <c r="B96" i="32"/>
  <c r="C96" i="32"/>
  <c r="B97" i="32"/>
  <c r="C97" i="32"/>
  <c r="B98" i="32"/>
  <c r="C98" i="32"/>
  <c r="B99" i="32"/>
  <c r="C99" i="32"/>
  <c r="B100" i="32"/>
  <c r="C100" i="32"/>
  <c r="B101" i="32"/>
  <c r="C101" i="32"/>
  <c r="B102" i="32"/>
  <c r="C102" i="32"/>
  <c r="B103" i="32"/>
  <c r="C103" i="32"/>
  <c r="B104" i="32"/>
  <c r="C104" i="32"/>
  <c r="B105" i="32"/>
  <c r="C105" i="32"/>
  <c r="B106" i="32"/>
  <c r="C106" i="32"/>
  <c r="B107" i="32"/>
  <c r="C107" i="32"/>
  <c r="B108" i="32"/>
  <c r="C108" i="32"/>
  <c r="B109" i="32"/>
  <c r="C109" i="32"/>
  <c r="B110" i="32"/>
  <c r="C110" i="32"/>
  <c r="B111" i="32"/>
  <c r="C111" i="32"/>
  <c r="B112" i="32"/>
  <c r="C112" i="32"/>
  <c r="B113" i="32"/>
  <c r="C113" i="32"/>
  <c r="B114" i="32"/>
  <c r="C114" i="32"/>
  <c r="B115" i="32"/>
  <c r="C115" i="32"/>
  <c r="B116" i="32"/>
  <c r="C116" i="32"/>
  <c r="B117" i="32"/>
  <c r="C117" i="32"/>
  <c r="B118" i="32"/>
  <c r="C118" i="32"/>
  <c r="B119" i="32"/>
  <c r="C119" i="32"/>
  <c r="B120" i="32"/>
  <c r="C120" i="32"/>
  <c r="B121" i="32"/>
  <c r="C121" i="32"/>
  <c r="B122" i="32"/>
  <c r="C122" i="32"/>
  <c r="B123" i="32"/>
  <c r="C123" i="32"/>
  <c r="B124" i="32"/>
  <c r="C124" i="32"/>
  <c r="B125" i="32"/>
  <c r="C125" i="32"/>
  <c r="B126" i="32"/>
  <c r="C126" i="32"/>
  <c r="B127" i="32"/>
  <c r="C127" i="32"/>
  <c r="B128" i="32"/>
  <c r="C128" i="32"/>
  <c r="B129" i="32"/>
  <c r="C129" i="32"/>
  <c r="B130" i="32"/>
  <c r="C130" i="32"/>
  <c r="B131" i="32"/>
  <c r="C131" i="32"/>
  <c r="B132" i="32"/>
  <c r="C132" i="32"/>
  <c r="B133" i="32"/>
  <c r="C133" i="32"/>
  <c r="B134" i="32"/>
  <c r="C134" i="32"/>
  <c r="B135" i="32"/>
  <c r="C135" i="32"/>
  <c r="B136" i="32"/>
  <c r="C136" i="32"/>
  <c r="B137" i="32"/>
  <c r="C137" i="32"/>
  <c r="B138" i="32"/>
  <c r="C138" i="32"/>
  <c r="B139" i="32"/>
  <c r="C139" i="32"/>
  <c r="B140" i="32"/>
  <c r="C140" i="32"/>
  <c r="B141" i="32"/>
  <c r="C141" i="32"/>
  <c r="B142" i="32"/>
  <c r="C142" i="32"/>
  <c r="B143" i="32"/>
  <c r="C143" i="32"/>
  <c r="B144" i="32"/>
  <c r="C144" i="32"/>
  <c r="B145" i="32"/>
  <c r="C145" i="32"/>
  <c r="B146" i="32"/>
  <c r="C146" i="32"/>
  <c r="B147" i="32"/>
  <c r="C147" i="32"/>
  <c r="B148" i="32"/>
  <c r="C148" i="32"/>
  <c r="B149" i="32"/>
  <c r="C149" i="32"/>
  <c r="B150" i="32"/>
  <c r="C150" i="32"/>
  <c r="B151" i="32"/>
  <c r="C151" i="32"/>
  <c r="B152" i="32"/>
  <c r="C152" i="32"/>
  <c r="B153" i="32"/>
  <c r="C153" i="32"/>
  <c r="B154" i="32"/>
  <c r="C154" i="32"/>
  <c r="B155" i="32"/>
  <c r="C155" i="32"/>
  <c r="B156" i="32"/>
  <c r="C156" i="32"/>
  <c r="B157" i="32"/>
  <c r="C157" i="32"/>
  <c r="B158" i="32"/>
  <c r="C158" i="32"/>
  <c r="B159" i="32"/>
  <c r="C159" i="32"/>
  <c r="B160" i="32"/>
  <c r="C160" i="32"/>
  <c r="B161" i="32"/>
  <c r="C161" i="32"/>
  <c r="B162" i="32"/>
  <c r="C162" i="32"/>
  <c r="B163" i="32"/>
  <c r="C163" i="32"/>
  <c r="B164" i="32"/>
  <c r="C164" i="32"/>
  <c r="B165" i="32"/>
  <c r="C165" i="32"/>
  <c r="B166" i="32"/>
  <c r="C166" i="32"/>
  <c r="B167" i="32"/>
  <c r="C167" i="32"/>
  <c r="B168" i="32"/>
  <c r="C168" i="32"/>
  <c r="B169" i="32"/>
  <c r="C169" i="32"/>
  <c r="B170" i="32"/>
  <c r="C170" i="32"/>
  <c r="B171" i="32"/>
  <c r="C171" i="32"/>
  <c r="B172" i="32"/>
  <c r="C172" i="32"/>
  <c r="B173" i="32"/>
  <c r="C173" i="32"/>
  <c r="B174" i="32"/>
  <c r="C174" i="32"/>
  <c r="B175" i="32"/>
  <c r="C175" i="32"/>
  <c r="B176" i="32"/>
  <c r="C176" i="32"/>
  <c r="B177" i="32"/>
  <c r="C177" i="32"/>
  <c r="B178" i="32"/>
  <c r="C178" i="32"/>
  <c r="B179" i="32"/>
  <c r="C179" i="32"/>
  <c r="B180" i="32"/>
  <c r="C180" i="32"/>
  <c r="B181" i="32"/>
  <c r="C181" i="32"/>
  <c r="B182" i="32"/>
  <c r="C182" i="32"/>
  <c r="B183" i="32"/>
  <c r="C183" i="32"/>
  <c r="B184" i="32"/>
  <c r="C184" i="32"/>
  <c r="B185" i="32"/>
  <c r="C185" i="32"/>
  <c r="B186" i="32"/>
  <c r="C186" i="32"/>
  <c r="B187" i="32"/>
  <c r="C187" i="32"/>
  <c r="B188" i="32"/>
  <c r="C188" i="32"/>
  <c r="B189" i="32"/>
  <c r="C189" i="32"/>
  <c r="B190" i="32"/>
  <c r="C190" i="32"/>
  <c r="B191" i="32"/>
  <c r="C191" i="32"/>
  <c r="B192" i="32"/>
  <c r="C192" i="32"/>
  <c r="B193" i="32"/>
  <c r="C193" i="32"/>
  <c r="B194" i="32"/>
  <c r="C194" i="32"/>
  <c r="B195" i="32"/>
  <c r="C195" i="32"/>
  <c r="B196" i="32"/>
  <c r="C196" i="32"/>
  <c r="B197" i="32"/>
  <c r="C197" i="32"/>
  <c r="B198" i="32"/>
  <c r="C198" i="32"/>
  <c r="B199" i="32"/>
  <c r="C199" i="32"/>
  <c r="B200" i="32"/>
  <c r="C200" i="32"/>
  <c r="B201" i="32"/>
  <c r="C201" i="32"/>
  <c r="B202" i="32"/>
  <c r="C202" i="32"/>
  <c r="B203" i="32"/>
  <c r="C203" i="32"/>
  <c r="B204" i="32"/>
  <c r="C204" i="32"/>
  <c r="B205" i="32"/>
  <c r="C205" i="32"/>
  <c r="B206" i="32"/>
  <c r="C206" i="32"/>
  <c r="B207" i="32"/>
  <c r="C207" i="32"/>
  <c r="B208" i="32"/>
  <c r="C208" i="32"/>
  <c r="B209" i="32"/>
  <c r="C209" i="32"/>
  <c r="B210" i="32"/>
  <c r="C210" i="32"/>
  <c r="B211" i="32"/>
  <c r="C211" i="32"/>
  <c r="B212" i="32"/>
  <c r="C212" i="32"/>
  <c r="B213" i="32"/>
  <c r="C213" i="32"/>
  <c r="B214" i="32"/>
  <c r="C214" i="32"/>
  <c r="B215" i="32"/>
  <c r="C215" i="32"/>
  <c r="B216" i="32"/>
  <c r="C216" i="32"/>
  <c r="B217" i="32"/>
  <c r="C217" i="32"/>
  <c r="B218" i="32"/>
  <c r="C218" i="32"/>
  <c r="B219" i="32"/>
  <c r="C219" i="32"/>
  <c r="B220" i="32"/>
  <c r="C220" i="32"/>
  <c r="B221" i="32"/>
  <c r="C221" i="32"/>
  <c r="B222" i="32"/>
  <c r="C222" i="32"/>
  <c r="B223" i="32"/>
  <c r="C223" i="32"/>
  <c r="B224" i="32"/>
  <c r="C224" i="32"/>
  <c r="B225" i="32"/>
  <c r="C225" i="32"/>
  <c r="B226" i="32"/>
  <c r="C226" i="32"/>
  <c r="B227" i="32"/>
  <c r="C227" i="32"/>
  <c r="B228" i="32"/>
  <c r="C228" i="32"/>
  <c r="B229" i="32"/>
  <c r="C229" i="32"/>
  <c r="B230" i="32"/>
  <c r="C230" i="32"/>
  <c r="B231" i="32"/>
  <c r="C231" i="32"/>
  <c r="B232" i="32"/>
  <c r="C232" i="32"/>
  <c r="B233" i="32"/>
  <c r="C233" i="32"/>
  <c r="B234" i="32"/>
  <c r="C234" i="32"/>
  <c r="B235" i="32"/>
  <c r="C235" i="32"/>
  <c r="B236" i="32"/>
  <c r="C236" i="32"/>
  <c r="B237" i="32"/>
  <c r="C237" i="32"/>
  <c r="B238" i="32"/>
  <c r="C238" i="32"/>
  <c r="B239" i="32"/>
  <c r="C239" i="32"/>
  <c r="B240" i="32"/>
  <c r="C240" i="32"/>
  <c r="B241" i="32"/>
  <c r="C241" i="32"/>
  <c r="B242" i="32"/>
  <c r="C242" i="32"/>
  <c r="B243" i="32"/>
  <c r="C243" i="32"/>
  <c r="B244" i="32"/>
  <c r="C244" i="32"/>
  <c r="B245" i="32"/>
  <c r="C245" i="32"/>
  <c r="B246" i="32"/>
  <c r="C246" i="32"/>
  <c r="B247" i="32"/>
  <c r="C247" i="32"/>
  <c r="B248" i="32"/>
  <c r="C248" i="32"/>
  <c r="B249" i="32"/>
  <c r="C249" i="32"/>
  <c r="B250" i="32"/>
  <c r="C250" i="32"/>
  <c r="B251" i="32"/>
  <c r="C251" i="32"/>
  <c r="B252" i="32"/>
  <c r="C252" i="32"/>
  <c r="B253" i="32"/>
  <c r="C253" i="32"/>
  <c r="B254" i="32"/>
  <c r="C254" i="32"/>
  <c r="B255" i="32"/>
  <c r="C255" i="32"/>
  <c r="B256" i="32"/>
  <c r="C256" i="32"/>
  <c r="B257" i="32"/>
  <c r="C257" i="32"/>
  <c r="B258" i="32"/>
  <c r="C258" i="32"/>
  <c r="B259" i="32"/>
  <c r="C259" i="32"/>
  <c r="B260" i="32"/>
  <c r="C260" i="32"/>
  <c r="B261" i="32"/>
  <c r="C261" i="32"/>
  <c r="B262" i="32"/>
  <c r="C262" i="32"/>
  <c r="B263" i="32"/>
  <c r="C263" i="32"/>
  <c r="B264" i="32"/>
  <c r="C264" i="32"/>
  <c r="B265" i="32"/>
  <c r="C265" i="32"/>
  <c r="B266" i="32"/>
  <c r="C266" i="32"/>
  <c r="B267" i="32"/>
  <c r="C267" i="32"/>
  <c r="B268" i="32"/>
  <c r="C268" i="32"/>
  <c r="B269" i="32"/>
  <c r="C269" i="32"/>
  <c r="B270" i="32"/>
  <c r="C270" i="32"/>
  <c r="B271" i="32"/>
  <c r="C271" i="32"/>
  <c r="B272" i="32"/>
  <c r="C272" i="32"/>
  <c r="B273" i="32"/>
  <c r="C273" i="32"/>
  <c r="B274" i="32"/>
  <c r="C274" i="32"/>
  <c r="B275" i="32"/>
  <c r="C275" i="32"/>
  <c r="B276" i="32"/>
  <c r="C276" i="32"/>
  <c r="B277" i="32"/>
  <c r="C277" i="32"/>
  <c r="B278" i="32"/>
  <c r="C278" i="32"/>
  <c r="B279" i="32"/>
  <c r="C279" i="32"/>
  <c r="B280" i="32"/>
  <c r="C280" i="32"/>
  <c r="B281" i="32"/>
  <c r="C281" i="32"/>
  <c r="B282" i="32"/>
  <c r="C282" i="32"/>
  <c r="B283" i="32"/>
  <c r="C283" i="32"/>
  <c r="B284" i="32"/>
  <c r="C284" i="32"/>
  <c r="B285" i="32"/>
  <c r="C285" i="32"/>
  <c r="B286" i="32"/>
  <c r="C286" i="32"/>
  <c r="B287" i="32"/>
  <c r="C287" i="32"/>
  <c r="B288" i="32"/>
  <c r="C288" i="32"/>
  <c r="B289" i="32"/>
  <c r="C289" i="32"/>
  <c r="B290" i="32"/>
  <c r="C290" i="32"/>
  <c r="B291" i="32"/>
  <c r="C291" i="32"/>
  <c r="B292" i="32"/>
  <c r="C292" i="32"/>
  <c r="B293" i="32"/>
  <c r="C293" i="32"/>
  <c r="B294" i="32"/>
  <c r="C294" i="32"/>
  <c r="B295" i="32"/>
  <c r="C295" i="32"/>
  <c r="B296" i="32"/>
  <c r="C296" i="32"/>
  <c r="B297" i="32"/>
  <c r="C297" i="32"/>
  <c r="B298" i="32"/>
  <c r="C298" i="32"/>
  <c r="B299" i="32"/>
  <c r="C299" i="32"/>
  <c r="B300" i="32"/>
  <c r="C300" i="32"/>
  <c r="B301" i="32"/>
  <c r="C301" i="32"/>
  <c r="B302" i="32"/>
  <c r="C302" i="32"/>
  <c r="B303" i="32"/>
  <c r="C303" i="32"/>
  <c r="B304" i="32"/>
  <c r="C304" i="32"/>
  <c r="B305" i="32"/>
  <c r="C305" i="32"/>
  <c r="B306" i="32"/>
  <c r="C306" i="32"/>
  <c r="B307" i="32"/>
  <c r="C307" i="32"/>
  <c r="B308" i="32"/>
  <c r="C308" i="32"/>
  <c r="B309" i="32"/>
  <c r="C309" i="32"/>
  <c r="B310" i="32"/>
  <c r="C310" i="32"/>
  <c r="B311" i="32"/>
  <c r="C311" i="32"/>
  <c r="B312" i="32"/>
  <c r="C312" i="32"/>
  <c r="B313" i="32"/>
  <c r="C313" i="32"/>
  <c r="B314" i="32"/>
  <c r="C314" i="32"/>
  <c r="B315" i="32"/>
  <c r="C315" i="32"/>
  <c r="B316" i="32"/>
  <c r="C316" i="32"/>
  <c r="B317" i="32"/>
  <c r="C317" i="32"/>
  <c r="B318" i="32"/>
  <c r="C318" i="32"/>
  <c r="B319" i="32"/>
  <c r="C319" i="32"/>
  <c r="B320" i="32"/>
  <c r="C320" i="32"/>
  <c r="B321" i="32"/>
  <c r="C321" i="32"/>
  <c r="B322" i="32"/>
  <c r="C322" i="32"/>
  <c r="B323" i="32"/>
  <c r="C323" i="32"/>
  <c r="B324" i="32"/>
  <c r="C324" i="32"/>
  <c r="B325" i="32"/>
  <c r="C325" i="32"/>
  <c r="B326" i="32"/>
  <c r="C326" i="32"/>
  <c r="B327" i="32"/>
  <c r="C327" i="32"/>
  <c r="B328" i="32"/>
  <c r="C328" i="32"/>
  <c r="B329" i="32"/>
  <c r="C329" i="32"/>
  <c r="B330" i="32"/>
  <c r="C330" i="32"/>
  <c r="B331" i="32"/>
  <c r="C331" i="32"/>
  <c r="B332" i="32"/>
  <c r="C332" i="32"/>
  <c r="B333" i="32"/>
  <c r="C333" i="32"/>
  <c r="B334" i="32"/>
  <c r="C334" i="32"/>
  <c r="B335" i="32"/>
  <c r="C335" i="32"/>
  <c r="B336" i="32"/>
  <c r="C336" i="32"/>
  <c r="B337" i="32"/>
  <c r="C337" i="32"/>
  <c r="B338" i="32"/>
  <c r="C338" i="32"/>
  <c r="B339" i="32"/>
  <c r="C339" i="32"/>
  <c r="B340" i="32"/>
  <c r="C340" i="32"/>
  <c r="B341" i="32"/>
  <c r="C341" i="32"/>
  <c r="B342" i="32"/>
  <c r="C342" i="32"/>
  <c r="B343" i="32"/>
  <c r="C343" i="32"/>
  <c r="B344" i="32"/>
  <c r="C344" i="32"/>
  <c r="B345" i="32"/>
  <c r="C345" i="32"/>
  <c r="B346" i="32"/>
  <c r="C346" i="32"/>
  <c r="B347" i="32"/>
  <c r="C347" i="32"/>
  <c r="B348" i="32"/>
  <c r="C348" i="32"/>
  <c r="B349" i="32"/>
  <c r="C349" i="32"/>
  <c r="B350" i="32"/>
  <c r="C350" i="32"/>
  <c r="B351" i="32"/>
  <c r="C351" i="32"/>
  <c r="B352" i="32"/>
  <c r="C352" i="32"/>
  <c r="B353" i="32"/>
  <c r="C353" i="32"/>
  <c r="B354" i="32"/>
  <c r="C354" i="32"/>
  <c r="B355" i="32"/>
  <c r="C355" i="32"/>
  <c r="B356" i="32"/>
  <c r="C356" i="32"/>
  <c r="B357" i="32"/>
  <c r="C357" i="32"/>
  <c r="B358" i="32"/>
  <c r="C358" i="32"/>
  <c r="B359" i="32"/>
  <c r="C359" i="32"/>
  <c r="B360" i="32"/>
  <c r="C360" i="32"/>
  <c r="B361" i="32"/>
  <c r="C361" i="32"/>
  <c r="B362" i="32"/>
  <c r="C362" i="32"/>
  <c r="B363" i="32"/>
  <c r="C363" i="32"/>
  <c r="B364" i="32"/>
  <c r="C364" i="32"/>
  <c r="B365" i="32"/>
  <c r="C365" i="32"/>
  <c r="B366" i="32"/>
  <c r="C366" i="32"/>
  <c r="B367" i="32"/>
  <c r="C367" i="32"/>
  <c r="B368" i="32"/>
  <c r="C368" i="32"/>
  <c r="B369" i="32"/>
  <c r="C369" i="32"/>
  <c r="B370" i="32"/>
  <c r="C370" i="32"/>
  <c r="B371" i="32"/>
  <c r="C371" i="32"/>
  <c r="B372" i="32"/>
  <c r="C372" i="32"/>
  <c r="B373" i="32"/>
  <c r="C373" i="32"/>
  <c r="B374" i="32"/>
  <c r="C374" i="32"/>
  <c r="B375" i="32"/>
  <c r="C375" i="32"/>
  <c r="B376" i="32"/>
  <c r="C376" i="32"/>
  <c r="B377" i="32"/>
  <c r="C377" i="32"/>
  <c r="B378" i="32"/>
  <c r="C378" i="32"/>
  <c r="B379" i="32"/>
  <c r="C379" i="32"/>
  <c r="B380" i="32"/>
  <c r="C380" i="32"/>
  <c r="B381" i="32"/>
  <c r="C381" i="32"/>
  <c r="B382" i="32"/>
  <c r="C382" i="32"/>
  <c r="B383" i="32"/>
  <c r="C383" i="32"/>
  <c r="B384" i="32"/>
  <c r="C384" i="32"/>
  <c r="B385" i="32"/>
  <c r="C385" i="32"/>
  <c r="B386" i="32"/>
  <c r="C386" i="32"/>
  <c r="B387" i="32"/>
  <c r="C387" i="32"/>
  <c r="B3" i="32"/>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C58" i="33"/>
  <c r="B58" i="33"/>
  <c r="C57" i="33"/>
  <c r="B57" i="33"/>
  <c r="C56" i="33"/>
  <c r="B56" i="33"/>
  <c r="C55" i="33"/>
  <c r="B55" i="33"/>
  <c r="C54" i="33"/>
  <c r="B54" i="33"/>
  <c r="C53" i="33"/>
  <c r="B53" i="33"/>
  <c r="C52" i="33"/>
  <c r="B52" i="33"/>
  <c r="C51" i="33"/>
  <c r="B51" i="33"/>
  <c r="K50" i="33"/>
  <c r="H50" i="33"/>
  <c r="J50" i="33" s="1"/>
  <c r="C50" i="33"/>
  <c r="B50" i="33"/>
  <c r="K49" i="33"/>
  <c r="I49" i="33"/>
  <c r="H49" i="33"/>
  <c r="J49" i="33" s="1"/>
  <c r="C49" i="33"/>
  <c r="B49" i="33"/>
  <c r="K48" i="33"/>
  <c r="J48" i="33"/>
  <c r="I48" i="33"/>
  <c r="H48" i="33"/>
  <c r="C48" i="33"/>
  <c r="B48" i="33"/>
  <c r="K47" i="33"/>
  <c r="H47" i="33"/>
  <c r="C47" i="33"/>
  <c r="B47" i="33"/>
  <c r="K46" i="33"/>
  <c r="I46" i="33"/>
  <c r="H46" i="33"/>
  <c r="J46" i="33" s="1"/>
  <c r="B46" i="33"/>
  <c r="K45" i="33"/>
  <c r="H45" i="33"/>
  <c r="I45" i="33" s="1"/>
  <c r="K44" i="33"/>
  <c r="H44" i="33"/>
  <c r="J44" i="33" s="1"/>
  <c r="K43" i="33"/>
  <c r="J43" i="33"/>
  <c r="H43" i="33"/>
  <c r="I43" i="33" s="1"/>
  <c r="K42" i="33"/>
  <c r="H42" i="33"/>
  <c r="J42" i="33" s="1"/>
  <c r="N41" i="33"/>
  <c r="K41" i="33"/>
  <c r="H41" i="33"/>
  <c r="J41" i="33" s="1"/>
  <c r="N40" i="33"/>
  <c r="K40" i="33"/>
  <c r="H40" i="33"/>
  <c r="I40" i="33" s="1"/>
  <c r="K39" i="33"/>
  <c r="J39" i="33"/>
  <c r="I39" i="33"/>
  <c r="H39" i="33"/>
  <c r="N39" i="33"/>
  <c r="N38" i="33"/>
  <c r="K38" i="33"/>
  <c r="H38" i="33"/>
  <c r="I38" i="33" s="1"/>
  <c r="K37" i="33"/>
  <c r="I37" i="33"/>
  <c r="H37" i="33"/>
  <c r="J37" i="33" s="1"/>
  <c r="N37" i="33"/>
  <c r="K36" i="33"/>
  <c r="H36" i="33"/>
  <c r="N36" i="33"/>
  <c r="K35" i="33"/>
  <c r="J35" i="33"/>
  <c r="H35" i="33"/>
  <c r="I35" i="33" s="1"/>
  <c r="N35" i="33"/>
  <c r="N34" i="33"/>
  <c r="K34" i="33"/>
  <c r="H34" i="33"/>
  <c r="I34" i="33" s="1"/>
  <c r="N33" i="33"/>
  <c r="K33" i="33"/>
  <c r="H33" i="33"/>
  <c r="J33" i="33" s="1"/>
  <c r="K32" i="33"/>
  <c r="H32" i="33"/>
  <c r="I32" i="33" s="1"/>
  <c r="K31" i="33"/>
  <c r="J31" i="33"/>
  <c r="H31" i="33"/>
  <c r="I31" i="33" s="1"/>
  <c r="K30" i="33"/>
  <c r="H30" i="33"/>
  <c r="J30" i="33" s="1"/>
  <c r="K29" i="33"/>
  <c r="H29" i="33"/>
  <c r="J29" i="33" s="1"/>
  <c r="N29" i="33"/>
  <c r="K28" i="33"/>
  <c r="H28" i="33"/>
  <c r="K27" i="33"/>
  <c r="H27" i="33"/>
  <c r="I27" i="33" s="1"/>
  <c r="J27" i="33"/>
  <c r="K26" i="33"/>
  <c r="H26" i="33"/>
  <c r="J26" i="33" s="1"/>
  <c r="K25" i="33"/>
  <c r="H25" i="33"/>
  <c r="J25" i="33" s="1"/>
  <c r="K24" i="33"/>
  <c r="H24" i="33"/>
  <c r="J24" i="33"/>
  <c r="K23" i="33"/>
  <c r="H23" i="33"/>
  <c r="I23" i="33" s="1"/>
  <c r="K22" i="33"/>
  <c r="H22" i="33"/>
  <c r="I22" i="33" s="1"/>
  <c r="K21" i="33"/>
  <c r="H21" i="33"/>
  <c r="J21" i="33" s="1"/>
  <c r="K20" i="33"/>
  <c r="H20" i="33"/>
  <c r="I20" i="33" s="1"/>
  <c r="D42" i="34" s="1" a="1"/>
  <c r="D42" i="34" s="1"/>
  <c r="D42" i="73" s="1"/>
  <c r="K19" i="33"/>
  <c r="H19" i="33"/>
  <c r="J19" i="33" s="1"/>
  <c r="D40" i="34" s="1" a="1"/>
  <c r="D40" i="34" s="1"/>
  <c r="D40" i="73" s="1"/>
  <c r="K18" i="33"/>
  <c r="H18" i="33"/>
  <c r="I18" i="33" s="1"/>
  <c r="D36" i="34" s="1" a="1"/>
  <c r="D36" i="34" s="1"/>
  <c r="D36" i="73" s="1"/>
  <c r="K17" i="33"/>
  <c r="H17" i="33"/>
  <c r="I17" i="33" s="1"/>
  <c r="D33" i="34" s="1" a="1"/>
  <c r="D33" i="34" s="1"/>
  <c r="D33" i="73" s="1"/>
  <c r="K16" i="33"/>
  <c r="H16" i="33"/>
  <c r="J16" i="33" s="1"/>
  <c r="D31" i="34" s="1" a="1"/>
  <c r="D31" i="34" s="1"/>
  <c r="D31" i="73" s="1"/>
  <c r="K15" i="33"/>
  <c r="H15" i="33"/>
  <c r="J15" i="33" s="1"/>
  <c r="K14" i="33"/>
  <c r="H14" i="33"/>
  <c r="K13" i="33"/>
  <c r="H13" i="33"/>
  <c r="K12" i="33"/>
  <c r="I12" i="33"/>
  <c r="H12" i="33"/>
  <c r="K11" i="33"/>
  <c r="I11" i="33"/>
  <c r="K10" i="33"/>
  <c r="H10" i="33"/>
  <c r="J10" i="33" s="1"/>
  <c r="K9" i="33"/>
  <c r="H9" i="33"/>
  <c r="K8" i="33"/>
  <c r="H8" i="33"/>
  <c r="N6" i="33"/>
  <c r="N4" i="33"/>
  <c r="N3" i="33"/>
  <c r="N2" i="33"/>
  <c r="D20" i="10"/>
  <c r="D18" i="10"/>
  <c r="D19" i="10"/>
  <c r="C388" i="32"/>
  <c r="C389" i="32"/>
  <c r="C390" i="32"/>
  <c r="C391" i="32"/>
  <c r="C392" i="32"/>
  <c r="C393" i="32"/>
  <c r="C3" i="32"/>
  <c r="B393" i="32"/>
  <c r="B392" i="32"/>
  <c r="B391" i="32"/>
  <c r="B390" i="32"/>
  <c r="B389" i="32"/>
  <c r="B388" i="32"/>
  <c r="G8" i="31"/>
  <c r="D11" i="10"/>
  <c r="M3" i="31"/>
  <c r="M2" i="31"/>
  <c r="M4" i="31"/>
  <c r="M6" i="31"/>
  <c r="B8" i="31"/>
  <c r="J8" i="31" s="1"/>
  <c r="D5" i="32" s="1" a="1"/>
  <c r="D5" i="32" s="1"/>
  <c r="C8" i="31"/>
  <c r="M8" i="31" s="1"/>
  <c r="B40" i="31"/>
  <c r="B41" i="31"/>
  <c r="C41" i="31"/>
  <c r="B42" i="31"/>
  <c r="C42" i="31"/>
  <c r="B43" i="31"/>
  <c r="C43" i="31"/>
  <c r="B44" i="31"/>
  <c r="C44" i="31"/>
  <c r="B45" i="31"/>
  <c r="C45" i="31"/>
  <c r="B46" i="31"/>
  <c r="C46" i="31"/>
  <c r="B47" i="31"/>
  <c r="C47" i="31"/>
  <c r="B48" i="31"/>
  <c r="C48" i="31"/>
  <c r="B49" i="31"/>
  <c r="C49" i="31"/>
  <c r="B50" i="31"/>
  <c r="C50" i="31"/>
  <c r="B51" i="31"/>
  <c r="C51" i="31"/>
  <c r="B52" i="31"/>
  <c r="C52" i="31"/>
  <c r="B53" i="31"/>
  <c r="C53" i="31"/>
  <c r="B54" i="31"/>
  <c r="C54" i="31"/>
  <c r="B55" i="31"/>
  <c r="C55" i="31"/>
  <c r="B56" i="31"/>
  <c r="C56" i="31"/>
  <c r="B57" i="31"/>
  <c r="C57" i="31"/>
  <c r="B58" i="31"/>
  <c r="C58" i="31"/>
  <c r="B59" i="31"/>
  <c r="C59" i="31"/>
  <c r="B60" i="31"/>
  <c r="C60" i="31"/>
  <c r="B61" i="31"/>
  <c r="C61" i="31"/>
  <c r="B62" i="31"/>
  <c r="C62" i="31"/>
  <c r="B63" i="31"/>
  <c r="C63" i="31"/>
  <c r="B64" i="31"/>
  <c r="C64" i="31"/>
  <c r="B65" i="31"/>
  <c r="C65" i="31"/>
  <c r="B66" i="31"/>
  <c r="C66" i="31"/>
  <c r="B67" i="31"/>
  <c r="C67" i="31"/>
  <c r="B68" i="31"/>
  <c r="C68" i="31"/>
  <c r="B69" i="31"/>
  <c r="C69" i="31"/>
  <c r="B70" i="31"/>
  <c r="C70" i="31"/>
  <c r="B71" i="31"/>
  <c r="C71" i="31"/>
  <c r="B72" i="31"/>
  <c r="C72" i="31"/>
  <c r="B73" i="31"/>
  <c r="C73" i="31"/>
  <c r="B74" i="31"/>
  <c r="C74" i="31"/>
  <c r="B75" i="31"/>
  <c r="C75" i="31"/>
  <c r="B76" i="31"/>
  <c r="C76" i="31"/>
  <c r="B77" i="31"/>
  <c r="C77" i="31"/>
  <c r="B78" i="31"/>
  <c r="C78" i="31"/>
  <c r="B79" i="31"/>
  <c r="C79" i="31"/>
  <c r="B80" i="31"/>
  <c r="C80" i="31"/>
  <c r="B81" i="31"/>
  <c r="C81" i="31"/>
  <c r="B82" i="31"/>
  <c r="C82" i="31"/>
  <c r="B83" i="31"/>
  <c r="C83" i="31"/>
  <c r="B84" i="31"/>
  <c r="C84" i="31"/>
  <c r="B85" i="31"/>
  <c r="C85" i="31"/>
  <c r="B86" i="31"/>
  <c r="C86" i="31"/>
  <c r="B87" i="31"/>
  <c r="C87" i="31"/>
  <c r="B88" i="31"/>
  <c r="C88" i="31"/>
  <c r="B89" i="31"/>
  <c r="C89" i="31"/>
  <c r="B90" i="31"/>
  <c r="C90" i="31"/>
  <c r="B91" i="31"/>
  <c r="C91" i="31"/>
  <c r="B92" i="31"/>
  <c r="C92" i="31"/>
  <c r="B93" i="31"/>
  <c r="C93" i="31"/>
  <c r="B94" i="31"/>
  <c r="C94" i="31"/>
  <c r="B95" i="31"/>
  <c r="C95" i="31"/>
  <c r="B96" i="31"/>
  <c r="C96" i="31"/>
  <c r="B97" i="31"/>
  <c r="C97" i="31"/>
  <c r="B98" i="31"/>
  <c r="C98" i="31"/>
  <c r="B99" i="31"/>
  <c r="C99" i="31"/>
  <c r="C7" i="31"/>
  <c r="B7" i="31"/>
  <c r="D2" i="9"/>
  <c r="D37" i="10" s="1" a="1"/>
  <c r="D37" i="10" s="1"/>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D36" i="10" s="1" a="1"/>
  <c r="D36" i="10" s="1"/>
  <c r="E2" i="9"/>
  <c r="D38" i="10" s="1" a="1"/>
  <c r="D38" i="10" s="1"/>
  <c r="F2" i="9"/>
  <c r="D39" i="10" s="1" a="1"/>
  <c r="D39" i="10" s="1"/>
  <c r="G2" i="9"/>
  <c r="D40" i="10" s="1" a="1"/>
  <c r="D40" i="10" s="1"/>
  <c r="H2" i="9"/>
  <c r="D41" i="10" s="1" a="1"/>
  <c r="D41" i="10" s="1"/>
  <c r="E3" i="78" l="1"/>
  <c r="D6" i="81"/>
  <c r="J20" i="33"/>
  <c r="D43" i="34" s="1" a="1"/>
  <c r="D43" i="34" s="1"/>
  <c r="D43" i="73" s="1"/>
  <c r="M5" i="31"/>
  <c r="I36" i="31"/>
  <c r="D88" i="32" s="1" a="1"/>
  <c r="D88" i="32" s="1"/>
  <c r="I28" i="31"/>
  <c r="D64" i="32" s="1" a="1"/>
  <c r="D64" i="32" s="1"/>
  <c r="I20" i="31"/>
  <c r="D40" i="32" s="1" a="1"/>
  <c r="D40" i="32" s="1"/>
  <c r="I12" i="31"/>
  <c r="D16" i="32" s="1" a="1"/>
  <c r="D16" i="32" s="1"/>
  <c r="I30" i="31"/>
  <c r="D70" i="32" s="1" a="1"/>
  <c r="D70" i="32" s="1"/>
  <c r="I22" i="31"/>
  <c r="D46" i="32" s="1" a="1"/>
  <c r="D46" i="32" s="1"/>
  <c r="I14" i="31"/>
  <c r="D22" i="32" s="1" a="1"/>
  <c r="D22" i="32" s="1"/>
  <c r="I32" i="31"/>
  <c r="D76" i="32" s="1" a="1"/>
  <c r="D76" i="32" s="1"/>
  <c r="I24" i="31"/>
  <c r="D52" i="32" s="1" a="1"/>
  <c r="D52" i="32" s="1"/>
  <c r="I16" i="31"/>
  <c r="D28" i="32" s="1" a="1"/>
  <c r="D28" i="32" s="1"/>
  <c r="I19" i="33"/>
  <c r="D39" i="34" s="1" a="1"/>
  <c r="D39" i="34" s="1"/>
  <c r="D39" i="73" s="1"/>
  <c r="J18" i="33"/>
  <c r="D37" i="34" s="1" a="1"/>
  <c r="D37" i="34" s="1"/>
  <c r="D37" i="73" s="1"/>
  <c r="I59" i="31"/>
  <c r="D157" i="32" s="1" a="1"/>
  <c r="D157" i="32" s="1"/>
  <c r="I57" i="31"/>
  <c r="D151" i="32" s="1" a="1"/>
  <c r="D151" i="32" s="1"/>
  <c r="I55" i="31"/>
  <c r="D145" i="32" s="1" a="1"/>
  <c r="D145" i="32" s="1"/>
  <c r="I53" i="31"/>
  <c r="D139" i="32" s="1" a="1"/>
  <c r="D139" i="32" s="1"/>
  <c r="I51" i="31"/>
  <c r="D133" i="32" s="1" a="1"/>
  <c r="D133" i="32" s="1"/>
  <c r="I49" i="31"/>
  <c r="D127" i="32" s="1" a="1"/>
  <c r="D127" i="32" s="1"/>
  <c r="I47" i="31"/>
  <c r="D121" i="32" s="1" a="1"/>
  <c r="D121" i="32" s="1"/>
  <c r="I45" i="31"/>
  <c r="D115" i="32" s="1" a="1"/>
  <c r="D115" i="32" s="1"/>
  <c r="I43" i="31"/>
  <c r="D109" i="32" s="1" a="1"/>
  <c r="D109" i="32" s="1"/>
  <c r="I41" i="31"/>
  <c r="D103" i="32" s="1" a="1"/>
  <c r="D103" i="32" s="1"/>
  <c r="I39" i="31"/>
  <c r="D97" i="32" s="1" a="1"/>
  <c r="D97" i="32" s="1"/>
  <c r="I37" i="31"/>
  <c r="D91" i="32" s="1" a="1"/>
  <c r="D91" i="32" s="1"/>
  <c r="I35" i="31"/>
  <c r="D85" i="32" s="1" a="1"/>
  <c r="D85" i="32" s="1"/>
  <c r="I33" i="31"/>
  <c r="D79" i="32" s="1" a="1"/>
  <c r="D79" i="32" s="1"/>
  <c r="I31" i="31"/>
  <c r="D73" i="32" s="1" a="1"/>
  <c r="D73" i="32" s="1"/>
  <c r="I29" i="31"/>
  <c r="D67" i="32" s="1" a="1"/>
  <c r="D67" i="32" s="1"/>
  <c r="I27" i="31"/>
  <c r="D61" i="32" s="1" a="1"/>
  <c r="D61" i="32" s="1"/>
  <c r="I25" i="31"/>
  <c r="D55" i="32" s="1" a="1"/>
  <c r="D55" i="32" s="1"/>
  <c r="I23" i="31"/>
  <c r="D49" i="32" s="1" a="1"/>
  <c r="D49" i="32" s="1"/>
  <c r="I21" i="31"/>
  <c r="D43" i="32" s="1" a="1"/>
  <c r="D43" i="32" s="1"/>
  <c r="I19" i="31"/>
  <c r="D37" i="32" s="1" a="1"/>
  <c r="D37" i="32" s="1"/>
  <c r="I17" i="31"/>
  <c r="D31" i="32" s="1" a="1"/>
  <c r="D31" i="32" s="1"/>
  <c r="I15" i="31"/>
  <c r="D25" i="32" s="1" a="1"/>
  <c r="D25" i="32" s="1"/>
  <c r="I13" i="31"/>
  <c r="D19" i="32" s="1" a="1"/>
  <c r="D19" i="32" s="1"/>
  <c r="I11" i="31"/>
  <c r="D13" i="32" s="1" a="1"/>
  <c r="D13" i="32" s="1"/>
  <c r="I9" i="31"/>
  <c r="D7" i="32" s="1" a="1"/>
  <c r="D7" i="32" s="1"/>
  <c r="B27" i="31"/>
  <c r="C27" i="31"/>
  <c r="I8" i="31"/>
  <c r="D4" i="32" s="1" a="1"/>
  <c r="D4" i="32" s="1"/>
  <c r="H8" i="31"/>
  <c r="D3" i="32" s="1" a="1"/>
  <c r="D3" i="32" s="1"/>
  <c r="J14" i="33"/>
  <c r="J9" i="33"/>
  <c r="I13" i="33"/>
  <c r="D21" i="34" s="1" a="1"/>
  <c r="D21" i="34" s="1"/>
  <c r="D21" i="73" s="1"/>
  <c r="J8" i="33"/>
  <c r="J12" i="33"/>
  <c r="I7" i="33"/>
  <c r="D3" i="34" s="1" a="1"/>
  <c r="D3" i="34" s="1"/>
  <c r="D3" i="73" s="1"/>
  <c r="J13" i="33"/>
  <c r="D22" i="34" s="1" a="1"/>
  <c r="D22" i="34" s="1"/>
  <c r="D22" i="73" s="1"/>
  <c r="I10" i="33"/>
  <c r="J11" i="33"/>
  <c r="J7" i="33"/>
  <c r="J23" i="33"/>
  <c r="I25" i="33"/>
  <c r="J22" i="33"/>
  <c r="J34" i="33"/>
  <c r="J38" i="33"/>
  <c r="I30" i="33"/>
  <c r="I33" i="33"/>
  <c r="I41" i="33"/>
  <c r="I9" i="33"/>
  <c r="I8" i="33"/>
  <c r="E3" i="34" s="1"/>
  <c r="I16" i="33"/>
  <c r="D30" i="34" s="1" a="1"/>
  <c r="D30" i="34" s="1"/>
  <c r="D30" i="73" s="1"/>
  <c r="J17" i="33"/>
  <c r="D34" i="34" s="1" a="1"/>
  <c r="D34" i="34" s="1"/>
  <c r="D34" i="73" s="1"/>
  <c r="I21" i="33"/>
  <c r="I28" i="33"/>
  <c r="J36" i="33"/>
  <c r="I36" i="33"/>
  <c r="J40" i="33"/>
  <c r="I29" i="33"/>
  <c r="I15" i="33"/>
  <c r="I24" i="33"/>
  <c r="J28" i="33"/>
  <c r="J32" i="33"/>
  <c r="J45" i="33"/>
  <c r="J47" i="33"/>
  <c r="I47" i="33"/>
  <c r="I14" i="33"/>
  <c r="I26" i="33"/>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1" i="9" l="1"/>
  <c r="D30" i="10" s="1"/>
  <c r="B150" i="14"/>
  <c r="D150" i="14" s="1" a="1"/>
  <c r="D150" i="14" s="1"/>
  <c r="C150" i="14"/>
  <c r="B151" i="14"/>
  <c r="D151" i="14" s="1" a="1"/>
  <c r="D151" i="14" s="1"/>
  <c r="C151" i="14"/>
  <c r="B152" i="14"/>
  <c r="D152" i="14" s="1" a="1"/>
  <c r="D152" i="14" s="1"/>
  <c r="C152" i="14"/>
  <c r="B153" i="14"/>
  <c r="D153" i="14" s="1" a="1"/>
  <c r="D153" i="14" s="1"/>
  <c r="C153" i="14"/>
  <c r="B154" i="14"/>
  <c r="D154" i="14" s="1" a="1"/>
  <c r="D154" i="14" s="1"/>
  <c r="C154" i="14"/>
  <c r="B155" i="14"/>
  <c r="D155" i="14" s="1" a="1"/>
  <c r="D155" i="14" s="1"/>
  <c r="C155" i="14"/>
  <c r="B156" i="14"/>
  <c r="D156" i="14" s="1" a="1"/>
  <c r="D156" i="14" s="1"/>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D148" i="14" s="1" a="1"/>
  <c r="D148" i="14" s="1"/>
  <c r="C147" i="14"/>
  <c r="B147" i="14"/>
  <c r="D147" i="14" s="1" a="1"/>
  <c r="D147" i="14" s="1"/>
  <c r="C146" i="14"/>
  <c r="B146" i="14"/>
  <c r="D146" i="14" s="1" a="1"/>
  <c r="D146" i="14" s="1"/>
  <c r="C145" i="14"/>
  <c r="B145" i="14"/>
  <c r="C144" i="14"/>
  <c r="B144" i="14"/>
  <c r="D144" i="14" s="1" a="1"/>
  <c r="D144" i="14" s="1"/>
  <c r="C143" i="14"/>
  <c r="B143" i="14"/>
  <c r="D143" i="14" s="1" a="1"/>
  <c r="D143" i="14" s="1"/>
  <c r="C142" i="14"/>
  <c r="B142" i="14"/>
  <c r="D142" i="14" s="1" a="1"/>
  <c r="D142" i="14" s="1"/>
  <c r="C141" i="14"/>
  <c r="B141" i="14"/>
  <c r="C140" i="14"/>
  <c r="B140" i="14"/>
  <c r="D140" i="14" s="1" a="1"/>
  <c r="D140" i="14" s="1"/>
  <c r="C139" i="14"/>
  <c r="B139" i="14"/>
  <c r="D139" i="14" s="1" a="1"/>
  <c r="D139" i="14" s="1"/>
  <c r="C138" i="14"/>
  <c r="B138" i="14"/>
  <c r="D138" i="14" s="1" a="1"/>
  <c r="D138" i="14" s="1"/>
  <c r="C137" i="14"/>
  <c r="B137" i="14"/>
  <c r="C136" i="14"/>
  <c r="B136" i="14"/>
  <c r="D136" i="14" s="1" a="1"/>
  <c r="D136" i="14" s="1"/>
  <c r="C135" i="14"/>
  <c r="B135" i="14"/>
  <c r="D135" i="14" s="1" a="1"/>
  <c r="D135" i="14" s="1"/>
  <c r="C134" i="14"/>
  <c r="B134" i="14"/>
  <c r="D134" i="14" s="1" a="1"/>
  <c r="D134" i="14" s="1"/>
  <c r="C133" i="14"/>
  <c r="B133" i="14"/>
  <c r="C132" i="14"/>
  <c r="B132" i="14"/>
  <c r="D132" i="14" s="1" a="1"/>
  <c r="D132" i="14" s="1"/>
  <c r="C131" i="14"/>
  <c r="B131" i="14"/>
  <c r="D131" i="14" s="1" a="1"/>
  <c r="D131" i="14" s="1"/>
  <c r="C130" i="14"/>
  <c r="B130" i="14"/>
  <c r="D130" i="14" s="1" a="1"/>
  <c r="D130" i="14" s="1"/>
  <c r="C129" i="14"/>
  <c r="B129" i="14"/>
  <c r="C128" i="14"/>
  <c r="B128" i="14"/>
  <c r="D128" i="14" s="1" a="1"/>
  <c r="D128" i="14" s="1"/>
  <c r="C127" i="14"/>
  <c r="B127" i="14"/>
  <c r="D127" i="14" s="1" a="1"/>
  <c r="D127" i="14" s="1"/>
  <c r="C126" i="14"/>
  <c r="B126" i="14"/>
  <c r="D126" i="14" s="1" a="1"/>
  <c r="D126" i="14" s="1"/>
  <c r="C125" i="14"/>
  <c r="B125" i="14"/>
  <c r="C124" i="14"/>
  <c r="B124" i="14"/>
  <c r="D124" i="14" s="1" a="1"/>
  <c r="D124" i="14" s="1"/>
  <c r="C123" i="14"/>
  <c r="B123" i="14"/>
  <c r="D123" i="14" s="1" a="1"/>
  <c r="D123" i="14" s="1"/>
  <c r="C122" i="14"/>
  <c r="B122" i="14"/>
  <c r="D122" i="14" s="1" a="1"/>
  <c r="D122" i="14" s="1"/>
  <c r="C121" i="14"/>
  <c r="B121" i="14"/>
  <c r="C120" i="14"/>
  <c r="B120" i="14"/>
  <c r="D120" i="14" s="1" a="1"/>
  <c r="D120" i="14" s="1"/>
  <c r="C119" i="14"/>
  <c r="B119" i="14"/>
  <c r="D119" i="14" s="1" a="1"/>
  <c r="D119" i="14" s="1"/>
  <c r="C118" i="14"/>
  <c r="B118" i="14"/>
  <c r="D118" i="14" s="1" a="1"/>
  <c r="D118" i="14" s="1"/>
  <c r="C117" i="14"/>
  <c r="B117" i="14"/>
  <c r="C116" i="14"/>
  <c r="B116" i="14"/>
  <c r="D116" i="14" s="1" a="1"/>
  <c r="D116" i="14" s="1"/>
  <c r="C115" i="14"/>
  <c r="B115" i="14"/>
  <c r="D115" i="14" s="1" a="1"/>
  <c r="D115" i="14" s="1"/>
  <c r="C114" i="14"/>
  <c r="B114" i="14"/>
  <c r="D114" i="14" s="1" a="1"/>
  <c r="D114" i="14" s="1"/>
  <c r="C113" i="14"/>
  <c r="B113" i="14"/>
  <c r="C112" i="14"/>
  <c r="B112" i="14"/>
  <c r="D112" i="14" s="1" a="1"/>
  <c r="D112" i="14" s="1"/>
  <c r="C111" i="14"/>
  <c r="B111" i="14"/>
  <c r="D111" i="14" s="1" a="1"/>
  <c r="D111" i="14" s="1"/>
  <c r="C110" i="14"/>
  <c r="B110" i="14"/>
  <c r="D110" i="14" s="1" a="1"/>
  <c r="D110" i="14" s="1"/>
  <c r="C109" i="14"/>
  <c r="B109" i="14"/>
  <c r="C108" i="14"/>
  <c r="B108" i="14"/>
  <c r="D108" i="14" s="1" a="1"/>
  <c r="D108" i="14" s="1"/>
  <c r="C107" i="14"/>
  <c r="B107" i="14"/>
  <c r="D107" i="14" s="1" a="1"/>
  <c r="D107" i="14" s="1"/>
  <c r="C106" i="14"/>
  <c r="B106" i="14"/>
  <c r="D106" i="14" s="1" a="1"/>
  <c r="D106" i="14" s="1"/>
  <c r="C105" i="14"/>
  <c r="B105" i="14"/>
  <c r="C104" i="14"/>
  <c r="B104" i="14"/>
  <c r="D104" i="14" s="1" a="1"/>
  <c r="D104" i="14" s="1"/>
  <c r="C103" i="14"/>
  <c r="B103" i="14"/>
  <c r="D103" i="14" s="1" a="1"/>
  <c r="D103" i="14" s="1"/>
  <c r="C102" i="14"/>
  <c r="B102" i="14"/>
  <c r="D102" i="14" s="1" a="1"/>
  <c r="D102" i="14" s="1"/>
  <c r="C101" i="14"/>
  <c r="B101" i="14"/>
  <c r="C100" i="14"/>
  <c r="B100" i="14"/>
  <c r="D100" i="14" s="1" a="1"/>
  <c r="D100" i="14" s="1"/>
  <c r="C99" i="14"/>
  <c r="B99" i="14"/>
  <c r="D99" i="14" s="1" a="1"/>
  <c r="D99" i="14" s="1"/>
  <c r="C98" i="14"/>
  <c r="B98" i="14"/>
  <c r="D98" i="14" s="1" a="1"/>
  <c r="D98" i="14" s="1"/>
  <c r="C97" i="14"/>
  <c r="B97" i="14"/>
  <c r="C96" i="14"/>
  <c r="B96" i="14"/>
  <c r="D96" i="14" s="1" a="1"/>
  <c r="D96" i="14" s="1"/>
  <c r="C95" i="14"/>
  <c r="B95" i="14"/>
  <c r="D95" i="14" s="1" a="1"/>
  <c r="D95" i="14" s="1"/>
  <c r="C94" i="14"/>
  <c r="B94" i="14"/>
  <c r="D94" i="14" s="1" a="1"/>
  <c r="D94" i="14" s="1"/>
  <c r="C93" i="14"/>
  <c r="B93" i="14"/>
  <c r="C92" i="14"/>
  <c r="B92" i="14"/>
  <c r="D92" i="14" s="1" a="1"/>
  <c r="D92" i="14" s="1"/>
  <c r="C91" i="14"/>
  <c r="B91" i="14"/>
  <c r="D91" i="14" s="1" a="1"/>
  <c r="D91" i="14" s="1"/>
  <c r="C90" i="14"/>
  <c r="B90" i="14"/>
  <c r="D90" i="14" s="1" a="1"/>
  <c r="D90" i="14" s="1"/>
  <c r="C89" i="14"/>
  <c r="B89" i="14"/>
  <c r="C88" i="14"/>
  <c r="B88" i="14"/>
  <c r="D88" i="14" s="1" a="1"/>
  <c r="D88" i="14" s="1"/>
  <c r="C87" i="14"/>
  <c r="B87" i="14"/>
  <c r="D87" i="14" s="1" a="1"/>
  <c r="D87" i="14" s="1"/>
  <c r="C86" i="14"/>
  <c r="B86" i="14"/>
  <c r="D86" i="14" s="1" a="1"/>
  <c r="D86" i="14" s="1"/>
  <c r="C85" i="14"/>
  <c r="B85" i="14"/>
  <c r="C84" i="14"/>
  <c r="B84" i="14"/>
  <c r="D84" i="14" s="1" a="1"/>
  <c r="D84" i="14" s="1"/>
  <c r="C83" i="14"/>
  <c r="B83" i="14"/>
  <c r="D83" i="14" s="1" a="1"/>
  <c r="D83" i="14" s="1"/>
  <c r="C82" i="14"/>
  <c r="B82" i="14"/>
  <c r="D82" i="14" s="1" a="1"/>
  <c r="D82" i="14" s="1"/>
  <c r="C81" i="14"/>
  <c r="B81" i="14"/>
  <c r="C80" i="14"/>
  <c r="B80" i="14"/>
  <c r="D80" i="14" s="1" a="1"/>
  <c r="D80" i="14" s="1"/>
  <c r="C79" i="14"/>
  <c r="B79" i="14"/>
  <c r="D79" i="14" s="1" a="1"/>
  <c r="D79" i="14" s="1"/>
  <c r="C78" i="14"/>
  <c r="B78" i="14"/>
  <c r="D78" i="14" s="1" a="1"/>
  <c r="D78" i="14" s="1"/>
  <c r="C77" i="14"/>
  <c r="B77" i="14"/>
  <c r="C76" i="14"/>
  <c r="B76" i="14"/>
  <c r="D76" i="14" s="1" a="1"/>
  <c r="D76" i="14" s="1"/>
  <c r="C75" i="14"/>
  <c r="B75" i="14"/>
  <c r="D75" i="14" s="1" a="1"/>
  <c r="D75" i="14" s="1"/>
  <c r="C74" i="14"/>
  <c r="B74" i="14"/>
  <c r="D74" i="14" s="1" a="1"/>
  <c r="D74" i="14" s="1"/>
  <c r="C73" i="14"/>
  <c r="B73" i="14"/>
  <c r="C72" i="14"/>
  <c r="B72" i="14"/>
  <c r="D72" i="14" s="1" a="1"/>
  <c r="D72" i="14" s="1"/>
  <c r="C71" i="14"/>
  <c r="B71" i="14"/>
  <c r="D71" i="14" s="1" a="1"/>
  <c r="D71" i="14" s="1"/>
  <c r="C70" i="14"/>
  <c r="B70" i="14"/>
  <c r="D70" i="14" s="1" a="1"/>
  <c r="D70" i="14" s="1"/>
  <c r="C69" i="14"/>
  <c r="B69" i="14"/>
  <c r="C68" i="14"/>
  <c r="B68" i="14"/>
  <c r="D68" i="14" s="1" a="1"/>
  <c r="D68" i="14" s="1"/>
  <c r="C67" i="14"/>
  <c r="B67" i="14"/>
  <c r="D67" i="14" s="1" a="1"/>
  <c r="D67" i="14" s="1"/>
  <c r="C66" i="14"/>
  <c r="B66" i="14"/>
  <c r="D66" i="14" s="1" a="1"/>
  <c r="D66" i="14" s="1"/>
  <c r="C65" i="14"/>
  <c r="B65" i="14"/>
  <c r="C64" i="14"/>
  <c r="B64" i="14"/>
  <c r="D64" i="14" s="1" a="1"/>
  <c r="D64" i="14" s="1"/>
  <c r="C63" i="14"/>
  <c r="B63" i="14"/>
  <c r="D63" i="14" s="1" a="1"/>
  <c r="D63" i="14" s="1"/>
  <c r="C62" i="14"/>
  <c r="B62" i="14"/>
  <c r="D62" i="14" s="1" a="1"/>
  <c r="D62" i="14" s="1"/>
  <c r="C61" i="14"/>
  <c r="B61" i="14"/>
  <c r="C60" i="14"/>
  <c r="B60" i="14"/>
  <c r="D60" i="14" s="1" a="1"/>
  <c r="D60" i="14" s="1"/>
  <c r="C59" i="14"/>
  <c r="B59" i="14"/>
  <c r="D59" i="14" s="1" a="1"/>
  <c r="D59" i="14" s="1"/>
  <c r="C58" i="14"/>
  <c r="B58" i="14"/>
  <c r="D58" i="14" s="1" a="1"/>
  <c r="D58" i="14" s="1"/>
  <c r="C57" i="14"/>
  <c r="B57" i="14"/>
  <c r="C56" i="14"/>
  <c r="B56" i="14"/>
  <c r="D56" i="14" s="1" a="1"/>
  <c r="D56" i="14" s="1"/>
  <c r="C55" i="14"/>
  <c r="B55" i="14"/>
  <c r="D55" i="14" s="1" a="1"/>
  <c r="D55" i="14" s="1"/>
  <c r="C54" i="14"/>
  <c r="B54" i="14"/>
  <c r="D54" i="14" s="1" a="1"/>
  <c r="D54" i="14" s="1"/>
  <c r="C53" i="14"/>
  <c r="B53" i="14"/>
  <c r="C52" i="14"/>
  <c r="B52" i="14"/>
  <c r="D52" i="14" s="1" a="1"/>
  <c r="D52" i="14" s="1"/>
  <c r="C51" i="14"/>
  <c r="B51" i="14"/>
  <c r="D51" i="14" s="1" a="1"/>
  <c r="D51" i="14" s="1"/>
  <c r="C50" i="14"/>
  <c r="B50" i="14"/>
  <c r="D50" i="14" s="1" a="1"/>
  <c r="D50" i="14" s="1"/>
  <c r="C49" i="14"/>
  <c r="B49" i="14"/>
  <c r="C48" i="14"/>
  <c r="B48" i="14"/>
  <c r="D48" i="14" s="1" a="1"/>
  <c r="D48" i="14" s="1"/>
  <c r="C47" i="14"/>
  <c r="B47" i="14"/>
  <c r="D47" i="14" s="1" a="1"/>
  <c r="D47" i="14" s="1"/>
  <c r="C46" i="14"/>
  <c r="B46" i="14"/>
  <c r="D46" i="14" s="1" a="1"/>
  <c r="D46" i="14" s="1"/>
  <c r="C45" i="14"/>
  <c r="B45" i="14"/>
  <c r="C44" i="14"/>
  <c r="B44" i="14"/>
  <c r="D44" i="14" s="1" a="1"/>
  <c r="D44" i="14" s="1"/>
  <c r="C43" i="14"/>
  <c r="B43" i="14"/>
  <c r="D43" i="14" s="1" a="1"/>
  <c r="D43" i="14" s="1"/>
  <c r="C42" i="14"/>
  <c r="B42" i="14"/>
  <c r="D42" i="14" s="1" a="1"/>
  <c r="D42" i="14" s="1"/>
  <c r="C41" i="14"/>
  <c r="B41" i="14"/>
  <c r="C40" i="14"/>
  <c r="B40" i="14"/>
  <c r="D40" i="14" s="1" a="1"/>
  <c r="D40" i="14" s="1"/>
  <c r="C39" i="14"/>
  <c r="B39" i="14"/>
  <c r="D39" i="14" s="1" a="1"/>
  <c r="D39" i="14" s="1"/>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41" i="14" l="1" a="1"/>
  <c r="D41" i="14" s="1"/>
  <c r="D45" i="14" a="1"/>
  <c r="D45" i="14" s="1"/>
  <c r="D49" i="14" a="1"/>
  <c r="D49" i="14" s="1"/>
  <c r="D53" i="14" a="1"/>
  <c r="D53" i="14" s="1"/>
  <c r="D57" i="14" a="1"/>
  <c r="D57" i="14" s="1"/>
  <c r="D61" i="14" a="1"/>
  <c r="D61" i="14" s="1"/>
  <c r="D65" i="14" a="1"/>
  <c r="D65" i="14" s="1"/>
  <c r="D69" i="14" a="1"/>
  <c r="D69" i="14" s="1"/>
  <c r="D73" i="14" a="1"/>
  <c r="D73" i="14" s="1"/>
  <c r="D77" i="14" a="1"/>
  <c r="D77" i="14" s="1"/>
  <c r="D81" i="14" a="1"/>
  <c r="D81" i="14" s="1"/>
  <c r="D85" i="14" a="1"/>
  <c r="D85" i="14" s="1"/>
  <c r="D89" i="14" a="1"/>
  <c r="D89" i="14" s="1"/>
  <c r="D93" i="14" a="1"/>
  <c r="D93" i="14" s="1"/>
  <c r="D97" i="14" a="1"/>
  <c r="D97" i="14" s="1"/>
  <c r="D101" i="14" a="1"/>
  <c r="D101" i="14" s="1"/>
  <c r="D105" i="14" a="1"/>
  <c r="D105" i="14" s="1"/>
  <c r="D109" i="14" a="1"/>
  <c r="D109" i="14" s="1"/>
  <c r="D113" i="14" a="1"/>
  <c r="D113" i="14" s="1"/>
  <c r="D117" i="14" a="1"/>
  <c r="D117" i="14" s="1"/>
  <c r="D121" i="14" a="1"/>
  <c r="D121" i="14" s="1"/>
  <c r="D125" i="14" a="1"/>
  <c r="D125" i="14" s="1"/>
  <c r="D129" i="14" a="1"/>
  <c r="D129" i="14" s="1"/>
  <c r="D133" i="14" a="1"/>
  <c r="D133" i="14" s="1"/>
  <c r="D137" i="14" a="1"/>
  <c r="D137" i="14" s="1"/>
  <c r="D141" i="14" a="1"/>
  <c r="D141" i="14" s="1"/>
  <c r="D145" i="14" a="1"/>
  <c r="D145" i="14" s="1"/>
  <c r="D149" i="14" a="1"/>
  <c r="D149" i="14" s="1"/>
  <c r="D38" i="14"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tc={FB1CA331-EAE7-4B97-B380-7DD06121324E}</author>
  </authors>
  <commentList>
    <comment ref="B27" authorId="0" shapeId="0" xr:uid="{FB1CA331-EAE7-4B97-B380-7DD06121324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tc={F3C3889C-74A9-4669-AC15-75A793D994E2}</author>
    <author>tc={6CB55A1A-8076-4814-BCC7-6BC525FA2D5E}</author>
    <author>tc={59F860D6-A6D6-46F7-98C0-589BE30AA949}</author>
    <author>tc={C85F808C-531A-43C1-985E-9BDDFDF87348}</author>
  </authors>
  <commentList>
    <comment ref="B37" authorId="0" shapeId="0" xr:uid="{F3C3889C-74A9-4669-AC15-75A793D994E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 ref="G37" authorId="1" shapeId="0" xr:uid="{6CB55A1A-8076-4814-BCC7-6BC525FA2D5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 ref="D39" authorId="2" shapeId="0" xr:uid="{59F860D6-A6D6-46F7-98C0-589BE30AA94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for my curiosity ...can be the boost of a different type of the main treatment ?</t>
      </text>
    </comment>
    <comment ref="B53" authorId="3" shapeId="0" xr:uid="{C85F808C-531A-43C1-985E-9BDDFDF8734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<sst xmlns="http://schemas.openxmlformats.org/spreadsheetml/2006/main" count="2961" uniqueCount="1264">
  <si>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</si>
  <si>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</si>
  <si>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</si>
  <si>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</si>
  <si>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</si>
  <si>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</si>
  <si>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</si>
  <si>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</si>
  <si>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</si>
  <si>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</si>
  <si>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</si>
  <si>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</si>
  <si>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</si>
  <si>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</si>
  <si>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</si>
  <si>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</si>
  <si>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</si>
  <si>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</si>
  <si>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</si>
  <si>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</si>
  <si>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</si>
  <si>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</si>
  <si>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Subject</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</si>
  <si>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</si>
  <si>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</si>
  <si>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</si>
  <si>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</si>
  <si>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</si>
  <si>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</si>
  <si>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</si>
  <si>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</si>
  <si>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</si>
  <si>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</si>
  <si>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</si>
  <si>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</si>
  <si>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</si>
  <si>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Subject of care</t>
  </si>
  <si>
    <t>identifier</t>
  </si>
  <si>
    <t>gender</t>
  </si>
  <si>
    <t>name</t>
  </si>
  <si>
    <t>name.lastname</t>
  </si>
  <si>
    <t>name.firstName</t>
  </si>
  <si>
    <t>dateOfBirth</t>
  </si>
  <si>
    <t>subject</t>
  </si>
  <si>
    <t>Firstname</t>
  </si>
  <si>
    <t>Lastname</t>
  </si>
  <si>
    <t>Name</t>
  </si>
  <si>
    <t>Map1</t>
  </si>
  <si>
    <t>hl7.org/fhir/r4</t>
  </si>
  <si>
    <t>//-------------------------------------------------------------------</t>
  </si>
  <si>
    <t>* differential.element[11].id = "Vaccination-new.administration.date"</t>
  </si>
  <si>
    <t>fhir</t>
  </si>
  <si>
    <t>note</t>
  </si>
  <si>
    <t>* mapping[0].identity = "fhir"</t>
  </si>
  <si>
    <t>* mapping[0].uri = "hl7.org/fhir/r4"</t>
  </si>
  <si>
    <t>MAPPING</t>
  </si>
  <si>
    <t>* mapping[0].name = "FHIR"</t>
  </si>
  <si>
    <t>FHIR</t>
  </si>
  <si>
    <t>Patient</t>
  </si>
  <si>
    <t>Patient.identifier</t>
  </si>
  <si>
    <t>Patient.name</t>
  </si>
  <si>
    <t>Patient.name.given</t>
  </si>
  <si>
    <t>Patient.name.family</t>
  </si>
  <si>
    <t>Patient.gender</t>
  </si>
  <si>
    <t>Patient.birthDate</t>
  </si>
  <si>
    <t>type</t>
  </si>
  <si>
    <t>http://iso.org/fhir/ts-5384/StructureDefinition/Immunization</t>
  </si>
  <si>
    <t>* abstract = true</t>
  </si>
  <si>
    <t xml:space="preserve">b </t>
  </si>
  <si>
    <t>http://hl7.eu/fhir/ig/pcsp</t>
  </si>
  <si>
    <t>PanCareSurPass project</t>
  </si>
  <si>
    <t>Subject Name</t>
  </si>
  <si>
    <t>Lastname  </t>
  </si>
  <si>
    <t>name.middleName</t>
  </si>
  <si>
    <t>Middlename  </t>
  </si>
  <si>
    <t>Firstname  </t>
  </si>
  <si>
    <t>lastnameAtDiagnosis</t>
  </si>
  <si>
    <t>Lastname at diagnosis (if different from the actual one)  </t>
  </si>
  <si>
    <t>Gender/Sex</t>
  </si>
  <si>
    <t>Date of birth  </t>
  </si>
  <si>
    <t>placeOfBirth</t>
  </si>
  <si>
    <t>Place of birth  </t>
  </si>
  <si>
    <t>Address</t>
  </si>
  <si>
    <t>contact</t>
  </si>
  <si>
    <t>contact.email</t>
  </si>
  <si>
    <t>E-mail  </t>
  </si>
  <si>
    <t>uri</t>
  </si>
  <si>
    <t>contact.mobile</t>
  </si>
  <si>
    <t>Mobile phone  </t>
  </si>
  <si>
    <t>http://hl7.eu/fhir/ig/pcsp/StructureDefinition/Subject</t>
  </si>
  <si>
    <t>diagnosis</t>
  </si>
  <si>
    <t>Diagnosis</t>
  </si>
  <si>
    <t>Front line treatment</t>
  </si>
  <si>
    <t>Chemotherapy</t>
  </si>
  <si>
    <t>SCT</t>
  </si>
  <si>
    <t>Radiotherapy</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</si>
  <si>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</si>
  <si>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</si>
  <si>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</si>
  <si>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</si>
  <si>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</si>
  <si>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</si>
  <si>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</si>
  <si>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</si>
  <si>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</si>
  <si>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</si>
  <si>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</si>
  <si>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</si>
  <si>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</si>
  <si>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</si>
  <si>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</si>
  <si>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</si>
  <si>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</si>
  <si>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</si>
  <si>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</si>
  <si>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</si>
  <si>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</si>
  <si>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</si>
  <si>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</si>
  <si>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</si>
  <si>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</si>
  <si>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</si>
  <si>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</si>
  <si>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</si>
  <si>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</si>
  <si>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</si>
  <si>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</si>
  <si>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</si>
  <si>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</si>
  <si>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</si>
  <si>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</si>
  <si>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</si>
  <si>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</si>
  <si>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</si>
  <si>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</si>
  <si>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</si>
  <si>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</si>
  <si>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</si>
  <si>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</si>
  <si>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</si>
  <si>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</si>
  <si>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</si>
  <si>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</si>
  <si>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</si>
  <si>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</si>
  <si>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</si>
  <si>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</si>
  <si>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</si>
  <si>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</si>
  <si>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</si>
  <si>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</si>
  <si>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</si>
  <si>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</si>
  <si>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</si>
  <si>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</si>
  <si>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</si>
  <si>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</si>
  <si>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</si>
  <si>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</si>
  <si>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</si>
  <si>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</si>
  <si>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</si>
  <si>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</si>
  <si>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</si>
  <si>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</si>
  <si>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</si>
  <si>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</si>
  <si>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</si>
  <si>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</si>
  <si>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</si>
  <si>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</si>
  <si>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</si>
  <si>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</si>
  <si>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</si>
  <si>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</si>
  <si>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</si>
  <si>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</si>
  <si>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</si>
  <si>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</si>
  <si>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</si>
  <si>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</si>
  <si>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</si>
  <si>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</si>
  <si>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</si>
  <si>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</si>
  <si>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</si>
  <si>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</si>
  <si>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</si>
  <si>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</si>
  <si>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</si>
  <si>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</si>
  <si>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</si>
  <si>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</si>
  <si>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</si>
  <si>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</si>
  <si>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</si>
  <si>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</si>
  <si>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</si>
  <si>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</si>
  <si>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</si>
  <si>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</si>
  <si>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</si>
  <si>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</si>
  <si>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</si>
  <si>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</si>
  <si>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</si>
  <si>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</si>
  <si>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</si>
  <si>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</si>
  <si>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</si>
  <si>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</si>
  <si>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</si>
  <si>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</si>
  <si>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</si>
  <si>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</si>
  <si>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</si>
  <si>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</si>
  <si>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</si>
  <si>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</si>
  <si>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</si>
  <si>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</si>
  <si>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</si>
  <si>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</si>
  <si>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</si>
  <si>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</si>
  <si>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</si>
  <si>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</si>
  <si>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</si>
  <si>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</si>
  <si>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</si>
  <si>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</si>
  <si>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</si>
  <si>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</si>
  <si>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</si>
  <si>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</si>
  <si>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</si>
  <si>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</si>
  <si>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</si>
  <si>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</si>
  <si>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</si>
  <si>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</si>
  <si>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</si>
  <si>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</si>
  <si>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</si>
  <si>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</si>
  <si>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</si>
  <si>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</si>
  <si>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</si>
  <si>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</si>
  <si>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</si>
  <si>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</si>
  <si>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</si>
  <si>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</si>
  <si>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</si>
  <si>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</si>
  <si>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</si>
  <si>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</si>
  <si>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</si>
  <si>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</si>
  <si>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</si>
  <si>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</si>
  <si>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</si>
  <si>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</si>
  <si>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</si>
  <si>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</si>
  <si>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</si>
  <si>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</si>
  <si>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</si>
  <si>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</si>
  <si>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</si>
  <si>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</si>
  <si>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</si>
  <si>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</si>
  <si>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</si>
  <si>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</si>
  <si>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</si>
  <si>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</si>
  <si>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</si>
  <si>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</si>
  <si>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</si>
  <si>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</si>
  <si>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</si>
  <si>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</si>
  <si>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</si>
  <si>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</si>
  <si>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</si>
  <si>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</si>
  <si>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</si>
  <si>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</si>
  <si>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</si>
  <si>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</si>
  <si>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</si>
  <si>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</si>
  <si>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</si>
  <si>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</si>
  <si>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</si>
  <si>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</si>
  <si>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</si>
  <si>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</si>
  <si>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</si>
  <si>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</si>
  <si>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</si>
  <si>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</si>
  <si>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</si>
  <si>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</si>
  <si>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</si>
  <si>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</si>
  <si>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</si>
  <si>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</si>
  <si>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</si>
  <si>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</si>
  <si>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</si>
  <si>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</si>
  <si>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</si>
  <si>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</si>
  <si>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</si>
  <si>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</si>
  <si>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</si>
  <si>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</si>
  <si>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</si>
  <si>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</si>
  <si>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</si>
  <si>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</si>
  <si>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</si>
  <si>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</si>
  <si>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</si>
  <si>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</si>
  <si>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</si>
  <si>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</si>
  <si>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</si>
  <si>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</si>
  <si>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</si>
  <si>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</si>
  <si>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</si>
  <si>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</si>
  <si>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</si>
  <si>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</si>
  <si>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</si>
  <si>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</si>
  <si>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</si>
  <si>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</si>
  <si>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</si>
  <si>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</si>
  <si>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</si>
  <si>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</si>
  <si>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</si>
  <si>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</si>
  <si>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</si>
  <si>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</si>
  <si>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</si>
  <si>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</si>
  <si>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</si>
  <si>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</si>
  <si>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</si>
  <si>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</si>
  <si>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</si>
  <si>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</si>
  <si>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</si>
  <si>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</si>
  <si>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</si>
  <si>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</si>
  <si>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</si>
  <si>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</si>
  <si>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</si>
  <si>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</si>
  <si>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</si>
  <si>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</si>
  <si>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</si>
  <si>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</si>
  <si>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</si>
  <si>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</si>
  <si>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</si>
  <si>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</si>
  <si>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</si>
  <si>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</si>
  <si>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</si>
  <si>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</si>
  <si>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</si>
  <si>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</si>
  <si>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</si>
  <si>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</si>
  <si>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</si>
  <si>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</si>
  <si>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</si>
  <si>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</si>
  <si>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</si>
  <si>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</si>
  <si>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</si>
  <si>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</si>
  <si>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</si>
  <si>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</si>
  <si>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</si>
  <si>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</si>
  <si>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</si>
  <si>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</si>
  <si>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</si>
  <si>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</si>
  <si>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</si>
  <si>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</si>
  <si>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</si>
  <si>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</si>
  <si>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</si>
  <si>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</si>
  <si>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</si>
  <si>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</si>
  <si>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</si>
  <si>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</si>
  <si>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</si>
  <si>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</si>
  <si>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</si>
  <si>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</si>
  <si>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</si>
  <si>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</si>
  <si>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</si>
  <si>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</si>
  <si>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</si>
  <si>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</si>
  <si>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</si>
  <si>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</si>
  <si>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</si>
  <si>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</si>
  <si>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</si>
  <si>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</si>
  <si>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</si>
  <si>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</si>
  <si>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</si>
  <si>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</si>
  <si>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</si>
  <si>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</si>
  <si>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</si>
  <si>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</si>
  <si>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</si>
  <si>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</si>
  <si>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</si>
  <si>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</si>
  <si>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</si>
  <si>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</si>
  <si>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</si>
  <si>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</si>
  <si>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</si>
  <si>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</si>
  <si>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</si>
  <si>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</si>
  <si>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</si>
  <si>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</si>
  <si>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</si>
  <si>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</si>
  <si>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</si>
  <si>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</si>
  <si>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</si>
  <si>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</si>
  <si>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</si>
  <si>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</si>
  <si>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</si>
  <si>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</si>
  <si>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</si>
  <si>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</si>
  <si>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</si>
  <si>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</si>
  <si>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</si>
  <si>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</si>
  <si>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</si>
  <si>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</si>
  <si>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</si>
  <si>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</si>
  <si>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</si>
  <si>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</si>
  <si>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</si>
  <si>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</si>
  <si>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</si>
  <si>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</si>
  <si>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</si>
  <si>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</si>
  <si>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</si>
  <si>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</si>
  <si>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</si>
  <si>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</si>
  <si>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</si>
  <si>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</si>
  <si>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</si>
  <si>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</si>
  <si>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</si>
  <si>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</si>
  <si>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</si>
  <si>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</si>
  <si>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</si>
  <si>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</si>
  <si>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</si>
  <si>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</si>
  <si>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</si>
  <si>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</si>
  <si>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</si>
  <si>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</si>
  <si>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</si>
  <si>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</si>
  <si>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</si>
  <si>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</si>
  <si>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</si>
  <si>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</si>
  <si>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</si>
  <si>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</si>
  <si>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</si>
  <si>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</si>
  <si>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</si>
  <si>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</si>
  <si>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</si>
  <si>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</si>
  <si>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</si>
  <si>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</si>
  <si>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</si>
  <si>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</si>
  <si>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</si>
  <si>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</si>
  <si>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</si>
  <si>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</si>
  <si>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</si>
  <si>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</si>
  <si>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</si>
  <si>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</si>
  <si>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</si>
  <si>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</si>
  <si>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</si>
  <si>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</si>
  <si>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</si>
  <si>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</si>
  <si>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</si>
  <si>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</si>
  <si>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</si>
  <si>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</si>
  <si>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</si>
  <si>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</si>
  <si>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</si>
  <si>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</si>
  <si>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</si>
  <si>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</si>
  <si>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</si>
  <si>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</si>
  <si>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</si>
  <si>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</si>
  <si>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</si>
  <si>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</si>
  <si>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</si>
  <si>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</si>
  <si>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</si>
  <si>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</si>
  <si>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</si>
  <si>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</si>
  <si>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</si>
  <si>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</si>
  <si>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</si>
  <si>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</si>
  <si>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</si>
  <si>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</si>
  <si>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</si>
  <si>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</si>
  <si>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</si>
  <si>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</si>
  <si>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</si>
  <si>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</si>
  <si>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</si>
  <si>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</si>
  <si>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</si>
  <si>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</si>
  <si>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</si>
  <si>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</si>
  <si>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</si>
  <si>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</si>
  <si>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</si>
  <si>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</si>
  <si>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</si>
  <si>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</si>
  <si>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</si>
  <si>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</si>
  <si>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</si>
  <si>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</si>
  <si>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</si>
  <si>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</si>
  <si>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</si>
  <si>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</si>
  <si>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</si>
  <si>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</si>
  <si>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</si>
  <si>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</si>
  <si>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</si>
  <si>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</si>
  <si>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</si>
  <si>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</si>
  <si>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</si>
  <si>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</si>
  <si>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</si>
  <si>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</si>
  <si>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</si>
  <si>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</si>
  <si>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</si>
  <si>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</si>
  <si>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</si>
  <si>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</si>
  <si>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</si>
  <si>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</si>
  <si>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</si>
  <si>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</si>
  <si>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</si>
  <si>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</si>
  <si>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</si>
  <si>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</si>
  <si>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</si>
  <si>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</si>
  <si>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</si>
  <si>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</si>
  <si>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</si>
  <si>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</si>
  <si>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</si>
  <si>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</si>
  <si>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</si>
  <si>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</si>
  <si>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</si>
  <si>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</si>
  <si>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</si>
  <si>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</si>
  <si>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</si>
  <si>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</si>
  <si>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</si>
  <si>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</si>
  <si>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</si>
  <si>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</si>
  <si>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</si>
  <si>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</si>
  <si>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</si>
  <si>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</si>
  <si>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</si>
  <si>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</si>
  <si>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</si>
  <si>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</si>
  <si>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</si>
  <si>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</si>
  <si>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</si>
  <si>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</si>
  <si>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</si>
  <si>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</si>
  <si>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</si>
  <si>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</si>
  <si>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</si>
  <si>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</si>
  <si>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</si>
  <si>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</si>
  <si>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</si>
  <si>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</si>
  <si>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</si>
  <si>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</si>
  <si>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</si>
  <si>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</si>
  <si>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</si>
  <si>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</si>
  <si>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</si>
  <si>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</si>
  <si>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</si>
  <si>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</si>
  <si>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</si>
  <si>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</si>
  <si>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</si>
  <si>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</si>
  <si>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</si>
  <si>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</si>
  <si>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</si>
  <si>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</si>
  <si>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</si>
  <si>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</si>
  <si>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</si>
  <si>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</si>
  <si>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</si>
  <si>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</si>
  <si>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</si>
  <si>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</si>
  <si>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</si>
  <si>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</si>
  <si>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</si>
  <si>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</si>
  <si>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</si>
  <si>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</si>
  <si>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</si>
  <si>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</si>
  <si>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</si>
  <si>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</si>
  <si>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</si>
  <si>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</si>
  <si>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</si>
  <si>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</si>
  <si>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</si>
  <si>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</si>
  <si>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</si>
  <si>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</si>
  <si>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</si>
  <si>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</si>
  <si>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</si>
  <si>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</si>
  <si>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</si>
  <si>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</si>
  <si>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</si>
  <si>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</si>
  <si>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</si>
  <si>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</si>
  <si>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</si>
  <si>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</si>
  <si>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</si>
  <si>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</si>
  <si>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</si>
  <si>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</si>
  <si>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</si>
  <si>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</si>
  <si>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</si>
  <si>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</si>
  <si>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</si>
  <si>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</si>
  <si>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</si>
  <si>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</si>
  <si>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</si>
  <si>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</si>
  <si>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</si>
  <si>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</si>
  <si>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</si>
  <si>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</si>
  <si>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</si>
  <si>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</si>
  <si>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</si>
  <si>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</si>
  <si>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</si>
  <si>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</si>
  <si>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</si>
  <si>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</si>
  <si>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</si>
  <si>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</si>
  <si>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</si>
  <si>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</si>
  <si>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</si>
  <si>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</si>
  <si>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</si>
  <si>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</si>
  <si>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</si>
  <si>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</si>
  <si>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</si>
  <si>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</si>
  <si>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</si>
  <si>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</si>
  <si>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</si>
  <si>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</si>
  <si>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</si>
  <si>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</si>
  <si>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</si>
  <si>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</si>
  <si>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</si>
  <si>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</si>
  <si>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</si>
  <si>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</si>
  <si>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</si>
  <si>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</si>
  <si>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</si>
  <si>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</si>
  <si>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</si>
  <si>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</si>
  <si>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</si>
  <si>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</si>
  <si>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</si>
  <si>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</si>
  <si>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</si>
  <si>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</si>
  <si>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</si>
  <si>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</si>
  <si>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</si>
  <si>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</si>
  <si>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</si>
  <si>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</si>
  <si>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</si>
  <si>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</si>
  <si>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</si>
  <si>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</si>
  <si>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</si>
  <si>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</si>
  <si>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</si>
  <si>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</si>
  <si>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</si>
  <si>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</si>
  <si>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</si>
  <si>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</si>
  <si>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</si>
  <si>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</si>
  <si>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</si>
  <si>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</si>
  <si>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</si>
  <si>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</si>
  <si>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</si>
  <si>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</si>
  <si>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</si>
  <si>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</si>
  <si>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</si>
  <si>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</si>
  <si>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</si>
  <si>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</si>
  <si>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</si>
  <si>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</si>
  <si>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</si>
  <si>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</si>
  <si>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</si>
  <si>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</si>
  <si>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</si>
  <si>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</si>
  <si>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</si>
  <si>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</si>
  <si>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</si>
  <si>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</si>
  <si>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</si>
  <si>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</si>
  <si>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</si>
  <si>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</si>
  <si>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</si>
  <si>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</si>
  <si>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</si>
  <si>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</si>
  <si>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</si>
  <si>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</si>
  <si>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</si>
  <si>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</si>
  <si>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</si>
  <si>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</si>
  <si>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</si>
  <si>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</si>
  <si>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</si>
  <si>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</si>
  <si>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</si>
  <si>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</si>
  <si>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</si>
  <si>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</si>
  <si>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</si>
  <si>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</si>
  <si>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</si>
  <si>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</si>
  <si>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</si>
  <si>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</si>
  <si>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</si>
  <si>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</si>
  <si>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</si>
  <si>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</si>
  <si>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</si>
  <si>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</si>
  <si>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</si>
  <si>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</si>
  <si>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</si>
  <si>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</si>
  <si>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</si>
  <si>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</si>
  <si>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</si>
  <si>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</si>
  <si>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</si>
  <si>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</si>
  <si>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</si>
  <si>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</si>
  <si>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</si>
  <si>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</si>
  <si>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</si>
  <si>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</si>
  <si>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</si>
  <si>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</si>
  <si>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</si>
  <si>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</si>
  <si>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</si>
  <si>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</si>
  <si>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</si>
  <si>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</si>
  <si>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</si>
  <si>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</si>
  <si>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</si>
  <si>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</si>
  <si>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</si>
  <si>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</si>
  <si>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</si>
  <si>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</si>
  <si>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</si>
  <si>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</si>
  <si>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</si>
  <si>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Patient.extension(http://hl7.org/fhir/StructureDefinition/patient-birthPlace')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</si>
  <si>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</si>
  <si>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</si>
  <si>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</si>
  <si>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</si>
  <si>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</si>
  <si>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</si>
  <si>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</si>
  <si>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</si>
  <si>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</si>
  <si>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</si>
  <si>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</si>
  <si>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diagnosis.frontLineTreatment</t>
  </si>
  <si>
    <t>diagnosis.chemotherapy</t>
  </si>
  <si>
    <t>diagnosis.radiotherapy</t>
  </si>
  <si>
    <t>diagnosis.stemCellTransplantation</t>
  </si>
  <si>
    <t>Stem Cell transplantation</t>
  </si>
  <si>
    <t>diagnosis.majorSurgery</t>
  </si>
  <si>
    <t>diagnosis.progressionRelapseDuringFLT</t>
  </si>
  <si>
    <t>diagnosis.otherInfo</t>
  </si>
  <si>
    <t>diagnosis.medicalSuggestion</t>
  </si>
  <si>
    <t>diagnosis.progressionRelapseAfterEOT</t>
  </si>
  <si>
    <t>Progression-Relapse during Front line treatment</t>
  </si>
  <si>
    <t>diagnosis.frontLineTreatment.followedProtocol</t>
  </si>
  <si>
    <t>Followed Protocol</t>
  </si>
  <si>
    <t>diagnosis.frontLineTreatment.followedProtocol.description</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</si>
  <si>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</si>
  <si>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</si>
  <si>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diagnosis.frontLineTreatment.followedProtocol.type</t>
  </si>
  <si>
    <t>2 =&gt; Trial/protocol
2 =&gt; Personalized
3 =&gt; Guidelines
-9922 =&gt; NK</t>
  </si>
  <si>
    <t>Protocole type</t>
  </si>
  <si>
    <t>diagnosis.frontLineTreatment.followedProtocol.arm</t>
  </si>
  <si>
    <t>diagnosis.frontLineTreatment.isChemotherapy</t>
  </si>
  <si>
    <t>diagnosis.frontLineTreatment.isStemCellTransplantation</t>
  </si>
  <si>
    <t>diagnosis.frontLineTreatment.isRadiotherapy</t>
  </si>
  <si>
    <t>diagnosis.frontLineTreatment.isMajorSurgery</t>
  </si>
  <si>
    <t>diagnosis.frontLineTreatment.isProgressionRelapseDuringFLT</t>
  </si>
  <si>
    <t>Chemotherapy ?</t>
  </si>
  <si>
    <t>Stem Cell transplantation ?</t>
  </si>
  <si>
    <t>Major Surgery ?</t>
  </si>
  <si>
    <t>diagnosis.frontLineTreatment.dateEOT</t>
  </si>
  <si>
    <t>diagnosis.frontLineTreatment.completeRemission</t>
  </si>
  <si>
    <t>diagnosis.frontLineTreatment.completeRemission.status</t>
  </si>
  <si>
    <t>diagnosis.frontLineTreatment.completeRemission.description</t>
  </si>
  <si>
    <t>diagnosis.frontLineTreatment.isProgressionRelapseAfterFLT</t>
  </si>
  <si>
    <t>Treatment Summary data model</t>
  </si>
  <si>
    <t>TreatmentSummary</t>
  </si>
  <si>
    <t>Treatment Summary</t>
  </si>
  <si>
    <t>PanCareSurPass Treatment Summary</t>
  </si>
  <si>
    <t>Complete remission</t>
  </si>
  <si>
    <t>Complete remission (Yes/No)</t>
  </si>
  <si>
    <t>Textual description in case of no remission</t>
  </si>
  <si>
    <t>Progression/relapse after first elective end of treatment ?</t>
  </si>
  <si>
    <t>Group/Arm/Randomization</t>
  </si>
  <si>
    <t>Date of first elective end of treatment</t>
  </si>
  <si>
    <t>Radiotherapy ?</t>
  </si>
  <si>
    <t>Progression/relapse during frontline treatment ?</t>
  </si>
  <si>
    <t>Place of birth</t>
  </si>
  <si>
    <t>Middlename</t>
  </si>
  <si>
    <t>Lastname at diagnosis (if different from the actual one)</t>
  </si>
  <si>
    <t>Date of birth</t>
  </si>
  <si>
    <t>E-mail</t>
  </si>
  <si>
    <t>Mobile phone</t>
  </si>
  <si>
    <t>productAdministration</t>
  </si>
  <si>
    <t>Product(s) administartion data</t>
  </si>
  <si>
    <t>Information about the product(s) administered</t>
  </si>
  <si>
    <t>productAdministration.agent</t>
  </si>
  <si>
    <t>Antineoplastic and immunostimulating agents</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</si>
  <si>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</si>
  <si>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productAdministration.cumulativeDose</t>
  </si>
  <si>
    <t>Cumulative Dose</t>
  </si>
  <si>
    <t xml:space="preserve">Report the total cumulative dose received of each drug. </t>
  </si>
  <si>
    <t>productAdministration.cumulativeDose.notAvailable</t>
  </si>
  <si>
    <t>Not calculated or not known dose</t>
  </si>
  <si>
    <t>Flag indicating if the dose was not calculated or it was not known</t>
  </si>
  <si>
    <t>productAdministration.cumulativeDose.value</t>
  </si>
  <si>
    <t>Total cumulative dose</t>
  </si>
  <si>
    <t>Report the total cumulative dose received of each drug.</t>
  </si>
  <si>
    <t>decimal</t>
  </si>
  <si>
    <t>productAdministration.cumulativeDose.unit</t>
  </si>
  <si>
    <t>If the dose was calculated, please report the measure unit of the calculation
1 =&gt; mg/m2
2 =&gt; gr/m2
3 =&gt; UI/m2
4 =&gt; NK
5 =&gt; NC (not calculated)</t>
  </si>
  <si>
    <t>corticosteroids</t>
  </si>
  <si>
    <t>Report 'yes' if the survivor was treated with steroids for at least 4 weeks continuously
1 =&gt; Yes
2 =&gt; No
-9922 =&gt; NK</t>
  </si>
  <si>
    <t>intrathecalInjections</t>
  </si>
  <si>
    <t>Intrathecal injections</t>
  </si>
  <si>
    <t>Please state if the survivor received any therapeutic intrathecal injections
1 =&gt; Yes
2 =&gt; No
-9922 =&gt; NK</t>
  </si>
  <si>
    <t>* url = "http://hl7.eu/fhir/ig/pcsp/StructureDefinition/Chemotherapy"</t>
  </si>
  <si>
    <t>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</si>
  <si>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</si>
  <si>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</si>
  <si>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</si>
  <si>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</si>
  <si>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</si>
  <si>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</si>
  <si>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</si>
  <si>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</si>
  <si>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</si>
  <si>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</si>
  <si>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</si>
  <si>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startDate</t>
  </si>
  <si>
    <t>endDate</t>
  </si>
  <si>
    <t>productAdministration.cumulativeDose.measureType</t>
  </si>
  <si>
    <t>How the dose was determined (estimation or calculation)</t>
  </si>
  <si>
    <t>productAdministration.cumulativeDose.statusReason</t>
  </si>
  <si>
    <t>intrathecalInjections.number</t>
  </si>
  <si>
    <t>intrathecalInjections.productName</t>
  </si>
  <si>
    <t>integer</t>
  </si>
  <si>
    <t>intrathecalInjections.status</t>
  </si>
  <si>
    <t>otherTreatments</t>
  </si>
  <si>
    <t>Other chemothrapeutic treatments</t>
  </si>
  <si>
    <t>Start date</t>
  </si>
  <si>
    <t>End date</t>
  </si>
  <si>
    <t>Institution of treatment</t>
  </si>
  <si>
    <t>Please provide name, city and countryof the institution</t>
  </si>
  <si>
    <t>Total number</t>
  </si>
  <si>
    <t>Specify if the cumulative dose reported has been all calculated on real data or  estimated based on the expected dose prescribed by the protocol.  If some part of the calculation was based on estimated values, the whole field should be 'estimated'</t>
  </si>
  <si>
    <t>otherTreatments.productName</t>
  </si>
  <si>
    <t>binding</t>
  </si>
  <si>
    <t>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t>
  </si>
  <si>
    <t>target</t>
  </si>
  <si>
    <t xml:space="preserve">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t>
  </si>
  <si>
    <t>target.site</t>
  </si>
  <si>
    <t xml:space="preserve">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t>
  </si>
  <si>
    <t>http://hl7.eu/fhir/ig/pcsp/ValueSet/vs-radiotherapy-pcsp</t>
  </si>
  <si>
    <t>required</t>
  </si>
  <si>
    <t>Comulative dose</t>
  </si>
  <si>
    <t>Not known dose</t>
  </si>
  <si>
    <t>Dose</t>
  </si>
  <si>
    <t>Specify the cumulative / total dose given to the primary radiation therapy site.</t>
  </si>
  <si>
    <t>target.boost</t>
  </si>
  <si>
    <t>target.boost.given</t>
  </si>
  <si>
    <t>Boost given</t>
  </si>
  <si>
    <t>target.boost.site</t>
  </si>
  <si>
    <t>Boost site</t>
  </si>
  <si>
    <t>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t>
  </si>
  <si>
    <t>Specify the cumulative / total dose given to the boost site.</t>
  </si>
  <si>
    <t>radionuclides</t>
  </si>
  <si>
    <t>Elements</t>
  </si>
  <si>
    <t>enddate</t>
  </si>
  <si>
    <t>type of machine (If external beam)</t>
  </si>
  <si>
    <t>deviceType</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</si>
  <si>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t>
  </si>
  <si>
    <t>brachytherapyType</t>
  </si>
  <si>
    <t>type of brachytherapy (if brachytherapy)</t>
  </si>
  <si>
    <t>Specify the radioactive material (isotopes) used: If not listed, select 'Other then specify'
1 =&gt; Iridium (Ir)
2 =&gt; Gold (Au)
3 =&gt; Iodine (I)
4 =&gt; Caesium (Cs)
5 =&gt; Other
-9922 =&gt; Unknown</t>
  </si>
  <si>
    <t>isotopes</t>
  </si>
  <si>
    <t>Radioactive materials (if brachytherapy)</t>
  </si>
  <si>
    <t>numberOfCourses</t>
  </si>
  <si>
    <t>Number of courses  (If metabolic/radionuclide)</t>
  </si>
  <si>
    <t>External Beam Radiation Therapy (EBRT) and Brachytherapy doses are in Gy. If doses are reported in cGY, roughly two zeroes need to be deleted (e.g. 100 cGy = 1 Gy).
specify if dose is recorded in bequerels (MBq or GBq) or curies (Ci) or Unkwnon</t>
  </si>
  <si>
    <t>Specify the unit of the boost in case of external beam radiotherapy as  Gy. 
specify if dose is recorded in bequerels (MBq or GBq) or curies (Ci) or Unkwnon</t>
  </si>
  <si>
    <t>radionuclides (required If metabolic/radionuclide)</t>
  </si>
  <si>
    <t>Unit</t>
  </si>
  <si>
    <t>Number of fractions (if  external beam)</t>
  </si>
  <si>
    <t>target.boost.type</t>
  </si>
  <si>
    <t>Type of Boost</t>
  </si>
  <si>
    <t>Specify radiation type of the boost.
1 =&gt; External Beam
2 =&gt; Brachytherapy
-9922 =&gt; NK  </t>
  </si>
  <si>
    <t xml:space="preserve"> </t>
  </si>
  <si>
    <t>diagnosis identifier</t>
  </si>
  <si>
    <t>Site</t>
  </si>
  <si>
    <t>stage</t>
  </si>
  <si>
    <t>immunology</t>
  </si>
  <si>
    <t>notes</t>
  </si>
  <si>
    <t>centerOfDiagnosis</t>
  </si>
  <si>
    <t>centerOfDiagnosis.name</t>
  </si>
  <si>
    <t>Center name</t>
  </si>
  <si>
    <t>centerOfDiagnosis.city</t>
  </si>
  <si>
    <t>centerOfDiagnosis.country</t>
  </si>
  <si>
    <t>Center city</t>
  </si>
  <si>
    <t>primaryTreatmentCenter.name</t>
  </si>
  <si>
    <t>primaryTreatmentCenter.city</t>
  </si>
  <si>
    <t>primaryTreatmentCenter.country</t>
  </si>
  <si>
    <t>Primary treatment center city</t>
  </si>
  <si>
    <t>Primary treatment center name</t>
  </si>
  <si>
    <t>dateOfArrivalAtCenter</t>
  </si>
  <si>
    <t>diagnosticGroup</t>
  </si>
  <si>
    <t>Center code</t>
  </si>
  <si>
    <t>Institution in which the diagnosis was made.</t>
  </si>
  <si>
    <t>Diagnostic Group. ICCC-3 Classification (Main and Extended classification tables)</t>
  </si>
  <si>
    <t>morphologyCode</t>
  </si>
  <si>
    <t>tumorBehaviour</t>
  </si>
  <si>
    <t>Tumour behaviour. Automatically generated by the system for benign tumors</t>
  </si>
  <si>
    <t>description</t>
  </si>
  <si>
    <t>site</t>
  </si>
  <si>
    <t>Tumour behaviour (ICD-O-3 type)</t>
  </si>
  <si>
    <t>laterality</t>
  </si>
  <si>
    <t>Site of the tumor</t>
  </si>
  <si>
    <t>site.code</t>
  </si>
  <si>
    <t>site.description</t>
  </si>
  <si>
    <t>Please report here the site(s) of metastases detected at diagnosis.</t>
  </si>
  <si>
    <t>Metastases detected at diagnosis (using ICD-O-3 Topography). If site(s) is unknown, code C80.9</t>
  </si>
  <si>
    <t>geneticMarkers</t>
  </si>
  <si>
    <t>Hereditary Cancer Predisposition</t>
  </si>
  <si>
    <t>hereditaryPredisposition</t>
  </si>
  <si>
    <t>dateOfDiagnosis</t>
  </si>
  <si>
    <t>primaryTreatmentCenter</t>
  </si>
  <si>
    <t>Site . 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</si>
  <si>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 Free text to report the site of the tumor</t>
  </si>
  <si>
    <t>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</si>
  <si>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t>
  </si>
  <si>
    <t>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</si>
  <si>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 This is a free text field. Report here, if applicable (e.g. leukemias) the immunophenotype of the disease (sometimes already reported in the ICD-O-3 Morphology coding). If immunology is unknown, specify 'NK'</t>
  </si>
  <si>
    <t>diagnosis.details</t>
  </si>
  <si>
    <t>Details about this diagnosis</t>
  </si>
  <si>
    <t>http://hl7.eu/fhir/ig/pcsp/StructureDefinition/Diagnosis</t>
  </si>
  <si>
    <t>diagnosis.otherConditions</t>
  </si>
  <si>
    <t>Date of diagnosis</t>
  </si>
  <si>
    <t>Center country</t>
  </si>
  <si>
    <t>Primary treatment center</t>
  </si>
  <si>
    <t>Primary treatment center country</t>
  </si>
  <si>
    <t>Diagnosis description</t>
  </si>
  <si>
    <t>Site(ICD-O-3 topography)</t>
  </si>
  <si>
    <t>Site description</t>
  </si>
  <si>
    <t>Laterality</t>
  </si>
  <si>
    <t>Genetic markers(text)</t>
  </si>
  <si>
    <t>Immunology</t>
  </si>
  <si>
    <t>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</si>
  <si>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centerOfDiagnosis.identifier</t>
  </si>
  <si>
    <t>metastasis</t>
  </si>
  <si>
    <t>metastasis.identifier</t>
  </si>
  <si>
    <t>metastasis.site</t>
  </si>
  <si>
    <t>metastasis.site.code</t>
  </si>
  <si>
    <t>metastasis.site.description</t>
  </si>
  <si>
    <t>Metastasis site</t>
  </si>
  <si>
    <t>Metastasis site code</t>
  </si>
  <si>
    <t>Metastasis id</t>
  </si>
  <si>
    <t>Other medical conditions, not cancer associated</t>
  </si>
  <si>
    <t>Contact - receiver of the passport</t>
  </si>
  <si>
    <t>contact.relationship</t>
  </si>
  <si>
    <t>Relationship with the subject</t>
  </si>
  <si>
    <t>ClinicalDocument.participant</t>
  </si>
  <si>
    <t>http://hl7.org/v3/cda</t>
  </si>
  <si>
    <t>CDA (R2)</t>
  </si>
  <si>
    <t>.associatedEntity.telecom</t>
  </si>
  <si>
    <t>Patient.contact (if not the patient)
Patient.telecom (if the patient)
DocumentManifest.recipient (if intended recipient)</t>
  </si>
  <si>
    <t>Patient.contact.telecom (if not the patient)
Patient.telecom (if the patient)
DocumentManifest.recipient.resolve().telecom (if intended recipient)</t>
  </si>
  <si>
    <t>Patient.contact.relationship (if not the patient)
N/A (if the patient)
DocumentManifest.recipient.resolve().relationship (if intended recipient - not patient)</t>
  </si>
  <si>
    <t>Condition</t>
  </si>
  <si>
    <t>Condition.identifier</t>
  </si>
  <si>
    <t>Condition.extension('condition-assertedDate').valueDateTime
Observation.effectiveDateTime</t>
  </si>
  <si>
    <t>Observation.performer</t>
  </si>
  <si>
    <t>Observation.performer.resolve().address.city</t>
  </si>
  <si>
    <t>Observation.performer.resolve().address.country</t>
  </si>
  <si>
    <t>Observation.performer.resolve().identifier
Observation.performer.identifier</t>
  </si>
  <si>
    <t>Observation.performer.resolve().name
Observation.performer.display</t>
  </si>
  <si>
    <t>Patient.generalPractitioner
Encounter.serviceProvider</t>
  </si>
  <si>
    <t>Patient.generalPractitioner.display
Patient.generalPractitioner.resolve().name
Encounter.serviceProvider.display
Encounter.serviceProvider.resolve().name</t>
  </si>
  <si>
    <t>Patient.generalPractitioner.resolve().address.city
Encounter.serviceProvider.resolve().address.city</t>
  </si>
  <si>
    <t>Patient.generalPractitioner.resolve().address.country
Encounter.serviceProvider.resolve().address.country</t>
  </si>
  <si>
    <t>Encounter.period.start</t>
  </si>
  <si>
    <t>Condition.extension('mcode-histology-morphology-behavior').valueCodeableConcept</t>
  </si>
  <si>
    <t>Condition.text
Condition.code.text</t>
  </si>
  <si>
    <t>Condition.code.coding</t>
  </si>
  <si>
    <t>Condition.bodySite</t>
  </si>
  <si>
    <t>Condition.bodySite.coding</t>
  </si>
  <si>
    <t>Condition.bodySite.text</t>
  </si>
  <si>
    <t>Condition.bodySite.extension('mcode-laterality-qualifier').valueCodeableConcept</t>
  </si>
  <si>
    <t>Condition.conformsTo('ConditionSecondaryCancerPcsp')</t>
  </si>
  <si>
    <t>Condition.conformsTo('ConditionSecondaryCancerPcsp').identifier</t>
  </si>
  <si>
    <t>Condition.conformsTo('ConditionSecondaryCancerPcsp')bodySite</t>
  </si>
  <si>
    <t>Condition.conformsTo('ConditionSecondaryCancerPcsp').bodySite.coding</t>
  </si>
  <si>
    <t>Condition.conformsTo('ConditionSecondaryCancerPcsp').bodySite.text</t>
  </si>
  <si>
    <t>Condition.evidence:geneticMarker</t>
  </si>
  <si>
    <t>Condition.stage</t>
  </si>
  <si>
    <t>Condition.evidence:immunology</t>
  </si>
  <si>
    <t>Condition.evidence:predisposition</t>
  </si>
  <si>
    <t>Condition.note</t>
  </si>
  <si>
    <t>Did the survivor receive therapeutic intrathecal injections ?</t>
  </si>
  <si>
    <t>Drug(s) administered</t>
  </si>
  <si>
    <t>relatedDiagnosis</t>
  </si>
  <si>
    <t>Identifier of the diagnosis for which this chemotherapy is performed</t>
  </si>
  <si>
    <t>Related Diagnosis</t>
  </si>
  <si>
    <t>relatedRelapse</t>
  </si>
  <si>
    <t>Related relapse/progression (after FLT)</t>
  </si>
  <si>
    <t>Identifier of the diagnosis for which this radiotherapy is performed</t>
  </si>
  <si>
    <t>Identifier of the relapse/progression (after FLT) for which this radiotherapy is performed</t>
  </si>
  <si>
    <t>Report laterality of the radiation.
 R = right,
 L = left,
 B = bilateral</t>
  </si>
  <si>
    <t>target.laterality</t>
  </si>
  <si>
    <t>Target</t>
  </si>
  <si>
    <t>Body Site Code</t>
  </si>
  <si>
    <t>target.from</t>
  </si>
  <si>
    <t>target.to</t>
  </si>
  <si>
    <t>target.position</t>
  </si>
  <si>
    <t>Specify whether the radiation was anterior or posterior. 
1 =&gt; Anterior
2 =&gt; Posterior
-9922 = NK</t>
  </si>
  <si>
    <t>target.details</t>
  </si>
  <si>
    <t>Start point</t>
  </si>
  <si>
    <t>End point</t>
  </si>
  <si>
    <t>target.boost.laterality</t>
  </si>
  <si>
    <t>target.boost.details</t>
  </si>
  <si>
    <t>target.boost.from</t>
  </si>
  <si>
    <t>target.boost.to</t>
  </si>
  <si>
    <t>target.boost.position</t>
  </si>
  <si>
    <t>target.site.shielding</t>
  </si>
  <si>
    <t>target.site.shielding.status</t>
  </si>
  <si>
    <t>Shielding status</t>
  </si>
  <si>
    <t xml:space="preserve">Shielding, in some records this is called “blocking” or “blocks”. </t>
  </si>
  <si>
    <t>Specify if shielding was used or not. 
Yes;  No;  NK  </t>
  </si>
  <si>
    <t>target.site.shielding.position</t>
  </si>
  <si>
    <t>target.site.notes</t>
  </si>
  <si>
    <t>target.cumulativeDose.statusReason</t>
  </si>
  <si>
    <t>target.cumulativeDose.completionStatus</t>
  </si>
  <si>
    <t>productAdministration.cumulativeDose.completionStatus</t>
  </si>
  <si>
    <t>target.boost.cumulativeDose.completionStatus</t>
  </si>
  <si>
    <t>target.boost.cumulativeDose.statusReason</t>
  </si>
  <si>
    <t>files</t>
  </si>
  <si>
    <t>organAtRisk</t>
  </si>
  <si>
    <t>Electronic / scanned version(s) of relevant document(s)</t>
  </si>
  <si>
    <t>Specify if there is available information on Dosimetry of Organs at Risk [Yes/No]</t>
  </si>
  <si>
    <t>Organ at Risk</t>
  </si>
  <si>
    <t>Organs at Risk</t>
  </si>
  <si>
    <t>Binary</t>
  </si>
  <si>
    <t>http://hl7.eu/fhir/ig/pcsp/StructureDefinition/Radiotherapy</t>
  </si>
  <si>
    <t xml:space="preserve">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t>
  </si>
  <si>
    <t>A FRACTION of radiation treatment is a single attendance for treatment; if 'not known' insert NK</t>
  </si>
  <si>
    <t>target.cumulativeDose</t>
  </si>
  <si>
    <t>target.cumulativeDose.notKnown</t>
  </si>
  <si>
    <t>target.cumulativeDose.dose</t>
  </si>
  <si>
    <t>target.cumulativeDose.unit</t>
  </si>
  <si>
    <t>target.cumulativeDose.fractions</t>
  </si>
  <si>
    <t>target.boost.cumulativeDose</t>
  </si>
  <si>
    <t>target.boost.cumulativeDose.notKnown</t>
  </si>
  <si>
    <t>target.boost.cumulativeDose.dose</t>
  </si>
  <si>
    <t>target.boost.cumulativeDose.unit</t>
  </si>
  <si>
    <t>target.boost.cumulativeDose.fractions</t>
  </si>
  <si>
    <t>Center of diagnosis</t>
  </si>
  <si>
    <t>A boost is an extra dose of radiotherapy directed to a smaller area inside the primary radiation field. (only if type is External Beam)</t>
  </si>
  <si>
    <t>Identifier of the radotherapy episode</t>
  </si>
  <si>
    <t>.effectivePeriod.start</t>
  </si>
  <si>
    <t>.effectivePeriod.end</t>
  </si>
  <si>
    <t>MedicationAdministration.conformsTo('http://hl7.eu/fhir/ig/pcsp/StructureDefinition/MedicationAdministration-eu-pcsp')</t>
  </si>
  <si>
    <t>.medication[x]</t>
  </si>
  <si>
    <t>.medicationCodeableConcept</t>
  </si>
  <si>
    <t>MedicationStatement</t>
  </si>
  <si>
    <t>.medicationCodeableConcept.text</t>
  </si>
  <si>
    <t>.exists()</t>
  </si>
  <si>
    <t>.extension(http://hl7.eu/fhir/ig/pcsp/StructureDefinition/ActLocation-eu-pcsp).conformsTo(http://hl7.eu/fhir/ig/pcsp/StructureDefinition/Location-eu-pcsp)</t>
  </si>
  <si>
    <t>Location.description</t>
  </si>
  <si>
    <t>Location.name</t>
  </si>
  <si>
    <t>Location.address.city</t>
  </si>
  <si>
    <t>Location.address.country</t>
  </si>
  <si>
    <t>.extension(http://hl7.eu/fhir/ig/pcsp/StructureDefinition/ResourceRelatedInfo-eu-pcsp).conformsTo(http://hl7.eu/fhir/ig/pcsp/StructureDefinition/Observation-cumulativeDoseChemo-eu-pcsp)</t>
  </si>
  <si>
    <t>MedicationStatement.where(dosage.route = https://standardterms.edqm.eu|20042000)</t>
  </si>
  <si>
    <t>.reasonReference</t>
  </si>
  <si>
    <t>.identifier</t>
  </si>
  <si>
    <t>.performedPeriod.start</t>
  </si>
  <si>
    <t>.performedPeriod.end</t>
  </si>
  <si>
    <t>.code</t>
  </si>
  <si>
    <t>.bodySite</t>
  </si>
  <si>
    <t>.location.resolve().conformsTo(http://hl7.eu/fhir/ig/pcsp/StructureDefinition/Location-eu-pcsp)</t>
  </si>
  <si>
    <t>.usedCode</t>
  </si>
  <si>
    <t>.extension(http://hl7.eu/fhir/ig/pcsp/StructureDefinition/ResourceRelatedInfo-eu-pcsp).resolve().conformsTo(http://hl7.eu/fhir/ig/pcsp/StructureDefinition/Observation-cumulativeDoseRad-eu-pcsp).bodySite</t>
  </si>
  <si>
    <t>.extension(http://hl7.org/fhir/StructureDefinition/procedure-method).valueCodeableConcept</t>
  </si>
  <si>
    <t>Procedure.conformsTo('http://hl7.eu/fhir/ig/pcsp/StructureDefinition/Procedure-radiotheraphy-eu-pcsp')</t>
  </si>
  <si>
    <t>Procedure.conformsTo('http://hl7.eu/fhir/ig/pcsp/StructureDefinition/Procedure-radiotheraphyBoost-eu-pcsp')</t>
  </si>
  <si>
    <t>.status</t>
  </si>
  <si>
    <t>.location.resolve().conformsTo(http://hl7.eu/fhir/ig/pcsp/StructureDefinition/radiotherapy-energy-or-isotope).valueCodeableConcept</t>
  </si>
  <si>
    <t>Upload radiotherapy file (1)</t>
  </si>
  <si>
    <t>MedicationStatement.where(medicationCodeableConcept = 'http://www.whocc.no/atc|H02' and dosage.timing.repeat.boundsDuration.where( value='4' and code = 'w' and comparator ='&gt;' )</t>
  </si>
  <si>
    <t>http://hl7.eu/fhir/ig/pcsp/StructureDefinition/MajorSurgery</t>
  </si>
  <si>
    <t>.count()</t>
  </si>
  <si>
    <t>.dosage.timing.repeat.count</t>
  </si>
  <si>
    <t>productAdministration.dose</t>
  </si>
  <si>
    <t>Dose (NOT in PCSP DB)</t>
  </si>
  <si>
    <t>Dose received of each drug for this administration</t>
  </si>
  <si>
    <t>Quantity</t>
  </si>
  <si>
    <t>.dosage.dose</t>
  </si>
  <si>
    <t>.dataAbsentReason</t>
  </si>
  <si>
    <t>.method</t>
  </si>
  <si>
    <t>.status = #preliminary</t>
  </si>
  <si>
    <t>.extension('http://hl7.org/fhir/StructureDefinition/event-statusReason')</t>
  </si>
  <si>
    <t>.valueQuantity.value</t>
  </si>
  <si>
    <t>.valueQuantity.unit (human readeable)</t>
  </si>
  <si>
    <t>.valueQuantity.code (code)</t>
  </si>
  <si>
    <t>.valueCodeableConcept = http://terminology.hl7.org/CodeSystem/data-absent-reason#unknown</t>
  </si>
  <si>
    <t>organAtRisk.dosimetry</t>
  </si>
  <si>
    <t>organAtRisk.dosimetryDocument</t>
  </si>
  <si>
    <t>Flag indicating if a boost was given, not given or unknown</t>
  </si>
  <si>
    <t>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t>
  </si>
  <si>
    <t>TBD</t>
  </si>
  <si>
    <t>.</t>
  </si>
  <si>
    <t>.extension(http://hl7.eu/fhir/ig/pcsp/StructureDefinition/mcode-laterality-qualifier).valueCodeableConcept</t>
  </si>
  <si>
    <t>.text</t>
  </si>
  <si>
    <t>.valueQuantity.code</t>
  </si>
  <si>
    <t>.note</t>
  </si>
  <si>
    <t>.extension(http://hl7.org/fhir/StructureDefinition/workflow-supportingInfo).ofType(DocumentReference)</t>
  </si>
  <si>
    <t>.extension(http://hl7.eu/fhir/ig/pcsp/StructureDefinition/ResourceRelatedInfo-eu-pcsp).resolve().conformsTo(http://hl7.eu/fhir/ig/pcsp/StructureDefinition/Observation-cumulativeDoseRad-eu-pcsp)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</si>
</sst>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s>
  <borders count="2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166">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7" fillId="0" borderId="1" xfId="0" applyFont="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0" fillId="11" borderId="1" xfId="0" applyFill="1" applyBorder="1"/>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3" borderId="0" xfId="0" applyFont="1" applyFill="1" applyAlignment="1">
      <alignment horizontal="left" vertical="top" wrapText="1"/>
    </xf>
    <xf numFmtId="0" fontId="14" fillId="14"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5" borderId="15" xfId="0" applyFont="1" applyFill="1" applyBorder="1" applyAlignment="1">
      <alignment horizontal="left" vertical="top" wrapText="1"/>
    </xf>
    <xf numFmtId="0" fontId="14" fillId="15" borderId="1" xfId="0" applyFont="1" applyFill="1" applyBorder="1" applyAlignment="1">
      <alignment horizontal="left" vertical="top" wrapText="1"/>
    </xf>
    <xf numFmtId="0" fontId="17" fillId="15"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5"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3"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5" borderId="1" xfId="0" applyFont="1" applyFill="1" applyBorder="1" applyAlignment="1">
      <alignment horizontal="left" vertical="top"/>
    </xf>
    <xf numFmtId="0" fontId="13" fillId="15" borderId="1" xfId="0" applyFont="1" applyFill="1" applyBorder="1" applyAlignment="1">
      <alignment horizontal="left" vertical="top"/>
    </xf>
    <xf numFmtId="0" fontId="17" fillId="15" borderId="1" xfId="0" applyFont="1" applyFill="1" applyBorder="1" applyAlignment="1">
      <alignment horizontal="left" vertical="top"/>
    </xf>
    <xf numFmtId="0" fontId="13" fillId="15" borderId="1" xfId="0" applyFont="1" applyFill="1" applyBorder="1" applyAlignment="1">
      <alignment horizontal="left" vertical="top" wrapText="1"/>
    </xf>
    <xf numFmtId="0" fontId="13" fillId="0" borderId="6" xfId="0" applyFont="1" applyBorder="1" applyAlignment="1">
      <alignment horizontal="left" vertical="top"/>
    </xf>
    <xf numFmtId="0" fontId="13" fillId="13"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6" borderId="0" xfId="0" applyFont="1" applyFill="1" applyAlignment="1">
      <alignment horizontal="left" vertical="top" wrapText="1"/>
    </xf>
    <xf numFmtId="0" fontId="13" fillId="16" borderId="0" xfId="0" applyFont="1" applyFill="1" applyAlignment="1">
      <alignment horizontal="left" vertical="top"/>
    </xf>
    <xf numFmtId="0" fontId="13" fillId="13" borderId="1" xfId="0" applyFont="1" applyFill="1" applyBorder="1" applyAlignment="1">
      <alignment horizontal="left" vertical="top" wrapText="1"/>
    </xf>
    <xf numFmtId="0" fontId="1" fillId="12" borderId="6" xfId="0" applyFont="1" applyFill="1" applyBorder="1"/>
    <xf numFmtId="0" fontId="0" fillId="12" borderId="6" xfId="0" applyFont="1" applyFill="1" applyBorder="1"/>
    <xf numFmtId="0" fontId="6" fillId="12" borderId="8" xfId="1" applyFill="1" applyBorder="1"/>
    <xf numFmtId="0" fontId="0" fillId="16"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6" fillId="0" borderId="1" xfId="1" applyBorder="1"/>
    <xf numFmtId="0" fontId="0" fillId="7" borderId="1" xfId="0" applyFill="1" applyBorder="1" applyAlignment="1">
      <alignment wrapText="1"/>
    </xf>
    <xf numFmtId="0" fontId="0" fillId="0" borderId="1" xfId="0" quotePrefix="1" applyBorder="1" applyAlignment="1">
      <alignment wrapText="1"/>
    </xf>
    <xf numFmtId="0" fontId="0" fillId="12"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3" borderId="0" xfId="0" applyFill="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2" borderId="6" xfId="0" applyFont="1" applyFill="1" applyBorder="1" applyAlignment="1">
      <alignment wrapText="1"/>
    </xf>
    <xf numFmtId="0" fontId="6" fillId="12" borderId="8" xfId="1" applyFill="1" applyBorder="1" applyAlignment="1">
      <alignment wrapText="1"/>
    </xf>
    <xf numFmtId="0" fontId="0" fillId="2" borderId="1" xfId="0" applyFill="1" applyBorder="1"/>
    <xf numFmtId="0" fontId="0" fillId="17" borderId="0" xfId="0" applyFill="1"/>
    <xf numFmtId="0" fontId="0" fillId="6" borderId="9" xfId="0" applyFill="1" applyBorder="1"/>
    <xf numFmtId="0" fontId="13" fillId="13" borderId="3" xfId="0" applyFont="1" applyFill="1" applyBorder="1" applyAlignment="1">
      <alignment horizontal="center" vertical="center" wrapText="1"/>
    </xf>
    <xf numFmtId="0" fontId="13" fillId="13" borderId="9" xfId="0" applyFont="1" applyFill="1" applyBorder="1" applyAlignment="1">
      <alignment horizontal="center" vertical="center" wrapText="1"/>
    </xf>
    <xf numFmtId="0" fontId="13" fillId="13"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3" borderId="14" xfId="0" applyFont="1" applyFill="1" applyBorder="1" applyAlignment="1">
      <alignment horizontal="center" vertical="center" wrapText="1"/>
    </xf>
    <xf numFmtId="0" fontId="13" fillId="13" borderId="16" xfId="0" applyFont="1" applyFill="1" applyBorder="1" applyAlignment="1">
      <alignment horizontal="center" vertical="center" wrapText="1"/>
    </xf>
    <xf numFmtId="0" fontId="13" fillId="13" borderId="17" xfId="0" applyFont="1" applyFill="1" applyBorder="1" applyAlignment="1">
      <alignment horizontal="center" vertical="center" wrapText="1"/>
    </xf>
    <xf numFmtId="0" fontId="13" fillId="13"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101600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101600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101600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Subject-map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Chemo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387350</xdr:colOff>
          <xdr:row>1</xdr:row>
          <xdr:rowOff>101600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Diag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101600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Diagn-map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101600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Chemo-map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101600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29</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28</xdr:row>
      <xdr:rowOff>0</xdr:rowOff>
    </xdr:from>
    <xdr:to>
      <xdr:col>2</xdr:col>
      <xdr:colOff>13970</xdr:colOff>
      <xdr:row>30</xdr:row>
      <xdr:rowOff>14534</xdr:rowOff>
    </xdr:to>
    <xdr:pic>
      <xdr:nvPicPr>
        <xdr:cNvPr id="32" name="Picture 6" descr=".">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13970</xdr:colOff>
      <xdr:row>30</xdr:row>
      <xdr:rowOff>14535</xdr:rowOff>
    </xdr:to>
    <xdr:pic>
      <xdr:nvPicPr>
        <xdr:cNvPr id="33" name="Picture 7" descr=".">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13970</xdr:colOff>
      <xdr:row>30</xdr:row>
      <xdr:rowOff>14534</xdr:rowOff>
    </xdr:to>
    <xdr:pic>
      <xdr:nvPicPr>
        <xdr:cNvPr id="34" name="Picture 8" descr=".">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13970</xdr:colOff>
      <xdr:row>30</xdr:row>
      <xdr:rowOff>14535</xdr:rowOff>
    </xdr:to>
    <xdr:pic>
      <xdr:nvPicPr>
        <xdr:cNvPr id="35" name="Picture 9" descr=".">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13970</xdr:colOff>
      <xdr:row>30</xdr:row>
      <xdr:rowOff>14533</xdr:rowOff>
    </xdr:to>
    <xdr:pic>
      <xdr:nvPicPr>
        <xdr:cNvPr id="36" name="Picture 10" descr=".">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13970</xdr:colOff>
      <xdr:row>30</xdr:row>
      <xdr:rowOff>14536</xdr:rowOff>
    </xdr:to>
    <xdr:pic>
      <xdr:nvPicPr>
        <xdr:cNvPr id="61" name="Picture 11" descr=".">
          <a:extLst>
            <a:ext uri="{FF2B5EF4-FFF2-40B4-BE49-F238E27FC236}">
              <a16:creationId xmlns:a16="http://schemas.microsoft.com/office/drawing/2014/main" id="{00000000-0008-0000-02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28</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28</xdr:row>
      <xdr:rowOff>0</xdr:rowOff>
    </xdr:from>
    <xdr:to>
      <xdr:col>2</xdr:col>
      <xdr:colOff>15875</xdr:colOff>
      <xdr:row>30</xdr:row>
      <xdr:rowOff>14534</xdr:rowOff>
    </xdr:to>
    <xdr:pic>
      <xdr:nvPicPr>
        <xdr:cNvPr id="80" name="Picture 6" descr=".">
          <a:extLst>
            <a:ext uri="{FF2B5EF4-FFF2-40B4-BE49-F238E27FC236}">
              <a16:creationId xmlns:a16="http://schemas.microsoft.com/office/drawing/2014/main" id="{00000000-0008-0000-02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15875</xdr:colOff>
      <xdr:row>30</xdr:row>
      <xdr:rowOff>14535</xdr:rowOff>
    </xdr:to>
    <xdr:pic>
      <xdr:nvPicPr>
        <xdr:cNvPr id="81" name="Picture 7" descr=".">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15875</xdr:colOff>
      <xdr:row>30</xdr:row>
      <xdr:rowOff>14534</xdr:rowOff>
    </xdr:to>
    <xdr:pic>
      <xdr:nvPicPr>
        <xdr:cNvPr id="82" name="Picture 8" descr=".">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15875</xdr:colOff>
      <xdr:row>30</xdr:row>
      <xdr:rowOff>14535</xdr:rowOff>
    </xdr:to>
    <xdr:pic>
      <xdr:nvPicPr>
        <xdr:cNvPr id="83" name="Picture 9" descr=".">
          <a:extLst>
            <a:ext uri="{FF2B5EF4-FFF2-40B4-BE49-F238E27FC236}">
              <a16:creationId xmlns:a16="http://schemas.microsoft.com/office/drawing/2014/main" id="{00000000-0008-0000-02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15875</xdr:colOff>
      <xdr:row>30</xdr:row>
      <xdr:rowOff>14533</xdr:rowOff>
    </xdr:to>
    <xdr:pic>
      <xdr:nvPicPr>
        <xdr:cNvPr id="84" name="Picture 10" descr=".">
          <a:extLst>
            <a:ext uri="{FF2B5EF4-FFF2-40B4-BE49-F238E27FC236}">
              <a16:creationId xmlns:a16="http://schemas.microsoft.com/office/drawing/2014/main" id="{00000000-0008-0000-02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15875</xdr:colOff>
      <xdr:row>30</xdr:row>
      <xdr:rowOff>14536</xdr:rowOff>
    </xdr:to>
    <xdr:pic>
      <xdr:nvPicPr>
        <xdr:cNvPr id="85" name="Picture 11" descr=".">
          <a:extLst>
            <a:ext uri="{FF2B5EF4-FFF2-40B4-BE49-F238E27FC236}">
              <a16:creationId xmlns:a16="http://schemas.microsoft.com/office/drawing/2014/main" id="{00000000-0008-0000-02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28</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17</xdr:row>
      <xdr:rowOff>0</xdr:rowOff>
    </xdr:from>
    <xdr:to>
      <xdr:col>2</xdr:col>
      <xdr:colOff>15875</xdr:colOff>
      <xdr:row>19</xdr:row>
      <xdr:rowOff>14534</xdr:rowOff>
    </xdr:to>
    <xdr:pic>
      <xdr:nvPicPr>
        <xdr:cNvPr id="2" name="Picture 6" descr=".">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15875</xdr:colOff>
      <xdr:row>19</xdr:row>
      <xdr:rowOff>14535</xdr:rowOff>
    </xdr:to>
    <xdr:pic>
      <xdr:nvPicPr>
        <xdr:cNvPr id="3" name="Picture 7" descr=".">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15875</xdr:colOff>
      <xdr:row>19</xdr:row>
      <xdr:rowOff>14534</xdr:rowOff>
    </xdr:to>
    <xdr:pic>
      <xdr:nvPicPr>
        <xdr:cNvPr id="4" name="Picture 8" descr=".">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15875</xdr:colOff>
      <xdr:row>19</xdr:row>
      <xdr:rowOff>14535</xdr:rowOff>
    </xdr:to>
    <xdr:pic>
      <xdr:nvPicPr>
        <xdr:cNvPr id="5" name="Picture 9" descr=".">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15875</xdr:colOff>
      <xdr:row>19</xdr:row>
      <xdr:rowOff>14533</xdr:rowOff>
    </xdr:to>
    <xdr:pic>
      <xdr:nvPicPr>
        <xdr:cNvPr id="6" name="Picture 10" descr=".">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15875</xdr:colOff>
      <xdr:row>19</xdr:row>
      <xdr:rowOff>14536</xdr:rowOff>
    </xdr:to>
    <xdr:pic>
      <xdr:nvPicPr>
        <xdr:cNvPr id="7" name="Picture 11" descr=".">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17</xdr:row>
      <xdr:rowOff>0</xdr:rowOff>
    </xdr:from>
    <xdr:ext cx="15875" cy="397439"/>
    <xdr:pic>
      <xdr:nvPicPr>
        <xdr:cNvPr id="8" name="Picture 6" descr=".">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9" name="Picture 7" descr=".">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9"/>
    <xdr:pic>
      <xdr:nvPicPr>
        <xdr:cNvPr id="10" name="Picture 8" descr=".">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11" name="Picture 9" descr=".">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8"/>
    <xdr:pic>
      <xdr:nvPicPr>
        <xdr:cNvPr id="12" name="Picture 10" descr=".">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1"/>
    <xdr:pic>
      <xdr:nvPicPr>
        <xdr:cNvPr id="13" name="Picture 11" descr=".">
          <a:extLst>
            <a:ext uri="{FF2B5EF4-FFF2-40B4-BE49-F238E27FC236}">
              <a16:creationId xmlns:a16="http://schemas.microsoft.com/office/drawing/2014/main" id="{00000000-0008-0000-07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4" name="Picture 6" descr=".">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5" name="Picture 7" descr=".">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6" name="Picture 8" descr=".">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7" name="Picture 9" descr=".">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18" name="Picture 10" descr=".">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19" name="Picture 11" descr=".">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0" name="Picture 6" descr=".">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 name="Picture 7" descr=".">
          <a:extLst>
            <a:ext uri="{FF2B5EF4-FFF2-40B4-BE49-F238E27FC236}">
              <a16:creationId xmlns:a16="http://schemas.microsoft.com/office/drawing/2014/main" id="{00000000-0008-0000-07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 name="Picture 8" descr=".">
          <a:extLst>
            <a:ext uri="{FF2B5EF4-FFF2-40B4-BE49-F238E27FC236}">
              <a16:creationId xmlns:a16="http://schemas.microsoft.com/office/drawing/2014/main" id="{00000000-0008-0000-07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3" name="Picture 9" descr=".">
          <a:extLst>
            <a:ext uri="{FF2B5EF4-FFF2-40B4-BE49-F238E27FC236}">
              <a16:creationId xmlns:a16="http://schemas.microsoft.com/office/drawing/2014/main" id="{00000000-0008-0000-07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4" name="Picture 10" descr=".">
          <a:extLst>
            <a:ext uri="{FF2B5EF4-FFF2-40B4-BE49-F238E27FC236}">
              <a16:creationId xmlns:a16="http://schemas.microsoft.com/office/drawing/2014/main" id="{00000000-0008-0000-07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5" name="Picture 11" descr=".">
          <a:extLst>
            <a:ext uri="{FF2B5EF4-FFF2-40B4-BE49-F238E27FC236}">
              <a16:creationId xmlns:a16="http://schemas.microsoft.com/office/drawing/2014/main" id="{00000000-0008-0000-07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6" name="Picture 6" descr=".">
          <a:extLst>
            <a:ext uri="{FF2B5EF4-FFF2-40B4-BE49-F238E27FC236}">
              <a16:creationId xmlns:a16="http://schemas.microsoft.com/office/drawing/2014/main" id="{00000000-0008-0000-07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7" name="Picture 7" descr=".">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8" name="Picture 8" descr=".">
          <a:extLst>
            <a:ext uri="{FF2B5EF4-FFF2-40B4-BE49-F238E27FC236}">
              <a16:creationId xmlns:a16="http://schemas.microsoft.com/office/drawing/2014/main" id="{00000000-0008-0000-07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9" name="Picture 9" descr=".">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30" name="Picture 10" descr=".">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31" name="Picture 11" descr=".">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13970</xdr:colOff>
      <xdr:row>19</xdr:row>
      <xdr:rowOff>14534</xdr:rowOff>
    </xdr:to>
    <xdr:pic>
      <xdr:nvPicPr>
        <xdr:cNvPr id="32" name="Picture 6" descr=".">
          <a:extLst>
            <a:ext uri="{FF2B5EF4-FFF2-40B4-BE49-F238E27FC236}">
              <a16:creationId xmlns:a16="http://schemas.microsoft.com/office/drawing/2014/main" id="{00000000-0008-0000-07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14535</xdr:rowOff>
    </xdr:to>
    <xdr:pic>
      <xdr:nvPicPr>
        <xdr:cNvPr id="33" name="Picture 7" descr=".">
          <a:extLst>
            <a:ext uri="{FF2B5EF4-FFF2-40B4-BE49-F238E27FC236}">
              <a16:creationId xmlns:a16="http://schemas.microsoft.com/office/drawing/2014/main" id="{00000000-0008-0000-07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14534</xdr:rowOff>
    </xdr:to>
    <xdr:pic>
      <xdr:nvPicPr>
        <xdr:cNvPr id="34" name="Picture 8" descr=".">
          <a:extLst>
            <a:ext uri="{FF2B5EF4-FFF2-40B4-BE49-F238E27FC236}">
              <a16:creationId xmlns:a16="http://schemas.microsoft.com/office/drawing/2014/main" id="{00000000-0008-0000-07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14535</xdr:rowOff>
    </xdr:to>
    <xdr:pic>
      <xdr:nvPicPr>
        <xdr:cNvPr id="35" name="Picture 9" descr=".">
          <a:extLst>
            <a:ext uri="{FF2B5EF4-FFF2-40B4-BE49-F238E27FC236}">
              <a16:creationId xmlns:a16="http://schemas.microsoft.com/office/drawing/2014/main" id="{00000000-0008-0000-07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14533</xdr:rowOff>
    </xdr:to>
    <xdr:pic>
      <xdr:nvPicPr>
        <xdr:cNvPr id="36" name="Picture 10" descr=".">
          <a:extLst>
            <a:ext uri="{FF2B5EF4-FFF2-40B4-BE49-F238E27FC236}">
              <a16:creationId xmlns:a16="http://schemas.microsoft.com/office/drawing/2014/main" id="{00000000-0008-0000-07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14536</xdr:rowOff>
    </xdr:to>
    <xdr:pic>
      <xdr:nvPicPr>
        <xdr:cNvPr id="37" name="Picture 11" descr=".">
          <a:extLst>
            <a:ext uri="{FF2B5EF4-FFF2-40B4-BE49-F238E27FC236}">
              <a16:creationId xmlns:a16="http://schemas.microsoft.com/office/drawing/2014/main" id="{00000000-0008-0000-07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7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7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7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7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7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7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7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7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7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7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7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7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7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7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7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7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7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6" name="Picture 6" descr=".">
          <a:extLst>
            <a:ext uri="{FF2B5EF4-FFF2-40B4-BE49-F238E27FC236}">
              <a16:creationId xmlns:a16="http://schemas.microsoft.com/office/drawing/2014/main" id="{00000000-0008-0000-07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7" name="Picture 7" descr=".">
          <a:extLst>
            <a:ext uri="{FF2B5EF4-FFF2-40B4-BE49-F238E27FC236}">
              <a16:creationId xmlns:a16="http://schemas.microsoft.com/office/drawing/2014/main" id="{00000000-0008-0000-07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8" name="Picture 8" descr=".">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9" name="Picture 9" descr=".">
          <a:extLst>
            <a:ext uri="{FF2B5EF4-FFF2-40B4-BE49-F238E27FC236}">
              <a16:creationId xmlns:a16="http://schemas.microsoft.com/office/drawing/2014/main" id="{00000000-0008-0000-07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0" name="Picture 10" descr=".">
          <a:extLst>
            <a:ext uri="{FF2B5EF4-FFF2-40B4-BE49-F238E27FC236}">
              <a16:creationId xmlns:a16="http://schemas.microsoft.com/office/drawing/2014/main" id="{00000000-0008-0000-07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1" name="Picture 11" descr=".">
          <a:extLst>
            <a:ext uri="{FF2B5EF4-FFF2-40B4-BE49-F238E27FC236}">
              <a16:creationId xmlns:a16="http://schemas.microsoft.com/office/drawing/2014/main" id="{00000000-0008-0000-07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2" name="Picture 6" descr=".">
          <a:extLst>
            <a:ext uri="{FF2B5EF4-FFF2-40B4-BE49-F238E27FC236}">
              <a16:creationId xmlns:a16="http://schemas.microsoft.com/office/drawing/2014/main" id="{00000000-0008-0000-07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3" name="Picture 7" descr=".">
          <a:extLst>
            <a:ext uri="{FF2B5EF4-FFF2-40B4-BE49-F238E27FC236}">
              <a16:creationId xmlns:a16="http://schemas.microsoft.com/office/drawing/2014/main" id="{00000000-0008-0000-07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4" name="Picture 8" descr=".">
          <a:extLst>
            <a:ext uri="{FF2B5EF4-FFF2-40B4-BE49-F238E27FC236}">
              <a16:creationId xmlns:a16="http://schemas.microsoft.com/office/drawing/2014/main" id="{00000000-0008-0000-07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5" name="Picture 9" descr=".">
          <a:extLst>
            <a:ext uri="{FF2B5EF4-FFF2-40B4-BE49-F238E27FC236}">
              <a16:creationId xmlns:a16="http://schemas.microsoft.com/office/drawing/2014/main" id="{00000000-0008-0000-07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6" name="Picture 10" descr=".">
          <a:extLst>
            <a:ext uri="{FF2B5EF4-FFF2-40B4-BE49-F238E27FC236}">
              <a16:creationId xmlns:a16="http://schemas.microsoft.com/office/drawing/2014/main" id="{00000000-0008-0000-07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7" name="Picture 11" descr=".">
          <a:extLst>
            <a:ext uri="{FF2B5EF4-FFF2-40B4-BE49-F238E27FC236}">
              <a16:creationId xmlns:a16="http://schemas.microsoft.com/office/drawing/2014/main" id="{00000000-0008-0000-07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8" name="Picture 6" descr=".">
          <a:extLst>
            <a:ext uri="{FF2B5EF4-FFF2-40B4-BE49-F238E27FC236}">
              <a16:creationId xmlns:a16="http://schemas.microsoft.com/office/drawing/2014/main" id="{00000000-0008-0000-07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9" name="Picture 7" descr=".">
          <a:extLst>
            <a:ext uri="{FF2B5EF4-FFF2-40B4-BE49-F238E27FC236}">
              <a16:creationId xmlns:a16="http://schemas.microsoft.com/office/drawing/2014/main" id="{00000000-0008-0000-07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0" name="Picture 8" descr=".">
          <a:extLst>
            <a:ext uri="{FF2B5EF4-FFF2-40B4-BE49-F238E27FC236}">
              <a16:creationId xmlns:a16="http://schemas.microsoft.com/office/drawing/2014/main" id="{00000000-0008-0000-07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1" name="Picture 9" descr=".">
          <a:extLst>
            <a:ext uri="{FF2B5EF4-FFF2-40B4-BE49-F238E27FC236}">
              <a16:creationId xmlns:a16="http://schemas.microsoft.com/office/drawing/2014/main" id="{00000000-0008-0000-07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2" name="Picture 10" descr=".">
          <a:extLst>
            <a:ext uri="{FF2B5EF4-FFF2-40B4-BE49-F238E27FC236}">
              <a16:creationId xmlns:a16="http://schemas.microsoft.com/office/drawing/2014/main" id="{00000000-0008-0000-07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3" name="Picture 11" descr=".">
          <a:extLst>
            <a:ext uri="{FF2B5EF4-FFF2-40B4-BE49-F238E27FC236}">
              <a16:creationId xmlns:a16="http://schemas.microsoft.com/office/drawing/2014/main" id="{00000000-0008-0000-07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4" name="Picture 6" descr=".">
          <a:extLst>
            <a:ext uri="{FF2B5EF4-FFF2-40B4-BE49-F238E27FC236}">
              <a16:creationId xmlns:a16="http://schemas.microsoft.com/office/drawing/2014/main" id="{00000000-0008-0000-07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5" name="Picture 7" descr=".">
          <a:extLst>
            <a:ext uri="{FF2B5EF4-FFF2-40B4-BE49-F238E27FC236}">
              <a16:creationId xmlns:a16="http://schemas.microsoft.com/office/drawing/2014/main" id="{00000000-0008-0000-07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6" name="Picture 8" descr=".">
          <a:extLst>
            <a:ext uri="{FF2B5EF4-FFF2-40B4-BE49-F238E27FC236}">
              <a16:creationId xmlns:a16="http://schemas.microsoft.com/office/drawing/2014/main" id="{00000000-0008-0000-07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7" name="Picture 9" descr=".">
          <a:extLst>
            <a:ext uri="{FF2B5EF4-FFF2-40B4-BE49-F238E27FC236}">
              <a16:creationId xmlns:a16="http://schemas.microsoft.com/office/drawing/2014/main" id="{00000000-0008-0000-07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78" name="Picture 10" descr=".">
          <a:extLst>
            <a:ext uri="{FF2B5EF4-FFF2-40B4-BE49-F238E27FC236}">
              <a16:creationId xmlns:a16="http://schemas.microsoft.com/office/drawing/2014/main" id="{00000000-0008-0000-07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79" name="Picture 11" descr=".">
          <a:extLst>
            <a:ext uri="{FF2B5EF4-FFF2-40B4-BE49-F238E27FC236}">
              <a16:creationId xmlns:a16="http://schemas.microsoft.com/office/drawing/2014/main" id="{00000000-0008-0000-07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0" name="Picture 6" descr=".">
          <a:extLst>
            <a:ext uri="{FF2B5EF4-FFF2-40B4-BE49-F238E27FC236}">
              <a16:creationId xmlns:a16="http://schemas.microsoft.com/office/drawing/2014/main" id="{00000000-0008-0000-07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1" name="Picture 7" descr=".">
          <a:extLst>
            <a:ext uri="{FF2B5EF4-FFF2-40B4-BE49-F238E27FC236}">
              <a16:creationId xmlns:a16="http://schemas.microsoft.com/office/drawing/2014/main" id="{00000000-0008-0000-07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2" name="Picture 8" descr=".">
          <a:extLst>
            <a:ext uri="{FF2B5EF4-FFF2-40B4-BE49-F238E27FC236}">
              <a16:creationId xmlns:a16="http://schemas.microsoft.com/office/drawing/2014/main" id="{00000000-0008-0000-07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3" name="Picture 9" descr=".">
          <a:extLst>
            <a:ext uri="{FF2B5EF4-FFF2-40B4-BE49-F238E27FC236}">
              <a16:creationId xmlns:a16="http://schemas.microsoft.com/office/drawing/2014/main" id="{00000000-0008-0000-07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84" name="Picture 10" descr=".">
          <a:extLst>
            <a:ext uri="{FF2B5EF4-FFF2-40B4-BE49-F238E27FC236}">
              <a16:creationId xmlns:a16="http://schemas.microsoft.com/office/drawing/2014/main" id="{00000000-0008-0000-07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85" name="Picture 11" descr=".">
          <a:extLst>
            <a:ext uri="{FF2B5EF4-FFF2-40B4-BE49-F238E27FC236}">
              <a16:creationId xmlns:a16="http://schemas.microsoft.com/office/drawing/2014/main" id="{00000000-0008-0000-07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6" name="Picture 6" descr=".">
          <a:extLst>
            <a:ext uri="{FF2B5EF4-FFF2-40B4-BE49-F238E27FC236}">
              <a16:creationId xmlns:a16="http://schemas.microsoft.com/office/drawing/2014/main" id="{00000000-0008-0000-07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7" name="Picture 7" descr=".">
          <a:extLst>
            <a:ext uri="{FF2B5EF4-FFF2-40B4-BE49-F238E27FC236}">
              <a16:creationId xmlns:a16="http://schemas.microsoft.com/office/drawing/2014/main" id="{00000000-0008-0000-07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8" name="Picture 8" descr=".">
          <a:extLst>
            <a:ext uri="{FF2B5EF4-FFF2-40B4-BE49-F238E27FC236}">
              <a16:creationId xmlns:a16="http://schemas.microsoft.com/office/drawing/2014/main" id="{00000000-0008-0000-07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9" name="Picture 9" descr=".">
          <a:extLst>
            <a:ext uri="{FF2B5EF4-FFF2-40B4-BE49-F238E27FC236}">
              <a16:creationId xmlns:a16="http://schemas.microsoft.com/office/drawing/2014/main" id="{00000000-0008-0000-07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0" name="Picture 10" descr=".">
          <a:extLst>
            <a:ext uri="{FF2B5EF4-FFF2-40B4-BE49-F238E27FC236}">
              <a16:creationId xmlns:a16="http://schemas.microsoft.com/office/drawing/2014/main" id="{00000000-0008-0000-07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1" name="Picture 11" descr=".">
          <a:extLst>
            <a:ext uri="{FF2B5EF4-FFF2-40B4-BE49-F238E27FC236}">
              <a16:creationId xmlns:a16="http://schemas.microsoft.com/office/drawing/2014/main" id="{00000000-0008-0000-07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2" name="Picture 6" descr=".">
          <a:extLst>
            <a:ext uri="{FF2B5EF4-FFF2-40B4-BE49-F238E27FC236}">
              <a16:creationId xmlns:a16="http://schemas.microsoft.com/office/drawing/2014/main" id="{00000000-0008-0000-07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3" name="Picture 7" descr=".">
          <a:extLst>
            <a:ext uri="{FF2B5EF4-FFF2-40B4-BE49-F238E27FC236}">
              <a16:creationId xmlns:a16="http://schemas.microsoft.com/office/drawing/2014/main" id="{00000000-0008-0000-07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4" name="Picture 8" descr=".">
          <a:extLst>
            <a:ext uri="{FF2B5EF4-FFF2-40B4-BE49-F238E27FC236}">
              <a16:creationId xmlns:a16="http://schemas.microsoft.com/office/drawing/2014/main" id="{00000000-0008-0000-07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5" name="Picture 9" descr=".">
          <a:extLst>
            <a:ext uri="{FF2B5EF4-FFF2-40B4-BE49-F238E27FC236}">
              <a16:creationId xmlns:a16="http://schemas.microsoft.com/office/drawing/2014/main" id="{00000000-0008-0000-07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6" name="Picture 10" descr=".">
          <a:extLst>
            <a:ext uri="{FF2B5EF4-FFF2-40B4-BE49-F238E27FC236}">
              <a16:creationId xmlns:a16="http://schemas.microsoft.com/office/drawing/2014/main" id="{00000000-0008-0000-07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7" name="Picture 11" descr=".">
          <a:extLst>
            <a:ext uri="{FF2B5EF4-FFF2-40B4-BE49-F238E27FC236}">
              <a16:creationId xmlns:a16="http://schemas.microsoft.com/office/drawing/2014/main" id="{00000000-0008-0000-07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8" name="Picture 6" descr=".">
          <a:extLst>
            <a:ext uri="{FF2B5EF4-FFF2-40B4-BE49-F238E27FC236}">
              <a16:creationId xmlns:a16="http://schemas.microsoft.com/office/drawing/2014/main" id="{00000000-0008-0000-07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9" name="Picture 7" descr=".">
          <a:extLst>
            <a:ext uri="{FF2B5EF4-FFF2-40B4-BE49-F238E27FC236}">
              <a16:creationId xmlns:a16="http://schemas.microsoft.com/office/drawing/2014/main" id="{00000000-0008-0000-07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0" name="Picture 8" descr=".">
          <a:extLst>
            <a:ext uri="{FF2B5EF4-FFF2-40B4-BE49-F238E27FC236}">
              <a16:creationId xmlns:a16="http://schemas.microsoft.com/office/drawing/2014/main" id="{00000000-0008-0000-07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1" name="Picture 9" descr=".">
          <a:extLst>
            <a:ext uri="{FF2B5EF4-FFF2-40B4-BE49-F238E27FC236}">
              <a16:creationId xmlns:a16="http://schemas.microsoft.com/office/drawing/2014/main" id="{00000000-0008-0000-07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2" name="Picture 10" descr=".">
          <a:extLst>
            <a:ext uri="{FF2B5EF4-FFF2-40B4-BE49-F238E27FC236}">
              <a16:creationId xmlns:a16="http://schemas.microsoft.com/office/drawing/2014/main" id="{00000000-0008-0000-07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3" name="Picture 11" descr=".">
          <a:extLst>
            <a:ext uri="{FF2B5EF4-FFF2-40B4-BE49-F238E27FC236}">
              <a16:creationId xmlns:a16="http://schemas.microsoft.com/office/drawing/2014/main" id="{00000000-0008-0000-07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7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7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7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7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7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7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7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7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7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7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7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7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6" name="Picture 6" descr=".">
          <a:extLst>
            <a:ext uri="{FF2B5EF4-FFF2-40B4-BE49-F238E27FC236}">
              <a16:creationId xmlns:a16="http://schemas.microsoft.com/office/drawing/2014/main" id="{00000000-0008-0000-07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7" name="Picture 7" descr=".">
          <a:extLst>
            <a:ext uri="{FF2B5EF4-FFF2-40B4-BE49-F238E27FC236}">
              <a16:creationId xmlns:a16="http://schemas.microsoft.com/office/drawing/2014/main" id="{00000000-0008-0000-07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8" name="Picture 8" descr=".">
          <a:extLst>
            <a:ext uri="{FF2B5EF4-FFF2-40B4-BE49-F238E27FC236}">
              <a16:creationId xmlns:a16="http://schemas.microsoft.com/office/drawing/2014/main" id="{00000000-0008-0000-07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9" name="Picture 9" descr=".">
          <a:extLst>
            <a:ext uri="{FF2B5EF4-FFF2-40B4-BE49-F238E27FC236}">
              <a16:creationId xmlns:a16="http://schemas.microsoft.com/office/drawing/2014/main" id="{00000000-0008-0000-07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0" name="Picture 10" descr=".">
          <a:extLst>
            <a:ext uri="{FF2B5EF4-FFF2-40B4-BE49-F238E27FC236}">
              <a16:creationId xmlns:a16="http://schemas.microsoft.com/office/drawing/2014/main" id="{00000000-0008-0000-07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1" name="Picture 11" descr=".">
          <a:extLst>
            <a:ext uri="{FF2B5EF4-FFF2-40B4-BE49-F238E27FC236}">
              <a16:creationId xmlns:a16="http://schemas.microsoft.com/office/drawing/2014/main" id="{00000000-0008-0000-07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2" name="Picture 6" descr=".">
          <a:extLst>
            <a:ext uri="{FF2B5EF4-FFF2-40B4-BE49-F238E27FC236}">
              <a16:creationId xmlns:a16="http://schemas.microsoft.com/office/drawing/2014/main" id="{00000000-0008-0000-07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3" name="Picture 7" descr=".">
          <a:extLst>
            <a:ext uri="{FF2B5EF4-FFF2-40B4-BE49-F238E27FC236}">
              <a16:creationId xmlns:a16="http://schemas.microsoft.com/office/drawing/2014/main" id="{00000000-0008-0000-07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4" name="Picture 8" descr=".">
          <a:extLst>
            <a:ext uri="{FF2B5EF4-FFF2-40B4-BE49-F238E27FC236}">
              <a16:creationId xmlns:a16="http://schemas.microsoft.com/office/drawing/2014/main" id="{00000000-0008-0000-07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5" name="Picture 9" descr=".">
          <a:extLst>
            <a:ext uri="{FF2B5EF4-FFF2-40B4-BE49-F238E27FC236}">
              <a16:creationId xmlns:a16="http://schemas.microsoft.com/office/drawing/2014/main" id="{00000000-0008-0000-07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6" name="Picture 10" descr=".">
          <a:extLst>
            <a:ext uri="{FF2B5EF4-FFF2-40B4-BE49-F238E27FC236}">
              <a16:creationId xmlns:a16="http://schemas.microsoft.com/office/drawing/2014/main" id="{00000000-0008-0000-07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7" name="Picture 11" descr=".">
          <a:extLst>
            <a:ext uri="{FF2B5EF4-FFF2-40B4-BE49-F238E27FC236}">
              <a16:creationId xmlns:a16="http://schemas.microsoft.com/office/drawing/2014/main" id="{00000000-0008-0000-07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8" name="Picture 6" descr=".">
          <a:extLst>
            <a:ext uri="{FF2B5EF4-FFF2-40B4-BE49-F238E27FC236}">
              <a16:creationId xmlns:a16="http://schemas.microsoft.com/office/drawing/2014/main" id="{00000000-0008-0000-07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9" name="Picture 7" descr=".">
          <a:extLst>
            <a:ext uri="{FF2B5EF4-FFF2-40B4-BE49-F238E27FC236}">
              <a16:creationId xmlns:a16="http://schemas.microsoft.com/office/drawing/2014/main" id="{00000000-0008-0000-07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0" name="Picture 8" descr=".">
          <a:extLst>
            <a:ext uri="{FF2B5EF4-FFF2-40B4-BE49-F238E27FC236}">
              <a16:creationId xmlns:a16="http://schemas.microsoft.com/office/drawing/2014/main" id="{00000000-0008-0000-07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1" name="Picture 9" descr=".">
          <a:extLst>
            <a:ext uri="{FF2B5EF4-FFF2-40B4-BE49-F238E27FC236}">
              <a16:creationId xmlns:a16="http://schemas.microsoft.com/office/drawing/2014/main" id="{00000000-0008-0000-07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2" name="Picture 10" descr=".">
          <a:extLst>
            <a:ext uri="{FF2B5EF4-FFF2-40B4-BE49-F238E27FC236}">
              <a16:creationId xmlns:a16="http://schemas.microsoft.com/office/drawing/2014/main" id="{00000000-0008-0000-07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3" name="Picture 11" descr=".">
          <a:extLst>
            <a:ext uri="{FF2B5EF4-FFF2-40B4-BE49-F238E27FC236}">
              <a16:creationId xmlns:a16="http://schemas.microsoft.com/office/drawing/2014/main" id="{00000000-0008-0000-07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4" name="Picture 6" descr=".">
          <a:extLst>
            <a:ext uri="{FF2B5EF4-FFF2-40B4-BE49-F238E27FC236}">
              <a16:creationId xmlns:a16="http://schemas.microsoft.com/office/drawing/2014/main" id="{00000000-0008-0000-07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5" name="Picture 7" descr=".">
          <a:extLst>
            <a:ext uri="{FF2B5EF4-FFF2-40B4-BE49-F238E27FC236}">
              <a16:creationId xmlns:a16="http://schemas.microsoft.com/office/drawing/2014/main" id="{00000000-0008-0000-07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6" name="Picture 8" descr=".">
          <a:extLst>
            <a:ext uri="{FF2B5EF4-FFF2-40B4-BE49-F238E27FC236}">
              <a16:creationId xmlns:a16="http://schemas.microsoft.com/office/drawing/2014/main" id="{00000000-0008-0000-07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7" name="Picture 9" descr=".">
          <a:extLst>
            <a:ext uri="{FF2B5EF4-FFF2-40B4-BE49-F238E27FC236}">
              <a16:creationId xmlns:a16="http://schemas.microsoft.com/office/drawing/2014/main" id="{00000000-0008-0000-07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38" name="Picture 10" descr=".">
          <a:extLst>
            <a:ext uri="{FF2B5EF4-FFF2-40B4-BE49-F238E27FC236}">
              <a16:creationId xmlns:a16="http://schemas.microsoft.com/office/drawing/2014/main" id="{00000000-0008-0000-07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39" name="Picture 11" descr=".">
          <a:extLst>
            <a:ext uri="{FF2B5EF4-FFF2-40B4-BE49-F238E27FC236}">
              <a16:creationId xmlns:a16="http://schemas.microsoft.com/office/drawing/2014/main" id="{00000000-0008-0000-07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0" name="Picture 6" descr=".">
          <a:extLst>
            <a:ext uri="{FF2B5EF4-FFF2-40B4-BE49-F238E27FC236}">
              <a16:creationId xmlns:a16="http://schemas.microsoft.com/office/drawing/2014/main" id="{00000000-0008-0000-07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1" name="Picture 7" descr=".">
          <a:extLst>
            <a:ext uri="{FF2B5EF4-FFF2-40B4-BE49-F238E27FC236}">
              <a16:creationId xmlns:a16="http://schemas.microsoft.com/office/drawing/2014/main" id="{00000000-0008-0000-07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2" name="Picture 8" descr=".">
          <a:extLst>
            <a:ext uri="{FF2B5EF4-FFF2-40B4-BE49-F238E27FC236}">
              <a16:creationId xmlns:a16="http://schemas.microsoft.com/office/drawing/2014/main" id="{00000000-0008-0000-07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3" name="Picture 9" descr=".">
          <a:extLst>
            <a:ext uri="{FF2B5EF4-FFF2-40B4-BE49-F238E27FC236}">
              <a16:creationId xmlns:a16="http://schemas.microsoft.com/office/drawing/2014/main" id="{00000000-0008-0000-07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144" name="Picture 10" descr=".">
          <a:extLst>
            <a:ext uri="{FF2B5EF4-FFF2-40B4-BE49-F238E27FC236}">
              <a16:creationId xmlns:a16="http://schemas.microsoft.com/office/drawing/2014/main" id="{00000000-0008-0000-07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145" name="Picture 11" descr=".">
          <a:extLst>
            <a:ext uri="{FF2B5EF4-FFF2-40B4-BE49-F238E27FC236}">
              <a16:creationId xmlns:a16="http://schemas.microsoft.com/office/drawing/2014/main" id="{00000000-0008-0000-07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12</xdr:row>
      <xdr:rowOff>0</xdr:rowOff>
    </xdr:from>
    <xdr:ext cx="15875" cy="397439"/>
    <xdr:pic>
      <xdr:nvPicPr>
        <xdr:cNvPr id="20" name="Picture 6" descr=".">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1" name="Picture 7" descr=".">
          <a:extLst>
            <a:ext uri="{FF2B5EF4-FFF2-40B4-BE49-F238E27FC236}">
              <a16:creationId xmlns:a16="http://schemas.microsoft.com/office/drawing/2014/main" id="{00000000-0008-0000-0F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9"/>
    <xdr:pic>
      <xdr:nvPicPr>
        <xdr:cNvPr id="22" name="Picture 8" descr=".">
          <a:extLst>
            <a:ext uri="{FF2B5EF4-FFF2-40B4-BE49-F238E27FC236}">
              <a16:creationId xmlns:a16="http://schemas.microsoft.com/office/drawing/2014/main" id="{00000000-0008-0000-0F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3" name="Picture 9" descr=".">
          <a:extLst>
            <a:ext uri="{FF2B5EF4-FFF2-40B4-BE49-F238E27FC236}">
              <a16:creationId xmlns:a16="http://schemas.microsoft.com/office/drawing/2014/main" id="{00000000-0008-0000-0F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8"/>
    <xdr:pic>
      <xdr:nvPicPr>
        <xdr:cNvPr id="24" name="Picture 10" descr=".">
          <a:extLst>
            <a:ext uri="{FF2B5EF4-FFF2-40B4-BE49-F238E27FC236}">
              <a16:creationId xmlns:a16="http://schemas.microsoft.com/office/drawing/2014/main" id="{00000000-0008-0000-0F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1"/>
    <xdr:pic>
      <xdr:nvPicPr>
        <xdr:cNvPr id="25" name="Picture 11" descr=".">
          <a:extLst>
            <a:ext uri="{FF2B5EF4-FFF2-40B4-BE49-F238E27FC236}">
              <a16:creationId xmlns:a16="http://schemas.microsoft.com/office/drawing/2014/main" id="{00000000-0008-0000-0F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6" name="Picture 6" descr=".">
          <a:extLst>
            <a:ext uri="{FF2B5EF4-FFF2-40B4-BE49-F238E27FC236}">
              <a16:creationId xmlns:a16="http://schemas.microsoft.com/office/drawing/2014/main" id="{00000000-0008-0000-0F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7" name="Picture 7" descr=".">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8" name="Picture 8" descr=".">
          <a:extLst>
            <a:ext uri="{FF2B5EF4-FFF2-40B4-BE49-F238E27FC236}">
              <a16:creationId xmlns:a16="http://schemas.microsoft.com/office/drawing/2014/main" id="{00000000-0008-0000-0F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9" name="Picture 9" descr=".">
          <a:extLst>
            <a:ext uri="{FF2B5EF4-FFF2-40B4-BE49-F238E27FC236}">
              <a16:creationId xmlns:a16="http://schemas.microsoft.com/office/drawing/2014/main" id="{00000000-0008-0000-0F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60" name="Picture 10" descr=".">
          <a:extLst>
            <a:ext uri="{FF2B5EF4-FFF2-40B4-BE49-F238E27FC236}">
              <a16:creationId xmlns:a16="http://schemas.microsoft.com/office/drawing/2014/main" id="{00000000-0008-0000-0F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61" name="Picture 11" descr=".">
          <a:extLst>
            <a:ext uri="{FF2B5EF4-FFF2-40B4-BE49-F238E27FC236}">
              <a16:creationId xmlns:a16="http://schemas.microsoft.com/office/drawing/2014/main" id="{00000000-0008-0000-0F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7" dT="2021-05-27T15:35:17.31" personId="{06D2D05F-EBEA-41C2-92A1-6EF89573BC28}" id="{FB1CA331-EAE7-4B97-B380-7DD06121324E}">
    <text>Is an independent assertion ?</text>
  </threadedComment>
</ThreadedComments>
</file>

<file path=xl/threadedComments/threadedComment2.xml><?xml version="1.0" encoding="utf-8"?>
<ThreadedComments xmlns="http://schemas.microsoft.com/office/spreadsheetml/2018/threadedcomments" xmlns:x="http://schemas.openxmlformats.org/spreadsheetml/2006/main">
  <threadedComment ref="B37" dT="2021-07-16T16:00:13.77" personId="{06D2D05F-EBEA-41C2-92A1-6EF89573BC28}" id="{F3C3889C-74A9-4669-AC15-75A793D994E2}">
    <text>To be clarified what it represents</text>
  </threadedComment>
  <threadedComment ref="G37" dT="2021-07-16T16:00:56.92" personId="{06D2D05F-EBEA-41C2-92A1-6EF89573BC28}" id="{6CB55A1A-8076-4814-BCC7-6BC525FA2D5E}">
    <text>to be checked</text>
  </threadedComment>
  <threadedComment ref="D39" dT="2021-07-16T16:11:07.64" personId="{06D2D05F-EBEA-41C2-92A1-6EF89573BC28}" id="{59F860D6-A6D6-46F7-98C0-589BE30AA949}">
    <text>for my curiosity ...can be the boost of a different type of the main treatment ?</text>
  </threadedComment>
  <threadedComment ref="B53" dT="2021-07-16T16:00:13.77" personId="{06D2D05F-EBEA-41C2-92A1-6EF89573BC28}" id="{C85F808C-531A-43C1-985E-9BDDFDF87348}">
    <text>To be clarified what it represents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hl7.eu/fhir/ig/pcsp/StructureDefinition/Diagnosis" TargetMode="Externa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hl7.org/v3/cda"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2.bin"/><Relationship Id="rId4" Type="http://schemas.microsoft.com/office/2017/10/relationships/threadedComment" Target="../threadedComments/threadedComment1.xml"/></Relationships>
</file>

<file path=xl/worksheets/_rels/sheet2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hl7.eu/fhir/ig/pcsp/ValueSet/vs-radiotherapy-pcsp" TargetMode="External"/><Relationship Id="rId1" Type="http://schemas.openxmlformats.org/officeDocument/2006/relationships/hyperlink" Target="http://hl7.eu/fhir/ig/pcsp/ValueSet/vs-radiotherapy-pcsp" TargetMode="External"/><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A121" zoomScale="85" zoomScaleNormal="85" workbookViewId="0">
      <selection activeCell="C159" sqref="C159"/>
    </sheetView>
  </sheetViews>
  <sheetFormatPr defaultColWidth="23" defaultRowHeight="40.5" customHeight="1" x14ac:dyDescent="0.75"/>
  <cols>
    <col min="1" max="1" width="33.1328125" style="61" customWidth="1"/>
    <col min="2" max="2" width="45.90625" style="94" customWidth="1"/>
    <col min="3" max="3" width="72" style="61" bestFit="1" customWidth="1"/>
    <col min="4" max="4" width="26.86328125" style="61" customWidth="1"/>
    <col min="5" max="5" width="21.1328125" style="61" customWidth="1"/>
    <col min="6" max="6" width="21.54296875" style="61" customWidth="1"/>
    <col min="7" max="7" width="17.1328125" style="81" customWidth="1"/>
    <col min="8" max="8" width="54.86328125" style="81" customWidth="1"/>
    <col min="9" max="9" width="23.7265625" style="94" customWidth="1"/>
    <col min="10" max="10" width="63.1328125" style="97" customWidth="1"/>
    <col min="11" max="11" width="54.86328125" style="61" customWidth="1"/>
    <col min="12" max="16384" width="23" style="61"/>
  </cols>
  <sheetData>
    <row r="1" spans="1:11" ht="60" customHeight="1" thickBot="1" x14ac:dyDescent="0.9">
      <c r="B1" s="62" t="s">
        <v>101</v>
      </c>
      <c r="C1" s="63" t="s">
        <v>102</v>
      </c>
      <c r="D1" s="63" t="s">
        <v>103</v>
      </c>
      <c r="E1" s="63" t="s">
        <v>104</v>
      </c>
      <c r="F1" s="63" t="s">
        <v>105</v>
      </c>
      <c r="G1" s="63" t="s">
        <v>106</v>
      </c>
      <c r="H1" s="63" t="s">
        <v>107</v>
      </c>
      <c r="I1" s="63" t="s">
        <v>108</v>
      </c>
      <c r="J1" s="63" t="s">
        <v>109</v>
      </c>
      <c r="K1" s="63" t="s">
        <v>110</v>
      </c>
    </row>
    <row r="2" spans="1:11" ht="40.5" customHeight="1" x14ac:dyDescent="0.75">
      <c r="A2" s="155" t="s">
        <v>111</v>
      </c>
      <c r="B2" s="64"/>
      <c r="C2" s="65" t="s">
        <v>112</v>
      </c>
      <c r="D2" s="66"/>
      <c r="E2" s="66"/>
      <c r="F2" s="66"/>
      <c r="G2" s="66"/>
      <c r="H2" s="66"/>
      <c r="I2" s="66"/>
      <c r="J2" s="67"/>
      <c r="K2" s="66"/>
    </row>
    <row r="3" spans="1:11" ht="40.5" customHeight="1" x14ac:dyDescent="0.75">
      <c r="A3" s="156"/>
      <c r="B3" s="68"/>
      <c r="C3" s="69" t="s">
        <v>23</v>
      </c>
      <c r="D3" s="70" t="s">
        <v>23</v>
      </c>
      <c r="E3" s="70" t="s">
        <v>113</v>
      </c>
      <c r="F3" s="70"/>
      <c r="G3" s="70" t="s">
        <v>114</v>
      </c>
      <c r="H3" s="70"/>
      <c r="I3" s="70" t="s">
        <v>115</v>
      </c>
      <c r="J3" s="70" t="s">
        <v>116</v>
      </c>
      <c r="K3" s="71" t="s">
        <v>115</v>
      </c>
    </row>
    <row r="4" spans="1:11" ht="40.5" customHeight="1" x14ac:dyDescent="0.75">
      <c r="A4" s="156"/>
      <c r="B4" s="68"/>
      <c r="C4" s="72" t="s">
        <v>72</v>
      </c>
      <c r="D4" s="73" t="s">
        <v>117</v>
      </c>
      <c r="E4" s="73" t="s">
        <v>113</v>
      </c>
      <c r="F4" s="73"/>
      <c r="G4" s="70" t="s">
        <v>118</v>
      </c>
      <c r="H4" s="70"/>
      <c r="I4" s="73" t="s">
        <v>119</v>
      </c>
      <c r="J4" s="70" t="s">
        <v>120</v>
      </c>
      <c r="K4" s="71" t="s">
        <v>121</v>
      </c>
    </row>
    <row r="5" spans="1:11" ht="40.5" customHeight="1" x14ac:dyDescent="0.75">
      <c r="A5" s="156"/>
      <c r="B5" s="68"/>
      <c r="C5" s="72" t="s">
        <v>77</v>
      </c>
      <c r="D5" s="73" t="s">
        <v>122</v>
      </c>
      <c r="E5" s="73" t="s">
        <v>113</v>
      </c>
      <c r="F5" s="73"/>
      <c r="G5" s="70" t="s">
        <v>118</v>
      </c>
      <c r="H5" s="70"/>
      <c r="I5" s="73" t="s">
        <v>123</v>
      </c>
      <c r="J5" s="70" t="s">
        <v>124</v>
      </c>
      <c r="K5" s="71" t="s">
        <v>121</v>
      </c>
    </row>
    <row r="6" spans="1:11" ht="40.5" customHeight="1" x14ac:dyDescent="0.75">
      <c r="A6" s="156"/>
      <c r="B6" s="68"/>
      <c r="C6" s="72" t="s">
        <v>74</v>
      </c>
      <c r="D6" s="73" t="s">
        <v>125</v>
      </c>
      <c r="E6" s="73" t="s">
        <v>113</v>
      </c>
      <c r="F6" s="73"/>
      <c r="G6" s="70" t="s">
        <v>118</v>
      </c>
      <c r="H6" s="70"/>
      <c r="I6" s="73" t="s">
        <v>123</v>
      </c>
      <c r="J6" s="70" t="s">
        <v>126</v>
      </c>
      <c r="K6" s="71" t="s">
        <v>121</v>
      </c>
    </row>
    <row r="7" spans="1:11" ht="40.5" customHeight="1" x14ac:dyDescent="0.75">
      <c r="A7" s="156"/>
      <c r="B7" s="68"/>
      <c r="C7" s="72" t="s">
        <v>75</v>
      </c>
      <c r="D7" s="73" t="s">
        <v>127</v>
      </c>
      <c r="E7" s="73" t="s">
        <v>113</v>
      </c>
      <c r="F7" s="73"/>
      <c r="G7" s="70" t="s">
        <v>118</v>
      </c>
      <c r="H7" s="70"/>
      <c r="I7" s="73" t="s">
        <v>119</v>
      </c>
      <c r="J7" s="70" t="s">
        <v>128</v>
      </c>
      <c r="K7" s="71" t="s">
        <v>121</v>
      </c>
    </row>
    <row r="8" spans="1:11" ht="55.5" x14ac:dyDescent="0.75">
      <c r="A8" s="156"/>
      <c r="B8" s="158" t="s">
        <v>129</v>
      </c>
      <c r="C8" s="72" t="s">
        <v>78</v>
      </c>
      <c r="D8" s="73" t="s">
        <v>130</v>
      </c>
      <c r="E8" s="73" t="s">
        <v>131</v>
      </c>
      <c r="F8" s="73"/>
      <c r="G8" s="74" t="s">
        <v>114</v>
      </c>
      <c r="H8" s="70" t="s">
        <v>132</v>
      </c>
      <c r="I8" s="73" t="s">
        <v>119</v>
      </c>
      <c r="J8" s="70" t="s">
        <v>133</v>
      </c>
      <c r="K8" s="71" t="s">
        <v>115</v>
      </c>
    </row>
    <row r="9" spans="1:11" ht="40.5" customHeight="1" x14ac:dyDescent="0.75">
      <c r="A9" s="156"/>
      <c r="B9" s="158"/>
      <c r="C9" s="69" t="s">
        <v>134</v>
      </c>
      <c r="D9" s="70" t="s">
        <v>135</v>
      </c>
      <c r="E9" s="73" t="s">
        <v>113</v>
      </c>
      <c r="F9" s="73"/>
      <c r="G9" s="74" t="s">
        <v>118</v>
      </c>
      <c r="H9" s="70"/>
      <c r="I9" s="70" t="s">
        <v>136</v>
      </c>
      <c r="J9" s="70" t="s">
        <v>137</v>
      </c>
      <c r="K9" s="71" t="s">
        <v>115</v>
      </c>
    </row>
    <row r="10" spans="1:11" ht="40.5" customHeight="1" x14ac:dyDescent="0.75">
      <c r="A10" s="156"/>
      <c r="B10" s="158" t="s">
        <v>138</v>
      </c>
      <c r="C10" s="72" t="s">
        <v>79</v>
      </c>
      <c r="D10" s="73" t="s">
        <v>139</v>
      </c>
      <c r="E10" s="73" t="s">
        <v>4</v>
      </c>
      <c r="F10" s="73"/>
      <c r="G10" s="70" t="s">
        <v>4</v>
      </c>
      <c r="H10" s="70" t="s">
        <v>140</v>
      </c>
      <c r="I10" s="73" t="s">
        <v>119</v>
      </c>
      <c r="J10" s="70" t="s">
        <v>141</v>
      </c>
      <c r="K10" s="71" t="s">
        <v>121</v>
      </c>
    </row>
    <row r="11" spans="1:11" ht="40.5" customHeight="1" x14ac:dyDescent="0.75">
      <c r="A11" s="156"/>
      <c r="B11" s="158"/>
      <c r="C11" s="72" t="s">
        <v>142</v>
      </c>
      <c r="D11" s="73" t="s">
        <v>143</v>
      </c>
      <c r="E11" s="73" t="s">
        <v>114</v>
      </c>
      <c r="F11" s="73" t="s">
        <v>115</v>
      </c>
      <c r="G11" s="70" t="s">
        <v>114</v>
      </c>
      <c r="H11" s="70"/>
      <c r="I11" s="73" t="s">
        <v>115</v>
      </c>
      <c r="J11" s="70" t="s">
        <v>144</v>
      </c>
      <c r="K11" s="71" t="s">
        <v>115</v>
      </c>
    </row>
    <row r="12" spans="1:11" ht="40.5" customHeight="1" x14ac:dyDescent="0.75">
      <c r="A12" s="156"/>
      <c r="B12" s="68"/>
      <c r="C12" s="72" t="s">
        <v>81</v>
      </c>
      <c r="D12" s="73" t="s">
        <v>145</v>
      </c>
      <c r="E12" s="73" t="s">
        <v>113</v>
      </c>
      <c r="F12" s="73"/>
      <c r="G12" s="70" t="s">
        <v>118</v>
      </c>
      <c r="H12" s="70"/>
      <c r="I12" s="73" t="s">
        <v>123</v>
      </c>
      <c r="J12" s="70" t="s">
        <v>146</v>
      </c>
      <c r="K12" s="71" t="s">
        <v>121</v>
      </c>
    </row>
    <row r="13" spans="1:11" ht="40.5" customHeight="1" x14ac:dyDescent="0.75">
      <c r="A13" s="156"/>
      <c r="B13" s="159" t="s">
        <v>147</v>
      </c>
      <c r="C13" s="72" t="s">
        <v>148</v>
      </c>
      <c r="D13" s="73" t="s">
        <v>149</v>
      </c>
      <c r="E13" s="73" t="s">
        <v>131</v>
      </c>
      <c r="F13" s="73"/>
      <c r="G13" s="70" t="s">
        <v>114</v>
      </c>
      <c r="H13" s="70" t="s">
        <v>150</v>
      </c>
      <c r="I13" s="73" t="s">
        <v>119</v>
      </c>
      <c r="J13" s="70" t="s">
        <v>151</v>
      </c>
      <c r="K13" s="71" t="s">
        <v>121</v>
      </c>
    </row>
    <row r="14" spans="1:11" ht="40.5" customHeight="1" x14ac:dyDescent="0.75">
      <c r="A14" s="156"/>
      <c r="B14" s="160"/>
      <c r="C14" s="72" t="s">
        <v>85</v>
      </c>
      <c r="D14" s="73" t="s">
        <v>152</v>
      </c>
      <c r="E14" s="73" t="s">
        <v>113</v>
      </c>
      <c r="F14" s="73"/>
      <c r="G14" s="70" t="s">
        <v>118</v>
      </c>
      <c r="H14" s="70"/>
      <c r="I14" s="73" t="s">
        <v>153</v>
      </c>
      <c r="J14" s="70" t="s">
        <v>154</v>
      </c>
      <c r="K14" s="73" t="s">
        <v>121</v>
      </c>
    </row>
    <row r="15" spans="1:11" ht="40.5" customHeight="1" thickBot="1" x14ac:dyDescent="0.9">
      <c r="A15" s="157"/>
      <c r="B15" s="161"/>
      <c r="C15" s="72" t="s">
        <v>88</v>
      </c>
      <c r="D15" s="73" t="s">
        <v>155</v>
      </c>
      <c r="E15" s="73" t="s">
        <v>113</v>
      </c>
      <c r="F15" s="73"/>
      <c r="G15" s="70" t="s">
        <v>118</v>
      </c>
      <c r="H15" s="70"/>
      <c r="I15" s="73" t="s">
        <v>156</v>
      </c>
      <c r="J15" s="70" t="s">
        <v>157</v>
      </c>
      <c r="K15" s="73" t="s">
        <v>121</v>
      </c>
    </row>
    <row r="16" spans="1:11" ht="40.5" customHeight="1" thickBot="1" x14ac:dyDescent="0.9">
      <c r="B16" s="62" t="s">
        <v>158</v>
      </c>
      <c r="C16" s="75" t="s">
        <v>91</v>
      </c>
      <c r="D16" s="75"/>
      <c r="E16" s="75"/>
      <c r="F16" s="75"/>
      <c r="G16" s="66"/>
      <c r="H16" s="66"/>
      <c r="I16" s="75"/>
      <c r="J16" s="67"/>
      <c r="K16" s="75"/>
    </row>
    <row r="17" spans="1:14" ht="40.5" customHeight="1" x14ac:dyDescent="0.75">
      <c r="A17" s="162" t="s">
        <v>159</v>
      </c>
      <c r="B17" s="64"/>
      <c r="C17" s="69" t="s">
        <v>160</v>
      </c>
      <c r="D17" s="70" t="s">
        <v>161</v>
      </c>
      <c r="E17" s="70" t="s">
        <v>114</v>
      </c>
      <c r="F17" s="70" t="s">
        <v>115</v>
      </c>
      <c r="G17" s="70" t="s">
        <v>114</v>
      </c>
      <c r="H17" s="70"/>
      <c r="I17" s="70" t="s">
        <v>115</v>
      </c>
      <c r="J17" s="70" t="s">
        <v>162</v>
      </c>
      <c r="K17" s="71" t="s">
        <v>115</v>
      </c>
    </row>
    <row r="18" spans="1:14" ht="40.5" customHeight="1" x14ac:dyDescent="0.75">
      <c r="A18" s="163"/>
      <c r="B18" s="68"/>
      <c r="C18" s="72" t="s">
        <v>163</v>
      </c>
      <c r="D18" s="73" t="s">
        <v>164</v>
      </c>
      <c r="E18" s="73" t="s">
        <v>4</v>
      </c>
      <c r="F18" s="73"/>
      <c r="G18" s="70" t="s">
        <v>4</v>
      </c>
      <c r="H18" s="70" t="s">
        <v>140</v>
      </c>
      <c r="I18" s="73" t="s">
        <v>119</v>
      </c>
      <c r="J18" s="70" t="s">
        <v>165</v>
      </c>
      <c r="K18" s="71" t="s">
        <v>115</v>
      </c>
    </row>
    <row r="19" spans="1:14" s="77" customFormat="1" ht="40.5" customHeight="1" x14ac:dyDescent="0.75">
      <c r="A19" s="163"/>
      <c r="B19" s="76"/>
      <c r="C19" s="69" t="s">
        <v>166</v>
      </c>
      <c r="D19" s="70" t="s">
        <v>167</v>
      </c>
      <c r="E19" s="73" t="s">
        <v>131</v>
      </c>
      <c r="F19" s="73" t="s">
        <v>115</v>
      </c>
      <c r="G19" s="70" t="s">
        <v>114</v>
      </c>
      <c r="H19" s="73" t="s">
        <v>168</v>
      </c>
      <c r="I19" s="70" t="s">
        <v>115</v>
      </c>
      <c r="J19" s="70" t="s">
        <v>169</v>
      </c>
      <c r="K19" s="71" t="s">
        <v>170</v>
      </c>
      <c r="L19" s="61"/>
      <c r="M19" s="61"/>
      <c r="N19" s="61"/>
    </row>
    <row r="20" spans="1:14" ht="40.5" customHeight="1" x14ac:dyDescent="0.75">
      <c r="A20" s="163"/>
      <c r="B20" s="68"/>
      <c r="C20" s="72" t="s">
        <v>171</v>
      </c>
      <c r="D20" s="73" t="s">
        <v>172</v>
      </c>
      <c r="E20" s="73" t="s">
        <v>113</v>
      </c>
      <c r="F20" s="73" t="s">
        <v>115</v>
      </c>
      <c r="G20" s="73" t="s">
        <v>118</v>
      </c>
      <c r="H20" s="73"/>
      <c r="I20" s="73" t="s">
        <v>115</v>
      </c>
      <c r="J20" s="70" t="s">
        <v>173</v>
      </c>
      <c r="K20" s="78" t="s">
        <v>115</v>
      </c>
    </row>
    <row r="21" spans="1:14" ht="40.5" customHeight="1" x14ac:dyDescent="0.75">
      <c r="A21" s="163"/>
      <c r="B21" s="68"/>
      <c r="C21" s="72" t="s">
        <v>174</v>
      </c>
      <c r="D21" s="73" t="s">
        <v>175</v>
      </c>
      <c r="E21" s="73" t="s">
        <v>131</v>
      </c>
      <c r="F21" s="73"/>
      <c r="G21" s="70" t="s">
        <v>114</v>
      </c>
      <c r="H21" s="70" t="s">
        <v>176</v>
      </c>
      <c r="I21" s="73" t="s">
        <v>119</v>
      </c>
      <c r="J21" s="70" t="s">
        <v>177</v>
      </c>
      <c r="K21" s="71" t="s">
        <v>115</v>
      </c>
    </row>
    <row r="22" spans="1:14" s="81" customFormat="1" ht="40.5" customHeight="1" x14ac:dyDescent="0.75">
      <c r="A22" s="163"/>
      <c r="B22" s="79"/>
      <c r="C22" s="69" t="s">
        <v>178</v>
      </c>
      <c r="D22" s="70" t="s">
        <v>179</v>
      </c>
      <c r="E22" s="73" t="s">
        <v>113</v>
      </c>
      <c r="F22" s="73"/>
      <c r="G22" s="70" t="s">
        <v>118</v>
      </c>
      <c r="H22" s="70"/>
      <c r="I22" s="70" t="s">
        <v>180</v>
      </c>
      <c r="J22" s="70" t="s">
        <v>181</v>
      </c>
      <c r="K22" s="80" t="s">
        <v>115</v>
      </c>
    </row>
    <row r="23" spans="1:14" ht="40.5" customHeight="1" x14ac:dyDescent="0.75">
      <c r="A23" s="163"/>
      <c r="B23" s="68"/>
      <c r="C23" s="72" t="s">
        <v>182</v>
      </c>
      <c r="D23" s="73" t="s">
        <v>183</v>
      </c>
      <c r="E23" s="73" t="s">
        <v>4</v>
      </c>
      <c r="F23" s="73"/>
      <c r="G23" s="70" t="s">
        <v>4</v>
      </c>
      <c r="H23" s="70" t="s">
        <v>140</v>
      </c>
      <c r="I23" s="73" t="s">
        <v>184</v>
      </c>
      <c r="J23" s="70" t="s">
        <v>185</v>
      </c>
      <c r="K23" s="73" t="s">
        <v>121</v>
      </c>
    </row>
    <row r="24" spans="1:14" ht="40.5" customHeight="1" x14ac:dyDescent="0.75">
      <c r="A24" s="163"/>
      <c r="B24" s="68"/>
      <c r="C24" s="72" t="s">
        <v>186</v>
      </c>
      <c r="D24" s="73" t="s">
        <v>187</v>
      </c>
      <c r="E24" s="73" t="s">
        <v>131</v>
      </c>
      <c r="F24" s="73" t="s">
        <v>115</v>
      </c>
      <c r="G24" s="70" t="s">
        <v>118</v>
      </c>
      <c r="H24" s="70" t="s">
        <v>188</v>
      </c>
      <c r="I24" s="73" t="s">
        <v>115</v>
      </c>
      <c r="J24" s="70" t="s">
        <v>189</v>
      </c>
      <c r="K24" s="71" t="s">
        <v>115</v>
      </c>
    </row>
    <row r="25" spans="1:14" ht="40.5" customHeight="1" x14ac:dyDescent="0.75">
      <c r="A25" s="163"/>
      <c r="B25" s="68"/>
      <c r="C25" s="72" t="s">
        <v>91</v>
      </c>
      <c r="D25" s="73" t="s">
        <v>190</v>
      </c>
      <c r="E25" s="73" t="s">
        <v>131</v>
      </c>
      <c r="F25" s="73"/>
      <c r="G25" s="70" t="s">
        <v>118</v>
      </c>
      <c r="H25" s="70" t="s">
        <v>191</v>
      </c>
      <c r="I25" s="73" t="s">
        <v>119</v>
      </c>
      <c r="J25" s="70" t="s">
        <v>192</v>
      </c>
      <c r="K25" s="71" t="s">
        <v>115</v>
      </c>
    </row>
    <row r="26" spans="1:14" ht="40.5" customHeight="1" x14ac:dyDescent="0.75">
      <c r="A26" s="163"/>
      <c r="B26" s="68"/>
      <c r="C26" s="72" t="s">
        <v>193</v>
      </c>
      <c r="D26" s="73" t="s">
        <v>194</v>
      </c>
      <c r="E26" s="73" t="s">
        <v>131</v>
      </c>
      <c r="F26" s="73" t="s">
        <v>115</v>
      </c>
      <c r="G26" s="70" t="s">
        <v>114</v>
      </c>
      <c r="H26" s="70"/>
      <c r="I26" s="73" t="s">
        <v>115</v>
      </c>
      <c r="J26" s="70" t="s">
        <v>195</v>
      </c>
      <c r="K26" s="71" t="s">
        <v>121</v>
      </c>
    </row>
    <row r="27" spans="1:14" ht="40.5" customHeight="1" x14ac:dyDescent="0.75">
      <c r="A27" s="163"/>
      <c r="B27" s="68"/>
      <c r="C27" s="72" t="s">
        <v>196</v>
      </c>
      <c r="D27" s="73" t="s">
        <v>197</v>
      </c>
      <c r="E27" s="73" t="s">
        <v>113</v>
      </c>
      <c r="F27" s="73"/>
      <c r="G27" s="70" t="s">
        <v>118</v>
      </c>
      <c r="H27" s="70"/>
      <c r="I27" s="73" t="s">
        <v>123</v>
      </c>
      <c r="J27" s="70" t="s">
        <v>198</v>
      </c>
      <c r="K27" s="71" t="s">
        <v>115</v>
      </c>
    </row>
    <row r="28" spans="1:14" ht="40.5" customHeight="1" x14ac:dyDescent="0.75">
      <c r="A28" s="163"/>
      <c r="B28" s="68"/>
      <c r="C28" s="72" t="s">
        <v>199</v>
      </c>
      <c r="D28" s="70" t="s">
        <v>200</v>
      </c>
      <c r="E28" s="73" t="s">
        <v>131</v>
      </c>
      <c r="F28" s="73"/>
      <c r="G28" s="70" t="s">
        <v>118</v>
      </c>
      <c r="H28" s="70" t="s">
        <v>201</v>
      </c>
      <c r="I28" s="73" t="s">
        <v>119</v>
      </c>
      <c r="J28" s="70" t="s">
        <v>202</v>
      </c>
      <c r="K28" s="71" t="s">
        <v>115</v>
      </c>
    </row>
    <row r="29" spans="1:14" ht="40.5" customHeight="1" x14ac:dyDescent="0.75">
      <c r="A29" s="163"/>
      <c r="B29" s="68"/>
      <c r="C29" s="72" t="s">
        <v>203</v>
      </c>
      <c r="D29" s="73" t="s">
        <v>204</v>
      </c>
      <c r="E29" s="73" t="s">
        <v>113</v>
      </c>
      <c r="F29" s="73"/>
      <c r="G29" s="70" t="s">
        <v>118</v>
      </c>
      <c r="H29" s="70"/>
      <c r="I29" s="73" t="s">
        <v>123</v>
      </c>
      <c r="J29" s="70" t="s">
        <v>205</v>
      </c>
      <c r="K29" s="71" t="s">
        <v>115</v>
      </c>
    </row>
    <row r="30" spans="1:14" ht="111" x14ac:dyDescent="0.75">
      <c r="A30" s="163"/>
      <c r="B30" s="68"/>
      <c r="C30" s="72" t="s">
        <v>206</v>
      </c>
      <c r="D30" s="73" t="s">
        <v>207</v>
      </c>
      <c r="E30" s="73" t="s">
        <v>131</v>
      </c>
      <c r="F30" s="73"/>
      <c r="G30" s="70" t="s">
        <v>114</v>
      </c>
      <c r="H30" s="70" t="s">
        <v>208</v>
      </c>
      <c r="I30" s="70" t="s">
        <v>115</v>
      </c>
      <c r="J30" s="70" t="s">
        <v>209</v>
      </c>
      <c r="K30" s="71" t="s">
        <v>115</v>
      </c>
    </row>
    <row r="31" spans="1:14" ht="40.5" customHeight="1" x14ac:dyDescent="0.75">
      <c r="A31" s="163"/>
      <c r="B31" s="68"/>
      <c r="C31" s="72" t="s">
        <v>210</v>
      </c>
      <c r="D31" s="73" t="s">
        <v>211</v>
      </c>
      <c r="E31" s="73" t="s">
        <v>131</v>
      </c>
      <c r="F31" s="73"/>
      <c r="G31" s="70" t="s">
        <v>114</v>
      </c>
      <c r="H31" s="70" t="s">
        <v>212</v>
      </c>
      <c r="I31" s="70" t="s">
        <v>115</v>
      </c>
      <c r="J31" s="70" t="s">
        <v>213</v>
      </c>
      <c r="K31" s="71" t="s">
        <v>115</v>
      </c>
    </row>
    <row r="32" spans="1:14" ht="40.5" customHeight="1" x14ac:dyDescent="0.75">
      <c r="A32" s="163"/>
      <c r="B32" s="68"/>
      <c r="C32" s="72" t="s">
        <v>214</v>
      </c>
      <c r="D32" s="73" t="s">
        <v>215</v>
      </c>
      <c r="E32" s="73" t="s">
        <v>131</v>
      </c>
      <c r="F32" s="73"/>
      <c r="G32" s="70" t="s">
        <v>114</v>
      </c>
      <c r="H32" s="70" t="s">
        <v>216</v>
      </c>
      <c r="I32" s="70" t="s">
        <v>217</v>
      </c>
      <c r="J32" s="70"/>
      <c r="K32" s="71" t="s">
        <v>121</v>
      </c>
    </row>
    <row r="33" spans="1:11" ht="40.5" customHeight="1" x14ac:dyDescent="0.75">
      <c r="A33" s="163"/>
      <c r="B33" s="68"/>
      <c r="C33" s="72" t="s">
        <v>218</v>
      </c>
      <c r="D33" s="73" t="s">
        <v>219</v>
      </c>
      <c r="E33" s="73" t="s">
        <v>131</v>
      </c>
      <c r="F33" s="73"/>
      <c r="G33" s="70" t="s">
        <v>118</v>
      </c>
      <c r="H33" s="70"/>
      <c r="I33" s="73" t="s">
        <v>220</v>
      </c>
      <c r="J33" s="70" t="s">
        <v>221</v>
      </c>
      <c r="K33" s="71" t="s">
        <v>115</v>
      </c>
    </row>
    <row r="34" spans="1:11" ht="40.5" customHeight="1" x14ac:dyDescent="0.75">
      <c r="A34" s="163"/>
      <c r="B34" s="68"/>
      <c r="C34" s="72" t="s">
        <v>222</v>
      </c>
      <c r="D34" s="73" t="s">
        <v>223</v>
      </c>
      <c r="E34" s="73" t="s">
        <v>113</v>
      </c>
      <c r="F34" s="73"/>
      <c r="G34" s="70" t="s">
        <v>118</v>
      </c>
      <c r="H34" s="70"/>
      <c r="I34" s="73" t="s">
        <v>224</v>
      </c>
      <c r="J34" s="70" t="s">
        <v>225</v>
      </c>
      <c r="K34" s="71" t="s">
        <v>115</v>
      </c>
    </row>
    <row r="35" spans="1:11" ht="40.5" customHeight="1" x14ac:dyDescent="0.75">
      <c r="A35" s="163"/>
      <c r="B35" s="68"/>
      <c r="C35" s="72" t="s">
        <v>226</v>
      </c>
      <c r="D35" s="73" t="s">
        <v>227</v>
      </c>
      <c r="E35" s="73" t="s">
        <v>113</v>
      </c>
      <c r="F35" s="73"/>
      <c r="G35" s="70" t="s">
        <v>118</v>
      </c>
      <c r="H35" s="70"/>
      <c r="I35" s="73" t="s">
        <v>123</v>
      </c>
      <c r="J35" s="70" t="s">
        <v>228</v>
      </c>
      <c r="K35" s="71" t="s">
        <v>115</v>
      </c>
    </row>
    <row r="36" spans="1:11" ht="40.5" customHeight="1" x14ac:dyDescent="0.75">
      <c r="A36" s="163"/>
      <c r="B36" s="68"/>
      <c r="C36" s="72" t="s">
        <v>229</v>
      </c>
      <c r="D36" s="73" t="s">
        <v>230</v>
      </c>
      <c r="E36" s="73" t="s">
        <v>113</v>
      </c>
      <c r="F36" s="73"/>
      <c r="G36" s="70" t="s">
        <v>118</v>
      </c>
      <c r="H36" s="70"/>
      <c r="I36" s="73" t="s">
        <v>123</v>
      </c>
      <c r="J36" s="70" t="s">
        <v>231</v>
      </c>
      <c r="K36" s="71" t="s">
        <v>115</v>
      </c>
    </row>
    <row r="37" spans="1:11" ht="40.5" customHeight="1" x14ac:dyDescent="0.75">
      <c r="A37" s="163"/>
      <c r="B37" s="68"/>
      <c r="C37" s="72" t="s">
        <v>232</v>
      </c>
      <c r="D37" s="73" t="s">
        <v>233</v>
      </c>
      <c r="E37" s="73" t="s">
        <v>113</v>
      </c>
      <c r="F37" s="73"/>
      <c r="G37" s="70" t="s">
        <v>118</v>
      </c>
      <c r="H37" s="70"/>
      <c r="I37" s="73" t="s">
        <v>123</v>
      </c>
      <c r="J37" s="70" t="s">
        <v>234</v>
      </c>
      <c r="K37" s="71" t="s">
        <v>115</v>
      </c>
    </row>
    <row r="38" spans="1:11" ht="40.5" customHeight="1" x14ac:dyDescent="0.75">
      <c r="A38" s="163"/>
      <c r="B38" s="68"/>
      <c r="C38" s="72" t="s">
        <v>235</v>
      </c>
      <c r="D38" s="73" t="s">
        <v>236</v>
      </c>
      <c r="E38" s="73" t="s">
        <v>131</v>
      </c>
      <c r="F38" s="73"/>
      <c r="G38" s="70" t="s">
        <v>114</v>
      </c>
      <c r="H38" s="82" t="s">
        <v>237</v>
      </c>
      <c r="I38" s="73" t="s">
        <v>119</v>
      </c>
      <c r="J38" s="70" t="s">
        <v>238</v>
      </c>
      <c r="K38" s="71" t="s">
        <v>115</v>
      </c>
    </row>
    <row r="39" spans="1:11" ht="40.5" customHeight="1" x14ac:dyDescent="0.75">
      <c r="A39" s="163"/>
      <c r="B39" s="68"/>
      <c r="C39" s="72" t="s">
        <v>239</v>
      </c>
      <c r="D39" s="70" t="s">
        <v>240</v>
      </c>
      <c r="E39" s="73" t="s">
        <v>131</v>
      </c>
      <c r="F39" s="73"/>
      <c r="G39" s="70" t="s">
        <v>118</v>
      </c>
      <c r="H39" s="70" t="s">
        <v>241</v>
      </c>
      <c r="I39" s="70" t="s">
        <v>242</v>
      </c>
      <c r="J39" s="70" t="s">
        <v>243</v>
      </c>
      <c r="K39" s="71" t="s">
        <v>115</v>
      </c>
    </row>
    <row r="40" spans="1:11" ht="40.5" customHeight="1" x14ac:dyDescent="0.75">
      <c r="A40" s="163"/>
      <c r="B40" s="68"/>
      <c r="C40" s="72" t="s">
        <v>244</v>
      </c>
      <c r="D40" s="70" t="s">
        <v>245</v>
      </c>
      <c r="E40" s="73" t="s">
        <v>113</v>
      </c>
      <c r="F40" s="73"/>
      <c r="G40" s="70" t="s">
        <v>118</v>
      </c>
      <c r="H40" s="70"/>
      <c r="I40" s="70" t="s">
        <v>246</v>
      </c>
      <c r="J40" s="70" t="s">
        <v>247</v>
      </c>
      <c r="K40" s="71" t="s">
        <v>115</v>
      </c>
    </row>
    <row r="41" spans="1:11" ht="40.5" customHeight="1" x14ac:dyDescent="0.75">
      <c r="A41" s="163"/>
      <c r="B41" s="83" t="s">
        <v>248</v>
      </c>
      <c r="C41" s="72" t="s">
        <v>249</v>
      </c>
      <c r="D41" s="73" t="s">
        <v>250</v>
      </c>
      <c r="E41" s="73" t="s">
        <v>131</v>
      </c>
      <c r="F41" s="73"/>
      <c r="G41" s="70" t="s">
        <v>114</v>
      </c>
      <c r="H41" s="70" t="s">
        <v>237</v>
      </c>
      <c r="I41" s="73" t="s">
        <v>119</v>
      </c>
      <c r="J41" s="70" t="s">
        <v>251</v>
      </c>
      <c r="K41" s="71" t="s">
        <v>115</v>
      </c>
    </row>
    <row r="42" spans="1:11" ht="40.5" customHeight="1" x14ac:dyDescent="0.75">
      <c r="A42" s="163"/>
      <c r="B42" s="83" t="s">
        <v>252</v>
      </c>
      <c r="C42" s="84" t="s">
        <v>253</v>
      </c>
      <c r="D42" s="82" t="s">
        <v>254</v>
      </c>
      <c r="E42" s="70" t="s">
        <v>255</v>
      </c>
      <c r="F42" s="70"/>
      <c r="G42" s="70" t="s">
        <v>118</v>
      </c>
      <c r="H42" s="80"/>
      <c r="I42" s="70" t="s">
        <v>256</v>
      </c>
      <c r="J42" s="82" t="s">
        <v>257</v>
      </c>
      <c r="K42" s="71" t="s">
        <v>115</v>
      </c>
    </row>
    <row r="43" spans="1:11" ht="40.5" customHeight="1" thickBot="1" x14ac:dyDescent="0.9">
      <c r="A43" s="164"/>
      <c r="B43" s="85"/>
      <c r="C43" s="72" t="s">
        <v>258</v>
      </c>
      <c r="D43" s="73" t="s">
        <v>259</v>
      </c>
      <c r="E43" s="70" t="s">
        <v>255</v>
      </c>
      <c r="F43" s="70"/>
      <c r="G43" s="70" t="s">
        <v>118</v>
      </c>
      <c r="H43" s="70" t="s">
        <v>260</v>
      </c>
      <c r="I43" s="73" t="s">
        <v>123</v>
      </c>
      <c r="J43" s="70" t="s">
        <v>261</v>
      </c>
      <c r="K43" s="73" t="s">
        <v>115</v>
      </c>
    </row>
    <row r="44" spans="1:11" ht="130.25" thickBot="1" x14ac:dyDescent="0.9">
      <c r="B44" s="62" t="s">
        <v>262</v>
      </c>
      <c r="C44" s="86" t="s">
        <v>92</v>
      </c>
      <c r="D44" s="87"/>
      <c r="E44" s="87"/>
      <c r="F44" s="87"/>
      <c r="G44" s="88"/>
      <c r="H44" s="88"/>
      <c r="I44" s="89"/>
      <c r="J44" s="67"/>
      <c r="K44" s="87"/>
    </row>
    <row r="45" spans="1:11" ht="40.5" customHeight="1" x14ac:dyDescent="0.75">
      <c r="A45" s="90"/>
      <c r="B45" s="91" t="s">
        <v>263</v>
      </c>
      <c r="C45" s="69" t="s">
        <v>160</v>
      </c>
      <c r="D45" s="70" t="s">
        <v>161</v>
      </c>
      <c r="E45" s="70" t="s">
        <v>114</v>
      </c>
      <c r="F45" s="70" t="s">
        <v>115</v>
      </c>
      <c r="G45" s="70" t="s">
        <v>114</v>
      </c>
      <c r="H45" s="70"/>
      <c r="I45" s="70" t="s">
        <v>115</v>
      </c>
      <c r="J45" s="70" t="s">
        <v>264</v>
      </c>
      <c r="K45" s="80" t="s">
        <v>121</v>
      </c>
    </row>
    <row r="46" spans="1:11" ht="40.5" customHeight="1" x14ac:dyDescent="0.75">
      <c r="A46" s="92"/>
      <c r="B46" s="159" t="s">
        <v>265</v>
      </c>
      <c r="C46" s="72" t="s">
        <v>266</v>
      </c>
      <c r="D46" s="73" t="s">
        <v>267</v>
      </c>
      <c r="E46" s="73" t="s">
        <v>131</v>
      </c>
      <c r="F46" s="73"/>
      <c r="G46" s="70" t="s">
        <v>114</v>
      </c>
      <c r="H46" s="70" t="s">
        <v>268</v>
      </c>
      <c r="I46" s="73" t="s">
        <v>119</v>
      </c>
      <c r="J46" s="70" t="s">
        <v>269</v>
      </c>
      <c r="K46" s="71" t="s">
        <v>115</v>
      </c>
    </row>
    <row r="47" spans="1:11" ht="40.5" customHeight="1" x14ac:dyDescent="0.75">
      <c r="A47" s="92"/>
      <c r="B47" s="160"/>
      <c r="C47" s="72" t="s">
        <v>270</v>
      </c>
      <c r="D47" s="73" t="s">
        <v>271</v>
      </c>
      <c r="E47" s="73" t="s">
        <v>113</v>
      </c>
      <c r="F47" s="73"/>
      <c r="G47" s="70" t="s">
        <v>118</v>
      </c>
      <c r="H47" s="70"/>
      <c r="I47" s="70" t="s">
        <v>272</v>
      </c>
      <c r="J47" s="70" t="s">
        <v>273</v>
      </c>
      <c r="K47" s="71" t="s">
        <v>115</v>
      </c>
    </row>
    <row r="48" spans="1:11" ht="40.5" customHeight="1" x14ac:dyDescent="0.75">
      <c r="A48" s="92"/>
      <c r="B48" s="161"/>
      <c r="C48" s="72" t="s">
        <v>274</v>
      </c>
      <c r="D48" s="73" t="s">
        <v>275</v>
      </c>
      <c r="E48" s="73" t="s">
        <v>113</v>
      </c>
      <c r="F48" s="73"/>
      <c r="G48" s="70" t="s">
        <v>118</v>
      </c>
      <c r="H48" s="70"/>
      <c r="I48" s="70" t="s">
        <v>276</v>
      </c>
      <c r="J48" s="70" t="s">
        <v>277</v>
      </c>
      <c r="K48" s="71" t="s">
        <v>115</v>
      </c>
    </row>
    <row r="49" spans="1:11" ht="40.5" customHeight="1" x14ac:dyDescent="0.75">
      <c r="A49" s="92"/>
      <c r="B49" s="68"/>
      <c r="C49" s="72" t="s">
        <v>278</v>
      </c>
      <c r="D49" s="73" t="s">
        <v>279</v>
      </c>
      <c r="E49" s="73" t="s">
        <v>113</v>
      </c>
      <c r="F49" s="73"/>
      <c r="G49" s="70" t="s">
        <v>118</v>
      </c>
      <c r="H49" s="70"/>
      <c r="I49" s="70" t="s">
        <v>280</v>
      </c>
      <c r="J49" s="70" t="s">
        <v>281</v>
      </c>
      <c r="K49" s="71" t="s">
        <v>115</v>
      </c>
    </row>
    <row r="50" spans="1:11" ht="40.5" customHeight="1" x14ac:dyDescent="0.75">
      <c r="A50" s="92"/>
      <c r="B50" s="83"/>
      <c r="C50" s="72" t="s">
        <v>282</v>
      </c>
      <c r="D50" s="73" t="s">
        <v>283</v>
      </c>
      <c r="E50" s="73" t="s">
        <v>131</v>
      </c>
      <c r="F50" s="73"/>
      <c r="G50" s="70" t="s">
        <v>114</v>
      </c>
      <c r="H50" s="70" t="s">
        <v>212</v>
      </c>
      <c r="I50" s="73" t="s">
        <v>119</v>
      </c>
      <c r="J50" s="70" t="s">
        <v>284</v>
      </c>
      <c r="K50" s="71" t="s">
        <v>115</v>
      </c>
    </row>
    <row r="51" spans="1:11" ht="40.5" customHeight="1" x14ac:dyDescent="0.75">
      <c r="A51" s="92"/>
      <c r="B51" s="83"/>
      <c r="C51" s="72" t="s">
        <v>285</v>
      </c>
      <c r="D51" s="73" t="s">
        <v>94</v>
      </c>
      <c r="E51" s="73" t="s">
        <v>131</v>
      </c>
      <c r="F51" s="73"/>
      <c r="G51" s="70" t="s">
        <v>114</v>
      </c>
      <c r="H51" s="70" t="s">
        <v>237</v>
      </c>
      <c r="I51" s="73" t="s">
        <v>119</v>
      </c>
      <c r="J51" s="70" t="s">
        <v>286</v>
      </c>
      <c r="K51" s="71" t="s">
        <v>115</v>
      </c>
    </row>
    <row r="52" spans="1:11" ht="40.5" customHeight="1" x14ac:dyDescent="0.75">
      <c r="A52" s="92"/>
      <c r="B52" s="83"/>
      <c r="C52" s="72" t="s">
        <v>287</v>
      </c>
      <c r="D52" s="73" t="s">
        <v>288</v>
      </c>
      <c r="E52" s="73" t="s">
        <v>131</v>
      </c>
      <c r="F52" s="73"/>
      <c r="G52" s="70" t="s">
        <v>114</v>
      </c>
      <c r="H52" s="70" t="s">
        <v>212</v>
      </c>
      <c r="I52" s="73" t="s">
        <v>119</v>
      </c>
      <c r="J52" s="70" t="s">
        <v>289</v>
      </c>
      <c r="K52" s="71" t="s">
        <v>115</v>
      </c>
    </row>
    <row r="53" spans="1:11" ht="40.5" customHeight="1" x14ac:dyDescent="0.75">
      <c r="A53" s="92"/>
      <c r="B53" s="83"/>
      <c r="C53" s="72" t="s">
        <v>290</v>
      </c>
      <c r="D53" s="73" t="s">
        <v>291</v>
      </c>
      <c r="E53" s="73" t="s">
        <v>131</v>
      </c>
      <c r="F53" s="73"/>
      <c r="G53" s="70" t="s">
        <v>114</v>
      </c>
      <c r="H53" s="70" t="s">
        <v>292</v>
      </c>
      <c r="I53" s="73" t="s">
        <v>119</v>
      </c>
      <c r="J53" s="70" t="s">
        <v>293</v>
      </c>
      <c r="K53" s="71" t="s">
        <v>115</v>
      </c>
    </row>
    <row r="54" spans="1:11" ht="55.5" x14ac:dyDescent="0.75">
      <c r="A54" s="92"/>
      <c r="B54" s="83"/>
      <c r="C54" s="72" t="s">
        <v>294</v>
      </c>
      <c r="D54" s="73" t="s">
        <v>295</v>
      </c>
      <c r="E54" s="73" t="s">
        <v>131</v>
      </c>
      <c r="F54" s="73"/>
      <c r="G54" s="70" t="s">
        <v>114</v>
      </c>
      <c r="H54" s="70" t="s">
        <v>292</v>
      </c>
      <c r="I54" s="73" t="s">
        <v>119</v>
      </c>
      <c r="J54" s="70" t="s">
        <v>296</v>
      </c>
      <c r="K54" s="71" t="s">
        <v>115</v>
      </c>
    </row>
    <row r="55" spans="1:11" ht="40.5" customHeight="1" x14ac:dyDescent="0.75">
      <c r="A55" s="92"/>
      <c r="B55" s="68"/>
      <c r="C55" s="72" t="s">
        <v>297</v>
      </c>
      <c r="D55" s="73" t="s">
        <v>298</v>
      </c>
      <c r="E55" s="73" t="s">
        <v>4</v>
      </c>
      <c r="F55" s="73"/>
      <c r="G55" s="70" t="s">
        <v>4</v>
      </c>
      <c r="H55" s="70" t="s">
        <v>140</v>
      </c>
      <c r="I55" s="73" t="s">
        <v>119</v>
      </c>
      <c r="J55" s="70" t="s">
        <v>299</v>
      </c>
      <c r="K55" s="71" t="s">
        <v>115</v>
      </c>
    </row>
    <row r="56" spans="1:11" ht="40.5" customHeight="1" x14ac:dyDescent="0.75">
      <c r="A56" s="92"/>
      <c r="B56" s="68"/>
      <c r="C56" s="69" t="s">
        <v>300</v>
      </c>
      <c r="D56" s="70" t="s">
        <v>301</v>
      </c>
      <c r="E56" s="73" t="s">
        <v>131</v>
      </c>
      <c r="F56" s="73"/>
      <c r="G56" s="70" t="s">
        <v>114</v>
      </c>
      <c r="H56" s="70" t="s">
        <v>302</v>
      </c>
      <c r="I56" s="70" t="s">
        <v>115</v>
      </c>
      <c r="J56" s="70" t="s">
        <v>303</v>
      </c>
      <c r="K56" s="71" t="s">
        <v>115</v>
      </c>
    </row>
    <row r="57" spans="1:11" ht="40.5" customHeight="1" x14ac:dyDescent="0.75">
      <c r="A57" s="92"/>
      <c r="B57" s="68"/>
      <c r="C57" s="69" t="s">
        <v>304</v>
      </c>
      <c r="D57" s="70" t="s">
        <v>305</v>
      </c>
      <c r="E57" s="73" t="s">
        <v>113</v>
      </c>
      <c r="F57" s="73"/>
      <c r="G57" s="70" t="s">
        <v>118</v>
      </c>
      <c r="H57" s="70"/>
      <c r="I57" s="70" t="s">
        <v>306</v>
      </c>
      <c r="J57" s="70" t="s">
        <v>307</v>
      </c>
      <c r="K57" s="71" t="s">
        <v>115</v>
      </c>
    </row>
    <row r="58" spans="1:11" ht="54.25" customHeight="1" thickBot="1" x14ac:dyDescent="0.9">
      <c r="A58" s="93"/>
      <c r="B58" s="85"/>
      <c r="C58" s="69" t="s">
        <v>308</v>
      </c>
      <c r="D58" s="70" t="s">
        <v>309</v>
      </c>
      <c r="E58" s="73" t="s">
        <v>131</v>
      </c>
      <c r="F58" s="73"/>
      <c r="G58" s="70" t="s">
        <v>114</v>
      </c>
      <c r="H58" s="70" t="s">
        <v>302</v>
      </c>
      <c r="I58" s="70" t="s">
        <v>115</v>
      </c>
      <c r="J58" s="70" t="s">
        <v>310</v>
      </c>
      <c r="K58" s="80" t="s">
        <v>115</v>
      </c>
    </row>
    <row r="59" spans="1:11" ht="40.5" customHeight="1" thickBot="1" x14ac:dyDescent="0.9">
      <c r="B59" s="94" t="s">
        <v>311</v>
      </c>
      <c r="C59" s="86" t="s">
        <v>282</v>
      </c>
      <c r="D59" s="87"/>
      <c r="E59" s="87"/>
      <c r="F59" s="87"/>
      <c r="G59" s="88"/>
      <c r="H59" s="88"/>
      <c r="I59" s="89"/>
      <c r="J59" s="67"/>
      <c r="K59" s="87"/>
    </row>
    <row r="60" spans="1:11" ht="40.5" customHeight="1" x14ac:dyDescent="0.75">
      <c r="A60" s="90"/>
      <c r="B60" s="91" t="s">
        <v>263</v>
      </c>
      <c r="C60" s="69" t="s">
        <v>160</v>
      </c>
      <c r="D60" s="70" t="s">
        <v>161</v>
      </c>
      <c r="E60" s="70" t="s">
        <v>114</v>
      </c>
      <c r="F60" s="70" t="s">
        <v>115</v>
      </c>
      <c r="G60" s="70" t="s">
        <v>114</v>
      </c>
      <c r="H60" s="70"/>
      <c r="I60" s="70" t="s">
        <v>115</v>
      </c>
      <c r="J60" s="70" t="s">
        <v>312</v>
      </c>
      <c r="K60" s="80" t="s">
        <v>121</v>
      </c>
    </row>
    <row r="61" spans="1:11" ht="40.5" customHeight="1" x14ac:dyDescent="0.75">
      <c r="A61" s="92"/>
      <c r="B61" s="68"/>
      <c r="C61" s="69" t="s">
        <v>313</v>
      </c>
      <c r="D61" s="70" t="s">
        <v>314</v>
      </c>
      <c r="E61" s="70" t="s">
        <v>114</v>
      </c>
      <c r="F61" s="70" t="s">
        <v>115</v>
      </c>
      <c r="G61" s="70" t="s">
        <v>114</v>
      </c>
      <c r="H61" s="70"/>
      <c r="I61" s="70" t="s">
        <v>115</v>
      </c>
      <c r="J61" s="70"/>
      <c r="K61" s="80" t="s">
        <v>121</v>
      </c>
    </row>
    <row r="62" spans="1:11" ht="40.5" customHeight="1" x14ac:dyDescent="0.75">
      <c r="A62" s="92"/>
      <c r="B62" s="68"/>
      <c r="C62" s="72" t="s">
        <v>315</v>
      </c>
      <c r="D62" s="73" t="s">
        <v>175</v>
      </c>
      <c r="E62" s="73" t="s">
        <v>131</v>
      </c>
      <c r="F62" s="73"/>
      <c r="G62" s="70" t="s">
        <v>114</v>
      </c>
      <c r="H62" s="70" t="s">
        <v>316</v>
      </c>
      <c r="I62" s="73" t="s">
        <v>119</v>
      </c>
      <c r="J62" s="70" t="s">
        <v>317</v>
      </c>
      <c r="K62" s="71" t="s">
        <v>115</v>
      </c>
    </row>
    <row r="63" spans="1:11" ht="40.5" customHeight="1" x14ac:dyDescent="0.75">
      <c r="A63" s="92"/>
      <c r="B63" s="68"/>
      <c r="C63" s="72" t="s">
        <v>178</v>
      </c>
      <c r="D63" s="73" t="s">
        <v>179</v>
      </c>
      <c r="E63" s="73" t="s">
        <v>113</v>
      </c>
      <c r="F63" s="73"/>
      <c r="G63" s="70" t="s">
        <v>118</v>
      </c>
      <c r="H63" s="70"/>
      <c r="I63" s="70" t="s">
        <v>318</v>
      </c>
      <c r="J63" s="70" t="s">
        <v>319</v>
      </c>
      <c r="K63" s="71" t="s">
        <v>115</v>
      </c>
    </row>
    <row r="64" spans="1:11" ht="40.5" customHeight="1" x14ac:dyDescent="0.75">
      <c r="A64" s="92"/>
      <c r="B64" s="68"/>
      <c r="C64" s="72" t="s">
        <v>320</v>
      </c>
      <c r="D64" s="73" t="s">
        <v>321</v>
      </c>
      <c r="E64" s="73" t="s">
        <v>4</v>
      </c>
      <c r="F64" s="73"/>
      <c r="G64" s="70" t="s">
        <v>4</v>
      </c>
      <c r="H64" s="70" t="s">
        <v>140</v>
      </c>
      <c r="I64" s="73" t="s">
        <v>119</v>
      </c>
      <c r="J64" s="70" t="s">
        <v>322</v>
      </c>
      <c r="K64" s="71" t="s">
        <v>115</v>
      </c>
    </row>
    <row r="65" spans="1:11" ht="40.5" customHeight="1" x14ac:dyDescent="0.75">
      <c r="A65" s="92"/>
      <c r="B65" s="68"/>
      <c r="C65" s="72" t="s">
        <v>323</v>
      </c>
      <c r="D65" s="73" t="s">
        <v>324</v>
      </c>
      <c r="E65" s="73" t="s">
        <v>4</v>
      </c>
      <c r="F65" s="73"/>
      <c r="G65" s="70" t="s">
        <v>4</v>
      </c>
      <c r="H65" s="70" t="s">
        <v>140</v>
      </c>
      <c r="I65" s="73" t="s">
        <v>119</v>
      </c>
      <c r="J65" s="70" t="s">
        <v>325</v>
      </c>
      <c r="K65" s="71" t="s">
        <v>115</v>
      </c>
    </row>
    <row r="66" spans="1:11" ht="40.5" customHeight="1" x14ac:dyDescent="0.75">
      <c r="A66" s="92"/>
      <c r="B66" s="68"/>
      <c r="C66" s="72" t="s">
        <v>326</v>
      </c>
      <c r="D66" s="73" t="s">
        <v>327</v>
      </c>
      <c r="E66" s="73" t="s">
        <v>131</v>
      </c>
      <c r="F66" s="73"/>
      <c r="G66" s="70" t="s">
        <v>118</v>
      </c>
      <c r="H66" s="70"/>
      <c r="I66" s="73" t="s">
        <v>119</v>
      </c>
      <c r="J66" s="70" t="s">
        <v>328</v>
      </c>
      <c r="K66" s="71" t="s">
        <v>115</v>
      </c>
    </row>
    <row r="67" spans="1:11" ht="40.5" customHeight="1" x14ac:dyDescent="0.75">
      <c r="A67" s="92"/>
      <c r="B67" s="68"/>
      <c r="C67" s="72" t="s">
        <v>329</v>
      </c>
      <c r="D67" s="73" t="s">
        <v>330</v>
      </c>
      <c r="E67" s="73" t="s">
        <v>113</v>
      </c>
      <c r="F67" s="73"/>
      <c r="G67" s="70" t="s">
        <v>118</v>
      </c>
      <c r="H67" s="70"/>
      <c r="I67" s="73" t="s">
        <v>119</v>
      </c>
      <c r="J67" s="70" t="s">
        <v>331</v>
      </c>
      <c r="K67" s="71" t="s">
        <v>115</v>
      </c>
    </row>
    <row r="68" spans="1:11" ht="40.5" customHeight="1" x14ac:dyDescent="0.75">
      <c r="A68" s="92"/>
      <c r="B68" s="68"/>
      <c r="C68" s="72" t="s">
        <v>332</v>
      </c>
      <c r="D68" s="73" t="s">
        <v>333</v>
      </c>
      <c r="E68" s="73" t="s">
        <v>131</v>
      </c>
      <c r="F68" s="73"/>
      <c r="G68" s="70" t="s">
        <v>114</v>
      </c>
      <c r="H68" s="70" t="s">
        <v>334</v>
      </c>
      <c r="I68" s="95" t="s">
        <v>119</v>
      </c>
      <c r="J68" s="70" t="s">
        <v>335</v>
      </c>
      <c r="K68" s="71" t="s">
        <v>115</v>
      </c>
    </row>
    <row r="69" spans="1:11" ht="40.5" customHeight="1" x14ac:dyDescent="0.75">
      <c r="A69" s="92"/>
      <c r="B69" s="68"/>
      <c r="C69" s="72" t="s">
        <v>336</v>
      </c>
      <c r="D69" s="73" t="s">
        <v>337</v>
      </c>
      <c r="E69" s="73" t="s">
        <v>131</v>
      </c>
      <c r="F69" s="73"/>
      <c r="G69" s="70" t="s">
        <v>114</v>
      </c>
      <c r="H69" s="70" t="s">
        <v>338</v>
      </c>
      <c r="I69" s="73" t="s">
        <v>119</v>
      </c>
      <c r="J69" s="70" t="s">
        <v>339</v>
      </c>
      <c r="K69" s="71" t="s">
        <v>115</v>
      </c>
    </row>
    <row r="70" spans="1:11" ht="40.5" customHeight="1" x14ac:dyDescent="0.75">
      <c r="A70" s="92"/>
      <c r="B70" s="83"/>
      <c r="C70" s="69" t="s">
        <v>340</v>
      </c>
      <c r="D70" s="70" t="s">
        <v>341</v>
      </c>
      <c r="E70" s="73" t="s">
        <v>131</v>
      </c>
      <c r="F70" s="73"/>
      <c r="G70" s="70" t="s">
        <v>114</v>
      </c>
      <c r="H70" s="70" t="s">
        <v>212</v>
      </c>
      <c r="I70" s="70" t="s">
        <v>115</v>
      </c>
      <c r="J70" s="70" t="s">
        <v>342</v>
      </c>
      <c r="K70" s="80" t="s">
        <v>115</v>
      </c>
    </row>
    <row r="71" spans="1:11" s="81" customFormat="1" ht="40.5" customHeight="1" x14ac:dyDescent="0.75">
      <c r="A71" s="96"/>
      <c r="B71" s="79"/>
      <c r="C71" s="69" t="s">
        <v>343</v>
      </c>
      <c r="D71" s="70" t="s">
        <v>344</v>
      </c>
      <c r="E71" s="70" t="s">
        <v>345</v>
      </c>
      <c r="F71" s="70"/>
      <c r="G71" s="70" t="s">
        <v>114</v>
      </c>
      <c r="H71" s="73" t="s">
        <v>346</v>
      </c>
      <c r="I71" s="70" t="s">
        <v>121</v>
      </c>
      <c r="J71" s="70" t="s">
        <v>347</v>
      </c>
      <c r="K71" s="80" t="s">
        <v>121</v>
      </c>
    </row>
    <row r="72" spans="1:11" s="81" customFormat="1" ht="40.5" customHeight="1" x14ac:dyDescent="0.75">
      <c r="A72" s="96"/>
      <c r="B72" s="79"/>
      <c r="C72" s="69" t="s">
        <v>348</v>
      </c>
      <c r="D72" s="70" t="s">
        <v>349</v>
      </c>
      <c r="E72" s="73" t="s">
        <v>113</v>
      </c>
      <c r="F72" s="73"/>
      <c r="G72" s="70" t="s">
        <v>118</v>
      </c>
      <c r="H72" s="70"/>
      <c r="I72" s="73" t="s">
        <v>350</v>
      </c>
      <c r="J72" s="70" t="s">
        <v>351</v>
      </c>
      <c r="K72" s="80" t="s">
        <v>121</v>
      </c>
    </row>
    <row r="73" spans="1:11" ht="40.5" customHeight="1" x14ac:dyDescent="0.75">
      <c r="A73" s="92"/>
      <c r="B73" s="68"/>
      <c r="C73" s="72" t="s">
        <v>352</v>
      </c>
      <c r="D73" s="73" t="s">
        <v>353</v>
      </c>
      <c r="E73" s="73" t="s">
        <v>131</v>
      </c>
      <c r="F73" s="73"/>
      <c r="G73" s="70" t="s">
        <v>114</v>
      </c>
      <c r="H73" s="70" t="s">
        <v>237</v>
      </c>
      <c r="I73" s="73" t="s">
        <v>119</v>
      </c>
      <c r="J73" s="70" t="s">
        <v>354</v>
      </c>
      <c r="K73" s="71" t="s">
        <v>115</v>
      </c>
    </row>
    <row r="74" spans="1:11" ht="40.5" customHeight="1" x14ac:dyDescent="0.75">
      <c r="A74" s="92"/>
      <c r="B74" s="68"/>
      <c r="C74" s="72" t="s">
        <v>355</v>
      </c>
      <c r="D74" s="73" t="s">
        <v>356</v>
      </c>
      <c r="E74" s="73" t="s">
        <v>113</v>
      </c>
      <c r="F74" s="73"/>
      <c r="G74" s="70" t="s">
        <v>118</v>
      </c>
      <c r="H74" s="70"/>
      <c r="I74" s="70" t="s">
        <v>357</v>
      </c>
      <c r="J74" s="70" t="s">
        <v>358</v>
      </c>
      <c r="K74" s="73" t="s">
        <v>359</v>
      </c>
    </row>
    <row r="75" spans="1:11" ht="40.5" customHeight="1" x14ac:dyDescent="0.75">
      <c r="A75" s="92"/>
      <c r="B75" s="68"/>
      <c r="C75" s="69" t="s">
        <v>360</v>
      </c>
      <c r="D75" s="70" t="s">
        <v>361</v>
      </c>
      <c r="E75" s="73" t="s">
        <v>113</v>
      </c>
      <c r="F75" s="73"/>
      <c r="G75" s="70" t="s">
        <v>118</v>
      </c>
      <c r="H75" s="70"/>
      <c r="I75" s="70" t="s">
        <v>357</v>
      </c>
      <c r="J75" s="70" t="s">
        <v>362</v>
      </c>
      <c r="K75" s="71" t="s">
        <v>115</v>
      </c>
    </row>
    <row r="76" spans="1:11" ht="40.5" customHeight="1" x14ac:dyDescent="0.75">
      <c r="A76" s="92"/>
      <c r="B76" s="68"/>
      <c r="C76" s="72" t="s">
        <v>363</v>
      </c>
      <c r="D76" s="73" t="s">
        <v>364</v>
      </c>
      <c r="E76" s="73" t="s">
        <v>131</v>
      </c>
      <c r="F76" s="73"/>
      <c r="G76" s="70" t="s">
        <v>114</v>
      </c>
      <c r="H76" s="70" t="s">
        <v>365</v>
      </c>
      <c r="I76" s="73" t="s">
        <v>119</v>
      </c>
      <c r="J76" s="70" t="s">
        <v>366</v>
      </c>
      <c r="K76" s="71" t="s">
        <v>115</v>
      </c>
    </row>
    <row r="77" spans="1:11" ht="40.5" customHeight="1" thickBot="1" x14ac:dyDescent="0.9">
      <c r="A77" s="93"/>
      <c r="B77" s="85"/>
      <c r="C77" s="72" t="s">
        <v>367</v>
      </c>
      <c r="D77" s="73" t="s">
        <v>368</v>
      </c>
      <c r="E77" s="70" t="s">
        <v>255</v>
      </c>
      <c r="F77" s="70"/>
      <c r="G77" s="70" t="s">
        <v>118</v>
      </c>
      <c r="H77" s="70"/>
      <c r="I77" s="70" t="s">
        <v>369</v>
      </c>
      <c r="J77" s="70" t="s">
        <v>370</v>
      </c>
      <c r="K77" s="71" t="s">
        <v>115</v>
      </c>
    </row>
    <row r="78" spans="1:11" ht="40.5" customHeight="1" x14ac:dyDescent="0.75">
      <c r="B78" s="62" t="s">
        <v>371</v>
      </c>
      <c r="C78" s="86" t="s">
        <v>94</v>
      </c>
      <c r="D78" s="87"/>
      <c r="E78" s="87"/>
      <c r="F78" s="87"/>
      <c r="G78" s="88"/>
      <c r="H78" s="88"/>
      <c r="I78" s="89"/>
      <c r="J78" s="67"/>
      <c r="K78" s="87"/>
    </row>
    <row r="79" spans="1:11" ht="40.5" customHeight="1" x14ac:dyDescent="0.75">
      <c r="B79" s="62" t="s">
        <v>372</v>
      </c>
      <c r="C79" s="70" t="s">
        <v>160</v>
      </c>
      <c r="D79" s="70" t="s">
        <v>161</v>
      </c>
      <c r="E79" s="70" t="s">
        <v>114</v>
      </c>
      <c r="F79" s="70" t="s">
        <v>115</v>
      </c>
      <c r="G79" s="70" t="s">
        <v>114</v>
      </c>
      <c r="H79" s="70"/>
      <c r="I79" s="70" t="s">
        <v>115</v>
      </c>
      <c r="J79" s="70" t="s">
        <v>373</v>
      </c>
      <c r="K79" s="80" t="s">
        <v>121</v>
      </c>
    </row>
    <row r="80" spans="1:11" ht="40.5" customHeight="1" x14ac:dyDescent="0.75">
      <c r="C80" s="70" t="s">
        <v>313</v>
      </c>
      <c r="D80" s="70" t="s">
        <v>314</v>
      </c>
      <c r="E80" s="70" t="s">
        <v>114</v>
      </c>
      <c r="F80" s="70" t="s">
        <v>115</v>
      </c>
      <c r="G80" s="70" t="s">
        <v>114</v>
      </c>
      <c r="H80" s="70"/>
      <c r="I80" s="70" t="s">
        <v>115</v>
      </c>
      <c r="J80" s="70"/>
      <c r="K80" s="80" t="s">
        <v>121</v>
      </c>
    </row>
    <row r="81" spans="2:11" ht="40.5" customHeight="1" x14ac:dyDescent="0.75">
      <c r="C81" s="70" t="s">
        <v>374</v>
      </c>
      <c r="D81" s="70" t="s">
        <v>375</v>
      </c>
      <c r="E81" s="70" t="s">
        <v>114</v>
      </c>
      <c r="F81" s="70" t="s">
        <v>115</v>
      </c>
      <c r="G81" s="70" t="s">
        <v>114</v>
      </c>
      <c r="H81" s="70"/>
      <c r="I81" s="70" t="s">
        <v>115</v>
      </c>
      <c r="J81" s="70" t="s">
        <v>376</v>
      </c>
      <c r="K81" s="80" t="s">
        <v>121</v>
      </c>
    </row>
    <row r="82" spans="2:11" ht="40.5" customHeight="1" x14ac:dyDescent="0.75">
      <c r="C82" s="73" t="s">
        <v>315</v>
      </c>
      <c r="D82" s="73" t="s">
        <v>175</v>
      </c>
      <c r="E82" s="73" t="s">
        <v>131</v>
      </c>
      <c r="F82" s="73"/>
      <c r="G82" s="70" t="s">
        <v>114</v>
      </c>
      <c r="H82" s="70" t="s">
        <v>377</v>
      </c>
      <c r="I82" s="73" t="s">
        <v>119</v>
      </c>
      <c r="J82" s="70" t="s">
        <v>378</v>
      </c>
      <c r="K82" s="71" t="s">
        <v>115</v>
      </c>
    </row>
    <row r="83" spans="2:11" ht="40.5" customHeight="1" x14ac:dyDescent="0.75">
      <c r="C83" s="73" t="s">
        <v>178</v>
      </c>
      <c r="D83" s="73" t="s">
        <v>179</v>
      </c>
      <c r="E83" s="73" t="s">
        <v>113</v>
      </c>
      <c r="F83" s="73"/>
      <c r="G83" s="70" t="s">
        <v>118</v>
      </c>
      <c r="H83" s="70"/>
      <c r="I83" s="70" t="s">
        <v>379</v>
      </c>
      <c r="J83" s="70" t="s">
        <v>319</v>
      </c>
      <c r="K83" s="71" t="s">
        <v>115</v>
      </c>
    </row>
    <row r="84" spans="2:11" ht="40.5" customHeight="1" x14ac:dyDescent="0.75">
      <c r="C84" s="73" t="s">
        <v>380</v>
      </c>
      <c r="D84" s="73" t="s">
        <v>381</v>
      </c>
      <c r="E84" s="73" t="s">
        <v>4</v>
      </c>
      <c r="F84" s="73"/>
      <c r="G84" s="70" t="s">
        <v>4</v>
      </c>
      <c r="H84" s="70" t="s">
        <v>140</v>
      </c>
      <c r="I84" s="73" t="s">
        <v>119</v>
      </c>
      <c r="J84" s="70" t="s">
        <v>382</v>
      </c>
      <c r="K84" s="71" t="s">
        <v>115</v>
      </c>
    </row>
    <row r="85" spans="2:11" s="81" customFormat="1" ht="40.5" customHeight="1" x14ac:dyDescent="0.75">
      <c r="B85" s="97"/>
      <c r="C85" s="70" t="s">
        <v>383</v>
      </c>
      <c r="D85" s="70" t="s">
        <v>384</v>
      </c>
      <c r="E85" s="73" t="s">
        <v>131</v>
      </c>
      <c r="F85" s="73"/>
      <c r="G85" s="70" t="s">
        <v>114</v>
      </c>
      <c r="H85" s="70" t="s">
        <v>385</v>
      </c>
      <c r="I85" s="73" t="s">
        <v>119</v>
      </c>
      <c r="J85" s="70" t="s">
        <v>386</v>
      </c>
      <c r="K85" s="80" t="s">
        <v>115</v>
      </c>
    </row>
    <row r="86" spans="2:11" ht="40.5" customHeight="1" x14ac:dyDescent="0.75">
      <c r="C86" s="98" t="s">
        <v>387</v>
      </c>
      <c r="D86" s="98" t="s">
        <v>388</v>
      </c>
      <c r="E86" s="70" t="s">
        <v>131</v>
      </c>
      <c r="F86" s="70"/>
      <c r="G86" s="70" t="s">
        <v>114</v>
      </c>
      <c r="H86" s="70" t="s">
        <v>389</v>
      </c>
      <c r="I86" s="98" t="s">
        <v>390</v>
      </c>
      <c r="J86" s="98" t="s">
        <v>391</v>
      </c>
      <c r="K86" s="99" t="s">
        <v>115</v>
      </c>
    </row>
    <row r="87" spans="2:11" ht="40.5" customHeight="1" x14ac:dyDescent="0.75">
      <c r="C87" s="98" t="s">
        <v>392</v>
      </c>
      <c r="D87" s="98" t="s">
        <v>393</v>
      </c>
      <c r="E87" s="70" t="s">
        <v>131</v>
      </c>
      <c r="F87" s="70"/>
      <c r="G87" s="70" t="s">
        <v>114</v>
      </c>
      <c r="H87" s="70" t="s">
        <v>394</v>
      </c>
      <c r="I87" s="98" t="s">
        <v>395</v>
      </c>
      <c r="J87" s="98" t="s">
        <v>396</v>
      </c>
      <c r="K87" s="99" t="s">
        <v>115</v>
      </c>
    </row>
    <row r="88" spans="2:11" ht="40.5" customHeight="1" x14ac:dyDescent="0.75">
      <c r="C88" s="70" t="s">
        <v>397</v>
      </c>
      <c r="D88" s="70" t="s">
        <v>398</v>
      </c>
      <c r="E88" s="73" t="s">
        <v>131</v>
      </c>
      <c r="F88" s="73"/>
      <c r="G88" s="70" t="s">
        <v>114</v>
      </c>
      <c r="H88" s="70" t="s">
        <v>399</v>
      </c>
      <c r="I88" s="70" t="s">
        <v>400</v>
      </c>
      <c r="J88" s="70" t="s">
        <v>401</v>
      </c>
      <c r="K88" s="71" t="s">
        <v>115</v>
      </c>
    </row>
    <row r="89" spans="2:11" ht="40.5" customHeight="1" x14ac:dyDescent="0.75">
      <c r="C89" s="73" t="s">
        <v>402</v>
      </c>
      <c r="D89" s="73" t="s">
        <v>403</v>
      </c>
      <c r="E89" s="73" t="s">
        <v>113</v>
      </c>
      <c r="F89" s="73"/>
      <c r="G89" s="70" t="s">
        <v>118</v>
      </c>
      <c r="H89" s="70"/>
      <c r="I89" s="73" t="s">
        <v>119</v>
      </c>
      <c r="J89" s="70" t="s">
        <v>404</v>
      </c>
      <c r="K89" s="71" t="s">
        <v>115</v>
      </c>
    </row>
    <row r="90" spans="2:11" ht="40.5" customHeight="1" x14ac:dyDescent="0.75">
      <c r="C90" s="95" t="s">
        <v>405</v>
      </c>
      <c r="D90" s="95" t="s">
        <v>406</v>
      </c>
      <c r="E90" s="73" t="s">
        <v>131</v>
      </c>
      <c r="F90" s="73"/>
      <c r="G90" s="70" t="s">
        <v>114</v>
      </c>
      <c r="H90" s="70" t="s">
        <v>407</v>
      </c>
      <c r="I90" s="98" t="s">
        <v>408</v>
      </c>
      <c r="J90" s="98" t="s">
        <v>409</v>
      </c>
      <c r="K90" s="78" t="s">
        <v>115</v>
      </c>
    </row>
    <row r="91" spans="2:11" ht="40.5" customHeight="1" x14ac:dyDescent="0.75">
      <c r="C91" s="73" t="s">
        <v>410</v>
      </c>
      <c r="D91" s="73" t="s">
        <v>411</v>
      </c>
      <c r="E91" s="73" t="s">
        <v>131</v>
      </c>
      <c r="F91" s="73"/>
      <c r="G91" s="70" t="s">
        <v>114</v>
      </c>
      <c r="H91" s="70" t="s">
        <v>292</v>
      </c>
      <c r="I91" s="70" t="s">
        <v>408</v>
      </c>
      <c r="J91" s="70" t="s">
        <v>412</v>
      </c>
      <c r="K91" s="71" t="s">
        <v>115</v>
      </c>
    </row>
    <row r="92" spans="2:11" ht="40.5" customHeight="1" x14ac:dyDescent="0.75">
      <c r="C92" s="73" t="s">
        <v>413</v>
      </c>
      <c r="D92" s="73" t="s">
        <v>414</v>
      </c>
      <c r="E92" s="73" t="s">
        <v>131</v>
      </c>
      <c r="F92" s="73"/>
      <c r="G92" s="70" t="s">
        <v>114</v>
      </c>
      <c r="H92" s="70" t="s">
        <v>415</v>
      </c>
      <c r="I92" s="70" t="s">
        <v>416</v>
      </c>
      <c r="J92" s="70" t="s">
        <v>417</v>
      </c>
      <c r="K92" s="71" t="s">
        <v>115</v>
      </c>
    </row>
    <row r="93" spans="2:11" ht="40.5" customHeight="1" x14ac:dyDescent="0.75">
      <c r="C93" s="73" t="s">
        <v>320</v>
      </c>
      <c r="D93" s="73" t="s">
        <v>418</v>
      </c>
      <c r="E93" s="73" t="s">
        <v>4</v>
      </c>
      <c r="F93" s="73"/>
      <c r="G93" s="70" t="s">
        <v>4</v>
      </c>
      <c r="H93" s="70" t="s">
        <v>140</v>
      </c>
      <c r="I93" s="73" t="s">
        <v>419</v>
      </c>
      <c r="J93" s="70" t="s">
        <v>420</v>
      </c>
      <c r="K93" s="73" t="s">
        <v>121</v>
      </c>
    </row>
    <row r="94" spans="2:11" ht="40.5" customHeight="1" x14ac:dyDescent="0.75">
      <c r="C94" s="73" t="s">
        <v>323</v>
      </c>
      <c r="D94" s="73" t="s">
        <v>421</v>
      </c>
      <c r="E94" s="73" t="s">
        <v>4</v>
      </c>
      <c r="F94" s="73"/>
      <c r="G94" s="70" t="s">
        <v>4</v>
      </c>
      <c r="H94" s="70" t="s">
        <v>140</v>
      </c>
      <c r="I94" s="73" t="s">
        <v>422</v>
      </c>
      <c r="J94" s="70" t="s">
        <v>423</v>
      </c>
      <c r="K94" s="73" t="s">
        <v>121</v>
      </c>
    </row>
    <row r="95" spans="2:11" ht="40.5" customHeight="1" x14ac:dyDescent="0.75">
      <c r="C95" s="95" t="s">
        <v>424</v>
      </c>
      <c r="D95" s="95" t="s">
        <v>425</v>
      </c>
      <c r="E95" s="73" t="s">
        <v>131</v>
      </c>
      <c r="F95" s="73"/>
      <c r="G95" s="70" t="s">
        <v>114</v>
      </c>
      <c r="H95" s="70" t="s">
        <v>292</v>
      </c>
      <c r="I95" s="98" t="s">
        <v>408</v>
      </c>
      <c r="J95" s="98" t="s">
        <v>426</v>
      </c>
      <c r="K95" s="78" t="s">
        <v>115</v>
      </c>
    </row>
    <row r="96" spans="2:11" ht="40.5" customHeight="1" x14ac:dyDescent="0.75">
      <c r="C96" s="73" t="s">
        <v>413</v>
      </c>
      <c r="D96" s="73" t="s">
        <v>427</v>
      </c>
      <c r="E96" s="73" t="s">
        <v>131</v>
      </c>
      <c r="F96" s="73"/>
      <c r="G96" s="70" t="s">
        <v>114</v>
      </c>
      <c r="H96" s="70" t="s">
        <v>428</v>
      </c>
      <c r="I96" s="70" t="s">
        <v>429</v>
      </c>
      <c r="J96" s="70" t="s">
        <v>430</v>
      </c>
      <c r="K96" s="71" t="s">
        <v>115</v>
      </c>
    </row>
    <row r="97" spans="1:11" ht="40.5" customHeight="1" x14ac:dyDescent="0.75">
      <c r="C97" s="73" t="s">
        <v>320</v>
      </c>
      <c r="D97" s="73" t="s">
        <v>431</v>
      </c>
      <c r="E97" s="73" t="s">
        <v>4</v>
      </c>
      <c r="F97" s="73"/>
      <c r="G97" s="70" t="s">
        <v>4</v>
      </c>
      <c r="H97" s="70" t="s">
        <v>140</v>
      </c>
      <c r="I97" s="70" t="s">
        <v>121</v>
      </c>
      <c r="J97" s="70" t="s">
        <v>432</v>
      </c>
      <c r="K97" s="71" t="s">
        <v>115</v>
      </c>
    </row>
    <row r="98" spans="1:11" ht="40.5" customHeight="1" x14ac:dyDescent="0.75">
      <c r="C98" s="73" t="s">
        <v>323</v>
      </c>
      <c r="D98" s="73" t="s">
        <v>433</v>
      </c>
      <c r="E98" s="73" t="s">
        <v>4</v>
      </c>
      <c r="F98" s="73"/>
      <c r="G98" s="70" t="s">
        <v>4</v>
      </c>
      <c r="H98" s="70" t="s">
        <v>140</v>
      </c>
      <c r="I98" s="73" t="s">
        <v>422</v>
      </c>
      <c r="J98" s="70" t="s">
        <v>434</v>
      </c>
      <c r="K98" s="73" t="s">
        <v>121</v>
      </c>
    </row>
    <row r="99" spans="1:11" ht="40.5" customHeight="1" x14ac:dyDescent="0.75">
      <c r="C99" s="73" t="s">
        <v>435</v>
      </c>
      <c r="D99" s="73" t="s">
        <v>436</v>
      </c>
      <c r="E99" s="73" t="s">
        <v>113</v>
      </c>
      <c r="F99" s="73"/>
      <c r="G99" s="70" t="s">
        <v>118</v>
      </c>
      <c r="H99" s="70"/>
      <c r="I99" s="70" t="s">
        <v>437</v>
      </c>
      <c r="J99" s="70" t="s">
        <v>438</v>
      </c>
      <c r="K99" s="71" t="s">
        <v>115</v>
      </c>
    </row>
    <row r="100" spans="1:11" ht="40.5" customHeight="1" x14ac:dyDescent="0.75">
      <c r="A100" s="71"/>
      <c r="B100" s="152" t="s">
        <v>439</v>
      </c>
      <c r="C100" s="73" t="s">
        <v>440</v>
      </c>
      <c r="D100" s="73" t="s">
        <v>441</v>
      </c>
      <c r="E100" s="73" t="s">
        <v>131</v>
      </c>
      <c r="F100" s="73"/>
      <c r="G100" s="70" t="s">
        <v>114</v>
      </c>
      <c r="H100" s="73" t="s">
        <v>442</v>
      </c>
      <c r="I100" s="73" t="s">
        <v>123</v>
      </c>
      <c r="J100" s="70" t="s">
        <v>440</v>
      </c>
      <c r="K100" s="71" t="s">
        <v>121</v>
      </c>
    </row>
    <row r="101" spans="1:11" ht="40.5" customHeight="1" x14ac:dyDescent="0.75">
      <c r="A101" s="71"/>
      <c r="B101" s="153"/>
      <c r="C101" s="70" t="s">
        <v>443</v>
      </c>
      <c r="D101" s="70" t="s">
        <v>444</v>
      </c>
      <c r="E101" s="73" t="s">
        <v>131</v>
      </c>
      <c r="F101" s="73"/>
      <c r="G101" s="70" t="s">
        <v>114</v>
      </c>
      <c r="H101" s="70" t="s">
        <v>445</v>
      </c>
      <c r="I101" s="73" t="s">
        <v>123</v>
      </c>
      <c r="J101" s="70" t="s">
        <v>446</v>
      </c>
      <c r="K101" s="71" t="s">
        <v>121</v>
      </c>
    </row>
    <row r="102" spans="1:11" ht="40.5" customHeight="1" x14ac:dyDescent="0.75">
      <c r="A102" s="71"/>
      <c r="B102" s="153"/>
      <c r="C102" s="73" t="s">
        <v>447</v>
      </c>
      <c r="D102" s="73" t="s">
        <v>448</v>
      </c>
      <c r="E102" s="73" t="s">
        <v>131</v>
      </c>
      <c r="F102" s="73"/>
      <c r="G102" s="70" t="s">
        <v>114</v>
      </c>
      <c r="H102" s="73" t="s">
        <v>449</v>
      </c>
      <c r="I102" s="73" t="s">
        <v>450</v>
      </c>
      <c r="J102" s="70" t="s">
        <v>447</v>
      </c>
      <c r="K102" s="71" t="s">
        <v>121</v>
      </c>
    </row>
    <row r="103" spans="1:11" ht="40.5" customHeight="1" x14ac:dyDescent="0.75">
      <c r="A103" s="71"/>
      <c r="B103" s="154"/>
      <c r="C103" s="98" t="s">
        <v>443</v>
      </c>
      <c r="D103" s="98" t="s">
        <v>451</v>
      </c>
      <c r="E103" s="73" t="s">
        <v>131</v>
      </c>
      <c r="F103" s="73"/>
      <c r="G103" s="70" t="s">
        <v>114</v>
      </c>
      <c r="H103" s="70" t="s">
        <v>445</v>
      </c>
      <c r="I103" s="95" t="s">
        <v>123</v>
      </c>
      <c r="J103" s="98" t="s">
        <v>452</v>
      </c>
      <c r="K103" s="78" t="s">
        <v>121</v>
      </c>
    </row>
    <row r="104" spans="1:11" ht="40.5" customHeight="1" x14ac:dyDescent="0.75">
      <c r="C104" s="73" t="s">
        <v>453</v>
      </c>
      <c r="D104" s="73" t="s">
        <v>454</v>
      </c>
      <c r="E104" s="73" t="s">
        <v>4</v>
      </c>
      <c r="F104" s="73"/>
      <c r="G104" s="70" t="s">
        <v>4</v>
      </c>
      <c r="H104" s="70" t="s">
        <v>140</v>
      </c>
      <c r="I104" s="70" t="s">
        <v>455</v>
      </c>
      <c r="J104" s="70" t="s">
        <v>456</v>
      </c>
      <c r="K104" s="71" t="s">
        <v>115</v>
      </c>
    </row>
    <row r="105" spans="1:11" ht="40.5" customHeight="1" x14ac:dyDescent="0.75">
      <c r="C105" s="86" t="s">
        <v>287</v>
      </c>
      <c r="D105" s="87"/>
      <c r="E105" s="87"/>
      <c r="F105" s="87"/>
      <c r="G105" s="88"/>
      <c r="H105" s="88"/>
      <c r="I105" s="89"/>
      <c r="J105" s="67"/>
      <c r="K105" s="87"/>
    </row>
    <row r="106" spans="1:11" ht="40.5" customHeight="1" x14ac:dyDescent="0.75">
      <c r="B106" s="62"/>
      <c r="C106" s="70" t="s">
        <v>160</v>
      </c>
      <c r="D106" s="70" t="s">
        <v>161</v>
      </c>
      <c r="E106" s="70" t="s">
        <v>114</v>
      </c>
      <c r="F106" s="70" t="s">
        <v>115</v>
      </c>
      <c r="G106" s="70" t="s">
        <v>114</v>
      </c>
      <c r="H106" s="70"/>
      <c r="I106" s="70" t="s">
        <v>115</v>
      </c>
      <c r="J106" s="70" t="s">
        <v>457</v>
      </c>
      <c r="K106" s="80" t="s">
        <v>121</v>
      </c>
    </row>
    <row r="107" spans="1:11" ht="40.5" customHeight="1" x14ac:dyDescent="0.75">
      <c r="C107" s="70" t="s">
        <v>313</v>
      </c>
      <c r="D107" s="70" t="s">
        <v>314</v>
      </c>
      <c r="E107" s="70" t="s">
        <v>114</v>
      </c>
      <c r="F107" s="70" t="s">
        <v>115</v>
      </c>
      <c r="G107" s="70" t="s">
        <v>114</v>
      </c>
      <c r="H107" s="70"/>
      <c r="I107" s="70" t="s">
        <v>115</v>
      </c>
      <c r="J107" s="70"/>
      <c r="K107" s="80" t="s">
        <v>121</v>
      </c>
    </row>
    <row r="108" spans="1:11" ht="40.5" customHeight="1" x14ac:dyDescent="0.75">
      <c r="C108" s="70" t="s">
        <v>458</v>
      </c>
      <c r="D108" s="70" t="s">
        <v>459</v>
      </c>
      <c r="E108" s="70" t="s">
        <v>114</v>
      </c>
      <c r="F108" s="70" t="s">
        <v>115</v>
      </c>
      <c r="G108" s="70" t="s">
        <v>114</v>
      </c>
      <c r="H108" s="70"/>
      <c r="I108" s="70" t="s">
        <v>115</v>
      </c>
      <c r="J108" s="70" t="s">
        <v>460</v>
      </c>
      <c r="K108" s="80" t="s">
        <v>121</v>
      </c>
    </row>
    <row r="109" spans="1:11" ht="40.5" customHeight="1" x14ac:dyDescent="0.75">
      <c r="C109" s="73" t="s">
        <v>315</v>
      </c>
      <c r="D109" s="73" t="s">
        <v>175</v>
      </c>
      <c r="E109" s="73" t="s">
        <v>131</v>
      </c>
      <c r="F109" s="73"/>
      <c r="G109" s="70" t="s">
        <v>114</v>
      </c>
      <c r="H109" s="70" t="s">
        <v>316</v>
      </c>
      <c r="I109" s="73" t="s">
        <v>115</v>
      </c>
      <c r="J109" s="70" t="s">
        <v>461</v>
      </c>
      <c r="K109" s="71" t="s">
        <v>115</v>
      </c>
    </row>
    <row r="110" spans="1:11" ht="40.5" customHeight="1" x14ac:dyDescent="0.75">
      <c r="C110" s="73" t="s">
        <v>178</v>
      </c>
      <c r="D110" s="73" t="s">
        <v>179</v>
      </c>
      <c r="E110" s="73" t="s">
        <v>113</v>
      </c>
      <c r="F110" s="73"/>
      <c r="G110" s="70" t="s">
        <v>118</v>
      </c>
      <c r="H110" s="70"/>
      <c r="I110" s="70" t="s">
        <v>462</v>
      </c>
      <c r="J110" s="70" t="s">
        <v>319</v>
      </c>
      <c r="K110" s="71" t="s">
        <v>115</v>
      </c>
    </row>
    <row r="111" spans="1:11" ht="40.5" customHeight="1" x14ac:dyDescent="0.75">
      <c r="C111" s="73" t="s">
        <v>463</v>
      </c>
      <c r="D111" s="73" t="s">
        <v>464</v>
      </c>
      <c r="E111" s="73" t="s">
        <v>131</v>
      </c>
      <c r="F111" s="73"/>
      <c r="G111" s="70" t="s">
        <v>114</v>
      </c>
      <c r="H111" s="70" t="s">
        <v>465</v>
      </c>
      <c r="I111" s="73" t="s">
        <v>115</v>
      </c>
      <c r="J111" s="70" t="s">
        <v>466</v>
      </c>
      <c r="K111" s="71" t="s">
        <v>115</v>
      </c>
    </row>
    <row r="112" spans="1:11" ht="40.5" customHeight="1" x14ac:dyDescent="0.75">
      <c r="C112" s="98" t="s">
        <v>467</v>
      </c>
      <c r="D112" s="95" t="s">
        <v>468</v>
      </c>
      <c r="E112" s="73" t="s">
        <v>131</v>
      </c>
      <c r="F112" s="73"/>
      <c r="G112" s="70" t="s">
        <v>114</v>
      </c>
      <c r="H112" s="70" t="s">
        <v>469</v>
      </c>
      <c r="I112" s="70" t="s">
        <v>470</v>
      </c>
      <c r="J112" s="98" t="s">
        <v>471</v>
      </c>
      <c r="K112" s="78" t="s">
        <v>115</v>
      </c>
    </row>
    <row r="113" spans="2:14" ht="40.5" customHeight="1" x14ac:dyDescent="0.75">
      <c r="C113" s="73" t="s">
        <v>472</v>
      </c>
      <c r="D113" s="73" t="s">
        <v>473</v>
      </c>
      <c r="E113" s="73" t="s">
        <v>113</v>
      </c>
      <c r="F113" s="73"/>
      <c r="G113" s="70" t="s">
        <v>118</v>
      </c>
      <c r="H113" s="70"/>
      <c r="I113" s="70" t="s">
        <v>474</v>
      </c>
      <c r="J113" s="70" t="s">
        <v>475</v>
      </c>
      <c r="K113" s="71" t="s">
        <v>115</v>
      </c>
    </row>
    <row r="114" spans="2:14" ht="40.5" customHeight="1" x14ac:dyDescent="0.75">
      <c r="C114" s="73" t="s">
        <v>476</v>
      </c>
      <c r="D114" s="73" t="s">
        <v>477</v>
      </c>
      <c r="E114" s="73" t="s">
        <v>131</v>
      </c>
      <c r="F114" s="73"/>
      <c r="G114" s="70" t="s">
        <v>114</v>
      </c>
      <c r="H114" s="70" t="s">
        <v>478</v>
      </c>
      <c r="I114" s="70" t="s">
        <v>479</v>
      </c>
      <c r="J114" s="100" t="s">
        <v>480</v>
      </c>
      <c r="K114" s="71" t="s">
        <v>115</v>
      </c>
    </row>
    <row r="115" spans="2:14" ht="40.5" customHeight="1" x14ac:dyDescent="0.75">
      <c r="C115" s="73" t="s">
        <v>481</v>
      </c>
      <c r="D115" s="73" t="s">
        <v>482</v>
      </c>
      <c r="E115" s="73" t="s">
        <v>131</v>
      </c>
      <c r="F115" s="73"/>
      <c r="G115" s="70" t="s">
        <v>114</v>
      </c>
      <c r="H115" s="70" t="s">
        <v>483</v>
      </c>
      <c r="I115" s="70" t="s">
        <v>484</v>
      </c>
      <c r="J115" s="70" t="s">
        <v>485</v>
      </c>
      <c r="K115" s="71" t="s">
        <v>115</v>
      </c>
    </row>
    <row r="116" spans="2:14" ht="40.5" customHeight="1" x14ac:dyDescent="0.75">
      <c r="C116" s="73" t="s">
        <v>472</v>
      </c>
      <c r="D116" s="73" t="s">
        <v>486</v>
      </c>
      <c r="E116" s="73" t="s">
        <v>113</v>
      </c>
      <c r="F116" s="73"/>
      <c r="G116" s="70" t="s">
        <v>118</v>
      </c>
      <c r="H116" s="70"/>
      <c r="I116" s="70" t="s">
        <v>487</v>
      </c>
      <c r="J116" s="70" t="s">
        <v>488</v>
      </c>
      <c r="K116" s="71" t="s">
        <v>115</v>
      </c>
    </row>
    <row r="117" spans="2:14" ht="40.5" customHeight="1" x14ac:dyDescent="0.75">
      <c r="C117" s="95" t="s">
        <v>489</v>
      </c>
      <c r="D117" s="95" t="s">
        <v>490</v>
      </c>
      <c r="E117" s="73" t="s">
        <v>131</v>
      </c>
      <c r="F117" s="73"/>
      <c r="G117" s="70" t="s">
        <v>114</v>
      </c>
      <c r="H117" s="70" t="s">
        <v>491</v>
      </c>
      <c r="I117" s="98" t="s">
        <v>492</v>
      </c>
      <c r="J117" s="98" t="s">
        <v>493</v>
      </c>
      <c r="K117" s="78" t="s">
        <v>115</v>
      </c>
    </row>
    <row r="118" spans="2:14" ht="40.5" customHeight="1" x14ac:dyDescent="0.75">
      <c r="C118" s="73" t="s">
        <v>472</v>
      </c>
      <c r="D118" s="73" t="s">
        <v>494</v>
      </c>
      <c r="E118" s="73" t="s">
        <v>113</v>
      </c>
      <c r="F118" s="73"/>
      <c r="G118" s="70" t="s">
        <v>118</v>
      </c>
      <c r="H118" s="70"/>
      <c r="I118" s="70" t="s">
        <v>495</v>
      </c>
      <c r="J118" s="70" t="s">
        <v>496</v>
      </c>
      <c r="K118" s="71" t="s">
        <v>115</v>
      </c>
    </row>
    <row r="119" spans="2:14" ht="40.5" customHeight="1" x14ac:dyDescent="0.75">
      <c r="C119" s="73" t="s">
        <v>497</v>
      </c>
      <c r="D119" s="73" t="s">
        <v>498</v>
      </c>
      <c r="E119" s="73" t="s">
        <v>114</v>
      </c>
      <c r="F119" s="73"/>
      <c r="G119" s="70" t="s">
        <v>114</v>
      </c>
      <c r="H119" s="70"/>
      <c r="I119" s="70" t="s">
        <v>499</v>
      </c>
      <c r="J119" s="70" t="s">
        <v>500</v>
      </c>
      <c r="K119" s="71" t="s">
        <v>115</v>
      </c>
    </row>
    <row r="120" spans="2:14" ht="40.5" customHeight="1" x14ac:dyDescent="0.75">
      <c r="C120" s="73" t="s">
        <v>320</v>
      </c>
      <c r="D120" s="73" t="s">
        <v>501</v>
      </c>
      <c r="E120" s="73" t="s">
        <v>4</v>
      </c>
      <c r="F120" s="73"/>
      <c r="G120" s="70" t="s">
        <v>4</v>
      </c>
      <c r="H120" s="70" t="s">
        <v>140</v>
      </c>
      <c r="I120" s="70" t="s">
        <v>115</v>
      </c>
      <c r="J120" s="70" t="s">
        <v>502</v>
      </c>
      <c r="K120" s="71" t="s">
        <v>115</v>
      </c>
    </row>
    <row r="121" spans="2:14" ht="40.5" customHeight="1" x14ac:dyDescent="0.75">
      <c r="C121" s="73" t="s">
        <v>323</v>
      </c>
      <c r="D121" s="73" t="s">
        <v>503</v>
      </c>
      <c r="E121" s="73" t="s">
        <v>4</v>
      </c>
      <c r="F121" s="73"/>
      <c r="G121" s="70" t="s">
        <v>4</v>
      </c>
      <c r="H121" s="70" t="s">
        <v>140</v>
      </c>
      <c r="I121" s="70" t="s">
        <v>115</v>
      </c>
      <c r="J121" s="70" t="s">
        <v>504</v>
      </c>
      <c r="K121" s="71" t="s">
        <v>115</v>
      </c>
    </row>
    <row r="122" spans="2:14" ht="40.5" customHeight="1" x14ac:dyDescent="0.75">
      <c r="C122" s="73" t="s">
        <v>505</v>
      </c>
      <c r="D122" s="73" t="s">
        <v>506</v>
      </c>
      <c r="E122" s="73" t="s">
        <v>131</v>
      </c>
      <c r="F122" s="73"/>
      <c r="G122" s="70" t="s">
        <v>118</v>
      </c>
      <c r="H122" s="70" t="s">
        <v>507</v>
      </c>
      <c r="I122" s="73" t="s">
        <v>508</v>
      </c>
      <c r="J122" s="70" t="s">
        <v>509</v>
      </c>
      <c r="K122" s="71" t="s">
        <v>115</v>
      </c>
    </row>
    <row r="123" spans="2:14" ht="40.5" customHeight="1" x14ac:dyDescent="0.75">
      <c r="C123" s="73" t="s">
        <v>510</v>
      </c>
      <c r="D123" s="73" t="s">
        <v>511</v>
      </c>
      <c r="E123" s="73" t="s">
        <v>114</v>
      </c>
      <c r="F123" s="73" t="s">
        <v>115</v>
      </c>
      <c r="G123" s="70" t="s">
        <v>114</v>
      </c>
      <c r="H123" s="70"/>
      <c r="I123" s="73" t="s">
        <v>508</v>
      </c>
      <c r="J123" s="70" t="s">
        <v>512</v>
      </c>
      <c r="K123" s="71" t="s">
        <v>121</v>
      </c>
    </row>
    <row r="124" spans="2:14" ht="40.5" customHeight="1" x14ac:dyDescent="0.75">
      <c r="C124" s="73" t="s">
        <v>513</v>
      </c>
      <c r="D124" s="73" t="s">
        <v>514</v>
      </c>
      <c r="E124" s="73" t="s">
        <v>114</v>
      </c>
      <c r="F124" s="73" t="s">
        <v>115</v>
      </c>
      <c r="G124" s="70" t="s">
        <v>114</v>
      </c>
      <c r="H124" s="70"/>
      <c r="I124" s="73" t="s">
        <v>508</v>
      </c>
      <c r="J124" s="70" t="s">
        <v>515</v>
      </c>
      <c r="K124" s="71" t="s">
        <v>121</v>
      </c>
    </row>
    <row r="125" spans="2:14" ht="40.5" customHeight="1" x14ac:dyDescent="0.75">
      <c r="C125" s="73" t="s">
        <v>516</v>
      </c>
      <c r="D125" s="73" t="s">
        <v>517</v>
      </c>
      <c r="E125" s="73" t="s">
        <v>114</v>
      </c>
      <c r="F125" s="73" t="s">
        <v>115</v>
      </c>
      <c r="G125" s="70" t="s">
        <v>114</v>
      </c>
      <c r="H125" s="70"/>
      <c r="I125" s="73" t="s">
        <v>508</v>
      </c>
      <c r="J125" s="70" t="s">
        <v>518</v>
      </c>
      <c r="K125" s="71" t="s">
        <v>121</v>
      </c>
    </row>
    <row r="126" spans="2:14" s="77" customFormat="1" ht="40.5" customHeight="1" x14ac:dyDescent="0.75">
      <c r="B126" s="101"/>
      <c r="C126" s="98" t="s">
        <v>519</v>
      </c>
      <c r="D126" s="98" t="s">
        <v>520</v>
      </c>
      <c r="E126" s="73" t="s">
        <v>131</v>
      </c>
      <c r="F126" s="73" t="s">
        <v>115</v>
      </c>
      <c r="G126" s="70" t="s">
        <v>118</v>
      </c>
      <c r="H126" s="70" t="s">
        <v>521</v>
      </c>
      <c r="I126" s="73" t="s">
        <v>121</v>
      </c>
      <c r="J126" s="98" t="s">
        <v>522</v>
      </c>
      <c r="K126" s="78" t="s">
        <v>115</v>
      </c>
      <c r="L126" s="61"/>
      <c r="M126" s="61"/>
      <c r="N126" s="61"/>
    </row>
    <row r="127" spans="2:14" s="77" customFormat="1" ht="40.5" customHeight="1" x14ac:dyDescent="0.75">
      <c r="B127" s="101"/>
      <c r="C127" s="70" t="s">
        <v>523</v>
      </c>
      <c r="D127" s="70" t="s">
        <v>524</v>
      </c>
      <c r="E127" s="73" t="s">
        <v>113</v>
      </c>
      <c r="F127" s="73"/>
      <c r="G127" s="70" t="s">
        <v>118</v>
      </c>
      <c r="H127" s="70"/>
      <c r="I127" s="70" t="s">
        <v>525</v>
      </c>
      <c r="J127" s="70" t="s">
        <v>526</v>
      </c>
      <c r="K127" s="71" t="s">
        <v>115</v>
      </c>
      <c r="L127" s="61"/>
      <c r="M127" s="61"/>
      <c r="N127" s="61"/>
    </row>
    <row r="128" spans="2:14" s="77" customFormat="1" ht="40.5" customHeight="1" x14ac:dyDescent="0.75">
      <c r="B128" s="101"/>
      <c r="C128" s="70" t="s">
        <v>527</v>
      </c>
      <c r="D128" s="70" t="s">
        <v>528</v>
      </c>
      <c r="E128" s="73" t="s">
        <v>113</v>
      </c>
      <c r="F128" s="73"/>
      <c r="G128" s="70" t="s">
        <v>118</v>
      </c>
      <c r="H128" s="70"/>
      <c r="I128" s="70" t="s">
        <v>121</v>
      </c>
      <c r="J128" s="70" t="s">
        <v>529</v>
      </c>
      <c r="K128" s="71" t="s">
        <v>121</v>
      </c>
      <c r="L128" s="61"/>
      <c r="M128" s="61"/>
      <c r="N128" s="61"/>
    </row>
    <row r="129" spans="2:14" ht="40.5" customHeight="1" x14ac:dyDescent="0.75">
      <c r="C129" s="73" t="s">
        <v>530</v>
      </c>
      <c r="D129" s="73" t="s">
        <v>531</v>
      </c>
      <c r="E129" s="73" t="s">
        <v>131</v>
      </c>
      <c r="F129" s="73"/>
      <c r="G129" s="70" t="s">
        <v>118</v>
      </c>
      <c r="H129" s="70"/>
      <c r="I129" s="70" t="s">
        <v>532</v>
      </c>
      <c r="J129" s="70" t="s">
        <v>533</v>
      </c>
      <c r="K129" s="71" t="s">
        <v>115</v>
      </c>
    </row>
    <row r="130" spans="2:14" ht="40.5" customHeight="1" x14ac:dyDescent="0.75">
      <c r="C130" s="73" t="s">
        <v>523</v>
      </c>
      <c r="D130" s="73" t="s">
        <v>534</v>
      </c>
      <c r="E130" s="73" t="s">
        <v>113</v>
      </c>
      <c r="F130" s="73"/>
      <c r="G130" s="70" t="s">
        <v>118</v>
      </c>
      <c r="H130" s="70"/>
      <c r="I130" s="73" t="s">
        <v>535</v>
      </c>
      <c r="J130" s="70"/>
      <c r="K130" s="71" t="s">
        <v>121</v>
      </c>
    </row>
    <row r="131" spans="2:14" ht="40.5" customHeight="1" x14ac:dyDescent="0.75">
      <c r="C131" s="73" t="s">
        <v>536</v>
      </c>
      <c r="D131" s="73" t="s">
        <v>537</v>
      </c>
      <c r="E131" s="73" t="s">
        <v>131</v>
      </c>
      <c r="F131" s="73"/>
      <c r="G131" s="70" t="s">
        <v>118</v>
      </c>
      <c r="H131" s="70"/>
      <c r="I131" s="70" t="s">
        <v>532</v>
      </c>
      <c r="J131" s="70" t="s">
        <v>538</v>
      </c>
      <c r="K131" s="71" t="s">
        <v>115</v>
      </c>
    </row>
    <row r="132" spans="2:14" ht="40.5" customHeight="1" x14ac:dyDescent="0.75">
      <c r="C132" s="73" t="s">
        <v>523</v>
      </c>
      <c r="D132" s="73" t="s">
        <v>539</v>
      </c>
      <c r="E132" s="73" t="s">
        <v>113</v>
      </c>
      <c r="F132" s="73"/>
      <c r="G132" s="70" t="s">
        <v>118</v>
      </c>
      <c r="H132" s="70"/>
      <c r="I132" s="73" t="s">
        <v>535</v>
      </c>
      <c r="J132" s="70"/>
      <c r="K132" s="71" t="s">
        <v>121</v>
      </c>
    </row>
    <row r="133" spans="2:14" ht="40.5" customHeight="1" x14ac:dyDescent="0.75">
      <c r="C133" s="73" t="s">
        <v>540</v>
      </c>
      <c r="D133" s="73" t="s">
        <v>541</v>
      </c>
      <c r="E133" s="73" t="s">
        <v>131</v>
      </c>
      <c r="F133" s="73"/>
      <c r="G133" s="70" t="s">
        <v>114</v>
      </c>
      <c r="H133" s="70" t="s">
        <v>542</v>
      </c>
      <c r="I133" s="73" t="s">
        <v>543</v>
      </c>
      <c r="J133" s="70" t="s">
        <v>544</v>
      </c>
      <c r="K133" s="71" t="s">
        <v>115</v>
      </c>
    </row>
    <row r="134" spans="2:14" ht="40.5" customHeight="1" x14ac:dyDescent="0.75">
      <c r="C134" s="73" t="s">
        <v>545</v>
      </c>
      <c r="D134" s="73" t="s">
        <v>546</v>
      </c>
      <c r="E134" s="73" t="s">
        <v>114</v>
      </c>
      <c r="F134" s="73"/>
      <c r="G134" s="70" t="s">
        <v>114</v>
      </c>
      <c r="H134" s="73" t="s">
        <v>547</v>
      </c>
      <c r="I134" s="73" t="s">
        <v>115</v>
      </c>
      <c r="J134" s="70" t="s">
        <v>548</v>
      </c>
      <c r="K134" s="71" t="s">
        <v>115</v>
      </c>
    </row>
    <row r="135" spans="2:14" ht="40.5" customHeight="1" x14ac:dyDescent="0.75">
      <c r="C135" s="73" t="s">
        <v>549</v>
      </c>
      <c r="D135" s="73" t="s">
        <v>550</v>
      </c>
      <c r="E135" s="73" t="s">
        <v>551</v>
      </c>
      <c r="F135" s="73"/>
      <c r="G135" s="70" t="s">
        <v>114</v>
      </c>
      <c r="H135" s="73" t="s">
        <v>552</v>
      </c>
      <c r="I135" s="73" t="s">
        <v>1035</v>
      </c>
      <c r="J135" s="70" t="s">
        <v>553</v>
      </c>
      <c r="K135" s="71" t="s">
        <v>115</v>
      </c>
    </row>
    <row r="136" spans="2:14" ht="40.5" customHeight="1" x14ac:dyDescent="0.75">
      <c r="C136" s="73" t="s">
        <v>549</v>
      </c>
      <c r="D136" s="73" t="s">
        <v>554</v>
      </c>
      <c r="E136" s="73" t="s">
        <v>131</v>
      </c>
      <c r="F136" s="73"/>
      <c r="G136" s="70" t="s">
        <v>114</v>
      </c>
      <c r="H136" s="73" t="s">
        <v>555</v>
      </c>
      <c r="I136" s="70" t="s">
        <v>556</v>
      </c>
      <c r="J136" s="70" t="s">
        <v>557</v>
      </c>
      <c r="K136" s="71" t="s">
        <v>115</v>
      </c>
    </row>
    <row r="137" spans="2:14" ht="40.5" customHeight="1" x14ac:dyDescent="0.75">
      <c r="C137" s="73" t="s">
        <v>558</v>
      </c>
      <c r="D137" s="73" t="s">
        <v>559</v>
      </c>
      <c r="E137" s="73" t="s">
        <v>114</v>
      </c>
      <c r="F137" s="73"/>
      <c r="G137" s="70" t="s">
        <v>114</v>
      </c>
      <c r="H137" s="73" t="s">
        <v>547</v>
      </c>
      <c r="I137" s="70" t="s">
        <v>560</v>
      </c>
      <c r="J137" s="70" t="s">
        <v>561</v>
      </c>
      <c r="K137" s="71" t="s">
        <v>115</v>
      </c>
    </row>
    <row r="138" spans="2:14" ht="40.5" customHeight="1" x14ac:dyDescent="0.75">
      <c r="C138" s="73" t="s">
        <v>562</v>
      </c>
      <c r="D138" s="73" t="s">
        <v>563</v>
      </c>
      <c r="E138" s="73" t="s">
        <v>131</v>
      </c>
      <c r="F138" s="73"/>
      <c r="G138" s="70" t="s">
        <v>114</v>
      </c>
      <c r="H138" s="70" t="s">
        <v>564</v>
      </c>
      <c r="I138" s="70" t="s">
        <v>560</v>
      </c>
      <c r="J138" s="70" t="s">
        <v>565</v>
      </c>
      <c r="K138" s="71" t="s">
        <v>115</v>
      </c>
    </row>
    <row r="139" spans="2:14" ht="40.5" customHeight="1" x14ac:dyDescent="0.75">
      <c r="C139" s="73" t="s">
        <v>566</v>
      </c>
      <c r="D139" s="73" t="s">
        <v>567</v>
      </c>
      <c r="E139" s="73" t="s">
        <v>131</v>
      </c>
      <c r="F139" s="73"/>
      <c r="G139" s="70" t="s">
        <v>118</v>
      </c>
      <c r="H139" s="70"/>
      <c r="I139" s="73" t="s">
        <v>568</v>
      </c>
      <c r="J139" s="70" t="s">
        <v>569</v>
      </c>
      <c r="K139" s="71" t="s">
        <v>115</v>
      </c>
    </row>
    <row r="140" spans="2:14" ht="40.5" customHeight="1" x14ac:dyDescent="0.75">
      <c r="C140" s="73" t="s">
        <v>523</v>
      </c>
      <c r="D140" s="73" t="s">
        <v>570</v>
      </c>
      <c r="E140" s="73" t="s">
        <v>113</v>
      </c>
      <c r="F140" s="73"/>
      <c r="G140" s="70" t="s">
        <v>118</v>
      </c>
      <c r="H140" s="70"/>
      <c r="I140" s="73" t="s">
        <v>571</v>
      </c>
      <c r="J140" s="70"/>
      <c r="K140" s="71" t="s">
        <v>115</v>
      </c>
    </row>
    <row r="141" spans="2:14" s="77" customFormat="1" ht="40.5" customHeight="1" x14ac:dyDescent="0.75">
      <c r="B141" s="101"/>
      <c r="C141" s="70" t="s">
        <v>572</v>
      </c>
      <c r="D141" s="70" t="s">
        <v>573</v>
      </c>
      <c r="E141" s="73" t="s">
        <v>113</v>
      </c>
      <c r="F141" s="73"/>
      <c r="G141" s="70" t="s">
        <v>118</v>
      </c>
      <c r="H141" s="70"/>
      <c r="I141" s="70" t="s">
        <v>574</v>
      </c>
      <c r="J141" s="70"/>
      <c r="K141" s="71" t="s">
        <v>121</v>
      </c>
      <c r="L141" s="61"/>
      <c r="M141" s="61"/>
      <c r="N141" s="61"/>
    </row>
    <row r="142" spans="2:14" ht="40.5" customHeight="1" x14ac:dyDescent="0.75">
      <c r="C142" s="73" t="s">
        <v>530</v>
      </c>
      <c r="D142" s="73" t="s">
        <v>575</v>
      </c>
      <c r="E142" s="73" t="s">
        <v>131</v>
      </c>
      <c r="F142" s="73"/>
      <c r="G142" s="70" t="s">
        <v>118</v>
      </c>
      <c r="H142" s="70"/>
      <c r="I142" s="73" t="s">
        <v>576</v>
      </c>
      <c r="J142" s="70" t="s">
        <v>533</v>
      </c>
      <c r="K142" s="71" t="s">
        <v>121</v>
      </c>
    </row>
    <row r="143" spans="2:14" ht="40.5" customHeight="1" x14ac:dyDescent="0.75">
      <c r="C143" s="73" t="s">
        <v>523</v>
      </c>
      <c r="D143" s="73" t="s">
        <v>577</v>
      </c>
      <c r="E143" s="73" t="s">
        <v>113</v>
      </c>
      <c r="F143" s="73"/>
      <c r="G143" s="70" t="s">
        <v>118</v>
      </c>
      <c r="H143" s="70"/>
      <c r="I143" s="73" t="s">
        <v>571</v>
      </c>
      <c r="J143" s="70"/>
      <c r="K143" s="71" t="s">
        <v>121</v>
      </c>
    </row>
    <row r="144" spans="2:14" ht="40.5" customHeight="1" x14ac:dyDescent="0.75">
      <c r="C144" s="73" t="s">
        <v>536</v>
      </c>
      <c r="D144" s="73" t="s">
        <v>578</v>
      </c>
      <c r="E144" s="73" t="s">
        <v>131</v>
      </c>
      <c r="F144" s="73"/>
      <c r="G144" s="70" t="s">
        <v>118</v>
      </c>
      <c r="H144" s="70"/>
      <c r="I144" s="73" t="s">
        <v>576</v>
      </c>
      <c r="J144" s="70" t="s">
        <v>538</v>
      </c>
      <c r="K144" s="71" t="s">
        <v>121</v>
      </c>
    </row>
    <row r="145" spans="2:14" ht="40.5" customHeight="1" x14ac:dyDescent="0.75">
      <c r="C145" s="73" t="s">
        <v>523</v>
      </c>
      <c r="D145" s="73" t="s">
        <v>579</v>
      </c>
      <c r="E145" s="73" t="s">
        <v>113</v>
      </c>
      <c r="F145" s="73"/>
      <c r="G145" s="70" t="s">
        <v>118</v>
      </c>
      <c r="H145" s="70"/>
      <c r="I145" s="73" t="s">
        <v>571</v>
      </c>
      <c r="J145" s="70"/>
      <c r="K145" s="71" t="s">
        <v>121</v>
      </c>
    </row>
    <row r="146" spans="2:14" ht="40.5" customHeight="1" x14ac:dyDescent="0.75">
      <c r="C146" s="98" t="s">
        <v>540</v>
      </c>
      <c r="D146" s="98" t="s">
        <v>580</v>
      </c>
      <c r="E146" s="98" t="s">
        <v>131</v>
      </c>
      <c r="F146" s="98"/>
      <c r="G146" s="70" t="s">
        <v>114</v>
      </c>
      <c r="H146" s="70" t="s">
        <v>581</v>
      </c>
      <c r="I146" s="98" t="s">
        <v>582</v>
      </c>
      <c r="J146" s="98" t="s">
        <v>544</v>
      </c>
      <c r="K146" s="78" t="s">
        <v>115</v>
      </c>
    </row>
    <row r="147" spans="2:14" s="77" customFormat="1" ht="40.5" customHeight="1" x14ac:dyDescent="0.75">
      <c r="B147" s="101"/>
      <c r="C147" s="98" t="s">
        <v>583</v>
      </c>
      <c r="D147" s="98" t="s">
        <v>584</v>
      </c>
      <c r="E147" s="70" t="s">
        <v>131</v>
      </c>
      <c r="F147" s="70" t="s">
        <v>115</v>
      </c>
      <c r="G147" s="70" t="s">
        <v>114</v>
      </c>
      <c r="H147" s="70" t="s">
        <v>521</v>
      </c>
      <c r="I147" s="98" t="s">
        <v>121</v>
      </c>
      <c r="J147" s="98" t="s">
        <v>585</v>
      </c>
      <c r="K147" s="78" t="s">
        <v>115</v>
      </c>
      <c r="L147" s="61"/>
      <c r="M147" s="61"/>
      <c r="N147" s="61"/>
    </row>
    <row r="148" spans="2:14" ht="40.5" customHeight="1" x14ac:dyDescent="0.75">
      <c r="C148" s="73" t="s">
        <v>586</v>
      </c>
      <c r="D148" s="73" t="s">
        <v>587</v>
      </c>
      <c r="E148" s="73" t="s">
        <v>131</v>
      </c>
      <c r="F148" s="73"/>
      <c r="G148" s="70" t="s">
        <v>114</v>
      </c>
      <c r="H148" s="70" t="s">
        <v>588</v>
      </c>
      <c r="I148" s="73" t="s">
        <v>589</v>
      </c>
      <c r="J148" s="98" t="s">
        <v>590</v>
      </c>
      <c r="K148" s="71" t="s">
        <v>115</v>
      </c>
    </row>
    <row r="149" spans="2:14" ht="40.5" customHeight="1" x14ac:dyDescent="0.75">
      <c r="C149" s="73" t="s">
        <v>545</v>
      </c>
      <c r="D149" s="73" t="s">
        <v>591</v>
      </c>
      <c r="E149" s="73" t="s">
        <v>114</v>
      </c>
      <c r="F149" s="73"/>
      <c r="G149" s="70" t="s">
        <v>114</v>
      </c>
      <c r="H149" s="73" t="s">
        <v>547</v>
      </c>
      <c r="I149" s="73" t="s">
        <v>592</v>
      </c>
      <c r="J149" s="70" t="s">
        <v>593</v>
      </c>
      <c r="K149" s="71" t="s">
        <v>115</v>
      </c>
    </row>
    <row r="150" spans="2:14" ht="40.5" customHeight="1" x14ac:dyDescent="0.75">
      <c r="C150" s="70" t="s">
        <v>594</v>
      </c>
      <c r="D150" s="70" t="s">
        <v>595</v>
      </c>
      <c r="E150" s="70" t="s">
        <v>596</v>
      </c>
      <c r="F150" s="70"/>
      <c r="G150" s="70" t="s">
        <v>114</v>
      </c>
      <c r="H150" s="73" t="s">
        <v>597</v>
      </c>
      <c r="I150" s="73" t="s">
        <v>598</v>
      </c>
      <c r="J150" s="70" t="s">
        <v>599</v>
      </c>
      <c r="K150" s="71" t="s">
        <v>115</v>
      </c>
    </row>
    <row r="151" spans="2:14" ht="40.5" customHeight="1" x14ac:dyDescent="0.75">
      <c r="C151" s="70" t="s">
        <v>600</v>
      </c>
      <c r="D151" s="70" t="s">
        <v>601</v>
      </c>
      <c r="E151" s="70" t="s">
        <v>131</v>
      </c>
      <c r="F151" s="70"/>
      <c r="G151" s="70" t="s">
        <v>114</v>
      </c>
      <c r="H151" s="70" t="s">
        <v>602</v>
      </c>
      <c r="I151" s="73" t="s">
        <v>592</v>
      </c>
      <c r="J151" s="70"/>
      <c r="K151" s="71" t="s">
        <v>115</v>
      </c>
    </row>
    <row r="152" spans="2:14" ht="40.5" customHeight="1" x14ac:dyDescent="0.75">
      <c r="C152" s="73" t="s">
        <v>558</v>
      </c>
      <c r="D152" s="73" t="s">
        <v>603</v>
      </c>
      <c r="E152" s="73" t="s">
        <v>114</v>
      </c>
      <c r="F152" s="73"/>
      <c r="G152" s="70" t="s">
        <v>114</v>
      </c>
      <c r="H152" s="73" t="s">
        <v>547</v>
      </c>
      <c r="I152" s="70" t="s">
        <v>604</v>
      </c>
      <c r="J152" s="70" t="s">
        <v>605</v>
      </c>
      <c r="K152" s="71" t="s">
        <v>115</v>
      </c>
    </row>
    <row r="153" spans="2:14" ht="40.5" customHeight="1" x14ac:dyDescent="0.75">
      <c r="C153" s="73" t="s">
        <v>606</v>
      </c>
      <c r="D153" s="73" t="s">
        <v>607</v>
      </c>
      <c r="E153" s="73" t="s">
        <v>131</v>
      </c>
      <c r="F153" s="73"/>
      <c r="G153" s="70" t="s">
        <v>114</v>
      </c>
      <c r="H153" s="70" t="s">
        <v>292</v>
      </c>
      <c r="I153" s="70" t="s">
        <v>608</v>
      </c>
      <c r="J153" s="70" t="s">
        <v>609</v>
      </c>
      <c r="K153" s="71" t="s">
        <v>115</v>
      </c>
    </row>
    <row r="154" spans="2:14" ht="40.5" customHeight="1" x14ac:dyDescent="0.75">
      <c r="C154" s="73" t="s">
        <v>610</v>
      </c>
      <c r="D154" s="73" t="s">
        <v>611</v>
      </c>
      <c r="E154" s="73" t="s">
        <v>113</v>
      </c>
      <c r="F154" s="73"/>
      <c r="G154" s="70" t="s">
        <v>118</v>
      </c>
      <c r="H154" s="70"/>
      <c r="I154" s="70" t="s">
        <v>612</v>
      </c>
      <c r="J154" s="70" t="s">
        <v>613</v>
      </c>
      <c r="K154" s="71" t="s">
        <v>115</v>
      </c>
    </row>
    <row r="155" spans="2:14" ht="40.5" customHeight="1" x14ac:dyDescent="0.75">
      <c r="C155" s="73" t="s">
        <v>614</v>
      </c>
      <c r="D155" s="73" t="s">
        <v>615</v>
      </c>
      <c r="E155" s="73" t="s">
        <v>255</v>
      </c>
      <c r="F155" s="73"/>
      <c r="G155" s="70" t="s">
        <v>118</v>
      </c>
      <c r="H155" s="70"/>
      <c r="I155" s="73" t="s">
        <v>123</v>
      </c>
      <c r="J155" s="70" t="s">
        <v>616</v>
      </c>
      <c r="K155" s="71" t="s">
        <v>115</v>
      </c>
    </row>
    <row r="156" spans="2:14" ht="40.5" customHeight="1" x14ac:dyDescent="0.75">
      <c r="C156" s="73" t="s">
        <v>617</v>
      </c>
      <c r="D156" s="73" t="s">
        <v>618</v>
      </c>
      <c r="E156" s="73" t="s">
        <v>131</v>
      </c>
      <c r="F156" s="73"/>
      <c r="G156" s="70" t="s">
        <v>114</v>
      </c>
      <c r="H156" s="70" t="s">
        <v>292</v>
      </c>
      <c r="I156" s="73" t="s">
        <v>121</v>
      </c>
      <c r="J156" s="70" t="s">
        <v>619</v>
      </c>
      <c r="K156" s="71" t="s">
        <v>121</v>
      </c>
    </row>
    <row r="157" spans="2:14" ht="40.5" customHeight="1" x14ac:dyDescent="0.75">
      <c r="C157" s="73" t="s">
        <v>343</v>
      </c>
      <c r="D157" s="73" t="s">
        <v>344</v>
      </c>
      <c r="E157" s="73" t="s">
        <v>345</v>
      </c>
      <c r="F157" s="73"/>
      <c r="G157" s="70" t="s">
        <v>114</v>
      </c>
      <c r="H157" s="73" t="s">
        <v>620</v>
      </c>
      <c r="I157" s="70" t="s">
        <v>121</v>
      </c>
      <c r="J157" s="70"/>
      <c r="K157" s="71" t="s">
        <v>121</v>
      </c>
    </row>
    <row r="158" spans="2:14" ht="40.5" customHeight="1" x14ac:dyDescent="0.75">
      <c r="C158" s="73" t="s">
        <v>348</v>
      </c>
      <c r="D158" s="73" t="s">
        <v>349</v>
      </c>
      <c r="E158" s="73" t="s">
        <v>113</v>
      </c>
      <c r="F158" s="73"/>
      <c r="G158" s="70" t="s">
        <v>118</v>
      </c>
      <c r="H158" s="70"/>
      <c r="I158" s="70" t="s">
        <v>350</v>
      </c>
      <c r="J158" s="70"/>
      <c r="K158" s="71" t="s">
        <v>121</v>
      </c>
    </row>
    <row r="159" spans="2:14" ht="40.5" customHeight="1" x14ac:dyDescent="0.75">
      <c r="C159" s="73" t="s">
        <v>621</v>
      </c>
      <c r="D159" s="73" t="s">
        <v>622</v>
      </c>
      <c r="E159" s="73" t="s">
        <v>131</v>
      </c>
      <c r="F159" s="73"/>
      <c r="G159" s="70" t="s">
        <v>114</v>
      </c>
      <c r="H159" s="70" t="s">
        <v>623</v>
      </c>
      <c r="I159" s="73" t="s">
        <v>123</v>
      </c>
      <c r="J159" s="70" t="s">
        <v>624</v>
      </c>
      <c r="K159" s="71" t="s">
        <v>121</v>
      </c>
    </row>
    <row r="160" spans="2:14" ht="40.5" customHeight="1" x14ac:dyDescent="0.75">
      <c r="C160" s="73" t="s">
        <v>625</v>
      </c>
      <c r="D160" s="73" t="s">
        <v>626</v>
      </c>
      <c r="E160" s="73" t="s">
        <v>627</v>
      </c>
      <c r="F160" s="73"/>
      <c r="G160" s="70" t="s">
        <v>627</v>
      </c>
      <c r="H160" s="70"/>
      <c r="I160" s="73" t="s">
        <v>123</v>
      </c>
      <c r="J160" s="70" t="s">
        <v>628</v>
      </c>
      <c r="K160" s="71" t="s">
        <v>121</v>
      </c>
    </row>
    <row r="161" spans="3:11" ht="40.5" customHeight="1" x14ac:dyDescent="0.75">
      <c r="C161" s="73" t="s">
        <v>629</v>
      </c>
      <c r="D161" s="73" t="s">
        <v>630</v>
      </c>
      <c r="E161" s="73" t="s">
        <v>627</v>
      </c>
      <c r="F161" s="73"/>
      <c r="G161" s="70" t="s">
        <v>627</v>
      </c>
      <c r="H161" s="70"/>
      <c r="I161" s="73" t="s">
        <v>123</v>
      </c>
      <c r="J161" s="70" t="s">
        <v>628</v>
      </c>
      <c r="K161" s="71" t="s">
        <v>121</v>
      </c>
    </row>
    <row r="162" spans="3:11" ht="40.5" customHeight="1" x14ac:dyDescent="0.75">
      <c r="C162" s="73" t="s">
        <v>631</v>
      </c>
      <c r="D162" s="73" t="s">
        <v>632</v>
      </c>
      <c r="E162" s="73" t="s">
        <v>627</v>
      </c>
      <c r="F162" s="73"/>
      <c r="G162" s="70" t="s">
        <v>627</v>
      </c>
      <c r="H162" s="70"/>
      <c r="I162" s="73" t="s">
        <v>123</v>
      </c>
      <c r="J162" s="70" t="s">
        <v>633</v>
      </c>
      <c r="K162" s="71" t="s">
        <v>121</v>
      </c>
    </row>
    <row r="163" spans="3:11" ht="40.5" customHeight="1" x14ac:dyDescent="0.75">
      <c r="C163" s="73" t="s">
        <v>634</v>
      </c>
      <c r="D163" s="73" t="s">
        <v>635</v>
      </c>
      <c r="E163" s="73" t="s">
        <v>627</v>
      </c>
      <c r="F163" s="73"/>
      <c r="G163" s="70" t="s">
        <v>627</v>
      </c>
      <c r="H163" s="70"/>
      <c r="I163" s="73" t="s">
        <v>123</v>
      </c>
      <c r="J163" s="70" t="s">
        <v>633</v>
      </c>
      <c r="K163" s="71" t="s">
        <v>121</v>
      </c>
    </row>
    <row r="164" spans="3:11" ht="40.5" customHeight="1" x14ac:dyDescent="0.75">
      <c r="C164" s="73" t="s">
        <v>636</v>
      </c>
      <c r="D164" s="73" t="s">
        <v>637</v>
      </c>
      <c r="E164" s="73" t="s">
        <v>636</v>
      </c>
      <c r="F164" s="73" t="s">
        <v>115</v>
      </c>
      <c r="G164" s="73" t="s">
        <v>636</v>
      </c>
      <c r="H164" s="73" t="s">
        <v>636</v>
      </c>
      <c r="I164" s="73" t="s">
        <v>636</v>
      </c>
      <c r="J164" s="70" t="s">
        <v>638</v>
      </c>
      <c r="K164" s="80" t="s">
        <v>121</v>
      </c>
    </row>
    <row r="165" spans="3:11" ht="40.5" customHeight="1" x14ac:dyDescent="0.75">
      <c r="C165" s="73" t="s">
        <v>258</v>
      </c>
      <c r="D165" s="73" t="s">
        <v>259</v>
      </c>
      <c r="E165" s="73" t="s">
        <v>255</v>
      </c>
      <c r="F165" s="73"/>
      <c r="G165" s="70" t="s">
        <v>118</v>
      </c>
      <c r="H165" s="70"/>
      <c r="I165" s="73" t="s">
        <v>123</v>
      </c>
      <c r="J165" s="70" t="s">
        <v>261</v>
      </c>
      <c r="K165" s="71" t="s">
        <v>121</v>
      </c>
    </row>
    <row r="166" spans="3:11" ht="40.5" customHeight="1" x14ac:dyDescent="0.75">
      <c r="C166" s="86" t="s">
        <v>290</v>
      </c>
      <c r="D166" s="87"/>
      <c r="E166" s="87"/>
      <c r="F166" s="87"/>
      <c r="G166" s="88"/>
      <c r="H166" s="88"/>
      <c r="I166" s="89"/>
      <c r="J166" s="67"/>
      <c r="K166" s="87"/>
    </row>
    <row r="167" spans="3:11" ht="40.5" customHeight="1" x14ac:dyDescent="0.75">
      <c r="C167" s="70" t="s">
        <v>160</v>
      </c>
      <c r="D167" s="70" t="s">
        <v>161</v>
      </c>
      <c r="E167" s="70" t="s">
        <v>114</v>
      </c>
      <c r="F167" s="70" t="s">
        <v>115</v>
      </c>
      <c r="G167" s="70" t="s">
        <v>114</v>
      </c>
      <c r="H167" s="70"/>
      <c r="I167" s="70" t="s">
        <v>115</v>
      </c>
      <c r="J167" s="70" t="s">
        <v>639</v>
      </c>
      <c r="K167" s="80" t="s">
        <v>121</v>
      </c>
    </row>
    <row r="168" spans="3:11" ht="40.5" customHeight="1" x14ac:dyDescent="0.75">
      <c r="C168" s="70" t="s">
        <v>313</v>
      </c>
      <c r="D168" s="70" t="s">
        <v>314</v>
      </c>
      <c r="E168" s="70" t="s">
        <v>114</v>
      </c>
      <c r="F168" s="70" t="s">
        <v>115</v>
      </c>
      <c r="G168" s="70" t="s">
        <v>114</v>
      </c>
      <c r="H168" s="70"/>
      <c r="I168" s="70" t="s">
        <v>115</v>
      </c>
      <c r="J168" s="70"/>
      <c r="K168" s="80" t="s">
        <v>121</v>
      </c>
    </row>
    <row r="169" spans="3:11" ht="40.5" customHeight="1" x14ac:dyDescent="0.75">
      <c r="C169" s="70" t="s">
        <v>640</v>
      </c>
      <c r="D169" s="70" t="s">
        <v>641</v>
      </c>
      <c r="E169" s="70" t="s">
        <v>114</v>
      </c>
      <c r="F169" s="70" t="s">
        <v>115</v>
      </c>
      <c r="G169" s="70" t="s">
        <v>114</v>
      </c>
      <c r="H169" s="70"/>
      <c r="I169" s="70" t="s">
        <v>115</v>
      </c>
      <c r="J169" s="70" t="s">
        <v>642</v>
      </c>
      <c r="K169" s="80" t="s">
        <v>121</v>
      </c>
    </row>
    <row r="170" spans="3:11" ht="40.5" customHeight="1" x14ac:dyDescent="0.75">
      <c r="C170" s="73" t="s">
        <v>315</v>
      </c>
      <c r="D170" s="73" t="s">
        <v>175</v>
      </c>
      <c r="E170" s="73" t="s">
        <v>131</v>
      </c>
      <c r="F170" s="73"/>
      <c r="G170" s="70" t="s">
        <v>114</v>
      </c>
      <c r="H170" s="70" t="s">
        <v>176</v>
      </c>
      <c r="I170" s="73" t="s">
        <v>643</v>
      </c>
      <c r="J170" s="70" t="s">
        <v>644</v>
      </c>
      <c r="K170" s="71" t="s">
        <v>115</v>
      </c>
    </row>
    <row r="171" spans="3:11" ht="40.5" customHeight="1" x14ac:dyDescent="0.75">
      <c r="C171" s="73" t="s">
        <v>178</v>
      </c>
      <c r="D171" s="73" t="s">
        <v>179</v>
      </c>
      <c r="E171" s="73" t="s">
        <v>113</v>
      </c>
      <c r="F171" s="73"/>
      <c r="G171" s="70" t="s">
        <v>118</v>
      </c>
      <c r="H171" s="70"/>
      <c r="I171" s="73" t="s">
        <v>645</v>
      </c>
      <c r="J171" s="70" t="s">
        <v>319</v>
      </c>
      <c r="K171" s="71" t="s">
        <v>115</v>
      </c>
    </row>
    <row r="172" spans="3:11" ht="40.5" customHeight="1" x14ac:dyDescent="0.75">
      <c r="C172" s="73" t="s">
        <v>646</v>
      </c>
      <c r="D172" s="73" t="s">
        <v>647</v>
      </c>
      <c r="E172" s="73" t="s">
        <v>4</v>
      </c>
      <c r="F172" s="73"/>
      <c r="G172" s="70" t="s">
        <v>4</v>
      </c>
      <c r="H172" s="70" t="s">
        <v>140</v>
      </c>
      <c r="I172" s="73" t="s">
        <v>643</v>
      </c>
      <c r="J172" s="70" t="s">
        <v>648</v>
      </c>
      <c r="K172" s="71" t="s">
        <v>115</v>
      </c>
    </row>
    <row r="173" spans="3:11" ht="40.5" customHeight="1" x14ac:dyDescent="0.75">
      <c r="C173" s="73" t="s">
        <v>649</v>
      </c>
      <c r="D173" s="73" t="s">
        <v>650</v>
      </c>
      <c r="E173" s="73" t="s">
        <v>255</v>
      </c>
      <c r="F173" s="73"/>
      <c r="G173" s="70" t="s">
        <v>118</v>
      </c>
      <c r="H173" s="70"/>
      <c r="I173" s="73" t="s">
        <v>643</v>
      </c>
      <c r="J173" s="70" t="s">
        <v>651</v>
      </c>
      <c r="K173" s="80" t="s">
        <v>115</v>
      </c>
    </row>
    <row r="174" spans="3:11" ht="40.5" customHeight="1" x14ac:dyDescent="0.75">
      <c r="C174" s="70" t="s">
        <v>652</v>
      </c>
      <c r="D174" s="70" t="s">
        <v>653</v>
      </c>
      <c r="E174" s="73" t="s">
        <v>131</v>
      </c>
      <c r="F174" s="73"/>
      <c r="G174" s="70" t="s">
        <v>114</v>
      </c>
      <c r="H174" s="70" t="s">
        <v>302</v>
      </c>
      <c r="I174" s="73" t="s">
        <v>643</v>
      </c>
      <c r="J174" s="70" t="s">
        <v>654</v>
      </c>
      <c r="K174" s="80" t="s">
        <v>115</v>
      </c>
    </row>
    <row r="175" spans="3:11" ht="40.5" customHeight="1" x14ac:dyDescent="0.75">
      <c r="C175" s="98" t="s">
        <v>655</v>
      </c>
      <c r="D175" s="98" t="s">
        <v>656</v>
      </c>
      <c r="E175" s="73" t="s">
        <v>131</v>
      </c>
      <c r="F175" s="73"/>
      <c r="G175" s="70" t="s">
        <v>114</v>
      </c>
      <c r="H175" s="70" t="s">
        <v>302</v>
      </c>
      <c r="I175" s="73" t="s">
        <v>643</v>
      </c>
      <c r="J175" s="98" t="s">
        <v>657</v>
      </c>
      <c r="K175" s="80" t="s">
        <v>115</v>
      </c>
    </row>
    <row r="176" spans="3:11" ht="40.5" customHeight="1" x14ac:dyDescent="0.75">
      <c r="C176" s="70" t="s">
        <v>658</v>
      </c>
      <c r="D176" s="70" t="s">
        <v>659</v>
      </c>
      <c r="E176" s="73" t="s">
        <v>131</v>
      </c>
      <c r="F176" s="73"/>
      <c r="G176" s="70" t="s">
        <v>114</v>
      </c>
      <c r="H176" s="70" t="s">
        <v>302</v>
      </c>
      <c r="I176" s="73" t="s">
        <v>643</v>
      </c>
      <c r="J176" s="70" t="s">
        <v>660</v>
      </c>
      <c r="K176" s="80" t="s">
        <v>115</v>
      </c>
    </row>
    <row r="177" spans="2:14" ht="40.5" customHeight="1" x14ac:dyDescent="0.75">
      <c r="C177" s="98" t="s">
        <v>661</v>
      </c>
      <c r="D177" s="98" t="s">
        <v>662</v>
      </c>
      <c r="E177" s="73" t="s">
        <v>131</v>
      </c>
      <c r="F177" s="73"/>
      <c r="G177" s="70" t="s">
        <v>114</v>
      </c>
      <c r="H177" s="70" t="s">
        <v>302</v>
      </c>
      <c r="I177" s="73" t="s">
        <v>643</v>
      </c>
      <c r="J177" s="98" t="s">
        <v>663</v>
      </c>
      <c r="K177" s="80" t="s">
        <v>115</v>
      </c>
    </row>
    <row r="178" spans="2:14" ht="40.5" customHeight="1" x14ac:dyDescent="0.75">
      <c r="C178" s="98" t="s">
        <v>664</v>
      </c>
      <c r="D178" s="98" t="s">
        <v>665</v>
      </c>
      <c r="E178" s="73" t="s">
        <v>131</v>
      </c>
      <c r="F178" s="73"/>
      <c r="G178" s="70" t="s">
        <v>114</v>
      </c>
      <c r="H178" s="70" t="s">
        <v>302</v>
      </c>
      <c r="I178" s="73" t="s">
        <v>643</v>
      </c>
      <c r="J178" s="98" t="s">
        <v>666</v>
      </c>
      <c r="K178" s="80" t="s">
        <v>115</v>
      </c>
    </row>
    <row r="179" spans="2:14" ht="40.5" customHeight="1" x14ac:dyDescent="0.75">
      <c r="C179" s="98" t="s">
        <v>667</v>
      </c>
      <c r="D179" s="98" t="s">
        <v>668</v>
      </c>
      <c r="E179" s="73" t="s">
        <v>131</v>
      </c>
      <c r="F179" s="73"/>
      <c r="G179" s="70" t="s">
        <v>114</v>
      </c>
      <c r="H179" s="70" t="s">
        <v>302</v>
      </c>
      <c r="I179" s="73" t="s">
        <v>643</v>
      </c>
      <c r="J179" s="98" t="s">
        <v>669</v>
      </c>
      <c r="K179" s="80" t="s">
        <v>115</v>
      </c>
    </row>
    <row r="180" spans="2:14" ht="40.5" customHeight="1" x14ac:dyDescent="0.75">
      <c r="C180" s="95" t="s">
        <v>670</v>
      </c>
      <c r="D180" s="95" t="s">
        <v>671</v>
      </c>
      <c r="E180" s="95" t="s">
        <v>131</v>
      </c>
      <c r="F180" s="95"/>
      <c r="G180" s="70" t="s">
        <v>114</v>
      </c>
      <c r="H180" s="70" t="s">
        <v>302</v>
      </c>
      <c r="I180" s="73" t="s">
        <v>643</v>
      </c>
      <c r="J180" s="98" t="s">
        <v>672</v>
      </c>
      <c r="K180" s="80" t="s">
        <v>115</v>
      </c>
    </row>
    <row r="181" spans="2:14" ht="40.5" customHeight="1" x14ac:dyDescent="0.75">
      <c r="C181" s="95" t="s">
        <v>673</v>
      </c>
      <c r="D181" s="95" t="s">
        <v>674</v>
      </c>
      <c r="E181" s="95" t="s">
        <v>131</v>
      </c>
      <c r="F181" s="95"/>
      <c r="G181" s="70" t="s">
        <v>114</v>
      </c>
      <c r="H181" s="70" t="s">
        <v>302</v>
      </c>
      <c r="I181" s="73" t="s">
        <v>643</v>
      </c>
      <c r="J181" s="98" t="s">
        <v>675</v>
      </c>
      <c r="K181" s="80" t="s">
        <v>115</v>
      </c>
    </row>
    <row r="182" spans="2:14" ht="40.5" customHeight="1" x14ac:dyDescent="0.75">
      <c r="C182" s="98" t="s">
        <v>676</v>
      </c>
      <c r="D182" s="98" t="s">
        <v>677</v>
      </c>
      <c r="E182" s="73" t="s">
        <v>131</v>
      </c>
      <c r="F182" s="73"/>
      <c r="G182" s="70" t="s">
        <v>114</v>
      </c>
      <c r="H182" s="70" t="s">
        <v>302</v>
      </c>
      <c r="I182" s="73" t="s">
        <v>643</v>
      </c>
      <c r="J182" s="98" t="s">
        <v>678</v>
      </c>
      <c r="K182" s="80" t="s">
        <v>115</v>
      </c>
    </row>
    <row r="183" spans="2:14" ht="40.5" customHeight="1" x14ac:dyDescent="0.75">
      <c r="C183" s="95" t="s">
        <v>679</v>
      </c>
      <c r="D183" s="95" t="s">
        <v>680</v>
      </c>
      <c r="E183" s="95" t="s">
        <v>131</v>
      </c>
      <c r="F183" s="95"/>
      <c r="G183" s="70" t="s">
        <v>114</v>
      </c>
      <c r="H183" s="70" t="s">
        <v>302</v>
      </c>
      <c r="I183" s="73" t="s">
        <v>643</v>
      </c>
      <c r="J183" s="98" t="s">
        <v>681</v>
      </c>
      <c r="K183" s="80" t="s">
        <v>115</v>
      </c>
    </row>
    <row r="184" spans="2:14" ht="40.5" customHeight="1" x14ac:dyDescent="0.75">
      <c r="C184" s="95" t="s">
        <v>682</v>
      </c>
      <c r="D184" s="95" t="s">
        <v>683</v>
      </c>
      <c r="E184" s="95" t="s">
        <v>131</v>
      </c>
      <c r="F184" s="95"/>
      <c r="G184" s="70" t="s">
        <v>114</v>
      </c>
      <c r="H184" s="70" t="s">
        <v>302</v>
      </c>
      <c r="I184" s="73" t="s">
        <v>643</v>
      </c>
      <c r="J184" s="70" t="s">
        <v>684</v>
      </c>
      <c r="K184" s="80" t="s">
        <v>115</v>
      </c>
    </row>
    <row r="185" spans="2:14" ht="40.5" customHeight="1" x14ac:dyDescent="0.75">
      <c r="C185" s="95" t="s">
        <v>685</v>
      </c>
      <c r="D185" s="95" t="s">
        <v>686</v>
      </c>
      <c r="E185" s="95" t="s">
        <v>131</v>
      </c>
      <c r="F185" s="95"/>
      <c r="G185" s="70" t="s">
        <v>114</v>
      </c>
      <c r="H185" s="70" t="s">
        <v>687</v>
      </c>
      <c r="I185" s="73" t="s">
        <v>688</v>
      </c>
      <c r="J185" s="70" t="s">
        <v>689</v>
      </c>
      <c r="K185" s="71" t="s">
        <v>115</v>
      </c>
    </row>
    <row r="186" spans="2:14" ht="40.5" customHeight="1" x14ac:dyDescent="0.75">
      <c r="C186" s="73" t="s">
        <v>690</v>
      </c>
      <c r="D186" s="73" t="s">
        <v>691</v>
      </c>
      <c r="E186" s="73" t="s">
        <v>113</v>
      </c>
      <c r="F186" s="73"/>
      <c r="G186" s="70" t="s">
        <v>118</v>
      </c>
      <c r="H186" s="70"/>
      <c r="I186" s="73" t="s">
        <v>692</v>
      </c>
      <c r="J186" s="70" t="s">
        <v>693</v>
      </c>
      <c r="K186" s="71" t="s">
        <v>115</v>
      </c>
    </row>
    <row r="187" spans="2:14" s="77" customFormat="1" ht="40.5" customHeight="1" x14ac:dyDescent="0.75">
      <c r="B187" s="101"/>
      <c r="C187" s="70" t="s">
        <v>694</v>
      </c>
      <c r="D187" s="70" t="s">
        <v>695</v>
      </c>
      <c r="E187" s="70" t="s">
        <v>551</v>
      </c>
      <c r="F187" s="70"/>
      <c r="G187" s="70" t="s">
        <v>114</v>
      </c>
      <c r="H187" s="70" t="s">
        <v>696</v>
      </c>
      <c r="I187" s="70" t="s">
        <v>115</v>
      </c>
      <c r="J187" s="70" t="s">
        <v>697</v>
      </c>
      <c r="K187" s="71" t="s">
        <v>115</v>
      </c>
      <c r="L187" s="61"/>
      <c r="M187" s="61"/>
      <c r="N187" s="61"/>
    </row>
    <row r="188" spans="2:14" ht="40.5" customHeight="1" x14ac:dyDescent="0.75">
      <c r="C188" s="102" t="s">
        <v>698</v>
      </c>
      <c r="D188" s="102" t="s">
        <v>699</v>
      </c>
      <c r="E188" s="73" t="s">
        <v>131</v>
      </c>
      <c r="F188" s="95"/>
      <c r="G188" s="98" t="s">
        <v>114</v>
      </c>
      <c r="H188" s="70" t="s">
        <v>700</v>
      </c>
      <c r="I188" s="98" t="s">
        <v>701</v>
      </c>
      <c r="J188" s="98" t="s">
        <v>702</v>
      </c>
      <c r="K188" s="78" t="s">
        <v>115</v>
      </c>
    </row>
    <row r="189" spans="2:14" ht="40.5" customHeight="1" x14ac:dyDescent="0.75">
      <c r="C189" s="98" t="s">
        <v>703</v>
      </c>
      <c r="D189" s="98" t="s">
        <v>704</v>
      </c>
      <c r="E189" s="98" t="s">
        <v>596</v>
      </c>
      <c r="F189" s="98"/>
      <c r="G189" s="70" t="s">
        <v>114</v>
      </c>
      <c r="H189" s="70" t="s">
        <v>705</v>
      </c>
      <c r="I189" s="98" t="s">
        <v>701</v>
      </c>
      <c r="J189" s="70" t="s">
        <v>706</v>
      </c>
      <c r="K189" s="71" t="s">
        <v>115</v>
      </c>
    </row>
    <row r="190" spans="2:14" ht="40.5" customHeight="1" x14ac:dyDescent="0.75">
      <c r="C190" s="102" t="s">
        <v>707</v>
      </c>
      <c r="D190" s="102" t="s">
        <v>708</v>
      </c>
      <c r="E190" s="102" t="s">
        <v>551</v>
      </c>
      <c r="F190" s="102"/>
      <c r="G190" s="70" t="s">
        <v>114</v>
      </c>
      <c r="H190" s="70" t="s">
        <v>709</v>
      </c>
      <c r="I190" s="98" t="s">
        <v>701</v>
      </c>
      <c r="J190" s="70" t="s">
        <v>710</v>
      </c>
      <c r="K190" s="71" t="s">
        <v>115</v>
      </c>
    </row>
    <row r="191" spans="2:14" ht="40.5" customHeight="1" x14ac:dyDescent="0.75">
      <c r="C191" s="102" t="s">
        <v>711</v>
      </c>
      <c r="D191" s="102" t="s">
        <v>712</v>
      </c>
      <c r="E191" s="102" t="s">
        <v>551</v>
      </c>
      <c r="F191" s="102"/>
      <c r="G191" s="70" t="s">
        <v>114</v>
      </c>
      <c r="H191" s="70" t="s">
        <v>713</v>
      </c>
      <c r="I191" s="70" t="s">
        <v>115</v>
      </c>
      <c r="J191" s="70" t="s">
        <v>714</v>
      </c>
      <c r="K191" s="71" t="s">
        <v>115</v>
      </c>
    </row>
    <row r="192" spans="2:14" ht="40.5" customHeight="1" x14ac:dyDescent="0.75">
      <c r="C192" s="102" t="s">
        <v>715</v>
      </c>
      <c r="D192" s="102" t="s">
        <v>716</v>
      </c>
      <c r="E192" s="102" t="s">
        <v>551</v>
      </c>
      <c r="F192" s="102"/>
      <c r="G192" s="70" t="s">
        <v>114</v>
      </c>
      <c r="H192" s="70" t="s">
        <v>717</v>
      </c>
      <c r="I192" s="73" t="s">
        <v>718</v>
      </c>
      <c r="J192" s="70" t="s">
        <v>719</v>
      </c>
      <c r="K192" s="71" t="s">
        <v>115</v>
      </c>
    </row>
    <row r="193" spans="2:14" ht="40.5" customHeight="1" x14ac:dyDescent="0.75">
      <c r="C193" s="102" t="s">
        <v>720</v>
      </c>
      <c r="D193" s="102" t="s">
        <v>721</v>
      </c>
      <c r="E193" s="102" t="s">
        <v>551</v>
      </c>
      <c r="F193" s="102"/>
      <c r="G193" s="70" t="s">
        <v>114</v>
      </c>
      <c r="H193" s="70" t="s">
        <v>722</v>
      </c>
      <c r="I193" s="70" t="s">
        <v>723</v>
      </c>
      <c r="J193" s="70" t="s">
        <v>724</v>
      </c>
      <c r="K193" s="71" t="s">
        <v>115</v>
      </c>
    </row>
    <row r="194" spans="2:14" ht="40.5" customHeight="1" x14ac:dyDescent="0.75">
      <c r="C194" s="102" t="s">
        <v>725</v>
      </c>
      <c r="D194" s="102" t="s">
        <v>726</v>
      </c>
      <c r="E194" s="102" t="s">
        <v>551</v>
      </c>
      <c r="F194" s="102"/>
      <c r="G194" s="70" t="s">
        <v>114</v>
      </c>
      <c r="H194" s="70" t="s">
        <v>727</v>
      </c>
      <c r="I194" s="70" t="s">
        <v>115</v>
      </c>
      <c r="J194" s="70" t="s">
        <v>728</v>
      </c>
      <c r="K194" s="71" t="s">
        <v>115</v>
      </c>
    </row>
    <row r="195" spans="2:14" ht="40.5" customHeight="1" x14ac:dyDescent="0.75">
      <c r="C195" s="102" t="s">
        <v>720</v>
      </c>
      <c r="D195" s="102" t="s">
        <v>729</v>
      </c>
      <c r="E195" s="102" t="s">
        <v>551</v>
      </c>
      <c r="F195" s="102"/>
      <c r="G195" s="70" t="s">
        <v>114</v>
      </c>
      <c r="H195" s="70" t="s">
        <v>730</v>
      </c>
      <c r="I195" s="103" t="s">
        <v>731</v>
      </c>
      <c r="J195" s="70" t="s">
        <v>732</v>
      </c>
      <c r="K195" s="71" t="s">
        <v>115</v>
      </c>
    </row>
    <row r="196" spans="2:14" ht="40.5" customHeight="1" x14ac:dyDescent="0.75">
      <c r="C196" s="102" t="s">
        <v>733</v>
      </c>
      <c r="D196" s="102" t="s">
        <v>734</v>
      </c>
      <c r="E196" s="102" t="s">
        <v>551</v>
      </c>
      <c r="F196" s="102"/>
      <c r="G196" s="70" t="s">
        <v>114</v>
      </c>
      <c r="H196" s="70" t="s">
        <v>735</v>
      </c>
      <c r="I196" s="70" t="s">
        <v>115</v>
      </c>
      <c r="J196" s="70" t="s">
        <v>736</v>
      </c>
      <c r="K196" s="71" t="s">
        <v>115</v>
      </c>
    </row>
    <row r="197" spans="2:14" ht="40.5" customHeight="1" x14ac:dyDescent="0.75">
      <c r="C197" s="86" t="s">
        <v>97</v>
      </c>
      <c r="D197" s="87"/>
      <c r="E197" s="87"/>
      <c r="F197" s="87"/>
      <c r="G197" s="88"/>
      <c r="H197" s="88"/>
      <c r="I197" s="89"/>
      <c r="J197" s="67"/>
      <c r="K197" s="87"/>
    </row>
    <row r="198" spans="2:14" ht="40.5" customHeight="1" x14ac:dyDescent="0.75">
      <c r="C198" s="70" t="s">
        <v>160</v>
      </c>
      <c r="D198" s="70" t="s">
        <v>161</v>
      </c>
      <c r="E198" s="70" t="s">
        <v>114</v>
      </c>
      <c r="F198" s="70" t="s">
        <v>115</v>
      </c>
      <c r="G198" s="70" t="s">
        <v>114</v>
      </c>
      <c r="H198" s="70"/>
      <c r="I198" s="70" t="s">
        <v>115</v>
      </c>
      <c r="J198" s="70" t="s">
        <v>737</v>
      </c>
      <c r="K198" s="80" t="s">
        <v>121</v>
      </c>
    </row>
    <row r="199" spans="2:14" ht="40.5" customHeight="1" x14ac:dyDescent="0.75">
      <c r="C199" s="70" t="s">
        <v>738</v>
      </c>
      <c r="D199" s="70" t="s">
        <v>739</v>
      </c>
      <c r="E199" s="70" t="s">
        <v>114</v>
      </c>
      <c r="F199" s="70" t="s">
        <v>115</v>
      </c>
      <c r="G199" s="70" t="s">
        <v>114</v>
      </c>
      <c r="H199" s="70"/>
      <c r="I199" s="70" t="s">
        <v>115</v>
      </c>
      <c r="J199" s="70" t="s">
        <v>740</v>
      </c>
      <c r="K199" s="80" t="s">
        <v>115</v>
      </c>
    </row>
    <row r="200" spans="2:14" ht="40.5" customHeight="1" x14ac:dyDescent="0.75">
      <c r="C200" s="95" t="s">
        <v>741</v>
      </c>
      <c r="D200" s="95" t="s">
        <v>24</v>
      </c>
      <c r="E200" s="95" t="s">
        <v>131</v>
      </c>
      <c r="F200" s="95"/>
      <c r="G200" s="70" t="s">
        <v>114</v>
      </c>
      <c r="H200" s="70" t="s">
        <v>742</v>
      </c>
      <c r="I200" s="73" t="s">
        <v>115</v>
      </c>
      <c r="J200" s="70" t="s">
        <v>743</v>
      </c>
      <c r="K200" s="71" t="s">
        <v>115</v>
      </c>
    </row>
    <row r="201" spans="2:14" ht="40.5" customHeight="1" x14ac:dyDescent="0.75">
      <c r="C201" s="73" t="s">
        <v>744</v>
      </c>
      <c r="D201" s="73" t="s">
        <v>745</v>
      </c>
      <c r="E201" s="73" t="s">
        <v>4</v>
      </c>
      <c r="F201" s="73"/>
      <c r="G201" s="70" t="s">
        <v>4</v>
      </c>
      <c r="H201" s="70" t="s">
        <v>140</v>
      </c>
      <c r="I201" s="73" t="s">
        <v>115</v>
      </c>
      <c r="J201" s="70" t="s">
        <v>746</v>
      </c>
      <c r="K201" s="71" t="s">
        <v>115</v>
      </c>
    </row>
    <row r="202" spans="2:14" ht="40.5" customHeight="1" x14ac:dyDescent="0.75">
      <c r="C202" s="95" t="s">
        <v>747</v>
      </c>
      <c r="D202" s="95" t="s">
        <v>748</v>
      </c>
      <c r="E202" s="95" t="s">
        <v>131</v>
      </c>
      <c r="F202" s="95"/>
      <c r="G202" s="70" t="s">
        <v>114</v>
      </c>
      <c r="H202" s="70" t="s">
        <v>749</v>
      </c>
      <c r="I202" s="73" t="s">
        <v>750</v>
      </c>
      <c r="J202" s="70" t="s">
        <v>751</v>
      </c>
      <c r="K202" s="71" t="s">
        <v>115</v>
      </c>
    </row>
    <row r="203" spans="2:14" ht="40.5" customHeight="1" x14ac:dyDescent="0.75">
      <c r="C203" s="73" t="s">
        <v>752</v>
      </c>
      <c r="D203" s="73" t="s">
        <v>753</v>
      </c>
      <c r="E203" s="73" t="s">
        <v>113</v>
      </c>
      <c r="F203" s="73"/>
      <c r="G203" s="70" t="s">
        <v>118</v>
      </c>
      <c r="H203" s="70"/>
      <c r="I203" s="73" t="s">
        <v>754</v>
      </c>
      <c r="J203" s="70" t="s">
        <v>755</v>
      </c>
      <c r="K203" s="71" t="s">
        <v>115</v>
      </c>
    </row>
    <row r="204" spans="2:14" ht="40.5" customHeight="1" x14ac:dyDescent="0.75">
      <c r="C204" s="86" t="s">
        <v>98</v>
      </c>
      <c r="D204" s="87"/>
      <c r="E204" s="87"/>
      <c r="F204" s="87"/>
      <c r="G204" s="88"/>
      <c r="H204" s="88"/>
      <c r="I204" s="89"/>
      <c r="J204" s="67"/>
      <c r="K204" s="87"/>
    </row>
    <row r="205" spans="2:14" ht="40.5" customHeight="1" x14ac:dyDescent="0.75">
      <c r="C205" s="70" t="s">
        <v>160</v>
      </c>
      <c r="D205" s="70" t="s">
        <v>161</v>
      </c>
      <c r="E205" s="70" t="s">
        <v>114</v>
      </c>
      <c r="F205" s="70" t="s">
        <v>115</v>
      </c>
      <c r="G205" s="70" t="s">
        <v>114</v>
      </c>
      <c r="H205" s="70"/>
      <c r="I205" s="70" t="s">
        <v>115</v>
      </c>
      <c r="J205" s="70" t="s">
        <v>756</v>
      </c>
      <c r="K205" s="80" t="s">
        <v>121</v>
      </c>
    </row>
    <row r="206" spans="2:14" s="105" customFormat="1" ht="40.5" customHeight="1" x14ac:dyDescent="0.75">
      <c r="B206" s="104"/>
      <c r="C206" s="70" t="s">
        <v>313</v>
      </c>
      <c r="D206" s="70" t="s">
        <v>314</v>
      </c>
      <c r="E206" s="70" t="s">
        <v>114</v>
      </c>
      <c r="F206" s="70" t="s">
        <v>115</v>
      </c>
      <c r="G206" s="70" t="s">
        <v>114</v>
      </c>
      <c r="H206" s="70"/>
      <c r="I206" s="70" t="s">
        <v>115</v>
      </c>
      <c r="J206" s="70"/>
      <c r="K206" s="80" t="s">
        <v>121</v>
      </c>
      <c r="L206" s="61"/>
      <c r="M206" s="61"/>
      <c r="N206" s="61"/>
    </row>
    <row r="207" spans="2:14" ht="40.5" customHeight="1" x14ac:dyDescent="0.75">
      <c r="C207" s="70" t="s">
        <v>757</v>
      </c>
      <c r="D207" s="70" t="s">
        <v>758</v>
      </c>
      <c r="E207" s="70" t="s">
        <v>114</v>
      </c>
      <c r="F207" s="70" t="s">
        <v>115</v>
      </c>
      <c r="G207" s="70" t="s">
        <v>114</v>
      </c>
      <c r="H207" s="70"/>
      <c r="I207" s="70" t="s">
        <v>115</v>
      </c>
      <c r="J207" s="70" t="s">
        <v>759</v>
      </c>
      <c r="K207" s="80" t="s">
        <v>115</v>
      </c>
    </row>
    <row r="208" spans="2:14" ht="40.5" customHeight="1" x14ac:dyDescent="0.75">
      <c r="B208" s="106"/>
      <c r="C208" s="95" t="s">
        <v>760</v>
      </c>
      <c r="D208" s="95" t="s">
        <v>761</v>
      </c>
      <c r="E208" s="95" t="s">
        <v>131</v>
      </c>
      <c r="F208" s="95"/>
      <c r="G208" s="70" t="s">
        <v>114</v>
      </c>
      <c r="H208" s="70" t="s">
        <v>237</v>
      </c>
      <c r="I208" s="73" t="s">
        <v>119</v>
      </c>
      <c r="J208" s="70" t="s">
        <v>762</v>
      </c>
      <c r="K208" s="71" t="s">
        <v>115</v>
      </c>
    </row>
    <row r="209" spans="2:11" ht="40.5" customHeight="1" x14ac:dyDescent="0.75">
      <c r="B209" s="106"/>
      <c r="C209" s="95" t="s">
        <v>763</v>
      </c>
      <c r="D209" s="95" t="s">
        <v>764</v>
      </c>
      <c r="E209" s="95" t="s">
        <v>131</v>
      </c>
      <c r="F209" s="95"/>
      <c r="G209" s="70" t="s">
        <v>114</v>
      </c>
      <c r="H209" s="70" t="s">
        <v>765</v>
      </c>
      <c r="I209" s="70" t="s">
        <v>766</v>
      </c>
      <c r="J209" s="70"/>
      <c r="K209" s="71" t="s">
        <v>121</v>
      </c>
    </row>
    <row r="210" spans="2:11" ht="40.5" customHeight="1" x14ac:dyDescent="0.75">
      <c r="B210" s="106"/>
      <c r="C210" s="73" t="s">
        <v>767</v>
      </c>
      <c r="D210" s="73" t="s">
        <v>768</v>
      </c>
      <c r="E210" s="73" t="s">
        <v>4</v>
      </c>
      <c r="F210" s="73"/>
      <c r="G210" s="70" t="s">
        <v>4</v>
      </c>
      <c r="H210" s="70" t="s">
        <v>140</v>
      </c>
      <c r="I210" s="70" t="s">
        <v>769</v>
      </c>
      <c r="J210" s="70" t="s">
        <v>770</v>
      </c>
      <c r="K210" s="71" t="s">
        <v>115</v>
      </c>
    </row>
    <row r="211" spans="2:11" ht="40.5" customHeight="1" x14ac:dyDescent="0.75">
      <c r="B211" s="106"/>
      <c r="C211" s="73" t="s">
        <v>771</v>
      </c>
      <c r="D211" s="73" t="s">
        <v>772</v>
      </c>
      <c r="E211" s="73" t="s">
        <v>255</v>
      </c>
      <c r="F211" s="73"/>
      <c r="G211" s="70" t="s">
        <v>118</v>
      </c>
      <c r="H211" s="70"/>
      <c r="I211" s="70" t="s">
        <v>769</v>
      </c>
      <c r="J211" s="70" t="s">
        <v>773</v>
      </c>
      <c r="K211" s="71" t="s">
        <v>115</v>
      </c>
    </row>
    <row r="212" spans="2:11" ht="40.5" customHeight="1" x14ac:dyDescent="0.75">
      <c r="B212" s="106"/>
      <c r="C212" s="95" t="s">
        <v>774</v>
      </c>
      <c r="D212" s="95" t="s">
        <v>775</v>
      </c>
      <c r="E212" s="95" t="s">
        <v>131</v>
      </c>
      <c r="F212" s="95"/>
      <c r="G212" s="70" t="s">
        <v>114</v>
      </c>
      <c r="H212" s="70" t="s">
        <v>776</v>
      </c>
      <c r="I212" s="70" t="s">
        <v>769</v>
      </c>
      <c r="J212" s="70" t="s">
        <v>777</v>
      </c>
      <c r="K212" s="71" t="s">
        <v>115</v>
      </c>
    </row>
    <row r="213" spans="2:11" ht="40.5" customHeight="1" x14ac:dyDescent="0.75">
      <c r="B213" s="106"/>
      <c r="C213" s="70" t="s">
        <v>778</v>
      </c>
      <c r="D213" s="95" t="s">
        <v>779</v>
      </c>
      <c r="E213" s="70" t="s">
        <v>131</v>
      </c>
      <c r="F213" s="70"/>
      <c r="G213" s="70" t="s">
        <v>114</v>
      </c>
      <c r="H213" s="70" t="s">
        <v>292</v>
      </c>
      <c r="I213" s="70" t="s">
        <v>115</v>
      </c>
      <c r="J213" s="70" t="s">
        <v>780</v>
      </c>
      <c r="K213" s="80" t="s">
        <v>121</v>
      </c>
    </row>
    <row r="214" spans="2:11" ht="40.5" customHeight="1" x14ac:dyDescent="0.75">
      <c r="B214" s="106"/>
      <c r="C214" s="70" t="s">
        <v>781</v>
      </c>
      <c r="D214" s="95" t="s">
        <v>782</v>
      </c>
      <c r="E214" s="70" t="s">
        <v>131</v>
      </c>
      <c r="F214" s="70"/>
      <c r="G214" s="70" t="s">
        <v>114</v>
      </c>
      <c r="H214" s="70" t="s">
        <v>292</v>
      </c>
      <c r="I214" s="70" t="s">
        <v>115</v>
      </c>
      <c r="J214" s="70" t="s">
        <v>783</v>
      </c>
      <c r="K214" s="80" t="s">
        <v>121</v>
      </c>
    </row>
    <row r="215" spans="2:11" ht="40.5" customHeight="1" x14ac:dyDescent="0.75">
      <c r="B215" s="106"/>
      <c r="C215" s="70" t="s">
        <v>784</v>
      </c>
      <c r="D215" s="70" t="s">
        <v>785</v>
      </c>
      <c r="E215" s="70" t="s">
        <v>131</v>
      </c>
      <c r="F215" s="70"/>
      <c r="G215" s="70" t="s">
        <v>114</v>
      </c>
      <c r="H215" s="70" t="s">
        <v>292</v>
      </c>
      <c r="I215" s="70" t="s">
        <v>115</v>
      </c>
      <c r="J215" s="70" t="s">
        <v>786</v>
      </c>
      <c r="K215" s="80" t="s">
        <v>121</v>
      </c>
    </row>
    <row r="216" spans="2:11" ht="40.5" customHeight="1" x14ac:dyDescent="0.75">
      <c r="B216" s="106"/>
      <c r="C216" s="70" t="s">
        <v>787</v>
      </c>
      <c r="D216" s="70" t="s">
        <v>788</v>
      </c>
      <c r="E216" s="70" t="s">
        <v>131</v>
      </c>
      <c r="F216" s="70"/>
      <c r="G216" s="70" t="s">
        <v>114</v>
      </c>
      <c r="H216" s="70" t="s">
        <v>292</v>
      </c>
      <c r="I216" s="70" t="s">
        <v>115</v>
      </c>
      <c r="J216" s="70" t="s">
        <v>789</v>
      </c>
      <c r="K216" s="80" t="s">
        <v>121</v>
      </c>
    </row>
    <row r="217" spans="2:11" ht="40.5" customHeight="1" x14ac:dyDescent="0.75">
      <c r="B217" s="106"/>
      <c r="C217" s="70" t="s">
        <v>790</v>
      </c>
      <c r="D217" s="70" t="s">
        <v>791</v>
      </c>
      <c r="E217" s="70" t="s">
        <v>131</v>
      </c>
      <c r="F217" s="70"/>
      <c r="G217" s="70" t="s">
        <v>114</v>
      </c>
      <c r="H217" s="70" t="s">
        <v>292</v>
      </c>
      <c r="I217" s="70" t="s">
        <v>115</v>
      </c>
      <c r="J217" s="70" t="s">
        <v>792</v>
      </c>
      <c r="K217" s="80" t="s">
        <v>121</v>
      </c>
    </row>
    <row r="218" spans="2:11" ht="40.5" customHeight="1" x14ac:dyDescent="0.75">
      <c r="B218" s="106"/>
      <c r="C218" s="95" t="s">
        <v>793</v>
      </c>
      <c r="D218" s="95" t="s">
        <v>794</v>
      </c>
      <c r="E218" s="95" t="s">
        <v>131</v>
      </c>
      <c r="F218" s="95"/>
      <c r="G218" s="70" t="s">
        <v>114</v>
      </c>
      <c r="H218" s="70" t="s">
        <v>795</v>
      </c>
      <c r="I218" s="70" t="s">
        <v>115</v>
      </c>
      <c r="J218" s="70" t="s">
        <v>796</v>
      </c>
      <c r="K218" s="71" t="s">
        <v>115</v>
      </c>
    </row>
    <row r="219" spans="2:11" ht="40.5" customHeight="1" x14ac:dyDescent="0.75">
      <c r="B219" s="106"/>
      <c r="C219" s="95" t="s">
        <v>797</v>
      </c>
      <c r="D219" s="95" t="s">
        <v>798</v>
      </c>
      <c r="E219" s="95" t="s">
        <v>131</v>
      </c>
      <c r="F219" s="95"/>
      <c r="G219" s="70" t="s">
        <v>114</v>
      </c>
      <c r="H219" s="70" t="s">
        <v>799</v>
      </c>
      <c r="I219" s="73" t="s">
        <v>800</v>
      </c>
      <c r="J219" s="70" t="s">
        <v>801</v>
      </c>
      <c r="K219" s="71" t="s">
        <v>121</v>
      </c>
    </row>
    <row r="220" spans="2:11" ht="40.5" customHeight="1" x14ac:dyDescent="0.75">
      <c r="B220" s="106"/>
      <c r="C220" s="73" t="s">
        <v>802</v>
      </c>
      <c r="D220" s="73" t="s">
        <v>803</v>
      </c>
      <c r="E220" s="73" t="s">
        <v>113</v>
      </c>
      <c r="F220" s="73"/>
      <c r="G220" s="70" t="s">
        <v>118</v>
      </c>
      <c r="H220" s="70"/>
      <c r="I220" s="73" t="s">
        <v>800</v>
      </c>
      <c r="J220" s="70" t="s">
        <v>804</v>
      </c>
      <c r="K220" s="71" t="s">
        <v>115</v>
      </c>
    </row>
    <row r="221" spans="2:11" ht="40.5" customHeight="1" x14ac:dyDescent="0.75">
      <c r="B221" s="106"/>
      <c r="C221" s="98" t="s">
        <v>805</v>
      </c>
      <c r="D221" s="98" t="s">
        <v>806</v>
      </c>
      <c r="E221" s="98" t="s">
        <v>596</v>
      </c>
      <c r="F221" s="98"/>
      <c r="G221" s="70" t="s">
        <v>114</v>
      </c>
      <c r="H221" s="70" t="s">
        <v>302</v>
      </c>
      <c r="I221" s="73" t="s">
        <v>800</v>
      </c>
      <c r="J221" s="70" t="s">
        <v>807</v>
      </c>
      <c r="K221" s="71" t="s">
        <v>115</v>
      </c>
    </row>
    <row r="222" spans="2:11" ht="40.5" customHeight="1" x14ac:dyDescent="0.75">
      <c r="B222" s="106"/>
      <c r="C222" s="70" t="s">
        <v>808</v>
      </c>
      <c r="D222" s="70" t="s">
        <v>809</v>
      </c>
      <c r="E222" s="73" t="s">
        <v>113</v>
      </c>
      <c r="F222" s="73"/>
      <c r="G222" s="70" t="s">
        <v>118</v>
      </c>
      <c r="H222" s="70"/>
      <c r="I222" s="70" t="s">
        <v>810</v>
      </c>
      <c r="J222" s="70" t="s">
        <v>811</v>
      </c>
      <c r="K222" s="71" t="s">
        <v>115</v>
      </c>
    </row>
    <row r="223" spans="2:11" ht="40.5" customHeight="1" x14ac:dyDescent="0.75">
      <c r="B223" s="106"/>
      <c r="C223" s="95" t="s">
        <v>812</v>
      </c>
      <c r="D223" s="95" t="s">
        <v>813</v>
      </c>
      <c r="E223" s="95" t="s">
        <v>131</v>
      </c>
      <c r="F223" s="95"/>
      <c r="G223" s="70" t="s">
        <v>114</v>
      </c>
      <c r="H223" s="70" t="s">
        <v>814</v>
      </c>
      <c r="I223" s="70" t="s">
        <v>115</v>
      </c>
      <c r="J223" s="70" t="s">
        <v>815</v>
      </c>
      <c r="K223" s="71" t="s">
        <v>121</v>
      </c>
    </row>
    <row r="224" spans="2:11" ht="40.5" customHeight="1" x14ac:dyDescent="0.75">
      <c r="B224" s="106"/>
      <c r="C224" s="73" t="s">
        <v>816</v>
      </c>
      <c r="D224" s="73" t="s">
        <v>817</v>
      </c>
      <c r="E224" s="73" t="s">
        <v>4</v>
      </c>
      <c r="F224" s="73"/>
      <c r="G224" s="70" t="s">
        <v>4</v>
      </c>
      <c r="H224" s="70" t="s">
        <v>140</v>
      </c>
      <c r="I224" s="73" t="s">
        <v>818</v>
      </c>
      <c r="J224" s="70" t="s">
        <v>819</v>
      </c>
      <c r="K224" s="71" t="s">
        <v>121</v>
      </c>
    </row>
    <row r="225" spans="2:11" ht="40.5" customHeight="1" x14ac:dyDescent="0.75">
      <c r="B225" s="106"/>
      <c r="C225" s="98" t="s">
        <v>820</v>
      </c>
      <c r="D225" s="98" t="s">
        <v>821</v>
      </c>
      <c r="E225" s="98" t="s">
        <v>131</v>
      </c>
      <c r="F225" s="98"/>
      <c r="G225" s="70" t="s">
        <v>114</v>
      </c>
      <c r="H225" s="70" t="s">
        <v>302</v>
      </c>
      <c r="I225" s="70" t="s">
        <v>818</v>
      </c>
      <c r="J225" s="70" t="s">
        <v>822</v>
      </c>
      <c r="K225" s="80" t="s">
        <v>121</v>
      </c>
    </row>
    <row r="226" spans="2:11" ht="40.5" customHeight="1" x14ac:dyDescent="0.75">
      <c r="B226" s="106"/>
      <c r="C226" s="95" t="s">
        <v>823</v>
      </c>
      <c r="D226" s="95" t="s">
        <v>824</v>
      </c>
      <c r="E226" s="95" t="s">
        <v>131</v>
      </c>
      <c r="F226" s="95"/>
      <c r="G226" s="70" t="s">
        <v>114</v>
      </c>
      <c r="H226" s="70" t="s">
        <v>302</v>
      </c>
      <c r="I226" s="73" t="s">
        <v>119</v>
      </c>
      <c r="J226" s="70" t="s">
        <v>825</v>
      </c>
      <c r="K226" s="71" t="s">
        <v>115</v>
      </c>
    </row>
    <row r="227" spans="2:11" ht="40.5" customHeight="1" x14ac:dyDescent="0.75">
      <c r="B227" s="106"/>
      <c r="C227" s="73" t="s">
        <v>826</v>
      </c>
      <c r="D227" s="73" t="s">
        <v>827</v>
      </c>
      <c r="E227" s="73" t="s">
        <v>255</v>
      </c>
      <c r="F227" s="73"/>
      <c r="G227" s="70" t="s">
        <v>118</v>
      </c>
      <c r="H227" s="70"/>
      <c r="I227" s="70" t="s">
        <v>828</v>
      </c>
      <c r="J227" s="70" t="s">
        <v>829</v>
      </c>
      <c r="K227" s="71" t="s">
        <v>115</v>
      </c>
    </row>
    <row r="228" spans="2:11" ht="40.5" customHeight="1" x14ac:dyDescent="0.75">
      <c r="B228" s="106"/>
      <c r="C228" s="73" t="s">
        <v>830</v>
      </c>
      <c r="D228" s="73" t="s">
        <v>831</v>
      </c>
      <c r="E228" s="73" t="s">
        <v>255</v>
      </c>
      <c r="F228" s="73"/>
      <c r="G228" s="70" t="s">
        <v>118</v>
      </c>
      <c r="H228" s="70"/>
      <c r="I228" s="73" t="s">
        <v>123</v>
      </c>
      <c r="J228" s="70" t="s">
        <v>832</v>
      </c>
      <c r="K228" s="71" t="s">
        <v>121</v>
      </c>
    </row>
    <row r="229" spans="2:11" ht="40.5" customHeight="1" x14ac:dyDescent="0.75">
      <c r="B229" s="106"/>
      <c r="C229" s="73" t="s">
        <v>833</v>
      </c>
      <c r="D229" s="73" t="s">
        <v>834</v>
      </c>
      <c r="E229" s="73" t="s">
        <v>255</v>
      </c>
      <c r="F229" s="73"/>
      <c r="G229" s="70" t="s">
        <v>118</v>
      </c>
      <c r="H229" s="70"/>
      <c r="I229" s="73" t="s">
        <v>123</v>
      </c>
      <c r="J229" s="70" t="s">
        <v>835</v>
      </c>
      <c r="K229" s="71" t="s">
        <v>115</v>
      </c>
    </row>
    <row r="230" spans="2:11" ht="40.5" customHeight="1" x14ac:dyDescent="0.75">
      <c r="B230" s="106"/>
      <c r="C230" s="73" t="s">
        <v>836</v>
      </c>
      <c r="D230" s="73" t="s">
        <v>837</v>
      </c>
      <c r="E230" s="73" t="s">
        <v>627</v>
      </c>
      <c r="F230" s="73"/>
      <c r="G230" s="70" t="s">
        <v>838</v>
      </c>
      <c r="H230" s="70"/>
      <c r="I230" s="73" t="s">
        <v>121</v>
      </c>
      <c r="J230" s="70"/>
      <c r="K230" s="71" t="s">
        <v>121</v>
      </c>
    </row>
    <row r="231" spans="2:11" ht="40.5" customHeight="1" x14ac:dyDescent="0.75">
      <c r="C231" s="86" t="s">
        <v>99</v>
      </c>
      <c r="D231" s="87"/>
      <c r="E231" s="87"/>
      <c r="F231" s="87"/>
      <c r="G231" s="88"/>
      <c r="H231" s="88"/>
      <c r="I231" s="89"/>
      <c r="J231" s="67"/>
      <c r="K231" s="87"/>
    </row>
    <row r="232" spans="2:11" s="81" customFormat="1" ht="40.5" customHeight="1" x14ac:dyDescent="0.75">
      <c r="B232" s="97"/>
      <c r="C232" s="70" t="s">
        <v>160</v>
      </c>
      <c r="D232" s="70" t="s">
        <v>161</v>
      </c>
      <c r="E232" s="70" t="s">
        <v>114</v>
      </c>
      <c r="F232" s="70" t="s">
        <v>115</v>
      </c>
      <c r="G232" s="70" t="s">
        <v>114</v>
      </c>
      <c r="H232" s="70"/>
      <c r="I232" s="70" t="s">
        <v>115</v>
      </c>
      <c r="J232" s="70" t="s">
        <v>756</v>
      </c>
      <c r="K232" s="80" t="s">
        <v>121</v>
      </c>
    </row>
    <row r="233" spans="2:11" ht="40.5" customHeight="1" x14ac:dyDescent="0.75">
      <c r="C233" s="70" t="s">
        <v>313</v>
      </c>
      <c r="D233" s="70" t="s">
        <v>314</v>
      </c>
      <c r="E233" s="70" t="s">
        <v>114</v>
      </c>
      <c r="F233" s="70" t="s">
        <v>115</v>
      </c>
      <c r="G233" s="70" t="s">
        <v>114</v>
      </c>
      <c r="H233" s="70"/>
      <c r="I233" s="70" t="s">
        <v>115</v>
      </c>
      <c r="J233" s="70"/>
      <c r="K233" s="80" t="s">
        <v>121</v>
      </c>
    </row>
    <row r="234" spans="2:11" ht="40.5" customHeight="1" x14ac:dyDescent="0.75">
      <c r="C234" s="70" t="s">
        <v>839</v>
      </c>
      <c r="D234" s="70" t="s">
        <v>840</v>
      </c>
      <c r="E234" s="70" t="s">
        <v>114</v>
      </c>
      <c r="F234" s="70" t="s">
        <v>115</v>
      </c>
      <c r="G234" s="70" t="s">
        <v>114</v>
      </c>
      <c r="H234" s="70"/>
      <c r="I234" s="70" t="s">
        <v>115</v>
      </c>
      <c r="J234" s="70" t="s">
        <v>841</v>
      </c>
      <c r="K234" s="80" t="s">
        <v>121</v>
      </c>
    </row>
    <row r="235" spans="2:11" ht="40.5" customHeight="1" x14ac:dyDescent="0.75">
      <c r="C235" s="73" t="s">
        <v>842</v>
      </c>
      <c r="D235" s="73" t="s">
        <v>843</v>
      </c>
      <c r="E235" s="73" t="s">
        <v>255</v>
      </c>
      <c r="F235" s="73"/>
      <c r="G235" s="70" t="s">
        <v>118</v>
      </c>
      <c r="H235" s="70"/>
      <c r="I235" s="73" t="s">
        <v>123</v>
      </c>
      <c r="J235" s="70" t="s">
        <v>844</v>
      </c>
      <c r="K235" s="71" t="s">
        <v>121</v>
      </c>
    </row>
    <row r="236" spans="2:11" ht="40.5" customHeight="1" x14ac:dyDescent="0.75">
      <c r="C236" s="73" t="s">
        <v>845</v>
      </c>
      <c r="D236" s="73" t="s">
        <v>846</v>
      </c>
      <c r="E236" s="73" t="s">
        <v>4</v>
      </c>
      <c r="F236" s="73"/>
      <c r="G236" s="70" t="s">
        <v>4</v>
      </c>
      <c r="H236" s="70" t="s">
        <v>140</v>
      </c>
      <c r="I236" s="73" t="s">
        <v>123</v>
      </c>
      <c r="J236" s="70" t="s">
        <v>847</v>
      </c>
      <c r="K236" s="71" t="s">
        <v>121</v>
      </c>
    </row>
    <row r="237" spans="2:11" ht="40.5" customHeight="1" x14ac:dyDescent="0.75">
      <c r="C237" s="73" t="s">
        <v>848</v>
      </c>
      <c r="D237" s="73" t="s">
        <v>849</v>
      </c>
      <c r="E237" s="73" t="s">
        <v>255</v>
      </c>
      <c r="F237" s="73"/>
      <c r="G237" s="70" t="s">
        <v>118</v>
      </c>
      <c r="H237" s="70"/>
      <c r="I237" s="73" t="s">
        <v>123</v>
      </c>
      <c r="J237" s="70" t="s">
        <v>850</v>
      </c>
      <c r="K237" s="71" t="s">
        <v>121</v>
      </c>
    </row>
    <row r="238" spans="2:11" ht="40.5" customHeight="1" x14ac:dyDescent="0.75">
      <c r="C238" s="86" t="s">
        <v>100</v>
      </c>
      <c r="D238" s="87"/>
      <c r="E238" s="87"/>
      <c r="F238" s="87"/>
      <c r="G238" s="88"/>
      <c r="H238" s="88"/>
      <c r="I238" s="89"/>
      <c r="J238" s="67"/>
      <c r="K238" s="87"/>
    </row>
    <row r="239" spans="2:11" ht="40.5" customHeight="1" x14ac:dyDescent="0.75">
      <c r="C239" s="70" t="s">
        <v>160</v>
      </c>
      <c r="D239" s="70" t="s">
        <v>161</v>
      </c>
      <c r="E239" s="70" t="s">
        <v>114</v>
      </c>
      <c r="F239" s="70" t="s">
        <v>115</v>
      </c>
      <c r="G239" s="70" t="s">
        <v>114</v>
      </c>
      <c r="H239" s="70"/>
      <c r="I239" s="70" t="s">
        <v>115</v>
      </c>
      <c r="J239" s="70" t="s">
        <v>737</v>
      </c>
      <c r="K239" s="80" t="s">
        <v>121</v>
      </c>
    </row>
    <row r="240" spans="2:11" ht="40.5" customHeight="1" x14ac:dyDescent="0.75">
      <c r="C240" s="70" t="s">
        <v>851</v>
      </c>
      <c r="D240" s="70" t="s">
        <v>852</v>
      </c>
      <c r="E240" s="70" t="s">
        <v>114</v>
      </c>
      <c r="F240" s="70" t="s">
        <v>115</v>
      </c>
      <c r="G240" s="70" t="s">
        <v>114</v>
      </c>
      <c r="H240" s="70"/>
      <c r="I240" s="70" t="s">
        <v>115</v>
      </c>
      <c r="J240" s="70" t="s">
        <v>853</v>
      </c>
      <c r="K240" s="80" t="s">
        <v>115</v>
      </c>
    </row>
    <row r="241" spans="3:11" ht="40.5" customHeight="1" x14ac:dyDescent="0.75">
      <c r="C241" s="73" t="s">
        <v>741</v>
      </c>
      <c r="D241" s="73" t="s">
        <v>24</v>
      </c>
      <c r="E241" s="95" t="s">
        <v>131</v>
      </c>
      <c r="F241" s="95"/>
      <c r="G241" s="70" t="s">
        <v>114</v>
      </c>
      <c r="H241" s="70" t="s">
        <v>854</v>
      </c>
      <c r="I241" s="73" t="s">
        <v>119</v>
      </c>
      <c r="J241" s="70" t="s">
        <v>855</v>
      </c>
      <c r="K241" s="71" t="s">
        <v>115</v>
      </c>
    </row>
    <row r="242" spans="3:11" ht="40.5" customHeight="1" x14ac:dyDescent="0.75">
      <c r="C242" s="73" t="s">
        <v>744</v>
      </c>
      <c r="D242" s="73" t="s">
        <v>745</v>
      </c>
      <c r="E242" s="73" t="s">
        <v>4</v>
      </c>
      <c r="F242" s="73"/>
      <c r="G242" s="70" t="s">
        <v>4</v>
      </c>
      <c r="H242" s="70" t="s">
        <v>140</v>
      </c>
      <c r="I242" s="73" t="s">
        <v>119</v>
      </c>
      <c r="J242" s="70" t="s">
        <v>856</v>
      </c>
      <c r="K242" s="71" t="s">
        <v>115</v>
      </c>
    </row>
    <row r="243" spans="3:11" ht="40.5" customHeight="1" x14ac:dyDescent="0.75">
      <c r="C243" s="95" t="s">
        <v>747</v>
      </c>
      <c r="D243" s="95" t="s">
        <v>748</v>
      </c>
      <c r="E243" s="95" t="s">
        <v>131</v>
      </c>
      <c r="F243" s="95"/>
      <c r="G243" s="70" t="s">
        <v>114</v>
      </c>
      <c r="H243" s="70" t="s">
        <v>857</v>
      </c>
      <c r="I243" s="73" t="s">
        <v>119</v>
      </c>
      <c r="J243" s="70" t="s">
        <v>858</v>
      </c>
      <c r="K243" s="71" t="s">
        <v>115</v>
      </c>
    </row>
    <row r="244" spans="3:11" ht="40.5" customHeight="1" x14ac:dyDescent="0.75">
      <c r="C244" s="73" t="s">
        <v>752</v>
      </c>
      <c r="D244" s="73" t="s">
        <v>753</v>
      </c>
      <c r="E244" s="73" t="s">
        <v>113</v>
      </c>
      <c r="F244" s="73"/>
      <c r="G244" s="70" t="s">
        <v>118</v>
      </c>
      <c r="H244" s="70"/>
      <c r="I244" s="70" t="s">
        <v>754</v>
      </c>
      <c r="J244" s="70" t="s">
        <v>859</v>
      </c>
      <c r="K244" s="71" t="s">
        <v>115</v>
      </c>
    </row>
    <row r="245" spans="3:11" ht="40.5" customHeight="1" x14ac:dyDescent="0.75">
      <c r="C245" s="95" t="s">
        <v>860</v>
      </c>
      <c r="D245" s="95" t="s">
        <v>861</v>
      </c>
      <c r="E245" s="95" t="s">
        <v>131</v>
      </c>
      <c r="F245" s="95"/>
      <c r="G245" s="70" t="s">
        <v>114</v>
      </c>
      <c r="H245" s="70" t="s">
        <v>862</v>
      </c>
      <c r="I245" s="73" t="s">
        <v>119</v>
      </c>
      <c r="J245" s="70" t="s">
        <v>863</v>
      </c>
      <c r="K245" s="71" t="s">
        <v>115</v>
      </c>
    </row>
    <row r="246" spans="3:11" ht="40.5" customHeight="1" x14ac:dyDescent="0.75">
      <c r="C246" s="73" t="s">
        <v>864</v>
      </c>
      <c r="D246" s="73" t="s">
        <v>865</v>
      </c>
      <c r="E246" s="73" t="s">
        <v>113</v>
      </c>
      <c r="F246" s="73"/>
      <c r="G246" s="70" t="s">
        <v>118</v>
      </c>
      <c r="H246" s="70"/>
      <c r="I246" s="73" t="s">
        <v>359</v>
      </c>
      <c r="J246" s="70" t="s">
        <v>866</v>
      </c>
      <c r="K246" s="71" t="s">
        <v>359</v>
      </c>
    </row>
    <row r="247" spans="3:11" ht="40.5" customHeight="1" x14ac:dyDescent="0.75">
      <c r="C247" s="73" t="s">
        <v>270</v>
      </c>
      <c r="D247" s="73" t="s">
        <v>271</v>
      </c>
      <c r="E247" s="73" t="s">
        <v>113</v>
      </c>
      <c r="F247" s="73"/>
      <c r="G247" s="70" t="s">
        <v>118</v>
      </c>
      <c r="H247" s="70"/>
      <c r="I247" s="70" t="s">
        <v>867</v>
      </c>
      <c r="J247" s="70" t="s">
        <v>868</v>
      </c>
      <c r="K247" s="71" t="s">
        <v>115</v>
      </c>
    </row>
    <row r="248" spans="3:11" ht="40.5" customHeight="1" x14ac:dyDescent="0.75">
      <c r="C248" s="73" t="s">
        <v>278</v>
      </c>
      <c r="D248" s="73" t="s">
        <v>279</v>
      </c>
      <c r="E248" s="73" t="s">
        <v>113</v>
      </c>
      <c r="F248" s="73"/>
      <c r="G248" s="70" t="s">
        <v>118</v>
      </c>
      <c r="H248" s="70"/>
      <c r="I248" s="70" t="s">
        <v>867</v>
      </c>
      <c r="J248" s="70" t="s">
        <v>281</v>
      </c>
      <c r="K248" s="71" t="s">
        <v>115</v>
      </c>
    </row>
    <row r="249" spans="3:11" ht="40.5" customHeight="1" x14ac:dyDescent="0.75">
      <c r="C249" s="70" t="s">
        <v>869</v>
      </c>
      <c r="D249" s="70" t="s">
        <v>275</v>
      </c>
      <c r="E249" s="73" t="s">
        <v>113</v>
      </c>
      <c r="F249" s="73"/>
      <c r="G249" s="70" t="s">
        <v>118</v>
      </c>
      <c r="H249" s="70"/>
      <c r="I249" s="70" t="s">
        <v>870</v>
      </c>
      <c r="J249" s="70" t="s">
        <v>871</v>
      </c>
      <c r="K249" s="71" t="s">
        <v>115</v>
      </c>
    </row>
    <row r="250" spans="3:11" ht="40.5" customHeight="1" x14ac:dyDescent="0.75">
      <c r="C250" s="95" t="s">
        <v>282</v>
      </c>
      <c r="D250" s="95" t="s">
        <v>283</v>
      </c>
      <c r="E250" s="95" t="s">
        <v>131</v>
      </c>
      <c r="F250" s="95"/>
      <c r="G250" s="70" t="s">
        <v>114</v>
      </c>
      <c r="H250" s="70" t="s">
        <v>292</v>
      </c>
      <c r="I250" s="73" t="s">
        <v>119</v>
      </c>
      <c r="J250" s="70" t="s">
        <v>872</v>
      </c>
      <c r="K250" s="71" t="s">
        <v>115</v>
      </c>
    </row>
    <row r="251" spans="3:11" ht="40.5" customHeight="1" x14ac:dyDescent="0.75">
      <c r="C251" s="73" t="s">
        <v>285</v>
      </c>
      <c r="D251" s="73" t="s">
        <v>94</v>
      </c>
      <c r="E251" s="73" t="s">
        <v>131</v>
      </c>
      <c r="F251" s="73"/>
      <c r="G251" s="70" t="s">
        <v>114</v>
      </c>
      <c r="H251" s="70" t="s">
        <v>237</v>
      </c>
      <c r="I251" s="73" t="s">
        <v>119</v>
      </c>
      <c r="J251" s="70" t="s">
        <v>873</v>
      </c>
      <c r="K251" s="71" t="s">
        <v>115</v>
      </c>
    </row>
    <row r="252" spans="3:11" ht="40.5" customHeight="1" x14ac:dyDescent="0.75">
      <c r="C252" s="73" t="s">
        <v>874</v>
      </c>
      <c r="D252" s="73" t="s">
        <v>288</v>
      </c>
      <c r="E252" s="73" t="s">
        <v>131</v>
      </c>
      <c r="F252" s="73"/>
      <c r="G252" s="70" t="s">
        <v>114</v>
      </c>
      <c r="H252" s="70" t="s">
        <v>237</v>
      </c>
      <c r="I252" s="73" t="s">
        <v>119</v>
      </c>
      <c r="J252" s="70" t="s">
        <v>875</v>
      </c>
      <c r="K252" s="71" t="s">
        <v>115</v>
      </c>
    </row>
    <row r="253" spans="3:11" ht="40.5" customHeight="1" x14ac:dyDescent="0.75">
      <c r="C253" s="73" t="s">
        <v>290</v>
      </c>
      <c r="D253" s="73" t="s">
        <v>291</v>
      </c>
      <c r="E253" s="73" t="s">
        <v>131</v>
      </c>
      <c r="F253" s="73"/>
      <c r="G253" s="70" t="s">
        <v>114</v>
      </c>
      <c r="H253" s="70" t="s">
        <v>237</v>
      </c>
      <c r="I253" s="73" t="s">
        <v>119</v>
      </c>
      <c r="J253" s="70" t="s">
        <v>293</v>
      </c>
      <c r="K253" s="71" t="s">
        <v>115</v>
      </c>
    </row>
    <row r="254" spans="3:11" ht="40.5" customHeight="1" x14ac:dyDescent="0.75">
      <c r="C254" s="73" t="s">
        <v>876</v>
      </c>
      <c r="D254" s="73" t="s">
        <v>298</v>
      </c>
      <c r="E254" s="73" t="s">
        <v>4</v>
      </c>
      <c r="F254" s="73"/>
      <c r="G254" s="70" t="s">
        <v>4</v>
      </c>
      <c r="H254" s="70" t="s">
        <v>140</v>
      </c>
      <c r="I254" s="73" t="s">
        <v>119</v>
      </c>
      <c r="J254" s="70" t="s">
        <v>877</v>
      </c>
      <c r="K254" s="71" t="s">
        <v>115</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210"/>
  <sheetViews>
    <sheetView tabSelected="1" workbookViewId="0">
      <selection activeCell="E1" sqref="E1:E599"/>
    </sheetView>
  </sheetViews>
  <sheetFormatPr defaultRowHeight="14.75" x14ac:dyDescent="0.75"/>
  <cols>
    <col min="5" max="5" width="96.86328125" customWidth="1"/>
  </cols>
  <sheetData>
    <row r="1" spans="5:5" x14ac:dyDescent="0.75">
      <c r="E1" s="113" t="str">
        <f>'Chemo-3'!D2</f>
        <v>Instance: Chemotherapy</v>
      </c>
    </row>
    <row r="2" spans="5:5" x14ac:dyDescent="0.75">
      <c r="E2" s="113" t="str">
        <f>'Chemo-3'!D3</f>
        <v>InstanceOf: StructureDefinition</v>
      </c>
    </row>
    <row r="3" spans="5:5" x14ac:dyDescent="0.75">
      <c r="E3" s="113" t="str">
        <f>'Chemo-3'!D4</f>
        <v>Description: "Chemotherapy"</v>
      </c>
    </row>
    <row r="4" spans="5:5" x14ac:dyDescent="0.75">
      <c r="E4" s="113" t="str">
        <f>'Chemo-3'!D5</f>
        <v>Title: "Chemotherapy"</v>
      </c>
    </row>
    <row r="5" spans="5:5" x14ac:dyDescent="0.75">
      <c r="E5" s="113" t="str">
        <f>'Chemo-3'!D6</f>
        <v>Usage: #definition</v>
      </c>
    </row>
    <row r="6" spans="5:5" x14ac:dyDescent="0.75">
      <c r="E6" s="113" t="str">
        <f>'Chemo-3'!D8</f>
        <v>* publisher = "PanCareSurPass project"</v>
      </c>
    </row>
    <row r="7" spans="5:5" x14ac:dyDescent="0.75">
      <c r="E7" s="113" t="str">
        <f>'Chemo-3'!D9</f>
        <v>* status = #draft</v>
      </c>
    </row>
    <row r="8" spans="5:5" x14ac:dyDescent="0.75">
      <c r="E8" s="113" t="str">
        <f>'Chemo-3'!D10</f>
        <v>* url = "http://hl7.eu/fhir/ig/pcsp/StructureDefinition/Chemotherapy"</v>
      </c>
    </row>
    <row r="9" spans="5:5" x14ac:dyDescent="0.75">
      <c r="E9" s="113" t="str">
        <f>'Chemo-3'!D11</f>
        <v>* name = "Chemotherapy"</v>
      </c>
    </row>
    <row r="10" spans="5:5" x14ac:dyDescent="0.75">
      <c r="E10" s="113" t="str">
        <f>'Chemo-3'!D12</f>
        <v>* title = "Chemotherapy"</v>
      </c>
    </row>
    <row r="11" spans="5:5" x14ac:dyDescent="0.75">
      <c r="E11" s="113" t="str">
        <f>'Chemo-3'!D13</f>
        <v>* status = #draft</v>
      </c>
    </row>
    <row r="12" spans="5:5" x14ac:dyDescent="0.75">
      <c r="E12" s="113" t="str">
        <f>'Chemo-3'!D14</f>
        <v>* experimental = true</v>
      </c>
    </row>
    <row r="13" spans="5:5" x14ac:dyDescent="0.75">
      <c r="E13" s="113" t="str">
        <f>'Chemo-3'!D15</f>
        <v>* description = "Chemotherapy"</v>
      </c>
    </row>
    <row r="14" spans="5:5" x14ac:dyDescent="0.75">
      <c r="E14" s="113" t="str">
        <f>'Chemo-3'!D16</f>
        <v>* version = "0.0.1"</v>
      </c>
    </row>
    <row r="15" spans="5:5" x14ac:dyDescent="0.75">
      <c r="E15" s="113" t="str">
        <f>'Chemo-3'!D18</f>
        <v>* mapping[0].identity = "fhir"</v>
      </c>
    </row>
    <row r="16" spans="5:5" x14ac:dyDescent="0.75">
      <c r="E16" s="113" t="str">
        <f>'Chemo-3'!D19</f>
        <v>* mapping[0].uri = "hl7.org/fhir/r4"</v>
      </c>
    </row>
    <row r="17" spans="5:5" x14ac:dyDescent="0.75">
      <c r="E17" s="113" t="str">
        <f>'Chemo-3'!D20</f>
        <v>* mapping[0].name = "FHIR"</v>
      </c>
    </row>
    <row r="18" spans="5:5" x14ac:dyDescent="0.75">
      <c r="E18" s="113" t="str">
        <f>'Chemo-3'!D22</f>
        <v>* kind = #logical</v>
      </c>
    </row>
    <row r="19" spans="5:5" x14ac:dyDescent="0.75">
      <c r="E19" s="113" t="str">
        <f>'Chemo-3'!D23</f>
        <v>* abstract = true</v>
      </c>
    </row>
    <row r="20" spans="5:5" x14ac:dyDescent="0.75">
      <c r="E20" s="113" t="str">
        <f>'Chemo-3'!D24</f>
        <v>* type = "Chemotherapy"</v>
      </c>
    </row>
    <row r="21" spans="5:5" x14ac:dyDescent="0.75">
      <c r="E21" s="113" t="str">
        <f>'Chemo-3'!D25</f>
        <v>* baseDefinition = "http://hl7.org/fhir/StructureDefinition/Element"</v>
      </c>
    </row>
    <row r="22" spans="5:5" x14ac:dyDescent="0.75">
      <c r="E22" s="113" t="str">
        <f>'Chemo-3'!D26</f>
        <v>* derivation = #specialization</v>
      </c>
    </row>
    <row r="23" spans="5:5" x14ac:dyDescent="0.75">
      <c r="E23" s="113" t="str">
        <f>'Chemo-3'!D28</f>
        <v>* differential.element[0].id = "Chemotherapy"</v>
      </c>
    </row>
    <row r="24" spans="5:5" x14ac:dyDescent="0.75">
      <c r="E24" s="113" t="str">
        <f>'Chemo-3'!D29</f>
        <v>* differential.element[0].path = "Chemotherapy"</v>
      </c>
    </row>
    <row r="25" spans="5:5" x14ac:dyDescent="0.75">
      <c r="E25" s="113" t="str">
        <f>'Chemo-3'!D30</f>
        <v>* differential.element[0].short = "Chemotherapy"</v>
      </c>
    </row>
    <row r="26" spans="5:5" x14ac:dyDescent="0.75">
      <c r="E26" s="113" t="str">
        <f>'Chemo-3'!D31</f>
        <v>* differential.element[0].definition = "Chemotherapy"</v>
      </c>
    </row>
    <row r="27" spans="5:5" x14ac:dyDescent="0.75">
      <c r="E27" s="113" t="str">
        <f>'Chemo-3'!D32</f>
        <v>* differential.element[0].min = 1</v>
      </c>
    </row>
    <row r="28" spans="5:5" x14ac:dyDescent="0.75">
      <c r="E28" s="113" t="str">
        <f>'Chemo-3'!D33</f>
        <v>* differential.element[0].max = "1"</v>
      </c>
    </row>
    <row r="29" spans="5:5" x14ac:dyDescent="0.75">
      <c r="E29" s="113" t="str">
        <f>'Chemo-3'!D35</f>
        <v>* differential.element[1].id = "Chemotherapy.relatedDiagnosis"</v>
      </c>
    </row>
    <row r="30" spans="5:5" x14ac:dyDescent="0.75">
      <c r="E30" s="113" t="str">
        <f>'Chemo-3'!D36</f>
        <v>* differential.element[1].path = "Chemotherapy.relatedDiagnosis"</v>
      </c>
    </row>
    <row r="31" spans="5:5" x14ac:dyDescent="0.75">
      <c r="E31" s="113" t="str">
        <f>'Chemo-3'!D37</f>
        <v>* differential.element[1].short = "Related Diagnosis"</v>
      </c>
    </row>
    <row r="32" spans="5:5" x14ac:dyDescent="0.75">
      <c r="E32" s="113" t="str">
        <f>'Chemo-3'!D38</f>
        <v>* differential.element[1].definition = "Identifier of the diagnosis for which this chemotherapy is performed"</v>
      </c>
    </row>
    <row r="33" spans="5:5" x14ac:dyDescent="0.75">
      <c r="E33" s="113" t="str">
        <f>'Chemo-3'!D39</f>
        <v>* differential.element[1].min = 1</v>
      </c>
    </row>
    <row r="34" spans="5:5" x14ac:dyDescent="0.75">
      <c r="E34" s="113" t="str">
        <f>'Chemo-3'!D40</f>
        <v>* differential.element[1].max = "1"</v>
      </c>
    </row>
    <row r="35" spans="5:5" x14ac:dyDescent="0.75">
      <c r="E35" s="113" t="str">
        <f>'Chemo-3'!D41</f>
        <v>* differential.element[1].type.code = #Identifier</v>
      </c>
    </row>
    <row r="36" spans="5:5" x14ac:dyDescent="0.75">
      <c r="E36" s="113" t="str">
        <f>'Chemo-3'!D42</f>
        <v>* differential.element[2].id = "Chemotherapy.startDate"</v>
      </c>
    </row>
    <row r="37" spans="5:5" x14ac:dyDescent="0.75">
      <c r="E37" s="113" t="str">
        <f>'Chemo-3'!D43</f>
        <v>* differential.element[2].path = "Chemotherapy.startDate"</v>
      </c>
    </row>
    <row r="38" spans="5:5" x14ac:dyDescent="0.75">
      <c r="E38" s="113" t="str">
        <f>'Chemo-3'!D44</f>
        <v>* differential.element[2].short = "Start date"</v>
      </c>
    </row>
    <row r="39" spans="5:5" x14ac:dyDescent="0.75">
      <c r="E39" s="113" t="str">
        <f>'Chemo-3'!D45</f>
        <v>* differential.element[2].definition = "Please report the date of the first chemotherapy given. If the date is unkown or partially missed insert the year at the best of your knowledge."</v>
      </c>
    </row>
    <row r="40" spans="5:5" x14ac:dyDescent="0.75">
      <c r="E40" s="113" t="str">
        <f>'Chemo-3'!D46</f>
        <v>* differential.element[2].min = 1</v>
      </c>
    </row>
    <row r="41" spans="5:5" x14ac:dyDescent="0.75">
      <c r="E41" s="113" t="str">
        <f>'Chemo-3'!D47</f>
        <v>* differential.element[2].max = "1"</v>
      </c>
    </row>
    <row r="42" spans="5:5" x14ac:dyDescent="0.75">
      <c r="E42" s="113" t="str">
        <f>'Chemo-3'!D48</f>
        <v>* differential.element[2].type.code = #dateTime</v>
      </c>
    </row>
    <row r="43" spans="5:5" x14ac:dyDescent="0.75">
      <c r="E43" s="113" t="str">
        <f>'Chemo-3'!D49</f>
        <v>* differential.element[3].id = "Chemotherapy.endDate"</v>
      </c>
    </row>
    <row r="44" spans="5:5" x14ac:dyDescent="0.75">
      <c r="E44" s="113" t="str">
        <f>'Chemo-3'!D50</f>
        <v>* differential.element[3].path = "Chemotherapy.endDate"</v>
      </c>
    </row>
    <row r="45" spans="5:5" x14ac:dyDescent="0.75">
      <c r="E45" s="113" t="str">
        <f>'Chemo-3'!D51</f>
        <v>* differential.element[3].short = "End date"</v>
      </c>
    </row>
    <row r="46" spans="5:5" x14ac:dyDescent="0.75">
      <c r="E46" s="113" t="str">
        <f>'Chemo-3'!D52</f>
        <v>* differential.element[3].definition = "Please report the date of the last chemotherapy given. If the date is unkown or partially missed insert the year at the best of your knowledge."</v>
      </c>
    </row>
    <row r="47" spans="5:5" x14ac:dyDescent="0.75">
      <c r="E47" s="113" t="str">
        <f>'Chemo-3'!D53</f>
        <v>* differential.element[3].min = 1</v>
      </c>
    </row>
    <row r="48" spans="5:5" x14ac:dyDescent="0.75">
      <c r="E48" s="113" t="str">
        <f>'Chemo-3'!D54</f>
        <v>* differential.element[3].max = "1"</v>
      </c>
    </row>
    <row r="49" spans="5:5" x14ac:dyDescent="0.75">
      <c r="E49" s="113" t="str">
        <f>'Chemo-3'!D55</f>
        <v>* differential.element[3].type.code = #dateTime</v>
      </c>
    </row>
    <row r="50" spans="5:5" x14ac:dyDescent="0.75">
      <c r="E50" s="113" t="str">
        <f>'Chemo-3'!D56</f>
        <v>* differential.element[4].id = "Chemotherapy.istitutionOfTreatment"</v>
      </c>
    </row>
    <row r="51" spans="5:5" x14ac:dyDescent="0.75">
      <c r="E51" s="113" t="str">
        <f>'Chemo-3'!D57</f>
        <v>* differential.element[4].path = "Chemotherapy.istitutionOfTreatment"</v>
      </c>
    </row>
    <row r="52" spans="5:5" x14ac:dyDescent="0.75">
      <c r="E52" s="113" t="str">
        <f>'Chemo-3'!D58</f>
        <v>* differential.element[4].short = "Institution of treatment"</v>
      </c>
    </row>
    <row r="53" spans="5:5" x14ac:dyDescent="0.75">
      <c r="E53" s="113" t="str">
        <f>'Chemo-3'!D59</f>
        <v>* differential.element[4].definition = "Please indicate the institution in which all or most of the chemotherapeutic treatment was given"</v>
      </c>
    </row>
    <row r="54" spans="5:5" x14ac:dyDescent="0.75">
      <c r="E54" s="113" t="str">
        <f>'Chemo-3'!D60</f>
        <v>* differential.element[4].min = 0</v>
      </c>
    </row>
    <row r="55" spans="5:5" x14ac:dyDescent="0.75">
      <c r="E55" s="113" t="str">
        <f>'Chemo-3'!D61</f>
        <v>* differential.element[4].max = "1"</v>
      </c>
    </row>
    <row r="56" spans="5:5" x14ac:dyDescent="0.75">
      <c r="E56" s="113" t="str">
        <f>'Chemo-3'!D62</f>
        <v>* differential.element[4].type.code = #BackboneElement</v>
      </c>
    </row>
    <row r="57" spans="5:5" x14ac:dyDescent="0.75">
      <c r="E57" s="113" t="str">
        <f>'Chemo-3'!D63</f>
        <v>* differential.element[5].id = "Chemotherapy.istitutionOfTreatment.description"</v>
      </c>
    </row>
    <row r="58" spans="5:5" x14ac:dyDescent="0.75">
      <c r="E58" s="113" t="str">
        <f>'Chemo-3'!D64</f>
        <v>* differential.element[5].path = "Chemotherapy.istitutionOfTreatment.description"</v>
      </c>
    </row>
    <row r="59" spans="5:5" x14ac:dyDescent="0.75">
      <c r="E59" s="113" t="str">
        <f>'Chemo-3'!D65</f>
        <v>* differential.element[5].short = "Institution description"</v>
      </c>
    </row>
    <row r="60" spans="5:5" x14ac:dyDescent="0.75">
      <c r="E60" s="113" t="str">
        <f>'Chemo-3'!D66</f>
        <v>* differential.element[5].definition = "Please provide name, city and countryof the institution"</v>
      </c>
    </row>
    <row r="61" spans="5:5" x14ac:dyDescent="0.75">
      <c r="E61" s="113" t="str">
        <f>'Chemo-3'!D67</f>
        <v>* differential.element[5].min = 0</v>
      </c>
    </row>
    <row r="62" spans="5:5" x14ac:dyDescent="0.75">
      <c r="E62" s="113" t="str">
        <f>'Chemo-3'!D68</f>
        <v>* differential.element[5].max = "1"</v>
      </c>
    </row>
    <row r="63" spans="5:5" x14ac:dyDescent="0.75">
      <c r="E63" s="113" t="str">
        <f>'Chemo-3'!D69</f>
        <v>* differential.element[5].type.code = #string</v>
      </c>
    </row>
    <row r="64" spans="5:5" x14ac:dyDescent="0.75">
      <c r="E64" s="113" t="str">
        <f>'Chemo-3'!D70</f>
        <v>* differential.element[6].id = "Chemotherapy.istitutionOfTreatment.name"</v>
      </c>
    </row>
    <row r="65" spans="5:5" x14ac:dyDescent="0.75">
      <c r="E65" s="113" t="str">
        <f>'Chemo-3'!D71</f>
        <v>* differential.element[6].path = "Chemotherapy.istitutionOfTreatment.name"</v>
      </c>
    </row>
    <row r="66" spans="5:5" x14ac:dyDescent="0.75">
      <c r="E66" s="113" t="str">
        <f>'Chemo-3'!D72</f>
        <v>* differential.element[6].short = "Institution name"</v>
      </c>
    </row>
    <row r="67" spans="5:5" x14ac:dyDescent="0.75">
      <c r="E67" s="113" t="str">
        <f>'Chemo-3'!D73</f>
        <v>* differential.element[6].definition = "Institution name"</v>
      </c>
    </row>
    <row r="68" spans="5:5" x14ac:dyDescent="0.75">
      <c r="E68" s="113" t="str">
        <f>'Chemo-3'!D74</f>
        <v>* differential.element[6].min = 0</v>
      </c>
    </row>
    <row r="69" spans="5:5" x14ac:dyDescent="0.75">
      <c r="E69" s="113" t="str">
        <f>'Chemo-3'!D75</f>
        <v>* differential.element[6].max = "1"</v>
      </c>
    </row>
    <row r="70" spans="5:5" x14ac:dyDescent="0.75">
      <c r="E70" s="113" t="str">
        <f>'Chemo-3'!D76</f>
        <v>* differential.element[6].type.code = #string</v>
      </c>
    </row>
    <row r="71" spans="5:5" x14ac:dyDescent="0.75">
      <c r="E71" s="113" t="str">
        <f>'Chemo-3'!D77</f>
        <v>* differential.element[7].id = "Chemotherapy.istitutionOfTreatment.address"</v>
      </c>
    </row>
    <row r="72" spans="5:5" x14ac:dyDescent="0.75">
      <c r="E72" s="113" t="str">
        <f>'Chemo-3'!D78</f>
        <v>* differential.element[7].path = "Chemotherapy.istitutionOfTreatment.address"</v>
      </c>
    </row>
    <row r="73" spans="5:5" x14ac:dyDescent="0.75">
      <c r="E73" s="113" t="str">
        <f>'Chemo-3'!D79</f>
        <v>* differential.element[7].short = "Institution address"</v>
      </c>
    </row>
    <row r="74" spans="5:5" x14ac:dyDescent="0.75">
      <c r="E74" s="113" t="str">
        <f>'Chemo-3'!D80</f>
        <v>* differential.element[7].definition = "Institution address"</v>
      </c>
    </row>
    <row r="75" spans="5:5" x14ac:dyDescent="0.75">
      <c r="E75" s="113" t="str">
        <f>'Chemo-3'!D81</f>
        <v>* differential.element[7].min = 0</v>
      </c>
    </row>
    <row r="76" spans="5:5" x14ac:dyDescent="0.75">
      <c r="E76" s="113" t="str">
        <f>'Chemo-3'!D82</f>
        <v>* differential.element[7].max = "1"</v>
      </c>
    </row>
    <row r="77" spans="5:5" x14ac:dyDescent="0.75">
      <c r="E77" s="113" t="str">
        <f>'Chemo-3'!D83</f>
        <v>* differential.element[7].type.code = #BackboneElement</v>
      </c>
    </row>
    <row r="78" spans="5:5" x14ac:dyDescent="0.75">
      <c r="E78" s="113" t="str">
        <f>'Chemo-3'!D84</f>
        <v>* differential.element[8].id = "Chemotherapy.istitutionOfTreatment.address.name"</v>
      </c>
    </row>
    <row r="79" spans="5:5" x14ac:dyDescent="0.75">
      <c r="E79" s="113" t="str">
        <f>'Chemo-3'!D85</f>
        <v>* differential.element[8].path = "Chemotherapy.istitutionOfTreatment.address.name"</v>
      </c>
    </row>
    <row r="80" spans="5:5" x14ac:dyDescent="0.75">
      <c r="E80" s="113" t="str">
        <f>'Chemo-3'!D86</f>
        <v>* differential.element[8].short = "Institution city"</v>
      </c>
    </row>
    <row r="81" spans="5:5" x14ac:dyDescent="0.75">
      <c r="E81" s="113" t="str">
        <f>'Chemo-3'!D87</f>
        <v>* differential.element[8].definition = "Institution city"</v>
      </c>
    </row>
    <row r="82" spans="5:5" x14ac:dyDescent="0.75">
      <c r="E82" s="113" t="str">
        <f>'Chemo-3'!D88</f>
        <v>* differential.element[8].min = 0</v>
      </c>
    </row>
    <row r="83" spans="5:5" x14ac:dyDescent="0.75">
      <c r="E83" s="113" t="str">
        <f>'Chemo-3'!D89</f>
        <v>* differential.element[8].max = "1"</v>
      </c>
    </row>
    <row r="84" spans="5:5" x14ac:dyDescent="0.75">
      <c r="E84" s="113" t="str">
        <f>'Chemo-3'!D90</f>
        <v>* differential.element[8].type.code = #string</v>
      </c>
    </row>
    <row r="85" spans="5:5" x14ac:dyDescent="0.75">
      <c r="E85" s="113" t="str">
        <f>'Chemo-3'!D91</f>
        <v>* differential.element[9].id = "Chemotherapy.istitutionOfTreatment.address.country"</v>
      </c>
    </row>
    <row r="86" spans="5:5" x14ac:dyDescent="0.75">
      <c r="E86" s="113" t="str">
        <f>'Chemo-3'!D92</f>
        <v>* differential.element[9].path = "Chemotherapy.istitutionOfTreatment.address.country"</v>
      </c>
    </row>
    <row r="87" spans="5:5" x14ac:dyDescent="0.75">
      <c r="E87" s="113" t="str">
        <f>'Chemo-3'!D93</f>
        <v>* differential.element[9].short = "Institution country"</v>
      </c>
    </row>
    <row r="88" spans="5:5" x14ac:dyDescent="0.75">
      <c r="E88" s="113" t="str">
        <f>'Chemo-3'!D94</f>
        <v>* differential.element[9].definition = "Institution country"</v>
      </c>
    </row>
    <row r="89" spans="5:5" x14ac:dyDescent="0.75">
      <c r="E89" s="113" t="str">
        <f>'Chemo-3'!D95</f>
        <v>* differential.element[9].min = 0</v>
      </c>
    </row>
    <row r="90" spans="5:5" x14ac:dyDescent="0.75">
      <c r="E90" s="113" t="str">
        <f>'Chemo-3'!D96</f>
        <v>* differential.element[9].max = "1"</v>
      </c>
    </row>
    <row r="91" spans="5:5" x14ac:dyDescent="0.75">
      <c r="E91" s="113" t="str">
        <f>'Chemo-3'!D97</f>
        <v>* differential.element[9].type.code = #string</v>
      </c>
    </row>
    <row r="92" spans="5:5" x14ac:dyDescent="0.75">
      <c r="E92" s="113" t="str">
        <f>'Chemo-3'!D98</f>
        <v>* differential.element[10].id = "Chemotherapy.productAdministration"</v>
      </c>
    </row>
    <row r="93" spans="5:5" x14ac:dyDescent="0.75">
      <c r="E93" s="113" t="str">
        <f>'Chemo-3'!D99</f>
        <v>* differential.element[10].path = "Chemotherapy.productAdministration"</v>
      </c>
    </row>
    <row r="94" spans="5:5" x14ac:dyDescent="0.75">
      <c r="E94" s="113" t="str">
        <f>'Chemo-3'!D100</f>
        <v>* differential.element[10].short = "Product(s) administartion data"</v>
      </c>
    </row>
    <row r="95" spans="5:5" x14ac:dyDescent="0.75">
      <c r="E95" s="113" t="str">
        <f>'Chemo-3'!D101</f>
        <v>* differential.element[10].definition = "Information about the product(s) administered"</v>
      </c>
    </row>
    <row r="96" spans="5:5" x14ac:dyDescent="0.75">
      <c r="E96" s="113" t="str">
        <f>'Chemo-3'!D102</f>
        <v>* differential.element[10].min = 1</v>
      </c>
    </row>
    <row r="97" spans="5:5" x14ac:dyDescent="0.75">
      <c r="E97" s="113" t="str">
        <f>'Chemo-3'!D103</f>
        <v>* differential.element[10].max = "20"</v>
      </c>
    </row>
    <row r="98" spans="5:5" x14ac:dyDescent="0.75">
      <c r="E98" s="113" t="str">
        <f>'Chemo-3'!D104</f>
        <v>* differential.element[10].type.code = #BackboneElement</v>
      </c>
    </row>
    <row r="99" spans="5:5" x14ac:dyDescent="0.75">
      <c r="E99" s="113" t="str">
        <f>'Chemo-3'!D105</f>
        <v>* differential.element[11].id = "Chemotherapy.productAdministration.agent"</v>
      </c>
    </row>
    <row r="100" spans="5:5" x14ac:dyDescent="0.75">
      <c r="E100" s="113" t="str">
        <f>'Chemo-3'!D106</f>
        <v>* differential.element[11].path = "Chemotherapy.productAdministration.agent"</v>
      </c>
    </row>
    <row r="101" spans="5:5" x14ac:dyDescent="0.75">
      <c r="E101" s="113" t="str">
        <f>'Chemo-3'!D107</f>
        <v>* differential.element[11].short = "Antineoplastic and immunostimulating agents"</v>
      </c>
    </row>
    <row r="102" spans="5:5" x14ac:dyDescent="0.75">
      <c r="E102" s="113" t="str">
        <f>'Chemo-3'!D108</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row>
    <row r="103" spans="5:5" x14ac:dyDescent="0.75">
      <c r="E103" s="113" t="str">
        <f>'Chemo-3'!D109</f>
        <v>* differential.element[11].min = 1</v>
      </c>
    </row>
    <row r="104" spans="5:5" x14ac:dyDescent="0.75">
      <c r="E104" s="113" t="str">
        <f>'Chemo-3'!D110</f>
        <v>* differential.element[11].max = "1"</v>
      </c>
    </row>
    <row r="105" spans="5:5" x14ac:dyDescent="0.75">
      <c r="E105" s="113" t="str">
        <f>'Chemo-3'!D111</f>
        <v>* differential.element[11].type.code = #CodeableConcept</v>
      </c>
    </row>
    <row r="106" spans="5:5" x14ac:dyDescent="0.75">
      <c r="E106" s="113" t="str">
        <f>'Chemo-3'!D112</f>
        <v>* differential.element[12].id = "Chemotherapy.productAdministration.dose"</v>
      </c>
    </row>
    <row r="107" spans="5:5" x14ac:dyDescent="0.75">
      <c r="E107" s="113" t="str">
        <f>'Chemo-3'!D113</f>
        <v>* differential.element[12].path = "Chemotherapy.productAdministration.dose"</v>
      </c>
    </row>
    <row r="108" spans="5:5" x14ac:dyDescent="0.75">
      <c r="E108" s="113" t="str">
        <f>'Chemo-3'!D114</f>
        <v>* differential.element[12].short = "Dose (NOT in PCSP DB)"</v>
      </c>
    </row>
    <row r="109" spans="5:5" x14ac:dyDescent="0.75">
      <c r="E109" s="113" t="str">
        <f>'Chemo-3'!D115</f>
        <v>* differential.element[12].definition = "Dose received of each drug for this administration"</v>
      </c>
    </row>
    <row r="110" spans="5:5" x14ac:dyDescent="0.75">
      <c r="E110" s="113" t="str">
        <f>'Chemo-3'!D116</f>
        <v>* differential.element[12].min = 0</v>
      </c>
    </row>
    <row r="111" spans="5:5" x14ac:dyDescent="0.75">
      <c r="E111" s="113" t="str">
        <f>'Chemo-3'!D117</f>
        <v>* differential.element[12].max = "1"</v>
      </c>
    </row>
    <row r="112" spans="5:5" x14ac:dyDescent="0.75">
      <c r="E112" s="113" t="str">
        <f>'Chemo-3'!D118</f>
        <v>* differential.element[12].type.code = #Quantity</v>
      </c>
    </row>
    <row r="113" spans="5:5" x14ac:dyDescent="0.75">
      <c r="E113" s="113" t="str">
        <f>'Chemo-3'!D119</f>
        <v>* differential.element[13].id = "Chemotherapy.productAdministration.cumulativeDose"</v>
      </c>
    </row>
    <row r="114" spans="5:5" x14ac:dyDescent="0.75">
      <c r="E114" s="113" t="str">
        <f>'Chemo-3'!D120</f>
        <v>* differential.element[13].path = "Chemotherapy.productAdministration.cumulativeDose"</v>
      </c>
    </row>
    <row r="115" spans="5:5" x14ac:dyDescent="0.75">
      <c r="E115" s="113" t="str">
        <f>'Chemo-3'!D121</f>
        <v>* differential.element[13].short = "Cumulative Dose"</v>
      </c>
    </row>
    <row r="116" spans="5:5" x14ac:dyDescent="0.75">
      <c r="E116" s="113" t="str">
        <f>'Chemo-3'!D122</f>
        <v>* differential.element[13].definition = "Report the total cumulative dose received of each drug. "</v>
      </c>
    </row>
    <row r="117" spans="5:5" x14ac:dyDescent="0.75">
      <c r="E117" s="113" t="str">
        <f>'Chemo-3'!D123</f>
        <v>* differential.element[13].min = 0</v>
      </c>
    </row>
    <row r="118" spans="5:5" x14ac:dyDescent="0.75">
      <c r="E118" s="113" t="str">
        <f>'Chemo-3'!D124</f>
        <v>* differential.element[13].max = "1"</v>
      </c>
    </row>
    <row r="119" spans="5:5" x14ac:dyDescent="0.75">
      <c r="E119" s="113" t="str">
        <f>'Chemo-3'!D125</f>
        <v>* differential.element[13].type.code = #BackboneElement</v>
      </c>
    </row>
    <row r="120" spans="5:5" x14ac:dyDescent="0.75">
      <c r="E120" s="113" t="str">
        <f>'Chemo-3'!D126</f>
        <v>* differential.element[14].id = "Chemotherapy.productAdministration.cumulativeDose.notAvailable"</v>
      </c>
    </row>
    <row r="121" spans="5:5" x14ac:dyDescent="0.75">
      <c r="E121" s="113" t="str">
        <f>'Chemo-3'!D127</f>
        <v>* differential.element[14].path = "Chemotherapy.productAdministration.cumulativeDose.notAvailable"</v>
      </c>
    </row>
    <row r="122" spans="5:5" x14ac:dyDescent="0.75">
      <c r="E122" s="113" t="str">
        <f>'Chemo-3'!D128</f>
        <v>* differential.element[14].short = "Not calculated or not known dose"</v>
      </c>
    </row>
    <row r="123" spans="5:5" x14ac:dyDescent="0.75">
      <c r="E123" s="113" t="str">
        <f>'Chemo-3'!D129</f>
        <v>* differential.element[14].definition = "Flag indicating if the dose was not calculated or it was not known"</v>
      </c>
    </row>
    <row r="124" spans="5:5" x14ac:dyDescent="0.75">
      <c r="E124" s="113" t="str">
        <f>'Chemo-3'!D130</f>
        <v>* differential.element[14].min = 0</v>
      </c>
    </row>
    <row r="125" spans="5:5" x14ac:dyDescent="0.75">
      <c r="E125" s="113" t="str">
        <f>'Chemo-3'!D131</f>
        <v>* differential.element[14].max = "1"</v>
      </c>
    </row>
    <row r="126" spans="5:5" x14ac:dyDescent="0.75">
      <c r="E126" s="113" t="str">
        <f>'Chemo-3'!D132</f>
        <v>* differential.element[14].type.code = #CodeableConcept</v>
      </c>
    </row>
    <row r="127" spans="5:5" x14ac:dyDescent="0.75">
      <c r="E127" s="113" t="str">
        <f>'Chemo-3'!D133</f>
        <v>* differential.element[15].id = "Chemotherapy.productAdministration.cumulativeDose.measureType"</v>
      </c>
    </row>
    <row r="128" spans="5:5" x14ac:dyDescent="0.75">
      <c r="E128" s="113" t="str">
        <f>'Chemo-3'!D134</f>
        <v>* differential.element[15].path = "Chemotherapy.productAdministration.cumulativeDose.measureType"</v>
      </c>
    </row>
    <row r="129" spans="5:5" x14ac:dyDescent="0.75">
      <c r="E129" s="113" t="str">
        <f>'Chemo-3'!D135</f>
        <v>* differential.element[15].short = "How the dose was determined (estimation or calculation)"</v>
      </c>
    </row>
    <row r="130" spans="5:5" x14ac:dyDescent="0.75">
      <c r="E130" s="113" t="str">
        <f>'Chemo-3'!D136</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row>
    <row r="131" spans="5:5" x14ac:dyDescent="0.75">
      <c r="E131" s="113" t="str">
        <f>'Chemo-3'!D137</f>
        <v>* differential.element[15].min = 0</v>
      </c>
    </row>
    <row r="132" spans="5:5" x14ac:dyDescent="0.75">
      <c r="E132" s="113" t="str">
        <f>'Chemo-3'!D138</f>
        <v>* differential.element[15].max = "1"</v>
      </c>
    </row>
    <row r="133" spans="5:5" x14ac:dyDescent="0.75">
      <c r="E133" s="113" t="str">
        <f>'Chemo-3'!D139</f>
        <v>* differential.element[15].type.code = #CodeableConcept</v>
      </c>
    </row>
    <row r="134" spans="5:5" x14ac:dyDescent="0.75">
      <c r="E134" s="113" t="str">
        <f>'Chemo-3'!D140</f>
        <v>* differential.element[16].id = "Chemotherapy.productAdministration.cumulativeDose.completionStatus"</v>
      </c>
    </row>
    <row r="135" spans="5:5" x14ac:dyDescent="0.75">
      <c r="E135" s="113" t="str">
        <f>'Chemo-3'!D141</f>
        <v>* differential.element[16].path = "Chemotherapy.productAdministration.cumulativeDose.completionStatus"</v>
      </c>
    </row>
    <row r="136" spans="5:5" x14ac:dyDescent="0.75">
      <c r="E136" s="113" t="str">
        <f>'Chemo-3'!D142</f>
        <v>* differential.element[16].short = "The reported doses are incomplete (either under- or over-estimated)"</v>
      </c>
    </row>
    <row r="137" spans="5:5" x14ac:dyDescent="0.75">
      <c r="E137" s="113" t="str">
        <f>'Chemo-3'!D143</f>
        <v>* differential.element[16].definition = "Check in case of incomplete doses"</v>
      </c>
    </row>
    <row r="138" spans="5:5" x14ac:dyDescent="0.75">
      <c r="E138" s="113" t="str">
        <f>'Chemo-3'!D144</f>
        <v>* differential.element[16].min = 0</v>
      </c>
    </row>
    <row r="139" spans="5:5" x14ac:dyDescent="0.75">
      <c r="E139" s="113" t="str">
        <f>'Chemo-3'!D145</f>
        <v>* differential.element[16].max = "1"</v>
      </c>
    </row>
    <row r="140" spans="5:5" x14ac:dyDescent="0.75">
      <c r="E140" s="113" t="str">
        <f>'Chemo-3'!D146</f>
        <v>* differential.element[16].type.code = #CodeableConcept</v>
      </c>
    </row>
    <row r="141" spans="5:5" x14ac:dyDescent="0.75">
      <c r="E141" s="113" t="str">
        <f>'Chemo-3'!D147</f>
        <v>* differential.element[17].id = "Chemotherapy.productAdministration.cumulativeDose.statusReason"</v>
      </c>
    </row>
    <row r="142" spans="5:5" x14ac:dyDescent="0.75">
      <c r="E142" s="113" t="str">
        <f>'Chemo-3'!D148</f>
        <v>* differential.element[17].path = "Chemotherapy.productAdministration.cumulativeDose.statusReason"</v>
      </c>
    </row>
    <row r="143" spans="5:5" x14ac:dyDescent="0.75">
      <c r="E143" s="113" t="str">
        <f>'Chemo-3'!D149</f>
        <v>* differential.element[17].short = "Specify reasons why"</v>
      </c>
    </row>
    <row r="144" spans="5:5" x14ac:dyDescent="0.75">
      <c r="E144" s="113" t="str">
        <f>'Chemo-3'!D150</f>
        <v>* differential.element[17].definition = "Specify reasons of incomplete estimated doses"</v>
      </c>
    </row>
    <row r="145" spans="5:5" x14ac:dyDescent="0.75">
      <c r="E145" s="113" t="str">
        <f>'Chemo-3'!D151</f>
        <v>* differential.element[17].min = 0</v>
      </c>
    </row>
    <row r="146" spans="5:5" x14ac:dyDescent="0.75">
      <c r="E146" s="113" t="str">
        <f>'Chemo-3'!D152</f>
        <v>* differential.element[17].max = "1"</v>
      </c>
    </row>
    <row r="147" spans="5:5" x14ac:dyDescent="0.75">
      <c r="E147" s="113" t="str">
        <f>'Chemo-3'!D153</f>
        <v>* differential.element[17].type.code = #string</v>
      </c>
    </row>
    <row r="148" spans="5:5" x14ac:dyDescent="0.75">
      <c r="E148" s="113" t="str">
        <f>'Chemo-3'!D154</f>
        <v>* differential.element[18].id = "Chemotherapy.productAdministration.cumulativeDose.value"</v>
      </c>
    </row>
    <row r="149" spans="5:5" x14ac:dyDescent="0.75">
      <c r="E149" s="113" t="str">
        <f>'Chemo-3'!D155</f>
        <v>* differential.element[18].path = "Chemotherapy.productAdministration.cumulativeDose.value"</v>
      </c>
    </row>
    <row r="150" spans="5:5" x14ac:dyDescent="0.75">
      <c r="E150" s="113" t="str">
        <f>'Chemo-3'!D156</f>
        <v>* differential.element[18].short = "Total cumulative dose"</v>
      </c>
    </row>
    <row r="151" spans="5:5" x14ac:dyDescent="0.75">
      <c r="E151" s="113" t="str">
        <f>'Chemo-3'!D157</f>
        <v>* differential.element[18].definition = "Report the total cumulative dose received of each drug."</v>
      </c>
    </row>
    <row r="152" spans="5:5" x14ac:dyDescent="0.75">
      <c r="E152" s="113" t="str">
        <f>'Chemo-3'!D158</f>
        <v>* differential.element[18].min = 0</v>
      </c>
    </row>
    <row r="153" spans="5:5" x14ac:dyDescent="0.75">
      <c r="E153" s="113" t="str">
        <f>'Chemo-3'!D159</f>
        <v>* differential.element[18].max = "1"</v>
      </c>
    </row>
    <row r="154" spans="5:5" x14ac:dyDescent="0.75">
      <c r="E154" s="113" t="str">
        <f>'Chemo-3'!D160</f>
        <v>* differential.element[18].type.code = #decimal</v>
      </c>
    </row>
    <row r="155" spans="5:5" x14ac:dyDescent="0.75">
      <c r="E155" s="113" t="str">
        <f>'Chemo-3'!D161</f>
        <v>* differential.element[19].id = "Chemotherapy.productAdministration.cumulativeDose.unit"</v>
      </c>
    </row>
    <row r="156" spans="5:5" x14ac:dyDescent="0.75">
      <c r="E156" s="113" t="str">
        <f>'Chemo-3'!D162</f>
        <v>* differential.element[19].path = "Chemotherapy.productAdministration.cumulativeDose.unit"</v>
      </c>
    </row>
    <row r="157" spans="5:5" x14ac:dyDescent="0.75">
      <c r="E157" s="113" t="str">
        <f>'Chemo-3'!D163</f>
        <v>* differential.element[19].short = "Measure unit"</v>
      </c>
    </row>
    <row r="158" spans="5:5" x14ac:dyDescent="0.75">
      <c r="E158" s="113" t="str">
        <f>'Chemo-3'!D164</f>
        <v>* differential.element[19].definition = "If the dose was calculated, please report the measure unit of the calculation
1 =&gt; mg/m2
2 =&gt; gr/m2
3 =&gt; UI/m2
4 =&gt; NK
5 =&gt; NC (not calculated)"</v>
      </c>
    </row>
    <row r="159" spans="5:5" x14ac:dyDescent="0.75">
      <c r="E159" s="113" t="str">
        <f>'Chemo-3'!D165</f>
        <v>* differential.element[19].min = 0</v>
      </c>
    </row>
    <row r="160" spans="5:5" x14ac:dyDescent="0.75">
      <c r="E160" s="113" t="str">
        <f>'Chemo-3'!D166</f>
        <v>* differential.element[19].max = "1"</v>
      </c>
    </row>
    <row r="161" spans="5:5" x14ac:dyDescent="0.75">
      <c r="E161" s="113" t="str">
        <f>'Chemo-3'!D167</f>
        <v>* differential.element[19].type.code = #CodeableConcept</v>
      </c>
    </row>
    <row r="162" spans="5:5" x14ac:dyDescent="0.75">
      <c r="E162" s="113" t="str">
        <f>'Chemo-3'!D168</f>
        <v>* differential.element[20].id = "Chemotherapy.corticosteroids"</v>
      </c>
    </row>
    <row r="163" spans="5:5" x14ac:dyDescent="0.75">
      <c r="E163" s="113" t="str">
        <f>'Chemo-3'!D169</f>
        <v>* differential.element[20].path = "Chemotherapy.corticosteroids"</v>
      </c>
    </row>
    <row r="164" spans="5:5" x14ac:dyDescent="0.75">
      <c r="E164" s="113" t="str">
        <f>'Chemo-3'!D170</f>
        <v>* differential.element[20].short = "Prolonged corticosteroids as anti-cancer treatment at least 4 weeks continuously"</v>
      </c>
    </row>
    <row r="165" spans="5:5" x14ac:dyDescent="0.75">
      <c r="E165" s="113" t="str">
        <f>'Chemo-3'!D171</f>
        <v>* differential.element[20].definition = "Report 'yes' if the survivor was treated with steroids for at least 4 weeks continuously
1 =&gt; Yes
2 =&gt; No
-9922 =&gt; NK"</v>
      </c>
    </row>
    <row r="166" spans="5:5" x14ac:dyDescent="0.75">
      <c r="E166" s="113" t="str">
        <f>'Chemo-3'!D172</f>
        <v>* differential.element[20].min = 0</v>
      </c>
    </row>
    <row r="167" spans="5:5" x14ac:dyDescent="0.75">
      <c r="E167" s="113" t="str">
        <f>'Chemo-3'!D173</f>
        <v>* differential.element[20].max = "1"</v>
      </c>
    </row>
    <row r="168" spans="5:5" x14ac:dyDescent="0.75">
      <c r="E168" s="113" t="str">
        <f>'Chemo-3'!D174</f>
        <v>* differential.element[20].type.code = #CodeableConcept</v>
      </c>
    </row>
    <row r="169" spans="5:5" x14ac:dyDescent="0.75">
      <c r="E169" s="113" t="str">
        <f>'Chemo-3'!D175</f>
        <v>* differential.element[21].id = "Chemotherapy.intrathecalInjections"</v>
      </c>
    </row>
    <row r="170" spans="5:5" x14ac:dyDescent="0.75">
      <c r="E170" s="113" t="str">
        <f>'Chemo-3'!D176</f>
        <v>* differential.element[21].path = "Chemotherapy.intrathecalInjections"</v>
      </c>
    </row>
    <row r="171" spans="5:5" x14ac:dyDescent="0.75">
      <c r="E171" s="113" t="str">
        <f>'Chemo-3'!D177</f>
        <v>* differential.element[21].short = "Intrathecal injections"</v>
      </c>
    </row>
    <row r="172" spans="5:5" x14ac:dyDescent="0.75">
      <c r="E172" s="113" t="str">
        <f>'Chemo-3'!D178</f>
        <v>* differential.element[21].definition = "Intrathecal injections"</v>
      </c>
    </row>
    <row r="173" spans="5:5" x14ac:dyDescent="0.75">
      <c r="E173" s="113" t="str">
        <f>'Chemo-3'!D179</f>
        <v>* differential.element[21].min = 0</v>
      </c>
    </row>
    <row r="174" spans="5:5" x14ac:dyDescent="0.75">
      <c r="E174" s="113" t="str">
        <f>'Chemo-3'!D180</f>
        <v>* differential.element[21].max = "1"</v>
      </c>
    </row>
    <row r="175" spans="5:5" x14ac:dyDescent="0.75">
      <c r="E175" s="113" t="str">
        <f>'Chemo-3'!D181</f>
        <v>* differential.element[21].type.code = #BackboneElement</v>
      </c>
    </row>
    <row r="176" spans="5:5" x14ac:dyDescent="0.75">
      <c r="E176" s="113" t="str">
        <f>'Chemo-3'!D182</f>
        <v>* differential.element[22].id = "Chemotherapy.intrathecalInjections.status"</v>
      </c>
    </row>
    <row r="177" spans="5:5" x14ac:dyDescent="0.75">
      <c r="E177" s="113" t="str">
        <f>'Chemo-3'!D183</f>
        <v>* differential.element[22].path = "Chemotherapy.intrathecalInjections.status"</v>
      </c>
    </row>
    <row r="178" spans="5:5" x14ac:dyDescent="0.75">
      <c r="E178" s="113" t="str">
        <f>'Chemo-3'!D184</f>
        <v>* differential.element[22].short = "Did the survivor receive therapeutic intrathecal injections ?"</v>
      </c>
    </row>
    <row r="179" spans="5:5" x14ac:dyDescent="0.75">
      <c r="E179" s="113" t="str">
        <f>'Chemo-3'!D185</f>
        <v>* differential.element[22].definition = "Please state if the survivor received any therapeutic intrathecal injections
1 =&gt; Yes
2 =&gt; No
-9922 =&gt; NK"</v>
      </c>
    </row>
    <row r="180" spans="5:5" x14ac:dyDescent="0.75">
      <c r="E180" s="113" t="str">
        <f>'Chemo-3'!D186</f>
        <v>* differential.element[22].min = 0</v>
      </c>
    </row>
    <row r="181" spans="5:5" x14ac:dyDescent="0.75">
      <c r="E181" s="113" t="str">
        <f>'Chemo-3'!D187</f>
        <v>* differential.element[22].max = "1"</v>
      </c>
    </row>
    <row r="182" spans="5:5" x14ac:dyDescent="0.75">
      <c r="E182" s="113" t="str">
        <f>'Chemo-3'!D188</f>
        <v>* differential.element[22].type.code = #CodeableConcept</v>
      </c>
    </row>
    <row r="183" spans="5:5" x14ac:dyDescent="0.75">
      <c r="E183" s="113" t="str">
        <f>'Chemo-3'!D189</f>
        <v>* differential.element[23].id = "Chemotherapy.intrathecalInjections.number"</v>
      </c>
    </row>
    <row r="184" spans="5:5" x14ac:dyDescent="0.75">
      <c r="E184" s="113" t="str">
        <f>'Chemo-3'!D190</f>
        <v>* differential.element[23].path = "Chemotherapy.intrathecalInjections.number"</v>
      </c>
    </row>
    <row r="185" spans="5:5" x14ac:dyDescent="0.75">
      <c r="E185" s="113" t="str">
        <f>'Chemo-3'!D191</f>
        <v>* differential.element[23].short = "Total number"</v>
      </c>
    </row>
    <row r="186" spans="5:5" x14ac:dyDescent="0.75">
      <c r="E186" s="113" t="str">
        <f>'Chemo-3'!D192</f>
        <v>* differential.element[23].definition = "Report the total number of injections"</v>
      </c>
    </row>
    <row r="187" spans="5:5" x14ac:dyDescent="0.75">
      <c r="E187" s="113" t="str">
        <f>'Chemo-3'!D193</f>
        <v>* differential.element[23].min = 0</v>
      </c>
    </row>
    <row r="188" spans="5:5" x14ac:dyDescent="0.75">
      <c r="E188" s="113" t="str">
        <f>'Chemo-3'!D194</f>
        <v>* differential.element[23].max = "1"</v>
      </c>
    </row>
    <row r="189" spans="5:5" x14ac:dyDescent="0.75">
      <c r="E189" s="113" t="str">
        <f>'Chemo-3'!D195</f>
        <v>* differential.element[23].type.code = #integer</v>
      </c>
    </row>
    <row r="190" spans="5:5" x14ac:dyDescent="0.75">
      <c r="E190" s="113" t="str">
        <f>'Chemo-3'!D196</f>
        <v>* differential.element[24].id = "Chemotherapy.intrathecalInjections.productName"</v>
      </c>
    </row>
    <row r="191" spans="5:5" x14ac:dyDescent="0.75">
      <c r="E191" s="113" t="str">
        <f>'Chemo-3'!D197</f>
        <v>* differential.element[24].path = "Chemotherapy.intrathecalInjections.productName"</v>
      </c>
    </row>
    <row r="192" spans="5:5" x14ac:dyDescent="0.75">
      <c r="E192" s="113" t="str">
        <f>'Chemo-3'!D198</f>
        <v>* differential.element[24].short = "Drug(s) administered"</v>
      </c>
    </row>
    <row r="193" spans="5:5" x14ac:dyDescent="0.75">
      <c r="E193" s="113" t="str">
        <f>'Chemo-3'!D199</f>
        <v>* differential.element[24].definition = "Please report the names of drugs injected intrathecal"</v>
      </c>
    </row>
    <row r="194" spans="5:5" x14ac:dyDescent="0.75">
      <c r="E194" s="113" t="str">
        <f>'Chemo-3'!D200</f>
        <v>* differential.element[24].min = 0</v>
      </c>
    </row>
    <row r="195" spans="5:5" x14ac:dyDescent="0.75">
      <c r="E195" s="113" t="str">
        <f>'Chemo-3'!D201</f>
        <v>* differential.element[24].max = "*"</v>
      </c>
    </row>
    <row r="196" spans="5:5" x14ac:dyDescent="0.75">
      <c r="E196" s="113" t="str">
        <f>'Chemo-3'!D202</f>
        <v>* differential.element[24].type.code = #string</v>
      </c>
    </row>
    <row r="197" spans="5:5" x14ac:dyDescent="0.75">
      <c r="E197" s="113" t="str">
        <f>'Chemo-3'!D203</f>
        <v>* differential.element[25].id = "Chemotherapy.otherTreatments"</v>
      </c>
    </row>
    <row r="198" spans="5:5" x14ac:dyDescent="0.75">
      <c r="E198" s="113" t="str">
        <f>'Chemo-3'!D204</f>
        <v>* differential.element[25].path = "Chemotherapy.otherTreatments"</v>
      </c>
    </row>
    <row r="199" spans="5:5" x14ac:dyDescent="0.75">
      <c r="E199" s="113" t="str">
        <f>'Chemo-3'!D205</f>
        <v>* differential.element[25].short = "Other chemothrapeutic treatments"</v>
      </c>
    </row>
    <row r="200" spans="5:5" x14ac:dyDescent="0.75">
      <c r="E200" s="113" t="str">
        <f>'Chemo-3'!D206</f>
        <v>* differential.element[25].definition = "Report any other chemothrapeutic treatments that are not included in the ATC code"</v>
      </c>
    </row>
    <row r="201" spans="5:5" x14ac:dyDescent="0.75">
      <c r="E201" s="113" t="str">
        <f>'Chemo-3'!D207</f>
        <v>* differential.element[25].min = 0</v>
      </c>
    </row>
    <row r="202" spans="5:5" x14ac:dyDescent="0.75">
      <c r="E202" s="113" t="str">
        <f>'Chemo-3'!D208</f>
        <v>* differential.element[25].max = "1"</v>
      </c>
    </row>
    <row r="203" spans="5:5" x14ac:dyDescent="0.75">
      <c r="E203" s="113" t="str">
        <f>'Chemo-3'!D209</f>
        <v>* differential.element[25].type.code = #BackboneElement</v>
      </c>
    </row>
    <row r="204" spans="5:5" x14ac:dyDescent="0.75">
      <c r="E204" s="113" t="str">
        <f>'Chemo-3'!D210</f>
        <v>* differential.element[26].id = "Chemotherapy.otherTreatments.productName"</v>
      </c>
    </row>
    <row r="205" spans="5:5" x14ac:dyDescent="0.75">
      <c r="E205" s="113" t="str">
        <f>'Chemo-3'!D211</f>
        <v>* differential.element[26].path = "Chemotherapy.otherTreatments.productName"</v>
      </c>
    </row>
    <row r="206" spans="5:5" x14ac:dyDescent="0.75">
      <c r="E206" s="113" t="str">
        <f>'Chemo-3'!D212</f>
        <v>* differential.element[26].short = "Drugs name"</v>
      </c>
    </row>
    <row r="207" spans="5:5" x14ac:dyDescent="0.75">
      <c r="E207" s="113" t="str">
        <f>'Chemo-3'!D213</f>
        <v>* differential.element[26].definition = "If yes, describe treatments"</v>
      </c>
    </row>
    <row r="208" spans="5:5" x14ac:dyDescent="0.75">
      <c r="E208" s="113" t="str">
        <f>'Chemo-3'!D214</f>
        <v>* differential.element[26].min = 1</v>
      </c>
    </row>
    <row r="209" spans="5:5" x14ac:dyDescent="0.75">
      <c r="E209" s="113" t="str">
        <f>'Chemo-3'!D215</f>
        <v>* differential.element[26].max = "*"</v>
      </c>
    </row>
    <row r="210" spans="5:5" x14ac:dyDescent="0.75">
      <c r="E210" s="113" t="str">
        <f>'Chemo-3'!D216</f>
        <v>* differential.element[26].type.code = #string</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158750</xdr:colOff>
                    <xdr:row>0</xdr:row>
                    <xdr:rowOff>0</xdr:rowOff>
                  </from>
                  <to>
                    <xdr:col>1</xdr:col>
                    <xdr:colOff>222250</xdr:colOff>
                    <xdr:row>1</xdr:row>
                    <xdr:rowOff>101600</xdr:rowOff>
                  </to>
                </anchor>
              </controlPr>
            </control>
          </mc:Choice>
        </mc:AlternateContent>
        <mc:AlternateContent xmlns:mc="http://schemas.openxmlformats.org/markup-compatibility/2006">
          <mc:Choice Requires="x14">
            <control shapeId="6152" r:id="rId5" name="Button 8">
              <controlPr defaultSize="0" print="0" autoFill="0" autoPict="0" macro="[0]!common.salvaSubject">
                <anchor moveWithCells="1">
                  <from>
                    <xdr:col>1</xdr:col>
                    <xdr:colOff>273050</xdr:colOff>
                    <xdr:row>0</xdr:row>
                    <xdr:rowOff>0</xdr:rowOff>
                  </from>
                  <to>
                    <xdr:col>2</xdr:col>
                    <xdr:colOff>336550</xdr:colOff>
                    <xdr:row>1</xdr:row>
                    <xdr:rowOff>101600</xdr:rowOff>
                  </to>
                </anchor>
              </controlPr>
            </control>
          </mc:Choice>
        </mc:AlternateContent>
        <mc:AlternateContent xmlns:mc="http://schemas.openxmlformats.org/markup-compatibility/2006">
          <mc:Choice Requires="x14">
            <control shapeId="6153" r:id="rId6" name="Button 9">
              <controlPr defaultSize="0" print="0" autoFill="0" autoPict="0" macro="[0]!salvaSubjectMap">
                <anchor moveWithCells="1">
                  <from>
                    <xdr:col>11</xdr:col>
                    <xdr:colOff>511175</xdr:colOff>
                    <xdr:row>0</xdr:row>
                    <xdr:rowOff>0</xdr:rowOff>
                  </from>
                  <to>
                    <xdr:col>13</xdr:col>
                    <xdr:colOff>361950</xdr:colOff>
                    <xdr:row>1</xdr:row>
                    <xdr:rowOff>101600</xdr:rowOff>
                  </to>
                </anchor>
              </controlPr>
            </control>
          </mc:Choice>
        </mc:AlternateContent>
        <mc:AlternateContent xmlns:mc="http://schemas.openxmlformats.org/markup-compatibility/2006">
          <mc:Choice Requires="x14">
            <control shapeId="6154" r:id="rId7" name="Button 10">
              <controlPr defaultSize="0" print="0" autoFill="0" autoPict="0" macro="[0]!salvaChemo">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387350</xdr:colOff>
                    <xdr:row>1</xdr:row>
                    <xdr:rowOff>101600</xdr:rowOff>
                  </to>
                </anchor>
              </controlPr>
            </control>
          </mc:Choice>
        </mc:AlternateContent>
        <mc:AlternateContent xmlns:mc="http://schemas.openxmlformats.org/markup-compatibility/2006">
          <mc:Choice Requires="x14">
            <control shapeId="6157" r:id="rId9" name="Button 13">
              <controlPr defaultSize="0" print="0" autoFill="0" autoPict="0" macro="[0]!salvaDia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DiagnosisMap">
                <anchor moveWithCells="1">
                  <from>
                    <xdr:col>6</xdr:col>
                    <xdr:colOff>355600</xdr:colOff>
                    <xdr:row>0</xdr:row>
                    <xdr:rowOff>0</xdr:rowOff>
                  </from>
                  <to>
                    <xdr:col>8</xdr:col>
                    <xdr:colOff>209550</xdr:colOff>
                    <xdr:row>1</xdr:row>
                    <xdr:rowOff>101600</xdr:rowOff>
                  </to>
                </anchor>
              </controlPr>
            </control>
          </mc:Choice>
        </mc:AlternateContent>
        <mc:AlternateContent xmlns:mc="http://schemas.openxmlformats.org/markup-compatibility/2006">
          <mc:Choice Requires="x14">
            <control shapeId="6161" r:id="rId11" name="Button 17">
              <controlPr defaultSize="0" print="0" autoFill="0" autoPict="0" macro="[0]!salvaRadio">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ChemoMap">
                <anchor moveWithCells="1">
                  <from>
                    <xdr:col>14</xdr:col>
                    <xdr:colOff>511175</xdr:colOff>
                    <xdr:row>0</xdr:row>
                    <xdr:rowOff>0</xdr:rowOff>
                  </from>
                  <to>
                    <xdr:col>16</xdr:col>
                    <xdr:colOff>361950</xdr:colOff>
                    <xdr:row>1</xdr:row>
                    <xdr:rowOff>101600</xdr:rowOff>
                  </to>
                </anchor>
              </controlPr>
            </control>
          </mc:Choice>
        </mc:AlternateContent>
        <mc:AlternateContent xmlns:mc="http://schemas.openxmlformats.org/markup-compatibility/2006">
          <mc:Choice Requires="x14">
            <control shapeId="6164" r:id="rId13" name="Button 20">
              <controlPr defaultSize="0" print="0" autoFill="0" autoPict="0" macro="[0]!salvaRadioMap">
                <anchor moveWithCells="1">
                  <from>
                    <xdr:col>17</xdr:col>
                    <xdr:colOff>511175</xdr:colOff>
                    <xdr:row>0</xdr:row>
                    <xdr:rowOff>0</xdr:rowOff>
                  </from>
                  <to>
                    <xdr:col>19</xdr:col>
                    <xdr:colOff>361950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6"/>
  <sheetViews>
    <sheetView workbookViewId="0">
      <selection activeCell="F38" sqref="F38"/>
    </sheetView>
  </sheetViews>
  <sheetFormatPr defaultRowHeight="14.75" x14ac:dyDescent="0.75"/>
  <cols>
    <col min="2" max="2" width="47.7265625" style="114" customWidth="1"/>
    <col min="3" max="3" width="44.6328125" customWidth="1"/>
    <col min="4" max="4" width="71.58984375" style="41"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20" t="s">
        <v>34</v>
      </c>
      <c r="C1" s="56" t="s">
        <v>33</v>
      </c>
      <c r="D1" s="57" t="s">
        <v>6</v>
      </c>
      <c r="E1" s="26"/>
      <c r="F1" s="26"/>
      <c r="G1" s="26"/>
    </row>
    <row r="2" spans="1:9" x14ac:dyDescent="0.75">
      <c r="B2" s="121" t="s">
        <v>69</v>
      </c>
      <c r="C2" s="17" t="s">
        <v>925</v>
      </c>
      <c r="D2" s="17" t="s">
        <v>923</v>
      </c>
      <c r="E2" s="26"/>
      <c r="F2" s="26"/>
      <c r="G2" s="26"/>
    </row>
    <row r="3" spans="1:9" x14ac:dyDescent="0.75">
      <c r="B3" s="122" t="s">
        <v>35</v>
      </c>
      <c r="C3" s="111" t="s">
        <v>46</v>
      </c>
      <c r="D3" s="59"/>
      <c r="E3" s="26"/>
      <c r="F3" s="26"/>
      <c r="G3" s="26"/>
    </row>
    <row r="4" spans="1:9" ht="15.5" thickBot="1" x14ac:dyDescent="0.9">
      <c r="B4" s="123" t="s">
        <v>70</v>
      </c>
      <c r="C4" s="17" t="s">
        <v>924</v>
      </c>
      <c r="D4" s="60"/>
      <c r="E4" s="26"/>
      <c r="F4" s="26"/>
      <c r="G4" s="26"/>
    </row>
    <row r="5" spans="1:9" x14ac:dyDescent="0.75">
      <c r="C5" s="3" t="s">
        <v>7</v>
      </c>
      <c r="D5" s="4" t="s">
        <v>8</v>
      </c>
      <c r="E5" s="12" t="s">
        <v>17</v>
      </c>
      <c r="F5" s="12" t="s">
        <v>18</v>
      </c>
      <c r="G5" s="12" t="s">
        <v>19</v>
      </c>
    </row>
    <row r="6" spans="1:9" x14ac:dyDescent="0.75">
      <c r="A6">
        <v>0</v>
      </c>
      <c r="B6" s="17" t="s">
        <v>924</v>
      </c>
      <c r="C6" s="25" t="s">
        <v>925</v>
      </c>
      <c r="D6" s="25" t="s">
        <v>926</v>
      </c>
      <c r="E6" s="35">
        <v>1</v>
      </c>
      <c r="F6" s="35">
        <v>1</v>
      </c>
      <c r="G6" s="35" t="s">
        <v>21</v>
      </c>
      <c r="I6" s="26"/>
    </row>
    <row r="7" spans="1:9" x14ac:dyDescent="0.75">
      <c r="A7" s="113">
        <v>1</v>
      </c>
      <c r="B7" s="116" t="s">
        <v>43</v>
      </c>
      <c r="C7" s="115" t="s">
        <v>22</v>
      </c>
      <c r="D7" s="115" t="s">
        <v>22</v>
      </c>
      <c r="E7" s="115">
        <v>1</v>
      </c>
      <c r="F7" s="115">
        <v>1</v>
      </c>
      <c r="G7" s="115" t="s">
        <v>89</v>
      </c>
    </row>
    <row r="8" spans="1:9" x14ac:dyDescent="0.75">
      <c r="A8" s="113">
        <v>2</v>
      </c>
      <c r="B8" s="116" t="s">
        <v>90</v>
      </c>
      <c r="C8" s="115" t="s">
        <v>91</v>
      </c>
      <c r="D8" s="115" t="s">
        <v>91</v>
      </c>
      <c r="E8" s="115">
        <v>0</v>
      </c>
      <c r="F8" s="115">
        <v>5</v>
      </c>
      <c r="G8" s="115" t="s">
        <v>5</v>
      </c>
    </row>
    <row r="9" spans="1:9" s="113" customFormat="1" x14ac:dyDescent="0.75">
      <c r="A9" s="113">
        <v>3</v>
      </c>
      <c r="B9" s="116" t="s">
        <v>1080</v>
      </c>
      <c r="C9" s="115" t="s">
        <v>1081</v>
      </c>
      <c r="D9" s="115" t="s">
        <v>1081</v>
      </c>
      <c r="E9" s="115">
        <v>0</v>
      </c>
      <c r="F9" s="115">
        <v>1</v>
      </c>
      <c r="G9" s="130" t="s">
        <v>1082</v>
      </c>
    </row>
    <row r="10" spans="1:9" x14ac:dyDescent="0.75">
      <c r="A10" s="113">
        <v>4</v>
      </c>
      <c r="B10" s="116" t="s">
        <v>890</v>
      </c>
      <c r="C10" s="115" t="s">
        <v>92</v>
      </c>
      <c r="D10" s="115" t="s">
        <v>92</v>
      </c>
      <c r="E10" s="115">
        <v>0</v>
      </c>
      <c r="F10" s="115" t="s">
        <v>20</v>
      </c>
      <c r="G10" s="115" t="s">
        <v>5</v>
      </c>
      <c r="H10" s="2"/>
      <c r="I10" s="26"/>
    </row>
    <row r="11" spans="1:9" s="26" customFormat="1" x14ac:dyDescent="0.75">
      <c r="A11" s="113">
        <v>5</v>
      </c>
      <c r="B11" s="116" t="s">
        <v>901</v>
      </c>
      <c r="C11" s="117" t="s">
        <v>902</v>
      </c>
      <c r="D11" s="117" t="s">
        <v>902</v>
      </c>
      <c r="E11" s="115">
        <v>0</v>
      </c>
      <c r="F11" s="115">
        <v>1</v>
      </c>
      <c r="G11" s="115" t="s">
        <v>5</v>
      </c>
      <c r="H11" s="22"/>
    </row>
    <row r="12" spans="1:9" s="113" customFormat="1" x14ac:dyDescent="0.75">
      <c r="A12" s="113">
        <v>6</v>
      </c>
      <c r="B12" s="116" t="s">
        <v>906</v>
      </c>
      <c r="C12" s="117" t="s">
        <v>908</v>
      </c>
      <c r="D12" s="115" t="s">
        <v>907</v>
      </c>
      <c r="E12" s="115">
        <v>1</v>
      </c>
      <c r="F12" s="115">
        <v>1</v>
      </c>
      <c r="G12" s="117" t="s">
        <v>1</v>
      </c>
      <c r="H12" s="118"/>
    </row>
    <row r="13" spans="1:9" s="26" customFormat="1" ht="59" x14ac:dyDescent="0.75">
      <c r="A13" s="113">
        <v>7</v>
      </c>
      <c r="B13" s="116" t="s">
        <v>903</v>
      </c>
      <c r="C13" s="117" t="s">
        <v>904</v>
      </c>
      <c r="D13" s="116" t="s">
        <v>905</v>
      </c>
      <c r="E13" s="115">
        <v>1</v>
      </c>
      <c r="F13" s="115">
        <v>1</v>
      </c>
      <c r="G13" s="117" t="s">
        <v>3</v>
      </c>
      <c r="H13" s="22"/>
    </row>
    <row r="14" spans="1:9" s="113" customFormat="1" x14ac:dyDescent="0.75">
      <c r="A14" s="113">
        <v>8</v>
      </c>
      <c r="B14" s="116" t="s">
        <v>909</v>
      </c>
      <c r="C14" s="119" t="s">
        <v>931</v>
      </c>
      <c r="D14" s="115" t="s">
        <v>281</v>
      </c>
      <c r="E14" s="115">
        <v>0</v>
      </c>
      <c r="F14" s="115">
        <v>1</v>
      </c>
      <c r="G14" s="117" t="s">
        <v>3</v>
      </c>
      <c r="H14" s="118"/>
    </row>
    <row r="15" spans="1:9" s="113" customFormat="1" x14ac:dyDescent="0.75">
      <c r="A15" s="113">
        <v>9</v>
      </c>
      <c r="B15" s="116" t="s">
        <v>918</v>
      </c>
      <c r="C15" s="115" t="s">
        <v>932</v>
      </c>
      <c r="D15" s="115" t="s">
        <v>932</v>
      </c>
      <c r="E15" s="115">
        <v>0</v>
      </c>
      <c r="F15" s="115">
        <v>1</v>
      </c>
      <c r="G15" s="117" t="s">
        <v>2</v>
      </c>
      <c r="H15" s="118"/>
    </row>
    <row r="16" spans="1:9" s="113" customFormat="1" x14ac:dyDescent="0.75">
      <c r="A16" s="113">
        <v>10</v>
      </c>
      <c r="B16" s="116" t="s">
        <v>919</v>
      </c>
      <c r="C16" s="116" t="s">
        <v>927</v>
      </c>
      <c r="D16" s="116" t="s">
        <v>927</v>
      </c>
      <c r="E16" s="115">
        <v>1</v>
      </c>
      <c r="F16" s="115">
        <v>1</v>
      </c>
      <c r="G16" s="115" t="s">
        <v>5</v>
      </c>
      <c r="H16" s="118"/>
    </row>
    <row r="17" spans="1:8" s="113" customFormat="1" ht="29.5" x14ac:dyDescent="0.75">
      <c r="A17" s="113">
        <v>11</v>
      </c>
      <c r="B17" s="116" t="s">
        <v>920</v>
      </c>
      <c r="C17" s="116" t="s">
        <v>928</v>
      </c>
      <c r="D17" s="116" t="s">
        <v>928</v>
      </c>
      <c r="E17" s="115">
        <v>1</v>
      </c>
      <c r="F17" s="115">
        <v>1</v>
      </c>
      <c r="G17" s="117" t="s">
        <v>1</v>
      </c>
      <c r="H17" s="118"/>
    </row>
    <row r="18" spans="1:8" s="113" customFormat="1" ht="29.5" x14ac:dyDescent="0.75">
      <c r="A18" s="113">
        <v>12</v>
      </c>
      <c r="B18" s="116" t="s">
        <v>921</v>
      </c>
      <c r="C18" s="116" t="s">
        <v>929</v>
      </c>
      <c r="D18" s="116" t="s">
        <v>929</v>
      </c>
      <c r="E18" s="115">
        <v>0</v>
      </c>
      <c r="F18" s="115">
        <v>1</v>
      </c>
      <c r="G18" s="117" t="s">
        <v>3</v>
      </c>
      <c r="H18" s="118"/>
    </row>
    <row r="19" spans="1:8" s="113" customFormat="1" x14ac:dyDescent="0.75">
      <c r="A19" s="113">
        <v>13</v>
      </c>
      <c r="B19" s="116" t="s">
        <v>910</v>
      </c>
      <c r="C19" s="119" t="s">
        <v>915</v>
      </c>
      <c r="D19" s="119" t="s">
        <v>915</v>
      </c>
      <c r="E19" s="115">
        <v>0</v>
      </c>
      <c r="F19" s="115">
        <v>1</v>
      </c>
      <c r="G19" s="117" t="s">
        <v>1</v>
      </c>
      <c r="H19" s="118"/>
    </row>
    <row r="20" spans="1:8" s="113" customFormat="1" ht="29.5" x14ac:dyDescent="0.75">
      <c r="A20" s="113">
        <v>14</v>
      </c>
      <c r="B20" s="116" t="s">
        <v>911</v>
      </c>
      <c r="C20" s="119" t="s">
        <v>916</v>
      </c>
      <c r="D20" s="119" t="s">
        <v>916</v>
      </c>
      <c r="E20" s="115">
        <v>0</v>
      </c>
      <c r="F20" s="115">
        <v>1</v>
      </c>
      <c r="G20" s="117" t="s">
        <v>1</v>
      </c>
      <c r="H20" s="118"/>
    </row>
    <row r="21" spans="1:8" s="113" customFormat="1" x14ac:dyDescent="0.75">
      <c r="A21" s="113">
        <v>15</v>
      </c>
      <c r="B21" s="116" t="s">
        <v>912</v>
      </c>
      <c r="C21" s="119" t="s">
        <v>933</v>
      </c>
      <c r="D21" s="119" t="s">
        <v>933</v>
      </c>
      <c r="E21" s="115">
        <v>0</v>
      </c>
      <c r="F21" s="115">
        <v>1</v>
      </c>
      <c r="G21" s="117" t="s">
        <v>1</v>
      </c>
      <c r="H21" s="118"/>
    </row>
    <row r="22" spans="1:8" s="113" customFormat="1" x14ac:dyDescent="0.75">
      <c r="A22" s="113">
        <v>16</v>
      </c>
      <c r="B22" s="116" t="s">
        <v>913</v>
      </c>
      <c r="C22" s="119" t="s">
        <v>917</v>
      </c>
      <c r="D22" s="119" t="s">
        <v>917</v>
      </c>
      <c r="E22" s="115">
        <v>0</v>
      </c>
      <c r="F22" s="115">
        <v>1</v>
      </c>
      <c r="G22" s="117" t="s">
        <v>1</v>
      </c>
      <c r="H22" s="118"/>
    </row>
    <row r="23" spans="1:8" s="113" customFormat="1" ht="29.5" x14ac:dyDescent="0.75">
      <c r="A23" s="113">
        <v>17</v>
      </c>
      <c r="B23" s="116" t="s">
        <v>914</v>
      </c>
      <c r="C23" s="115" t="s">
        <v>934</v>
      </c>
      <c r="D23" s="115" t="s">
        <v>934</v>
      </c>
      <c r="E23" s="115">
        <v>0</v>
      </c>
      <c r="F23" s="115">
        <v>1</v>
      </c>
      <c r="G23" s="117" t="s">
        <v>1</v>
      </c>
      <c r="H23" s="118"/>
    </row>
    <row r="24" spans="1:8" s="113" customFormat="1" ht="29.5" x14ac:dyDescent="0.75">
      <c r="A24" s="113">
        <v>18</v>
      </c>
      <c r="B24" s="116" t="s">
        <v>922</v>
      </c>
      <c r="C24" s="116" t="s">
        <v>930</v>
      </c>
      <c r="D24" s="116" t="s">
        <v>930</v>
      </c>
      <c r="E24" s="115">
        <v>0</v>
      </c>
      <c r="F24" s="115">
        <v>1</v>
      </c>
      <c r="G24" s="117" t="s">
        <v>1</v>
      </c>
      <c r="H24" s="118"/>
    </row>
    <row r="25" spans="1:8" x14ac:dyDescent="0.75">
      <c r="A25" s="113">
        <v>19</v>
      </c>
      <c r="B25" s="116" t="s">
        <v>891</v>
      </c>
      <c r="C25" s="115" t="s">
        <v>93</v>
      </c>
      <c r="D25" s="115" t="s">
        <v>93</v>
      </c>
      <c r="E25" s="115">
        <v>0</v>
      </c>
      <c r="F25" s="115" t="s">
        <v>20</v>
      </c>
      <c r="G25" s="115" t="s">
        <v>965</v>
      </c>
    </row>
    <row r="26" spans="1:8" s="26" customFormat="1" x14ac:dyDescent="0.75">
      <c r="A26" s="113">
        <v>20</v>
      </c>
      <c r="B26" s="116" t="s">
        <v>893</v>
      </c>
      <c r="C26" s="116" t="s">
        <v>894</v>
      </c>
      <c r="D26" s="115" t="s">
        <v>894</v>
      </c>
      <c r="E26" s="115">
        <v>0</v>
      </c>
      <c r="F26" s="115" t="s">
        <v>20</v>
      </c>
      <c r="G26" s="115" t="s">
        <v>5</v>
      </c>
    </row>
    <row r="27" spans="1:8" x14ac:dyDescent="0.75">
      <c r="A27" s="113">
        <v>21</v>
      </c>
      <c r="B27" s="116" t="s">
        <v>892</v>
      </c>
      <c r="C27" s="115" t="s">
        <v>95</v>
      </c>
      <c r="D27" s="115" t="s">
        <v>95</v>
      </c>
      <c r="E27" s="115">
        <v>0</v>
      </c>
      <c r="F27" s="115" t="s">
        <v>20</v>
      </c>
      <c r="G27" s="46" t="s">
        <v>1189</v>
      </c>
      <c r="H27" s="144"/>
    </row>
    <row r="28" spans="1:8" x14ac:dyDescent="0.75">
      <c r="A28" s="113">
        <v>22</v>
      </c>
      <c r="B28" s="116" t="s">
        <v>895</v>
      </c>
      <c r="C28" s="115" t="s">
        <v>96</v>
      </c>
      <c r="D28" s="115" t="s">
        <v>96</v>
      </c>
      <c r="E28" s="115">
        <v>0</v>
      </c>
      <c r="F28" s="115" t="s">
        <v>20</v>
      </c>
      <c r="G28" s="46" t="s">
        <v>1236</v>
      </c>
    </row>
    <row r="29" spans="1:8" x14ac:dyDescent="0.75">
      <c r="A29" s="113">
        <v>23</v>
      </c>
      <c r="B29" s="116" t="s">
        <v>896</v>
      </c>
      <c r="C29" s="115" t="s">
        <v>97</v>
      </c>
      <c r="D29" s="115" t="s">
        <v>900</v>
      </c>
      <c r="E29" s="115">
        <v>0</v>
      </c>
      <c r="F29" s="115" t="s">
        <v>20</v>
      </c>
      <c r="G29" s="115" t="s">
        <v>5</v>
      </c>
    </row>
    <row r="30" spans="1:8" x14ac:dyDescent="0.75">
      <c r="A30" s="113">
        <v>24</v>
      </c>
      <c r="B30" s="116" t="s">
        <v>897</v>
      </c>
      <c r="C30" s="115" t="s">
        <v>98</v>
      </c>
      <c r="D30" s="115" t="s">
        <v>98</v>
      </c>
      <c r="E30" s="115">
        <v>0</v>
      </c>
      <c r="F30" s="115" t="s">
        <v>20</v>
      </c>
      <c r="G30" s="115" t="s">
        <v>5</v>
      </c>
    </row>
    <row r="31" spans="1:8" s="26" customFormat="1" x14ac:dyDescent="0.75">
      <c r="A31" s="113">
        <v>25</v>
      </c>
      <c r="B31" s="116" t="s">
        <v>898</v>
      </c>
      <c r="C31" s="115" t="s">
        <v>99</v>
      </c>
      <c r="D31" s="115" t="s">
        <v>99</v>
      </c>
      <c r="E31" s="115">
        <v>0</v>
      </c>
      <c r="F31" s="115" t="s">
        <v>20</v>
      </c>
      <c r="G31" s="115" t="s">
        <v>5</v>
      </c>
    </row>
    <row r="32" spans="1:8" s="26" customFormat="1" x14ac:dyDescent="0.75">
      <c r="A32" s="113">
        <v>26</v>
      </c>
      <c r="B32" s="116" t="s">
        <v>899</v>
      </c>
      <c r="C32" s="115" t="s">
        <v>100</v>
      </c>
      <c r="D32" s="115" t="s">
        <v>100</v>
      </c>
      <c r="E32" s="115">
        <v>0</v>
      </c>
      <c r="F32" s="115" t="s">
        <v>20</v>
      </c>
      <c r="G32" s="115" t="s">
        <v>5</v>
      </c>
    </row>
    <row r="33" spans="1:9" s="26" customFormat="1" ht="27" x14ac:dyDescent="0.75">
      <c r="A33" s="113">
        <v>27</v>
      </c>
      <c r="B33" s="112" t="s">
        <v>1083</v>
      </c>
      <c r="C33" s="115" t="s">
        <v>1104</v>
      </c>
      <c r="D33" s="51" t="s">
        <v>251</v>
      </c>
      <c r="E33" s="115">
        <v>0</v>
      </c>
      <c r="F33" s="115" t="s">
        <v>20</v>
      </c>
      <c r="G33" s="115" t="s">
        <v>3</v>
      </c>
    </row>
    <row r="34" spans="1:9" s="26" customFormat="1" x14ac:dyDescent="0.75">
      <c r="A34" s="113"/>
      <c r="B34" s="112"/>
      <c r="C34" s="124"/>
      <c r="D34" s="124"/>
      <c r="E34" s="115"/>
      <c r="F34" s="115"/>
      <c r="G34" s="115"/>
    </row>
    <row r="35" spans="1:9" s="26" customFormat="1" x14ac:dyDescent="0.75">
      <c r="A35" s="113"/>
      <c r="B35" s="112"/>
      <c r="C35" s="31"/>
      <c r="D35" s="31"/>
      <c r="E35" s="27"/>
      <c r="F35" s="27"/>
      <c r="G35" s="27"/>
    </row>
    <row r="36" spans="1:9" x14ac:dyDescent="0.75">
      <c r="A36" s="113"/>
      <c r="B36" s="112"/>
      <c r="C36" s="52"/>
      <c r="D36" s="52"/>
      <c r="E36" s="27"/>
      <c r="F36" s="27"/>
      <c r="G36" s="27"/>
      <c r="H36" s="2"/>
      <c r="I36" s="26"/>
    </row>
  </sheetData>
  <phoneticPr fontId="8" type="noConversion"/>
  <hyperlinks>
    <hyperlink ref="G9" r:id="rId1" xr:uid="{96F6E397-611F-424C-B828-EDF2A2832864}"/>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25" zoomScale="85" zoomScaleNormal="85" workbookViewId="0">
      <selection activeCell="B28" sqref="B28:E28"/>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4" t="str">
        <f>CONCATENATE("* differential.element[",'Base-1'!A6,"].id = """,'Base-1'!B6,"""")</f>
        <v>* differential.element[0].id = "TreatmentSummary"</v>
      </c>
      <c r="C1" s="14" t="str">
        <f>CONCATENATE("* differential.element[",'Base-1'!A6,"].path = """,'Base-1'!$B$6,"""")</f>
        <v>* differential.element[0].path = "TreatmentSummary"</v>
      </c>
      <c r="D1" s="14" t="str">
        <f>CONCATENATE("* differential.element[",'Base-1'!A6,"].short = """,'Base-1'!C6,"""")</f>
        <v>* differential.element[0].short = "Treatment Summary"</v>
      </c>
      <c r="E1" s="14" t="str">
        <f>CONCATENATE("* differential.element[",'Base-1'!A6,"].definition = """,'Base-1'!D6,"""")</f>
        <v>* differential.element[0].definition = "PanCareSurPass Treatment Summary"</v>
      </c>
      <c r="F1" s="14" t="str">
        <f>CONCATENATE("* differential.element[",'Base-1'!A6,"].min = ",'Base-1'!E6,"")</f>
        <v>* differential.element[0].min = 1</v>
      </c>
      <c r="G1" s="14" t="str">
        <f>CONCATENATE("* differential.element[",'Base-1'!A6,"].max = """,'Base-1'!F6,"""")</f>
        <v>* differential.element[0].max = "1"</v>
      </c>
      <c r="H1" s="14"/>
    </row>
    <row r="2" spans="2:10" ht="59" x14ac:dyDescent="0.75">
      <c r="B2" s="32" t="str">
        <f>CONCATENATE("* differential.element[",'Base-1'!$A7,"].id = """,'Base-1'!$B$6,".",'Base-1'!B7,"""")</f>
        <v>* differential.element[1].id = "TreatmentSummary.subject"</v>
      </c>
      <c r="C2" s="32" t="str">
        <f>CONCATENATE("* differential.element[",'Base-1'!$A7,"].path = """,'Base-1'!$B$6,".",'Base-1'!B7,"""")</f>
        <v>* differential.element[1].path = "TreatmentSummary.subject"</v>
      </c>
      <c r="D2" s="32" t="str">
        <f>CONCATENATE("* differential.element[",'Base-1'!A7,"].short = """,'Base-1'!C7,"""")</f>
        <v>* differential.element[1].short = "Subject"</v>
      </c>
      <c r="E2" s="32" t="str">
        <f>CONCATENATE("* differential.element[",'Base-1'!A7,"].definition = """,'Base-1'!D7,"""")</f>
        <v>* differential.element[1].definition = "Subject"</v>
      </c>
      <c r="F2" s="32" t="str">
        <f>CONCATENATE("* differential.element[",'Base-1'!A7,"].min = ",'Base-1'!E7,"")</f>
        <v>* differential.element[1].min = 1</v>
      </c>
      <c r="G2" s="32" t="str">
        <f>CONCATENATE("* differential.element[",'Base-1'!A7,"].max = """,'Base-1'!F7,"""")</f>
        <v>* differential.element[1].max = "1"</v>
      </c>
      <c r="H2" s="32" t="str">
        <f>CONCATENATE("* differential.element[",'Base-1'!A7,"].type.code = #",'Base-1'!G7,"")</f>
        <v>* differential.element[1].type.code = #http://hl7.eu/fhir/ig/pcsp/StructureDefinition/Subject</v>
      </c>
      <c r="I2" s="10"/>
      <c r="J2" t="s">
        <v>10</v>
      </c>
    </row>
    <row r="3" spans="2:10" ht="88.5" x14ac:dyDescent="0.75">
      <c r="B3" s="116" t="str">
        <f>CONCATENATE("* differential.element[",'Base-1'!$A8,"].id = """,'Base-1'!$B$6,".",'Base-1'!B8,"""")</f>
        <v>* differential.element[2].id = "TreatmentSummary.diagnosis"</v>
      </c>
      <c r="C3" s="116" t="str">
        <f>CONCATENATE("* differential.element[",'Base-1'!$A8,"].path = """,'Base-1'!$B$6,".",'Base-1'!B8,"""")</f>
        <v>* differential.element[2].path = "TreatmentSummary.diagnosis"</v>
      </c>
      <c r="D3" s="116" t="str">
        <f>CONCATENATE("* differential.element[",'Base-1'!A8,"].short = """,'Base-1'!C8,"""")</f>
        <v>* differential.element[2].short = "Diagnosis"</v>
      </c>
      <c r="E3" s="116" t="str">
        <f>CONCATENATE("* differential.element[",'Base-1'!A8,"].definition = """,'Base-1'!D8,"""")</f>
        <v>* differential.element[2].definition = "Diagnosis"</v>
      </c>
      <c r="F3" s="116" t="str">
        <f>CONCATENATE("* differential.element[",'Base-1'!A8,"].min = ",'Base-1'!E8,"")</f>
        <v>* differential.element[2].min = 0</v>
      </c>
      <c r="G3" s="116" t="str">
        <f>CONCATENATE("* differential.element[",'Base-1'!A8,"].max = """,'Base-1'!F8,"""")</f>
        <v>* differential.element[2].max = "5"</v>
      </c>
      <c r="H3" s="116" t="str">
        <f>CONCATENATE("* differential.element[",'Base-1'!A8,"].type.code = #",'Base-1'!G8,"")</f>
        <v>* differential.element[2].type.code = #BackboneElement</v>
      </c>
      <c r="I3" s="10"/>
      <c r="J3" t="s">
        <v>11</v>
      </c>
    </row>
    <row r="4" spans="2:10" ht="88.5" x14ac:dyDescent="0.75">
      <c r="B4" s="116" t="str">
        <f>CONCATENATE("* differential.element[",'Base-1'!$A9,"].id = """,'Base-1'!$B$6,".",'Base-1'!B9,"""")</f>
        <v>* differential.element[3].id = "TreatmentSummary.diagnosis.details"</v>
      </c>
      <c r="C4" s="116" t="str">
        <f>CONCATENATE("* differential.element[",'Base-1'!$A9,"].path = """,'Base-1'!$B$6,".",'Base-1'!B9,"""")</f>
        <v>* differential.element[3].path = "TreatmentSummary.diagnosis.details"</v>
      </c>
      <c r="D4" s="116" t="str">
        <f>CONCATENATE("* differential.element[",'Base-1'!A9,"].short = """,'Base-1'!C9,"""")</f>
        <v>* differential.element[3].short = "Details about this diagnosis"</v>
      </c>
      <c r="E4" s="116" t="str">
        <f>CONCATENATE("* differential.element[",'Base-1'!A9,"].definition = """,'Base-1'!D9,"""")</f>
        <v>* differential.element[3].definition = "Details about this diagnosis"</v>
      </c>
      <c r="F4" s="116" t="str">
        <f>CONCATENATE("* differential.element[",'Base-1'!A9,"].min = ",'Base-1'!E9,"")</f>
        <v>* differential.element[3].min = 0</v>
      </c>
      <c r="G4" s="116" t="str">
        <f>CONCATENATE("* differential.element[",'Base-1'!A9,"].max = """,'Base-1'!F9,"""")</f>
        <v>* differential.element[3].max = "1"</v>
      </c>
      <c r="H4" s="116" t="str">
        <f>CONCATENATE("* differential.element[",'Base-1'!A9,"].type.code = #",'Base-1'!G9,"")</f>
        <v>* differential.element[3].type.code = #http://hl7.eu/fhir/ig/pcsp/StructureDefinition/Diagnosis</v>
      </c>
      <c r="I4" s="10"/>
      <c r="J4" t="s">
        <v>12</v>
      </c>
    </row>
    <row r="5" spans="2:10" ht="88.5" x14ac:dyDescent="0.75">
      <c r="B5" s="116" t="str">
        <f>CONCATENATE("* differential.element[",'Base-1'!$A10,"].id = """,'Base-1'!$B$6,".",'Base-1'!B10,"""")</f>
        <v>* differential.element[4].id = "TreatmentSummary.diagnosis.frontLineTreatment"</v>
      </c>
      <c r="C5" s="116" t="str">
        <f>CONCATENATE("* differential.element[",'Base-1'!$A10,"].path = """,'Base-1'!$B$6,".",'Base-1'!B10,"""")</f>
        <v>* differential.element[4].path = "TreatmentSummary.diagnosis.frontLineTreatment"</v>
      </c>
      <c r="D5" s="116" t="str">
        <f>CONCATENATE("* differential.element[",'Base-1'!A10,"].short = """,'Base-1'!C10,"""")</f>
        <v>* differential.element[4].short = "Front line treatment"</v>
      </c>
      <c r="E5" s="116" t="str">
        <f>CONCATENATE("* differential.element[",'Base-1'!A10,"].definition = """,'Base-1'!D10,"""")</f>
        <v>* differential.element[4].definition = "Front line treatment"</v>
      </c>
      <c r="F5" s="116" t="str">
        <f>CONCATENATE("* differential.element[",'Base-1'!A10,"].min = ",'Base-1'!E10,"")</f>
        <v>* differential.element[4].min = 0</v>
      </c>
      <c r="G5" s="116" t="str">
        <f>CONCATENATE("* differential.element[",'Base-1'!A10,"].max = """,'Base-1'!F10,"""")</f>
        <v>* differential.element[4].max = "*"</v>
      </c>
      <c r="H5" s="116" t="str">
        <f>CONCATENATE("* differential.element[",'Base-1'!A10,"].type.code = #",'Base-1'!G10,"")</f>
        <v>* differential.element[4].type.code = #BackboneElement</v>
      </c>
      <c r="I5" s="10"/>
      <c r="J5" t="s">
        <v>13</v>
      </c>
    </row>
    <row r="6" spans="2:10" ht="88.5" x14ac:dyDescent="0.75">
      <c r="B6" s="116" t="str">
        <f>CONCATENATE("* differential.element[",'Base-1'!$A11,"].id = """,'Base-1'!$B$6,".",'Base-1'!B11,"""")</f>
        <v>* differential.element[5].id = "TreatmentSummary.diagnosis.frontLineTreatment.followedProtocol"</v>
      </c>
      <c r="C6" s="116" t="str">
        <f>CONCATENATE("* differential.element[",'Base-1'!$A11,"].path = """,'Base-1'!$B$6,".",'Base-1'!B11,"""")</f>
        <v>* differential.element[5].path = "TreatmentSummary.diagnosis.frontLineTreatment.followedProtocol"</v>
      </c>
      <c r="D6" s="116" t="str">
        <f>CONCATENATE("* differential.element[",'Base-1'!A11,"].short = """,'Base-1'!C11,"""")</f>
        <v>* differential.element[5].short = "Followed Protocol"</v>
      </c>
      <c r="E6" s="116" t="str">
        <f>CONCATENATE("* differential.element[",'Base-1'!A11,"].definition = """,'Base-1'!D11,"""")</f>
        <v>* differential.element[5].definition = "Followed Protocol"</v>
      </c>
      <c r="F6" s="116" t="str">
        <f>CONCATENATE("* differential.element[",'Base-1'!A11,"].min = ",'Base-1'!E11,"")</f>
        <v>* differential.element[5].min = 0</v>
      </c>
      <c r="G6" s="116" t="str">
        <f>CONCATENATE("* differential.element[",'Base-1'!A11,"].max = """,'Base-1'!F11,"""")</f>
        <v>* differential.element[5].max = "1"</v>
      </c>
      <c r="H6" s="116" t="str">
        <f>CONCATENATE("* differential.element[",'Base-1'!A11,"].type.code = #",'Base-1'!G11,"")</f>
        <v>* differential.element[5].type.code = #BackboneElement</v>
      </c>
      <c r="I6" s="10"/>
      <c r="J6" t="s">
        <v>14</v>
      </c>
    </row>
    <row r="7" spans="2:10" ht="88.5" x14ac:dyDescent="0.75">
      <c r="B7" s="116" t="str">
        <f>CONCATENATE("* differential.element[",'Base-1'!$A12,"].id = """,'Base-1'!$B$6,".",'Base-1'!B12,"""")</f>
        <v>* differential.element[6].id = "TreatmentSummary.diagnosis.frontLineTreatment.followedProtocol.type"</v>
      </c>
      <c r="C7" s="116" t="str">
        <f>CONCATENATE("* differential.element[",'Base-1'!$A12,"].path = """,'Base-1'!$B$6,".",'Base-1'!B12,"""")</f>
        <v>* differential.element[6].path = "TreatmentSummary.diagnosis.frontLineTreatment.followedProtocol.type"</v>
      </c>
      <c r="D7" s="116" t="str">
        <f>CONCATENATE("* differential.element[",'Base-1'!A12,"].short = """,'Base-1'!C12,"""")</f>
        <v>* differential.element[6].short = "Protocole type"</v>
      </c>
      <c r="E7" s="116" t="str">
        <f>CONCATENATE("* differential.element[",'Base-1'!A12,"].definition = """,'Base-1'!D12,"""")</f>
        <v>* differential.element[6].definition = "2 =&gt; Trial/protocol
2 =&gt; Personalized
3 =&gt; Guidelines
-9922 =&gt; NK"</v>
      </c>
      <c r="F7" s="116" t="str">
        <f>CONCATENATE("* differential.element[",'Base-1'!A12,"].min = ",'Base-1'!E12,"")</f>
        <v>* differential.element[6].min = 1</v>
      </c>
      <c r="G7" s="116" t="str">
        <f>CONCATENATE("* differential.element[",'Base-1'!A12,"].max = """,'Base-1'!F12,"""")</f>
        <v>* differential.element[6].max = "1"</v>
      </c>
      <c r="H7" s="116" t="str">
        <f>CONCATENATE("* differential.element[",'Base-1'!A12,"].type.code = #",'Base-1'!G12,"")</f>
        <v>* differential.element[6].type.code = #CodeableConcept</v>
      </c>
      <c r="I7" s="10"/>
      <c r="J7" t="s">
        <v>15</v>
      </c>
    </row>
    <row r="8" spans="2:10" ht="88.5" x14ac:dyDescent="0.75">
      <c r="B8" s="116" t="str">
        <f>CONCATENATE("* differential.element[",'Base-1'!$A13,"].id = """,'Base-1'!$B$6,".",'Base-1'!B13,"""")</f>
        <v>* differential.element[7].id = "TreatmentSummary.diagnosis.frontLineTreatment.followedProtocol.description"</v>
      </c>
      <c r="C8" s="116" t="str">
        <f>CONCATENATE("* differential.element[",'Base-1'!$A13,"].path = """,'Base-1'!$B$6,".",'Base-1'!B13,"""")</f>
        <v>* differential.element[7].path = "TreatmentSummary.diagnosis.frontLineTreatment.followedProtocol.description"</v>
      </c>
      <c r="D8" s="116" t="str">
        <f>CONCATENATE("* differential.element[",'Base-1'!A13,"].short = """,'Base-1'!C13,"""")</f>
        <v>* differential.element[7].short = "Protocol name or description"</v>
      </c>
      <c r="E8" s="116" t="str">
        <f>CONCATENATE("* differential.element[",'Base-1'!A13,"].definition = """,'Base-1'!D13,"""")</f>
        <v>* differential.element[7].definition = "If a specific trial/protocol was used, please specify.  
In case of relapse/progression during front line treatment,please report both the name of the front line as well of the salvage treatment
If personalized, please specify.  "</v>
      </c>
      <c r="F8" s="116" t="str">
        <f>CONCATENATE("* differential.element[",'Base-1'!A13,"].min = ",'Base-1'!E13,"")</f>
        <v>* differential.element[7].min = 1</v>
      </c>
      <c r="G8" s="116" t="str">
        <f>CONCATENATE("* differential.element[",'Base-1'!A13,"].max = """,'Base-1'!F13,"""")</f>
        <v>* differential.element[7].max = "1"</v>
      </c>
      <c r="H8" s="116" t="str">
        <f>CONCATENATE("* differential.element[",'Base-1'!A13,"].type.code = #",'Base-1'!G13,"")</f>
        <v>* differential.element[7].type.code = #string</v>
      </c>
      <c r="I8" s="10"/>
      <c r="J8" t="s">
        <v>16</v>
      </c>
    </row>
    <row r="9" spans="2:10" ht="88.5" x14ac:dyDescent="0.75">
      <c r="B9" s="116" t="str">
        <f>CONCATENATE("* differential.element[",'Base-1'!$A14,"].id = """,'Base-1'!$B$6,".",'Base-1'!B14,"""")</f>
        <v>* differential.element[8].id = "TreatmentSummary.diagnosis.frontLineTreatment.followedProtocol.arm"</v>
      </c>
      <c r="C9" s="116" t="str">
        <f>CONCATENATE("* differential.element[",'Base-1'!$A14,"].path = """,'Base-1'!$B$6,".",'Base-1'!B14,"""")</f>
        <v>* differential.element[8].path = "TreatmentSummary.diagnosis.frontLineTreatment.followedProtocol.arm"</v>
      </c>
      <c r="D9" s="116" t="str">
        <f>CONCATENATE("* differential.element[",'Base-1'!A14,"].short = """,'Base-1'!C14,"""")</f>
        <v>* differential.element[8].short = "Group/Arm/Randomization"</v>
      </c>
      <c r="E9" s="116" t="str">
        <f>CONCATENATE("* differential.element[",'Base-1'!A14,"].definition = """,'Base-1'!D14,"""")</f>
        <v>* differential.element[8].definition = "If the trial was randomized, please define randomization arm"</v>
      </c>
      <c r="F9" s="116" t="str">
        <f>CONCATENATE("* differential.element[",'Base-1'!A14,"].min = ",'Base-1'!E14,"")</f>
        <v>* differential.element[8].min = 0</v>
      </c>
      <c r="G9" s="116" t="str">
        <f>CONCATENATE("* differential.element[",'Base-1'!A14,"].max = """,'Base-1'!F14,"""")</f>
        <v>* differential.element[8].max = "1"</v>
      </c>
      <c r="H9" s="116" t="str">
        <f>CONCATENATE("* differential.element[",'Base-1'!A14,"].type.code = #",'Base-1'!G14,"")</f>
        <v>* differential.element[8].type.code = #string</v>
      </c>
      <c r="I9" s="10"/>
    </row>
    <row r="10" spans="2:10" ht="88.5" x14ac:dyDescent="0.75">
      <c r="B10" s="116" t="str">
        <f>CONCATENATE("* differential.element[",'Base-1'!$A15,"].id = """,'Base-1'!$B$6,".",'Base-1'!B15,"""")</f>
        <v>* differential.element[9].id = "TreatmentSummary.diagnosis.frontLineTreatment.dateEOT"</v>
      </c>
      <c r="C10" s="116" t="str">
        <f>CONCATENATE("* differential.element[",'Base-1'!$A15,"].path = """,'Base-1'!$B$6,".",'Base-1'!B15,"""")</f>
        <v>* differential.element[9].path = "TreatmentSummary.diagnosis.frontLineTreatment.dateEOT"</v>
      </c>
      <c r="D10" s="116" t="str">
        <f>CONCATENATE("* differential.element[",'Base-1'!A15,"].short = """,'Base-1'!C15,"""")</f>
        <v>* differential.element[9].short = "Date of first elective end of treatment"</v>
      </c>
      <c r="E10" s="116" t="str">
        <f>CONCATENATE("* differential.element[",'Base-1'!A15,"].definition = """,'Base-1'!D15,"""")</f>
        <v>* differential.element[9].definition = "Date of first elective end of treatment"</v>
      </c>
      <c r="F10" s="116" t="str">
        <f>CONCATENATE("* differential.element[",'Base-1'!A15,"].min = ",'Base-1'!E15,"")</f>
        <v>* differential.element[9].min = 0</v>
      </c>
      <c r="G10" s="116" t="str">
        <f>CONCATENATE("* differential.element[",'Base-1'!A15,"].max = """,'Base-1'!F15,"""")</f>
        <v>* differential.element[9].max = "1"</v>
      </c>
      <c r="H10" s="116" t="str">
        <f>CONCATENATE("* differential.element[",'Base-1'!A15,"].type.code = #",'Base-1'!G15,"")</f>
        <v>* differential.element[9].type.code = #dateTime</v>
      </c>
      <c r="I10" s="10"/>
    </row>
    <row r="11" spans="2:10" ht="88.5" x14ac:dyDescent="0.75">
      <c r="B11" s="116" t="str">
        <f>CONCATENATE("* differential.element[",'Base-1'!$A16,"].id = """,'Base-1'!$B$6,".",'Base-1'!B16,"""")</f>
        <v>* differential.element[10].id = "TreatmentSummary.diagnosis.frontLineTreatment.completeRemission"</v>
      </c>
      <c r="C11" s="116" t="str">
        <f>CONCATENATE("* differential.element[",'Base-1'!$A16,"].path = """,'Base-1'!$B$6,".",'Base-1'!B16,"""")</f>
        <v>* differential.element[10].path = "TreatmentSummary.diagnosis.frontLineTreatment.completeRemission"</v>
      </c>
      <c r="D11" s="116" t="str">
        <f>CONCATENATE("* differential.element[",'Base-1'!A16,"].short = """,'Base-1'!C16,"""")</f>
        <v>* differential.element[10].short = "Complete remission"</v>
      </c>
      <c r="E11" s="116" t="str">
        <f>CONCATENATE("* differential.element[",'Base-1'!A16,"].definition = """,'Base-1'!D16,"""")</f>
        <v>* differential.element[10].definition = "Complete remission"</v>
      </c>
      <c r="F11" s="116" t="str">
        <f>CONCATENATE("* differential.element[",'Base-1'!A16,"].min = ",'Base-1'!E16,"")</f>
        <v>* differential.element[10].min = 1</v>
      </c>
      <c r="G11" s="116" t="str">
        <f>CONCATENATE("* differential.element[",'Base-1'!A16,"].max = """,'Base-1'!F16,"""")</f>
        <v>* differential.element[10].max = "1"</v>
      </c>
      <c r="H11" s="116" t="str">
        <f>CONCATENATE("* differential.element[",'Base-1'!A16,"].type.code = #",'Base-1'!G16,"")</f>
        <v>* differential.element[10].type.code = #BackboneElement</v>
      </c>
      <c r="I11" s="10"/>
    </row>
    <row r="12" spans="2:10" ht="88.5" x14ac:dyDescent="0.75">
      <c r="B12" s="116" t="str">
        <f>CONCATENATE("* differential.element[",'Base-1'!$A17,"].id = """,'Base-1'!$B$6,".",'Base-1'!B17,"""")</f>
        <v>* differential.element[11].id = "TreatmentSummary.diagnosis.frontLineTreatment.completeRemission.status"</v>
      </c>
      <c r="C12" s="116" t="str">
        <f>CONCATENATE("* differential.element[",'Base-1'!$A17,"].path = """,'Base-1'!$B$6,".",'Base-1'!B17,"""")</f>
        <v>* differential.element[11].path = "TreatmentSummary.diagnosis.frontLineTreatment.completeRemission.status"</v>
      </c>
      <c r="D12" s="116" t="str">
        <f>CONCATENATE("* differential.element[",'Base-1'!A17,"].short = """,'Base-1'!C17,"""")</f>
        <v>* differential.element[11].short = "Complete remission (Yes/No)"</v>
      </c>
      <c r="E12" s="116" t="str">
        <f>CONCATENATE("* differential.element[",'Base-1'!A17,"].definition = """,'Base-1'!D17,"""")</f>
        <v>* differential.element[11].definition = "Complete remission (Yes/No)"</v>
      </c>
      <c r="F12" s="116" t="str">
        <f>CONCATENATE("* differential.element[",'Base-1'!A17,"].min = ",'Base-1'!E17,"")</f>
        <v>* differential.element[11].min = 1</v>
      </c>
      <c r="G12" s="116" t="str">
        <f>CONCATENATE("* differential.element[",'Base-1'!A17,"].max = """,'Base-1'!F17,"""")</f>
        <v>* differential.element[11].max = "1"</v>
      </c>
      <c r="H12" s="116" t="str">
        <f>CONCATENATE("* differential.element[",'Base-1'!A17,"].type.code = #",'Base-1'!G17,"")</f>
        <v>* differential.element[11].type.code = #CodeableConcept</v>
      </c>
      <c r="I12" s="10"/>
    </row>
    <row r="13" spans="2:10" ht="88.5" x14ac:dyDescent="0.75">
      <c r="B13" s="116" t="str">
        <f>CONCATENATE("* differential.element[",'Base-1'!$A18,"].id = """,'Base-1'!$B$6,".",'Base-1'!B18,"""")</f>
        <v>* differential.element[12].id = "TreatmentSummary.diagnosis.frontLineTreatment.completeRemission.description"</v>
      </c>
      <c r="C13" s="116" t="str">
        <f>CONCATENATE("* differential.element[",'Base-1'!$A18,"].path = """,'Base-1'!$B$6,".",'Base-1'!B18,"""")</f>
        <v>* differential.element[12].path = "TreatmentSummary.diagnosis.frontLineTreatment.completeRemission.description"</v>
      </c>
      <c r="D13" s="116" t="str">
        <f>CONCATENATE("* differential.element[",'Base-1'!A18,"].short = """,'Base-1'!C18,"""")</f>
        <v>* differential.element[12].short = "Textual description in case of no remission"</v>
      </c>
      <c r="E13" s="116" t="str">
        <f>CONCATENATE("* differential.element[",'Base-1'!A18,"].definition = """,'Base-1'!D18,"""")</f>
        <v>* differential.element[12].definition = "Textual description in case of no remission"</v>
      </c>
      <c r="F13" s="116" t="str">
        <f>CONCATENATE("* differential.element[",'Base-1'!A18,"].min = ",'Base-1'!E18,"")</f>
        <v>* differential.element[12].min = 0</v>
      </c>
      <c r="G13" s="116" t="str">
        <f>CONCATENATE("* differential.element[",'Base-1'!A18,"].max = """,'Base-1'!F18,"""")</f>
        <v>* differential.element[12].max = "1"</v>
      </c>
      <c r="H13" s="116" t="str">
        <f>CONCATENATE("* differential.element[",'Base-1'!A18,"].type.code = #",'Base-1'!G18,"")</f>
        <v>* differential.element[12].type.code = #string</v>
      </c>
      <c r="I13" s="10"/>
    </row>
    <row r="14" spans="2:10" ht="88.5" x14ac:dyDescent="0.75">
      <c r="B14" s="116" t="str">
        <f>CONCATENATE("* differential.element[",'Base-1'!$A19,"].id = """,'Base-1'!$B$6,".",'Base-1'!B19,"""")</f>
        <v>* differential.element[13].id = "TreatmentSummary.diagnosis.frontLineTreatment.isChemotherapy"</v>
      </c>
      <c r="C14" s="116" t="str">
        <f>CONCATENATE("* differential.element[",'Base-1'!$A19,"].path = """,'Base-1'!$B$6,".",'Base-1'!B19,"""")</f>
        <v>* differential.element[13].path = "TreatmentSummary.diagnosis.frontLineTreatment.isChemotherapy"</v>
      </c>
      <c r="D14" s="116" t="str">
        <f>CONCATENATE("* differential.element[",'Base-1'!A19,"].short = """,'Base-1'!C19,"""")</f>
        <v>* differential.element[13].short = "Chemotherapy ?"</v>
      </c>
      <c r="E14" s="116" t="str">
        <f>CONCATENATE("* differential.element[",'Base-1'!A19,"].definition = """,'Base-1'!D19,"""")</f>
        <v>* differential.element[13].definition = "Chemotherapy ?"</v>
      </c>
      <c r="F14" s="116" t="str">
        <f>CONCATENATE("* differential.element[",'Base-1'!A19,"].min = ",'Base-1'!E19,"")</f>
        <v>* differential.element[13].min = 0</v>
      </c>
      <c r="G14" s="116" t="str">
        <f>CONCATENATE("* differential.element[",'Base-1'!A19,"].max = """,'Base-1'!F19,"""")</f>
        <v>* differential.element[13].max = "1"</v>
      </c>
      <c r="H14" s="116" t="str">
        <f>CONCATENATE("* differential.element[",'Base-1'!A19,"].type.code = #",'Base-1'!G19,"")</f>
        <v>* differential.element[13].type.code = #CodeableConcept</v>
      </c>
      <c r="I14" s="10"/>
    </row>
    <row r="15" spans="2:10" ht="88.5" x14ac:dyDescent="0.75">
      <c r="B15" s="116" t="str">
        <f>CONCATENATE("* differential.element[",'Base-1'!$A20,"].id = """,'Base-1'!$B$6,".",'Base-1'!B20,"""")</f>
        <v>* differential.element[14].id = "TreatmentSummary.diagnosis.frontLineTreatment.isStemCellTransplantation"</v>
      </c>
      <c r="C15" s="116" t="str">
        <f>CONCATENATE("* differential.element[",'Base-1'!$A20,"].path = """,'Base-1'!$B$6,".",'Base-1'!B20,"""")</f>
        <v>* differential.element[14].path = "TreatmentSummary.diagnosis.frontLineTreatment.isStemCellTransplantation"</v>
      </c>
      <c r="D15" s="116" t="str">
        <f>CONCATENATE("* differential.element[",'Base-1'!A20,"].short = """,'Base-1'!C20,"""")</f>
        <v>* differential.element[14].short = "Stem Cell transplantation ?"</v>
      </c>
      <c r="E15" s="116" t="str">
        <f>CONCATENATE("* differential.element[",'Base-1'!A20,"].definition = """,'Base-1'!D20,"""")</f>
        <v>* differential.element[14].definition = "Stem Cell transplantation ?"</v>
      </c>
      <c r="F15" s="116" t="str">
        <f>CONCATENATE("* differential.element[",'Base-1'!A20,"].min = ",'Base-1'!E20,"")</f>
        <v>* differential.element[14].min = 0</v>
      </c>
      <c r="G15" s="116" t="str">
        <f>CONCATENATE("* differential.element[",'Base-1'!A20,"].max = """,'Base-1'!F20,"""")</f>
        <v>* differential.element[14].max = "1"</v>
      </c>
      <c r="H15" s="116" t="str">
        <f>CONCATENATE("* differential.element[",'Base-1'!A20,"].type.code = #",'Base-1'!G20,"")</f>
        <v>* differential.element[14].type.code = #CodeableConcept</v>
      </c>
      <c r="I15" s="10"/>
    </row>
    <row r="16" spans="2:10" ht="88.5" x14ac:dyDescent="0.75">
      <c r="B16" s="116" t="str">
        <f>CONCATENATE("* differential.element[",'Base-1'!$A21,"].id = """,'Base-1'!$B$6,".",'Base-1'!B21,"""")</f>
        <v>* differential.element[15].id = "TreatmentSummary.diagnosis.frontLineTreatment.isRadiotherapy"</v>
      </c>
      <c r="C16" s="116" t="str">
        <f>CONCATENATE("* differential.element[",'Base-1'!$A21,"].path = """,'Base-1'!$B$6,".",'Base-1'!B21,"""")</f>
        <v>* differential.element[15].path = "TreatmentSummary.diagnosis.frontLineTreatment.isRadiotherapy"</v>
      </c>
      <c r="D16" s="116" t="str">
        <f>CONCATENATE("* differential.element[",'Base-1'!A21,"].short = """,'Base-1'!C21,"""")</f>
        <v>* differential.element[15].short = "Radiotherapy ?"</v>
      </c>
      <c r="E16" s="116" t="str">
        <f>CONCATENATE("* differential.element[",'Base-1'!A21,"].definition = """,'Base-1'!D21,"""")</f>
        <v>* differential.element[15].definition = "Radiotherapy ?"</v>
      </c>
      <c r="F16" s="116" t="str">
        <f>CONCATENATE("* differential.element[",'Base-1'!A21,"].min = ",'Base-1'!E21,"")</f>
        <v>* differential.element[15].min = 0</v>
      </c>
      <c r="G16" s="116" t="str">
        <f>CONCATENATE("* differential.element[",'Base-1'!A21,"].max = """,'Base-1'!F21,"""")</f>
        <v>* differential.element[15].max = "1"</v>
      </c>
      <c r="H16" s="116" t="str">
        <f>CONCATENATE("* differential.element[",'Base-1'!A21,"].type.code = #",'Base-1'!G21,"")</f>
        <v>* differential.element[15].type.code = #CodeableConcept</v>
      </c>
      <c r="I16" s="10"/>
    </row>
    <row r="17" spans="2:9" ht="88.5" x14ac:dyDescent="0.75">
      <c r="B17" s="116" t="str">
        <f>CONCATENATE("* differential.element[",'Base-1'!$A22,"].id = """,'Base-1'!$B$6,".",'Base-1'!B22,"""")</f>
        <v>* differential.element[16].id = "TreatmentSummary.diagnosis.frontLineTreatment.isMajorSurgery"</v>
      </c>
      <c r="C17" s="116" t="str">
        <f>CONCATENATE("* differential.element[",'Base-1'!$A22,"].path = """,'Base-1'!$B$6,".",'Base-1'!B22,"""")</f>
        <v>* differential.element[16].path = "TreatmentSummary.diagnosis.frontLineTreatment.isMajorSurgery"</v>
      </c>
      <c r="D17" s="116" t="str">
        <f>CONCATENATE("* differential.element[",'Base-1'!A22,"].short = """,'Base-1'!C22,"""")</f>
        <v>* differential.element[16].short = "Major Surgery ?"</v>
      </c>
      <c r="E17" s="116" t="str">
        <f>CONCATENATE("* differential.element[",'Base-1'!A22,"].definition = """,'Base-1'!D22,"""")</f>
        <v>* differential.element[16].definition = "Major Surgery ?"</v>
      </c>
      <c r="F17" s="116" t="str">
        <f>CONCATENATE("* differential.element[",'Base-1'!A22,"].min = ",'Base-1'!E22,"")</f>
        <v>* differential.element[16].min = 0</v>
      </c>
      <c r="G17" s="116" t="str">
        <f>CONCATENATE("* differential.element[",'Base-1'!A22,"].max = """,'Base-1'!F22,"""")</f>
        <v>* differential.element[16].max = "1"</v>
      </c>
      <c r="H17" s="116" t="str">
        <f>CONCATENATE("* differential.element[",'Base-1'!A22,"].type.code = #",'Base-1'!G22,"")</f>
        <v>* differential.element[16].type.code = #CodeableConcept</v>
      </c>
      <c r="I17" s="10"/>
    </row>
    <row r="18" spans="2:9" ht="88.5" x14ac:dyDescent="0.75">
      <c r="B18" s="116" t="str">
        <f>CONCATENATE("* differential.element[",'Base-1'!$A23,"].id = """,'Base-1'!$B$6,".",'Base-1'!B23,"""")</f>
        <v>* differential.element[17].id = "TreatmentSummary.diagnosis.frontLineTreatment.isProgressionRelapseDuringFLT"</v>
      </c>
      <c r="C18" s="116" t="str">
        <f>CONCATENATE("* differential.element[",'Base-1'!$A23,"].path = """,'Base-1'!$B$6,".",'Base-1'!B23,"""")</f>
        <v>* differential.element[17].path = "TreatmentSummary.diagnosis.frontLineTreatment.isProgressionRelapseDuringFLT"</v>
      </c>
      <c r="D18" s="116" t="str">
        <f>CONCATENATE("* differential.element[",'Base-1'!A23,"].short = """,'Base-1'!C23,"""")</f>
        <v>* differential.element[17].short = "Progression/relapse during frontline treatment ?"</v>
      </c>
      <c r="E18" s="116" t="str">
        <f>CONCATENATE("* differential.element[",'Base-1'!A23,"].definition = """,'Base-1'!D23,"""")</f>
        <v>* differential.element[17].definition = "Progression/relapse during frontline treatment ?"</v>
      </c>
      <c r="F18" s="116" t="str">
        <f>CONCATENATE("* differential.element[",'Base-1'!A23,"].min = ",'Base-1'!E23,"")</f>
        <v>* differential.element[17].min = 0</v>
      </c>
      <c r="G18" s="116" t="str">
        <f>CONCATENATE("* differential.element[",'Base-1'!A23,"].max = """,'Base-1'!F23,"""")</f>
        <v>* differential.element[17].max = "1"</v>
      </c>
      <c r="H18" s="116" t="str">
        <f>CONCATENATE("* differential.element[",'Base-1'!A23,"].type.code = #",'Base-1'!G23,"")</f>
        <v>* differential.element[17].type.code = #CodeableConcept</v>
      </c>
      <c r="I18" s="10"/>
    </row>
    <row r="19" spans="2:9" ht="88.5" x14ac:dyDescent="0.75">
      <c r="B19" s="116" t="str">
        <f>CONCATENATE("* differential.element[",'Base-1'!$A24,"].id = """,'Base-1'!$B$6,".",'Base-1'!B24,"""")</f>
        <v>* differential.element[18].id = "TreatmentSummary.diagnosis.frontLineTreatment.isProgressionRelapseAfterFLT"</v>
      </c>
      <c r="C19" s="116" t="str">
        <f>CONCATENATE("* differential.element[",'Base-1'!$A24,"].path = """,'Base-1'!$B$6,".",'Base-1'!B24,"""")</f>
        <v>* differential.element[18].path = "TreatmentSummary.diagnosis.frontLineTreatment.isProgressionRelapseAfterFLT"</v>
      </c>
      <c r="D19" s="116" t="str">
        <f>CONCATENATE("* differential.element[",'Base-1'!A24,"].short = """,'Base-1'!C24,"""")</f>
        <v>* differential.element[18].short = "Progression/relapse after first elective end of treatment ?"</v>
      </c>
      <c r="E19" s="116" t="str">
        <f>CONCATENATE("* differential.element[",'Base-1'!A24,"].definition = """,'Base-1'!D24,"""")</f>
        <v>* differential.element[18].definition = "Progression/relapse after first elective end of treatment ?"</v>
      </c>
      <c r="F19" s="116" t="str">
        <f>CONCATENATE("* differential.element[",'Base-1'!A24,"].min = ",'Base-1'!E24,"")</f>
        <v>* differential.element[18].min = 0</v>
      </c>
      <c r="G19" s="116" t="str">
        <f>CONCATENATE("* differential.element[",'Base-1'!A24,"].max = """,'Base-1'!F24,"""")</f>
        <v>* differential.element[18].max = "1"</v>
      </c>
      <c r="H19" s="116" t="str">
        <f>CONCATENATE("* differential.element[",'Base-1'!A24,"].type.code = #",'Base-1'!G24,"")</f>
        <v>* differential.element[18].type.code = #CodeableConcept</v>
      </c>
      <c r="I19" s="10"/>
    </row>
    <row r="20" spans="2:9" ht="88.5" x14ac:dyDescent="0.75">
      <c r="B20" s="116" t="str">
        <f>CONCATENATE("* differential.element[",'Base-1'!$A25,"].id = """,'Base-1'!$B$6,".",'Base-1'!B25,"""")</f>
        <v>* differential.element[19].id = "TreatmentSummary.diagnosis.chemotherapy"</v>
      </c>
      <c r="C20" s="116" t="str">
        <f>CONCATENATE("* differential.element[",'Base-1'!$A25,"].path = """,'Base-1'!$B$6,".",'Base-1'!B25,"""")</f>
        <v>* differential.element[19].path = "TreatmentSummary.diagnosis.chemotherapy"</v>
      </c>
      <c r="D20" s="116" t="str">
        <f>CONCATENATE("* differential.element[",'Base-1'!A25,"].short = """,'Base-1'!C25,"""")</f>
        <v>* differential.element[19].short = "Chemotherapy"</v>
      </c>
      <c r="E20" s="116" t="str">
        <f>CONCATENATE("* differential.element[",'Base-1'!A25,"].definition = """,'Base-1'!D25,"""")</f>
        <v>* differential.element[19].definition = "Chemotherapy"</v>
      </c>
      <c r="F20" s="116" t="str">
        <f>CONCATENATE("* differential.element[",'Base-1'!A25,"].min = ",'Base-1'!E25,"")</f>
        <v>* differential.element[19].min = 0</v>
      </c>
      <c r="G20" s="116" t="str">
        <f>CONCATENATE("* differential.element[",'Base-1'!A25,"].max = """,'Base-1'!F25,"""")</f>
        <v>* differential.element[19].max = "*"</v>
      </c>
      <c r="H20" s="116" t="str">
        <f>CONCATENATE("* differential.element[",'Base-1'!A25,"].type.code = #",'Base-1'!G25,"")</f>
        <v>* differential.element[19].type.code = #http://hl7.eu/fhir/ig/pcsp/StructureDefinition/Chemotherapy</v>
      </c>
      <c r="I20" s="10"/>
    </row>
    <row r="21" spans="2:9" ht="88.5" x14ac:dyDescent="0.75">
      <c r="B21" s="116" t="str">
        <f>CONCATENATE("* differential.element[",'Base-1'!$A26,"].id = """,'Base-1'!$B$6,".",'Base-1'!B26,"""")</f>
        <v>* differential.element[20].id = "TreatmentSummary.diagnosis.stemCellTransplantation"</v>
      </c>
      <c r="C21" s="116" t="str">
        <f>CONCATENATE("* differential.element[",'Base-1'!$A26,"].path = """,'Base-1'!$B$6,".",'Base-1'!B26,"""")</f>
        <v>* differential.element[20].path = "TreatmentSummary.diagnosis.stemCellTransplantation"</v>
      </c>
      <c r="D21" s="116" t="str">
        <f>CONCATENATE("* differential.element[",'Base-1'!A26,"].short = """,'Base-1'!C26,"""")</f>
        <v>* differential.element[20].short = "Stem Cell transplantation"</v>
      </c>
      <c r="E21" s="116" t="str">
        <f>CONCATENATE("* differential.element[",'Base-1'!A26,"].definition = """,'Base-1'!D26,"""")</f>
        <v>* differential.element[20].definition = "Stem Cell transplantation"</v>
      </c>
      <c r="F21" s="116" t="str">
        <f>CONCATENATE("* differential.element[",'Base-1'!A26,"].min = ",'Base-1'!E26,"")</f>
        <v>* differential.element[20].min = 0</v>
      </c>
      <c r="G21" s="116" t="str">
        <f>CONCATENATE("* differential.element[",'Base-1'!A26,"].max = """,'Base-1'!F26,"""")</f>
        <v>* differential.element[20].max = "*"</v>
      </c>
      <c r="H21" s="116" t="str">
        <f>CONCATENATE("* differential.element[",'Base-1'!A26,"].type.code = #",'Base-1'!G26,"")</f>
        <v>* differential.element[20].type.code = #BackboneElement</v>
      </c>
      <c r="I21" s="10"/>
    </row>
    <row r="22" spans="2:9" ht="88.5" x14ac:dyDescent="0.75">
      <c r="B22" s="116" t="str">
        <f>CONCATENATE("* differential.element[",'Base-1'!$A27,"].id = """,'Base-1'!$B$6,".",'Base-1'!B27,"""")</f>
        <v>* differential.element[21].id = "TreatmentSummary.diagnosis.radiotherapy"</v>
      </c>
      <c r="C22" s="116" t="str">
        <f>CONCATENATE("* differential.element[",'Base-1'!$A27,"].path = """,'Base-1'!$B$6,".",'Base-1'!B27,"""")</f>
        <v>* differential.element[21].path = "TreatmentSummary.diagnosis.radiotherapy"</v>
      </c>
      <c r="D22" s="116" t="str">
        <f>CONCATENATE("* differential.element[",'Base-1'!A27,"].short = """,'Base-1'!C27,"""")</f>
        <v>* differential.element[21].short = "Radiotherapy"</v>
      </c>
      <c r="E22" s="116" t="str">
        <f>CONCATENATE("* differential.element[",'Base-1'!A27,"].definition = """,'Base-1'!D27,"""")</f>
        <v>* differential.element[21].definition = "Radiotherapy"</v>
      </c>
      <c r="F22" s="116" t="str">
        <f>CONCATENATE("* differential.element[",'Base-1'!A27,"].min = ",'Base-1'!E27,"")</f>
        <v>* differential.element[21].min = 0</v>
      </c>
      <c r="G22" s="116" t="str">
        <f>CONCATENATE("* differential.element[",'Base-1'!A27,"].max = """,'Base-1'!F27,"""")</f>
        <v>* differential.element[21].max = "*"</v>
      </c>
      <c r="H22" s="116" t="str">
        <f>CONCATENATE("* differential.element[",'Base-1'!A27,"].type.code = #",'Base-1'!G27,"")</f>
        <v>* differential.element[21].type.code = #http://hl7.eu/fhir/ig/pcsp/StructureDefinition/Radiotherapy</v>
      </c>
      <c r="I22" s="10"/>
    </row>
    <row r="23" spans="2:9" ht="88.5" x14ac:dyDescent="0.75">
      <c r="B23" s="116" t="str">
        <f>CONCATENATE("* differential.element[",'Base-1'!$A28,"].id = """,'Base-1'!$B$6,".",'Base-1'!B28,"""")</f>
        <v>* differential.element[22].id = "TreatmentSummary.diagnosis.majorSurgery"</v>
      </c>
      <c r="C23" s="116" t="str">
        <f>CONCATENATE("* differential.element[",'Base-1'!$A28,"].path = """,'Base-1'!$B$6,".",'Base-1'!B28,"""")</f>
        <v>* differential.element[22].path = "TreatmentSummary.diagnosis.majorSurgery"</v>
      </c>
      <c r="D23" s="116" t="str">
        <f>CONCATENATE("* differential.element[",'Base-1'!A28,"].short = """,'Base-1'!C28,"""")</f>
        <v>* differential.element[22].short = "Major Surgery"</v>
      </c>
      <c r="E23" s="116" t="str">
        <f>CONCATENATE("* differential.element[",'Base-1'!A28,"].definition = """,'Base-1'!D28,"""")</f>
        <v>* differential.element[22].definition = "Major Surgery"</v>
      </c>
      <c r="F23" s="116" t="str">
        <f>CONCATENATE("* differential.element[",'Base-1'!A28,"].min = ",'Base-1'!E28,"")</f>
        <v>* differential.element[22].min = 0</v>
      </c>
      <c r="G23" s="116" t="str">
        <f>CONCATENATE("* differential.element[",'Base-1'!A28,"].max = """,'Base-1'!F28,"""")</f>
        <v>* differential.element[22].max = "*"</v>
      </c>
      <c r="H23" s="116" t="str">
        <f>CONCATENATE("* differential.element[",'Base-1'!A28,"].type.code = #",'Base-1'!G28,"")</f>
        <v>* differential.element[22].type.code = #http://hl7.eu/fhir/ig/pcsp/StructureDefinition/MajorSurgery</v>
      </c>
      <c r="I23" s="10"/>
    </row>
    <row r="24" spans="2:9" ht="88.5" x14ac:dyDescent="0.75">
      <c r="B24" s="116" t="str">
        <f>CONCATENATE("* differential.element[",'Base-1'!$A29,"].id = """,'Base-1'!$B$6,".",'Base-1'!B29,"""")</f>
        <v>* differential.element[23].id = "TreatmentSummary.diagnosis.progressionRelapseDuringFLT"</v>
      </c>
      <c r="C24" s="116" t="str">
        <f>CONCATENATE("* differential.element[",'Base-1'!$A29,"].path = """,'Base-1'!$B$6,".",'Base-1'!B29,"""")</f>
        <v>* differential.element[23].path = "TreatmentSummary.diagnosis.progressionRelapseDuringFLT"</v>
      </c>
      <c r="D24" s="116" t="str">
        <f>CONCATENATE("* differential.element[",'Base-1'!A29,"].short = """,'Base-1'!C29,"""")</f>
        <v>* differential.element[23].short = "Progression-Relapse during FLT"</v>
      </c>
      <c r="E24" s="116" t="str">
        <f>CONCATENATE("* differential.element[",'Base-1'!A29,"].definition = """,'Base-1'!D29,"""")</f>
        <v>* differential.element[23].definition = "Progression-Relapse during Front line treatment"</v>
      </c>
      <c r="F24" s="116" t="str">
        <f>CONCATENATE("* differential.element[",'Base-1'!A29,"].min = ",'Base-1'!E29,"")</f>
        <v>* differential.element[23].min = 0</v>
      </c>
      <c r="G24" s="116" t="str">
        <f>CONCATENATE("* differential.element[",'Base-1'!A29,"].max = """,'Base-1'!F29,"""")</f>
        <v>* differential.element[23].max = "*"</v>
      </c>
      <c r="H24" s="116" t="str">
        <f>CONCATENATE("* differential.element[",'Base-1'!A29,"].type.code = #",'Base-1'!G29,"")</f>
        <v>* differential.element[23].type.code = #BackboneElement</v>
      </c>
      <c r="I24" s="10"/>
    </row>
    <row r="25" spans="2:9" ht="88.5" x14ac:dyDescent="0.75">
      <c r="B25" s="116" t="str">
        <f>CONCATENATE("* differential.element[",'Base-1'!$A30,"].id = """,'Base-1'!$B$6,".",'Base-1'!B30,"""")</f>
        <v>* differential.element[24].id = "TreatmentSummary.diagnosis.otherInfo"</v>
      </c>
      <c r="C25" s="116" t="str">
        <f>CONCATENATE("* differential.element[",'Base-1'!$A30,"].path = """,'Base-1'!$B$6,".",'Base-1'!B30,"""")</f>
        <v>* differential.element[24].path = "TreatmentSummary.diagnosis.otherInfo"</v>
      </c>
      <c r="D25" s="116" t="str">
        <f>CONCATENATE("* differential.element[",'Base-1'!A30,"].short = """,'Base-1'!C30,"""")</f>
        <v>* differential.element[24].short = "Other info and relevant events"</v>
      </c>
      <c r="E25" s="116" t="str">
        <f>CONCATENATE("* differential.element[",'Base-1'!A30,"].definition = """,'Base-1'!D30,"""")</f>
        <v>* differential.element[24].definition = "Other info and relevant events"</v>
      </c>
      <c r="F25" s="116" t="str">
        <f>CONCATENATE("* differential.element[",'Base-1'!A30,"].min = ",'Base-1'!E30,"")</f>
        <v>* differential.element[24].min = 0</v>
      </c>
      <c r="G25" s="116" t="str">
        <f>CONCATENATE("* differential.element[",'Base-1'!A30,"].max = """,'Base-1'!F30,"""")</f>
        <v>* differential.element[24].max = "*"</v>
      </c>
      <c r="H25" s="116" t="str">
        <f>CONCATENATE("* differential.element[",'Base-1'!A30,"].type.code = #",'Base-1'!G30,"")</f>
        <v>* differential.element[24].type.code = #BackboneElement</v>
      </c>
    </row>
    <row r="26" spans="2:9" ht="59" x14ac:dyDescent="0.75">
      <c r="B26" s="116" t="str">
        <f>CONCATENATE("* differential.element[",'Base-1'!$A31,"].id = """,'Base-1'!$B$6,".",'Base-1'!B31,"""")</f>
        <v>* differential.element[25].id = "TreatmentSummary.diagnosis.medicalSuggestion"</v>
      </c>
      <c r="C26" s="116" t="str">
        <f>CONCATENATE("* differential.element[",'Base-1'!$A31,"].path = """,'Base-1'!$B$6,".",'Base-1'!B31,"""")</f>
        <v>* differential.element[25].path = "TreatmentSummary.diagnosis.medicalSuggestion"</v>
      </c>
      <c r="D26" s="116" t="str">
        <f>CONCATENATE("* differential.element[",'Base-1'!A31,"].short = """,'Base-1'!C31,"""")</f>
        <v>* differential.element[25].short = "Medical suggestion"</v>
      </c>
      <c r="E26" s="116" t="str">
        <f>CONCATENATE("* differential.element[",'Base-1'!A31,"].definition = """,'Base-1'!D31,"""")</f>
        <v>* differential.element[25].definition = "Medical suggestion"</v>
      </c>
      <c r="F26" s="116" t="str">
        <f>CONCATENATE("* differential.element[",'Base-1'!A31,"].min = ",'Base-1'!E31,"")</f>
        <v>* differential.element[25].min = 0</v>
      </c>
      <c r="G26" s="116" t="str">
        <f>CONCATENATE("* differential.element[",'Base-1'!A31,"].max = """,'Base-1'!F31,"""")</f>
        <v>* differential.element[25].max = "*"</v>
      </c>
      <c r="H26" s="116" t="str">
        <f>CONCATENATE("* differential.element[",'Base-1'!A31,"].type.code = #",'Base-1'!G31,"")</f>
        <v>* differential.element[25].type.code = #BackboneElement</v>
      </c>
    </row>
    <row r="27" spans="2:9" ht="59" x14ac:dyDescent="0.75">
      <c r="B27" s="116" t="str">
        <f>CONCATENATE("* differential.element[",'Base-1'!$A32,"].id = """,'Base-1'!$B$6,".",'Base-1'!B32,"""")</f>
        <v>* differential.element[26].id = "TreatmentSummary.diagnosis.progressionRelapseAfterEOT"</v>
      </c>
      <c r="C27" s="116" t="str">
        <f>CONCATENATE("* differential.element[",'Base-1'!$A32,"].path = """,'Base-1'!$B$6,".",'Base-1'!B32,"""")</f>
        <v>* differential.element[26].path = "TreatmentSummary.diagnosis.progressionRelapseAfterEOT"</v>
      </c>
      <c r="D27" s="116" t="str">
        <f>CONCATENATE("* differential.element[",'Base-1'!A32,"].short = """,'Base-1'!C32,"""")</f>
        <v>* differential.element[26].short = "Progression-relapse after the End of Treatment"</v>
      </c>
      <c r="E27" s="116" t="str">
        <f>CONCATENATE("* differential.element[",'Base-1'!A32,"].definition = """,'Base-1'!D32,"""")</f>
        <v>* differential.element[26].definition = "Progression-relapse after the End of Treatment"</v>
      </c>
      <c r="F27" s="116" t="str">
        <f>CONCATENATE("* differential.element[",'Base-1'!A32,"].min = ",'Base-1'!E32,"")</f>
        <v>* differential.element[26].min = 0</v>
      </c>
      <c r="G27" s="116" t="str">
        <f>CONCATENATE("* differential.element[",'Base-1'!A32,"].max = """,'Base-1'!F32,"""")</f>
        <v>* differential.element[26].max = "*"</v>
      </c>
      <c r="H27" s="116" t="str">
        <f>CONCATENATE("* differential.element[",'Base-1'!A32,"].type.code = #",'Base-1'!G32,"")</f>
        <v>* differential.element[26].type.code = #BackboneElement</v>
      </c>
    </row>
    <row r="28" spans="2:9" ht="73.75" x14ac:dyDescent="0.75">
      <c r="B28" s="116" t="str">
        <f>CONCATENATE("* differential.element[",'Base-1'!$A33,"].id = """,'Base-1'!$B$6,".",'Base-1'!B33,"""")</f>
        <v>* differential.element[27].id = "TreatmentSummary.diagnosis.otherConditions"</v>
      </c>
      <c r="C28" s="116" t="str">
        <f>CONCATENATE("* differential.element[",'Base-1'!$A33,"].path = """,'Base-1'!$B$6,".",'Base-1'!B33,"""")</f>
        <v>* differential.element[27].path = "TreatmentSummary.diagnosis.otherConditions"</v>
      </c>
      <c r="D28" s="116" t="str">
        <f>CONCATENATE("* differential.element[",'Base-1'!A33,"].short = """,'Base-1'!C33,"""")</f>
        <v>* differential.element[27].short = "Other medical conditions, not cancer associated"</v>
      </c>
      <c r="E28" s="116" t="str">
        <f>CONCATENATE("* differential.element[",'Base-1'!A33,"].definition = """,'Base-1'!D33,"""")</f>
        <v>* differential.element[27].definition = "Please list here if the patient has or had other medical conditions not reported to be cancer-associated (e.g. diabetes, congenital cardiopathy, amputations, kidney transplant)"</v>
      </c>
      <c r="F28" s="116" t="str">
        <f>CONCATENATE("* differential.element[",'Base-1'!A33,"].min = ",'Base-1'!E33,"")</f>
        <v>* differential.element[27].min = 0</v>
      </c>
      <c r="G28" s="116" t="str">
        <f>CONCATENATE("* differential.element[",'Base-1'!A33,"].max = """,'Base-1'!F33,"""")</f>
        <v>* differential.element[27].max = "*"</v>
      </c>
      <c r="H28" s="116" t="str">
        <f>CONCATENATE("* differential.element[",'Base-1'!A33,"].type.code = #",'Base-1'!G33,"")</f>
        <v>* differential.element[27].type.code = #string</v>
      </c>
    </row>
    <row r="29" spans="2:9" x14ac:dyDescent="0.75">
      <c r="B29" s="32"/>
      <c r="C29" s="32"/>
      <c r="D29" s="32"/>
      <c r="E29" s="32"/>
      <c r="F29" s="32"/>
      <c r="G29" s="32"/>
      <c r="H29" s="32"/>
    </row>
    <row r="30" spans="2:9" x14ac:dyDescent="0.75">
      <c r="B30" s="32"/>
      <c r="C30" s="32"/>
      <c r="D30" s="32"/>
      <c r="E30" s="32"/>
      <c r="F30" s="32"/>
      <c r="G30" s="32"/>
      <c r="H30" s="32"/>
    </row>
    <row r="31" spans="2:9" x14ac:dyDescent="0.75">
      <c r="B31" s="32"/>
      <c r="C31" s="32"/>
      <c r="D31" s="32"/>
      <c r="E31" s="32"/>
      <c r="F31" s="32"/>
      <c r="G31" s="32"/>
      <c r="H31" s="32"/>
    </row>
    <row r="32" spans="2:9" x14ac:dyDescent="0.75">
      <c r="B32" s="32"/>
      <c r="C32" s="32"/>
      <c r="D32" s="32"/>
      <c r="E32" s="32"/>
      <c r="F32" s="32"/>
      <c r="G32" s="32"/>
      <c r="H32" s="32"/>
    </row>
    <row r="33" spans="2:8" x14ac:dyDescent="0.75">
      <c r="B33" s="32"/>
      <c r="C33" s="32"/>
      <c r="D33" s="32"/>
      <c r="E33" s="32"/>
      <c r="F33" s="32"/>
      <c r="G33" s="32"/>
      <c r="H33" s="32"/>
    </row>
    <row r="34" spans="2:8" x14ac:dyDescent="0.75">
      <c r="B34" s="32"/>
      <c r="C34" s="32"/>
      <c r="D34" s="32"/>
      <c r="E34" s="32"/>
      <c r="F34" s="32"/>
      <c r="G34" s="32"/>
      <c r="H34" s="32"/>
    </row>
    <row r="35" spans="2:8" x14ac:dyDescent="0.75">
      <c r="B35" s="32"/>
      <c r="C35" s="32"/>
      <c r="D35" s="32"/>
      <c r="E35" s="32"/>
      <c r="F35" s="32"/>
      <c r="G35" s="32"/>
      <c r="H35" s="32"/>
    </row>
    <row r="36" spans="2:8" x14ac:dyDescent="0.75">
      <c r="B36" s="32"/>
      <c r="C36" s="32"/>
      <c r="D36" s="32"/>
      <c r="E36" s="32"/>
      <c r="F36" s="32"/>
      <c r="G36" s="32"/>
      <c r="H36" s="32"/>
    </row>
    <row r="37" spans="2:8" x14ac:dyDescent="0.75">
      <c r="B37" s="32"/>
      <c r="C37" s="32"/>
      <c r="D37" s="32"/>
      <c r="E37" s="32"/>
      <c r="F37" s="32"/>
      <c r="G37" s="32"/>
      <c r="H37" s="32"/>
    </row>
    <row r="38" spans="2:8" x14ac:dyDescent="0.75">
      <c r="B38" s="32"/>
      <c r="C38" s="32"/>
      <c r="D38" s="32"/>
      <c r="E38" s="32"/>
      <c r="F38" s="32"/>
      <c r="G38" s="32"/>
      <c r="H38" s="32"/>
    </row>
    <row r="39" spans="2:8" x14ac:dyDescent="0.75">
      <c r="B39" s="32"/>
      <c r="C39" s="32"/>
      <c r="D39" s="32"/>
      <c r="E39" s="32"/>
      <c r="F39" s="32"/>
      <c r="G39" s="32"/>
      <c r="H39" s="32"/>
    </row>
    <row r="40" spans="2:8" x14ac:dyDescent="0.75">
      <c r="B40" s="32"/>
      <c r="C40" s="32"/>
      <c r="D40" s="32"/>
      <c r="E40" s="32"/>
      <c r="F40" s="32"/>
      <c r="G40" s="32"/>
      <c r="H40" s="32"/>
    </row>
    <row r="41" spans="2:8" x14ac:dyDescent="0.75">
      <c r="B41" s="32"/>
      <c r="C41" s="32"/>
      <c r="D41" s="32"/>
      <c r="E41" s="32"/>
      <c r="F41" s="32"/>
      <c r="G41" s="32"/>
      <c r="H41" s="32"/>
    </row>
    <row r="42" spans="2:8" x14ac:dyDescent="0.75">
      <c r="B42" s="32"/>
      <c r="C42" s="32"/>
      <c r="D42" s="32"/>
      <c r="E42" s="32"/>
      <c r="F42" s="32"/>
      <c r="G42" s="32"/>
      <c r="H42" s="32"/>
    </row>
    <row r="43" spans="2:8" x14ac:dyDescent="0.75">
      <c r="B43" s="32"/>
      <c r="C43" s="32"/>
      <c r="D43" s="32"/>
      <c r="E43" s="32"/>
      <c r="F43" s="32"/>
      <c r="G43" s="32"/>
      <c r="H43" s="32"/>
    </row>
    <row r="44" spans="2:8" x14ac:dyDescent="0.75">
      <c r="B44" s="32"/>
      <c r="C44" s="32"/>
      <c r="D44" s="32"/>
      <c r="E44" s="32"/>
      <c r="F44" s="32"/>
      <c r="G44" s="32"/>
      <c r="H44" s="32"/>
    </row>
    <row r="45" spans="2:8" x14ac:dyDescent="0.75">
      <c r="B45" s="32"/>
      <c r="C45" s="32"/>
      <c r="D45" s="32"/>
      <c r="E45" s="32"/>
      <c r="F45" s="32"/>
      <c r="G45" s="32"/>
      <c r="H45" s="32"/>
    </row>
    <row r="46" spans="2:8" x14ac:dyDescent="0.75">
      <c r="B46" s="32"/>
      <c r="C46" s="32"/>
      <c r="D46" s="32"/>
      <c r="E46" s="32"/>
      <c r="F46" s="32"/>
      <c r="G46" s="32"/>
      <c r="H46" s="32"/>
    </row>
    <row r="47" spans="2:8" x14ac:dyDescent="0.75">
      <c r="B47" s="32"/>
      <c r="C47" s="32"/>
      <c r="D47" s="32"/>
      <c r="E47" s="32"/>
      <c r="F47" s="32"/>
      <c r="G47" s="32"/>
      <c r="H47" s="32"/>
    </row>
    <row r="48" spans="2:8" x14ac:dyDescent="0.75">
      <c r="B48" s="32"/>
      <c r="C48" s="32"/>
      <c r="D48" s="32"/>
      <c r="E48" s="32"/>
      <c r="F48" s="32"/>
      <c r="G48" s="32"/>
      <c r="H48" s="32"/>
    </row>
    <row r="49" spans="2:8" x14ac:dyDescent="0.75">
      <c r="B49" s="32"/>
      <c r="C49" s="32"/>
      <c r="D49" s="32"/>
      <c r="E49" s="32"/>
      <c r="F49" s="32"/>
      <c r="G49" s="32"/>
      <c r="H49" s="32"/>
    </row>
    <row r="50" spans="2:8" x14ac:dyDescent="0.75">
      <c r="B50" s="32"/>
      <c r="C50" s="32"/>
      <c r="D50" s="32"/>
      <c r="E50" s="32"/>
      <c r="F50" s="32"/>
      <c r="G50" s="32"/>
      <c r="H50" s="32"/>
    </row>
    <row r="51" spans="2:8" x14ac:dyDescent="0.75">
      <c r="B51" s="32"/>
      <c r="C51" s="32"/>
      <c r="D51" s="32"/>
      <c r="E51" s="32"/>
      <c r="F51" s="32"/>
      <c r="G51" s="32"/>
      <c r="H51" s="32"/>
    </row>
    <row r="52" spans="2:8" x14ac:dyDescent="0.75">
      <c r="B52" s="32"/>
      <c r="C52" s="32"/>
      <c r="D52" s="32"/>
      <c r="E52" s="32"/>
      <c r="F52" s="32"/>
      <c r="G52" s="32"/>
      <c r="H52" s="32"/>
    </row>
    <row r="53" spans="2:8" x14ac:dyDescent="0.75">
      <c r="B53" s="32"/>
      <c r="C53" s="32"/>
      <c r="D53" s="32"/>
      <c r="E53" s="32"/>
      <c r="F53" s="32"/>
      <c r="G53" s="32"/>
      <c r="H53" s="32"/>
    </row>
    <row r="54" spans="2:8" x14ac:dyDescent="0.75">
      <c r="B54" s="32"/>
      <c r="C54" s="32"/>
      <c r="D54" s="32"/>
      <c r="E54" s="32"/>
      <c r="F54" s="32"/>
      <c r="G54" s="32"/>
      <c r="H54" s="32"/>
    </row>
    <row r="55" spans="2:8" x14ac:dyDescent="0.75">
      <c r="B55" s="32"/>
      <c r="C55" s="32"/>
      <c r="D55" s="32"/>
      <c r="E55" s="32"/>
      <c r="F55" s="32"/>
      <c r="G55" s="32"/>
      <c r="H55" s="32"/>
    </row>
    <row r="56" spans="2:8" x14ac:dyDescent="0.75">
      <c r="B56" s="32"/>
      <c r="C56" s="32"/>
      <c r="D56" s="32"/>
      <c r="E56" s="32"/>
      <c r="F56" s="32"/>
      <c r="G56" s="32"/>
      <c r="H56" s="32"/>
    </row>
    <row r="57" spans="2:8" x14ac:dyDescent="0.75">
      <c r="B57" s="32"/>
      <c r="C57" s="32"/>
      <c r="D57" s="32"/>
      <c r="E57" s="32"/>
      <c r="F57" s="32"/>
      <c r="G57" s="32"/>
      <c r="H57" s="32"/>
    </row>
    <row r="58" spans="2:8" x14ac:dyDescent="0.75">
      <c r="B58" s="32"/>
      <c r="C58" s="32"/>
      <c r="D58" s="32"/>
      <c r="E58" s="32"/>
      <c r="F58" s="32"/>
      <c r="G58" s="32"/>
      <c r="H58" s="32"/>
    </row>
    <row r="59" spans="2:8" x14ac:dyDescent="0.75">
      <c r="B59" s="32"/>
      <c r="C59" s="32"/>
      <c r="D59" s="32"/>
      <c r="E59" s="32"/>
      <c r="F59" s="32"/>
      <c r="G59" s="32"/>
      <c r="H59" s="32"/>
    </row>
    <row r="60" spans="2:8" x14ac:dyDescent="0.75">
      <c r="B60" s="32"/>
      <c r="C60" s="32"/>
      <c r="D60" s="32"/>
      <c r="E60" s="32"/>
      <c r="F60" s="32"/>
      <c r="G60" s="32"/>
      <c r="H60" s="32"/>
    </row>
    <row r="61" spans="2:8" x14ac:dyDescent="0.75">
      <c r="B61" s="32"/>
      <c r="C61" s="32"/>
      <c r="D61" s="32"/>
      <c r="E61" s="32"/>
      <c r="F61" s="32"/>
      <c r="G61" s="32"/>
      <c r="H61" s="32"/>
    </row>
    <row r="62" spans="2:8" x14ac:dyDescent="0.75">
      <c r="B62" s="32"/>
      <c r="C62" s="32"/>
      <c r="D62" s="32"/>
      <c r="E62" s="32"/>
      <c r="F62" s="32"/>
      <c r="G62" s="32"/>
      <c r="H62" s="32"/>
    </row>
    <row r="63" spans="2:8" x14ac:dyDescent="0.75">
      <c r="B63" s="32"/>
      <c r="C63" s="32"/>
      <c r="D63" s="32"/>
      <c r="E63" s="32"/>
      <c r="F63" s="32"/>
      <c r="G63" s="32"/>
      <c r="H63" s="32"/>
    </row>
    <row r="64" spans="2:8" x14ac:dyDescent="0.75">
      <c r="B64" s="32"/>
      <c r="C64" s="32"/>
      <c r="D64" s="32"/>
      <c r="E64" s="32"/>
      <c r="F64" s="32"/>
      <c r="G64" s="32"/>
      <c r="H64" s="32"/>
    </row>
    <row r="65" spans="2:8" x14ac:dyDescent="0.75">
      <c r="B65" s="32"/>
      <c r="C65" s="32"/>
      <c r="D65" s="32"/>
      <c r="E65" s="32"/>
      <c r="F65" s="32"/>
      <c r="G65" s="32"/>
      <c r="H65" s="32"/>
    </row>
    <row r="66" spans="2:8" x14ac:dyDescent="0.75">
      <c r="B66" s="32"/>
      <c r="C66" s="32"/>
      <c r="D66" s="32"/>
      <c r="E66" s="32"/>
      <c r="F66" s="32"/>
      <c r="G66" s="32"/>
      <c r="H66" s="32"/>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workbookViewId="0">
      <selection activeCell="D25" sqref="D25"/>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6" t="str">
        <f>CONCATENATE("Instance: ",'Base-1'!B6)</f>
        <v>Instance: TreatmentSummary</v>
      </c>
    </row>
    <row r="3" spans="4:7" x14ac:dyDescent="0.75">
      <c r="D3" s="16" t="s">
        <v>25</v>
      </c>
    </row>
    <row r="4" spans="4:7" x14ac:dyDescent="0.75">
      <c r="D4" s="16" t="str">
        <f>CONCATENATE("Description: """,'Base-1'!D2,"""")</f>
        <v>Description: "Treatment Summary data model"</v>
      </c>
      <c r="E4" s="16"/>
    </row>
    <row r="5" spans="4:7" x14ac:dyDescent="0.75">
      <c r="D5" s="16" t="str">
        <f>CONCATENATE("Title: """,'Base-1'!C2,"""")</f>
        <v>Title: "Treatment Summary"</v>
      </c>
      <c r="E5" s="16"/>
    </row>
    <row r="6" spans="4:7" x14ac:dyDescent="0.75">
      <c r="D6" s="16" t="s">
        <v>26</v>
      </c>
      <c r="E6" s="16"/>
    </row>
    <row r="7" spans="4:7" x14ac:dyDescent="0.75">
      <c r="D7" s="16"/>
      <c r="E7" s="16"/>
    </row>
    <row r="8" spans="4:7" x14ac:dyDescent="0.75">
      <c r="D8" s="16" t="str">
        <f>CONCATENATE("* publisher = """,'Base-1'!B4,"""")</f>
        <v>* publisher = "PanCareSurPass project"</v>
      </c>
      <c r="E8" s="16"/>
    </row>
    <row r="9" spans="4:7" x14ac:dyDescent="0.75">
      <c r="D9" s="16" t="s">
        <v>27</v>
      </c>
      <c r="E9" s="16"/>
    </row>
    <row r="10" spans="4:7" x14ac:dyDescent="0.75">
      <c r="D10" s="16" t="str">
        <f>CONCATENATE("* url = """,'Base-1'!B2,"/StructureDefinition/",'Base-1'!B6,"""")</f>
        <v>* url = "http://hl7.eu/fhir/ig/pcsp/StructureDefinition/TreatmentSummary"</v>
      </c>
      <c r="E10" s="16"/>
      <c r="G10" s="55" t="s">
        <v>66</v>
      </c>
    </row>
    <row r="11" spans="4:7" x14ac:dyDescent="0.75">
      <c r="D11" s="16" t="str">
        <f>CONCATENATE("* name = """,'Base-1'!C4,"""")</f>
        <v>* name = "TreatmentSummary"</v>
      </c>
      <c r="E11" s="16"/>
    </row>
    <row r="12" spans="4:7" x14ac:dyDescent="0.75">
      <c r="D12" s="16" t="str">
        <f>CONCATENATE("* title = """,'Base-1'!C2,"""")</f>
        <v>* title = "Treatment Summary"</v>
      </c>
      <c r="E12" s="16"/>
    </row>
    <row r="13" spans="4:7" x14ac:dyDescent="0.75">
      <c r="D13" s="16" t="s">
        <v>27</v>
      </c>
      <c r="E13" s="16"/>
    </row>
    <row r="14" spans="4:7" x14ac:dyDescent="0.75">
      <c r="D14" s="16" t="s">
        <v>28</v>
      </c>
      <c r="E14" s="16"/>
    </row>
    <row r="15" spans="4:7" x14ac:dyDescent="0.75">
      <c r="D15" s="16" t="str">
        <f>CONCATENATE("* description = """,'Base-1'!D2,"""")</f>
        <v>* description = "Treatment Summary data model"</v>
      </c>
      <c r="E15" s="16"/>
    </row>
    <row r="16" spans="4:7" x14ac:dyDescent="0.75">
      <c r="D16" s="16" t="s">
        <v>29</v>
      </c>
      <c r="E16" s="16"/>
    </row>
    <row r="18" spans="2:7" s="26" customFormat="1" x14ac:dyDescent="0.75">
      <c r="C18" s="26">
        <v>0</v>
      </c>
      <c r="D18" s="48" t="str">
        <f>CONCATENATE("* mapping[",C18,"].identity = """,'BaseMap-1'!F1,"""")</f>
        <v>* mapping[0].identity = "fhir"</v>
      </c>
      <c r="G18" s="1" t="s">
        <v>53</v>
      </c>
    </row>
    <row r="19" spans="2:7" s="26" customFormat="1" x14ac:dyDescent="0.75">
      <c r="B19" s="49" t="s">
        <v>55</v>
      </c>
      <c r="C19" s="26">
        <v>0</v>
      </c>
      <c r="D19" s="48" t="str">
        <f>CONCATENATE("* mapping[",C19,"].uri = """,'BaseMap-1'!F2,"""")</f>
        <v>* mapping[0].uri = "hl7.org/fhir/r4"</v>
      </c>
      <c r="G19" s="1" t="s">
        <v>54</v>
      </c>
    </row>
    <row r="20" spans="2:7" s="26" customFormat="1" x14ac:dyDescent="0.75">
      <c r="C20" s="26">
        <v>0</v>
      </c>
      <c r="D20" s="48" t="str">
        <f>CONCATENATE("* mapping[",C20,"].name = """,'BaseMap-1'!D2,"""")</f>
        <v>* mapping[0].name = "FHIR"</v>
      </c>
      <c r="G20" s="1" t="s">
        <v>56</v>
      </c>
    </row>
    <row r="21" spans="2:7" s="26" customFormat="1" x14ac:dyDescent="0.75"/>
    <row r="22" spans="2:7" x14ac:dyDescent="0.75">
      <c r="D22" s="16" t="s">
        <v>30</v>
      </c>
      <c r="E22" s="16"/>
    </row>
    <row r="23" spans="2:7" x14ac:dyDescent="0.75">
      <c r="D23" s="16" t="s">
        <v>67</v>
      </c>
      <c r="E23" s="16"/>
    </row>
    <row r="24" spans="2:7" x14ac:dyDescent="0.75">
      <c r="D24" s="16" t="str">
        <f>CONCATENATE("* type = """,'Base-1'!B6,"""")</f>
        <v>* type = "TreatmentSummary"</v>
      </c>
      <c r="E24" s="16"/>
    </row>
    <row r="25" spans="2:7" x14ac:dyDescent="0.75">
      <c r="D25" s="16" t="s">
        <v>31</v>
      </c>
    </row>
    <row r="26" spans="2:7" x14ac:dyDescent="0.75">
      <c r="D26" s="16" t="s">
        <v>32</v>
      </c>
    </row>
    <row r="28" spans="2:7" x14ac:dyDescent="0.75">
      <c r="D28" s="13" t="str">
        <f>'Base-2'!B1</f>
        <v>* differential.element[0].id = "TreatmentSummary"</v>
      </c>
    </row>
    <row r="29" spans="2:7" x14ac:dyDescent="0.75">
      <c r="D29" s="13" t="str">
        <f>'Base-2'!C1</f>
        <v>* differential.element[0].path = "TreatmentSummary"</v>
      </c>
      <c r="G29" t="s">
        <v>68</v>
      </c>
    </row>
    <row r="30" spans="2:7" x14ac:dyDescent="0.75">
      <c r="D30" s="40" t="str">
        <f>'Base-2'!D1</f>
        <v>* differential.element[0].short = "Treatment Summary"</v>
      </c>
    </row>
    <row r="31" spans="2:7" x14ac:dyDescent="0.75">
      <c r="D31" s="13" t="str">
        <f>'Base-2'!E1</f>
        <v>* differential.element[0].definition = "PanCareSurPass Treatment Summary"</v>
      </c>
    </row>
    <row r="32" spans="2:7" x14ac:dyDescent="0.75">
      <c r="D32" s="13" t="str">
        <f>'Base-2'!F1</f>
        <v>* differential.element[0].min = 1</v>
      </c>
    </row>
    <row r="33" spans="1:4" x14ac:dyDescent="0.75">
      <c r="D33" s="13" t="str">
        <f>'Base-2'!G1</f>
        <v>* differential.element[0].max = "1"</v>
      </c>
    </row>
    <row r="34" spans="1:4" x14ac:dyDescent="0.75">
      <c r="D34" s="8"/>
    </row>
    <row r="35" spans="1:4" x14ac:dyDescent="0.75">
      <c r="A35" s="2">
        <v>1</v>
      </c>
      <c r="B35" s="2">
        <f>IF(MOD(A35,7)=0,A35/7-1,INT(A35/7))</f>
        <v>0</v>
      </c>
      <c r="C35" s="2">
        <f>IF(MOD(A35,7)=0,7,MOD(A35,7))</f>
        <v>1</v>
      </c>
      <c r="D35" s="9" t="str" cm="1">
        <f t="array" ref="D35">INDEX('Base-2'!$B$2:$H$88,1+B35,C35)</f>
        <v>* differential.element[1].id = "TreatmentSummary.subject"</v>
      </c>
    </row>
    <row r="36" spans="1:4" x14ac:dyDescent="0.75">
      <c r="A36" s="2">
        <v>2</v>
      </c>
      <c r="B36" s="2">
        <f t="shared" ref="B36:B41" si="0">IF(MOD(A36,7)=0,A36/7-1,INT(A36/7))</f>
        <v>0</v>
      </c>
      <c r="C36" s="2">
        <f t="shared" ref="C36:C41" si="1">IF(MOD(A36,7)=0,7,MOD(A36,7))</f>
        <v>2</v>
      </c>
      <c r="D36" s="32" t="str" cm="1">
        <f t="array" ref="D36">INDEX('Base-2'!$B$2:$H$88,1+B36,C36)</f>
        <v>* differential.element[1].path = "TreatmentSummary.subject"</v>
      </c>
    </row>
    <row r="37" spans="1:4" x14ac:dyDescent="0.75">
      <c r="A37" s="2">
        <v>3</v>
      </c>
      <c r="B37" s="2">
        <f t="shared" si="0"/>
        <v>0</v>
      </c>
      <c r="C37" s="2">
        <f t="shared" si="1"/>
        <v>3</v>
      </c>
      <c r="D37" s="32" t="str" cm="1">
        <f t="array" ref="D37">INDEX('Base-2'!$B$2:$H$88,1+B37,C37)</f>
        <v>* differential.element[1].short = "Subject"</v>
      </c>
    </row>
    <row r="38" spans="1:4" x14ac:dyDescent="0.75">
      <c r="A38" s="2">
        <v>4</v>
      </c>
      <c r="B38" s="2">
        <f t="shared" si="0"/>
        <v>0</v>
      </c>
      <c r="C38" s="2">
        <f t="shared" si="1"/>
        <v>4</v>
      </c>
      <c r="D38" s="32" t="str" cm="1">
        <f t="array" ref="D38">INDEX('Base-2'!$B$2:$H$88,1+B38,C38)</f>
        <v>* differential.element[1].definition = "Subject"</v>
      </c>
    </row>
    <row r="39" spans="1:4" x14ac:dyDescent="0.75">
      <c r="A39" s="2">
        <v>5</v>
      </c>
      <c r="B39" s="2">
        <f t="shared" si="0"/>
        <v>0</v>
      </c>
      <c r="C39" s="2">
        <f t="shared" si="1"/>
        <v>5</v>
      </c>
      <c r="D39" s="32" t="str" cm="1">
        <f t="array" ref="D39">INDEX('Base-2'!$B$2:$H$88,1+B39,C39)</f>
        <v>* differential.element[1].min = 1</v>
      </c>
    </row>
    <row r="40" spans="1:4" x14ac:dyDescent="0.75">
      <c r="A40" s="2">
        <v>6</v>
      </c>
      <c r="B40" s="2">
        <f t="shared" si="0"/>
        <v>0</v>
      </c>
      <c r="C40" s="2">
        <f t="shared" si="1"/>
        <v>6</v>
      </c>
      <c r="D40" s="32" t="str" cm="1">
        <f t="array" ref="D40">INDEX('Base-2'!$B$2:$H$88,1+B40,C40)</f>
        <v>* differential.element[1].max = "1"</v>
      </c>
    </row>
    <row r="41" spans="1:4" x14ac:dyDescent="0.75">
      <c r="A41" s="27">
        <v>7</v>
      </c>
      <c r="B41" s="27">
        <f t="shared" si="0"/>
        <v>0</v>
      </c>
      <c r="C41" s="27">
        <f t="shared" si="1"/>
        <v>7</v>
      </c>
      <c r="D41" s="116" t="str" cm="1">
        <f t="array" ref="D41">INDEX('Base-2'!$B$2:$H$88,1+B41,C41)</f>
        <v>* differential.element[1].type.code = #http://hl7.eu/fhir/ig/pcsp/StructureDefinition/Subject</v>
      </c>
    </row>
    <row r="42" spans="1:4" x14ac:dyDescent="0.75">
      <c r="A42" s="27">
        <v>8</v>
      </c>
      <c r="B42" s="27">
        <f t="shared" ref="B42:B105" si="2">IF(MOD(A42,7)=0,A42/7-1,INT(A42/7))</f>
        <v>1</v>
      </c>
      <c r="C42" s="27">
        <f t="shared" ref="C42:C105" si="3">IF(MOD(A42,7)=0,7,MOD(A42,7))</f>
        <v>1</v>
      </c>
      <c r="D42" s="116" t="str" cm="1">
        <f t="array" ref="D42">INDEX('Base-2'!$B$2:$H$88,1+B42,C42)</f>
        <v>* differential.element[2].id = "TreatmentSummary.diagnosis"</v>
      </c>
    </row>
    <row r="43" spans="1:4" x14ac:dyDescent="0.75">
      <c r="A43" s="27">
        <v>9</v>
      </c>
      <c r="B43" s="27">
        <f t="shared" si="2"/>
        <v>1</v>
      </c>
      <c r="C43" s="27">
        <f t="shared" si="3"/>
        <v>2</v>
      </c>
      <c r="D43" s="116" t="str" cm="1">
        <f t="array" ref="D43">INDEX('Base-2'!$B$2:$H$88,1+B43,C43)</f>
        <v>* differential.element[2].path = "TreatmentSummary.diagnosis"</v>
      </c>
    </row>
    <row r="44" spans="1:4" x14ac:dyDescent="0.75">
      <c r="A44" s="27">
        <v>10</v>
      </c>
      <c r="B44" s="27">
        <f t="shared" si="2"/>
        <v>1</v>
      </c>
      <c r="C44" s="27">
        <f t="shared" si="3"/>
        <v>3</v>
      </c>
      <c r="D44" s="116" t="str" cm="1">
        <f t="array" ref="D44">INDEX('Base-2'!$B$2:$H$88,1+B44,C44)</f>
        <v>* differential.element[2].short = "Diagnosis"</v>
      </c>
    </row>
    <row r="45" spans="1:4" x14ac:dyDescent="0.75">
      <c r="A45" s="27">
        <v>11</v>
      </c>
      <c r="B45" s="27">
        <f t="shared" si="2"/>
        <v>1</v>
      </c>
      <c r="C45" s="27">
        <f t="shared" si="3"/>
        <v>4</v>
      </c>
      <c r="D45" s="116" t="str" cm="1">
        <f t="array" ref="D45">INDEX('Base-2'!$B$2:$H$88,1+B45,C45)</f>
        <v>* differential.element[2].definition = "Diagnosis"</v>
      </c>
    </row>
    <row r="46" spans="1:4" x14ac:dyDescent="0.75">
      <c r="A46" s="27">
        <v>12</v>
      </c>
      <c r="B46" s="27">
        <f t="shared" si="2"/>
        <v>1</v>
      </c>
      <c r="C46" s="27">
        <f t="shared" si="3"/>
        <v>5</v>
      </c>
      <c r="D46" s="116" t="str" cm="1">
        <f t="array" ref="D46">INDEX('Base-2'!$B$2:$H$88,1+B46,C46)</f>
        <v>* differential.element[2].min = 0</v>
      </c>
    </row>
    <row r="47" spans="1:4" x14ac:dyDescent="0.75">
      <c r="A47" s="27">
        <v>13</v>
      </c>
      <c r="B47" s="27">
        <f t="shared" si="2"/>
        <v>1</v>
      </c>
      <c r="C47" s="27">
        <f t="shared" si="3"/>
        <v>6</v>
      </c>
      <c r="D47" s="116" t="str" cm="1">
        <f t="array" ref="D47">INDEX('Base-2'!$B$2:$H$88,1+B47,C47)</f>
        <v>* differential.element[2].max = "5"</v>
      </c>
    </row>
    <row r="48" spans="1:4" x14ac:dyDescent="0.75">
      <c r="A48" s="27">
        <v>14</v>
      </c>
      <c r="B48" s="27">
        <f t="shared" si="2"/>
        <v>1</v>
      </c>
      <c r="C48" s="27">
        <f t="shared" si="3"/>
        <v>7</v>
      </c>
      <c r="D48" s="116" t="str" cm="1">
        <f t="array" ref="D48">INDEX('Base-2'!$B$2:$H$88,1+B48,C48)</f>
        <v>* differential.element[2].type.code = #BackboneElement</v>
      </c>
    </row>
    <row r="49" spans="1:4" x14ac:dyDescent="0.75">
      <c r="A49" s="27">
        <v>15</v>
      </c>
      <c r="B49" s="27">
        <f t="shared" si="2"/>
        <v>2</v>
      </c>
      <c r="C49" s="27">
        <f t="shared" si="3"/>
        <v>1</v>
      </c>
      <c r="D49" s="116" t="str" cm="1">
        <f t="array" ref="D49">INDEX('Base-2'!$B$2:$H$88,1+B49,C49)</f>
        <v>* differential.element[3].id = "TreatmentSummary.diagnosis.details"</v>
      </c>
    </row>
    <row r="50" spans="1:4" x14ac:dyDescent="0.75">
      <c r="A50" s="27">
        <v>16</v>
      </c>
      <c r="B50" s="27">
        <f t="shared" si="2"/>
        <v>2</v>
      </c>
      <c r="C50" s="27">
        <f t="shared" si="3"/>
        <v>2</v>
      </c>
      <c r="D50" s="116" t="str" cm="1">
        <f t="array" ref="D50">INDEX('Base-2'!$B$2:$H$88,1+B50,C50)</f>
        <v>* differential.element[3].path = "TreatmentSummary.diagnosis.details"</v>
      </c>
    </row>
    <row r="51" spans="1:4" x14ac:dyDescent="0.75">
      <c r="A51" s="27">
        <v>17</v>
      </c>
      <c r="B51" s="27">
        <f t="shared" si="2"/>
        <v>2</v>
      </c>
      <c r="C51" s="27">
        <f t="shared" si="3"/>
        <v>3</v>
      </c>
      <c r="D51" s="116" t="str" cm="1">
        <f t="array" ref="D51">INDEX('Base-2'!$B$2:$H$88,1+B51,C51)</f>
        <v>* differential.element[3].short = "Details about this diagnosis"</v>
      </c>
    </row>
    <row r="52" spans="1:4" x14ac:dyDescent="0.75">
      <c r="A52" s="27">
        <v>18</v>
      </c>
      <c r="B52" s="27">
        <f t="shared" si="2"/>
        <v>2</v>
      </c>
      <c r="C52" s="27">
        <f t="shared" si="3"/>
        <v>4</v>
      </c>
      <c r="D52" s="116" t="str" cm="1">
        <f t="array" ref="D52">INDEX('Base-2'!$B$2:$H$88,1+B52,C52)</f>
        <v>* differential.element[3].definition = "Details about this diagnosis"</v>
      </c>
    </row>
    <row r="53" spans="1:4" x14ac:dyDescent="0.75">
      <c r="A53" s="27">
        <v>19</v>
      </c>
      <c r="B53" s="27">
        <f t="shared" si="2"/>
        <v>2</v>
      </c>
      <c r="C53" s="27">
        <f t="shared" si="3"/>
        <v>5</v>
      </c>
      <c r="D53" s="116" t="str" cm="1">
        <f t="array" ref="D53">INDEX('Base-2'!$B$2:$H$88,1+B53,C53)</f>
        <v>* differential.element[3].min = 0</v>
      </c>
    </row>
    <row r="54" spans="1:4" x14ac:dyDescent="0.75">
      <c r="A54" s="27">
        <v>20</v>
      </c>
      <c r="B54" s="27">
        <f t="shared" si="2"/>
        <v>2</v>
      </c>
      <c r="C54" s="27">
        <f t="shared" si="3"/>
        <v>6</v>
      </c>
      <c r="D54" s="116" t="str" cm="1">
        <f t="array" ref="D54">INDEX('Base-2'!$B$2:$H$88,1+B54,C54)</f>
        <v>* differential.element[3].max = "1"</v>
      </c>
    </row>
    <row r="55" spans="1:4" x14ac:dyDescent="0.75">
      <c r="A55" s="27">
        <v>21</v>
      </c>
      <c r="B55" s="27">
        <f t="shared" si="2"/>
        <v>2</v>
      </c>
      <c r="C55" s="27">
        <f t="shared" si="3"/>
        <v>7</v>
      </c>
      <c r="D55" s="116" t="str" cm="1">
        <f t="array" ref="D55">INDEX('Base-2'!$B$2:$H$88,1+B55,C55)</f>
        <v>* differential.element[3].type.code = #http://hl7.eu/fhir/ig/pcsp/StructureDefinition/Diagnosis</v>
      </c>
    </row>
    <row r="56" spans="1:4" x14ac:dyDescent="0.75">
      <c r="A56" s="27">
        <v>22</v>
      </c>
      <c r="B56" s="27">
        <f t="shared" si="2"/>
        <v>3</v>
      </c>
      <c r="C56" s="27">
        <f t="shared" si="3"/>
        <v>1</v>
      </c>
      <c r="D56" s="116" t="str" cm="1">
        <f t="array" ref="D56">INDEX('Base-2'!$B$2:$H$88,1+B56,C56)</f>
        <v>* differential.element[4].id = "TreatmentSummary.diagnosis.frontLineTreatment"</v>
      </c>
    </row>
    <row r="57" spans="1:4" x14ac:dyDescent="0.75">
      <c r="A57" s="27">
        <v>23</v>
      </c>
      <c r="B57" s="27">
        <f t="shared" si="2"/>
        <v>3</v>
      </c>
      <c r="C57" s="27">
        <f t="shared" si="3"/>
        <v>2</v>
      </c>
      <c r="D57" s="116" t="str" cm="1">
        <f t="array" ref="D57">INDEX('Base-2'!$B$2:$H$88,1+B57,C57)</f>
        <v>* differential.element[4].path = "TreatmentSummary.diagnosis.frontLineTreatment"</v>
      </c>
    </row>
    <row r="58" spans="1:4" x14ac:dyDescent="0.75">
      <c r="A58" s="27">
        <v>24</v>
      </c>
      <c r="B58" s="27">
        <f t="shared" si="2"/>
        <v>3</v>
      </c>
      <c r="C58" s="27">
        <f t="shared" si="3"/>
        <v>3</v>
      </c>
      <c r="D58" s="116" t="str" cm="1">
        <f t="array" ref="D58">INDEX('Base-2'!$B$2:$H$88,1+B58,C58)</f>
        <v>* differential.element[4].short = "Front line treatment"</v>
      </c>
    </row>
    <row r="59" spans="1:4" x14ac:dyDescent="0.75">
      <c r="A59" s="27">
        <v>25</v>
      </c>
      <c r="B59" s="27">
        <f t="shared" si="2"/>
        <v>3</v>
      </c>
      <c r="C59" s="27">
        <f t="shared" si="3"/>
        <v>4</v>
      </c>
      <c r="D59" s="116" t="str" cm="1">
        <f t="array" ref="D59">INDEX('Base-2'!$B$2:$H$88,1+B59,C59)</f>
        <v>* differential.element[4].definition = "Front line treatment"</v>
      </c>
    </row>
    <row r="60" spans="1:4" x14ac:dyDescent="0.75">
      <c r="A60" s="27">
        <v>26</v>
      </c>
      <c r="B60" s="27">
        <f t="shared" si="2"/>
        <v>3</v>
      </c>
      <c r="C60" s="27">
        <f t="shared" si="3"/>
        <v>5</v>
      </c>
      <c r="D60" s="116" t="str" cm="1">
        <f t="array" ref="D60">INDEX('Base-2'!$B$2:$H$88,1+B60,C60)</f>
        <v>* differential.element[4].min = 0</v>
      </c>
    </row>
    <row r="61" spans="1:4" x14ac:dyDescent="0.75">
      <c r="A61" s="27">
        <v>27</v>
      </c>
      <c r="B61" s="27">
        <f t="shared" si="2"/>
        <v>3</v>
      </c>
      <c r="C61" s="27">
        <f t="shared" si="3"/>
        <v>6</v>
      </c>
      <c r="D61" s="116" t="str" cm="1">
        <f t="array" ref="D61">INDEX('Base-2'!$B$2:$H$88,1+B61,C61)</f>
        <v>* differential.element[4].max = "*"</v>
      </c>
    </row>
    <row r="62" spans="1:4" x14ac:dyDescent="0.75">
      <c r="A62" s="27">
        <v>28</v>
      </c>
      <c r="B62" s="27">
        <f t="shared" si="2"/>
        <v>3</v>
      </c>
      <c r="C62" s="27">
        <f t="shared" si="3"/>
        <v>7</v>
      </c>
      <c r="D62" s="116" t="str" cm="1">
        <f t="array" ref="D62">INDEX('Base-2'!$B$2:$H$88,1+B62,C62)</f>
        <v>* differential.element[4].type.code = #BackboneElement</v>
      </c>
    </row>
    <row r="63" spans="1:4" x14ac:dyDescent="0.75">
      <c r="A63" s="27">
        <v>29</v>
      </c>
      <c r="B63" s="27">
        <f t="shared" si="2"/>
        <v>4</v>
      </c>
      <c r="C63" s="27">
        <f t="shared" si="3"/>
        <v>1</v>
      </c>
      <c r="D63" s="116" t="str" cm="1">
        <f t="array" ref="D63">INDEX('Base-2'!$B$2:$H$88,1+B63,C63)</f>
        <v>* differential.element[5].id = "TreatmentSummary.diagnosis.frontLineTreatment.followedProtocol"</v>
      </c>
    </row>
    <row r="64" spans="1:4" x14ac:dyDescent="0.75">
      <c r="A64" s="27">
        <v>30</v>
      </c>
      <c r="B64" s="27">
        <f t="shared" si="2"/>
        <v>4</v>
      </c>
      <c r="C64" s="27">
        <f t="shared" si="3"/>
        <v>2</v>
      </c>
      <c r="D64" s="116" t="str" cm="1">
        <f t="array" ref="D64">INDEX('Base-2'!$B$2:$H$88,1+B64,C64)</f>
        <v>* differential.element[5].path = "TreatmentSummary.diagnosis.frontLineTreatment.followedProtocol"</v>
      </c>
    </row>
    <row r="65" spans="1:4" x14ac:dyDescent="0.75">
      <c r="A65" s="27">
        <v>31</v>
      </c>
      <c r="B65" s="27">
        <f t="shared" si="2"/>
        <v>4</v>
      </c>
      <c r="C65" s="27">
        <f t="shared" si="3"/>
        <v>3</v>
      </c>
      <c r="D65" s="116" t="str" cm="1">
        <f t="array" ref="D65">INDEX('Base-2'!$B$2:$H$88,1+B65,C65)</f>
        <v>* differential.element[5].short = "Followed Protocol"</v>
      </c>
    </row>
    <row r="66" spans="1:4" x14ac:dyDescent="0.75">
      <c r="A66" s="27">
        <v>32</v>
      </c>
      <c r="B66" s="27">
        <f t="shared" si="2"/>
        <v>4</v>
      </c>
      <c r="C66" s="27">
        <f t="shared" si="3"/>
        <v>4</v>
      </c>
      <c r="D66" s="116" t="str" cm="1">
        <f t="array" ref="D66">INDEX('Base-2'!$B$2:$H$88,1+B66,C66)</f>
        <v>* differential.element[5].definition = "Followed Protocol"</v>
      </c>
    </row>
    <row r="67" spans="1:4" x14ac:dyDescent="0.75">
      <c r="A67" s="27">
        <v>33</v>
      </c>
      <c r="B67" s="27">
        <f t="shared" si="2"/>
        <v>4</v>
      </c>
      <c r="C67" s="27">
        <f t="shared" si="3"/>
        <v>5</v>
      </c>
      <c r="D67" s="116" t="str" cm="1">
        <f t="array" ref="D67">INDEX('Base-2'!$B$2:$H$88,1+B67,C67)</f>
        <v>* differential.element[5].min = 0</v>
      </c>
    </row>
    <row r="68" spans="1:4" x14ac:dyDescent="0.75">
      <c r="A68" s="27">
        <v>34</v>
      </c>
      <c r="B68" s="27">
        <f t="shared" si="2"/>
        <v>4</v>
      </c>
      <c r="C68" s="27">
        <f t="shared" si="3"/>
        <v>6</v>
      </c>
      <c r="D68" s="116" t="str" cm="1">
        <f t="array" ref="D68">INDEX('Base-2'!$B$2:$H$88,1+B68,C68)</f>
        <v>* differential.element[5].max = "1"</v>
      </c>
    </row>
    <row r="69" spans="1:4" x14ac:dyDescent="0.75">
      <c r="A69" s="27">
        <v>35</v>
      </c>
      <c r="B69" s="27">
        <f t="shared" si="2"/>
        <v>4</v>
      </c>
      <c r="C69" s="27">
        <f t="shared" si="3"/>
        <v>7</v>
      </c>
      <c r="D69" s="116" t="str" cm="1">
        <f t="array" ref="D69">INDEX('Base-2'!$B$2:$H$88,1+B69,C69)</f>
        <v>* differential.element[5].type.code = #BackboneElement</v>
      </c>
    </row>
    <row r="70" spans="1:4" x14ac:dyDescent="0.75">
      <c r="A70" s="27">
        <v>36</v>
      </c>
      <c r="B70" s="27">
        <f t="shared" si="2"/>
        <v>5</v>
      </c>
      <c r="C70" s="27">
        <f t="shared" si="3"/>
        <v>1</v>
      </c>
      <c r="D70" s="116" t="str" cm="1">
        <f t="array" ref="D70">INDEX('Base-2'!$B$2:$H$88,1+B70,C70)</f>
        <v>* differential.element[6].id = "TreatmentSummary.diagnosis.frontLineTreatment.followedProtocol.type"</v>
      </c>
    </row>
    <row r="71" spans="1:4" x14ac:dyDescent="0.75">
      <c r="A71" s="27">
        <v>37</v>
      </c>
      <c r="B71" s="27">
        <f t="shared" si="2"/>
        <v>5</v>
      </c>
      <c r="C71" s="27">
        <f t="shared" si="3"/>
        <v>2</v>
      </c>
      <c r="D71" s="116" t="str" cm="1">
        <f t="array" ref="D71">INDEX('Base-2'!$B$2:$H$88,1+B71,C71)</f>
        <v>* differential.element[6].path = "TreatmentSummary.diagnosis.frontLineTreatment.followedProtocol.type"</v>
      </c>
    </row>
    <row r="72" spans="1:4" x14ac:dyDescent="0.75">
      <c r="A72" s="27">
        <v>38</v>
      </c>
      <c r="B72" s="27">
        <f t="shared" si="2"/>
        <v>5</v>
      </c>
      <c r="C72" s="27">
        <f t="shared" si="3"/>
        <v>3</v>
      </c>
      <c r="D72" s="116" t="str" cm="1">
        <f t="array" ref="D72">INDEX('Base-2'!$B$2:$H$88,1+B72,C72)</f>
        <v>* differential.element[6].short = "Protocole type"</v>
      </c>
    </row>
    <row r="73" spans="1:4" ht="59" x14ac:dyDescent="0.75">
      <c r="A73" s="27">
        <v>39</v>
      </c>
      <c r="B73" s="27">
        <f t="shared" si="2"/>
        <v>5</v>
      </c>
      <c r="C73" s="27">
        <f t="shared" si="3"/>
        <v>4</v>
      </c>
      <c r="D73" s="116" t="str" cm="1">
        <f t="array" ref="D73">INDEX('Base-2'!$B$2:$H$88,1+B73,C73)</f>
        <v>* differential.element[6].definition = "2 =&gt; Trial/protocol
2 =&gt; Personalized
3 =&gt; Guidelines
-9922 =&gt; NK"</v>
      </c>
    </row>
    <row r="74" spans="1:4" x14ac:dyDescent="0.75">
      <c r="A74" s="27">
        <v>40</v>
      </c>
      <c r="B74" s="27">
        <f t="shared" si="2"/>
        <v>5</v>
      </c>
      <c r="C74" s="27">
        <f t="shared" si="3"/>
        <v>5</v>
      </c>
      <c r="D74" s="116" t="str" cm="1">
        <f t="array" ref="D74">INDEX('Base-2'!$B$2:$H$88,1+B74,C74)</f>
        <v>* differential.element[6].min = 1</v>
      </c>
    </row>
    <row r="75" spans="1:4" x14ac:dyDescent="0.75">
      <c r="A75" s="27">
        <v>41</v>
      </c>
      <c r="B75" s="27">
        <f t="shared" si="2"/>
        <v>5</v>
      </c>
      <c r="C75" s="27">
        <f t="shared" si="3"/>
        <v>6</v>
      </c>
      <c r="D75" s="116" t="str" cm="1">
        <f t="array" ref="D75">INDEX('Base-2'!$B$2:$H$88,1+B75,C75)</f>
        <v>* differential.element[6].max = "1"</v>
      </c>
    </row>
    <row r="76" spans="1:4" x14ac:dyDescent="0.75">
      <c r="A76" s="27">
        <v>42</v>
      </c>
      <c r="B76" s="27">
        <f t="shared" si="2"/>
        <v>5</v>
      </c>
      <c r="C76" s="27">
        <f t="shared" si="3"/>
        <v>7</v>
      </c>
      <c r="D76" s="116" t="str" cm="1">
        <f t="array" ref="D76">INDEX('Base-2'!$B$2:$H$88,1+B76,C76)</f>
        <v>* differential.element[6].type.code = #CodeableConcept</v>
      </c>
    </row>
    <row r="77" spans="1:4" x14ac:dyDescent="0.75">
      <c r="A77" s="27">
        <v>43</v>
      </c>
      <c r="B77" s="27">
        <f t="shared" si="2"/>
        <v>6</v>
      </c>
      <c r="C77" s="27">
        <f t="shared" si="3"/>
        <v>1</v>
      </c>
      <c r="D77" s="116" t="str" cm="1">
        <f t="array" ref="D77">INDEX('Base-2'!$B$2:$H$88,1+B77,C77)</f>
        <v>* differential.element[7].id = "TreatmentSummary.diagnosis.frontLineTreatment.followedProtocol.description"</v>
      </c>
    </row>
    <row r="78" spans="1:4" x14ac:dyDescent="0.75">
      <c r="A78" s="27">
        <v>44</v>
      </c>
      <c r="B78" s="27">
        <f t="shared" si="2"/>
        <v>6</v>
      </c>
      <c r="C78" s="27">
        <f t="shared" si="3"/>
        <v>2</v>
      </c>
      <c r="D78" s="116" t="str" cm="1">
        <f t="array" ref="D78">INDEX('Base-2'!$B$2:$H$88,1+B78,C78)</f>
        <v>* differential.element[7].path = "TreatmentSummary.diagnosis.frontLineTreatment.followedProtocol.description"</v>
      </c>
    </row>
    <row r="79" spans="1:4" x14ac:dyDescent="0.75">
      <c r="A79" s="27">
        <v>45</v>
      </c>
      <c r="B79" s="27">
        <f t="shared" si="2"/>
        <v>6</v>
      </c>
      <c r="C79" s="27">
        <f t="shared" si="3"/>
        <v>3</v>
      </c>
      <c r="D79" s="116" t="str" cm="1">
        <f t="array" ref="D79">INDEX('Base-2'!$B$2:$H$88,1+B79,C79)</f>
        <v>* differential.element[7].short = "Protocol name or description"</v>
      </c>
    </row>
    <row r="80" spans="1:4" ht="44.25" x14ac:dyDescent="0.75">
      <c r="A80" s="27">
        <v>46</v>
      </c>
      <c r="B80" s="27">
        <f t="shared" si="2"/>
        <v>6</v>
      </c>
      <c r="C80" s="27">
        <f t="shared" si="3"/>
        <v>4</v>
      </c>
      <c r="D80" s="116" t="str" cm="1">
        <f t="array" ref="D80">INDEX('Base-2'!$B$2:$H$88,1+B80,C80)</f>
        <v>* differential.element[7].definition = "If a specific trial/protocol was used, please specify.  
In case of relapse/progression during front line treatment,please report both the name of the front line as well of the salvage treatment
If personalized, please specify.  "</v>
      </c>
    </row>
    <row r="81" spans="1:7" x14ac:dyDescent="0.75">
      <c r="A81" s="27">
        <v>47</v>
      </c>
      <c r="B81" s="27">
        <f t="shared" si="2"/>
        <v>6</v>
      </c>
      <c r="C81" s="27">
        <f t="shared" si="3"/>
        <v>5</v>
      </c>
      <c r="D81" s="116" t="str" cm="1">
        <f t="array" ref="D81">INDEX('Base-2'!$B$2:$H$88,1+B81,C81)</f>
        <v>* differential.element[7].min = 1</v>
      </c>
    </row>
    <row r="82" spans="1:7" x14ac:dyDescent="0.75">
      <c r="A82" s="27">
        <v>48</v>
      </c>
      <c r="B82" s="27">
        <f t="shared" si="2"/>
        <v>6</v>
      </c>
      <c r="C82" s="27">
        <f t="shared" si="3"/>
        <v>6</v>
      </c>
      <c r="D82" s="116" t="str" cm="1">
        <f t="array" ref="D82">INDEX('Base-2'!$B$2:$H$88,1+B82,C82)</f>
        <v>* differential.element[7].max = "1"</v>
      </c>
    </row>
    <row r="83" spans="1:7" x14ac:dyDescent="0.75">
      <c r="A83" s="27">
        <v>49</v>
      </c>
      <c r="B83" s="27">
        <f t="shared" si="2"/>
        <v>6</v>
      </c>
      <c r="C83" s="27">
        <f t="shared" si="3"/>
        <v>7</v>
      </c>
      <c r="D83" s="116" t="str" cm="1">
        <f t="array" ref="D83">INDEX('Base-2'!$B$2:$H$88,1+B83,C83)</f>
        <v>* differential.element[7].type.code = #string</v>
      </c>
    </row>
    <row r="84" spans="1:7" x14ac:dyDescent="0.75">
      <c r="A84" s="27">
        <v>50</v>
      </c>
      <c r="B84" s="27">
        <f t="shared" si="2"/>
        <v>7</v>
      </c>
      <c r="C84" s="27">
        <f t="shared" si="3"/>
        <v>1</v>
      </c>
      <c r="D84" s="116" t="str" cm="1">
        <f t="array" ref="D84">INDEX('Base-2'!$B$2:$H$88,1+B84,C84)</f>
        <v>* differential.element[8].id = "TreatmentSummary.diagnosis.frontLineTreatment.followedProtocol.arm"</v>
      </c>
    </row>
    <row r="85" spans="1:7" x14ac:dyDescent="0.75">
      <c r="A85" s="27">
        <v>51</v>
      </c>
      <c r="B85" s="27">
        <f t="shared" si="2"/>
        <v>7</v>
      </c>
      <c r="C85" s="27">
        <f t="shared" si="3"/>
        <v>2</v>
      </c>
      <c r="D85" s="116" t="str" cm="1">
        <f t="array" ref="D85">INDEX('Base-2'!$B$2:$H$88,1+B85,C85)</f>
        <v>* differential.element[8].path = "TreatmentSummary.diagnosis.frontLineTreatment.followedProtocol.arm"</v>
      </c>
    </row>
    <row r="86" spans="1:7" x14ac:dyDescent="0.75">
      <c r="A86" s="27">
        <v>52</v>
      </c>
      <c r="B86" s="27">
        <f t="shared" si="2"/>
        <v>7</v>
      </c>
      <c r="C86" s="27">
        <f t="shared" si="3"/>
        <v>3</v>
      </c>
      <c r="D86" s="116" t="str" cm="1">
        <f t="array" ref="D86">INDEX('Base-2'!$B$2:$H$88,1+B86,C86)</f>
        <v>* differential.element[8].short = "Group/Arm/Randomization"</v>
      </c>
    </row>
    <row r="87" spans="1:7" x14ac:dyDescent="0.75">
      <c r="A87" s="27">
        <v>53</v>
      </c>
      <c r="B87" s="27">
        <f t="shared" si="2"/>
        <v>7</v>
      </c>
      <c r="C87" s="27">
        <f t="shared" si="3"/>
        <v>4</v>
      </c>
      <c r="D87" s="116" t="str" cm="1">
        <f t="array" ref="D87">INDEX('Base-2'!$B$2:$H$88,1+B87,C87)</f>
        <v>* differential.element[8].definition = "If the trial was randomized, please define randomization arm"</v>
      </c>
      <c r="G87" s="15"/>
    </row>
    <row r="88" spans="1:7" x14ac:dyDescent="0.75">
      <c r="A88" s="27">
        <v>54</v>
      </c>
      <c r="B88" s="27">
        <f t="shared" si="2"/>
        <v>7</v>
      </c>
      <c r="C88" s="27">
        <f t="shared" si="3"/>
        <v>5</v>
      </c>
      <c r="D88" s="116" t="str" cm="1">
        <f t="array" ref="D88">INDEX('Base-2'!$B$2:$H$88,1+B88,C88)</f>
        <v>* differential.element[8].min = 0</v>
      </c>
    </row>
    <row r="89" spans="1:7" x14ac:dyDescent="0.75">
      <c r="A89" s="27">
        <v>55</v>
      </c>
      <c r="B89" s="27">
        <f t="shared" si="2"/>
        <v>7</v>
      </c>
      <c r="C89" s="27">
        <f t="shared" si="3"/>
        <v>6</v>
      </c>
      <c r="D89" s="116" t="str" cm="1">
        <f t="array" ref="D89">INDEX('Base-2'!$B$2:$H$88,1+B89,C89)</f>
        <v>* differential.element[8].max = "1"</v>
      </c>
    </row>
    <row r="90" spans="1:7" x14ac:dyDescent="0.75">
      <c r="A90" s="27">
        <v>56</v>
      </c>
      <c r="B90" s="27">
        <f t="shared" si="2"/>
        <v>7</v>
      </c>
      <c r="C90" s="27">
        <f t="shared" si="3"/>
        <v>7</v>
      </c>
      <c r="D90" s="116" t="str" cm="1">
        <f t="array" ref="D90">INDEX('Base-2'!$B$2:$H$88,1+B90,C90)</f>
        <v>* differential.element[8].type.code = #string</v>
      </c>
    </row>
    <row r="91" spans="1:7" x14ac:dyDescent="0.75">
      <c r="A91" s="27">
        <v>57</v>
      </c>
      <c r="B91" s="27">
        <f t="shared" si="2"/>
        <v>8</v>
      </c>
      <c r="C91" s="27">
        <f t="shared" si="3"/>
        <v>1</v>
      </c>
      <c r="D91" s="116" t="str" cm="1">
        <f t="array" ref="D91">INDEX('Base-2'!$B$2:$H$88,1+B91,C91)</f>
        <v>* differential.element[9].id = "TreatmentSummary.diagnosis.frontLineTreatment.dateEOT"</v>
      </c>
    </row>
    <row r="92" spans="1:7" x14ac:dyDescent="0.75">
      <c r="A92" s="27">
        <v>58</v>
      </c>
      <c r="B92" s="27">
        <f t="shared" si="2"/>
        <v>8</v>
      </c>
      <c r="C92" s="27">
        <f t="shared" si="3"/>
        <v>2</v>
      </c>
      <c r="D92" s="116" t="str" cm="1">
        <f t="array" ref="D92">INDEX('Base-2'!$B$2:$H$88,1+B92,C92)</f>
        <v>* differential.element[9].path = "TreatmentSummary.diagnosis.frontLineTreatment.dateEOT"</v>
      </c>
    </row>
    <row r="93" spans="1:7" x14ac:dyDescent="0.75">
      <c r="A93" s="27">
        <v>59</v>
      </c>
      <c r="B93" s="27">
        <f t="shared" si="2"/>
        <v>8</v>
      </c>
      <c r="C93" s="27">
        <f t="shared" si="3"/>
        <v>3</v>
      </c>
      <c r="D93" s="116" t="str" cm="1">
        <f t="array" ref="D93">INDEX('Base-2'!$B$2:$H$88,1+B93,C93)</f>
        <v>* differential.element[9].short = "Date of first elective end of treatment"</v>
      </c>
    </row>
    <row r="94" spans="1:7" x14ac:dyDescent="0.75">
      <c r="A94" s="27">
        <v>60</v>
      </c>
      <c r="B94" s="27">
        <f t="shared" si="2"/>
        <v>8</v>
      </c>
      <c r="C94" s="27">
        <f t="shared" si="3"/>
        <v>4</v>
      </c>
      <c r="D94" s="116" t="str" cm="1">
        <f t="array" ref="D94">INDEX('Base-2'!$B$2:$H$88,1+B94,C94)</f>
        <v>* differential.element[9].definition = "Date of first elective end of treatment"</v>
      </c>
    </row>
    <row r="95" spans="1:7" x14ac:dyDescent="0.75">
      <c r="A95" s="27">
        <v>61</v>
      </c>
      <c r="B95" s="27">
        <f t="shared" si="2"/>
        <v>8</v>
      </c>
      <c r="C95" s="27">
        <f t="shared" si="3"/>
        <v>5</v>
      </c>
      <c r="D95" s="116" t="str" cm="1">
        <f t="array" ref="D95">INDEX('Base-2'!$B$2:$H$88,1+B95,C95)</f>
        <v>* differential.element[9].min = 0</v>
      </c>
    </row>
    <row r="96" spans="1:7" x14ac:dyDescent="0.75">
      <c r="A96" s="27">
        <v>62</v>
      </c>
      <c r="B96" s="27">
        <f t="shared" si="2"/>
        <v>8</v>
      </c>
      <c r="C96" s="27">
        <f t="shared" si="3"/>
        <v>6</v>
      </c>
      <c r="D96" s="116" t="str" cm="1">
        <f t="array" ref="D96">INDEX('Base-2'!$B$2:$H$88,1+B96,C96)</f>
        <v>* differential.element[9].max = "1"</v>
      </c>
    </row>
    <row r="97" spans="1:4" x14ac:dyDescent="0.75">
      <c r="A97" s="27">
        <v>63</v>
      </c>
      <c r="B97" s="27">
        <f t="shared" si="2"/>
        <v>8</v>
      </c>
      <c r="C97" s="27">
        <f t="shared" si="3"/>
        <v>7</v>
      </c>
      <c r="D97" s="116" t="str" cm="1">
        <f t="array" ref="D97">INDEX('Base-2'!$B$2:$H$88,1+B97,C97)</f>
        <v>* differential.element[9].type.code = #dateTime</v>
      </c>
    </row>
    <row r="98" spans="1:4" x14ac:dyDescent="0.75">
      <c r="A98" s="27">
        <v>64</v>
      </c>
      <c r="B98" s="27">
        <f t="shared" si="2"/>
        <v>9</v>
      </c>
      <c r="C98" s="27">
        <f t="shared" si="3"/>
        <v>1</v>
      </c>
      <c r="D98" s="116" t="str" cm="1">
        <f t="array" ref="D98">INDEX('Base-2'!$B$2:$H$88,1+B98,C98)</f>
        <v>* differential.element[10].id = "TreatmentSummary.diagnosis.frontLineTreatment.completeRemission"</v>
      </c>
    </row>
    <row r="99" spans="1:4" x14ac:dyDescent="0.75">
      <c r="A99" s="27">
        <v>65</v>
      </c>
      <c r="B99" s="27">
        <f t="shared" si="2"/>
        <v>9</v>
      </c>
      <c r="C99" s="27">
        <f t="shared" si="3"/>
        <v>2</v>
      </c>
      <c r="D99" s="116" t="str" cm="1">
        <f t="array" ref="D99">INDEX('Base-2'!$B$2:$H$88,1+B99,C99)</f>
        <v>* differential.element[10].path = "TreatmentSummary.diagnosis.frontLineTreatment.completeRemission"</v>
      </c>
    </row>
    <row r="100" spans="1:4" x14ac:dyDescent="0.75">
      <c r="A100" s="27">
        <v>66</v>
      </c>
      <c r="B100" s="27">
        <f t="shared" si="2"/>
        <v>9</v>
      </c>
      <c r="C100" s="27">
        <f t="shared" si="3"/>
        <v>3</v>
      </c>
      <c r="D100" s="116" t="str" cm="1">
        <f t="array" ref="D100">INDEX('Base-2'!$B$2:$H$88,1+B100,C100)</f>
        <v>* differential.element[10].short = "Complete remission"</v>
      </c>
    </row>
    <row r="101" spans="1:4" x14ac:dyDescent="0.75">
      <c r="A101" s="27">
        <v>67</v>
      </c>
      <c r="B101" s="27">
        <f t="shared" si="2"/>
        <v>9</v>
      </c>
      <c r="C101" s="27">
        <f t="shared" si="3"/>
        <v>4</v>
      </c>
      <c r="D101" s="116" t="str" cm="1">
        <f t="array" ref="D101">INDEX('Base-2'!$B$2:$H$88,1+B101,C101)</f>
        <v>* differential.element[10].definition = "Complete remission"</v>
      </c>
    </row>
    <row r="102" spans="1:4" x14ac:dyDescent="0.75">
      <c r="A102" s="27">
        <v>68</v>
      </c>
      <c r="B102" s="27">
        <f t="shared" si="2"/>
        <v>9</v>
      </c>
      <c r="C102" s="27">
        <f t="shared" si="3"/>
        <v>5</v>
      </c>
      <c r="D102" s="116" t="str" cm="1">
        <f t="array" ref="D102">INDEX('Base-2'!$B$2:$H$88,1+B102,C102)</f>
        <v>* differential.element[10].min = 1</v>
      </c>
    </row>
    <row r="103" spans="1:4" x14ac:dyDescent="0.75">
      <c r="A103" s="27">
        <v>69</v>
      </c>
      <c r="B103" s="27">
        <f t="shared" si="2"/>
        <v>9</v>
      </c>
      <c r="C103" s="27">
        <f t="shared" si="3"/>
        <v>6</v>
      </c>
      <c r="D103" s="116" t="str" cm="1">
        <f t="array" ref="D103">INDEX('Base-2'!$B$2:$H$88,1+B103,C103)</f>
        <v>* differential.element[10].max = "1"</v>
      </c>
    </row>
    <row r="104" spans="1:4" x14ac:dyDescent="0.75">
      <c r="A104" s="27">
        <v>70</v>
      </c>
      <c r="B104" s="27">
        <f t="shared" si="2"/>
        <v>9</v>
      </c>
      <c r="C104" s="27">
        <f t="shared" si="3"/>
        <v>7</v>
      </c>
      <c r="D104" s="116" t="str" cm="1">
        <f t="array" ref="D104">INDEX('Base-2'!$B$2:$H$88,1+B104,C104)</f>
        <v>* differential.element[10].type.code = #BackboneElement</v>
      </c>
    </row>
    <row r="105" spans="1:4" x14ac:dyDescent="0.75">
      <c r="A105" s="27">
        <v>71</v>
      </c>
      <c r="B105" s="27">
        <f t="shared" si="2"/>
        <v>10</v>
      </c>
      <c r="C105" s="27">
        <f t="shared" si="3"/>
        <v>1</v>
      </c>
      <c r="D105" s="116" t="str" cm="1">
        <f t="array" ref="D105">INDEX('Base-2'!$B$2:$H$88,1+B105,C105)</f>
        <v>* differential.element[11].id = "TreatmentSummary.diagnosis.frontLineTreatment.completeRemission.status"</v>
      </c>
    </row>
    <row r="106" spans="1:4" x14ac:dyDescent="0.75">
      <c r="A106" s="27">
        <v>72</v>
      </c>
      <c r="B106" s="27">
        <f t="shared" ref="B106:B169" si="4">IF(MOD(A106,7)=0,A106/7-1,INT(A106/7))</f>
        <v>10</v>
      </c>
      <c r="C106" s="27">
        <f t="shared" ref="C106:C169" si="5">IF(MOD(A106,7)=0,7,MOD(A106,7))</f>
        <v>2</v>
      </c>
      <c r="D106" s="116" t="str" cm="1">
        <f t="array" ref="D106">INDEX('Base-2'!$B$2:$H$88,1+B106,C106)</f>
        <v>* differential.element[11].path = "TreatmentSummary.diagnosis.frontLineTreatment.completeRemission.status"</v>
      </c>
    </row>
    <row r="107" spans="1:4" x14ac:dyDescent="0.75">
      <c r="A107" s="27">
        <v>73</v>
      </c>
      <c r="B107" s="27">
        <f t="shared" si="4"/>
        <v>10</v>
      </c>
      <c r="C107" s="27">
        <f t="shared" si="5"/>
        <v>3</v>
      </c>
      <c r="D107" s="116" t="str" cm="1">
        <f t="array" ref="D107">INDEX('Base-2'!$B$2:$H$88,1+B107,C107)</f>
        <v>* differential.element[11].short = "Complete remission (Yes/No)"</v>
      </c>
    </row>
    <row r="108" spans="1:4" x14ac:dyDescent="0.75">
      <c r="A108" s="27">
        <v>74</v>
      </c>
      <c r="B108" s="27">
        <f t="shared" si="4"/>
        <v>10</v>
      </c>
      <c r="C108" s="27">
        <f t="shared" si="5"/>
        <v>4</v>
      </c>
      <c r="D108" s="116" t="str" cm="1">
        <f t="array" ref="D108">INDEX('Base-2'!$B$2:$H$88,1+B108,C108)</f>
        <v>* differential.element[11].definition = "Complete remission (Yes/No)"</v>
      </c>
    </row>
    <row r="109" spans="1:4" x14ac:dyDescent="0.75">
      <c r="A109" s="27">
        <v>75</v>
      </c>
      <c r="B109" s="27">
        <f t="shared" si="4"/>
        <v>10</v>
      </c>
      <c r="C109" s="27">
        <f t="shared" si="5"/>
        <v>5</v>
      </c>
      <c r="D109" s="116" t="str" cm="1">
        <f t="array" ref="D109">INDEX('Base-2'!$B$2:$H$88,1+B109,C109)</f>
        <v>* differential.element[11].min = 1</v>
      </c>
    </row>
    <row r="110" spans="1:4" x14ac:dyDescent="0.75">
      <c r="A110" s="27">
        <v>76</v>
      </c>
      <c r="B110" s="27">
        <f t="shared" si="4"/>
        <v>10</v>
      </c>
      <c r="C110" s="27">
        <f t="shared" si="5"/>
        <v>6</v>
      </c>
      <c r="D110" s="116" t="str" cm="1">
        <f t="array" ref="D110">INDEX('Base-2'!$B$2:$H$88,1+B110,C110)</f>
        <v>* differential.element[11].max = "1"</v>
      </c>
    </row>
    <row r="111" spans="1:4" x14ac:dyDescent="0.75">
      <c r="A111" s="27">
        <v>77</v>
      </c>
      <c r="B111" s="27">
        <f t="shared" si="4"/>
        <v>10</v>
      </c>
      <c r="C111" s="27">
        <f t="shared" si="5"/>
        <v>7</v>
      </c>
      <c r="D111" s="116" t="str" cm="1">
        <f t="array" ref="D111">INDEX('Base-2'!$B$2:$H$88,1+B111,C111)</f>
        <v>* differential.element[11].type.code = #CodeableConcept</v>
      </c>
    </row>
    <row r="112" spans="1:4" x14ac:dyDescent="0.75">
      <c r="A112" s="27">
        <v>78</v>
      </c>
      <c r="B112" s="27">
        <f t="shared" si="4"/>
        <v>11</v>
      </c>
      <c r="C112" s="27">
        <f t="shared" si="5"/>
        <v>1</v>
      </c>
      <c r="D112" s="116" t="str" cm="1">
        <f t="array" ref="D112">INDEX('Base-2'!$B$2:$H$88,1+B112,C112)</f>
        <v>* differential.element[12].id = "TreatmentSummary.diagnosis.frontLineTreatment.completeRemission.description"</v>
      </c>
    </row>
    <row r="113" spans="1:4" x14ac:dyDescent="0.75">
      <c r="A113" s="27">
        <v>79</v>
      </c>
      <c r="B113" s="27">
        <f t="shared" si="4"/>
        <v>11</v>
      </c>
      <c r="C113" s="27">
        <f t="shared" si="5"/>
        <v>2</v>
      </c>
      <c r="D113" s="116" t="str" cm="1">
        <f t="array" ref="D113">INDEX('Base-2'!$B$2:$H$88,1+B113,C113)</f>
        <v>* differential.element[12].path = "TreatmentSummary.diagnosis.frontLineTreatment.completeRemission.description"</v>
      </c>
    </row>
    <row r="114" spans="1:4" x14ac:dyDescent="0.75">
      <c r="A114" s="27">
        <v>80</v>
      </c>
      <c r="B114" s="27">
        <f t="shared" si="4"/>
        <v>11</v>
      </c>
      <c r="C114" s="27">
        <f t="shared" si="5"/>
        <v>3</v>
      </c>
      <c r="D114" s="116" t="str" cm="1">
        <f t="array" ref="D114">INDEX('Base-2'!$B$2:$H$88,1+B114,C114)</f>
        <v>* differential.element[12].short = "Textual description in case of no remission"</v>
      </c>
    </row>
    <row r="115" spans="1:4" x14ac:dyDescent="0.75">
      <c r="A115" s="27">
        <v>81</v>
      </c>
      <c r="B115" s="27">
        <f t="shared" si="4"/>
        <v>11</v>
      </c>
      <c r="C115" s="27">
        <f t="shared" si="5"/>
        <v>4</v>
      </c>
      <c r="D115" s="116" t="str" cm="1">
        <f t="array" ref="D115">INDEX('Base-2'!$B$2:$H$88,1+B115,C115)</f>
        <v>* differential.element[12].definition = "Textual description in case of no remission"</v>
      </c>
    </row>
    <row r="116" spans="1:4" x14ac:dyDescent="0.75">
      <c r="A116" s="27">
        <v>82</v>
      </c>
      <c r="B116" s="27">
        <f t="shared" si="4"/>
        <v>11</v>
      </c>
      <c r="C116" s="27">
        <f t="shared" si="5"/>
        <v>5</v>
      </c>
      <c r="D116" s="116" t="str" cm="1">
        <f t="array" ref="D116">INDEX('Base-2'!$B$2:$H$88,1+B116,C116)</f>
        <v>* differential.element[12].min = 0</v>
      </c>
    </row>
    <row r="117" spans="1:4" x14ac:dyDescent="0.75">
      <c r="A117" s="27">
        <v>83</v>
      </c>
      <c r="B117" s="27">
        <f t="shared" si="4"/>
        <v>11</v>
      </c>
      <c r="C117" s="27">
        <f t="shared" si="5"/>
        <v>6</v>
      </c>
      <c r="D117" s="116" t="str" cm="1">
        <f t="array" ref="D117">INDEX('Base-2'!$B$2:$H$88,1+B117,C117)</f>
        <v>* differential.element[12].max = "1"</v>
      </c>
    </row>
    <row r="118" spans="1:4" x14ac:dyDescent="0.75">
      <c r="A118" s="27">
        <v>84</v>
      </c>
      <c r="B118" s="27">
        <f t="shared" si="4"/>
        <v>11</v>
      </c>
      <c r="C118" s="27">
        <f t="shared" si="5"/>
        <v>7</v>
      </c>
      <c r="D118" s="116" t="str" cm="1">
        <f t="array" ref="D118">INDEX('Base-2'!$B$2:$H$88,1+B118,C118)</f>
        <v>* differential.element[12].type.code = #string</v>
      </c>
    </row>
    <row r="119" spans="1:4" x14ac:dyDescent="0.75">
      <c r="A119" s="27">
        <v>85</v>
      </c>
      <c r="B119" s="27">
        <f t="shared" si="4"/>
        <v>12</v>
      </c>
      <c r="C119" s="27">
        <f t="shared" si="5"/>
        <v>1</v>
      </c>
      <c r="D119" s="116" t="str" cm="1">
        <f t="array" ref="D119">INDEX('Base-2'!$B$2:$H$88,1+B119,C119)</f>
        <v>* differential.element[13].id = "TreatmentSummary.diagnosis.frontLineTreatment.isChemotherapy"</v>
      </c>
    </row>
    <row r="120" spans="1:4" x14ac:dyDescent="0.75">
      <c r="A120" s="27">
        <v>86</v>
      </c>
      <c r="B120" s="27">
        <f t="shared" si="4"/>
        <v>12</v>
      </c>
      <c r="C120" s="27">
        <f t="shared" si="5"/>
        <v>2</v>
      </c>
      <c r="D120" s="116" t="str" cm="1">
        <f t="array" ref="D120">INDEX('Base-2'!$B$2:$H$88,1+B120,C120)</f>
        <v>* differential.element[13].path = "TreatmentSummary.diagnosis.frontLineTreatment.isChemotherapy"</v>
      </c>
    </row>
    <row r="121" spans="1:4" x14ac:dyDescent="0.75">
      <c r="A121" s="27">
        <v>87</v>
      </c>
      <c r="B121" s="27">
        <f t="shared" si="4"/>
        <v>12</v>
      </c>
      <c r="C121" s="27">
        <f t="shared" si="5"/>
        <v>3</v>
      </c>
      <c r="D121" s="116" t="str" cm="1">
        <f t="array" ref="D121">INDEX('Base-2'!$B$2:$H$88,1+B121,C121)</f>
        <v>* differential.element[13].short = "Chemotherapy ?"</v>
      </c>
    </row>
    <row r="122" spans="1:4" x14ac:dyDescent="0.75">
      <c r="A122" s="27">
        <v>88</v>
      </c>
      <c r="B122" s="27">
        <f t="shared" si="4"/>
        <v>12</v>
      </c>
      <c r="C122" s="27">
        <f t="shared" si="5"/>
        <v>4</v>
      </c>
      <c r="D122" s="116" t="str" cm="1">
        <f t="array" ref="D122">INDEX('Base-2'!$B$2:$H$88,1+B122,C122)</f>
        <v>* differential.element[13].definition = "Chemotherapy ?"</v>
      </c>
    </row>
    <row r="123" spans="1:4" x14ac:dyDescent="0.75">
      <c r="A123" s="27">
        <v>89</v>
      </c>
      <c r="B123" s="27">
        <f t="shared" si="4"/>
        <v>12</v>
      </c>
      <c r="C123" s="27">
        <f t="shared" si="5"/>
        <v>5</v>
      </c>
      <c r="D123" s="116" t="str" cm="1">
        <f t="array" ref="D123">INDEX('Base-2'!$B$2:$H$88,1+B123,C123)</f>
        <v>* differential.element[13].min = 0</v>
      </c>
    </row>
    <row r="124" spans="1:4" x14ac:dyDescent="0.75">
      <c r="A124" s="27">
        <v>90</v>
      </c>
      <c r="B124" s="27">
        <f t="shared" si="4"/>
        <v>12</v>
      </c>
      <c r="C124" s="27">
        <f t="shared" si="5"/>
        <v>6</v>
      </c>
      <c r="D124" s="116" t="str" cm="1">
        <f t="array" ref="D124">INDEX('Base-2'!$B$2:$H$88,1+B124,C124)</f>
        <v>* differential.element[13].max = "1"</v>
      </c>
    </row>
    <row r="125" spans="1:4" x14ac:dyDescent="0.75">
      <c r="A125" s="27">
        <v>91</v>
      </c>
      <c r="B125" s="27">
        <f t="shared" si="4"/>
        <v>12</v>
      </c>
      <c r="C125" s="27">
        <f t="shared" si="5"/>
        <v>7</v>
      </c>
      <c r="D125" s="116" t="str" cm="1">
        <f t="array" ref="D125">INDEX('Base-2'!$B$2:$H$88,1+B125,C125)</f>
        <v>* differential.element[13].type.code = #CodeableConcept</v>
      </c>
    </row>
    <row r="126" spans="1:4" x14ac:dyDescent="0.75">
      <c r="A126" s="27">
        <v>92</v>
      </c>
      <c r="B126" s="27">
        <f t="shared" si="4"/>
        <v>13</v>
      </c>
      <c r="C126" s="27">
        <f t="shared" si="5"/>
        <v>1</v>
      </c>
      <c r="D126" s="116" t="str" cm="1">
        <f t="array" ref="D126">INDEX('Base-2'!$B$2:$H$88,1+B126,C126)</f>
        <v>* differential.element[14].id = "TreatmentSummary.diagnosis.frontLineTreatment.isStemCellTransplantation"</v>
      </c>
    </row>
    <row r="127" spans="1:4" x14ac:dyDescent="0.75">
      <c r="A127" s="27">
        <v>93</v>
      </c>
      <c r="B127" s="27">
        <f t="shared" si="4"/>
        <v>13</v>
      </c>
      <c r="C127" s="27">
        <f t="shared" si="5"/>
        <v>2</v>
      </c>
      <c r="D127" s="116" t="str" cm="1">
        <f t="array" ref="D127">INDEX('Base-2'!$B$2:$H$88,1+B127,C127)</f>
        <v>* differential.element[14].path = "TreatmentSummary.diagnosis.frontLineTreatment.isStemCellTransplantation"</v>
      </c>
    </row>
    <row r="128" spans="1:4" x14ac:dyDescent="0.75">
      <c r="A128" s="27">
        <v>94</v>
      </c>
      <c r="B128" s="27">
        <f t="shared" si="4"/>
        <v>13</v>
      </c>
      <c r="C128" s="27">
        <f t="shared" si="5"/>
        <v>3</v>
      </c>
      <c r="D128" s="116" t="str" cm="1">
        <f t="array" ref="D128">INDEX('Base-2'!$B$2:$H$88,1+B128,C128)</f>
        <v>* differential.element[14].short = "Stem Cell transplantation ?"</v>
      </c>
    </row>
    <row r="129" spans="1:4" x14ac:dyDescent="0.75">
      <c r="A129" s="27">
        <v>95</v>
      </c>
      <c r="B129" s="27">
        <f t="shared" si="4"/>
        <v>13</v>
      </c>
      <c r="C129" s="27">
        <f t="shared" si="5"/>
        <v>4</v>
      </c>
      <c r="D129" s="116" t="str" cm="1">
        <f t="array" ref="D129">INDEX('Base-2'!$B$2:$H$88,1+B129,C129)</f>
        <v>* differential.element[14].definition = "Stem Cell transplantation ?"</v>
      </c>
    </row>
    <row r="130" spans="1:4" x14ac:dyDescent="0.75">
      <c r="A130" s="27">
        <v>96</v>
      </c>
      <c r="B130" s="27">
        <f t="shared" si="4"/>
        <v>13</v>
      </c>
      <c r="C130" s="27">
        <f t="shared" si="5"/>
        <v>5</v>
      </c>
      <c r="D130" s="116" t="str" cm="1">
        <f t="array" ref="D130">INDEX('Base-2'!$B$2:$H$88,1+B130,C130)</f>
        <v>* differential.element[14].min = 0</v>
      </c>
    </row>
    <row r="131" spans="1:4" x14ac:dyDescent="0.75">
      <c r="A131" s="27">
        <v>97</v>
      </c>
      <c r="B131" s="27">
        <f t="shared" si="4"/>
        <v>13</v>
      </c>
      <c r="C131" s="27">
        <f t="shared" si="5"/>
        <v>6</v>
      </c>
      <c r="D131" s="116" t="str" cm="1">
        <f t="array" ref="D131">INDEX('Base-2'!$B$2:$H$88,1+B131,C131)</f>
        <v>* differential.element[14].max = "1"</v>
      </c>
    </row>
    <row r="132" spans="1:4" x14ac:dyDescent="0.75">
      <c r="A132" s="27">
        <v>98</v>
      </c>
      <c r="B132" s="27">
        <f t="shared" si="4"/>
        <v>13</v>
      </c>
      <c r="C132" s="27">
        <f t="shared" si="5"/>
        <v>7</v>
      </c>
      <c r="D132" s="116" t="str" cm="1">
        <f t="array" ref="D132">INDEX('Base-2'!$B$2:$H$88,1+B132,C132)</f>
        <v>* differential.element[14].type.code = #CodeableConcept</v>
      </c>
    </row>
    <row r="133" spans="1:4" x14ac:dyDescent="0.75">
      <c r="A133" s="27">
        <v>99</v>
      </c>
      <c r="B133" s="27">
        <f t="shared" si="4"/>
        <v>14</v>
      </c>
      <c r="C133" s="27">
        <f t="shared" si="5"/>
        <v>1</v>
      </c>
      <c r="D133" s="116" t="str" cm="1">
        <f t="array" ref="D133">INDEX('Base-2'!$B$2:$H$88,1+B133,C133)</f>
        <v>* differential.element[15].id = "TreatmentSummary.diagnosis.frontLineTreatment.isRadiotherapy"</v>
      </c>
    </row>
    <row r="134" spans="1:4" x14ac:dyDescent="0.75">
      <c r="A134" s="27">
        <v>100</v>
      </c>
      <c r="B134" s="27">
        <f t="shared" si="4"/>
        <v>14</v>
      </c>
      <c r="C134" s="27">
        <f t="shared" si="5"/>
        <v>2</v>
      </c>
      <c r="D134" s="116" t="str" cm="1">
        <f t="array" ref="D134">INDEX('Base-2'!$B$2:$H$88,1+B134,C134)</f>
        <v>* differential.element[15].path = "TreatmentSummary.diagnosis.frontLineTreatment.isRadiotherapy"</v>
      </c>
    </row>
    <row r="135" spans="1:4" x14ac:dyDescent="0.75">
      <c r="A135" s="27">
        <v>101</v>
      </c>
      <c r="B135" s="27">
        <f t="shared" si="4"/>
        <v>14</v>
      </c>
      <c r="C135" s="27">
        <f t="shared" si="5"/>
        <v>3</v>
      </c>
      <c r="D135" s="116" t="str" cm="1">
        <f t="array" ref="D135">INDEX('Base-2'!$B$2:$H$88,1+B135,C135)</f>
        <v>* differential.element[15].short = "Radiotherapy ?"</v>
      </c>
    </row>
    <row r="136" spans="1:4" x14ac:dyDescent="0.75">
      <c r="A136" s="27">
        <v>102</v>
      </c>
      <c r="B136" s="27">
        <f t="shared" si="4"/>
        <v>14</v>
      </c>
      <c r="C136" s="27">
        <f t="shared" si="5"/>
        <v>4</v>
      </c>
      <c r="D136" s="116" t="str" cm="1">
        <f t="array" ref="D136">INDEX('Base-2'!$B$2:$H$88,1+B136,C136)</f>
        <v>* differential.element[15].definition = "Radiotherapy ?"</v>
      </c>
    </row>
    <row r="137" spans="1:4" x14ac:dyDescent="0.75">
      <c r="A137" s="27">
        <v>103</v>
      </c>
      <c r="B137" s="27">
        <f t="shared" si="4"/>
        <v>14</v>
      </c>
      <c r="C137" s="27">
        <f t="shared" si="5"/>
        <v>5</v>
      </c>
      <c r="D137" s="116" t="str" cm="1">
        <f t="array" ref="D137">INDEX('Base-2'!$B$2:$H$88,1+B137,C137)</f>
        <v>* differential.element[15].min = 0</v>
      </c>
    </row>
    <row r="138" spans="1:4" x14ac:dyDescent="0.75">
      <c r="A138" s="27">
        <v>104</v>
      </c>
      <c r="B138" s="27">
        <f t="shared" si="4"/>
        <v>14</v>
      </c>
      <c r="C138" s="27">
        <f t="shared" si="5"/>
        <v>6</v>
      </c>
      <c r="D138" s="116" t="str" cm="1">
        <f t="array" ref="D138">INDEX('Base-2'!$B$2:$H$88,1+B138,C138)</f>
        <v>* differential.element[15].max = "1"</v>
      </c>
    </row>
    <row r="139" spans="1:4" x14ac:dyDescent="0.75">
      <c r="A139" s="27">
        <v>105</v>
      </c>
      <c r="B139" s="27">
        <f t="shared" si="4"/>
        <v>14</v>
      </c>
      <c r="C139" s="27">
        <f t="shared" si="5"/>
        <v>7</v>
      </c>
      <c r="D139" s="116" t="str" cm="1">
        <f t="array" ref="D139">INDEX('Base-2'!$B$2:$H$88,1+B139,C139)</f>
        <v>* differential.element[15].type.code = #CodeableConcept</v>
      </c>
    </row>
    <row r="140" spans="1:4" x14ac:dyDescent="0.75">
      <c r="A140" s="27">
        <v>106</v>
      </c>
      <c r="B140" s="27">
        <f t="shared" si="4"/>
        <v>15</v>
      </c>
      <c r="C140" s="27">
        <f t="shared" si="5"/>
        <v>1</v>
      </c>
      <c r="D140" s="116" t="str" cm="1">
        <f t="array" ref="D140">INDEX('Base-2'!$B$2:$H$88,1+B140,C140)</f>
        <v>* differential.element[16].id = "TreatmentSummary.diagnosis.frontLineTreatment.isMajorSurgery"</v>
      </c>
    </row>
    <row r="141" spans="1:4" x14ac:dyDescent="0.75">
      <c r="A141" s="27">
        <v>107</v>
      </c>
      <c r="B141" s="27">
        <f t="shared" si="4"/>
        <v>15</v>
      </c>
      <c r="C141" s="27">
        <f t="shared" si="5"/>
        <v>2</v>
      </c>
      <c r="D141" s="116" t="str" cm="1">
        <f t="array" ref="D141">INDEX('Base-2'!$B$2:$H$88,1+B141,C141)</f>
        <v>* differential.element[16].path = "TreatmentSummary.diagnosis.frontLineTreatment.isMajorSurgery"</v>
      </c>
    </row>
    <row r="142" spans="1:4" x14ac:dyDescent="0.75">
      <c r="A142" s="27">
        <v>108</v>
      </c>
      <c r="B142" s="27">
        <f t="shared" si="4"/>
        <v>15</v>
      </c>
      <c r="C142" s="27">
        <f t="shared" si="5"/>
        <v>3</v>
      </c>
      <c r="D142" s="116" t="str" cm="1">
        <f t="array" ref="D142">INDEX('Base-2'!$B$2:$H$88,1+B142,C142)</f>
        <v>* differential.element[16].short = "Major Surgery ?"</v>
      </c>
    </row>
    <row r="143" spans="1:4" x14ac:dyDescent="0.75">
      <c r="A143" s="27">
        <v>109</v>
      </c>
      <c r="B143" s="27">
        <f t="shared" si="4"/>
        <v>15</v>
      </c>
      <c r="C143" s="27">
        <f t="shared" si="5"/>
        <v>4</v>
      </c>
      <c r="D143" s="116" t="str" cm="1">
        <f t="array" ref="D143">INDEX('Base-2'!$B$2:$H$88,1+B143,C143)</f>
        <v>* differential.element[16].definition = "Major Surgery ?"</v>
      </c>
    </row>
    <row r="144" spans="1:4" x14ac:dyDescent="0.75">
      <c r="A144" s="27">
        <v>110</v>
      </c>
      <c r="B144" s="27">
        <f t="shared" si="4"/>
        <v>15</v>
      </c>
      <c r="C144" s="27">
        <f t="shared" si="5"/>
        <v>5</v>
      </c>
      <c r="D144" s="116" t="str" cm="1">
        <f t="array" ref="D144">INDEX('Base-2'!$B$2:$H$88,1+B144,C144)</f>
        <v>* differential.element[16].min = 0</v>
      </c>
    </row>
    <row r="145" spans="1:4" x14ac:dyDescent="0.75">
      <c r="A145" s="27">
        <v>111</v>
      </c>
      <c r="B145" s="27">
        <f t="shared" si="4"/>
        <v>15</v>
      </c>
      <c r="C145" s="27">
        <f t="shared" si="5"/>
        <v>6</v>
      </c>
      <c r="D145" s="116" t="str" cm="1">
        <f t="array" ref="D145">INDEX('Base-2'!$B$2:$H$88,1+B145,C145)</f>
        <v>* differential.element[16].max = "1"</v>
      </c>
    </row>
    <row r="146" spans="1:4" x14ac:dyDescent="0.75">
      <c r="A146" s="27">
        <v>112</v>
      </c>
      <c r="B146" s="27">
        <f t="shared" si="4"/>
        <v>15</v>
      </c>
      <c r="C146" s="27">
        <f t="shared" si="5"/>
        <v>7</v>
      </c>
      <c r="D146" s="116" t="str" cm="1">
        <f t="array" ref="D146">INDEX('Base-2'!$B$2:$H$88,1+B146,C146)</f>
        <v>* differential.element[16].type.code = #CodeableConcept</v>
      </c>
    </row>
    <row r="147" spans="1:4" x14ac:dyDescent="0.75">
      <c r="A147" s="27">
        <v>113</v>
      </c>
      <c r="B147" s="27">
        <f t="shared" si="4"/>
        <v>16</v>
      </c>
      <c r="C147" s="27">
        <f t="shared" si="5"/>
        <v>1</v>
      </c>
      <c r="D147" s="116" t="str" cm="1">
        <f t="array" ref="D147">INDEX('Base-2'!$B$2:$H$88,1+B147,C147)</f>
        <v>* differential.element[17].id = "TreatmentSummary.diagnosis.frontLineTreatment.isProgressionRelapseDuringFLT"</v>
      </c>
    </row>
    <row r="148" spans="1:4" x14ac:dyDescent="0.75">
      <c r="A148" s="27">
        <v>114</v>
      </c>
      <c r="B148" s="27">
        <f t="shared" si="4"/>
        <v>16</v>
      </c>
      <c r="C148" s="27">
        <f t="shared" si="5"/>
        <v>2</v>
      </c>
      <c r="D148" s="116" t="str" cm="1">
        <f t="array" ref="D148">INDEX('Base-2'!$B$2:$H$88,1+B148,C148)</f>
        <v>* differential.element[17].path = "TreatmentSummary.diagnosis.frontLineTreatment.isProgressionRelapseDuringFLT"</v>
      </c>
    </row>
    <row r="149" spans="1:4" x14ac:dyDescent="0.75">
      <c r="A149" s="27">
        <v>115</v>
      </c>
      <c r="B149" s="27">
        <f t="shared" si="4"/>
        <v>16</v>
      </c>
      <c r="C149" s="27">
        <f t="shared" si="5"/>
        <v>3</v>
      </c>
      <c r="D149" s="116" t="str" cm="1">
        <f t="array" ref="D149">INDEX('Base-2'!$B$2:$H$88,1+B149,C149)</f>
        <v>* differential.element[17].short = "Progression/relapse during frontline treatment ?"</v>
      </c>
    </row>
    <row r="150" spans="1:4" x14ac:dyDescent="0.75">
      <c r="A150" s="27">
        <v>116</v>
      </c>
      <c r="B150" s="27">
        <f t="shared" si="4"/>
        <v>16</v>
      </c>
      <c r="C150" s="27">
        <f t="shared" si="5"/>
        <v>4</v>
      </c>
      <c r="D150" s="116" t="str" cm="1">
        <f t="array" ref="D150">INDEX('Base-2'!$B$2:$H$88,1+B150,C150)</f>
        <v>* differential.element[17].definition = "Progression/relapse during frontline treatment ?"</v>
      </c>
    </row>
    <row r="151" spans="1:4" x14ac:dyDescent="0.75">
      <c r="A151" s="27">
        <v>117</v>
      </c>
      <c r="B151" s="27">
        <f t="shared" si="4"/>
        <v>16</v>
      </c>
      <c r="C151" s="27">
        <f t="shared" si="5"/>
        <v>5</v>
      </c>
      <c r="D151" s="116" t="str" cm="1">
        <f t="array" ref="D151">INDEX('Base-2'!$B$2:$H$88,1+B151,C151)</f>
        <v>* differential.element[17].min = 0</v>
      </c>
    </row>
    <row r="152" spans="1:4" x14ac:dyDescent="0.75">
      <c r="A152" s="27">
        <v>118</v>
      </c>
      <c r="B152" s="27">
        <f t="shared" si="4"/>
        <v>16</v>
      </c>
      <c r="C152" s="27">
        <f t="shared" si="5"/>
        <v>6</v>
      </c>
      <c r="D152" s="116" t="str" cm="1">
        <f t="array" ref="D152">INDEX('Base-2'!$B$2:$H$88,1+B152,C152)</f>
        <v>* differential.element[17].max = "1"</v>
      </c>
    </row>
    <row r="153" spans="1:4" x14ac:dyDescent="0.75">
      <c r="A153" s="27">
        <v>119</v>
      </c>
      <c r="B153" s="27">
        <f t="shared" si="4"/>
        <v>16</v>
      </c>
      <c r="C153" s="27">
        <f t="shared" si="5"/>
        <v>7</v>
      </c>
      <c r="D153" s="116" t="str" cm="1">
        <f t="array" ref="D153">INDEX('Base-2'!$B$2:$H$88,1+B153,C153)</f>
        <v>* differential.element[17].type.code = #CodeableConcept</v>
      </c>
    </row>
    <row r="154" spans="1:4" x14ac:dyDescent="0.75">
      <c r="A154" s="27">
        <v>120</v>
      </c>
      <c r="B154" s="27">
        <f t="shared" si="4"/>
        <v>17</v>
      </c>
      <c r="C154" s="27">
        <f t="shared" si="5"/>
        <v>1</v>
      </c>
      <c r="D154" s="116" t="str" cm="1">
        <f t="array" ref="D154">INDEX('Base-2'!$B$2:$H$88,1+B154,C154)</f>
        <v>* differential.element[18].id = "TreatmentSummary.diagnosis.frontLineTreatment.isProgressionRelapseAfterFLT"</v>
      </c>
    </row>
    <row r="155" spans="1:4" x14ac:dyDescent="0.75">
      <c r="A155" s="27">
        <v>121</v>
      </c>
      <c r="B155" s="27">
        <f t="shared" si="4"/>
        <v>17</v>
      </c>
      <c r="C155" s="27">
        <f t="shared" si="5"/>
        <v>2</v>
      </c>
      <c r="D155" s="116" t="str" cm="1">
        <f t="array" ref="D155">INDEX('Base-2'!$B$2:$H$88,1+B155,C155)</f>
        <v>* differential.element[18].path = "TreatmentSummary.diagnosis.frontLineTreatment.isProgressionRelapseAfterFLT"</v>
      </c>
    </row>
    <row r="156" spans="1:4" x14ac:dyDescent="0.75">
      <c r="A156" s="27">
        <v>122</v>
      </c>
      <c r="B156" s="27">
        <f t="shared" si="4"/>
        <v>17</v>
      </c>
      <c r="C156" s="27">
        <f t="shared" si="5"/>
        <v>3</v>
      </c>
      <c r="D156" s="116" t="str" cm="1">
        <f t="array" ref="D156">INDEX('Base-2'!$B$2:$H$88,1+B156,C156)</f>
        <v>* differential.element[18].short = "Progression/relapse after first elective end of treatment ?"</v>
      </c>
    </row>
    <row r="157" spans="1:4" x14ac:dyDescent="0.75">
      <c r="A157" s="27">
        <v>123</v>
      </c>
      <c r="B157" s="27">
        <f t="shared" si="4"/>
        <v>17</v>
      </c>
      <c r="C157" s="27">
        <f t="shared" si="5"/>
        <v>4</v>
      </c>
      <c r="D157" s="116" t="str" cm="1">
        <f t="array" ref="D157">INDEX('Base-2'!$B$2:$H$88,1+B157,C157)</f>
        <v>* differential.element[18].definition = "Progression/relapse after first elective end of treatment ?"</v>
      </c>
    </row>
    <row r="158" spans="1:4" x14ac:dyDescent="0.75">
      <c r="A158" s="27">
        <v>124</v>
      </c>
      <c r="B158" s="27">
        <f t="shared" si="4"/>
        <v>17</v>
      </c>
      <c r="C158" s="27">
        <f t="shared" si="5"/>
        <v>5</v>
      </c>
      <c r="D158" s="116" t="str" cm="1">
        <f t="array" ref="D158">INDEX('Base-2'!$B$2:$H$88,1+B158,C158)</f>
        <v>* differential.element[18].min = 0</v>
      </c>
    </row>
    <row r="159" spans="1:4" x14ac:dyDescent="0.75">
      <c r="A159" s="27">
        <v>125</v>
      </c>
      <c r="B159" s="27">
        <f t="shared" si="4"/>
        <v>17</v>
      </c>
      <c r="C159" s="27">
        <f t="shared" si="5"/>
        <v>6</v>
      </c>
      <c r="D159" s="116" t="str" cm="1">
        <f t="array" ref="D159">INDEX('Base-2'!$B$2:$H$88,1+B159,C159)</f>
        <v>* differential.element[18].max = "1"</v>
      </c>
    </row>
    <row r="160" spans="1:4" x14ac:dyDescent="0.75">
      <c r="A160" s="27">
        <v>126</v>
      </c>
      <c r="B160" s="27">
        <f t="shared" si="4"/>
        <v>17</v>
      </c>
      <c r="C160" s="27">
        <f t="shared" si="5"/>
        <v>7</v>
      </c>
      <c r="D160" s="116" t="str" cm="1">
        <f t="array" ref="D160">INDEX('Base-2'!$B$2:$H$88,1+B160,C160)</f>
        <v>* differential.element[18].type.code = #CodeableConcept</v>
      </c>
    </row>
    <row r="161" spans="1:4" x14ac:dyDescent="0.75">
      <c r="A161" s="27">
        <v>127</v>
      </c>
      <c r="B161" s="27">
        <f t="shared" si="4"/>
        <v>18</v>
      </c>
      <c r="C161" s="27">
        <f t="shared" si="5"/>
        <v>1</v>
      </c>
      <c r="D161" s="116" t="str" cm="1">
        <f t="array" ref="D161">INDEX('Base-2'!$B$2:$H$88,1+B161,C161)</f>
        <v>* differential.element[19].id = "TreatmentSummary.diagnosis.chemotherapy"</v>
      </c>
    </row>
    <row r="162" spans="1:4" x14ac:dyDescent="0.75">
      <c r="A162" s="27">
        <v>128</v>
      </c>
      <c r="B162" s="27">
        <f t="shared" si="4"/>
        <v>18</v>
      </c>
      <c r="C162" s="27">
        <f t="shared" si="5"/>
        <v>2</v>
      </c>
      <c r="D162" s="116" t="str" cm="1">
        <f t="array" ref="D162">INDEX('Base-2'!$B$2:$H$88,1+B162,C162)</f>
        <v>* differential.element[19].path = "TreatmentSummary.diagnosis.chemotherapy"</v>
      </c>
    </row>
    <row r="163" spans="1:4" x14ac:dyDescent="0.75">
      <c r="A163" s="27">
        <v>129</v>
      </c>
      <c r="B163" s="27">
        <f t="shared" si="4"/>
        <v>18</v>
      </c>
      <c r="C163" s="27">
        <f t="shared" si="5"/>
        <v>3</v>
      </c>
      <c r="D163" s="116" t="str" cm="1">
        <f t="array" ref="D163">INDEX('Base-2'!$B$2:$H$88,1+B163,C163)</f>
        <v>* differential.element[19].short = "Chemotherapy"</v>
      </c>
    </row>
    <row r="164" spans="1:4" x14ac:dyDescent="0.75">
      <c r="A164" s="27">
        <v>130</v>
      </c>
      <c r="B164" s="27">
        <f t="shared" si="4"/>
        <v>18</v>
      </c>
      <c r="C164" s="27">
        <f t="shared" si="5"/>
        <v>4</v>
      </c>
      <c r="D164" s="116" t="str" cm="1">
        <f t="array" ref="D164">INDEX('Base-2'!$B$2:$H$88,1+B164,C164)</f>
        <v>* differential.element[19].definition = "Chemotherapy"</v>
      </c>
    </row>
    <row r="165" spans="1:4" x14ac:dyDescent="0.75">
      <c r="A165" s="27">
        <v>131</v>
      </c>
      <c r="B165" s="27">
        <f t="shared" si="4"/>
        <v>18</v>
      </c>
      <c r="C165" s="27">
        <f t="shared" si="5"/>
        <v>5</v>
      </c>
      <c r="D165" s="116" t="str" cm="1">
        <f t="array" ref="D165">INDEX('Base-2'!$B$2:$H$88,1+B165,C165)</f>
        <v>* differential.element[19].min = 0</v>
      </c>
    </row>
    <row r="166" spans="1:4" x14ac:dyDescent="0.75">
      <c r="A166" s="27">
        <v>132</v>
      </c>
      <c r="B166" s="27">
        <f t="shared" si="4"/>
        <v>18</v>
      </c>
      <c r="C166" s="27">
        <f t="shared" si="5"/>
        <v>6</v>
      </c>
      <c r="D166" s="116" t="str" cm="1">
        <f t="array" ref="D166">INDEX('Base-2'!$B$2:$H$88,1+B166,C166)</f>
        <v>* differential.element[19].max = "*"</v>
      </c>
    </row>
    <row r="167" spans="1:4" x14ac:dyDescent="0.75">
      <c r="A167" s="27">
        <v>133</v>
      </c>
      <c r="B167" s="27">
        <f t="shared" si="4"/>
        <v>18</v>
      </c>
      <c r="C167" s="27">
        <f t="shared" si="5"/>
        <v>7</v>
      </c>
      <c r="D167" s="116" t="str" cm="1">
        <f t="array" ref="D167">INDEX('Base-2'!$B$2:$H$88,1+B167,C167)</f>
        <v>* differential.element[19].type.code = #http://hl7.eu/fhir/ig/pcsp/StructureDefinition/Chemotherapy</v>
      </c>
    </row>
    <row r="168" spans="1:4" x14ac:dyDescent="0.75">
      <c r="A168" s="27">
        <v>134</v>
      </c>
      <c r="B168" s="27">
        <f t="shared" si="4"/>
        <v>19</v>
      </c>
      <c r="C168" s="27">
        <f t="shared" si="5"/>
        <v>1</v>
      </c>
      <c r="D168" s="116" t="str" cm="1">
        <f t="array" ref="D168">INDEX('Base-2'!$B$2:$H$88,1+B168,C168)</f>
        <v>* differential.element[20].id = "TreatmentSummary.diagnosis.stemCellTransplantation"</v>
      </c>
    </row>
    <row r="169" spans="1:4" x14ac:dyDescent="0.75">
      <c r="A169" s="27">
        <v>135</v>
      </c>
      <c r="B169" s="27">
        <f t="shared" si="4"/>
        <v>19</v>
      </c>
      <c r="C169" s="27">
        <f t="shared" si="5"/>
        <v>2</v>
      </c>
      <c r="D169" s="116" t="str" cm="1">
        <f t="array" ref="D169">INDEX('Base-2'!$B$2:$H$88,1+B169,C169)</f>
        <v>* differential.element[20].path = "TreatmentSummary.diagnosis.stemCellTransplantation"</v>
      </c>
    </row>
    <row r="170" spans="1:4" x14ac:dyDescent="0.75">
      <c r="A170" s="27">
        <v>136</v>
      </c>
      <c r="B170" s="27">
        <f t="shared" ref="B170:B233" si="6">IF(MOD(A170,7)=0,A170/7-1,INT(A170/7))</f>
        <v>19</v>
      </c>
      <c r="C170" s="27">
        <f t="shared" ref="C170:C233" si="7">IF(MOD(A170,7)=0,7,MOD(A170,7))</f>
        <v>3</v>
      </c>
      <c r="D170" s="116" t="str" cm="1">
        <f t="array" ref="D170">INDEX('Base-2'!$B$2:$H$88,1+B170,C170)</f>
        <v>* differential.element[20].short = "Stem Cell transplantation"</v>
      </c>
    </row>
    <row r="171" spans="1:4" x14ac:dyDescent="0.75">
      <c r="A171" s="27">
        <v>137</v>
      </c>
      <c r="B171" s="27">
        <f t="shared" si="6"/>
        <v>19</v>
      </c>
      <c r="C171" s="27">
        <f t="shared" si="7"/>
        <v>4</v>
      </c>
      <c r="D171" s="116" t="str" cm="1">
        <f t="array" ref="D171">INDEX('Base-2'!$B$2:$H$88,1+B171,C171)</f>
        <v>* differential.element[20].definition = "Stem Cell transplantation"</v>
      </c>
    </row>
    <row r="172" spans="1:4" x14ac:dyDescent="0.75">
      <c r="A172" s="27">
        <v>138</v>
      </c>
      <c r="B172" s="27">
        <f t="shared" si="6"/>
        <v>19</v>
      </c>
      <c r="C172" s="27">
        <f t="shared" si="7"/>
        <v>5</v>
      </c>
      <c r="D172" s="116" t="str" cm="1">
        <f t="array" ref="D172">INDEX('Base-2'!$B$2:$H$88,1+B172,C172)</f>
        <v>* differential.element[20].min = 0</v>
      </c>
    </row>
    <row r="173" spans="1:4" x14ac:dyDescent="0.75">
      <c r="A173" s="27">
        <v>139</v>
      </c>
      <c r="B173" s="27">
        <f t="shared" si="6"/>
        <v>19</v>
      </c>
      <c r="C173" s="27">
        <f t="shared" si="7"/>
        <v>6</v>
      </c>
      <c r="D173" s="116" t="str" cm="1">
        <f t="array" ref="D173">INDEX('Base-2'!$B$2:$H$88,1+B173,C173)</f>
        <v>* differential.element[20].max = "*"</v>
      </c>
    </row>
    <row r="174" spans="1:4" x14ac:dyDescent="0.75">
      <c r="A174" s="27">
        <v>140</v>
      </c>
      <c r="B174" s="27">
        <f t="shared" si="6"/>
        <v>19</v>
      </c>
      <c r="C174" s="27">
        <f t="shared" si="7"/>
        <v>7</v>
      </c>
      <c r="D174" s="116" t="str" cm="1">
        <f t="array" ref="D174">INDEX('Base-2'!$B$2:$H$88,1+B174,C174)</f>
        <v>* differential.element[20].type.code = #BackboneElement</v>
      </c>
    </row>
    <row r="175" spans="1:4" x14ac:dyDescent="0.75">
      <c r="A175" s="27">
        <v>141</v>
      </c>
      <c r="B175" s="27">
        <f t="shared" si="6"/>
        <v>20</v>
      </c>
      <c r="C175" s="27">
        <f t="shared" si="7"/>
        <v>1</v>
      </c>
      <c r="D175" s="116" t="str" cm="1">
        <f t="array" ref="D175">INDEX('Base-2'!$B$2:$H$88,1+B175,C175)</f>
        <v>* differential.element[21].id = "TreatmentSummary.diagnosis.radiotherapy"</v>
      </c>
    </row>
    <row r="176" spans="1:4" x14ac:dyDescent="0.75">
      <c r="A176" s="27">
        <v>142</v>
      </c>
      <c r="B176" s="27">
        <f t="shared" si="6"/>
        <v>20</v>
      </c>
      <c r="C176" s="27">
        <f t="shared" si="7"/>
        <v>2</v>
      </c>
      <c r="D176" s="116" t="str" cm="1">
        <f t="array" ref="D176">INDEX('Base-2'!$B$2:$H$88,1+B176,C176)</f>
        <v>* differential.element[21].path = "TreatmentSummary.diagnosis.radiotherapy"</v>
      </c>
    </row>
    <row r="177" spans="1:4" x14ac:dyDescent="0.75">
      <c r="A177" s="27">
        <v>143</v>
      </c>
      <c r="B177" s="27">
        <f t="shared" si="6"/>
        <v>20</v>
      </c>
      <c r="C177" s="27">
        <f t="shared" si="7"/>
        <v>3</v>
      </c>
      <c r="D177" s="116" t="str" cm="1">
        <f t="array" ref="D177">INDEX('Base-2'!$B$2:$H$88,1+B177,C177)</f>
        <v>* differential.element[21].short = "Radiotherapy"</v>
      </c>
    </row>
    <row r="178" spans="1:4" x14ac:dyDescent="0.75">
      <c r="A178" s="27">
        <v>144</v>
      </c>
      <c r="B178" s="27">
        <f t="shared" si="6"/>
        <v>20</v>
      </c>
      <c r="C178" s="27">
        <f t="shared" si="7"/>
        <v>4</v>
      </c>
      <c r="D178" s="116" t="str" cm="1">
        <f t="array" ref="D178">INDEX('Base-2'!$B$2:$H$88,1+B178,C178)</f>
        <v>* differential.element[21].definition = "Radiotherapy"</v>
      </c>
    </row>
    <row r="179" spans="1:4" x14ac:dyDescent="0.75">
      <c r="A179" s="27">
        <v>145</v>
      </c>
      <c r="B179" s="27">
        <f t="shared" si="6"/>
        <v>20</v>
      </c>
      <c r="C179" s="27">
        <f t="shared" si="7"/>
        <v>5</v>
      </c>
      <c r="D179" s="116" t="str" cm="1">
        <f t="array" ref="D179">INDEX('Base-2'!$B$2:$H$88,1+B179,C179)</f>
        <v>* differential.element[21].min = 0</v>
      </c>
    </row>
    <row r="180" spans="1:4" x14ac:dyDescent="0.75">
      <c r="A180" s="27">
        <v>146</v>
      </c>
      <c r="B180" s="27">
        <f t="shared" si="6"/>
        <v>20</v>
      </c>
      <c r="C180" s="27">
        <f t="shared" si="7"/>
        <v>6</v>
      </c>
      <c r="D180" s="116" t="str" cm="1">
        <f t="array" ref="D180">INDEX('Base-2'!$B$2:$H$88,1+B180,C180)</f>
        <v>* differential.element[21].max = "*"</v>
      </c>
    </row>
    <row r="181" spans="1:4" x14ac:dyDescent="0.75">
      <c r="A181" s="27">
        <v>147</v>
      </c>
      <c r="B181" s="27">
        <f t="shared" si="6"/>
        <v>20</v>
      </c>
      <c r="C181" s="27">
        <f t="shared" si="7"/>
        <v>7</v>
      </c>
      <c r="D181" s="116" t="str" cm="1">
        <f t="array" ref="D181">INDEX('Base-2'!$B$2:$H$88,1+B181,C181)</f>
        <v>* differential.element[21].type.code = #http://hl7.eu/fhir/ig/pcsp/StructureDefinition/Radiotherapy</v>
      </c>
    </row>
    <row r="182" spans="1:4" x14ac:dyDescent="0.75">
      <c r="A182" s="27">
        <v>148</v>
      </c>
      <c r="B182" s="27">
        <f t="shared" si="6"/>
        <v>21</v>
      </c>
      <c r="C182" s="27">
        <f t="shared" si="7"/>
        <v>1</v>
      </c>
      <c r="D182" s="116" t="str" cm="1">
        <f t="array" ref="D182">INDEX('Base-2'!$B$2:$H$88,1+B182,C182)</f>
        <v>* differential.element[22].id = "TreatmentSummary.diagnosis.majorSurgery"</v>
      </c>
    </row>
    <row r="183" spans="1:4" x14ac:dyDescent="0.75">
      <c r="A183" s="27">
        <v>149</v>
      </c>
      <c r="B183" s="27">
        <f t="shared" si="6"/>
        <v>21</v>
      </c>
      <c r="C183" s="27">
        <f t="shared" si="7"/>
        <v>2</v>
      </c>
      <c r="D183" s="116" t="str" cm="1">
        <f t="array" ref="D183">INDEX('Base-2'!$B$2:$H$88,1+B183,C183)</f>
        <v>* differential.element[22].path = "TreatmentSummary.diagnosis.majorSurgery"</v>
      </c>
    </row>
    <row r="184" spans="1:4" x14ac:dyDescent="0.75">
      <c r="A184" s="27">
        <v>150</v>
      </c>
      <c r="B184" s="27">
        <f t="shared" si="6"/>
        <v>21</v>
      </c>
      <c r="C184" s="27">
        <f t="shared" si="7"/>
        <v>3</v>
      </c>
      <c r="D184" s="116" t="str" cm="1">
        <f t="array" ref="D184">INDEX('Base-2'!$B$2:$H$88,1+B184,C184)</f>
        <v>* differential.element[22].short = "Major Surgery"</v>
      </c>
    </row>
    <row r="185" spans="1:4" x14ac:dyDescent="0.75">
      <c r="A185" s="27">
        <v>151</v>
      </c>
      <c r="B185" s="27">
        <f t="shared" si="6"/>
        <v>21</v>
      </c>
      <c r="C185" s="27">
        <f t="shared" si="7"/>
        <v>4</v>
      </c>
      <c r="D185" s="116" t="str" cm="1">
        <f t="array" ref="D185">INDEX('Base-2'!$B$2:$H$88,1+B185,C185)</f>
        <v>* differential.element[22].definition = "Major Surgery"</v>
      </c>
    </row>
    <row r="186" spans="1:4" x14ac:dyDescent="0.75">
      <c r="A186" s="27">
        <v>152</v>
      </c>
      <c r="B186" s="27">
        <f t="shared" si="6"/>
        <v>21</v>
      </c>
      <c r="C186" s="27">
        <f t="shared" si="7"/>
        <v>5</v>
      </c>
      <c r="D186" s="116" t="str" cm="1">
        <f t="array" ref="D186">INDEX('Base-2'!$B$2:$H$88,1+B186,C186)</f>
        <v>* differential.element[22].min = 0</v>
      </c>
    </row>
    <row r="187" spans="1:4" x14ac:dyDescent="0.75">
      <c r="A187" s="27">
        <v>153</v>
      </c>
      <c r="B187" s="27">
        <f t="shared" si="6"/>
        <v>21</v>
      </c>
      <c r="C187" s="27">
        <f t="shared" si="7"/>
        <v>6</v>
      </c>
      <c r="D187" s="116" t="str" cm="1">
        <f t="array" ref="D187">INDEX('Base-2'!$B$2:$H$88,1+B187,C187)</f>
        <v>* differential.element[22].max = "*"</v>
      </c>
    </row>
    <row r="188" spans="1:4" x14ac:dyDescent="0.75">
      <c r="A188" s="27">
        <v>154</v>
      </c>
      <c r="B188" s="27">
        <f t="shared" si="6"/>
        <v>21</v>
      </c>
      <c r="C188" s="27">
        <f t="shared" si="7"/>
        <v>7</v>
      </c>
      <c r="D188" s="116" t="str" cm="1">
        <f t="array" ref="D188">INDEX('Base-2'!$B$2:$H$88,1+B188,C188)</f>
        <v>* differential.element[22].type.code = #http://hl7.eu/fhir/ig/pcsp/StructureDefinition/MajorSurgery</v>
      </c>
    </row>
    <row r="189" spans="1:4" x14ac:dyDescent="0.75">
      <c r="A189" s="27">
        <v>155</v>
      </c>
      <c r="B189" s="27">
        <f t="shared" si="6"/>
        <v>22</v>
      </c>
      <c r="C189" s="27">
        <f t="shared" si="7"/>
        <v>1</v>
      </c>
      <c r="D189" s="116" t="str" cm="1">
        <f t="array" ref="D189">INDEX('Base-2'!$B$2:$H$88,1+B189,C189)</f>
        <v>* differential.element[23].id = "TreatmentSummary.diagnosis.progressionRelapseDuringFLT"</v>
      </c>
    </row>
    <row r="190" spans="1:4" x14ac:dyDescent="0.75">
      <c r="A190" s="27">
        <v>156</v>
      </c>
      <c r="B190" s="27">
        <f t="shared" si="6"/>
        <v>22</v>
      </c>
      <c r="C190" s="27">
        <f t="shared" si="7"/>
        <v>2</v>
      </c>
      <c r="D190" s="116" t="str" cm="1">
        <f t="array" ref="D190">INDEX('Base-2'!$B$2:$H$88,1+B190,C190)</f>
        <v>* differential.element[23].path = "TreatmentSummary.diagnosis.progressionRelapseDuringFLT"</v>
      </c>
    </row>
    <row r="191" spans="1:4" x14ac:dyDescent="0.75">
      <c r="A191" s="27">
        <v>157</v>
      </c>
      <c r="B191" s="27">
        <f t="shared" si="6"/>
        <v>22</v>
      </c>
      <c r="C191" s="27">
        <f t="shared" si="7"/>
        <v>3</v>
      </c>
      <c r="D191" s="116" t="str" cm="1">
        <f t="array" ref="D191">INDEX('Base-2'!$B$2:$H$88,1+B191,C191)</f>
        <v>* differential.element[23].short = "Progression-Relapse during FLT"</v>
      </c>
    </row>
    <row r="192" spans="1:4" x14ac:dyDescent="0.75">
      <c r="A192" s="27">
        <v>158</v>
      </c>
      <c r="B192" s="27">
        <f t="shared" si="6"/>
        <v>22</v>
      </c>
      <c r="C192" s="27">
        <f t="shared" si="7"/>
        <v>4</v>
      </c>
      <c r="D192" s="116" t="str" cm="1">
        <f t="array" ref="D192">INDEX('Base-2'!$B$2:$H$88,1+B192,C192)</f>
        <v>* differential.element[23].definition = "Progression-Relapse during Front line treatment"</v>
      </c>
    </row>
    <row r="193" spans="1:4" x14ac:dyDescent="0.75">
      <c r="A193" s="27">
        <v>159</v>
      </c>
      <c r="B193" s="27">
        <f t="shared" si="6"/>
        <v>22</v>
      </c>
      <c r="C193" s="27">
        <f t="shared" si="7"/>
        <v>5</v>
      </c>
      <c r="D193" s="116" t="str" cm="1">
        <f t="array" ref="D193">INDEX('Base-2'!$B$2:$H$88,1+B193,C193)</f>
        <v>* differential.element[23].min = 0</v>
      </c>
    </row>
    <row r="194" spans="1:4" x14ac:dyDescent="0.75">
      <c r="A194" s="27">
        <v>160</v>
      </c>
      <c r="B194" s="27">
        <f t="shared" si="6"/>
        <v>22</v>
      </c>
      <c r="C194" s="27">
        <f t="shared" si="7"/>
        <v>6</v>
      </c>
      <c r="D194" s="116" t="str" cm="1">
        <f t="array" ref="D194">INDEX('Base-2'!$B$2:$H$88,1+B194,C194)</f>
        <v>* differential.element[23].max = "*"</v>
      </c>
    </row>
    <row r="195" spans="1:4" x14ac:dyDescent="0.75">
      <c r="A195" s="27">
        <v>161</v>
      </c>
      <c r="B195" s="27">
        <f t="shared" si="6"/>
        <v>22</v>
      </c>
      <c r="C195" s="27">
        <f t="shared" si="7"/>
        <v>7</v>
      </c>
      <c r="D195" s="116" t="str" cm="1">
        <f t="array" ref="D195">INDEX('Base-2'!$B$2:$H$88,1+B195,C195)</f>
        <v>* differential.element[23].type.code = #BackboneElement</v>
      </c>
    </row>
    <row r="196" spans="1:4" x14ac:dyDescent="0.75">
      <c r="A196" s="27">
        <v>162</v>
      </c>
      <c r="B196" s="27">
        <f t="shared" si="6"/>
        <v>23</v>
      </c>
      <c r="C196" s="27">
        <f t="shared" si="7"/>
        <v>1</v>
      </c>
      <c r="D196" s="116" t="str" cm="1">
        <f t="array" ref="D196">INDEX('Base-2'!$B$2:$H$88,1+B196,C196)</f>
        <v>* differential.element[24].id = "TreatmentSummary.diagnosis.otherInfo"</v>
      </c>
    </row>
    <row r="197" spans="1:4" x14ac:dyDescent="0.75">
      <c r="A197" s="27">
        <v>163</v>
      </c>
      <c r="B197" s="27">
        <f t="shared" si="6"/>
        <v>23</v>
      </c>
      <c r="C197" s="27">
        <f t="shared" si="7"/>
        <v>2</v>
      </c>
      <c r="D197" s="116" t="str" cm="1">
        <f t="array" ref="D197">INDEX('Base-2'!$B$2:$H$88,1+B197,C197)</f>
        <v>* differential.element[24].path = "TreatmentSummary.diagnosis.otherInfo"</v>
      </c>
    </row>
    <row r="198" spans="1:4" x14ac:dyDescent="0.75">
      <c r="A198" s="27">
        <v>164</v>
      </c>
      <c r="B198" s="27">
        <f t="shared" si="6"/>
        <v>23</v>
      </c>
      <c r="C198" s="27">
        <f t="shared" si="7"/>
        <v>3</v>
      </c>
      <c r="D198" s="116" t="str" cm="1">
        <f t="array" ref="D198">INDEX('Base-2'!$B$2:$H$88,1+B198,C198)</f>
        <v>* differential.element[24].short = "Other info and relevant events"</v>
      </c>
    </row>
    <row r="199" spans="1:4" x14ac:dyDescent="0.75">
      <c r="A199" s="27">
        <v>165</v>
      </c>
      <c r="B199" s="27">
        <f t="shared" si="6"/>
        <v>23</v>
      </c>
      <c r="C199" s="27">
        <f t="shared" si="7"/>
        <v>4</v>
      </c>
      <c r="D199" s="116" t="str" cm="1">
        <f t="array" ref="D199">INDEX('Base-2'!$B$2:$H$88,1+B199,C199)</f>
        <v>* differential.element[24].definition = "Other info and relevant events"</v>
      </c>
    </row>
    <row r="200" spans="1:4" x14ac:dyDescent="0.75">
      <c r="A200" s="27">
        <v>166</v>
      </c>
      <c r="B200" s="27">
        <f t="shared" si="6"/>
        <v>23</v>
      </c>
      <c r="C200" s="27">
        <f t="shared" si="7"/>
        <v>5</v>
      </c>
      <c r="D200" s="116" t="str" cm="1">
        <f t="array" ref="D200">INDEX('Base-2'!$B$2:$H$88,1+B200,C200)</f>
        <v>* differential.element[24].min = 0</v>
      </c>
    </row>
    <row r="201" spans="1:4" x14ac:dyDescent="0.75">
      <c r="A201" s="27">
        <v>167</v>
      </c>
      <c r="B201" s="27">
        <f t="shared" si="6"/>
        <v>23</v>
      </c>
      <c r="C201" s="27">
        <f t="shared" si="7"/>
        <v>6</v>
      </c>
      <c r="D201" s="116" t="str" cm="1">
        <f t="array" ref="D201">INDEX('Base-2'!$B$2:$H$88,1+B201,C201)</f>
        <v>* differential.element[24].max = "*"</v>
      </c>
    </row>
    <row r="202" spans="1:4" x14ac:dyDescent="0.75">
      <c r="A202" s="27">
        <v>168</v>
      </c>
      <c r="B202" s="27">
        <f t="shared" si="6"/>
        <v>23</v>
      </c>
      <c r="C202" s="27">
        <f t="shared" si="7"/>
        <v>7</v>
      </c>
      <c r="D202" s="116" t="str" cm="1">
        <f t="array" ref="D202">INDEX('Base-2'!$B$2:$H$88,1+B202,C202)</f>
        <v>* differential.element[24].type.code = #BackboneElement</v>
      </c>
    </row>
    <row r="203" spans="1:4" x14ac:dyDescent="0.75">
      <c r="A203" s="27">
        <v>169</v>
      </c>
      <c r="B203" s="27">
        <f t="shared" si="6"/>
        <v>24</v>
      </c>
      <c r="C203" s="27">
        <f t="shared" si="7"/>
        <v>1</v>
      </c>
      <c r="D203" s="116" t="str" cm="1">
        <f t="array" ref="D203">INDEX('Base-2'!$B$2:$H$88,1+B203,C203)</f>
        <v>* differential.element[25].id = "TreatmentSummary.diagnosis.medicalSuggestion"</v>
      </c>
    </row>
    <row r="204" spans="1:4" x14ac:dyDescent="0.75">
      <c r="A204" s="27">
        <v>170</v>
      </c>
      <c r="B204" s="27">
        <f t="shared" si="6"/>
        <v>24</v>
      </c>
      <c r="C204" s="27">
        <f t="shared" si="7"/>
        <v>2</v>
      </c>
      <c r="D204" s="116" t="str" cm="1">
        <f t="array" ref="D204">INDEX('Base-2'!$B$2:$H$88,1+B204,C204)</f>
        <v>* differential.element[25].path = "TreatmentSummary.diagnosis.medicalSuggestion"</v>
      </c>
    </row>
    <row r="205" spans="1:4" x14ac:dyDescent="0.75">
      <c r="A205" s="27">
        <v>171</v>
      </c>
      <c r="B205" s="27">
        <f t="shared" si="6"/>
        <v>24</v>
      </c>
      <c r="C205" s="27">
        <f t="shared" si="7"/>
        <v>3</v>
      </c>
      <c r="D205" s="116" t="str" cm="1">
        <f t="array" ref="D205">INDEX('Base-2'!$B$2:$H$88,1+B205,C205)</f>
        <v>* differential.element[25].short = "Medical suggestion"</v>
      </c>
    </row>
    <row r="206" spans="1:4" x14ac:dyDescent="0.75">
      <c r="A206" s="27">
        <v>172</v>
      </c>
      <c r="B206" s="27">
        <f t="shared" si="6"/>
        <v>24</v>
      </c>
      <c r="C206" s="27">
        <f t="shared" si="7"/>
        <v>4</v>
      </c>
      <c r="D206" s="116" t="str" cm="1">
        <f t="array" ref="D206">INDEX('Base-2'!$B$2:$H$88,1+B206,C206)</f>
        <v>* differential.element[25].definition = "Medical suggestion"</v>
      </c>
    </row>
    <row r="207" spans="1:4" x14ac:dyDescent="0.75">
      <c r="A207" s="27">
        <v>173</v>
      </c>
      <c r="B207" s="27">
        <f t="shared" si="6"/>
        <v>24</v>
      </c>
      <c r="C207" s="27">
        <f t="shared" si="7"/>
        <v>5</v>
      </c>
      <c r="D207" s="116" t="str" cm="1">
        <f t="array" ref="D207">INDEX('Base-2'!$B$2:$H$88,1+B207,C207)</f>
        <v>* differential.element[25].min = 0</v>
      </c>
    </row>
    <row r="208" spans="1:4" x14ac:dyDescent="0.75">
      <c r="A208" s="27">
        <v>174</v>
      </c>
      <c r="B208" s="27">
        <f t="shared" si="6"/>
        <v>24</v>
      </c>
      <c r="C208" s="27">
        <f t="shared" si="7"/>
        <v>6</v>
      </c>
      <c r="D208" s="116" t="str" cm="1">
        <f t="array" ref="D208">INDEX('Base-2'!$B$2:$H$88,1+B208,C208)</f>
        <v>* differential.element[25].max = "*"</v>
      </c>
    </row>
    <row r="209" spans="1:4" x14ac:dyDescent="0.75">
      <c r="A209" s="27">
        <v>175</v>
      </c>
      <c r="B209" s="27">
        <f t="shared" si="6"/>
        <v>24</v>
      </c>
      <c r="C209" s="27">
        <f t="shared" si="7"/>
        <v>7</v>
      </c>
      <c r="D209" s="116" t="str" cm="1">
        <f t="array" ref="D209">INDEX('Base-2'!$B$2:$H$88,1+B209,C209)</f>
        <v>* differential.element[25].type.code = #BackboneElement</v>
      </c>
    </row>
    <row r="210" spans="1:4" x14ac:dyDescent="0.75">
      <c r="A210" s="27">
        <v>176</v>
      </c>
      <c r="B210" s="27">
        <f t="shared" si="6"/>
        <v>25</v>
      </c>
      <c r="C210" s="27">
        <f t="shared" si="7"/>
        <v>1</v>
      </c>
      <c r="D210" s="116" t="str" cm="1">
        <f t="array" ref="D210">INDEX('Base-2'!$B$2:$H$88,1+B210,C210)</f>
        <v>* differential.element[26].id = "TreatmentSummary.diagnosis.progressionRelapseAfterEOT"</v>
      </c>
    </row>
    <row r="211" spans="1:4" x14ac:dyDescent="0.75">
      <c r="A211" s="27">
        <v>177</v>
      </c>
      <c r="B211" s="27">
        <f t="shared" si="6"/>
        <v>25</v>
      </c>
      <c r="C211" s="27">
        <f t="shared" si="7"/>
        <v>2</v>
      </c>
      <c r="D211" s="116" t="str" cm="1">
        <f t="array" ref="D211">INDEX('Base-2'!$B$2:$H$88,1+B211,C211)</f>
        <v>* differential.element[26].path = "TreatmentSummary.diagnosis.progressionRelapseAfterEOT"</v>
      </c>
    </row>
    <row r="212" spans="1:4" x14ac:dyDescent="0.75">
      <c r="A212" s="27">
        <v>178</v>
      </c>
      <c r="B212" s="27">
        <f t="shared" si="6"/>
        <v>25</v>
      </c>
      <c r="C212" s="27">
        <f t="shared" si="7"/>
        <v>3</v>
      </c>
      <c r="D212" s="116" t="str" cm="1">
        <f t="array" ref="D212">INDEX('Base-2'!$B$2:$H$88,1+B212,C212)</f>
        <v>* differential.element[26].short = "Progression-relapse after the End of Treatment"</v>
      </c>
    </row>
    <row r="213" spans="1:4" x14ac:dyDescent="0.75">
      <c r="A213" s="27">
        <v>179</v>
      </c>
      <c r="B213" s="27">
        <f t="shared" si="6"/>
        <v>25</v>
      </c>
      <c r="C213" s="27">
        <f t="shared" si="7"/>
        <v>4</v>
      </c>
      <c r="D213" s="116" t="str" cm="1">
        <f t="array" ref="D213">INDEX('Base-2'!$B$2:$H$88,1+B213,C213)</f>
        <v>* differential.element[26].definition = "Progression-relapse after the End of Treatment"</v>
      </c>
    </row>
    <row r="214" spans="1:4" x14ac:dyDescent="0.75">
      <c r="A214" s="27">
        <v>180</v>
      </c>
      <c r="B214" s="27">
        <f t="shared" si="6"/>
        <v>25</v>
      </c>
      <c r="C214" s="27">
        <f t="shared" si="7"/>
        <v>5</v>
      </c>
      <c r="D214" s="116" t="str" cm="1">
        <f t="array" ref="D214">INDEX('Base-2'!$B$2:$H$88,1+B214,C214)</f>
        <v>* differential.element[26].min = 0</v>
      </c>
    </row>
    <row r="215" spans="1:4" x14ac:dyDescent="0.75">
      <c r="A215" s="27">
        <v>181</v>
      </c>
      <c r="B215" s="27">
        <f t="shared" si="6"/>
        <v>25</v>
      </c>
      <c r="C215" s="27">
        <f t="shared" si="7"/>
        <v>6</v>
      </c>
      <c r="D215" s="116" t="str" cm="1">
        <f t="array" ref="D215">INDEX('Base-2'!$B$2:$H$88,1+B215,C215)</f>
        <v>* differential.element[26].max = "*"</v>
      </c>
    </row>
    <row r="216" spans="1:4" x14ac:dyDescent="0.75">
      <c r="A216" s="27">
        <v>182</v>
      </c>
      <c r="B216" s="27">
        <f t="shared" si="6"/>
        <v>25</v>
      </c>
      <c r="C216" s="27">
        <f t="shared" si="7"/>
        <v>7</v>
      </c>
      <c r="D216" s="116" t="str" cm="1">
        <f t="array" ref="D216">INDEX('Base-2'!$B$2:$H$88,1+B216,C216)</f>
        <v>* differential.element[26].type.code = #BackboneElement</v>
      </c>
    </row>
    <row r="217" spans="1:4" x14ac:dyDescent="0.75">
      <c r="A217" s="27">
        <v>183</v>
      </c>
      <c r="B217" s="27">
        <f t="shared" si="6"/>
        <v>26</v>
      </c>
      <c r="C217" s="27">
        <f t="shared" si="7"/>
        <v>1</v>
      </c>
      <c r="D217" s="116" t="str" cm="1">
        <f t="array" ref="D217">INDEX('Base-2'!$B$2:$H$88,1+B217,C217)</f>
        <v>* differential.element[27].id = "TreatmentSummary.diagnosis.otherConditions"</v>
      </c>
    </row>
    <row r="218" spans="1:4" x14ac:dyDescent="0.75">
      <c r="A218" s="27">
        <v>184</v>
      </c>
      <c r="B218" s="27">
        <f t="shared" si="6"/>
        <v>26</v>
      </c>
      <c r="C218" s="27">
        <f t="shared" si="7"/>
        <v>2</v>
      </c>
      <c r="D218" s="116" t="str" cm="1">
        <f t="array" ref="D218">INDEX('Base-2'!$B$2:$H$88,1+B218,C218)</f>
        <v>* differential.element[27].path = "TreatmentSummary.diagnosis.otherConditions"</v>
      </c>
    </row>
    <row r="219" spans="1:4" x14ac:dyDescent="0.75">
      <c r="A219" s="27">
        <v>185</v>
      </c>
      <c r="B219" s="27">
        <f t="shared" si="6"/>
        <v>26</v>
      </c>
      <c r="C219" s="27">
        <f t="shared" si="7"/>
        <v>3</v>
      </c>
      <c r="D219" s="116" t="str" cm="1">
        <f t="array" ref="D219">INDEX('Base-2'!$B$2:$H$88,1+B219,C219)</f>
        <v>* differential.element[27].short = "Other medical conditions, not cancer associated"</v>
      </c>
    </row>
    <row r="220" spans="1:4" ht="29.5" x14ac:dyDescent="0.75">
      <c r="A220" s="27">
        <v>186</v>
      </c>
      <c r="B220" s="27">
        <f t="shared" si="6"/>
        <v>26</v>
      </c>
      <c r="C220" s="27">
        <f t="shared" si="7"/>
        <v>4</v>
      </c>
      <c r="D220" s="116" t="str" cm="1">
        <f t="array" ref="D220">INDEX('Base-2'!$B$2:$H$88,1+B220,C220)</f>
        <v>* differential.element[27].definition = "Please list here if the patient has or had other medical conditions not reported to be cancer-associated (e.g. diabetes, congenital cardiopathy, amputations, kidney transplant)"</v>
      </c>
    </row>
    <row r="221" spans="1:4" x14ac:dyDescent="0.75">
      <c r="A221" s="27">
        <v>187</v>
      </c>
      <c r="B221" s="27">
        <f t="shared" si="6"/>
        <v>26</v>
      </c>
      <c r="C221" s="27">
        <f t="shared" si="7"/>
        <v>5</v>
      </c>
      <c r="D221" s="116" t="str" cm="1">
        <f t="array" ref="D221">INDEX('Base-2'!$B$2:$H$88,1+B221,C221)</f>
        <v>* differential.element[27].min = 0</v>
      </c>
    </row>
    <row r="222" spans="1:4" x14ac:dyDescent="0.75">
      <c r="A222" s="27">
        <v>188</v>
      </c>
      <c r="B222" s="27">
        <f t="shared" si="6"/>
        <v>26</v>
      </c>
      <c r="C222" s="27">
        <f t="shared" si="7"/>
        <v>6</v>
      </c>
      <c r="D222" s="116" t="str" cm="1">
        <f t="array" ref="D222">INDEX('Base-2'!$B$2:$H$88,1+B222,C222)</f>
        <v>* differential.element[27].max = "*"</v>
      </c>
    </row>
    <row r="223" spans="1:4" x14ac:dyDescent="0.75">
      <c r="A223" s="27">
        <v>189</v>
      </c>
      <c r="B223" s="27">
        <f t="shared" si="6"/>
        <v>26</v>
      </c>
      <c r="C223" s="27">
        <f t="shared" si="7"/>
        <v>7</v>
      </c>
      <c r="D223" s="116" t="str" cm="1">
        <f t="array" ref="D223">INDEX('Base-2'!$B$2:$H$88,1+B223,C223)</f>
        <v>* differential.element[27].type.code = #string</v>
      </c>
    </row>
    <row r="224" spans="1:4" x14ac:dyDescent="0.75">
      <c r="A224" s="27">
        <v>190</v>
      </c>
      <c r="B224" s="27">
        <f t="shared" si="6"/>
        <v>27</v>
      </c>
      <c r="C224" s="27">
        <f t="shared" si="7"/>
        <v>1</v>
      </c>
      <c r="D224" s="116" cm="1">
        <f t="array" ref="D224">INDEX('Base-2'!$B$2:$H$88,1+B224,C224)</f>
        <v>0</v>
      </c>
    </row>
    <row r="225" spans="1:4" x14ac:dyDescent="0.75">
      <c r="A225" s="27">
        <v>191</v>
      </c>
      <c r="B225" s="27">
        <f t="shared" si="6"/>
        <v>27</v>
      </c>
      <c r="C225" s="27">
        <f t="shared" si="7"/>
        <v>2</v>
      </c>
      <c r="D225" s="116" cm="1">
        <f t="array" ref="D225">INDEX('Base-2'!$B$2:$H$88,1+B225,C225)</f>
        <v>0</v>
      </c>
    </row>
    <row r="226" spans="1:4" x14ac:dyDescent="0.75">
      <c r="A226" s="27">
        <v>192</v>
      </c>
      <c r="B226" s="27">
        <f t="shared" si="6"/>
        <v>27</v>
      </c>
      <c r="C226" s="27">
        <f t="shared" si="7"/>
        <v>3</v>
      </c>
      <c r="D226" s="116" cm="1">
        <f t="array" ref="D226">INDEX('Base-2'!$B$2:$H$88,1+B226,C226)</f>
        <v>0</v>
      </c>
    </row>
    <row r="227" spans="1:4" x14ac:dyDescent="0.75">
      <c r="A227" s="27">
        <v>193</v>
      </c>
      <c r="B227" s="27">
        <f t="shared" si="6"/>
        <v>27</v>
      </c>
      <c r="C227" s="27">
        <f t="shared" si="7"/>
        <v>4</v>
      </c>
      <c r="D227" s="116" cm="1">
        <f t="array" ref="D227">INDEX('Base-2'!$B$2:$H$88,1+B227,C227)</f>
        <v>0</v>
      </c>
    </row>
    <row r="228" spans="1:4" x14ac:dyDescent="0.75">
      <c r="A228" s="27">
        <v>194</v>
      </c>
      <c r="B228" s="27">
        <f t="shared" si="6"/>
        <v>27</v>
      </c>
      <c r="C228" s="27">
        <f t="shared" si="7"/>
        <v>5</v>
      </c>
      <c r="D228" s="116" cm="1">
        <f t="array" ref="D228">INDEX('Base-2'!$B$2:$H$88,1+B228,C228)</f>
        <v>0</v>
      </c>
    </row>
    <row r="229" spans="1:4" x14ac:dyDescent="0.75">
      <c r="A229" s="27">
        <v>195</v>
      </c>
      <c r="B229" s="27">
        <f t="shared" si="6"/>
        <v>27</v>
      </c>
      <c r="C229" s="27">
        <f t="shared" si="7"/>
        <v>6</v>
      </c>
      <c r="D229" s="116" cm="1">
        <f t="array" ref="D229">INDEX('Base-2'!$B$2:$H$88,1+B229,C229)</f>
        <v>0</v>
      </c>
    </row>
    <row r="230" spans="1:4" x14ac:dyDescent="0.75">
      <c r="A230" s="27">
        <v>196</v>
      </c>
      <c r="B230" s="27">
        <f t="shared" si="6"/>
        <v>27</v>
      </c>
      <c r="C230" s="27">
        <f t="shared" si="7"/>
        <v>7</v>
      </c>
      <c r="D230" s="116" cm="1">
        <f t="array" ref="D230">INDEX('Base-2'!$B$2:$H$88,1+B230,C230)</f>
        <v>0</v>
      </c>
    </row>
    <row r="231" spans="1:4" x14ac:dyDescent="0.75">
      <c r="A231" s="27">
        <v>197</v>
      </c>
      <c r="B231" s="27">
        <f t="shared" si="6"/>
        <v>28</v>
      </c>
      <c r="C231" s="27">
        <f t="shared" si="7"/>
        <v>1</v>
      </c>
      <c r="D231" s="116" cm="1">
        <f t="array" ref="D231">INDEX('Base-2'!$B$2:$H$88,1+B231,C231)</f>
        <v>0</v>
      </c>
    </row>
    <row r="232" spans="1:4" x14ac:dyDescent="0.75">
      <c r="A232" s="27">
        <v>198</v>
      </c>
      <c r="B232" s="27">
        <f t="shared" si="6"/>
        <v>28</v>
      </c>
      <c r="C232" s="27">
        <f t="shared" si="7"/>
        <v>2</v>
      </c>
      <c r="D232" s="116" cm="1">
        <f t="array" ref="D232">INDEX('Base-2'!$B$2:$H$88,1+B232,C232)</f>
        <v>0</v>
      </c>
    </row>
    <row r="233" spans="1:4" x14ac:dyDescent="0.75">
      <c r="A233" s="27">
        <v>199</v>
      </c>
      <c r="B233" s="27">
        <f t="shared" si="6"/>
        <v>28</v>
      </c>
      <c r="C233" s="27">
        <f t="shared" si="7"/>
        <v>3</v>
      </c>
      <c r="D233" s="116" cm="1">
        <f t="array" ref="D233">INDEX('Base-2'!$B$2:$H$88,1+B233,C233)</f>
        <v>0</v>
      </c>
    </row>
    <row r="234" spans="1:4" x14ac:dyDescent="0.75">
      <c r="A234" s="27">
        <v>200</v>
      </c>
      <c r="B234" s="27">
        <f t="shared" ref="B234:B297" si="8">IF(MOD(A234,7)=0,A234/7-1,INT(A234/7))</f>
        <v>28</v>
      </c>
      <c r="C234" s="27">
        <f t="shared" ref="C234:C297" si="9">IF(MOD(A234,7)=0,7,MOD(A234,7))</f>
        <v>4</v>
      </c>
      <c r="D234" s="116" cm="1">
        <f t="array" ref="D234">INDEX('Base-2'!$B$2:$H$88,1+B234,C234)</f>
        <v>0</v>
      </c>
    </row>
    <row r="235" spans="1:4" x14ac:dyDescent="0.75">
      <c r="A235" s="27">
        <v>201</v>
      </c>
      <c r="B235" s="27">
        <f t="shared" si="8"/>
        <v>28</v>
      </c>
      <c r="C235" s="27">
        <f t="shared" si="9"/>
        <v>5</v>
      </c>
      <c r="D235" s="116" cm="1">
        <f t="array" ref="D235">INDEX('Base-2'!$B$2:$H$88,1+B235,C235)</f>
        <v>0</v>
      </c>
    </row>
    <row r="236" spans="1:4" x14ac:dyDescent="0.75">
      <c r="A236" s="27">
        <v>202</v>
      </c>
      <c r="B236" s="27">
        <f t="shared" si="8"/>
        <v>28</v>
      </c>
      <c r="C236" s="27">
        <f t="shared" si="9"/>
        <v>6</v>
      </c>
      <c r="D236" s="116" cm="1">
        <f t="array" ref="D236">INDEX('Base-2'!$B$2:$H$88,1+B236,C236)</f>
        <v>0</v>
      </c>
    </row>
    <row r="237" spans="1:4" x14ac:dyDescent="0.75">
      <c r="A237" s="27">
        <v>203</v>
      </c>
      <c r="B237" s="27">
        <f t="shared" si="8"/>
        <v>28</v>
      </c>
      <c r="C237" s="27">
        <f t="shared" si="9"/>
        <v>7</v>
      </c>
      <c r="D237" s="116" cm="1">
        <f t="array" ref="D237">INDEX('Base-2'!$B$2:$H$88,1+B237,C237)</f>
        <v>0</v>
      </c>
    </row>
    <row r="238" spans="1:4" x14ac:dyDescent="0.75">
      <c r="A238" s="27">
        <v>204</v>
      </c>
      <c r="B238" s="27">
        <f t="shared" si="8"/>
        <v>29</v>
      </c>
      <c r="C238" s="27">
        <f t="shared" si="9"/>
        <v>1</v>
      </c>
      <c r="D238" s="116" cm="1">
        <f t="array" ref="D238">INDEX('Base-2'!$B$2:$H$88,1+B238,C238)</f>
        <v>0</v>
      </c>
    </row>
    <row r="239" spans="1:4" x14ac:dyDescent="0.75">
      <c r="A239" s="27">
        <v>205</v>
      </c>
      <c r="B239" s="27">
        <f t="shared" si="8"/>
        <v>29</v>
      </c>
      <c r="C239" s="27">
        <f t="shared" si="9"/>
        <v>2</v>
      </c>
      <c r="D239" s="116" cm="1">
        <f t="array" ref="D239">INDEX('Base-2'!$B$2:$H$88,1+B239,C239)</f>
        <v>0</v>
      </c>
    </row>
    <row r="240" spans="1:4" x14ac:dyDescent="0.75">
      <c r="A240" s="27">
        <v>206</v>
      </c>
      <c r="B240" s="27">
        <f t="shared" si="8"/>
        <v>29</v>
      </c>
      <c r="C240" s="27">
        <f t="shared" si="9"/>
        <v>3</v>
      </c>
      <c r="D240" s="116" cm="1">
        <f t="array" ref="D240">INDEX('Base-2'!$B$2:$H$88,1+B240,C240)</f>
        <v>0</v>
      </c>
    </row>
    <row r="241" spans="1:4" x14ac:dyDescent="0.75">
      <c r="A241" s="27">
        <v>207</v>
      </c>
      <c r="B241" s="27">
        <f t="shared" si="8"/>
        <v>29</v>
      </c>
      <c r="C241" s="27">
        <f t="shared" si="9"/>
        <v>4</v>
      </c>
      <c r="D241" s="116" cm="1">
        <f t="array" ref="D241">INDEX('Base-2'!$B$2:$H$88,1+B241,C241)</f>
        <v>0</v>
      </c>
    </row>
    <row r="242" spans="1:4" x14ac:dyDescent="0.75">
      <c r="A242" s="27">
        <v>208</v>
      </c>
      <c r="B242" s="27">
        <f t="shared" si="8"/>
        <v>29</v>
      </c>
      <c r="C242" s="27">
        <f t="shared" si="9"/>
        <v>5</v>
      </c>
      <c r="D242" s="116" cm="1">
        <f t="array" ref="D242">INDEX('Base-2'!$B$2:$H$88,1+B242,C242)</f>
        <v>0</v>
      </c>
    </row>
    <row r="243" spans="1:4" x14ac:dyDescent="0.75">
      <c r="A243" s="27">
        <v>209</v>
      </c>
      <c r="B243" s="27">
        <f t="shared" si="8"/>
        <v>29</v>
      </c>
      <c r="C243" s="27">
        <f t="shared" si="9"/>
        <v>6</v>
      </c>
      <c r="D243" s="116" cm="1">
        <f t="array" ref="D243">INDEX('Base-2'!$B$2:$H$88,1+B243,C243)</f>
        <v>0</v>
      </c>
    </row>
    <row r="244" spans="1:4" x14ac:dyDescent="0.75">
      <c r="A244" s="27">
        <v>210</v>
      </c>
      <c r="B244" s="27">
        <f t="shared" si="8"/>
        <v>29</v>
      </c>
      <c r="C244" s="27">
        <f t="shared" si="9"/>
        <v>7</v>
      </c>
      <c r="D244" s="116" cm="1">
        <f t="array" ref="D244">INDEX('Base-2'!$B$2:$H$88,1+B244,C244)</f>
        <v>0</v>
      </c>
    </row>
    <row r="245" spans="1:4" x14ac:dyDescent="0.75">
      <c r="A245" s="27">
        <v>211</v>
      </c>
      <c r="B245" s="27">
        <f t="shared" si="8"/>
        <v>30</v>
      </c>
      <c r="C245" s="27">
        <f t="shared" si="9"/>
        <v>1</v>
      </c>
      <c r="D245" s="116" cm="1">
        <f t="array" ref="D245">INDEX('Base-2'!$B$2:$H$88,1+B245,C245)</f>
        <v>0</v>
      </c>
    </row>
    <row r="246" spans="1:4" x14ac:dyDescent="0.75">
      <c r="A246" s="27">
        <v>212</v>
      </c>
      <c r="B246" s="27">
        <f t="shared" si="8"/>
        <v>30</v>
      </c>
      <c r="C246" s="27">
        <f t="shared" si="9"/>
        <v>2</v>
      </c>
      <c r="D246" s="116" cm="1">
        <f t="array" ref="D246">INDEX('Base-2'!$B$2:$H$88,1+B246,C246)</f>
        <v>0</v>
      </c>
    </row>
    <row r="247" spans="1:4" x14ac:dyDescent="0.75">
      <c r="A247" s="27">
        <v>213</v>
      </c>
      <c r="B247" s="27">
        <f t="shared" si="8"/>
        <v>30</v>
      </c>
      <c r="C247" s="27">
        <f t="shared" si="9"/>
        <v>3</v>
      </c>
      <c r="D247" s="116" cm="1">
        <f t="array" ref="D247">INDEX('Base-2'!$B$2:$H$88,1+B247,C247)</f>
        <v>0</v>
      </c>
    </row>
    <row r="248" spans="1:4" x14ac:dyDescent="0.75">
      <c r="A248" s="27">
        <v>214</v>
      </c>
      <c r="B248" s="27">
        <f t="shared" si="8"/>
        <v>30</v>
      </c>
      <c r="C248" s="27">
        <f t="shared" si="9"/>
        <v>4</v>
      </c>
      <c r="D248" s="116" cm="1">
        <f t="array" ref="D248">INDEX('Base-2'!$B$2:$H$88,1+B248,C248)</f>
        <v>0</v>
      </c>
    </row>
    <row r="249" spans="1:4" x14ac:dyDescent="0.75">
      <c r="A249" s="27">
        <v>215</v>
      </c>
      <c r="B249" s="27">
        <f t="shared" si="8"/>
        <v>30</v>
      </c>
      <c r="C249" s="27">
        <f t="shared" si="9"/>
        <v>5</v>
      </c>
      <c r="D249" s="116" cm="1">
        <f t="array" ref="D249">INDEX('Base-2'!$B$2:$H$88,1+B249,C249)</f>
        <v>0</v>
      </c>
    </row>
    <row r="250" spans="1:4" x14ac:dyDescent="0.75">
      <c r="A250" s="27">
        <v>216</v>
      </c>
      <c r="B250" s="27">
        <f t="shared" si="8"/>
        <v>30</v>
      </c>
      <c r="C250" s="27">
        <f t="shared" si="9"/>
        <v>6</v>
      </c>
      <c r="D250" s="116" cm="1">
        <f t="array" ref="D250">INDEX('Base-2'!$B$2:$H$88,1+B250,C250)</f>
        <v>0</v>
      </c>
    </row>
    <row r="251" spans="1:4" x14ac:dyDescent="0.75">
      <c r="A251" s="27">
        <v>217</v>
      </c>
      <c r="B251" s="27">
        <f t="shared" si="8"/>
        <v>30</v>
      </c>
      <c r="C251" s="27">
        <f t="shared" si="9"/>
        <v>7</v>
      </c>
      <c r="D251" s="116" cm="1">
        <f t="array" ref="D251">INDEX('Base-2'!$B$2:$H$88,1+B251,C251)</f>
        <v>0</v>
      </c>
    </row>
    <row r="252" spans="1:4" x14ac:dyDescent="0.75">
      <c r="A252" s="27">
        <v>218</v>
      </c>
      <c r="B252" s="27">
        <f t="shared" si="8"/>
        <v>31</v>
      </c>
      <c r="C252" s="27">
        <f t="shared" si="9"/>
        <v>1</v>
      </c>
      <c r="D252" s="116" cm="1">
        <f t="array" ref="D252">INDEX('Base-2'!$B$2:$H$88,1+B252,C252)</f>
        <v>0</v>
      </c>
    </row>
    <row r="253" spans="1:4" x14ac:dyDescent="0.75">
      <c r="A253" s="27">
        <v>219</v>
      </c>
      <c r="B253" s="27">
        <f t="shared" si="8"/>
        <v>31</v>
      </c>
      <c r="C253" s="27">
        <f t="shared" si="9"/>
        <v>2</v>
      </c>
      <c r="D253" s="116" cm="1">
        <f t="array" ref="D253">INDEX('Base-2'!$B$2:$H$88,1+B253,C253)</f>
        <v>0</v>
      </c>
    </row>
    <row r="254" spans="1:4" x14ac:dyDescent="0.75">
      <c r="A254" s="27">
        <v>220</v>
      </c>
      <c r="B254" s="27">
        <f t="shared" si="8"/>
        <v>31</v>
      </c>
      <c r="C254" s="27">
        <f t="shared" si="9"/>
        <v>3</v>
      </c>
      <c r="D254" s="116" cm="1">
        <f t="array" ref="D254">INDEX('Base-2'!$B$2:$H$88,1+B254,C254)</f>
        <v>0</v>
      </c>
    </row>
    <row r="255" spans="1:4" x14ac:dyDescent="0.75">
      <c r="A255" s="27">
        <v>221</v>
      </c>
      <c r="B255" s="27">
        <f t="shared" si="8"/>
        <v>31</v>
      </c>
      <c r="C255" s="27">
        <f t="shared" si="9"/>
        <v>4</v>
      </c>
      <c r="D255" s="116" cm="1">
        <f t="array" ref="D255">INDEX('Base-2'!$B$2:$H$88,1+B255,C255)</f>
        <v>0</v>
      </c>
    </row>
    <row r="256" spans="1:4" x14ac:dyDescent="0.75">
      <c r="A256" s="27">
        <v>222</v>
      </c>
      <c r="B256" s="27">
        <f t="shared" si="8"/>
        <v>31</v>
      </c>
      <c r="C256" s="27">
        <f t="shared" si="9"/>
        <v>5</v>
      </c>
      <c r="D256" s="116" cm="1">
        <f t="array" ref="D256">INDEX('Base-2'!$B$2:$H$88,1+B256,C256)</f>
        <v>0</v>
      </c>
    </row>
    <row r="257" spans="1:4" x14ac:dyDescent="0.75">
      <c r="A257" s="27">
        <v>223</v>
      </c>
      <c r="B257" s="27">
        <f t="shared" si="8"/>
        <v>31</v>
      </c>
      <c r="C257" s="27">
        <f t="shared" si="9"/>
        <v>6</v>
      </c>
      <c r="D257" s="116" cm="1">
        <f t="array" ref="D257">INDEX('Base-2'!$B$2:$H$88,1+B257,C257)</f>
        <v>0</v>
      </c>
    </row>
    <row r="258" spans="1:4" x14ac:dyDescent="0.75">
      <c r="A258" s="27">
        <v>224</v>
      </c>
      <c r="B258" s="27">
        <f t="shared" si="8"/>
        <v>31</v>
      </c>
      <c r="C258" s="27">
        <f t="shared" si="9"/>
        <v>7</v>
      </c>
      <c r="D258" s="116" cm="1">
        <f t="array" ref="D258">INDEX('Base-2'!$B$2:$H$88,1+B258,C258)</f>
        <v>0</v>
      </c>
    </row>
    <row r="259" spans="1:4" x14ac:dyDescent="0.75">
      <c r="A259" s="27">
        <v>225</v>
      </c>
      <c r="B259" s="27">
        <f t="shared" si="8"/>
        <v>32</v>
      </c>
      <c r="C259" s="27">
        <f t="shared" si="9"/>
        <v>1</v>
      </c>
      <c r="D259" s="116" cm="1">
        <f t="array" ref="D259">INDEX('Base-2'!$B$2:$H$88,1+B259,C259)</f>
        <v>0</v>
      </c>
    </row>
    <row r="260" spans="1:4" x14ac:dyDescent="0.75">
      <c r="A260" s="27">
        <v>226</v>
      </c>
      <c r="B260" s="27">
        <f t="shared" si="8"/>
        <v>32</v>
      </c>
      <c r="C260" s="27">
        <f t="shared" si="9"/>
        <v>2</v>
      </c>
      <c r="D260" s="116" cm="1">
        <f t="array" ref="D260">INDEX('Base-2'!$B$2:$H$88,1+B260,C260)</f>
        <v>0</v>
      </c>
    </row>
    <row r="261" spans="1:4" x14ac:dyDescent="0.75">
      <c r="A261" s="27">
        <v>227</v>
      </c>
      <c r="B261" s="27">
        <f t="shared" si="8"/>
        <v>32</v>
      </c>
      <c r="C261" s="27">
        <f t="shared" si="9"/>
        <v>3</v>
      </c>
      <c r="D261" s="116" cm="1">
        <f t="array" ref="D261">INDEX('Base-2'!$B$2:$H$88,1+B261,C261)</f>
        <v>0</v>
      </c>
    </row>
    <row r="262" spans="1:4" x14ac:dyDescent="0.75">
      <c r="A262" s="27">
        <v>228</v>
      </c>
      <c r="B262" s="27">
        <f t="shared" si="8"/>
        <v>32</v>
      </c>
      <c r="C262" s="27">
        <f t="shared" si="9"/>
        <v>4</v>
      </c>
      <c r="D262" s="116" cm="1">
        <f t="array" ref="D262">INDEX('Base-2'!$B$2:$H$88,1+B262,C262)</f>
        <v>0</v>
      </c>
    </row>
    <row r="263" spans="1:4" x14ac:dyDescent="0.75">
      <c r="A263" s="27">
        <v>229</v>
      </c>
      <c r="B263" s="27">
        <f t="shared" si="8"/>
        <v>32</v>
      </c>
      <c r="C263" s="27">
        <f t="shared" si="9"/>
        <v>5</v>
      </c>
      <c r="D263" s="116" cm="1">
        <f t="array" ref="D263">INDEX('Base-2'!$B$2:$H$88,1+B263,C263)</f>
        <v>0</v>
      </c>
    </row>
    <row r="264" spans="1:4" x14ac:dyDescent="0.75">
      <c r="A264" s="27">
        <v>230</v>
      </c>
      <c r="B264" s="27">
        <f t="shared" si="8"/>
        <v>32</v>
      </c>
      <c r="C264" s="27">
        <f t="shared" si="9"/>
        <v>6</v>
      </c>
      <c r="D264" s="116" cm="1">
        <f t="array" ref="D264">INDEX('Base-2'!$B$2:$H$88,1+B264,C264)</f>
        <v>0</v>
      </c>
    </row>
    <row r="265" spans="1:4" x14ac:dyDescent="0.75">
      <c r="A265" s="27">
        <v>231</v>
      </c>
      <c r="B265" s="27">
        <f t="shared" si="8"/>
        <v>32</v>
      </c>
      <c r="C265" s="27">
        <f t="shared" si="9"/>
        <v>7</v>
      </c>
      <c r="D265" s="116" cm="1">
        <f t="array" ref="D265">INDEX('Base-2'!$B$2:$H$88,1+B265,C265)</f>
        <v>0</v>
      </c>
    </row>
    <row r="266" spans="1:4" x14ac:dyDescent="0.75">
      <c r="A266" s="27">
        <v>232</v>
      </c>
      <c r="B266" s="27">
        <f t="shared" si="8"/>
        <v>33</v>
      </c>
      <c r="C266" s="27">
        <f t="shared" si="9"/>
        <v>1</v>
      </c>
      <c r="D266" s="116" cm="1">
        <f t="array" ref="D266">INDEX('Base-2'!$B$2:$H$88,1+B266,C266)</f>
        <v>0</v>
      </c>
    </row>
    <row r="267" spans="1:4" x14ac:dyDescent="0.75">
      <c r="A267" s="27">
        <v>233</v>
      </c>
      <c r="B267" s="27">
        <f t="shared" si="8"/>
        <v>33</v>
      </c>
      <c r="C267" s="27">
        <f t="shared" si="9"/>
        <v>2</v>
      </c>
      <c r="D267" s="116" cm="1">
        <f t="array" ref="D267">INDEX('Base-2'!$B$2:$H$88,1+B267,C267)</f>
        <v>0</v>
      </c>
    </row>
    <row r="268" spans="1:4" x14ac:dyDescent="0.75">
      <c r="A268" s="27">
        <v>234</v>
      </c>
      <c r="B268" s="27">
        <f t="shared" si="8"/>
        <v>33</v>
      </c>
      <c r="C268" s="27">
        <f t="shared" si="9"/>
        <v>3</v>
      </c>
      <c r="D268" s="116" cm="1">
        <f t="array" ref="D268">INDEX('Base-2'!$B$2:$H$88,1+B268,C268)</f>
        <v>0</v>
      </c>
    </row>
    <row r="269" spans="1:4" x14ac:dyDescent="0.75">
      <c r="A269" s="27">
        <v>235</v>
      </c>
      <c r="B269" s="27">
        <f t="shared" si="8"/>
        <v>33</v>
      </c>
      <c r="C269" s="27">
        <f t="shared" si="9"/>
        <v>4</v>
      </c>
      <c r="D269" s="116" cm="1">
        <f t="array" ref="D269">INDEX('Base-2'!$B$2:$H$88,1+B269,C269)</f>
        <v>0</v>
      </c>
    </row>
    <row r="270" spans="1:4" x14ac:dyDescent="0.75">
      <c r="A270" s="27">
        <v>236</v>
      </c>
      <c r="B270" s="27">
        <f t="shared" si="8"/>
        <v>33</v>
      </c>
      <c r="C270" s="27">
        <f t="shared" si="9"/>
        <v>5</v>
      </c>
      <c r="D270" s="116" cm="1">
        <f t="array" ref="D270">INDEX('Base-2'!$B$2:$H$88,1+B270,C270)</f>
        <v>0</v>
      </c>
    </row>
    <row r="271" spans="1:4" x14ac:dyDescent="0.75">
      <c r="A271" s="27">
        <v>237</v>
      </c>
      <c r="B271" s="27">
        <f t="shared" si="8"/>
        <v>33</v>
      </c>
      <c r="C271" s="27">
        <f t="shared" si="9"/>
        <v>6</v>
      </c>
      <c r="D271" s="116" cm="1">
        <f t="array" ref="D271">INDEX('Base-2'!$B$2:$H$88,1+B271,C271)</f>
        <v>0</v>
      </c>
    </row>
    <row r="272" spans="1:4" x14ac:dyDescent="0.75">
      <c r="A272" s="27">
        <v>238</v>
      </c>
      <c r="B272" s="27">
        <f t="shared" si="8"/>
        <v>33</v>
      </c>
      <c r="C272" s="27">
        <f t="shared" si="9"/>
        <v>7</v>
      </c>
      <c r="D272" s="116" cm="1">
        <f t="array" ref="D272">INDEX('Base-2'!$B$2:$H$88,1+B272,C272)</f>
        <v>0</v>
      </c>
    </row>
    <row r="273" spans="1:4" x14ac:dyDescent="0.75">
      <c r="A273" s="27">
        <v>239</v>
      </c>
      <c r="B273" s="27">
        <f t="shared" si="8"/>
        <v>34</v>
      </c>
      <c r="C273" s="27">
        <f t="shared" si="9"/>
        <v>1</v>
      </c>
      <c r="D273" s="116" cm="1">
        <f t="array" ref="D273">INDEX('Base-2'!$B$2:$H$88,1+B273,C273)</f>
        <v>0</v>
      </c>
    </row>
    <row r="274" spans="1:4" x14ac:dyDescent="0.75">
      <c r="A274" s="27">
        <v>240</v>
      </c>
      <c r="B274" s="27">
        <f t="shared" si="8"/>
        <v>34</v>
      </c>
      <c r="C274" s="27">
        <f t="shared" si="9"/>
        <v>2</v>
      </c>
      <c r="D274" s="116" cm="1">
        <f t="array" ref="D274">INDEX('Base-2'!$B$2:$H$88,1+B274,C274)</f>
        <v>0</v>
      </c>
    </row>
    <row r="275" spans="1:4" x14ac:dyDescent="0.75">
      <c r="A275" s="27">
        <v>241</v>
      </c>
      <c r="B275" s="27">
        <f t="shared" si="8"/>
        <v>34</v>
      </c>
      <c r="C275" s="27">
        <f t="shared" si="9"/>
        <v>3</v>
      </c>
      <c r="D275" s="116" cm="1">
        <f t="array" ref="D275">INDEX('Base-2'!$B$2:$H$88,1+B275,C275)</f>
        <v>0</v>
      </c>
    </row>
    <row r="276" spans="1:4" x14ac:dyDescent="0.75">
      <c r="A276" s="27">
        <v>242</v>
      </c>
      <c r="B276" s="27">
        <f t="shared" si="8"/>
        <v>34</v>
      </c>
      <c r="C276" s="27">
        <f t="shared" si="9"/>
        <v>4</v>
      </c>
      <c r="D276" s="116" cm="1">
        <f t="array" ref="D276">INDEX('Base-2'!$B$2:$H$88,1+B276,C276)</f>
        <v>0</v>
      </c>
    </row>
    <row r="277" spans="1:4" x14ac:dyDescent="0.75">
      <c r="A277" s="27">
        <v>243</v>
      </c>
      <c r="B277" s="27">
        <f t="shared" si="8"/>
        <v>34</v>
      </c>
      <c r="C277" s="27">
        <f t="shared" si="9"/>
        <v>5</v>
      </c>
      <c r="D277" s="116" cm="1">
        <f t="array" ref="D277">INDEX('Base-2'!$B$2:$H$88,1+B277,C277)</f>
        <v>0</v>
      </c>
    </row>
    <row r="278" spans="1:4" x14ac:dyDescent="0.75">
      <c r="A278" s="27">
        <v>244</v>
      </c>
      <c r="B278" s="27">
        <f t="shared" si="8"/>
        <v>34</v>
      </c>
      <c r="C278" s="27">
        <f t="shared" si="9"/>
        <v>6</v>
      </c>
      <c r="D278" s="116" cm="1">
        <f t="array" ref="D278">INDEX('Base-2'!$B$2:$H$88,1+B278,C278)</f>
        <v>0</v>
      </c>
    </row>
    <row r="279" spans="1:4" x14ac:dyDescent="0.75">
      <c r="A279" s="27">
        <v>245</v>
      </c>
      <c r="B279" s="27">
        <f t="shared" si="8"/>
        <v>34</v>
      </c>
      <c r="C279" s="27">
        <f t="shared" si="9"/>
        <v>7</v>
      </c>
      <c r="D279" s="116" cm="1">
        <f t="array" ref="D279">INDEX('Base-2'!$B$2:$H$88,1+B279,C279)</f>
        <v>0</v>
      </c>
    </row>
    <row r="280" spans="1:4" x14ac:dyDescent="0.75">
      <c r="A280" s="27">
        <v>246</v>
      </c>
      <c r="B280" s="27">
        <f t="shared" si="8"/>
        <v>35</v>
      </c>
      <c r="C280" s="27">
        <f t="shared" si="9"/>
        <v>1</v>
      </c>
      <c r="D280" s="116" cm="1">
        <f t="array" ref="D280">INDEX('Base-2'!$B$2:$H$88,1+B280,C280)</f>
        <v>0</v>
      </c>
    </row>
    <row r="281" spans="1:4" x14ac:dyDescent="0.75">
      <c r="A281" s="27">
        <v>247</v>
      </c>
      <c r="B281" s="27">
        <f t="shared" si="8"/>
        <v>35</v>
      </c>
      <c r="C281" s="27">
        <f t="shared" si="9"/>
        <v>2</v>
      </c>
      <c r="D281" s="116" cm="1">
        <f t="array" ref="D281">INDEX('Base-2'!$B$2:$H$88,1+B281,C281)</f>
        <v>0</v>
      </c>
    </row>
    <row r="282" spans="1:4" x14ac:dyDescent="0.75">
      <c r="A282" s="27">
        <v>248</v>
      </c>
      <c r="B282" s="27">
        <f t="shared" si="8"/>
        <v>35</v>
      </c>
      <c r="C282" s="27">
        <f t="shared" si="9"/>
        <v>3</v>
      </c>
      <c r="D282" s="116" cm="1">
        <f t="array" ref="D282">INDEX('Base-2'!$B$2:$H$88,1+B282,C282)</f>
        <v>0</v>
      </c>
    </row>
    <row r="283" spans="1:4" x14ac:dyDescent="0.75">
      <c r="A283" s="27">
        <v>249</v>
      </c>
      <c r="B283" s="27">
        <f t="shared" si="8"/>
        <v>35</v>
      </c>
      <c r="C283" s="27">
        <f t="shared" si="9"/>
        <v>4</v>
      </c>
      <c r="D283" s="116" cm="1">
        <f t="array" ref="D283">INDEX('Base-2'!$B$2:$H$88,1+B283,C283)</f>
        <v>0</v>
      </c>
    </row>
    <row r="284" spans="1:4" x14ac:dyDescent="0.75">
      <c r="A284" s="27">
        <v>250</v>
      </c>
      <c r="B284" s="27">
        <f t="shared" si="8"/>
        <v>35</v>
      </c>
      <c r="C284" s="27">
        <f t="shared" si="9"/>
        <v>5</v>
      </c>
      <c r="D284" s="116" cm="1">
        <f t="array" ref="D284">INDEX('Base-2'!$B$2:$H$88,1+B284,C284)</f>
        <v>0</v>
      </c>
    </row>
    <row r="285" spans="1:4" x14ac:dyDescent="0.75">
      <c r="A285" s="27">
        <v>251</v>
      </c>
      <c r="B285" s="27">
        <f t="shared" si="8"/>
        <v>35</v>
      </c>
      <c r="C285" s="27">
        <f t="shared" si="9"/>
        <v>6</v>
      </c>
      <c r="D285" s="116" cm="1">
        <f t="array" ref="D285">INDEX('Base-2'!$B$2:$H$88,1+B285,C285)</f>
        <v>0</v>
      </c>
    </row>
    <row r="286" spans="1:4" x14ac:dyDescent="0.75">
      <c r="A286" s="27">
        <v>252</v>
      </c>
      <c r="B286" s="27">
        <f t="shared" si="8"/>
        <v>35</v>
      </c>
      <c r="C286" s="27">
        <f t="shared" si="9"/>
        <v>7</v>
      </c>
      <c r="D286" s="116" cm="1">
        <f t="array" ref="D286">INDEX('Base-2'!$B$2:$H$88,1+B286,C286)</f>
        <v>0</v>
      </c>
    </row>
    <row r="287" spans="1:4" x14ac:dyDescent="0.75">
      <c r="A287" s="27">
        <v>253</v>
      </c>
      <c r="B287" s="27">
        <f t="shared" si="8"/>
        <v>36</v>
      </c>
      <c r="C287" s="27">
        <f t="shared" si="9"/>
        <v>1</v>
      </c>
      <c r="D287" s="116" cm="1">
        <f t="array" ref="D287">INDEX('Base-2'!$B$2:$H$88,1+B287,C287)</f>
        <v>0</v>
      </c>
    </row>
    <row r="288" spans="1:4" x14ac:dyDescent="0.75">
      <c r="A288" s="27">
        <v>254</v>
      </c>
      <c r="B288" s="27">
        <f t="shared" si="8"/>
        <v>36</v>
      </c>
      <c r="C288" s="27">
        <f t="shared" si="9"/>
        <v>2</v>
      </c>
      <c r="D288" s="116" cm="1">
        <f t="array" ref="D288">INDEX('Base-2'!$B$2:$H$88,1+B288,C288)</f>
        <v>0</v>
      </c>
    </row>
    <row r="289" spans="1:4" x14ac:dyDescent="0.75">
      <c r="A289" s="27">
        <v>255</v>
      </c>
      <c r="B289" s="27">
        <f t="shared" si="8"/>
        <v>36</v>
      </c>
      <c r="C289" s="27">
        <f t="shared" si="9"/>
        <v>3</v>
      </c>
      <c r="D289" s="116" cm="1">
        <f t="array" ref="D289">INDEX('Base-2'!$B$2:$H$88,1+B289,C289)</f>
        <v>0</v>
      </c>
    </row>
    <row r="290" spans="1:4" x14ac:dyDescent="0.75">
      <c r="A290" s="27">
        <v>256</v>
      </c>
      <c r="B290" s="27">
        <f t="shared" si="8"/>
        <v>36</v>
      </c>
      <c r="C290" s="27">
        <f t="shared" si="9"/>
        <v>4</v>
      </c>
      <c r="D290" s="116" cm="1">
        <f t="array" ref="D290">INDEX('Base-2'!$B$2:$H$88,1+B290,C290)</f>
        <v>0</v>
      </c>
    </row>
    <row r="291" spans="1:4" x14ac:dyDescent="0.75">
      <c r="A291" s="27">
        <v>257</v>
      </c>
      <c r="B291" s="27">
        <f t="shared" si="8"/>
        <v>36</v>
      </c>
      <c r="C291" s="27">
        <f t="shared" si="9"/>
        <v>5</v>
      </c>
      <c r="D291" s="116" cm="1">
        <f t="array" ref="D291">INDEX('Base-2'!$B$2:$H$88,1+B291,C291)</f>
        <v>0</v>
      </c>
    </row>
    <row r="292" spans="1:4" x14ac:dyDescent="0.75">
      <c r="A292" s="27">
        <v>258</v>
      </c>
      <c r="B292" s="27">
        <f t="shared" si="8"/>
        <v>36</v>
      </c>
      <c r="C292" s="27">
        <f t="shared" si="9"/>
        <v>6</v>
      </c>
      <c r="D292" s="116" cm="1">
        <f t="array" ref="D292">INDEX('Base-2'!$B$2:$H$88,1+B292,C292)</f>
        <v>0</v>
      </c>
    </row>
    <row r="293" spans="1:4" x14ac:dyDescent="0.75">
      <c r="A293" s="27">
        <v>259</v>
      </c>
      <c r="B293" s="27">
        <f t="shared" si="8"/>
        <v>36</v>
      </c>
      <c r="C293" s="27">
        <f t="shared" si="9"/>
        <v>7</v>
      </c>
      <c r="D293" s="116" cm="1">
        <f t="array" ref="D293">INDEX('Base-2'!$B$2:$H$88,1+B293,C293)</f>
        <v>0</v>
      </c>
    </row>
    <row r="294" spans="1:4" x14ac:dyDescent="0.75">
      <c r="A294" s="27">
        <v>260</v>
      </c>
      <c r="B294" s="27">
        <f t="shared" si="8"/>
        <v>37</v>
      </c>
      <c r="C294" s="27">
        <f t="shared" si="9"/>
        <v>1</v>
      </c>
      <c r="D294" s="116" cm="1">
        <f t="array" ref="D294">INDEX('Base-2'!$B$2:$H$88,1+B294,C294)</f>
        <v>0</v>
      </c>
    </row>
    <row r="295" spans="1:4" x14ac:dyDescent="0.75">
      <c r="A295" s="27">
        <v>261</v>
      </c>
      <c r="B295" s="27">
        <f t="shared" si="8"/>
        <v>37</v>
      </c>
      <c r="C295" s="27">
        <f t="shared" si="9"/>
        <v>2</v>
      </c>
      <c r="D295" s="116" cm="1">
        <f t="array" ref="D295">INDEX('Base-2'!$B$2:$H$88,1+B295,C295)</f>
        <v>0</v>
      </c>
    </row>
    <row r="296" spans="1:4" x14ac:dyDescent="0.75">
      <c r="A296" s="27">
        <v>262</v>
      </c>
      <c r="B296" s="27">
        <f t="shared" si="8"/>
        <v>37</v>
      </c>
      <c r="C296" s="27">
        <f t="shared" si="9"/>
        <v>3</v>
      </c>
      <c r="D296" s="116" cm="1">
        <f t="array" ref="D296">INDEX('Base-2'!$B$2:$H$88,1+B296,C296)</f>
        <v>0</v>
      </c>
    </row>
    <row r="297" spans="1:4" x14ac:dyDescent="0.75">
      <c r="A297" s="27">
        <v>263</v>
      </c>
      <c r="B297" s="27">
        <f t="shared" si="8"/>
        <v>37</v>
      </c>
      <c r="C297" s="27">
        <f t="shared" si="9"/>
        <v>4</v>
      </c>
      <c r="D297" s="116" cm="1">
        <f t="array" ref="D297">INDEX('Base-2'!$B$2:$H$88,1+B297,C297)</f>
        <v>0</v>
      </c>
    </row>
    <row r="298" spans="1:4" x14ac:dyDescent="0.75">
      <c r="A298" s="27">
        <v>264</v>
      </c>
      <c r="B298" s="27">
        <f t="shared" ref="B298:B361" si="10">IF(MOD(A298,7)=0,A298/7-1,INT(A298/7))</f>
        <v>37</v>
      </c>
      <c r="C298" s="27">
        <f t="shared" ref="C298:C361" si="11">IF(MOD(A298,7)=0,7,MOD(A298,7))</f>
        <v>5</v>
      </c>
      <c r="D298" s="116" cm="1">
        <f t="array" ref="D298">INDEX('Base-2'!$B$2:$H$88,1+B298,C298)</f>
        <v>0</v>
      </c>
    </row>
    <row r="299" spans="1:4" x14ac:dyDescent="0.75">
      <c r="A299" s="27">
        <v>265</v>
      </c>
      <c r="B299" s="27">
        <f t="shared" si="10"/>
        <v>37</v>
      </c>
      <c r="C299" s="27">
        <f t="shared" si="11"/>
        <v>6</v>
      </c>
      <c r="D299" s="116" cm="1">
        <f t="array" ref="D299">INDEX('Base-2'!$B$2:$H$88,1+B299,C299)</f>
        <v>0</v>
      </c>
    </row>
    <row r="300" spans="1:4" x14ac:dyDescent="0.75">
      <c r="A300" s="27">
        <v>266</v>
      </c>
      <c r="B300" s="27">
        <f t="shared" si="10"/>
        <v>37</v>
      </c>
      <c r="C300" s="27">
        <f t="shared" si="11"/>
        <v>7</v>
      </c>
      <c r="D300" s="116" cm="1">
        <f t="array" ref="D300">INDEX('Base-2'!$B$2:$H$88,1+B300,C300)</f>
        <v>0</v>
      </c>
    </row>
    <row r="301" spans="1:4" x14ac:dyDescent="0.75">
      <c r="A301" s="27">
        <v>267</v>
      </c>
      <c r="B301" s="27">
        <f t="shared" si="10"/>
        <v>38</v>
      </c>
      <c r="C301" s="27">
        <f t="shared" si="11"/>
        <v>1</v>
      </c>
      <c r="D301" s="116" cm="1">
        <f t="array" ref="D301">INDEX('Base-2'!$B$2:$H$88,1+B301,C301)</f>
        <v>0</v>
      </c>
    </row>
    <row r="302" spans="1:4" x14ac:dyDescent="0.75">
      <c r="A302" s="27">
        <v>268</v>
      </c>
      <c r="B302" s="27">
        <f t="shared" si="10"/>
        <v>38</v>
      </c>
      <c r="C302" s="27">
        <f t="shared" si="11"/>
        <v>2</v>
      </c>
      <c r="D302" s="116" cm="1">
        <f t="array" ref="D302">INDEX('Base-2'!$B$2:$H$88,1+B302,C302)</f>
        <v>0</v>
      </c>
    </row>
    <row r="303" spans="1:4" x14ac:dyDescent="0.75">
      <c r="A303" s="27">
        <v>269</v>
      </c>
      <c r="B303" s="27">
        <f t="shared" si="10"/>
        <v>38</v>
      </c>
      <c r="C303" s="27">
        <f t="shared" si="11"/>
        <v>3</v>
      </c>
      <c r="D303" s="116" cm="1">
        <f t="array" ref="D303">INDEX('Base-2'!$B$2:$H$88,1+B303,C303)</f>
        <v>0</v>
      </c>
    </row>
    <row r="304" spans="1:4" x14ac:dyDescent="0.75">
      <c r="A304" s="27">
        <v>270</v>
      </c>
      <c r="B304" s="27">
        <f t="shared" si="10"/>
        <v>38</v>
      </c>
      <c r="C304" s="27">
        <f t="shared" si="11"/>
        <v>4</v>
      </c>
      <c r="D304" s="116" cm="1">
        <f t="array" ref="D304">INDEX('Base-2'!$B$2:$H$88,1+B304,C304)</f>
        <v>0</v>
      </c>
    </row>
    <row r="305" spans="1:4" x14ac:dyDescent="0.75">
      <c r="A305" s="27">
        <v>271</v>
      </c>
      <c r="B305" s="27">
        <f t="shared" si="10"/>
        <v>38</v>
      </c>
      <c r="C305" s="27">
        <f t="shared" si="11"/>
        <v>5</v>
      </c>
      <c r="D305" s="116" cm="1">
        <f t="array" ref="D305">INDEX('Base-2'!$B$2:$H$88,1+B305,C305)</f>
        <v>0</v>
      </c>
    </row>
    <row r="306" spans="1:4" x14ac:dyDescent="0.75">
      <c r="A306" s="27">
        <v>272</v>
      </c>
      <c r="B306" s="27">
        <f t="shared" si="10"/>
        <v>38</v>
      </c>
      <c r="C306" s="27">
        <f t="shared" si="11"/>
        <v>6</v>
      </c>
      <c r="D306" s="116" cm="1">
        <f t="array" ref="D306">INDEX('Base-2'!$B$2:$H$88,1+B306,C306)</f>
        <v>0</v>
      </c>
    </row>
    <row r="307" spans="1:4" x14ac:dyDescent="0.75">
      <c r="A307" s="27">
        <v>273</v>
      </c>
      <c r="B307" s="27">
        <f t="shared" si="10"/>
        <v>38</v>
      </c>
      <c r="C307" s="27">
        <f t="shared" si="11"/>
        <v>7</v>
      </c>
      <c r="D307" s="116" cm="1">
        <f t="array" ref="D307">INDEX('Base-2'!$B$2:$H$88,1+B307,C307)</f>
        <v>0</v>
      </c>
    </row>
    <row r="308" spans="1:4" x14ac:dyDescent="0.75">
      <c r="A308" s="27">
        <v>274</v>
      </c>
      <c r="B308" s="27">
        <f t="shared" si="10"/>
        <v>39</v>
      </c>
      <c r="C308" s="27">
        <f t="shared" si="11"/>
        <v>1</v>
      </c>
      <c r="D308" s="116" cm="1">
        <f t="array" ref="D308">INDEX('Base-2'!$B$2:$H$88,1+B308,C308)</f>
        <v>0</v>
      </c>
    </row>
    <row r="309" spans="1:4" x14ac:dyDescent="0.75">
      <c r="A309" s="27">
        <v>275</v>
      </c>
      <c r="B309" s="27">
        <f t="shared" si="10"/>
        <v>39</v>
      </c>
      <c r="C309" s="27">
        <f t="shared" si="11"/>
        <v>2</v>
      </c>
      <c r="D309" s="116" cm="1">
        <f t="array" ref="D309">INDEX('Base-2'!$B$2:$H$88,1+B309,C309)</f>
        <v>0</v>
      </c>
    </row>
    <row r="310" spans="1:4" x14ac:dyDescent="0.75">
      <c r="A310" s="27">
        <v>276</v>
      </c>
      <c r="B310" s="27">
        <f t="shared" si="10"/>
        <v>39</v>
      </c>
      <c r="C310" s="27">
        <f t="shared" si="11"/>
        <v>3</v>
      </c>
      <c r="D310" s="116" cm="1">
        <f t="array" ref="D310">INDEX('Base-2'!$B$2:$H$88,1+B310,C310)</f>
        <v>0</v>
      </c>
    </row>
    <row r="311" spans="1:4" x14ac:dyDescent="0.75">
      <c r="A311" s="27">
        <v>277</v>
      </c>
      <c r="B311" s="27">
        <f t="shared" si="10"/>
        <v>39</v>
      </c>
      <c r="C311" s="27">
        <f t="shared" si="11"/>
        <v>4</v>
      </c>
      <c r="D311" s="116" cm="1">
        <f t="array" ref="D311">INDEX('Base-2'!$B$2:$H$88,1+B311,C311)</f>
        <v>0</v>
      </c>
    </row>
    <row r="312" spans="1:4" x14ac:dyDescent="0.75">
      <c r="A312" s="27">
        <v>278</v>
      </c>
      <c r="B312" s="27">
        <f t="shared" si="10"/>
        <v>39</v>
      </c>
      <c r="C312" s="27">
        <f t="shared" si="11"/>
        <v>5</v>
      </c>
      <c r="D312" s="116" cm="1">
        <f t="array" ref="D312">INDEX('Base-2'!$B$2:$H$88,1+B312,C312)</f>
        <v>0</v>
      </c>
    </row>
    <row r="313" spans="1:4" x14ac:dyDescent="0.75">
      <c r="A313" s="27">
        <v>279</v>
      </c>
      <c r="B313" s="27">
        <f t="shared" si="10"/>
        <v>39</v>
      </c>
      <c r="C313" s="27">
        <f t="shared" si="11"/>
        <v>6</v>
      </c>
      <c r="D313" s="116" cm="1">
        <f t="array" ref="D313">INDEX('Base-2'!$B$2:$H$88,1+B313,C313)</f>
        <v>0</v>
      </c>
    </row>
    <row r="314" spans="1:4" x14ac:dyDescent="0.75">
      <c r="A314" s="27">
        <v>280</v>
      </c>
      <c r="B314" s="27">
        <f t="shared" si="10"/>
        <v>39</v>
      </c>
      <c r="C314" s="27">
        <f t="shared" si="11"/>
        <v>7</v>
      </c>
      <c r="D314" s="116" cm="1">
        <f t="array" ref="D314">INDEX('Base-2'!$B$2:$H$88,1+B314,C314)</f>
        <v>0</v>
      </c>
    </row>
    <row r="315" spans="1:4" x14ac:dyDescent="0.75">
      <c r="A315" s="27">
        <v>281</v>
      </c>
      <c r="B315" s="27">
        <f t="shared" si="10"/>
        <v>40</v>
      </c>
      <c r="C315" s="27">
        <f t="shared" si="11"/>
        <v>1</v>
      </c>
      <c r="D315" s="116" cm="1">
        <f t="array" ref="D315">INDEX('Base-2'!$B$2:$H$88,1+B315,C315)</f>
        <v>0</v>
      </c>
    </row>
    <row r="316" spans="1:4" x14ac:dyDescent="0.75">
      <c r="A316" s="27">
        <v>282</v>
      </c>
      <c r="B316" s="27">
        <f t="shared" si="10"/>
        <v>40</v>
      </c>
      <c r="C316" s="27">
        <f t="shared" si="11"/>
        <v>2</v>
      </c>
      <c r="D316" s="116" cm="1">
        <f t="array" ref="D316">INDEX('Base-2'!$B$2:$H$88,1+B316,C316)</f>
        <v>0</v>
      </c>
    </row>
    <row r="317" spans="1:4" x14ac:dyDescent="0.75">
      <c r="A317" s="27">
        <v>283</v>
      </c>
      <c r="B317" s="27">
        <f t="shared" si="10"/>
        <v>40</v>
      </c>
      <c r="C317" s="27">
        <f t="shared" si="11"/>
        <v>3</v>
      </c>
      <c r="D317" s="116" cm="1">
        <f t="array" ref="D317">INDEX('Base-2'!$B$2:$H$88,1+B317,C317)</f>
        <v>0</v>
      </c>
    </row>
    <row r="318" spans="1:4" x14ac:dyDescent="0.75">
      <c r="A318" s="27">
        <v>284</v>
      </c>
      <c r="B318" s="27">
        <f t="shared" si="10"/>
        <v>40</v>
      </c>
      <c r="C318" s="27">
        <f t="shared" si="11"/>
        <v>4</v>
      </c>
      <c r="D318" s="116" cm="1">
        <f t="array" ref="D318">INDEX('Base-2'!$B$2:$H$88,1+B318,C318)</f>
        <v>0</v>
      </c>
    </row>
    <row r="319" spans="1:4" x14ac:dyDescent="0.75">
      <c r="A319" s="27">
        <v>285</v>
      </c>
      <c r="B319" s="27">
        <f t="shared" si="10"/>
        <v>40</v>
      </c>
      <c r="C319" s="27">
        <f t="shared" si="11"/>
        <v>5</v>
      </c>
      <c r="D319" s="116" cm="1">
        <f t="array" ref="D319">INDEX('Base-2'!$B$2:$H$88,1+B319,C319)</f>
        <v>0</v>
      </c>
    </row>
    <row r="320" spans="1:4" x14ac:dyDescent="0.75">
      <c r="A320" s="27">
        <v>286</v>
      </c>
      <c r="B320" s="27">
        <f t="shared" si="10"/>
        <v>40</v>
      </c>
      <c r="C320" s="27">
        <f t="shared" si="11"/>
        <v>6</v>
      </c>
      <c r="D320" s="116" cm="1">
        <f t="array" ref="D320">INDEX('Base-2'!$B$2:$H$88,1+B320,C320)</f>
        <v>0</v>
      </c>
    </row>
    <row r="321" spans="1:4" x14ac:dyDescent="0.75">
      <c r="A321" s="27">
        <v>287</v>
      </c>
      <c r="B321" s="27">
        <f t="shared" si="10"/>
        <v>40</v>
      </c>
      <c r="C321" s="27">
        <f t="shared" si="11"/>
        <v>7</v>
      </c>
      <c r="D321" s="116" cm="1">
        <f t="array" ref="D321">INDEX('Base-2'!$B$2:$H$88,1+B321,C321)</f>
        <v>0</v>
      </c>
    </row>
    <row r="322" spans="1:4" x14ac:dyDescent="0.75">
      <c r="A322" s="27">
        <v>288</v>
      </c>
      <c r="B322" s="27">
        <f t="shared" si="10"/>
        <v>41</v>
      </c>
      <c r="C322" s="27">
        <f t="shared" si="11"/>
        <v>1</v>
      </c>
      <c r="D322" s="116" cm="1">
        <f t="array" ref="D322">INDEX('Base-2'!$B$2:$H$88,1+B322,C322)</f>
        <v>0</v>
      </c>
    </row>
    <row r="323" spans="1:4" x14ac:dyDescent="0.75">
      <c r="A323" s="27">
        <v>289</v>
      </c>
      <c r="B323" s="27">
        <f t="shared" si="10"/>
        <v>41</v>
      </c>
      <c r="C323" s="27">
        <f t="shared" si="11"/>
        <v>2</v>
      </c>
      <c r="D323" s="116" cm="1">
        <f t="array" ref="D323">INDEX('Base-2'!$B$2:$H$88,1+B323,C323)</f>
        <v>0</v>
      </c>
    </row>
    <row r="324" spans="1:4" x14ac:dyDescent="0.75">
      <c r="A324" s="27">
        <v>290</v>
      </c>
      <c r="B324" s="27">
        <f t="shared" si="10"/>
        <v>41</v>
      </c>
      <c r="C324" s="27">
        <f t="shared" si="11"/>
        <v>3</v>
      </c>
      <c r="D324" s="116" cm="1">
        <f t="array" ref="D324">INDEX('Base-2'!$B$2:$H$88,1+B324,C324)</f>
        <v>0</v>
      </c>
    </row>
    <row r="325" spans="1:4" x14ac:dyDescent="0.75">
      <c r="A325" s="27">
        <v>291</v>
      </c>
      <c r="B325" s="27">
        <f t="shared" si="10"/>
        <v>41</v>
      </c>
      <c r="C325" s="27">
        <f t="shared" si="11"/>
        <v>4</v>
      </c>
      <c r="D325" s="116" cm="1">
        <f t="array" ref="D325">INDEX('Base-2'!$B$2:$H$88,1+B325,C325)</f>
        <v>0</v>
      </c>
    </row>
    <row r="326" spans="1:4" x14ac:dyDescent="0.75">
      <c r="A326" s="27">
        <v>292</v>
      </c>
      <c r="B326" s="27">
        <f t="shared" si="10"/>
        <v>41</v>
      </c>
      <c r="C326" s="27">
        <f t="shared" si="11"/>
        <v>5</v>
      </c>
      <c r="D326" s="116" cm="1">
        <f t="array" ref="D326">INDEX('Base-2'!$B$2:$H$88,1+B326,C326)</f>
        <v>0</v>
      </c>
    </row>
    <row r="327" spans="1:4" x14ac:dyDescent="0.75">
      <c r="A327" s="27">
        <v>293</v>
      </c>
      <c r="B327" s="27">
        <f t="shared" si="10"/>
        <v>41</v>
      </c>
      <c r="C327" s="27">
        <f t="shared" si="11"/>
        <v>6</v>
      </c>
      <c r="D327" s="116" cm="1">
        <f t="array" ref="D327">INDEX('Base-2'!$B$2:$H$88,1+B327,C327)</f>
        <v>0</v>
      </c>
    </row>
    <row r="328" spans="1:4" x14ac:dyDescent="0.75">
      <c r="A328" s="27">
        <v>294</v>
      </c>
      <c r="B328" s="27">
        <f t="shared" si="10"/>
        <v>41</v>
      </c>
      <c r="C328" s="27">
        <f t="shared" si="11"/>
        <v>7</v>
      </c>
      <c r="D328" s="116" cm="1">
        <f t="array" ref="D328">INDEX('Base-2'!$B$2:$H$88,1+B328,C328)</f>
        <v>0</v>
      </c>
    </row>
    <row r="329" spans="1:4" x14ac:dyDescent="0.75">
      <c r="A329" s="27">
        <v>295</v>
      </c>
      <c r="B329" s="27">
        <f t="shared" si="10"/>
        <v>42</v>
      </c>
      <c r="C329" s="27">
        <f t="shared" si="11"/>
        <v>1</v>
      </c>
      <c r="D329" s="116" cm="1">
        <f t="array" ref="D329">INDEX('Base-2'!$B$2:$H$88,1+B329,C329)</f>
        <v>0</v>
      </c>
    </row>
    <row r="330" spans="1:4" x14ac:dyDescent="0.75">
      <c r="A330" s="27">
        <v>296</v>
      </c>
      <c r="B330" s="27">
        <f t="shared" si="10"/>
        <v>42</v>
      </c>
      <c r="C330" s="27">
        <f t="shared" si="11"/>
        <v>2</v>
      </c>
      <c r="D330" s="116" cm="1">
        <f t="array" ref="D330">INDEX('Base-2'!$B$2:$H$88,1+B330,C330)</f>
        <v>0</v>
      </c>
    </row>
    <row r="331" spans="1:4" x14ac:dyDescent="0.75">
      <c r="A331" s="27">
        <v>297</v>
      </c>
      <c r="B331" s="27">
        <f t="shared" si="10"/>
        <v>42</v>
      </c>
      <c r="C331" s="27">
        <f t="shared" si="11"/>
        <v>3</v>
      </c>
      <c r="D331" s="116" cm="1">
        <f t="array" ref="D331">INDEX('Base-2'!$B$2:$H$88,1+B331,C331)</f>
        <v>0</v>
      </c>
    </row>
    <row r="332" spans="1:4" x14ac:dyDescent="0.75">
      <c r="A332" s="27">
        <v>298</v>
      </c>
      <c r="B332" s="27">
        <f t="shared" si="10"/>
        <v>42</v>
      </c>
      <c r="C332" s="27">
        <f t="shared" si="11"/>
        <v>4</v>
      </c>
      <c r="D332" s="116" cm="1">
        <f t="array" ref="D332">INDEX('Base-2'!$B$2:$H$88,1+B332,C332)</f>
        <v>0</v>
      </c>
    </row>
    <row r="333" spans="1:4" x14ac:dyDescent="0.75">
      <c r="A333" s="27">
        <v>299</v>
      </c>
      <c r="B333" s="27">
        <f t="shared" si="10"/>
        <v>42</v>
      </c>
      <c r="C333" s="27">
        <f t="shared" si="11"/>
        <v>5</v>
      </c>
      <c r="D333" s="116" cm="1">
        <f t="array" ref="D333">INDEX('Base-2'!$B$2:$H$88,1+B333,C333)</f>
        <v>0</v>
      </c>
    </row>
    <row r="334" spans="1:4" x14ac:dyDescent="0.75">
      <c r="A334" s="27">
        <v>300</v>
      </c>
      <c r="B334" s="27">
        <f t="shared" si="10"/>
        <v>42</v>
      </c>
      <c r="C334" s="27">
        <f t="shared" si="11"/>
        <v>6</v>
      </c>
      <c r="D334" s="116" cm="1">
        <f t="array" ref="D334">INDEX('Base-2'!$B$2:$H$88,1+B334,C334)</f>
        <v>0</v>
      </c>
    </row>
    <row r="335" spans="1:4" x14ac:dyDescent="0.75">
      <c r="A335" s="27">
        <v>301</v>
      </c>
      <c r="B335" s="27">
        <f t="shared" si="10"/>
        <v>42</v>
      </c>
      <c r="C335" s="27">
        <f t="shared" si="11"/>
        <v>7</v>
      </c>
      <c r="D335" s="116" cm="1">
        <f t="array" ref="D335">INDEX('Base-2'!$B$2:$H$88,1+B335,C335)</f>
        <v>0</v>
      </c>
    </row>
    <row r="336" spans="1:4" x14ac:dyDescent="0.75">
      <c r="A336" s="27">
        <v>302</v>
      </c>
      <c r="B336" s="27">
        <f t="shared" si="10"/>
        <v>43</v>
      </c>
      <c r="C336" s="27">
        <f t="shared" si="11"/>
        <v>1</v>
      </c>
      <c r="D336" s="116" cm="1">
        <f t="array" ref="D336">INDEX('Base-2'!$B$2:$H$88,1+B336,C336)</f>
        <v>0</v>
      </c>
    </row>
    <row r="337" spans="1:4" x14ac:dyDescent="0.75">
      <c r="A337" s="27">
        <v>303</v>
      </c>
      <c r="B337" s="27">
        <f t="shared" si="10"/>
        <v>43</v>
      </c>
      <c r="C337" s="27">
        <f t="shared" si="11"/>
        <v>2</v>
      </c>
      <c r="D337" s="116" cm="1">
        <f t="array" ref="D337">INDEX('Base-2'!$B$2:$H$88,1+B337,C337)</f>
        <v>0</v>
      </c>
    </row>
    <row r="338" spans="1:4" x14ac:dyDescent="0.75">
      <c r="A338" s="27">
        <v>304</v>
      </c>
      <c r="B338" s="27">
        <f t="shared" si="10"/>
        <v>43</v>
      </c>
      <c r="C338" s="27">
        <f t="shared" si="11"/>
        <v>3</v>
      </c>
      <c r="D338" s="116" cm="1">
        <f t="array" ref="D338">INDEX('Base-2'!$B$2:$H$88,1+B338,C338)</f>
        <v>0</v>
      </c>
    </row>
    <row r="339" spans="1:4" x14ac:dyDescent="0.75">
      <c r="A339" s="27">
        <v>305</v>
      </c>
      <c r="B339" s="27">
        <f t="shared" si="10"/>
        <v>43</v>
      </c>
      <c r="C339" s="27">
        <f t="shared" si="11"/>
        <v>4</v>
      </c>
      <c r="D339" s="116" cm="1">
        <f t="array" ref="D339">INDEX('Base-2'!$B$2:$H$88,1+B339,C339)</f>
        <v>0</v>
      </c>
    </row>
    <row r="340" spans="1:4" x14ac:dyDescent="0.75">
      <c r="A340" s="27">
        <v>306</v>
      </c>
      <c r="B340" s="27">
        <f t="shared" si="10"/>
        <v>43</v>
      </c>
      <c r="C340" s="27">
        <f t="shared" si="11"/>
        <v>5</v>
      </c>
      <c r="D340" s="116" cm="1">
        <f t="array" ref="D340">INDEX('Base-2'!$B$2:$H$88,1+B340,C340)</f>
        <v>0</v>
      </c>
    </row>
    <row r="341" spans="1:4" x14ac:dyDescent="0.75">
      <c r="A341" s="27">
        <v>307</v>
      </c>
      <c r="B341" s="27">
        <f t="shared" si="10"/>
        <v>43</v>
      </c>
      <c r="C341" s="27">
        <f t="shared" si="11"/>
        <v>6</v>
      </c>
      <c r="D341" s="116" cm="1">
        <f t="array" ref="D341">INDEX('Base-2'!$B$2:$H$88,1+B341,C341)</f>
        <v>0</v>
      </c>
    </row>
    <row r="342" spans="1:4" x14ac:dyDescent="0.75">
      <c r="A342" s="27">
        <v>308</v>
      </c>
      <c r="B342" s="27">
        <f t="shared" si="10"/>
        <v>43</v>
      </c>
      <c r="C342" s="27">
        <f t="shared" si="11"/>
        <v>7</v>
      </c>
      <c r="D342" s="116" cm="1">
        <f t="array" ref="D342">INDEX('Base-2'!$B$2:$H$88,1+B342,C342)</f>
        <v>0</v>
      </c>
    </row>
    <row r="343" spans="1:4" x14ac:dyDescent="0.75">
      <c r="A343" s="27">
        <v>309</v>
      </c>
      <c r="B343" s="27">
        <f t="shared" si="10"/>
        <v>44</v>
      </c>
      <c r="C343" s="27">
        <f t="shared" si="11"/>
        <v>1</v>
      </c>
      <c r="D343" s="116" cm="1">
        <f t="array" ref="D343">INDEX('Base-2'!$B$2:$H$88,1+B343,C343)</f>
        <v>0</v>
      </c>
    </row>
    <row r="344" spans="1:4" x14ac:dyDescent="0.75">
      <c r="A344" s="27">
        <v>310</v>
      </c>
      <c r="B344" s="27">
        <f t="shared" si="10"/>
        <v>44</v>
      </c>
      <c r="C344" s="27">
        <f t="shared" si="11"/>
        <v>2</v>
      </c>
      <c r="D344" s="116" cm="1">
        <f t="array" ref="D344">INDEX('Base-2'!$B$2:$H$88,1+B344,C344)</f>
        <v>0</v>
      </c>
    </row>
    <row r="345" spans="1:4" x14ac:dyDescent="0.75">
      <c r="A345" s="27">
        <v>311</v>
      </c>
      <c r="B345" s="27">
        <f t="shared" si="10"/>
        <v>44</v>
      </c>
      <c r="C345" s="27">
        <f t="shared" si="11"/>
        <v>3</v>
      </c>
      <c r="D345" s="116" cm="1">
        <f t="array" ref="D345">INDEX('Base-2'!$B$2:$H$88,1+B345,C345)</f>
        <v>0</v>
      </c>
    </row>
    <row r="346" spans="1:4" x14ac:dyDescent="0.75">
      <c r="A346" s="27">
        <v>312</v>
      </c>
      <c r="B346" s="27">
        <f t="shared" si="10"/>
        <v>44</v>
      </c>
      <c r="C346" s="27">
        <f t="shared" si="11"/>
        <v>4</v>
      </c>
      <c r="D346" s="116" cm="1">
        <f t="array" ref="D346">INDEX('Base-2'!$B$2:$H$88,1+B346,C346)</f>
        <v>0</v>
      </c>
    </row>
    <row r="347" spans="1:4" x14ac:dyDescent="0.75">
      <c r="A347" s="27">
        <v>313</v>
      </c>
      <c r="B347" s="27">
        <f t="shared" si="10"/>
        <v>44</v>
      </c>
      <c r="C347" s="27">
        <f t="shared" si="11"/>
        <v>5</v>
      </c>
      <c r="D347" s="116" cm="1">
        <f t="array" ref="D347">INDEX('Base-2'!$B$2:$H$88,1+B347,C347)</f>
        <v>0</v>
      </c>
    </row>
    <row r="348" spans="1:4" x14ac:dyDescent="0.75">
      <c r="A348" s="27">
        <v>314</v>
      </c>
      <c r="B348" s="27">
        <f t="shared" si="10"/>
        <v>44</v>
      </c>
      <c r="C348" s="27">
        <f t="shared" si="11"/>
        <v>6</v>
      </c>
      <c r="D348" s="116" cm="1">
        <f t="array" ref="D348">INDEX('Base-2'!$B$2:$H$88,1+B348,C348)</f>
        <v>0</v>
      </c>
    </row>
    <row r="349" spans="1:4" x14ac:dyDescent="0.75">
      <c r="A349" s="27">
        <v>315</v>
      </c>
      <c r="B349" s="27">
        <f t="shared" si="10"/>
        <v>44</v>
      </c>
      <c r="C349" s="27">
        <f t="shared" si="11"/>
        <v>7</v>
      </c>
      <c r="D349" s="116" cm="1">
        <f t="array" ref="D349">INDEX('Base-2'!$B$2:$H$88,1+B349,C349)</f>
        <v>0</v>
      </c>
    </row>
    <row r="350" spans="1:4" x14ac:dyDescent="0.75">
      <c r="A350" s="27">
        <v>316</v>
      </c>
      <c r="B350" s="27">
        <f t="shared" si="10"/>
        <v>45</v>
      </c>
      <c r="C350" s="27">
        <f t="shared" si="11"/>
        <v>1</v>
      </c>
      <c r="D350" s="116" cm="1">
        <f t="array" ref="D350">INDEX('Base-2'!$B$2:$H$88,1+B350,C350)</f>
        <v>0</v>
      </c>
    </row>
    <row r="351" spans="1:4" x14ac:dyDescent="0.75">
      <c r="A351" s="27">
        <v>317</v>
      </c>
      <c r="B351" s="27">
        <f t="shared" si="10"/>
        <v>45</v>
      </c>
      <c r="C351" s="27">
        <f t="shared" si="11"/>
        <v>2</v>
      </c>
      <c r="D351" s="116" cm="1">
        <f t="array" ref="D351">INDEX('Base-2'!$B$2:$H$88,1+B351,C351)</f>
        <v>0</v>
      </c>
    </row>
    <row r="352" spans="1:4" x14ac:dyDescent="0.75">
      <c r="A352" s="27">
        <v>318</v>
      </c>
      <c r="B352" s="27">
        <f t="shared" si="10"/>
        <v>45</v>
      </c>
      <c r="C352" s="27">
        <f t="shared" si="11"/>
        <v>3</v>
      </c>
      <c r="D352" s="116" cm="1">
        <f t="array" ref="D352">INDEX('Base-2'!$B$2:$H$88,1+B352,C352)</f>
        <v>0</v>
      </c>
    </row>
    <row r="353" spans="1:4" x14ac:dyDescent="0.75">
      <c r="A353" s="27">
        <v>319</v>
      </c>
      <c r="B353" s="27">
        <f t="shared" si="10"/>
        <v>45</v>
      </c>
      <c r="C353" s="27">
        <f t="shared" si="11"/>
        <v>4</v>
      </c>
      <c r="D353" s="116" cm="1">
        <f t="array" ref="D353">INDEX('Base-2'!$B$2:$H$88,1+B353,C353)</f>
        <v>0</v>
      </c>
    </row>
    <row r="354" spans="1:4" x14ac:dyDescent="0.75">
      <c r="A354" s="27">
        <v>320</v>
      </c>
      <c r="B354" s="27">
        <f t="shared" si="10"/>
        <v>45</v>
      </c>
      <c r="C354" s="27">
        <f t="shared" si="11"/>
        <v>5</v>
      </c>
      <c r="D354" s="116" cm="1">
        <f t="array" ref="D354">INDEX('Base-2'!$B$2:$H$88,1+B354,C354)</f>
        <v>0</v>
      </c>
    </row>
    <row r="355" spans="1:4" x14ac:dyDescent="0.75">
      <c r="A355" s="27">
        <v>321</v>
      </c>
      <c r="B355" s="27">
        <f t="shared" si="10"/>
        <v>45</v>
      </c>
      <c r="C355" s="27">
        <f t="shared" si="11"/>
        <v>6</v>
      </c>
      <c r="D355" s="116" cm="1">
        <f t="array" ref="D355">INDEX('Base-2'!$B$2:$H$88,1+B355,C355)</f>
        <v>0</v>
      </c>
    </row>
    <row r="356" spans="1:4" x14ac:dyDescent="0.75">
      <c r="A356" s="27">
        <v>322</v>
      </c>
      <c r="B356" s="27">
        <f t="shared" si="10"/>
        <v>45</v>
      </c>
      <c r="C356" s="27">
        <f t="shared" si="11"/>
        <v>7</v>
      </c>
      <c r="D356" s="116" cm="1">
        <f t="array" ref="D356">INDEX('Base-2'!$B$2:$H$88,1+B356,C356)</f>
        <v>0</v>
      </c>
    </row>
    <row r="357" spans="1:4" x14ac:dyDescent="0.75">
      <c r="A357" s="27">
        <v>323</v>
      </c>
      <c r="B357" s="27">
        <f t="shared" si="10"/>
        <v>46</v>
      </c>
      <c r="C357" s="27">
        <f t="shared" si="11"/>
        <v>1</v>
      </c>
      <c r="D357" s="116" cm="1">
        <f t="array" ref="D357">INDEX('Base-2'!$B$2:$H$88,1+B357,C357)</f>
        <v>0</v>
      </c>
    </row>
    <row r="358" spans="1:4" x14ac:dyDescent="0.75">
      <c r="A358" s="27">
        <v>324</v>
      </c>
      <c r="B358" s="27">
        <f t="shared" si="10"/>
        <v>46</v>
      </c>
      <c r="C358" s="27">
        <f t="shared" si="11"/>
        <v>2</v>
      </c>
      <c r="D358" s="116" cm="1">
        <f t="array" ref="D358">INDEX('Base-2'!$B$2:$H$88,1+B358,C358)</f>
        <v>0</v>
      </c>
    </row>
    <row r="359" spans="1:4" x14ac:dyDescent="0.75">
      <c r="A359" s="27">
        <v>325</v>
      </c>
      <c r="B359" s="27">
        <f t="shared" si="10"/>
        <v>46</v>
      </c>
      <c r="C359" s="27">
        <f t="shared" si="11"/>
        <v>3</v>
      </c>
      <c r="D359" s="116" cm="1">
        <f t="array" ref="D359">INDEX('Base-2'!$B$2:$H$88,1+B359,C359)</f>
        <v>0</v>
      </c>
    </row>
    <row r="360" spans="1:4" x14ac:dyDescent="0.75">
      <c r="A360" s="27">
        <v>326</v>
      </c>
      <c r="B360" s="27">
        <f t="shared" si="10"/>
        <v>46</v>
      </c>
      <c r="C360" s="27">
        <f t="shared" si="11"/>
        <v>4</v>
      </c>
      <c r="D360" s="116" cm="1">
        <f t="array" ref="D360">INDEX('Base-2'!$B$2:$H$88,1+B360,C360)</f>
        <v>0</v>
      </c>
    </row>
    <row r="361" spans="1:4" x14ac:dyDescent="0.75">
      <c r="A361" s="27">
        <v>327</v>
      </c>
      <c r="B361" s="27">
        <f t="shared" si="10"/>
        <v>46</v>
      </c>
      <c r="C361" s="27">
        <f t="shared" si="11"/>
        <v>5</v>
      </c>
      <c r="D361" s="116" cm="1">
        <f t="array" ref="D361">INDEX('Base-2'!$B$2:$H$88,1+B361,C361)</f>
        <v>0</v>
      </c>
    </row>
    <row r="362" spans="1:4" x14ac:dyDescent="0.75">
      <c r="A362" s="27">
        <v>328</v>
      </c>
      <c r="B362" s="27">
        <f t="shared" ref="B362:B405" si="12">IF(MOD(A362,7)=0,A362/7-1,INT(A362/7))</f>
        <v>46</v>
      </c>
      <c r="C362" s="27">
        <f t="shared" ref="C362:C405" si="13">IF(MOD(A362,7)=0,7,MOD(A362,7))</f>
        <v>6</v>
      </c>
      <c r="D362" s="116" cm="1">
        <f t="array" ref="D362">INDEX('Base-2'!$B$2:$H$88,1+B362,C362)</f>
        <v>0</v>
      </c>
    </row>
    <row r="363" spans="1:4" x14ac:dyDescent="0.75">
      <c r="A363" s="27">
        <v>329</v>
      </c>
      <c r="B363" s="27">
        <f t="shared" si="12"/>
        <v>46</v>
      </c>
      <c r="C363" s="27">
        <f t="shared" si="13"/>
        <v>7</v>
      </c>
      <c r="D363" s="116" cm="1">
        <f t="array" ref="D363">INDEX('Base-2'!$B$2:$H$88,1+B363,C363)</f>
        <v>0</v>
      </c>
    </row>
    <row r="364" spans="1:4" x14ac:dyDescent="0.75">
      <c r="A364" s="27">
        <v>330</v>
      </c>
      <c r="B364" s="27">
        <f t="shared" si="12"/>
        <v>47</v>
      </c>
      <c r="C364" s="27">
        <f t="shared" si="13"/>
        <v>1</v>
      </c>
      <c r="D364" s="116" cm="1">
        <f t="array" ref="D364">INDEX('Base-2'!$B$2:$H$88,1+B364,C364)</f>
        <v>0</v>
      </c>
    </row>
    <row r="365" spans="1:4" x14ac:dyDescent="0.75">
      <c r="A365" s="27">
        <v>331</v>
      </c>
      <c r="B365" s="27">
        <f t="shared" si="12"/>
        <v>47</v>
      </c>
      <c r="C365" s="27">
        <f t="shared" si="13"/>
        <v>2</v>
      </c>
      <c r="D365" s="116" cm="1">
        <f t="array" ref="D365">INDEX('Base-2'!$B$2:$H$88,1+B365,C365)</f>
        <v>0</v>
      </c>
    </row>
    <row r="366" spans="1:4" x14ac:dyDescent="0.75">
      <c r="A366" s="27">
        <v>332</v>
      </c>
      <c r="B366" s="27">
        <f t="shared" si="12"/>
        <v>47</v>
      </c>
      <c r="C366" s="27">
        <f t="shared" si="13"/>
        <v>3</v>
      </c>
      <c r="D366" s="116" cm="1">
        <f t="array" ref="D366">INDEX('Base-2'!$B$2:$H$88,1+B366,C366)</f>
        <v>0</v>
      </c>
    </row>
    <row r="367" spans="1:4" x14ac:dyDescent="0.75">
      <c r="A367" s="27">
        <v>333</v>
      </c>
      <c r="B367" s="27">
        <f t="shared" si="12"/>
        <v>47</v>
      </c>
      <c r="C367" s="27">
        <f t="shared" si="13"/>
        <v>4</v>
      </c>
      <c r="D367" s="116" cm="1">
        <f t="array" ref="D367">INDEX('Base-2'!$B$2:$H$88,1+B367,C367)</f>
        <v>0</v>
      </c>
    </row>
    <row r="368" spans="1:4" x14ac:dyDescent="0.75">
      <c r="A368" s="27">
        <v>334</v>
      </c>
      <c r="B368" s="27">
        <f t="shared" si="12"/>
        <v>47</v>
      </c>
      <c r="C368" s="27">
        <f t="shared" si="13"/>
        <v>5</v>
      </c>
      <c r="D368" s="116" cm="1">
        <f t="array" ref="D368">INDEX('Base-2'!$B$2:$H$88,1+B368,C368)</f>
        <v>0</v>
      </c>
    </row>
    <row r="369" spans="1:4" x14ac:dyDescent="0.75">
      <c r="A369" s="27">
        <v>335</v>
      </c>
      <c r="B369" s="27">
        <f t="shared" si="12"/>
        <v>47</v>
      </c>
      <c r="C369" s="27">
        <f t="shared" si="13"/>
        <v>6</v>
      </c>
      <c r="D369" s="116" cm="1">
        <f t="array" ref="D369">INDEX('Base-2'!$B$2:$H$88,1+B369,C369)</f>
        <v>0</v>
      </c>
    </row>
    <row r="370" spans="1:4" x14ac:dyDescent="0.75">
      <c r="A370" s="27">
        <v>336</v>
      </c>
      <c r="B370" s="27">
        <f t="shared" si="12"/>
        <v>47</v>
      </c>
      <c r="C370" s="27">
        <f t="shared" si="13"/>
        <v>7</v>
      </c>
      <c r="D370" s="116" cm="1">
        <f t="array" ref="D370">INDEX('Base-2'!$B$2:$H$88,1+B370,C370)</f>
        <v>0</v>
      </c>
    </row>
    <row r="371" spans="1:4" x14ac:dyDescent="0.75">
      <c r="A371" s="27">
        <v>337</v>
      </c>
      <c r="B371" s="27">
        <f t="shared" si="12"/>
        <v>48</v>
      </c>
      <c r="C371" s="27">
        <f t="shared" si="13"/>
        <v>1</v>
      </c>
      <c r="D371" s="116" cm="1">
        <f t="array" ref="D371">INDEX('Base-2'!$B$2:$H$88,1+B371,C371)</f>
        <v>0</v>
      </c>
    </row>
    <row r="372" spans="1:4" x14ac:dyDescent="0.75">
      <c r="A372" s="27">
        <v>338</v>
      </c>
      <c r="B372" s="27">
        <f t="shared" si="12"/>
        <v>48</v>
      </c>
      <c r="C372" s="27">
        <f t="shared" si="13"/>
        <v>2</v>
      </c>
      <c r="D372" s="116" cm="1">
        <f t="array" ref="D372">INDEX('Base-2'!$B$2:$H$88,1+B372,C372)</f>
        <v>0</v>
      </c>
    </row>
    <row r="373" spans="1:4" x14ac:dyDescent="0.75">
      <c r="A373" s="27">
        <v>339</v>
      </c>
      <c r="B373" s="27">
        <f t="shared" si="12"/>
        <v>48</v>
      </c>
      <c r="C373" s="27">
        <f t="shared" si="13"/>
        <v>3</v>
      </c>
      <c r="D373" s="116" cm="1">
        <f t="array" ref="D373">INDEX('Base-2'!$B$2:$H$88,1+B373,C373)</f>
        <v>0</v>
      </c>
    </row>
    <row r="374" spans="1:4" x14ac:dyDescent="0.75">
      <c r="A374" s="27">
        <v>340</v>
      </c>
      <c r="B374" s="27">
        <f t="shared" si="12"/>
        <v>48</v>
      </c>
      <c r="C374" s="27">
        <f t="shared" si="13"/>
        <v>4</v>
      </c>
      <c r="D374" s="116" cm="1">
        <f t="array" ref="D374">INDEX('Base-2'!$B$2:$H$88,1+B374,C374)</f>
        <v>0</v>
      </c>
    </row>
    <row r="375" spans="1:4" x14ac:dyDescent="0.75">
      <c r="A375" s="27">
        <v>341</v>
      </c>
      <c r="B375" s="27">
        <f t="shared" si="12"/>
        <v>48</v>
      </c>
      <c r="C375" s="27">
        <f t="shared" si="13"/>
        <v>5</v>
      </c>
      <c r="D375" s="116" cm="1">
        <f t="array" ref="D375">INDEX('Base-2'!$B$2:$H$88,1+B375,C375)</f>
        <v>0</v>
      </c>
    </row>
    <row r="376" spans="1:4" x14ac:dyDescent="0.75">
      <c r="A376" s="27">
        <v>342</v>
      </c>
      <c r="B376" s="27">
        <f t="shared" si="12"/>
        <v>48</v>
      </c>
      <c r="C376" s="27">
        <f t="shared" si="13"/>
        <v>6</v>
      </c>
      <c r="D376" s="116" cm="1">
        <f t="array" ref="D376">INDEX('Base-2'!$B$2:$H$88,1+B376,C376)</f>
        <v>0</v>
      </c>
    </row>
    <row r="377" spans="1:4" x14ac:dyDescent="0.75">
      <c r="A377" s="27">
        <v>343</v>
      </c>
      <c r="B377" s="27">
        <f t="shared" si="12"/>
        <v>48</v>
      </c>
      <c r="C377" s="27">
        <f t="shared" si="13"/>
        <v>7</v>
      </c>
      <c r="D377" s="116" cm="1">
        <f t="array" ref="D377">INDEX('Base-2'!$B$2:$H$88,1+B377,C377)</f>
        <v>0</v>
      </c>
    </row>
    <row r="378" spans="1:4" x14ac:dyDescent="0.75">
      <c r="A378" s="27">
        <v>344</v>
      </c>
      <c r="B378" s="27">
        <f t="shared" si="12"/>
        <v>49</v>
      </c>
      <c r="C378" s="27">
        <f t="shared" si="13"/>
        <v>1</v>
      </c>
      <c r="D378" s="116" cm="1">
        <f t="array" ref="D378">INDEX('Base-2'!$B$2:$H$88,1+B378,C378)</f>
        <v>0</v>
      </c>
    </row>
    <row r="379" spans="1:4" x14ac:dyDescent="0.75">
      <c r="A379" s="27">
        <v>345</v>
      </c>
      <c r="B379" s="27">
        <f t="shared" si="12"/>
        <v>49</v>
      </c>
      <c r="C379" s="27">
        <f t="shared" si="13"/>
        <v>2</v>
      </c>
      <c r="D379" s="116" cm="1">
        <f t="array" ref="D379">INDEX('Base-2'!$B$2:$H$88,1+B379,C379)</f>
        <v>0</v>
      </c>
    </row>
    <row r="380" spans="1:4" x14ac:dyDescent="0.75">
      <c r="A380" s="27">
        <v>346</v>
      </c>
      <c r="B380" s="27">
        <f t="shared" si="12"/>
        <v>49</v>
      </c>
      <c r="C380" s="27">
        <f t="shared" si="13"/>
        <v>3</v>
      </c>
      <c r="D380" s="116" cm="1">
        <f t="array" ref="D380">INDEX('Base-2'!$B$2:$H$88,1+B380,C380)</f>
        <v>0</v>
      </c>
    </row>
    <row r="381" spans="1:4" x14ac:dyDescent="0.75">
      <c r="A381" s="27">
        <v>347</v>
      </c>
      <c r="B381" s="27">
        <f t="shared" si="12"/>
        <v>49</v>
      </c>
      <c r="C381" s="27">
        <f t="shared" si="13"/>
        <v>4</v>
      </c>
      <c r="D381" s="116" cm="1">
        <f t="array" ref="D381">INDEX('Base-2'!$B$2:$H$88,1+B381,C381)</f>
        <v>0</v>
      </c>
    </row>
    <row r="382" spans="1:4" x14ac:dyDescent="0.75">
      <c r="A382" s="27">
        <v>348</v>
      </c>
      <c r="B382" s="27">
        <f t="shared" si="12"/>
        <v>49</v>
      </c>
      <c r="C382" s="27">
        <f t="shared" si="13"/>
        <v>5</v>
      </c>
      <c r="D382" s="116" cm="1">
        <f t="array" ref="D382">INDEX('Base-2'!$B$2:$H$88,1+B382,C382)</f>
        <v>0</v>
      </c>
    </row>
    <row r="383" spans="1:4" x14ac:dyDescent="0.75">
      <c r="A383" s="27">
        <v>349</v>
      </c>
      <c r="B383" s="27">
        <f t="shared" si="12"/>
        <v>49</v>
      </c>
      <c r="C383" s="27">
        <f t="shared" si="13"/>
        <v>6</v>
      </c>
      <c r="D383" s="116" cm="1">
        <f t="array" ref="D383">INDEX('Base-2'!$B$2:$H$88,1+B383,C383)</f>
        <v>0</v>
      </c>
    </row>
    <row r="384" spans="1:4" x14ac:dyDescent="0.75">
      <c r="A384" s="27">
        <v>350</v>
      </c>
      <c r="B384" s="27">
        <f t="shared" si="12"/>
        <v>49</v>
      </c>
      <c r="C384" s="27">
        <f t="shared" si="13"/>
        <v>7</v>
      </c>
      <c r="D384" s="116" cm="1">
        <f t="array" ref="D384">INDEX('Base-2'!$B$2:$H$88,1+B384,C384)</f>
        <v>0</v>
      </c>
    </row>
    <row r="385" spans="1:4" x14ac:dyDescent="0.75">
      <c r="A385" s="27">
        <v>351</v>
      </c>
      <c r="B385" s="27">
        <f t="shared" si="12"/>
        <v>50</v>
      </c>
      <c r="C385" s="27">
        <f t="shared" si="13"/>
        <v>1</v>
      </c>
      <c r="D385" s="116" cm="1">
        <f t="array" ref="D385">INDEX('Base-2'!$B$2:$H$88,1+B385,C385)</f>
        <v>0</v>
      </c>
    </row>
    <row r="386" spans="1:4" x14ac:dyDescent="0.75">
      <c r="A386" s="27">
        <v>352</v>
      </c>
      <c r="B386" s="27">
        <f t="shared" si="12"/>
        <v>50</v>
      </c>
      <c r="C386" s="27">
        <f t="shared" si="13"/>
        <v>2</v>
      </c>
      <c r="D386" s="116" cm="1">
        <f t="array" ref="D386">INDEX('Base-2'!$B$2:$H$88,1+B386,C386)</f>
        <v>0</v>
      </c>
    </row>
    <row r="387" spans="1:4" x14ac:dyDescent="0.75">
      <c r="A387" s="27">
        <v>353</v>
      </c>
      <c r="B387" s="27">
        <f t="shared" si="12"/>
        <v>50</v>
      </c>
      <c r="C387" s="27">
        <f t="shared" si="13"/>
        <v>3</v>
      </c>
      <c r="D387" s="116" cm="1">
        <f t="array" ref="D387">INDEX('Base-2'!$B$2:$H$88,1+B387,C387)</f>
        <v>0</v>
      </c>
    </row>
    <row r="388" spans="1:4" x14ac:dyDescent="0.75">
      <c r="A388" s="27">
        <v>354</v>
      </c>
      <c r="B388" s="27">
        <f t="shared" si="12"/>
        <v>50</v>
      </c>
      <c r="C388" s="27">
        <f t="shared" si="13"/>
        <v>4</v>
      </c>
      <c r="D388" s="116" cm="1">
        <f t="array" ref="D388">INDEX('Base-2'!$B$2:$H$88,1+B388,C388)</f>
        <v>0</v>
      </c>
    </row>
    <row r="389" spans="1:4" x14ac:dyDescent="0.75">
      <c r="A389" s="27">
        <v>355</v>
      </c>
      <c r="B389" s="27">
        <f t="shared" si="12"/>
        <v>50</v>
      </c>
      <c r="C389" s="27">
        <f t="shared" si="13"/>
        <v>5</v>
      </c>
      <c r="D389" s="116" cm="1">
        <f t="array" ref="D389">INDEX('Base-2'!$B$2:$H$88,1+B389,C389)</f>
        <v>0</v>
      </c>
    </row>
    <row r="390" spans="1:4" x14ac:dyDescent="0.75">
      <c r="A390" s="27">
        <v>356</v>
      </c>
      <c r="B390" s="27">
        <f t="shared" si="12"/>
        <v>50</v>
      </c>
      <c r="C390" s="27">
        <f t="shared" si="13"/>
        <v>6</v>
      </c>
      <c r="D390" s="116" cm="1">
        <f t="array" ref="D390">INDEX('Base-2'!$B$2:$H$88,1+B390,C390)</f>
        <v>0</v>
      </c>
    </row>
    <row r="391" spans="1:4" x14ac:dyDescent="0.75">
      <c r="A391" s="27">
        <v>357</v>
      </c>
      <c r="B391" s="27">
        <f t="shared" si="12"/>
        <v>50</v>
      </c>
      <c r="C391" s="27">
        <f t="shared" si="13"/>
        <v>7</v>
      </c>
      <c r="D391" s="116" cm="1">
        <f t="array" ref="D391">INDEX('Base-2'!$B$2:$H$88,1+B391,C391)</f>
        <v>0</v>
      </c>
    </row>
    <row r="392" spans="1:4" x14ac:dyDescent="0.75">
      <c r="A392" s="27">
        <v>358</v>
      </c>
      <c r="B392" s="27">
        <f t="shared" si="12"/>
        <v>51</v>
      </c>
      <c r="C392" s="27">
        <f t="shared" si="13"/>
        <v>1</v>
      </c>
      <c r="D392" s="116" cm="1">
        <f t="array" ref="D392">INDEX('Base-2'!$B$2:$H$88,1+B392,C392)</f>
        <v>0</v>
      </c>
    </row>
    <row r="393" spans="1:4" x14ac:dyDescent="0.75">
      <c r="A393" s="27">
        <v>359</v>
      </c>
      <c r="B393" s="27">
        <f t="shared" si="12"/>
        <v>51</v>
      </c>
      <c r="C393" s="27">
        <f t="shared" si="13"/>
        <v>2</v>
      </c>
      <c r="D393" s="116" cm="1">
        <f t="array" ref="D393">INDEX('Base-2'!$B$2:$H$88,1+B393,C393)</f>
        <v>0</v>
      </c>
    </row>
    <row r="394" spans="1:4" x14ac:dyDescent="0.75">
      <c r="A394" s="27">
        <v>360</v>
      </c>
      <c r="B394" s="27">
        <f t="shared" si="12"/>
        <v>51</v>
      </c>
      <c r="C394" s="27">
        <f t="shared" si="13"/>
        <v>3</v>
      </c>
      <c r="D394" s="116" cm="1">
        <f t="array" ref="D394">INDEX('Base-2'!$B$2:$H$88,1+B394,C394)</f>
        <v>0</v>
      </c>
    </row>
    <row r="395" spans="1:4" x14ac:dyDescent="0.75">
      <c r="A395" s="27">
        <v>361</v>
      </c>
      <c r="B395" s="27">
        <f t="shared" si="12"/>
        <v>51</v>
      </c>
      <c r="C395" s="27">
        <f t="shared" si="13"/>
        <v>4</v>
      </c>
      <c r="D395" s="116" cm="1">
        <f t="array" ref="D395">INDEX('Base-2'!$B$2:$H$88,1+B395,C395)</f>
        <v>0</v>
      </c>
    </row>
    <row r="396" spans="1:4" x14ac:dyDescent="0.75">
      <c r="A396" s="27">
        <v>362</v>
      </c>
      <c r="B396" s="27">
        <f t="shared" si="12"/>
        <v>51</v>
      </c>
      <c r="C396" s="27">
        <f t="shared" si="13"/>
        <v>5</v>
      </c>
      <c r="D396" s="116" cm="1">
        <f t="array" ref="D396">INDEX('Base-2'!$B$2:$H$88,1+B396,C396)</f>
        <v>0</v>
      </c>
    </row>
    <row r="397" spans="1:4" x14ac:dyDescent="0.75">
      <c r="A397" s="27">
        <v>363</v>
      </c>
      <c r="B397" s="27">
        <f t="shared" si="12"/>
        <v>51</v>
      </c>
      <c r="C397" s="27">
        <f t="shared" si="13"/>
        <v>6</v>
      </c>
      <c r="D397" s="116" cm="1">
        <f t="array" ref="D397">INDEX('Base-2'!$B$2:$H$88,1+B397,C397)</f>
        <v>0</v>
      </c>
    </row>
    <row r="398" spans="1:4" x14ac:dyDescent="0.75">
      <c r="A398" s="27">
        <v>364</v>
      </c>
      <c r="B398" s="27">
        <f t="shared" si="12"/>
        <v>51</v>
      </c>
      <c r="C398" s="27">
        <f t="shared" si="13"/>
        <v>7</v>
      </c>
      <c r="D398" s="116" cm="1">
        <f t="array" ref="D398">INDEX('Base-2'!$B$2:$H$88,1+B398,C398)</f>
        <v>0</v>
      </c>
    </row>
    <row r="399" spans="1:4" x14ac:dyDescent="0.75">
      <c r="A399" s="27">
        <v>365</v>
      </c>
      <c r="B399" s="27">
        <f t="shared" si="12"/>
        <v>52</v>
      </c>
      <c r="C399" s="27">
        <f t="shared" si="13"/>
        <v>1</v>
      </c>
      <c r="D399" s="116" cm="1">
        <f t="array" ref="D399">INDEX('Base-2'!$B$2:$H$88,1+B399,C399)</f>
        <v>0</v>
      </c>
    </row>
    <row r="400" spans="1:4" x14ac:dyDescent="0.75">
      <c r="A400" s="27">
        <v>366</v>
      </c>
      <c r="B400" s="27">
        <f t="shared" si="12"/>
        <v>52</v>
      </c>
      <c r="C400" s="27">
        <f t="shared" si="13"/>
        <v>2</v>
      </c>
      <c r="D400" s="116" cm="1">
        <f t="array" ref="D400">INDEX('Base-2'!$B$2:$H$88,1+B400,C400)</f>
        <v>0</v>
      </c>
    </row>
    <row r="401" spans="1:4" x14ac:dyDescent="0.75">
      <c r="A401" s="27">
        <v>367</v>
      </c>
      <c r="B401" s="27">
        <f t="shared" si="12"/>
        <v>52</v>
      </c>
      <c r="C401" s="27">
        <f t="shared" si="13"/>
        <v>3</v>
      </c>
      <c r="D401" s="116" cm="1">
        <f t="array" ref="D401">INDEX('Base-2'!$B$2:$H$88,1+B401,C401)</f>
        <v>0</v>
      </c>
    </row>
    <row r="402" spans="1:4" x14ac:dyDescent="0.75">
      <c r="A402" s="27">
        <v>368</v>
      </c>
      <c r="B402" s="27">
        <f t="shared" si="12"/>
        <v>52</v>
      </c>
      <c r="C402" s="27">
        <f t="shared" si="13"/>
        <v>4</v>
      </c>
      <c r="D402" s="116" cm="1">
        <f t="array" ref="D402">INDEX('Base-2'!$B$2:$H$88,1+B402,C402)</f>
        <v>0</v>
      </c>
    </row>
    <row r="403" spans="1:4" x14ac:dyDescent="0.75">
      <c r="A403" s="27">
        <v>369</v>
      </c>
      <c r="B403" s="27">
        <f t="shared" si="12"/>
        <v>52</v>
      </c>
      <c r="C403" s="27">
        <f t="shared" si="13"/>
        <v>5</v>
      </c>
      <c r="D403" s="116" cm="1">
        <f t="array" ref="D403">INDEX('Base-2'!$B$2:$H$88,1+B403,C403)</f>
        <v>0</v>
      </c>
    </row>
    <row r="404" spans="1:4" x14ac:dyDescent="0.75">
      <c r="A404" s="27">
        <v>370</v>
      </c>
      <c r="B404" s="27">
        <f t="shared" si="12"/>
        <v>52</v>
      </c>
      <c r="C404" s="27">
        <f t="shared" si="13"/>
        <v>6</v>
      </c>
      <c r="D404" s="116" cm="1">
        <f t="array" ref="D404">INDEX('Base-2'!$B$2:$H$88,1+B404,C404)</f>
        <v>0</v>
      </c>
    </row>
    <row r="405" spans="1:4" x14ac:dyDescent="0.75">
      <c r="A405" s="27">
        <v>371</v>
      </c>
      <c r="B405" s="27">
        <f t="shared" si="12"/>
        <v>52</v>
      </c>
      <c r="C405" s="27">
        <f t="shared" si="13"/>
        <v>7</v>
      </c>
      <c r="D405" s="116" cm="1">
        <f t="array" ref="D405">INDEX('Base-2'!$B$2:$H$88,1+B405,C405)</f>
        <v>0</v>
      </c>
    </row>
    <row r="406" spans="1:4" x14ac:dyDescent="0.75">
      <c r="A406" s="27">
        <v>372</v>
      </c>
      <c r="B406" s="27">
        <f t="shared" ref="B406:B422" si="14">IF(MOD(A406,7)=0,A406/7-1,INT(A406/7))</f>
        <v>53</v>
      </c>
      <c r="C406" s="27">
        <f t="shared" ref="C406:C422" si="15">IF(MOD(A406,7)=0,7,MOD(A406,7))</f>
        <v>1</v>
      </c>
      <c r="D406" s="116" cm="1">
        <f t="array" ref="D406">INDEX('Base-2'!$B$2:$H$88,1+B406,C406)</f>
        <v>0</v>
      </c>
    </row>
    <row r="407" spans="1:4" x14ac:dyDescent="0.75">
      <c r="A407" s="27">
        <v>373</v>
      </c>
      <c r="B407" s="27">
        <f t="shared" si="14"/>
        <v>53</v>
      </c>
      <c r="C407" s="27">
        <f t="shared" si="15"/>
        <v>2</v>
      </c>
      <c r="D407" s="116" cm="1">
        <f t="array" ref="D407">INDEX('Base-2'!$B$2:$H$88,1+B407,C407)</f>
        <v>0</v>
      </c>
    </row>
    <row r="408" spans="1:4" x14ac:dyDescent="0.75">
      <c r="A408" s="27">
        <v>374</v>
      </c>
      <c r="B408" s="27">
        <f t="shared" si="14"/>
        <v>53</v>
      </c>
      <c r="C408" s="27">
        <f t="shared" si="15"/>
        <v>3</v>
      </c>
      <c r="D408" s="116" cm="1">
        <f t="array" ref="D408">INDEX('Base-2'!$B$2:$H$88,1+B408,C408)</f>
        <v>0</v>
      </c>
    </row>
    <row r="409" spans="1:4" x14ac:dyDescent="0.75">
      <c r="A409" s="27">
        <v>375</v>
      </c>
      <c r="B409" s="27">
        <f t="shared" si="14"/>
        <v>53</v>
      </c>
      <c r="C409" s="27">
        <f t="shared" si="15"/>
        <v>4</v>
      </c>
      <c r="D409" s="116" cm="1">
        <f t="array" ref="D409">INDEX('Base-2'!$B$2:$H$88,1+B409,C409)</f>
        <v>0</v>
      </c>
    </row>
    <row r="410" spans="1:4" x14ac:dyDescent="0.75">
      <c r="A410" s="27">
        <v>376</v>
      </c>
      <c r="B410" s="27">
        <f t="shared" si="14"/>
        <v>53</v>
      </c>
      <c r="C410" s="27">
        <f t="shared" si="15"/>
        <v>5</v>
      </c>
      <c r="D410" s="116" cm="1">
        <f t="array" ref="D410">INDEX('Base-2'!$B$2:$H$88,1+B410,C410)</f>
        <v>0</v>
      </c>
    </row>
    <row r="411" spans="1:4" x14ac:dyDescent="0.75">
      <c r="A411" s="27">
        <v>377</v>
      </c>
      <c r="B411" s="27">
        <f t="shared" si="14"/>
        <v>53</v>
      </c>
      <c r="C411" s="27">
        <f t="shared" si="15"/>
        <v>6</v>
      </c>
      <c r="D411" s="116" cm="1">
        <f t="array" ref="D411">INDEX('Base-2'!$B$2:$H$88,1+B411,C411)</f>
        <v>0</v>
      </c>
    </row>
    <row r="412" spans="1:4" x14ac:dyDescent="0.75">
      <c r="A412" s="27">
        <v>378</v>
      </c>
      <c r="B412" s="27">
        <f t="shared" si="14"/>
        <v>53</v>
      </c>
      <c r="C412" s="27">
        <f t="shared" si="15"/>
        <v>7</v>
      </c>
      <c r="D412" s="116" cm="1">
        <f t="array" ref="D412">INDEX('Base-2'!$B$2:$H$88,1+B412,C412)</f>
        <v>0</v>
      </c>
    </row>
    <row r="413" spans="1:4" x14ac:dyDescent="0.75">
      <c r="A413" s="27">
        <v>379</v>
      </c>
      <c r="B413" s="27">
        <f t="shared" si="14"/>
        <v>54</v>
      </c>
      <c r="C413" s="27">
        <f t="shared" si="15"/>
        <v>1</v>
      </c>
      <c r="D413" s="116" cm="1">
        <f t="array" ref="D413">INDEX('Base-2'!$B$2:$H$88,1+B413,C413)</f>
        <v>0</v>
      </c>
    </row>
    <row r="414" spans="1:4" x14ac:dyDescent="0.75">
      <c r="A414" s="27">
        <v>380</v>
      </c>
      <c r="B414" s="27">
        <f t="shared" si="14"/>
        <v>54</v>
      </c>
      <c r="C414" s="27">
        <f t="shared" si="15"/>
        <v>2</v>
      </c>
      <c r="D414" s="116" cm="1">
        <f t="array" ref="D414">INDEX('Base-2'!$B$2:$H$88,1+B414,C414)</f>
        <v>0</v>
      </c>
    </row>
    <row r="415" spans="1:4" x14ac:dyDescent="0.75">
      <c r="A415" s="27">
        <v>381</v>
      </c>
      <c r="B415" s="27">
        <f t="shared" si="14"/>
        <v>54</v>
      </c>
      <c r="C415" s="27">
        <f t="shared" si="15"/>
        <v>3</v>
      </c>
      <c r="D415" s="116" cm="1">
        <f t="array" ref="D415">INDEX('Base-2'!$B$2:$H$88,1+B415,C415)</f>
        <v>0</v>
      </c>
    </row>
    <row r="416" spans="1:4" x14ac:dyDescent="0.75">
      <c r="A416" s="27">
        <v>382</v>
      </c>
      <c r="B416" s="27">
        <f t="shared" si="14"/>
        <v>54</v>
      </c>
      <c r="C416" s="27">
        <f t="shared" si="15"/>
        <v>4</v>
      </c>
      <c r="D416" s="116" cm="1">
        <f t="array" ref="D416">INDEX('Base-2'!$B$2:$H$88,1+B416,C416)</f>
        <v>0</v>
      </c>
    </row>
    <row r="417" spans="1:4" x14ac:dyDescent="0.75">
      <c r="A417" s="27">
        <v>383</v>
      </c>
      <c r="B417" s="27">
        <f t="shared" si="14"/>
        <v>54</v>
      </c>
      <c r="C417" s="27">
        <f t="shared" si="15"/>
        <v>5</v>
      </c>
      <c r="D417" s="116" cm="1">
        <f t="array" ref="D417">INDEX('Base-2'!$B$2:$H$88,1+B417,C417)</f>
        <v>0</v>
      </c>
    </row>
    <row r="418" spans="1:4" x14ac:dyDescent="0.75">
      <c r="A418" s="27">
        <v>384</v>
      </c>
      <c r="B418" s="27">
        <f t="shared" si="14"/>
        <v>54</v>
      </c>
      <c r="C418" s="27">
        <f t="shared" si="15"/>
        <v>6</v>
      </c>
      <c r="D418" s="116" cm="1">
        <f t="array" ref="D418">INDEX('Base-2'!$B$2:$H$88,1+B418,C418)</f>
        <v>0</v>
      </c>
    </row>
    <row r="419" spans="1:4" x14ac:dyDescent="0.75">
      <c r="A419" s="27">
        <v>385</v>
      </c>
      <c r="B419" s="27">
        <f t="shared" si="14"/>
        <v>54</v>
      </c>
      <c r="C419" s="27">
        <f t="shared" si="15"/>
        <v>7</v>
      </c>
      <c r="D419" s="116" cm="1">
        <f t="array" ref="D419">INDEX('Base-2'!$B$2:$H$88,1+B419,C419)</f>
        <v>0</v>
      </c>
    </row>
    <row r="420" spans="1:4" x14ac:dyDescent="0.75">
      <c r="A420" s="27">
        <v>386</v>
      </c>
      <c r="B420" s="27">
        <f t="shared" si="14"/>
        <v>55</v>
      </c>
      <c r="C420" s="27">
        <f t="shared" si="15"/>
        <v>1</v>
      </c>
      <c r="D420" s="116" cm="1">
        <f t="array" ref="D420">INDEX('Base-2'!$B$2:$H$88,1+B420,C420)</f>
        <v>0</v>
      </c>
    </row>
    <row r="421" spans="1:4" x14ac:dyDescent="0.75">
      <c r="A421" s="27">
        <v>387</v>
      </c>
      <c r="B421" s="27">
        <f t="shared" si="14"/>
        <v>55</v>
      </c>
      <c r="C421" s="27">
        <f t="shared" si="15"/>
        <v>2</v>
      </c>
      <c r="D421" s="116" cm="1">
        <f t="array" ref="D421">INDEX('Base-2'!$B$2:$H$88,1+B421,C421)</f>
        <v>0</v>
      </c>
    </row>
    <row r="422" spans="1:4" x14ac:dyDescent="0.75">
      <c r="A422" s="27">
        <v>388</v>
      </c>
      <c r="B422" s="27">
        <f t="shared" si="14"/>
        <v>55</v>
      </c>
      <c r="C422" s="27">
        <f t="shared" si="15"/>
        <v>3</v>
      </c>
      <c r="D422" s="116" cm="1">
        <f t="array" ref="D422">INDEX('Base-2'!$B$2:$H$88,1+B422,C422)</f>
        <v>0</v>
      </c>
    </row>
    <row r="423" spans="1:4" x14ac:dyDescent="0.75">
      <c r="A423" s="27">
        <v>389</v>
      </c>
      <c r="B423" s="27">
        <f t="shared" ref="B423:B425" si="16">IF(MOD(A423,7)=0,A423/7-1,INT(A423/7))</f>
        <v>55</v>
      </c>
      <c r="C423" s="27">
        <f t="shared" ref="C423:C425" si="17">IF(MOD(A423,7)=0,7,MOD(A423,7))</f>
        <v>4</v>
      </c>
    </row>
    <row r="424" spans="1:4" x14ac:dyDescent="0.75">
      <c r="A424" s="27">
        <v>390</v>
      </c>
      <c r="B424" s="27">
        <f t="shared" si="16"/>
        <v>55</v>
      </c>
      <c r="C424" s="27">
        <f t="shared" si="17"/>
        <v>5</v>
      </c>
    </row>
    <row r="425" spans="1:4" x14ac:dyDescent="0.75">
      <c r="A425" s="27">
        <v>391</v>
      </c>
      <c r="B425" s="27">
        <f t="shared" si="16"/>
        <v>55</v>
      </c>
      <c r="C425" s="27">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367A0-141A-47BC-B3E3-E917D781387E}">
  <sheetPr codeName="Foglio4"/>
  <dimension ref="A1:N99"/>
  <sheetViews>
    <sheetView workbookViewId="0">
      <selection activeCell="G1" sqref="G1:G2"/>
    </sheetView>
  </sheetViews>
  <sheetFormatPr defaultRowHeight="14.75" x14ac:dyDescent="0.75"/>
  <cols>
    <col min="1" max="1" width="8.7265625" style="26"/>
    <col min="3" max="3" width="31.6796875" bestFit="1" customWidth="1"/>
    <col min="4" max="4" width="53.81640625" customWidth="1"/>
    <col min="5" max="5" width="24.81640625" customWidth="1"/>
    <col min="6" max="6" width="16.1328125" customWidth="1"/>
    <col min="7" max="7" width="10.76953125" customWidth="1"/>
    <col min="8" max="8" width="45.26953125" customWidth="1"/>
    <col min="9" max="9" width="40.1328125" style="1" customWidth="1"/>
    <col min="10" max="10" width="26.6328125" style="1" customWidth="1"/>
    <col min="11" max="11" width="48.54296875" style="1" customWidth="1"/>
    <col min="12" max="12" width="53.36328125" customWidth="1"/>
    <col min="13" max="13" width="51.5" customWidth="1"/>
  </cols>
  <sheetData>
    <row r="1" spans="1:14" ht="15.5" thickBot="1" x14ac:dyDescent="0.9">
      <c r="C1" s="107" t="str">
        <f>'Base-1'!B1</f>
        <v>canonical</v>
      </c>
      <c r="D1" s="19" t="s">
        <v>33</v>
      </c>
      <c r="E1" s="20"/>
      <c r="F1" s="44" t="s">
        <v>51</v>
      </c>
      <c r="G1" s="44" t="s">
        <v>888</v>
      </c>
      <c r="L1" s="26"/>
      <c r="M1" s="26" t="s">
        <v>49</v>
      </c>
      <c r="N1" s="26"/>
    </row>
    <row r="2" spans="1:14" ht="15.5" thickBot="1" x14ac:dyDescent="0.9">
      <c r="C2" s="108" t="str">
        <f>'Base-1'!B2</f>
        <v>http://hl7.eu/fhir/ig/pcsp</v>
      </c>
      <c r="D2" s="17" t="s">
        <v>57</v>
      </c>
      <c r="E2" s="37"/>
      <c r="F2" t="s">
        <v>48</v>
      </c>
      <c r="G2" s="55" t="s">
        <v>1109</v>
      </c>
      <c r="L2" s="46"/>
      <c r="M2" t="str">
        <f>CONCATENATE("Mapping: ",E2)</f>
        <v xml:space="preserve">Mapping: </v>
      </c>
    </row>
    <row r="3" spans="1:14" ht="15.5" thickBot="1" x14ac:dyDescent="0.9">
      <c r="C3" s="107" t="str">
        <f>'Base-1'!B3</f>
        <v>Publisher</v>
      </c>
      <c r="D3" s="42"/>
      <c r="E3" s="38"/>
      <c r="L3" s="46"/>
      <c r="M3" t="str">
        <f>CONCATENATE("Id: ",E2)</f>
        <v xml:space="preserve">Id: </v>
      </c>
    </row>
    <row r="4" spans="1:14" ht="15.5" thickBot="1" x14ac:dyDescent="0.9">
      <c r="C4" s="108" t="str">
        <f>'Base-1'!B4</f>
        <v>PanCareSurPass project</v>
      </c>
      <c r="D4" s="45"/>
      <c r="E4" s="39"/>
      <c r="L4" s="46"/>
      <c r="M4" t="str">
        <f>CONCATENATE("Title: """,D2,"""")</f>
        <v>Title: "FHIR"</v>
      </c>
    </row>
    <row r="5" spans="1:14" x14ac:dyDescent="0.75">
      <c r="L5" s="46"/>
      <c r="M5" t="str">
        <f>CONCATENATE("Source: ",C2,"/",C7)</f>
        <v>Source: http://hl7.eu/fhir/ig/pcsp/TreatmentSummary</v>
      </c>
    </row>
    <row r="6" spans="1:14" s="26" customFormat="1" x14ac:dyDescent="0.75">
      <c r="D6" s="26" t="s">
        <v>47</v>
      </c>
      <c r="I6" s="1"/>
      <c r="J6" s="1"/>
      <c r="K6" s="1"/>
      <c r="L6" s="46"/>
      <c r="M6" t="str">
        <f>CONCATENATE("Target: """,D4,"""")</f>
        <v>Target: ""</v>
      </c>
      <c r="N6"/>
    </row>
    <row r="7" spans="1:14" x14ac:dyDescent="0.75">
      <c r="A7" s="27"/>
      <c r="B7" s="27">
        <f>'Base-1'!A6</f>
        <v>0</v>
      </c>
      <c r="C7" s="25" t="str">
        <f>'Base-1'!B6</f>
        <v>TreatmentSummary</v>
      </c>
      <c r="D7" s="25"/>
      <c r="L7" t="s">
        <v>50</v>
      </c>
      <c r="M7" t="s">
        <v>49</v>
      </c>
      <c r="N7" s="26"/>
    </row>
    <row r="8" spans="1:14" ht="44.25" x14ac:dyDescent="0.75">
      <c r="A8" s="27">
        <v>0</v>
      </c>
      <c r="B8" s="27">
        <f>'Base-1'!A7</f>
        <v>1</v>
      </c>
      <c r="C8" s="27" t="str">
        <f>'Base-1'!B7</f>
        <v>subject</v>
      </c>
      <c r="D8" s="27"/>
      <c r="E8" t="s">
        <v>52</v>
      </c>
      <c r="G8" t="b">
        <f>IF(D8&gt;"",TRUE,FALSE)</f>
        <v>0</v>
      </c>
      <c r="H8" s="1" t="str">
        <f>IF(G8,CONCATENATE("* differential.element[",$B8,"].mapping[",$A8,"].identity = """,$F$1,""""),"")</f>
        <v/>
      </c>
      <c r="I8" s="1" t="str">
        <f>IF(G8,CONCATENATE("* differential.element[",$B8,"].mapping[",$A8,"].map = """,D8,""""),"")</f>
        <v/>
      </c>
      <c r="J8" s="1" t="str">
        <f>IF(E8&gt;"",CONCATENATE("* differential.element[",$B8,"].mapping[",$A8,"].comment = """,E8,""""),"")</f>
        <v>* differential.element[1].mapping[0].comment = "note"</v>
      </c>
      <c r="L8" s="46"/>
      <c r="M8" t="str">
        <f t="shared" ref="M8:M26" si="0">CONCATENATE("* ",C8," -&gt; """,D8,"""")</f>
        <v>* subject -&gt; ""</v>
      </c>
    </row>
    <row r="9" spans="1:14" x14ac:dyDescent="0.75">
      <c r="A9" s="27">
        <v>0</v>
      </c>
      <c r="B9" s="27">
        <f>'Base-1'!A8</f>
        <v>2</v>
      </c>
      <c r="C9" s="27" t="str">
        <f>'Base-1'!B8</f>
        <v>diagnosis</v>
      </c>
      <c r="D9" s="25"/>
      <c r="G9" s="26" t="b">
        <f t="shared" ref="G9:G59" si="1">IF(D9&gt;"",TRUE,FALSE)</f>
        <v>0</v>
      </c>
      <c r="H9" s="1" t="str">
        <f t="shared" ref="H9:H59" si="2">IF(G9,CONCATENATE("* differential.element[",$B9,"].mapping[",$A9,"].identity = """,$F$1,""""),"")</f>
        <v/>
      </c>
      <c r="I9" s="1" t="str">
        <f t="shared" ref="I9:I59" si="3">IF(G9,CONCATENATE("* differential.element[",$B9,"].mapping[",$A9,"].map = """,D9,""""),"")</f>
        <v/>
      </c>
      <c r="J9" s="1" t="str">
        <f t="shared" ref="J9:J59" si="4">IF(E9&gt;"",CONCATENATE("* differential.element[",$B9,"].mapping[",$A9,"].comment = """,E9,""""),"")</f>
        <v/>
      </c>
      <c r="L9" s="46"/>
      <c r="M9" s="26" t="str">
        <f t="shared" si="0"/>
        <v>* diagnosis -&gt; ""</v>
      </c>
    </row>
    <row r="10" spans="1:14" x14ac:dyDescent="0.75">
      <c r="A10" s="27">
        <v>0</v>
      </c>
      <c r="B10" s="27">
        <f>'Base-1'!A10</f>
        <v>4</v>
      </c>
      <c r="C10" s="27" t="str">
        <f>'Base-1'!B10</f>
        <v>diagnosis.frontLineTreatment</v>
      </c>
      <c r="D10" s="27"/>
      <c r="G10" s="26" t="b">
        <f t="shared" si="1"/>
        <v>0</v>
      </c>
      <c r="H10" s="1" t="str">
        <f t="shared" si="2"/>
        <v/>
      </c>
      <c r="I10" s="1" t="str">
        <f t="shared" si="3"/>
        <v/>
      </c>
      <c r="J10" s="1" t="str">
        <f t="shared" si="4"/>
        <v/>
      </c>
      <c r="L10" s="46"/>
      <c r="M10" s="26" t="str">
        <f t="shared" si="0"/>
        <v>* diagnosis.frontLineTreatment -&gt; ""</v>
      </c>
    </row>
    <row r="11" spans="1:14" x14ac:dyDescent="0.75">
      <c r="A11" s="27">
        <v>0</v>
      </c>
      <c r="B11" s="27">
        <f>'Base-1'!A11</f>
        <v>5</v>
      </c>
      <c r="C11" s="27" t="str">
        <f>'Base-1'!B25</f>
        <v>diagnosis.chemotherapy</v>
      </c>
      <c r="D11" s="27"/>
      <c r="G11" s="26" t="b">
        <f t="shared" si="1"/>
        <v>0</v>
      </c>
      <c r="H11" s="1" t="str">
        <f t="shared" si="2"/>
        <v/>
      </c>
      <c r="I11" s="1" t="str">
        <f t="shared" si="3"/>
        <v/>
      </c>
      <c r="J11" s="1" t="str">
        <f t="shared" si="4"/>
        <v/>
      </c>
      <c r="L11" s="46"/>
      <c r="M11" s="26" t="str">
        <f t="shared" si="0"/>
        <v>* diagnosis.chemotherapy -&gt; ""</v>
      </c>
    </row>
    <row r="12" spans="1:14" x14ac:dyDescent="0.75">
      <c r="A12" s="27">
        <v>0</v>
      </c>
      <c r="B12" s="27">
        <f>'Base-1'!A13</f>
        <v>7</v>
      </c>
      <c r="C12" s="27" t="str">
        <f>'Base-1'!B26</f>
        <v>diagnosis.stemCellTransplantation</v>
      </c>
      <c r="D12" s="27"/>
      <c r="G12" s="26" t="b">
        <f t="shared" si="1"/>
        <v>0</v>
      </c>
      <c r="H12" s="1" t="str">
        <f t="shared" si="2"/>
        <v/>
      </c>
      <c r="I12" s="1" t="str">
        <f t="shared" si="3"/>
        <v/>
      </c>
      <c r="J12" s="1" t="str">
        <f t="shared" si="4"/>
        <v/>
      </c>
      <c r="L12" s="46"/>
      <c r="M12" s="26" t="str">
        <f t="shared" si="0"/>
        <v>* diagnosis.stemCellTransplantation -&gt; ""</v>
      </c>
    </row>
    <row r="13" spans="1:14" x14ac:dyDescent="0.75">
      <c r="A13" s="27">
        <v>0</v>
      </c>
      <c r="B13" s="27" t="e">
        <f>'Base-1'!#REF!</f>
        <v>#REF!</v>
      </c>
      <c r="C13" s="27" t="str">
        <f>'Base-1'!B27</f>
        <v>diagnosis.radiotherapy</v>
      </c>
      <c r="D13" s="27"/>
      <c r="G13" s="26" t="b">
        <f t="shared" si="1"/>
        <v>0</v>
      </c>
      <c r="H13" s="1" t="str">
        <f t="shared" si="2"/>
        <v/>
      </c>
      <c r="I13" s="1" t="str">
        <f t="shared" si="3"/>
        <v/>
      </c>
      <c r="J13" s="1" t="str">
        <f t="shared" si="4"/>
        <v/>
      </c>
      <c r="L13" s="46"/>
      <c r="M13" s="26" t="str">
        <f t="shared" si="0"/>
        <v>* diagnosis.radiotherapy -&gt; ""</v>
      </c>
    </row>
    <row r="14" spans="1:14" x14ac:dyDescent="0.75">
      <c r="A14" s="27">
        <v>0</v>
      </c>
      <c r="B14" s="27" t="e">
        <f>'Base-1'!#REF!</f>
        <v>#REF!</v>
      </c>
      <c r="C14" s="27" t="str">
        <f>'Base-1'!B28</f>
        <v>diagnosis.majorSurgery</v>
      </c>
      <c r="D14" s="27"/>
      <c r="G14" s="26" t="b">
        <f t="shared" si="1"/>
        <v>0</v>
      </c>
      <c r="H14" s="1" t="str">
        <f t="shared" si="2"/>
        <v/>
      </c>
      <c r="I14" s="1" t="str">
        <f t="shared" si="3"/>
        <v/>
      </c>
      <c r="J14" s="1" t="str">
        <f t="shared" si="4"/>
        <v/>
      </c>
      <c r="L14" s="46"/>
      <c r="M14" s="26" t="str">
        <f t="shared" si="0"/>
        <v>* diagnosis.majorSurgery -&gt; ""</v>
      </c>
    </row>
    <row r="15" spans="1:14" x14ac:dyDescent="0.75">
      <c r="A15" s="27">
        <v>0</v>
      </c>
      <c r="B15" s="27" t="e">
        <f>'Base-1'!#REF!</f>
        <v>#REF!</v>
      </c>
      <c r="C15" s="27" t="str">
        <f>'Base-1'!B29</f>
        <v>diagnosis.progressionRelapseDuringFLT</v>
      </c>
      <c r="D15" s="27"/>
      <c r="G15" s="26" t="b">
        <f t="shared" si="1"/>
        <v>0</v>
      </c>
      <c r="H15" s="1" t="str">
        <f t="shared" si="2"/>
        <v/>
      </c>
      <c r="I15" s="1" t="str">
        <f t="shared" si="3"/>
        <v/>
      </c>
      <c r="J15" s="1" t="str">
        <f t="shared" si="4"/>
        <v/>
      </c>
      <c r="M15" s="26" t="str">
        <f t="shared" si="0"/>
        <v>* diagnosis.progressionRelapseDuringFLT -&gt; ""</v>
      </c>
    </row>
    <row r="16" spans="1:14" x14ac:dyDescent="0.75">
      <c r="A16" s="27">
        <v>0</v>
      </c>
      <c r="B16" s="27" t="e">
        <f>'Base-1'!#REF!</f>
        <v>#REF!</v>
      </c>
      <c r="C16" s="27" t="str">
        <f>'Base-1'!B30</f>
        <v>diagnosis.otherInfo</v>
      </c>
      <c r="D16" s="27"/>
      <c r="G16" s="26" t="b">
        <f t="shared" si="1"/>
        <v>0</v>
      </c>
      <c r="H16" s="1" t="str">
        <f t="shared" si="2"/>
        <v/>
      </c>
      <c r="I16" s="1" t="str">
        <f t="shared" si="3"/>
        <v/>
      </c>
      <c r="J16" s="1" t="str">
        <f t="shared" si="4"/>
        <v/>
      </c>
      <c r="M16" s="26" t="str">
        <f t="shared" si="0"/>
        <v>* diagnosis.otherInfo -&gt; ""</v>
      </c>
    </row>
    <row r="17" spans="1:13" x14ac:dyDescent="0.75">
      <c r="A17" s="27">
        <v>0</v>
      </c>
      <c r="B17" s="27" t="e">
        <f>'Base-1'!#REF!</f>
        <v>#REF!</v>
      </c>
      <c r="C17" s="27" t="str">
        <f>'Base-1'!B31</f>
        <v>diagnosis.medicalSuggestion</v>
      </c>
      <c r="D17" s="27"/>
      <c r="G17" s="26" t="b">
        <f t="shared" si="1"/>
        <v>0</v>
      </c>
      <c r="H17" s="1" t="str">
        <f t="shared" si="2"/>
        <v/>
      </c>
      <c r="I17" s="1" t="str">
        <f t="shared" si="3"/>
        <v/>
      </c>
      <c r="J17" s="1" t="str">
        <f t="shared" si="4"/>
        <v/>
      </c>
      <c r="M17" s="26" t="str">
        <f t="shared" si="0"/>
        <v>* diagnosis.medicalSuggestion -&gt; ""</v>
      </c>
    </row>
    <row r="18" spans="1:13" x14ac:dyDescent="0.75">
      <c r="A18" s="27">
        <v>0</v>
      </c>
      <c r="B18" s="27">
        <f>'Base-1'!A25</f>
        <v>19</v>
      </c>
      <c r="C18" s="27" t="str">
        <f>'Base-1'!B32</f>
        <v>diagnosis.progressionRelapseAfterEOT</v>
      </c>
      <c r="D18" s="25"/>
      <c r="G18" s="26" t="b">
        <f t="shared" si="1"/>
        <v>0</v>
      </c>
      <c r="H18" s="1" t="str">
        <f t="shared" si="2"/>
        <v/>
      </c>
      <c r="I18" s="1" t="str">
        <f t="shared" si="3"/>
        <v/>
      </c>
      <c r="J18" s="1" t="str">
        <f t="shared" si="4"/>
        <v/>
      </c>
      <c r="M18" s="26" t="str">
        <f t="shared" si="0"/>
        <v>* diagnosis.progressionRelapseAfterEOT -&gt; ""</v>
      </c>
    </row>
    <row r="19" spans="1:13" x14ac:dyDescent="0.75">
      <c r="A19" s="27">
        <v>0</v>
      </c>
      <c r="B19" s="27">
        <f>'Base-1'!A26</f>
        <v>20</v>
      </c>
      <c r="C19" s="27" t="e">
        <f>'Base-1'!#REF!</f>
        <v>#REF!</v>
      </c>
      <c r="D19" s="27"/>
      <c r="G19" s="26" t="b">
        <f t="shared" si="1"/>
        <v>0</v>
      </c>
      <c r="H19" s="1" t="str">
        <f t="shared" si="2"/>
        <v/>
      </c>
      <c r="I19" s="1" t="str">
        <f t="shared" si="3"/>
        <v/>
      </c>
      <c r="J19" s="1" t="str">
        <f t="shared" si="4"/>
        <v/>
      </c>
      <c r="M19" s="26" t="e">
        <f t="shared" si="0"/>
        <v>#REF!</v>
      </c>
    </row>
    <row r="20" spans="1:13" x14ac:dyDescent="0.75">
      <c r="A20" s="27">
        <v>0</v>
      </c>
      <c r="B20" s="27">
        <f>'Base-1'!A27</f>
        <v>21</v>
      </c>
      <c r="C20" s="27" t="e">
        <f>'Base-1'!#REF!</f>
        <v>#REF!</v>
      </c>
      <c r="D20" s="25"/>
      <c r="G20" s="26" t="b">
        <f t="shared" si="1"/>
        <v>0</v>
      </c>
      <c r="H20" s="1" t="str">
        <f t="shared" si="2"/>
        <v/>
      </c>
      <c r="I20" s="1" t="str">
        <f t="shared" si="3"/>
        <v/>
      </c>
      <c r="J20" s="1" t="str">
        <f t="shared" si="4"/>
        <v/>
      </c>
      <c r="M20" s="26" t="e">
        <f t="shared" si="0"/>
        <v>#REF!</v>
      </c>
    </row>
    <row r="21" spans="1:13" x14ac:dyDescent="0.75">
      <c r="A21" s="27">
        <v>0</v>
      </c>
      <c r="B21" s="27">
        <f>'Base-1'!A28</f>
        <v>22</v>
      </c>
      <c r="C21" s="27" t="e">
        <f>'Base-1'!#REF!</f>
        <v>#REF!</v>
      </c>
      <c r="D21" s="27"/>
      <c r="G21" s="26" t="b">
        <f t="shared" si="1"/>
        <v>0</v>
      </c>
      <c r="H21" s="1" t="str">
        <f t="shared" si="2"/>
        <v/>
      </c>
      <c r="I21" s="1" t="str">
        <f t="shared" si="3"/>
        <v/>
      </c>
      <c r="J21" s="1" t="str">
        <f t="shared" si="4"/>
        <v/>
      </c>
      <c r="M21" s="26" t="e">
        <f t="shared" si="0"/>
        <v>#REF!</v>
      </c>
    </row>
    <row r="22" spans="1:13" x14ac:dyDescent="0.75">
      <c r="A22" s="27">
        <v>0</v>
      </c>
      <c r="B22" s="27">
        <f>'Base-1'!A29</f>
        <v>23</v>
      </c>
      <c r="C22" s="27" t="e">
        <f>'Base-1'!#REF!</f>
        <v>#REF!</v>
      </c>
      <c r="D22" s="27"/>
      <c r="G22" s="26" t="b">
        <f t="shared" si="1"/>
        <v>0</v>
      </c>
      <c r="H22" s="1" t="str">
        <f t="shared" si="2"/>
        <v/>
      </c>
      <c r="I22" s="1" t="str">
        <f t="shared" si="3"/>
        <v/>
      </c>
      <c r="J22" s="1" t="str">
        <f t="shared" si="4"/>
        <v/>
      </c>
      <c r="M22" s="26" t="e">
        <f t="shared" si="0"/>
        <v>#REF!</v>
      </c>
    </row>
    <row r="23" spans="1:13" x14ac:dyDescent="0.75">
      <c r="A23" s="27">
        <v>0</v>
      </c>
      <c r="B23" s="27">
        <f>'Base-1'!A30</f>
        <v>24</v>
      </c>
      <c r="C23" s="27" t="e">
        <f>'Base-1'!#REF!</f>
        <v>#REF!</v>
      </c>
      <c r="D23" s="27"/>
      <c r="G23" s="26" t="b">
        <f t="shared" si="1"/>
        <v>0</v>
      </c>
      <c r="H23" s="1" t="str">
        <f t="shared" si="2"/>
        <v/>
      </c>
      <c r="I23" s="1" t="str">
        <f t="shared" si="3"/>
        <v/>
      </c>
      <c r="J23" s="1" t="str">
        <f t="shared" si="4"/>
        <v/>
      </c>
      <c r="M23" s="26" t="e">
        <f t="shared" si="0"/>
        <v>#REF!</v>
      </c>
    </row>
    <row r="24" spans="1:13" x14ac:dyDescent="0.75">
      <c r="A24" s="27">
        <v>0</v>
      </c>
      <c r="B24" s="27">
        <f>'Base-1'!A31</f>
        <v>25</v>
      </c>
      <c r="C24" s="27" t="e">
        <f>'Base-1'!#REF!</f>
        <v>#REF!</v>
      </c>
      <c r="D24" s="27"/>
      <c r="G24" s="26" t="b">
        <f t="shared" si="1"/>
        <v>0</v>
      </c>
      <c r="H24" s="1" t="str">
        <f t="shared" si="2"/>
        <v/>
      </c>
      <c r="I24" s="1" t="str">
        <f t="shared" si="3"/>
        <v/>
      </c>
      <c r="J24" s="1" t="str">
        <f t="shared" si="4"/>
        <v/>
      </c>
      <c r="M24" s="26" t="e">
        <f t="shared" si="0"/>
        <v>#REF!</v>
      </c>
    </row>
    <row r="25" spans="1:13" x14ac:dyDescent="0.75">
      <c r="A25" s="27">
        <v>0</v>
      </c>
      <c r="B25" s="27">
        <f>'Base-1'!A32</f>
        <v>26</v>
      </c>
      <c r="C25" s="27" t="e">
        <f>'Base-1'!#REF!</f>
        <v>#REF!</v>
      </c>
      <c r="D25" s="27"/>
      <c r="G25" s="26" t="b">
        <f t="shared" si="1"/>
        <v>0</v>
      </c>
      <c r="H25" s="1" t="str">
        <f t="shared" si="2"/>
        <v/>
      </c>
      <c r="I25" s="1" t="str">
        <f t="shared" si="3"/>
        <v/>
      </c>
      <c r="J25" s="1" t="str">
        <f t="shared" si="4"/>
        <v/>
      </c>
      <c r="M25" s="26" t="e">
        <f t="shared" si="0"/>
        <v>#REF!</v>
      </c>
    </row>
    <row r="26" spans="1:13" x14ac:dyDescent="0.75">
      <c r="A26" s="27">
        <v>0</v>
      </c>
      <c r="B26" s="27">
        <f>'Base-1'!A33</f>
        <v>27</v>
      </c>
      <c r="C26" s="27" t="str">
        <f>'Base-1'!B33</f>
        <v>diagnosis.otherConditions</v>
      </c>
      <c r="D26" s="27"/>
      <c r="G26" s="26" t="b">
        <f t="shared" si="1"/>
        <v>0</v>
      </c>
      <c r="H26" s="1" t="str">
        <f t="shared" si="2"/>
        <v/>
      </c>
      <c r="I26" s="1" t="str">
        <f t="shared" si="3"/>
        <v/>
      </c>
      <c r="J26" s="1" t="str">
        <f t="shared" si="4"/>
        <v/>
      </c>
      <c r="M26" s="26" t="str">
        <f t="shared" si="0"/>
        <v>* diagnosis.otherConditions -&gt; ""</v>
      </c>
    </row>
    <row r="27" spans="1:13" s="26" customFormat="1" x14ac:dyDescent="0.75">
      <c r="A27" s="53">
        <v>0</v>
      </c>
      <c r="B27" s="53">
        <f>B28</f>
        <v>0</v>
      </c>
      <c r="C27" s="53">
        <f>C28</f>
        <v>0</v>
      </c>
      <c r="D27" s="53"/>
      <c r="G27" s="26" t="b">
        <f t="shared" si="1"/>
        <v>0</v>
      </c>
      <c r="H27" s="1" t="str">
        <f t="shared" si="2"/>
        <v/>
      </c>
      <c r="I27" s="1" t="str">
        <f t="shared" si="3"/>
        <v/>
      </c>
      <c r="J27" s="1" t="str">
        <f t="shared" si="4"/>
        <v/>
      </c>
      <c r="K27" s="1"/>
    </row>
    <row r="28" spans="1:13" x14ac:dyDescent="0.75">
      <c r="A28" s="27">
        <v>1</v>
      </c>
      <c r="B28" s="27">
        <f>'Base-1'!A34</f>
        <v>0</v>
      </c>
      <c r="C28" s="27">
        <f>'Base-1'!B34</f>
        <v>0</v>
      </c>
      <c r="D28" s="27"/>
      <c r="G28" s="26" t="b">
        <f t="shared" si="1"/>
        <v>0</v>
      </c>
      <c r="H28" s="1" t="str">
        <f t="shared" si="2"/>
        <v/>
      </c>
      <c r="I28" s="1" t="str">
        <f t="shared" si="3"/>
        <v/>
      </c>
      <c r="J28" s="1" t="str">
        <f t="shared" si="4"/>
        <v/>
      </c>
      <c r="M28" s="26" t="str">
        <f t="shared" ref="M28:M36" si="5">CONCATENATE("* ",C28," -&gt; """,D28,"""")</f>
        <v>* 0 -&gt; ""</v>
      </c>
    </row>
    <row r="29" spans="1:13" x14ac:dyDescent="0.75">
      <c r="A29" s="27">
        <v>0</v>
      </c>
      <c r="B29" s="27">
        <f>'Base-1'!A35</f>
        <v>0</v>
      </c>
      <c r="C29" s="27">
        <f>'Base-1'!B35</f>
        <v>0</v>
      </c>
      <c r="D29" s="27"/>
      <c r="G29" s="26" t="b">
        <f t="shared" si="1"/>
        <v>0</v>
      </c>
      <c r="H29" s="1" t="str">
        <f t="shared" si="2"/>
        <v/>
      </c>
      <c r="I29" s="1" t="str">
        <f t="shared" si="3"/>
        <v/>
      </c>
      <c r="J29" s="1" t="str">
        <f t="shared" si="4"/>
        <v/>
      </c>
      <c r="M29" s="26" t="str">
        <f t="shared" si="5"/>
        <v>* 0 -&gt; ""</v>
      </c>
    </row>
    <row r="30" spans="1:13" x14ac:dyDescent="0.75">
      <c r="A30" s="27">
        <v>0</v>
      </c>
      <c r="B30" s="27">
        <f>'Base-1'!A36</f>
        <v>0</v>
      </c>
      <c r="C30" s="27">
        <f>'Base-1'!B36</f>
        <v>0</v>
      </c>
      <c r="D30" s="27"/>
      <c r="G30" s="26" t="b">
        <f t="shared" si="1"/>
        <v>0</v>
      </c>
      <c r="H30" s="1" t="str">
        <f t="shared" si="2"/>
        <v/>
      </c>
      <c r="I30" s="1" t="str">
        <f t="shared" si="3"/>
        <v/>
      </c>
      <c r="J30" s="1" t="str">
        <f t="shared" si="4"/>
        <v/>
      </c>
      <c r="M30" s="26" t="str">
        <f t="shared" si="5"/>
        <v>* 0 -&gt; ""</v>
      </c>
    </row>
    <row r="31" spans="1:13" x14ac:dyDescent="0.75">
      <c r="A31" s="27">
        <v>0</v>
      </c>
      <c r="B31" s="27" t="e">
        <f>'Base-1'!#REF!</f>
        <v>#REF!</v>
      </c>
      <c r="C31" s="27" t="e">
        <f>'Base-1'!#REF!</f>
        <v>#REF!</v>
      </c>
      <c r="D31" s="27"/>
      <c r="G31" s="26" t="b">
        <f t="shared" si="1"/>
        <v>0</v>
      </c>
      <c r="H31" s="1" t="str">
        <f t="shared" si="2"/>
        <v/>
      </c>
      <c r="I31" s="1" t="str">
        <f t="shared" si="3"/>
        <v/>
      </c>
      <c r="J31" s="1" t="str">
        <f t="shared" si="4"/>
        <v/>
      </c>
      <c r="M31" s="26" t="e">
        <f t="shared" si="5"/>
        <v>#REF!</v>
      </c>
    </row>
    <row r="32" spans="1:13" x14ac:dyDescent="0.75">
      <c r="A32" s="27">
        <v>0</v>
      </c>
      <c r="B32" s="27" t="e">
        <f>'Base-1'!#REF!</f>
        <v>#REF!</v>
      </c>
      <c r="C32" s="27" t="e">
        <f>'Base-1'!#REF!</f>
        <v>#REF!</v>
      </c>
      <c r="D32" s="27"/>
      <c r="G32" s="26" t="b">
        <f t="shared" si="1"/>
        <v>0</v>
      </c>
      <c r="H32" s="1" t="str">
        <f t="shared" si="2"/>
        <v/>
      </c>
      <c r="I32" s="1" t="str">
        <f t="shared" si="3"/>
        <v/>
      </c>
      <c r="J32" s="1" t="str">
        <f t="shared" si="4"/>
        <v/>
      </c>
      <c r="M32" s="26" t="e">
        <f t="shared" si="5"/>
        <v>#REF!</v>
      </c>
    </row>
    <row r="33" spans="1:13" x14ac:dyDescent="0.75">
      <c r="A33" s="27">
        <v>0</v>
      </c>
      <c r="B33" s="27" t="e">
        <f>'Base-1'!#REF!</f>
        <v>#REF!</v>
      </c>
      <c r="C33" s="27" t="e">
        <f>'Base-1'!#REF!</f>
        <v>#REF!</v>
      </c>
      <c r="D33" s="27"/>
      <c r="G33" s="26" t="b">
        <f t="shared" si="1"/>
        <v>0</v>
      </c>
      <c r="H33" s="1" t="str">
        <f t="shared" si="2"/>
        <v/>
      </c>
      <c r="I33" s="1" t="str">
        <f t="shared" si="3"/>
        <v/>
      </c>
      <c r="J33" s="1" t="str">
        <f t="shared" si="4"/>
        <v/>
      </c>
      <c r="M33" s="26" t="e">
        <f t="shared" si="5"/>
        <v>#REF!</v>
      </c>
    </row>
    <row r="34" spans="1:13" x14ac:dyDescent="0.75">
      <c r="A34" s="27">
        <v>0</v>
      </c>
      <c r="B34" s="27" t="e">
        <f>'Base-1'!#REF!</f>
        <v>#REF!</v>
      </c>
      <c r="C34" s="27" t="e">
        <f>'Base-1'!#REF!</f>
        <v>#REF!</v>
      </c>
      <c r="D34" s="27"/>
      <c r="G34" s="26" t="b">
        <f t="shared" si="1"/>
        <v>0</v>
      </c>
      <c r="H34" s="1" t="str">
        <f t="shared" si="2"/>
        <v/>
      </c>
      <c r="I34" s="1" t="str">
        <f t="shared" si="3"/>
        <v/>
      </c>
      <c r="J34" s="1" t="str">
        <f t="shared" si="4"/>
        <v/>
      </c>
      <c r="M34" s="26" t="e">
        <f t="shared" si="5"/>
        <v>#REF!</v>
      </c>
    </row>
    <row r="35" spans="1:13" x14ac:dyDescent="0.75">
      <c r="A35" s="27">
        <v>0</v>
      </c>
      <c r="B35" s="27" t="e">
        <f>'Base-1'!#REF!</f>
        <v>#REF!</v>
      </c>
      <c r="C35" s="27" t="e">
        <f>'Base-1'!#REF!</f>
        <v>#REF!</v>
      </c>
      <c r="D35" s="27"/>
      <c r="G35" s="26" t="b">
        <f t="shared" si="1"/>
        <v>0</v>
      </c>
      <c r="H35" s="1" t="str">
        <f t="shared" si="2"/>
        <v/>
      </c>
      <c r="I35" s="1" t="str">
        <f t="shared" si="3"/>
        <v/>
      </c>
      <c r="J35" s="1" t="str">
        <f t="shared" si="4"/>
        <v/>
      </c>
      <c r="M35" s="26" t="e">
        <f t="shared" si="5"/>
        <v>#REF!</v>
      </c>
    </row>
    <row r="36" spans="1:13" x14ac:dyDescent="0.75">
      <c r="A36" s="27">
        <v>0</v>
      </c>
      <c r="B36" s="27" t="e">
        <f>'Base-1'!#REF!</f>
        <v>#REF!</v>
      </c>
      <c r="C36" s="27" t="e">
        <f>'Base-1'!#REF!</f>
        <v>#REF!</v>
      </c>
      <c r="D36" s="27"/>
      <c r="G36" s="26" t="b">
        <f t="shared" si="1"/>
        <v>0</v>
      </c>
      <c r="H36" s="1" t="str">
        <f t="shared" si="2"/>
        <v/>
      </c>
      <c r="I36" s="1" t="str">
        <f t="shared" si="3"/>
        <v/>
      </c>
      <c r="J36" s="1" t="str">
        <f t="shared" si="4"/>
        <v/>
      </c>
      <c r="M36" s="26" t="e">
        <f t="shared" si="5"/>
        <v>#REF!</v>
      </c>
    </row>
    <row r="37" spans="1:13" x14ac:dyDescent="0.75">
      <c r="A37" s="27">
        <v>0</v>
      </c>
      <c r="B37" s="27" t="e">
        <f>'Base-1'!#REF!</f>
        <v>#REF!</v>
      </c>
      <c r="C37" s="27" t="e">
        <f>'Base-1'!#REF!</f>
        <v>#REF!</v>
      </c>
      <c r="D37" s="27"/>
      <c r="G37" s="26" t="b">
        <f t="shared" si="1"/>
        <v>0</v>
      </c>
      <c r="H37" s="1" t="str">
        <f t="shared" si="2"/>
        <v/>
      </c>
      <c r="I37" s="1" t="str">
        <f t="shared" si="3"/>
        <v/>
      </c>
      <c r="J37" s="1" t="str">
        <f t="shared" si="4"/>
        <v/>
      </c>
    </row>
    <row r="38" spans="1:13" x14ac:dyDescent="0.75">
      <c r="A38" s="27"/>
      <c r="B38" s="27"/>
      <c r="C38" s="27"/>
      <c r="D38" s="27"/>
      <c r="G38" s="26" t="b">
        <f t="shared" si="1"/>
        <v>0</v>
      </c>
      <c r="H38" s="1" t="str">
        <f t="shared" si="2"/>
        <v/>
      </c>
      <c r="I38" s="1" t="str">
        <f t="shared" si="3"/>
        <v/>
      </c>
      <c r="J38" s="1" t="str">
        <f t="shared" si="4"/>
        <v/>
      </c>
    </row>
    <row r="39" spans="1:13" x14ac:dyDescent="0.75">
      <c r="A39" s="27"/>
      <c r="B39" s="27"/>
      <c r="C39" s="27"/>
      <c r="D39" s="27"/>
      <c r="G39" s="26" t="b">
        <f t="shared" si="1"/>
        <v>0</v>
      </c>
      <c r="H39" s="1" t="str">
        <f t="shared" si="2"/>
        <v/>
      </c>
      <c r="I39" s="1" t="str">
        <f t="shared" si="3"/>
        <v/>
      </c>
      <c r="J39" s="1" t="str">
        <f t="shared" si="4"/>
        <v/>
      </c>
    </row>
    <row r="40" spans="1:13" x14ac:dyDescent="0.75">
      <c r="B40" s="26" t="e">
        <f>'Base-1'!#REF!</f>
        <v>#REF!</v>
      </c>
      <c r="C40" s="26"/>
      <c r="G40" s="26" t="b">
        <f t="shared" si="1"/>
        <v>0</v>
      </c>
      <c r="H40" s="1" t="str">
        <f t="shared" si="2"/>
        <v/>
      </c>
      <c r="I40" s="1" t="str">
        <f t="shared" si="3"/>
        <v/>
      </c>
      <c r="J40" s="1" t="str">
        <f t="shared" si="4"/>
        <v/>
      </c>
    </row>
    <row r="41" spans="1:13" x14ac:dyDescent="0.75">
      <c r="B41" s="26" t="e">
        <f>'Base-1'!#REF!</f>
        <v>#REF!</v>
      </c>
      <c r="C41" s="26" t="str">
        <f>'Base-1'!C15</f>
        <v>Date of first elective end of treatment</v>
      </c>
      <c r="G41" s="26" t="b">
        <f t="shared" si="1"/>
        <v>0</v>
      </c>
      <c r="H41" s="1" t="str">
        <f t="shared" si="2"/>
        <v/>
      </c>
      <c r="I41" s="1" t="str">
        <f t="shared" si="3"/>
        <v/>
      </c>
      <c r="J41" s="1" t="str">
        <f t="shared" si="4"/>
        <v/>
      </c>
    </row>
    <row r="42" spans="1:13" x14ac:dyDescent="0.75">
      <c r="B42" s="26" t="e">
        <f>'Base-1'!#REF!</f>
        <v>#REF!</v>
      </c>
      <c r="C42" s="26" t="e">
        <f>'Base-1'!#REF!</f>
        <v>#REF!</v>
      </c>
      <c r="G42" s="26" t="b">
        <f t="shared" si="1"/>
        <v>0</v>
      </c>
      <c r="H42" s="1" t="str">
        <f t="shared" si="2"/>
        <v/>
      </c>
      <c r="I42" s="1" t="str">
        <f t="shared" si="3"/>
        <v/>
      </c>
      <c r="J42" s="1" t="str">
        <f t="shared" si="4"/>
        <v/>
      </c>
    </row>
    <row r="43" spans="1:13" x14ac:dyDescent="0.75">
      <c r="B43" s="26" t="e">
        <f>'Base-1'!#REF!</f>
        <v>#REF!</v>
      </c>
      <c r="C43" s="26" t="e">
        <f>'Base-1'!#REF!</f>
        <v>#REF!</v>
      </c>
      <c r="D43" s="47"/>
      <c r="G43" s="26" t="b">
        <f t="shared" si="1"/>
        <v>0</v>
      </c>
      <c r="H43" s="1" t="str">
        <f t="shared" si="2"/>
        <v/>
      </c>
      <c r="I43" s="1" t="str">
        <f t="shared" si="3"/>
        <v/>
      </c>
      <c r="J43" s="1" t="str">
        <f t="shared" si="4"/>
        <v/>
      </c>
    </row>
    <row r="44" spans="1:13" x14ac:dyDescent="0.75">
      <c r="B44" s="26" t="e">
        <f>'Base-1'!#REF!</f>
        <v>#REF!</v>
      </c>
      <c r="C44" s="26" t="e">
        <f>'Base-1'!#REF!</f>
        <v>#REF!</v>
      </c>
      <c r="D44" s="27"/>
      <c r="G44" s="26" t="b">
        <f t="shared" si="1"/>
        <v>0</v>
      </c>
      <c r="H44" s="1" t="str">
        <f t="shared" si="2"/>
        <v/>
      </c>
      <c r="I44" s="1" t="str">
        <f t="shared" si="3"/>
        <v/>
      </c>
      <c r="J44" s="1" t="str">
        <f t="shared" si="4"/>
        <v/>
      </c>
    </row>
    <row r="45" spans="1:13" x14ac:dyDescent="0.75">
      <c r="B45" s="26">
        <f>'Base-1'!A37</f>
        <v>0</v>
      </c>
      <c r="C45" s="26">
        <f>'Base-1'!B37</f>
        <v>0</v>
      </c>
      <c r="D45" s="47"/>
      <c r="G45" s="26" t="b">
        <f t="shared" si="1"/>
        <v>0</v>
      </c>
      <c r="H45" s="1" t="str">
        <f t="shared" si="2"/>
        <v/>
      </c>
      <c r="I45" s="1" t="str">
        <f t="shared" si="3"/>
        <v/>
      </c>
      <c r="J45" s="1" t="str">
        <f t="shared" si="4"/>
        <v/>
      </c>
    </row>
    <row r="46" spans="1:13" x14ac:dyDescent="0.75">
      <c r="B46" s="26">
        <f>'Base-1'!A38</f>
        <v>0</v>
      </c>
      <c r="C46" s="26">
        <f>'Base-1'!B38</f>
        <v>0</v>
      </c>
      <c r="G46" s="26" t="b">
        <f t="shared" si="1"/>
        <v>0</v>
      </c>
      <c r="H46" s="1" t="str">
        <f t="shared" si="2"/>
        <v/>
      </c>
      <c r="I46" s="1" t="str">
        <f t="shared" si="3"/>
        <v/>
      </c>
      <c r="J46" s="1" t="str">
        <f t="shared" si="4"/>
        <v/>
      </c>
    </row>
    <row r="47" spans="1:13" x14ac:dyDescent="0.75">
      <c r="B47" s="26">
        <f>'Base-1'!A39</f>
        <v>0</v>
      </c>
      <c r="C47" s="26">
        <f>'Base-1'!B39</f>
        <v>0</v>
      </c>
      <c r="G47" s="26" t="b">
        <f t="shared" si="1"/>
        <v>0</v>
      </c>
      <c r="H47" s="1" t="str">
        <f t="shared" si="2"/>
        <v/>
      </c>
      <c r="I47" s="1" t="str">
        <f t="shared" si="3"/>
        <v/>
      </c>
      <c r="J47" s="1" t="str">
        <f t="shared" si="4"/>
        <v/>
      </c>
    </row>
    <row r="48" spans="1:13" x14ac:dyDescent="0.75">
      <c r="B48" s="26">
        <f>'Base-1'!A40</f>
        <v>0</v>
      </c>
      <c r="C48" s="26">
        <f>'Base-1'!B40</f>
        <v>0</v>
      </c>
      <c r="G48" s="26" t="b">
        <f t="shared" si="1"/>
        <v>0</v>
      </c>
      <c r="H48" s="1" t="str">
        <f t="shared" si="2"/>
        <v/>
      </c>
      <c r="I48" s="1" t="str">
        <f t="shared" si="3"/>
        <v/>
      </c>
      <c r="J48" s="1" t="str">
        <f t="shared" si="4"/>
        <v/>
      </c>
    </row>
    <row r="49" spans="2:10" x14ac:dyDescent="0.75">
      <c r="B49" s="26">
        <f>'Base-1'!A41</f>
        <v>0</v>
      </c>
      <c r="C49" s="26">
        <f>'Base-1'!B41</f>
        <v>0</v>
      </c>
      <c r="G49" s="26" t="b">
        <f t="shared" si="1"/>
        <v>0</v>
      </c>
      <c r="H49" s="1" t="str">
        <f t="shared" si="2"/>
        <v/>
      </c>
      <c r="I49" s="1" t="str">
        <f t="shared" si="3"/>
        <v/>
      </c>
      <c r="J49" s="1" t="str">
        <f t="shared" si="4"/>
        <v/>
      </c>
    </row>
    <row r="50" spans="2:10" x14ac:dyDescent="0.75">
      <c r="B50" s="26">
        <f>'Base-1'!A42</f>
        <v>0</v>
      </c>
      <c r="C50" s="26">
        <f>'Base-1'!B42</f>
        <v>0</v>
      </c>
      <c r="G50" s="26" t="b">
        <f t="shared" si="1"/>
        <v>0</v>
      </c>
      <c r="H50" s="1" t="str">
        <f t="shared" si="2"/>
        <v/>
      </c>
      <c r="I50" s="1" t="str">
        <f t="shared" si="3"/>
        <v/>
      </c>
      <c r="J50" s="1" t="str">
        <f t="shared" si="4"/>
        <v/>
      </c>
    </row>
    <row r="51" spans="2:10" x14ac:dyDescent="0.75">
      <c r="B51" s="26">
        <f>'Base-1'!A43</f>
        <v>0</v>
      </c>
      <c r="C51" s="26">
        <f>'Base-1'!B43</f>
        <v>0</v>
      </c>
      <c r="G51" s="26" t="b">
        <f t="shared" si="1"/>
        <v>0</v>
      </c>
      <c r="H51" s="1" t="str">
        <f t="shared" si="2"/>
        <v/>
      </c>
      <c r="I51" s="1" t="str">
        <f t="shared" si="3"/>
        <v/>
      </c>
      <c r="J51" s="1" t="str">
        <f t="shared" si="4"/>
        <v/>
      </c>
    </row>
    <row r="52" spans="2:10" x14ac:dyDescent="0.75">
      <c r="B52" s="26">
        <f>'Base-1'!A44</f>
        <v>0</v>
      </c>
      <c r="C52" s="26">
        <f>'Base-1'!B44</f>
        <v>0</v>
      </c>
      <c r="G52" s="26" t="b">
        <f t="shared" si="1"/>
        <v>0</v>
      </c>
      <c r="H52" s="1" t="str">
        <f t="shared" si="2"/>
        <v/>
      </c>
      <c r="I52" s="1" t="str">
        <f t="shared" si="3"/>
        <v/>
      </c>
      <c r="J52" s="1" t="str">
        <f t="shared" si="4"/>
        <v/>
      </c>
    </row>
    <row r="53" spans="2:10" x14ac:dyDescent="0.75">
      <c r="B53" s="26">
        <f>'Base-1'!A45</f>
        <v>0</v>
      </c>
      <c r="C53" s="26">
        <f>'Base-1'!B45</f>
        <v>0</v>
      </c>
      <c r="G53" s="26" t="b">
        <f t="shared" si="1"/>
        <v>0</v>
      </c>
      <c r="H53" s="1" t="str">
        <f t="shared" si="2"/>
        <v/>
      </c>
      <c r="I53" s="1" t="str">
        <f t="shared" si="3"/>
        <v/>
      </c>
      <c r="J53" s="1" t="str">
        <f t="shared" si="4"/>
        <v/>
      </c>
    </row>
    <row r="54" spans="2:10" x14ac:dyDescent="0.75">
      <c r="B54" s="26">
        <f>'Base-1'!A46</f>
        <v>0</v>
      </c>
      <c r="C54" s="26">
        <f>'Base-1'!B46</f>
        <v>0</v>
      </c>
      <c r="G54" s="26" t="b">
        <f t="shared" si="1"/>
        <v>0</v>
      </c>
      <c r="H54" s="1" t="str">
        <f t="shared" si="2"/>
        <v/>
      </c>
      <c r="I54" s="1" t="str">
        <f t="shared" si="3"/>
        <v/>
      </c>
      <c r="J54" s="1" t="str">
        <f t="shared" si="4"/>
        <v/>
      </c>
    </row>
    <row r="55" spans="2:10" x14ac:dyDescent="0.75">
      <c r="B55" s="26">
        <f>'Base-1'!A47</f>
        <v>0</v>
      </c>
      <c r="C55" s="26">
        <f>'Base-1'!B47</f>
        <v>0</v>
      </c>
      <c r="G55" s="26" t="b">
        <f t="shared" si="1"/>
        <v>0</v>
      </c>
      <c r="H55" s="1" t="str">
        <f t="shared" si="2"/>
        <v/>
      </c>
      <c r="I55" s="1" t="str">
        <f t="shared" si="3"/>
        <v/>
      </c>
      <c r="J55" s="1" t="str">
        <f t="shared" si="4"/>
        <v/>
      </c>
    </row>
    <row r="56" spans="2:10" x14ac:dyDescent="0.75">
      <c r="B56" s="26">
        <f>'Base-1'!A48</f>
        <v>0</v>
      </c>
      <c r="C56" s="26">
        <f>'Base-1'!B48</f>
        <v>0</v>
      </c>
      <c r="G56" s="26" t="b">
        <f t="shared" si="1"/>
        <v>0</v>
      </c>
      <c r="H56" s="1" t="str">
        <f t="shared" si="2"/>
        <v/>
      </c>
      <c r="I56" s="1" t="str">
        <f t="shared" si="3"/>
        <v/>
      </c>
      <c r="J56" s="1" t="str">
        <f t="shared" si="4"/>
        <v/>
      </c>
    </row>
    <row r="57" spans="2:10" x14ac:dyDescent="0.75">
      <c r="B57" s="26">
        <f>'Base-1'!A49</f>
        <v>0</v>
      </c>
      <c r="C57" s="26">
        <f>'Base-1'!B49</f>
        <v>0</v>
      </c>
      <c r="G57" s="26" t="b">
        <f t="shared" si="1"/>
        <v>0</v>
      </c>
      <c r="H57" s="1" t="str">
        <f t="shared" si="2"/>
        <v/>
      </c>
      <c r="I57" s="1" t="str">
        <f t="shared" si="3"/>
        <v/>
      </c>
      <c r="J57" s="1" t="str">
        <f t="shared" si="4"/>
        <v/>
      </c>
    </row>
    <row r="58" spans="2:10" x14ac:dyDescent="0.75">
      <c r="B58" s="26">
        <f>'Base-1'!A50</f>
        <v>0</v>
      </c>
      <c r="C58" s="26">
        <f>'Base-1'!B50</f>
        <v>0</v>
      </c>
      <c r="G58" s="26" t="b">
        <f t="shared" si="1"/>
        <v>0</v>
      </c>
      <c r="H58" s="1" t="str">
        <f t="shared" si="2"/>
        <v/>
      </c>
      <c r="I58" s="1" t="str">
        <f t="shared" si="3"/>
        <v/>
      </c>
      <c r="J58" s="1" t="str">
        <f t="shared" si="4"/>
        <v/>
      </c>
    </row>
    <row r="59" spans="2:10" x14ac:dyDescent="0.75">
      <c r="B59" s="26">
        <f>'Base-1'!A51</f>
        <v>0</v>
      </c>
      <c r="C59" s="26">
        <f>'Base-1'!B51</f>
        <v>0</v>
      </c>
      <c r="G59" s="26" t="b">
        <f t="shared" si="1"/>
        <v>0</v>
      </c>
      <c r="H59" s="1" t="str">
        <f t="shared" si="2"/>
        <v/>
      </c>
      <c r="I59" s="1" t="str">
        <f t="shared" si="3"/>
        <v/>
      </c>
      <c r="J59" s="1" t="str">
        <f t="shared" si="4"/>
        <v/>
      </c>
    </row>
    <row r="60" spans="2:10" x14ac:dyDescent="0.75">
      <c r="B60" s="26">
        <f>'Base-1'!A52</f>
        <v>0</v>
      </c>
      <c r="C60" s="26">
        <f>'Base-1'!B52</f>
        <v>0</v>
      </c>
    </row>
    <row r="61" spans="2:10" x14ac:dyDescent="0.75">
      <c r="B61" s="26">
        <f>'Base-1'!A53</f>
        <v>0</v>
      </c>
      <c r="C61" s="26">
        <f>'Base-1'!B53</f>
        <v>0</v>
      </c>
    </row>
    <row r="62" spans="2:10" x14ac:dyDescent="0.75">
      <c r="B62" s="26">
        <f>'Base-1'!A54</f>
        <v>0</v>
      </c>
      <c r="C62" s="26">
        <f>'Base-1'!B54</f>
        <v>0</v>
      </c>
    </row>
    <row r="63" spans="2:10" x14ac:dyDescent="0.75">
      <c r="B63" s="26">
        <f>'Base-1'!A55</f>
        <v>0</v>
      </c>
      <c r="C63" s="26">
        <f>'Base-1'!B55</f>
        <v>0</v>
      </c>
    </row>
    <row r="64" spans="2:10" x14ac:dyDescent="0.75">
      <c r="B64" s="26">
        <f>'Base-1'!A56</f>
        <v>0</v>
      </c>
      <c r="C64" s="26">
        <f>'Base-1'!B56</f>
        <v>0</v>
      </c>
    </row>
    <row r="65" spans="2:3" x14ac:dyDescent="0.75">
      <c r="B65" s="26">
        <f>'Base-1'!A57</f>
        <v>0</v>
      </c>
      <c r="C65" s="26">
        <f>'Base-1'!B57</f>
        <v>0</v>
      </c>
    </row>
    <row r="66" spans="2:3" x14ac:dyDescent="0.75">
      <c r="B66" s="26">
        <f>'Base-1'!A58</f>
        <v>0</v>
      </c>
      <c r="C66" s="26">
        <f>'Base-1'!B58</f>
        <v>0</v>
      </c>
    </row>
    <row r="67" spans="2:3" x14ac:dyDescent="0.75">
      <c r="B67" s="26">
        <f>'Base-1'!A59</f>
        <v>0</v>
      </c>
      <c r="C67" s="26">
        <f>'Base-1'!B59</f>
        <v>0</v>
      </c>
    </row>
    <row r="68" spans="2:3" x14ac:dyDescent="0.75">
      <c r="B68" s="26">
        <f>'Base-1'!A60</f>
        <v>0</v>
      </c>
      <c r="C68" s="26">
        <f>'Base-1'!B60</f>
        <v>0</v>
      </c>
    </row>
    <row r="69" spans="2:3" x14ac:dyDescent="0.75">
      <c r="B69" s="26">
        <f>'Base-1'!A61</f>
        <v>0</v>
      </c>
      <c r="C69" s="26">
        <f>'Base-1'!B61</f>
        <v>0</v>
      </c>
    </row>
    <row r="70" spans="2:3" x14ac:dyDescent="0.75">
      <c r="B70" s="26">
        <f>'Base-1'!A62</f>
        <v>0</v>
      </c>
      <c r="C70" s="26">
        <f>'Base-1'!B62</f>
        <v>0</v>
      </c>
    </row>
    <row r="71" spans="2:3" x14ac:dyDescent="0.75">
      <c r="B71" s="26">
        <f>'Base-1'!A63</f>
        <v>0</v>
      </c>
      <c r="C71" s="26">
        <f>'Base-1'!B63</f>
        <v>0</v>
      </c>
    </row>
    <row r="72" spans="2:3" x14ac:dyDescent="0.75">
      <c r="B72" s="26">
        <f>'Base-1'!A64</f>
        <v>0</v>
      </c>
      <c r="C72" s="26">
        <f>'Base-1'!B64</f>
        <v>0</v>
      </c>
    </row>
    <row r="73" spans="2:3" x14ac:dyDescent="0.75">
      <c r="B73" s="26">
        <f>'Base-1'!A65</f>
        <v>0</v>
      </c>
      <c r="C73" s="26">
        <f>'Base-1'!B65</f>
        <v>0</v>
      </c>
    </row>
    <row r="74" spans="2:3" x14ac:dyDescent="0.75">
      <c r="B74" s="26">
        <f>'Base-1'!A66</f>
        <v>0</v>
      </c>
      <c r="C74" s="26">
        <f>'Base-1'!B66</f>
        <v>0</v>
      </c>
    </row>
    <row r="75" spans="2:3" x14ac:dyDescent="0.75">
      <c r="B75" s="26">
        <f>'Base-1'!A67</f>
        <v>0</v>
      </c>
      <c r="C75" s="26">
        <f>'Base-1'!B67</f>
        <v>0</v>
      </c>
    </row>
    <row r="76" spans="2:3" x14ac:dyDescent="0.75">
      <c r="B76" s="26">
        <f>'Base-1'!A68</f>
        <v>0</v>
      </c>
      <c r="C76" s="26">
        <f>'Base-1'!B68</f>
        <v>0</v>
      </c>
    </row>
    <row r="77" spans="2:3" x14ac:dyDescent="0.75">
      <c r="B77" s="26">
        <f>'Base-1'!A69</f>
        <v>0</v>
      </c>
      <c r="C77" s="26">
        <f>'Base-1'!B69</f>
        <v>0</v>
      </c>
    </row>
    <row r="78" spans="2:3" x14ac:dyDescent="0.75">
      <c r="B78" s="26">
        <f>'Base-1'!A70</f>
        <v>0</v>
      </c>
      <c r="C78" s="26">
        <f>'Base-1'!B70</f>
        <v>0</v>
      </c>
    </row>
    <row r="79" spans="2:3" x14ac:dyDescent="0.75">
      <c r="B79" s="26">
        <f>'Base-1'!A71</f>
        <v>0</v>
      </c>
      <c r="C79" s="26">
        <f>'Base-1'!B71</f>
        <v>0</v>
      </c>
    </row>
    <row r="80" spans="2:3" x14ac:dyDescent="0.75">
      <c r="B80" s="26">
        <f>'Base-1'!A72</f>
        <v>0</v>
      </c>
      <c r="C80" s="26">
        <f>'Base-1'!B72</f>
        <v>0</v>
      </c>
    </row>
    <row r="81" spans="2:3" x14ac:dyDescent="0.75">
      <c r="B81" s="26">
        <f>'Base-1'!A73</f>
        <v>0</v>
      </c>
      <c r="C81" s="26">
        <f>'Base-1'!B73</f>
        <v>0</v>
      </c>
    </row>
    <row r="82" spans="2:3" x14ac:dyDescent="0.75">
      <c r="B82" s="26">
        <f>'Base-1'!A74</f>
        <v>0</v>
      </c>
      <c r="C82" s="26">
        <f>'Base-1'!B74</f>
        <v>0</v>
      </c>
    </row>
    <row r="83" spans="2:3" x14ac:dyDescent="0.75">
      <c r="B83" s="26">
        <f>'Base-1'!A75</f>
        <v>0</v>
      </c>
      <c r="C83" s="26">
        <f>'Base-1'!B75</f>
        <v>0</v>
      </c>
    </row>
    <row r="84" spans="2:3" x14ac:dyDescent="0.75">
      <c r="B84" s="26">
        <f>'Base-1'!A76</f>
        <v>0</v>
      </c>
      <c r="C84" s="26">
        <f>'Base-1'!B76</f>
        <v>0</v>
      </c>
    </row>
    <row r="85" spans="2:3" x14ac:dyDescent="0.75">
      <c r="B85" s="26">
        <f>'Base-1'!A77</f>
        <v>0</v>
      </c>
      <c r="C85" s="26">
        <f>'Base-1'!B77</f>
        <v>0</v>
      </c>
    </row>
    <row r="86" spans="2:3" x14ac:dyDescent="0.75">
      <c r="B86" s="26">
        <f>'Base-1'!A78</f>
        <v>0</v>
      </c>
      <c r="C86" s="26">
        <f>'Base-1'!B78</f>
        <v>0</v>
      </c>
    </row>
    <row r="87" spans="2:3" x14ac:dyDescent="0.75">
      <c r="B87" s="26">
        <f>'Base-1'!A79</f>
        <v>0</v>
      </c>
      <c r="C87" s="26">
        <f>'Base-1'!B79</f>
        <v>0</v>
      </c>
    </row>
    <row r="88" spans="2:3" x14ac:dyDescent="0.75">
      <c r="B88" s="26">
        <f>'Base-1'!A80</f>
        <v>0</v>
      </c>
      <c r="C88" s="26">
        <f>'Base-1'!B80</f>
        <v>0</v>
      </c>
    </row>
    <row r="89" spans="2:3" x14ac:dyDescent="0.75">
      <c r="B89" s="26">
        <f>'Base-1'!A81</f>
        <v>0</v>
      </c>
      <c r="C89" s="26">
        <f>'Base-1'!B81</f>
        <v>0</v>
      </c>
    </row>
    <row r="90" spans="2:3" x14ac:dyDescent="0.75">
      <c r="B90" s="26">
        <f>'Base-1'!A82</f>
        <v>0</v>
      </c>
      <c r="C90" s="26">
        <f>'Base-1'!B82</f>
        <v>0</v>
      </c>
    </row>
    <row r="91" spans="2:3" x14ac:dyDescent="0.75">
      <c r="B91" s="26">
        <f>'Base-1'!A83</f>
        <v>0</v>
      </c>
      <c r="C91" s="26">
        <f>'Base-1'!B83</f>
        <v>0</v>
      </c>
    </row>
    <row r="92" spans="2:3" x14ac:dyDescent="0.75">
      <c r="B92" s="26">
        <f>'Base-1'!A84</f>
        <v>0</v>
      </c>
      <c r="C92" s="26">
        <f>'Base-1'!B84</f>
        <v>0</v>
      </c>
    </row>
    <row r="93" spans="2:3" x14ac:dyDescent="0.75">
      <c r="B93" s="26">
        <f>'Base-1'!A85</f>
        <v>0</v>
      </c>
      <c r="C93" s="26">
        <f>'Base-1'!B85</f>
        <v>0</v>
      </c>
    </row>
    <row r="94" spans="2:3" x14ac:dyDescent="0.75">
      <c r="B94" s="26">
        <f>'Base-1'!A86</f>
        <v>0</v>
      </c>
      <c r="C94" s="26">
        <f>'Base-1'!B86</f>
        <v>0</v>
      </c>
    </row>
    <row r="95" spans="2:3" x14ac:dyDescent="0.75">
      <c r="B95" s="26">
        <f>'Base-1'!A87</f>
        <v>0</v>
      </c>
      <c r="C95" s="26">
        <f>'Base-1'!B87</f>
        <v>0</v>
      </c>
    </row>
    <row r="96" spans="2:3" x14ac:dyDescent="0.75">
      <c r="B96" s="26">
        <f>'Base-1'!A88</f>
        <v>0</v>
      </c>
      <c r="C96" s="26">
        <f>'Base-1'!B88</f>
        <v>0</v>
      </c>
    </row>
    <row r="97" spans="2:3" x14ac:dyDescent="0.75">
      <c r="B97" s="26">
        <f>'Base-1'!A89</f>
        <v>0</v>
      </c>
      <c r="C97" s="26">
        <f>'Base-1'!B89</f>
        <v>0</v>
      </c>
    </row>
    <row r="98" spans="2:3" x14ac:dyDescent="0.75">
      <c r="B98" s="26">
        <f>'Base-1'!A90</f>
        <v>0</v>
      </c>
      <c r="C98" s="26">
        <f>'Base-1'!B90</f>
        <v>0</v>
      </c>
    </row>
    <row r="99" spans="2:3" x14ac:dyDescent="0.75">
      <c r="B99" s="26">
        <f>'Base-1'!A91</f>
        <v>0</v>
      </c>
      <c r="C99" s="26">
        <f>'Base-1'!B91</f>
        <v>0</v>
      </c>
    </row>
  </sheetData>
  <hyperlinks>
    <hyperlink ref="G2" r:id="rId1" xr:uid="{6B2A36D6-4824-4836-890D-0C1B2479E2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8CE4-585D-45F5-8F1E-49404434A65B}">
  <sheetPr codeName="Foglio5"/>
  <dimension ref="A2:G393"/>
  <sheetViews>
    <sheetView workbookViewId="0">
      <selection activeCell="D3" sqref="D3"/>
    </sheetView>
  </sheetViews>
  <sheetFormatPr defaultRowHeight="14.75" x14ac:dyDescent="0.75"/>
  <cols>
    <col min="1" max="3" width="8.7265625" style="26"/>
    <col min="4" max="4" width="130.81640625" style="26" customWidth="1"/>
    <col min="5" max="5" width="19.86328125" style="26" customWidth="1"/>
    <col min="6" max="6" width="8.7265625" style="26"/>
    <col min="7" max="7" width="69.36328125" style="26" customWidth="1"/>
    <col min="8" max="16384" width="8.7265625" style="26"/>
  </cols>
  <sheetData>
    <row r="2" spans="1:4" x14ac:dyDescent="0.75">
      <c r="D2" s="8"/>
    </row>
    <row r="3" spans="1:4" x14ac:dyDescent="0.75">
      <c r="A3" s="27">
        <v>1</v>
      </c>
      <c r="B3" s="27">
        <f>IF(MOD(A3,3)=0,A3/3-1,INT(A3/3))</f>
        <v>0</v>
      </c>
      <c r="C3" s="27">
        <f>IF(MOD(A3,3)=0,3,MOD(A3,3))</f>
        <v>1</v>
      </c>
      <c r="D3" s="26" t="str" cm="1">
        <f t="array" ref="D3">INDEX('BaseMap-1'!$H$8:$J$94,1+B3,C3)</f>
        <v/>
      </c>
    </row>
    <row r="4" spans="1:4" x14ac:dyDescent="0.75">
      <c r="A4" s="27">
        <v>2</v>
      </c>
      <c r="B4" s="27">
        <f t="shared" ref="B4:B67" si="0">IF(MOD(A4,3)=0,A4/3-1,INT(A4/3))</f>
        <v>0</v>
      </c>
      <c r="C4" s="27">
        <f t="shared" ref="C4:C67" si="1">IF(MOD(A4,3)=0,3,MOD(A4,3))</f>
        <v>2</v>
      </c>
      <c r="D4" s="26" t="str" cm="1">
        <f t="array" ref="D4">INDEX('BaseMap-1'!$H$8:$J$94,1+B4,C4)</f>
        <v/>
      </c>
    </row>
    <row r="5" spans="1:4" x14ac:dyDescent="0.75">
      <c r="A5" s="27">
        <v>3</v>
      </c>
      <c r="B5" s="27">
        <f t="shared" si="0"/>
        <v>0</v>
      </c>
      <c r="C5" s="27">
        <f t="shared" si="1"/>
        <v>3</v>
      </c>
      <c r="D5" s="26" t="str" cm="1">
        <f t="array" ref="D5">INDEX('BaseMap-1'!$H$8:$J$94,1+B5,C5)</f>
        <v>* differential.element[1].mapping[0].comment = "note"</v>
      </c>
    </row>
    <row r="6" spans="1:4" x14ac:dyDescent="0.75">
      <c r="A6" s="27">
        <v>4</v>
      </c>
      <c r="B6" s="27">
        <f t="shared" si="0"/>
        <v>1</v>
      </c>
      <c r="C6" s="27">
        <f t="shared" si="1"/>
        <v>1</v>
      </c>
      <c r="D6" s="26" t="str" cm="1">
        <f t="array" ref="D6">INDEX('BaseMap-1'!$H$8:$J$94,1+B6,C6)</f>
        <v/>
      </c>
    </row>
    <row r="7" spans="1:4" x14ac:dyDescent="0.75">
      <c r="A7" s="27">
        <v>5</v>
      </c>
      <c r="B7" s="27">
        <f t="shared" si="0"/>
        <v>1</v>
      </c>
      <c r="C7" s="27">
        <f t="shared" si="1"/>
        <v>2</v>
      </c>
      <c r="D7" s="26" t="str" cm="1">
        <f t="array" ref="D7">INDEX('BaseMap-1'!$H$8:$J$94,1+B7,C7)</f>
        <v/>
      </c>
    </row>
    <row r="8" spans="1:4" x14ac:dyDescent="0.75">
      <c r="A8" s="27">
        <v>6</v>
      </c>
      <c r="B8" s="27">
        <f t="shared" si="0"/>
        <v>1</v>
      </c>
      <c r="C8" s="27">
        <f t="shared" si="1"/>
        <v>3</v>
      </c>
      <c r="D8" s="26" t="str" cm="1">
        <f t="array" ref="D8">INDEX('BaseMap-1'!$H$8:$J$94,1+B8,C8)</f>
        <v/>
      </c>
    </row>
    <row r="9" spans="1:4" x14ac:dyDescent="0.75">
      <c r="A9" s="27">
        <v>7</v>
      </c>
      <c r="B9" s="27">
        <f t="shared" si="0"/>
        <v>2</v>
      </c>
      <c r="C9" s="27">
        <f t="shared" si="1"/>
        <v>1</v>
      </c>
      <c r="D9" s="26" t="str" cm="1">
        <f t="array" ref="D9">INDEX('BaseMap-1'!$H$8:$J$94,1+B9,C9)</f>
        <v/>
      </c>
    </row>
    <row r="10" spans="1:4" x14ac:dyDescent="0.75">
      <c r="A10" s="27">
        <v>8</v>
      </c>
      <c r="B10" s="27">
        <f t="shared" si="0"/>
        <v>2</v>
      </c>
      <c r="C10" s="27">
        <f t="shared" si="1"/>
        <v>2</v>
      </c>
      <c r="D10" s="26" t="str" cm="1">
        <f t="array" ref="D10">INDEX('BaseMap-1'!$H$8:$J$94,1+B10,C10)</f>
        <v/>
      </c>
    </row>
    <row r="11" spans="1:4" x14ac:dyDescent="0.75">
      <c r="A11" s="27">
        <v>9</v>
      </c>
      <c r="B11" s="27">
        <f t="shared" si="0"/>
        <v>2</v>
      </c>
      <c r="C11" s="27">
        <f t="shared" si="1"/>
        <v>3</v>
      </c>
      <c r="D11" s="26" t="str" cm="1">
        <f t="array" ref="D11">INDEX('BaseMap-1'!$H$8:$J$94,1+B11,C11)</f>
        <v/>
      </c>
    </row>
    <row r="12" spans="1:4" x14ac:dyDescent="0.75">
      <c r="A12" s="27">
        <v>10</v>
      </c>
      <c r="B12" s="27">
        <f t="shared" si="0"/>
        <v>3</v>
      </c>
      <c r="C12" s="27">
        <f t="shared" si="1"/>
        <v>1</v>
      </c>
      <c r="D12" s="26" t="str" cm="1">
        <f t="array" ref="D12">INDEX('BaseMap-1'!$H$8:$J$94,1+B12,C12)</f>
        <v/>
      </c>
    </row>
    <row r="13" spans="1:4" x14ac:dyDescent="0.75">
      <c r="A13" s="27">
        <v>11</v>
      </c>
      <c r="B13" s="27">
        <f t="shared" si="0"/>
        <v>3</v>
      </c>
      <c r="C13" s="27">
        <f t="shared" si="1"/>
        <v>2</v>
      </c>
      <c r="D13" s="26" t="str" cm="1">
        <f t="array" ref="D13">INDEX('BaseMap-1'!$H$8:$J$94,1+B13,C13)</f>
        <v/>
      </c>
    </row>
    <row r="14" spans="1:4" x14ac:dyDescent="0.75">
      <c r="A14" s="27">
        <v>12</v>
      </c>
      <c r="B14" s="27">
        <f t="shared" si="0"/>
        <v>3</v>
      </c>
      <c r="C14" s="27">
        <f t="shared" si="1"/>
        <v>3</v>
      </c>
      <c r="D14" s="26" t="str" cm="1">
        <f t="array" ref="D14">INDEX('BaseMap-1'!$H$8:$J$94,1+B14,C14)</f>
        <v/>
      </c>
    </row>
    <row r="15" spans="1:4" x14ac:dyDescent="0.75">
      <c r="A15" s="27">
        <v>13</v>
      </c>
      <c r="B15" s="27">
        <f t="shared" si="0"/>
        <v>4</v>
      </c>
      <c r="C15" s="27">
        <f t="shared" si="1"/>
        <v>1</v>
      </c>
      <c r="D15" s="26" t="str" cm="1">
        <f t="array" ref="D15">INDEX('BaseMap-1'!$H$8:$J$94,1+B15,C15)</f>
        <v/>
      </c>
    </row>
    <row r="16" spans="1:4" x14ac:dyDescent="0.75">
      <c r="A16" s="27">
        <v>14</v>
      </c>
      <c r="B16" s="27">
        <f t="shared" si="0"/>
        <v>4</v>
      </c>
      <c r="C16" s="27">
        <f t="shared" si="1"/>
        <v>2</v>
      </c>
      <c r="D16" s="26" t="str" cm="1">
        <f t="array" ref="D16">INDEX('BaseMap-1'!$H$8:$J$94,1+B16,C16)</f>
        <v/>
      </c>
    </row>
    <row r="17" spans="1:4" x14ac:dyDescent="0.75">
      <c r="A17" s="27">
        <v>15</v>
      </c>
      <c r="B17" s="27">
        <f t="shared" si="0"/>
        <v>4</v>
      </c>
      <c r="C17" s="27">
        <f t="shared" si="1"/>
        <v>3</v>
      </c>
      <c r="D17" s="26" t="str" cm="1">
        <f t="array" ref="D17">INDEX('BaseMap-1'!$H$8:$J$94,1+B17,C17)</f>
        <v/>
      </c>
    </row>
    <row r="18" spans="1:4" x14ac:dyDescent="0.75">
      <c r="A18" s="27">
        <v>16</v>
      </c>
      <c r="B18" s="27">
        <f t="shared" si="0"/>
        <v>5</v>
      </c>
      <c r="C18" s="27">
        <f t="shared" si="1"/>
        <v>1</v>
      </c>
      <c r="D18" s="26" t="str" cm="1">
        <f t="array" ref="D18">INDEX('BaseMap-1'!$H$8:$J$94,1+B18,C18)</f>
        <v/>
      </c>
    </row>
    <row r="19" spans="1:4" x14ac:dyDescent="0.75">
      <c r="A19" s="27">
        <v>17</v>
      </c>
      <c r="B19" s="27">
        <f t="shared" si="0"/>
        <v>5</v>
      </c>
      <c r="C19" s="27">
        <f t="shared" si="1"/>
        <v>2</v>
      </c>
      <c r="D19" s="26" t="str" cm="1">
        <f t="array" ref="D19">INDEX('BaseMap-1'!$H$8:$J$94,1+B19,C19)</f>
        <v/>
      </c>
    </row>
    <row r="20" spans="1:4" x14ac:dyDescent="0.75">
      <c r="A20" s="27">
        <v>18</v>
      </c>
      <c r="B20" s="27">
        <f t="shared" si="0"/>
        <v>5</v>
      </c>
      <c r="C20" s="27">
        <f t="shared" si="1"/>
        <v>3</v>
      </c>
      <c r="D20" s="26" t="str" cm="1">
        <f t="array" ref="D20">INDEX('BaseMap-1'!$H$8:$J$94,1+B20,C20)</f>
        <v/>
      </c>
    </row>
    <row r="21" spans="1:4" x14ac:dyDescent="0.75">
      <c r="A21" s="27">
        <v>19</v>
      </c>
      <c r="B21" s="27">
        <f t="shared" si="0"/>
        <v>6</v>
      </c>
      <c r="C21" s="27">
        <f t="shared" si="1"/>
        <v>1</v>
      </c>
      <c r="D21" s="26" t="str" cm="1">
        <f t="array" ref="D21">INDEX('BaseMap-1'!$H$8:$J$94,1+B21,C21)</f>
        <v/>
      </c>
    </row>
    <row r="22" spans="1:4" x14ac:dyDescent="0.75">
      <c r="A22" s="27">
        <v>20</v>
      </c>
      <c r="B22" s="27">
        <f t="shared" si="0"/>
        <v>6</v>
      </c>
      <c r="C22" s="27">
        <f t="shared" si="1"/>
        <v>2</v>
      </c>
      <c r="D22" s="26" t="str" cm="1">
        <f t="array" ref="D22">INDEX('BaseMap-1'!$H$8:$J$94,1+B22,C22)</f>
        <v/>
      </c>
    </row>
    <row r="23" spans="1:4" x14ac:dyDescent="0.75">
      <c r="A23" s="27">
        <v>21</v>
      </c>
      <c r="B23" s="27">
        <f t="shared" si="0"/>
        <v>6</v>
      </c>
      <c r="C23" s="27">
        <f t="shared" si="1"/>
        <v>3</v>
      </c>
      <c r="D23" s="26" t="str" cm="1">
        <f t="array" ref="D23">INDEX('BaseMap-1'!$H$8:$J$94,1+B23,C23)</f>
        <v/>
      </c>
    </row>
    <row r="24" spans="1:4" x14ac:dyDescent="0.75">
      <c r="A24" s="27">
        <v>22</v>
      </c>
      <c r="B24" s="27">
        <f t="shared" si="0"/>
        <v>7</v>
      </c>
      <c r="C24" s="27">
        <f t="shared" si="1"/>
        <v>1</v>
      </c>
      <c r="D24" s="26" t="str" cm="1">
        <f t="array" ref="D24">INDEX('BaseMap-1'!$H$8:$J$94,1+B24,C24)</f>
        <v/>
      </c>
    </row>
    <row r="25" spans="1:4" x14ac:dyDescent="0.75">
      <c r="A25" s="27">
        <v>23</v>
      </c>
      <c r="B25" s="27">
        <f t="shared" si="0"/>
        <v>7</v>
      </c>
      <c r="C25" s="27">
        <f t="shared" si="1"/>
        <v>2</v>
      </c>
      <c r="D25" s="26" t="str" cm="1">
        <f t="array" ref="D25">INDEX('BaseMap-1'!$H$8:$J$94,1+B25,C25)</f>
        <v/>
      </c>
    </row>
    <row r="26" spans="1:4" x14ac:dyDescent="0.75">
      <c r="A26" s="27">
        <v>24</v>
      </c>
      <c r="B26" s="27">
        <f t="shared" si="0"/>
        <v>7</v>
      </c>
      <c r="C26" s="27">
        <f t="shared" si="1"/>
        <v>3</v>
      </c>
      <c r="D26" s="26" t="str" cm="1">
        <f t="array" ref="D26">INDEX('BaseMap-1'!$H$8:$J$94,1+B26,C26)</f>
        <v/>
      </c>
    </row>
    <row r="27" spans="1:4" x14ac:dyDescent="0.75">
      <c r="A27" s="27">
        <v>25</v>
      </c>
      <c r="B27" s="27">
        <f t="shared" si="0"/>
        <v>8</v>
      </c>
      <c r="C27" s="27">
        <f t="shared" si="1"/>
        <v>1</v>
      </c>
      <c r="D27" s="26" t="str" cm="1">
        <f t="array" ref="D27">INDEX('BaseMap-1'!$H$8:$J$94,1+B27,C27)</f>
        <v/>
      </c>
    </row>
    <row r="28" spans="1:4" x14ac:dyDescent="0.75">
      <c r="A28" s="27">
        <v>26</v>
      </c>
      <c r="B28" s="27">
        <f t="shared" si="0"/>
        <v>8</v>
      </c>
      <c r="C28" s="27">
        <f t="shared" si="1"/>
        <v>2</v>
      </c>
      <c r="D28" s="26" t="str" cm="1">
        <f t="array" ref="D28">INDEX('BaseMap-1'!$H$8:$J$94,1+B28,C28)</f>
        <v/>
      </c>
    </row>
    <row r="29" spans="1:4" x14ac:dyDescent="0.75">
      <c r="A29" s="27">
        <v>27</v>
      </c>
      <c r="B29" s="27">
        <f t="shared" si="0"/>
        <v>8</v>
      </c>
      <c r="C29" s="27">
        <f t="shared" si="1"/>
        <v>3</v>
      </c>
      <c r="D29" s="26" t="str" cm="1">
        <f t="array" ref="D29">INDEX('BaseMap-1'!$H$8:$J$94,1+B29,C29)</f>
        <v/>
      </c>
    </row>
    <row r="30" spans="1:4" x14ac:dyDescent="0.75">
      <c r="A30" s="27">
        <v>28</v>
      </c>
      <c r="B30" s="27">
        <f t="shared" si="0"/>
        <v>9</v>
      </c>
      <c r="C30" s="27">
        <f t="shared" si="1"/>
        <v>1</v>
      </c>
      <c r="D30" s="26" t="str" cm="1">
        <f t="array" ref="D30">INDEX('BaseMap-1'!$H$8:$J$94,1+B30,C30)</f>
        <v/>
      </c>
    </row>
    <row r="31" spans="1:4" x14ac:dyDescent="0.75">
      <c r="A31" s="27">
        <v>29</v>
      </c>
      <c r="B31" s="27">
        <f t="shared" si="0"/>
        <v>9</v>
      </c>
      <c r="C31" s="27">
        <f t="shared" si="1"/>
        <v>2</v>
      </c>
      <c r="D31" s="26" t="str" cm="1">
        <f t="array" ref="D31">INDEX('BaseMap-1'!$H$8:$J$94,1+B31,C31)</f>
        <v/>
      </c>
    </row>
    <row r="32" spans="1:4" x14ac:dyDescent="0.75">
      <c r="A32" s="27">
        <v>30</v>
      </c>
      <c r="B32" s="27">
        <f t="shared" si="0"/>
        <v>9</v>
      </c>
      <c r="C32" s="27">
        <f t="shared" si="1"/>
        <v>3</v>
      </c>
      <c r="D32" s="26" t="str" cm="1">
        <f t="array" ref="D32">INDEX('BaseMap-1'!$H$8:$J$94,1+B32,C32)</f>
        <v/>
      </c>
    </row>
    <row r="33" spans="1:4" x14ac:dyDescent="0.75">
      <c r="A33" s="27">
        <v>31</v>
      </c>
      <c r="B33" s="27">
        <f t="shared" si="0"/>
        <v>10</v>
      </c>
      <c r="C33" s="27">
        <f t="shared" si="1"/>
        <v>1</v>
      </c>
      <c r="D33" s="26" t="str" cm="1">
        <f t="array" ref="D33">INDEX('BaseMap-1'!$H$8:$J$94,1+B33,C33)</f>
        <v/>
      </c>
    </row>
    <row r="34" spans="1:4" x14ac:dyDescent="0.75">
      <c r="A34" s="27">
        <v>32</v>
      </c>
      <c r="B34" s="27">
        <f t="shared" si="0"/>
        <v>10</v>
      </c>
      <c r="C34" s="27">
        <f t="shared" si="1"/>
        <v>2</v>
      </c>
      <c r="D34" s="26" t="str" cm="1">
        <f t="array" ref="D34">INDEX('BaseMap-1'!$H$8:$J$94,1+B34,C34)</f>
        <v/>
      </c>
    </row>
    <row r="35" spans="1:4" x14ac:dyDescent="0.75">
      <c r="A35" s="27">
        <v>33</v>
      </c>
      <c r="B35" s="27">
        <f t="shared" si="0"/>
        <v>10</v>
      </c>
      <c r="C35" s="27">
        <f t="shared" si="1"/>
        <v>3</v>
      </c>
      <c r="D35" s="26" t="str" cm="1">
        <f t="array" ref="D35">INDEX('BaseMap-1'!$H$8:$J$94,1+B35,C35)</f>
        <v/>
      </c>
    </row>
    <row r="36" spans="1:4" x14ac:dyDescent="0.75">
      <c r="A36" s="27">
        <v>34</v>
      </c>
      <c r="B36" s="27">
        <f t="shared" si="0"/>
        <v>11</v>
      </c>
      <c r="C36" s="27">
        <f t="shared" si="1"/>
        <v>1</v>
      </c>
      <c r="D36" s="26" t="str" cm="1">
        <f t="array" ref="D36">INDEX('BaseMap-1'!$H$8:$J$94,1+B36,C36)</f>
        <v/>
      </c>
    </row>
    <row r="37" spans="1:4" x14ac:dyDescent="0.75">
      <c r="A37" s="27">
        <v>35</v>
      </c>
      <c r="B37" s="27">
        <f t="shared" si="0"/>
        <v>11</v>
      </c>
      <c r="C37" s="27">
        <f t="shared" si="1"/>
        <v>2</v>
      </c>
      <c r="D37" s="26" t="str" cm="1">
        <f t="array" ref="D37">INDEX('BaseMap-1'!$H$8:$J$94,1+B37,C37)</f>
        <v/>
      </c>
    </row>
    <row r="38" spans="1:4" x14ac:dyDescent="0.75">
      <c r="A38" s="27">
        <v>36</v>
      </c>
      <c r="B38" s="27">
        <f t="shared" si="0"/>
        <v>11</v>
      </c>
      <c r="C38" s="27">
        <f t="shared" si="1"/>
        <v>3</v>
      </c>
      <c r="D38" s="26" t="str" cm="1">
        <f t="array" ref="D38">INDEX('BaseMap-1'!$H$8:$J$94,1+B38,C38)</f>
        <v/>
      </c>
    </row>
    <row r="39" spans="1:4" x14ac:dyDescent="0.75">
      <c r="A39" s="27">
        <v>37</v>
      </c>
      <c r="B39" s="27">
        <f t="shared" si="0"/>
        <v>12</v>
      </c>
      <c r="C39" s="27">
        <f t="shared" si="1"/>
        <v>1</v>
      </c>
      <c r="D39" s="26" t="str" cm="1">
        <f t="array" ref="D39">INDEX('BaseMap-1'!$H$8:$J$94,1+B39,C39)</f>
        <v/>
      </c>
    </row>
    <row r="40" spans="1:4" x14ac:dyDescent="0.75">
      <c r="A40" s="27">
        <v>38</v>
      </c>
      <c r="B40" s="27">
        <f t="shared" si="0"/>
        <v>12</v>
      </c>
      <c r="C40" s="27">
        <f t="shared" si="1"/>
        <v>2</v>
      </c>
      <c r="D40" s="26" t="str" cm="1">
        <f t="array" ref="D40">INDEX('BaseMap-1'!$H$8:$J$94,1+B40,C40)</f>
        <v/>
      </c>
    </row>
    <row r="41" spans="1:4" x14ac:dyDescent="0.75">
      <c r="A41" s="27">
        <v>39</v>
      </c>
      <c r="B41" s="27">
        <f t="shared" si="0"/>
        <v>12</v>
      </c>
      <c r="C41" s="27">
        <f t="shared" si="1"/>
        <v>3</v>
      </c>
      <c r="D41" s="26" t="str" cm="1">
        <f t="array" ref="D41">INDEX('BaseMap-1'!$H$8:$J$94,1+B41,C41)</f>
        <v/>
      </c>
    </row>
    <row r="42" spans="1:4" x14ac:dyDescent="0.75">
      <c r="A42" s="27">
        <v>40</v>
      </c>
      <c r="B42" s="27">
        <f t="shared" si="0"/>
        <v>13</v>
      </c>
      <c r="C42" s="27">
        <f t="shared" si="1"/>
        <v>1</v>
      </c>
      <c r="D42" s="26" t="str" cm="1">
        <f t="array" ref="D42">INDEX('BaseMap-1'!$H$8:$J$94,1+B42,C42)</f>
        <v/>
      </c>
    </row>
    <row r="43" spans="1:4" x14ac:dyDescent="0.75">
      <c r="A43" s="27">
        <v>41</v>
      </c>
      <c r="B43" s="27">
        <f t="shared" si="0"/>
        <v>13</v>
      </c>
      <c r="C43" s="27">
        <f t="shared" si="1"/>
        <v>2</v>
      </c>
      <c r="D43" s="26" t="str" cm="1">
        <f t="array" ref="D43">INDEX('BaseMap-1'!$H$8:$J$94,1+B43,C43)</f>
        <v/>
      </c>
    </row>
    <row r="44" spans="1:4" x14ac:dyDescent="0.75">
      <c r="A44" s="27">
        <v>42</v>
      </c>
      <c r="B44" s="27">
        <f t="shared" si="0"/>
        <v>13</v>
      </c>
      <c r="C44" s="27">
        <f t="shared" si="1"/>
        <v>3</v>
      </c>
      <c r="D44" s="26" t="str" cm="1">
        <f t="array" ref="D44">INDEX('BaseMap-1'!$H$8:$J$94,1+B44,C44)</f>
        <v/>
      </c>
    </row>
    <row r="45" spans="1:4" x14ac:dyDescent="0.75">
      <c r="A45" s="27">
        <v>43</v>
      </c>
      <c r="B45" s="27">
        <f t="shared" si="0"/>
        <v>14</v>
      </c>
      <c r="C45" s="27">
        <f t="shared" si="1"/>
        <v>1</v>
      </c>
      <c r="D45" s="26" t="str" cm="1">
        <f t="array" ref="D45">INDEX('BaseMap-1'!$H$8:$J$94,1+B45,C45)</f>
        <v/>
      </c>
    </row>
    <row r="46" spans="1:4" x14ac:dyDescent="0.75">
      <c r="A46" s="27">
        <v>44</v>
      </c>
      <c r="B46" s="27">
        <f t="shared" si="0"/>
        <v>14</v>
      </c>
      <c r="C46" s="27">
        <f t="shared" si="1"/>
        <v>2</v>
      </c>
      <c r="D46" s="26" t="str" cm="1">
        <f t="array" ref="D46">INDEX('BaseMap-1'!$H$8:$J$94,1+B46,C46)</f>
        <v/>
      </c>
    </row>
    <row r="47" spans="1:4" x14ac:dyDescent="0.75">
      <c r="A47" s="27">
        <v>45</v>
      </c>
      <c r="B47" s="27">
        <f t="shared" si="0"/>
        <v>14</v>
      </c>
      <c r="C47" s="27">
        <f t="shared" si="1"/>
        <v>3</v>
      </c>
      <c r="D47" s="26" t="str" cm="1">
        <f t="array" ref="D47">INDEX('BaseMap-1'!$H$8:$J$94,1+B47,C47)</f>
        <v/>
      </c>
    </row>
    <row r="48" spans="1:4" x14ac:dyDescent="0.75">
      <c r="A48" s="27">
        <v>46</v>
      </c>
      <c r="B48" s="27">
        <f t="shared" si="0"/>
        <v>15</v>
      </c>
      <c r="C48" s="27">
        <f t="shared" si="1"/>
        <v>1</v>
      </c>
      <c r="D48" s="26" t="str" cm="1">
        <f t="array" ref="D48">INDEX('BaseMap-1'!$H$8:$J$94,1+B48,C48)</f>
        <v/>
      </c>
    </row>
    <row r="49" spans="1:7" x14ac:dyDescent="0.75">
      <c r="A49" s="27">
        <v>47</v>
      </c>
      <c r="B49" s="27">
        <f t="shared" si="0"/>
        <v>15</v>
      </c>
      <c r="C49" s="27">
        <f t="shared" si="1"/>
        <v>2</v>
      </c>
      <c r="D49" s="26" t="str" cm="1">
        <f t="array" ref="D49">INDEX('BaseMap-1'!$H$8:$J$94,1+B49,C49)</f>
        <v/>
      </c>
    </row>
    <row r="50" spans="1:7" x14ac:dyDescent="0.75">
      <c r="A50" s="27">
        <v>48</v>
      </c>
      <c r="B50" s="27">
        <f t="shared" si="0"/>
        <v>15</v>
      </c>
      <c r="C50" s="27">
        <f t="shared" si="1"/>
        <v>3</v>
      </c>
      <c r="D50" s="26" t="str" cm="1">
        <f t="array" ref="D50">INDEX('BaseMap-1'!$H$8:$J$94,1+B50,C50)</f>
        <v/>
      </c>
    </row>
    <row r="51" spans="1:7" x14ac:dyDescent="0.75">
      <c r="A51" s="27">
        <v>49</v>
      </c>
      <c r="B51" s="27">
        <f t="shared" si="0"/>
        <v>16</v>
      </c>
      <c r="C51" s="27">
        <f t="shared" si="1"/>
        <v>1</v>
      </c>
      <c r="D51" s="26" t="str" cm="1">
        <f t="array" ref="D51">INDEX('BaseMap-1'!$H$8:$J$94,1+B51,C51)</f>
        <v/>
      </c>
    </row>
    <row r="52" spans="1:7" x14ac:dyDescent="0.75">
      <c r="A52" s="27">
        <v>50</v>
      </c>
      <c r="B52" s="27">
        <f t="shared" si="0"/>
        <v>16</v>
      </c>
      <c r="C52" s="27">
        <f t="shared" si="1"/>
        <v>2</v>
      </c>
      <c r="D52" s="26" t="str" cm="1">
        <f t="array" ref="D52">INDEX('BaseMap-1'!$H$8:$J$94,1+B52,C52)</f>
        <v/>
      </c>
    </row>
    <row r="53" spans="1:7" x14ac:dyDescent="0.75">
      <c r="A53" s="27">
        <v>51</v>
      </c>
      <c r="B53" s="27">
        <f t="shared" si="0"/>
        <v>16</v>
      </c>
      <c r="C53" s="27">
        <f t="shared" si="1"/>
        <v>3</v>
      </c>
      <c r="D53" s="26" t="str" cm="1">
        <f t="array" ref="D53">INDEX('BaseMap-1'!$H$8:$J$94,1+B53,C53)</f>
        <v/>
      </c>
    </row>
    <row r="54" spans="1:7" x14ac:dyDescent="0.75">
      <c r="A54" s="27">
        <v>52</v>
      </c>
      <c r="B54" s="27">
        <f t="shared" si="0"/>
        <v>17</v>
      </c>
      <c r="C54" s="27">
        <f t="shared" si="1"/>
        <v>1</v>
      </c>
      <c r="D54" s="26" t="str" cm="1">
        <f t="array" ref="D54">INDEX('BaseMap-1'!$H$8:$J$94,1+B54,C54)</f>
        <v/>
      </c>
    </row>
    <row r="55" spans="1:7" x14ac:dyDescent="0.75">
      <c r="A55" s="27">
        <v>53</v>
      </c>
      <c r="B55" s="27">
        <f t="shared" si="0"/>
        <v>17</v>
      </c>
      <c r="C55" s="27">
        <f t="shared" si="1"/>
        <v>2</v>
      </c>
      <c r="D55" s="26" t="str" cm="1">
        <f t="array" ref="D55">INDEX('BaseMap-1'!$H$8:$J$94,1+B55,C55)</f>
        <v/>
      </c>
      <c r="G55" s="15"/>
    </row>
    <row r="56" spans="1:7" x14ac:dyDescent="0.75">
      <c r="A56" s="27">
        <v>54</v>
      </c>
      <c r="B56" s="27">
        <f t="shared" si="0"/>
        <v>17</v>
      </c>
      <c r="C56" s="27">
        <f t="shared" si="1"/>
        <v>3</v>
      </c>
      <c r="D56" s="26" t="str" cm="1">
        <f t="array" ref="D56">INDEX('BaseMap-1'!$H$8:$J$94,1+B56,C56)</f>
        <v/>
      </c>
    </row>
    <row r="57" spans="1:7" x14ac:dyDescent="0.75">
      <c r="A57" s="27">
        <v>55</v>
      </c>
      <c r="B57" s="27">
        <f t="shared" si="0"/>
        <v>18</v>
      </c>
      <c r="C57" s="27">
        <f t="shared" si="1"/>
        <v>1</v>
      </c>
      <c r="D57" s="26" t="str" cm="1">
        <f t="array" ref="D57">INDEX('BaseMap-1'!$H$8:$J$94,1+B57,C57)</f>
        <v/>
      </c>
    </row>
    <row r="58" spans="1:7" x14ac:dyDescent="0.75">
      <c r="A58" s="27">
        <v>56</v>
      </c>
      <c r="B58" s="27">
        <f t="shared" si="0"/>
        <v>18</v>
      </c>
      <c r="C58" s="27">
        <f t="shared" si="1"/>
        <v>2</v>
      </c>
      <c r="D58" s="26" t="str" cm="1">
        <f t="array" ref="D58">INDEX('BaseMap-1'!$H$8:$J$94,1+B58,C58)</f>
        <v/>
      </c>
    </row>
    <row r="59" spans="1:7" x14ac:dyDescent="0.75">
      <c r="A59" s="27">
        <v>57</v>
      </c>
      <c r="B59" s="27">
        <f t="shared" si="0"/>
        <v>18</v>
      </c>
      <c r="C59" s="27">
        <f t="shared" si="1"/>
        <v>3</v>
      </c>
      <c r="D59" s="26" t="str" cm="1">
        <f t="array" ref="D59">INDEX('BaseMap-1'!$H$8:$J$94,1+B59,C59)</f>
        <v/>
      </c>
    </row>
    <row r="60" spans="1:7" x14ac:dyDescent="0.75">
      <c r="A60" s="27">
        <v>58</v>
      </c>
      <c r="B60" s="27">
        <f t="shared" si="0"/>
        <v>19</v>
      </c>
      <c r="C60" s="27">
        <f t="shared" si="1"/>
        <v>1</v>
      </c>
      <c r="D60" s="26" t="str" cm="1">
        <f t="array" ref="D60">INDEX('BaseMap-1'!$H$8:$J$94,1+B60,C60)</f>
        <v/>
      </c>
    </row>
    <row r="61" spans="1:7" x14ac:dyDescent="0.75">
      <c r="A61" s="27">
        <v>59</v>
      </c>
      <c r="B61" s="27">
        <f t="shared" si="0"/>
        <v>19</v>
      </c>
      <c r="C61" s="27">
        <f t="shared" si="1"/>
        <v>2</v>
      </c>
      <c r="D61" s="26" t="str" cm="1">
        <f t="array" ref="D61">INDEX('BaseMap-1'!$H$8:$J$94,1+B61,C61)</f>
        <v/>
      </c>
    </row>
    <row r="62" spans="1:7" x14ac:dyDescent="0.75">
      <c r="A62" s="27">
        <v>60</v>
      </c>
      <c r="B62" s="27">
        <f t="shared" si="0"/>
        <v>19</v>
      </c>
      <c r="C62" s="27">
        <f t="shared" si="1"/>
        <v>3</v>
      </c>
      <c r="D62" s="26" t="str" cm="1">
        <f t="array" ref="D62">INDEX('BaseMap-1'!$H$8:$J$94,1+B62,C62)</f>
        <v/>
      </c>
    </row>
    <row r="63" spans="1:7" x14ac:dyDescent="0.75">
      <c r="A63" s="27">
        <v>61</v>
      </c>
      <c r="B63" s="27">
        <f t="shared" si="0"/>
        <v>20</v>
      </c>
      <c r="C63" s="27">
        <f t="shared" si="1"/>
        <v>1</v>
      </c>
      <c r="D63" s="26" t="str" cm="1">
        <f t="array" ref="D63">INDEX('BaseMap-1'!$H$8:$J$94,1+B63,C63)</f>
        <v/>
      </c>
    </row>
    <row r="64" spans="1:7" x14ac:dyDescent="0.75">
      <c r="A64" s="27">
        <v>62</v>
      </c>
      <c r="B64" s="27">
        <f t="shared" si="0"/>
        <v>20</v>
      </c>
      <c r="C64" s="27">
        <f t="shared" si="1"/>
        <v>2</v>
      </c>
      <c r="D64" s="26" t="str" cm="1">
        <f t="array" ref="D64">INDEX('BaseMap-1'!$H$8:$J$94,1+B64,C64)</f>
        <v/>
      </c>
    </row>
    <row r="65" spans="1:4" x14ac:dyDescent="0.75">
      <c r="A65" s="27">
        <v>63</v>
      </c>
      <c r="B65" s="27">
        <f t="shared" si="0"/>
        <v>20</v>
      </c>
      <c r="C65" s="27">
        <f t="shared" si="1"/>
        <v>3</v>
      </c>
      <c r="D65" s="26" t="str" cm="1">
        <f t="array" ref="D65">INDEX('BaseMap-1'!$H$8:$J$94,1+B65,C65)</f>
        <v/>
      </c>
    </row>
    <row r="66" spans="1:4" x14ac:dyDescent="0.75">
      <c r="A66" s="27">
        <v>64</v>
      </c>
      <c r="B66" s="27">
        <f t="shared" si="0"/>
        <v>21</v>
      </c>
      <c r="C66" s="27">
        <f t="shared" si="1"/>
        <v>1</v>
      </c>
      <c r="D66" s="26" t="str" cm="1">
        <f t="array" ref="D66">INDEX('BaseMap-1'!$H$8:$J$94,1+B66,C66)</f>
        <v/>
      </c>
    </row>
    <row r="67" spans="1:4" x14ac:dyDescent="0.75">
      <c r="A67" s="27">
        <v>65</v>
      </c>
      <c r="B67" s="27">
        <f t="shared" si="0"/>
        <v>21</v>
      </c>
      <c r="C67" s="27">
        <f t="shared" si="1"/>
        <v>2</v>
      </c>
      <c r="D67" s="26" t="str" cm="1">
        <f t="array" ref="D67">INDEX('BaseMap-1'!$H$8:$J$94,1+B67,C67)</f>
        <v/>
      </c>
    </row>
    <row r="68" spans="1:4" x14ac:dyDescent="0.75">
      <c r="A68" s="27">
        <v>66</v>
      </c>
      <c r="B68" s="27">
        <f t="shared" ref="B68:B131" si="2">IF(MOD(A68,3)=0,A68/3-1,INT(A68/3))</f>
        <v>21</v>
      </c>
      <c r="C68" s="27">
        <f t="shared" ref="C68:C131" si="3">IF(MOD(A68,3)=0,3,MOD(A68,3))</f>
        <v>3</v>
      </c>
      <c r="D68" s="26" t="str" cm="1">
        <f t="array" ref="D68">INDEX('BaseMap-1'!$H$8:$J$94,1+B68,C68)</f>
        <v/>
      </c>
    </row>
    <row r="69" spans="1:4" x14ac:dyDescent="0.75">
      <c r="A69" s="27">
        <v>67</v>
      </c>
      <c r="B69" s="27">
        <f t="shared" si="2"/>
        <v>22</v>
      </c>
      <c r="C69" s="27">
        <f t="shared" si="3"/>
        <v>1</v>
      </c>
      <c r="D69" s="26" t="str" cm="1">
        <f t="array" ref="D69">INDEX('BaseMap-1'!$H$8:$J$94,1+B69,C69)</f>
        <v/>
      </c>
    </row>
    <row r="70" spans="1:4" x14ac:dyDescent="0.75">
      <c r="A70" s="27">
        <v>68</v>
      </c>
      <c r="B70" s="27">
        <f t="shared" si="2"/>
        <v>22</v>
      </c>
      <c r="C70" s="27">
        <f t="shared" si="3"/>
        <v>2</v>
      </c>
      <c r="D70" s="26" t="str" cm="1">
        <f t="array" ref="D70">INDEX('BaseMap-1'!$H$8:$J$94,1+B70,C70)</f>
        <v/>
      </c>
    </row>
    <row r="71" spans="1:4" x14ac:dyDescent="0.75">
      <c r="A71" s="27">
        <v>69</v>
      </c>
      <c r="B71" s="27">
        <f t="shared" si="2"/>
        <v>22</v>
      </c>
      <c r="C71" s="27">
        <f t="shared" si="3"/>
        <v>3</v>
      </c>
      <c r="D71" s="26" t="str" cm="1">
        <f t="array" ref="D71">INDEX('BaseMap-1'!$H$8:$J$94,1+B71,C71)</f>
        <v/>
      </c>
    </row>
    <row r="72" spans="1:4" x14ac:dyDescent="0.75">
      <c r="A72" s="27">
        <v>70</v>
      </c>
      <c r="B72" s="27">
        <f t="shared" si="2"/>
        <v>23</v>
      </c>
      <c r="C72" s="27">
        <f t="shared" si="3"/>
        <v>1</v>
      </c>
      <c r="D72" s="26" t="str" cm="1">
        <f t="array" ref="D72">INDEX('BaseMap-1'!$H$8:$J$94,1+B72,C72)</f>
        <v/>
      </c>
    </row>
    <row r="73" spans="1:4" x14ac:dyDescent="0.75">
      <c r="A73" s="27">
        <v>71</v>
      </c>
      <c r="B73" s="27">
        <f t="shared" si="2"/>
        <v>23</v>
      </c>
      <c r="C73" s="27">
        <f t="shared" si="3"/>
        <v>2</v>
      </c>
      <c r="D73" s="26" t="str" cm="1">
        <f t="array" ref="D73">INDEX('BaseMap-1'!$H$8:$J$94,1+B73,C73)</f>
        <v/>
      </c>
    </row>
    <row r="74" spans="1:4" x14ac:dyDescent="0.75">
      <c r="A74" s="27">
        <v>72</v>
      </c>
      <c r="B74" s="27">
        <f t="shared" si="2"/>
        <v>23</v>
      </c>
      <c r="C74" s="27">
        <f t="shared" si="3"/>
        <v>3</v>
      </c>
      <c r="D74" s="26" t="str" cm="1">
        <f t="array" ref="D74">INDEX('BaseMap-1'!$H$8:$J$94,1+B74,C74)</f>
        <v/>
      </c>
    </row>
    <row r="75" spans="1:4" x14ac:dyDescent="0.75">
      <c r="A75" s="27">
        <v>73</v>
      </c>
      <c r="B75" s="27">
        <f t="shared" si="2"/>
        <v>24</v>
      </c>
      <c r="C75" s="27">
        <f t="shared" si="3"/>
        <v>1</v>
      </c>
      <c r="D75" s="26" t="str" cm="1">
        <f t="array" ref="D75">INDEX('BaseMap-1'!$H$8:$J$94,1+B75,C75)</f>
        <v/>
      </c>
    </row>
    <row r="76" spans="1:4" x14ac:dyDescent="0.75">
      <c r="A76" s="27">
        <v>74</v>
      </c>
      <c r="B76" s="27">
        <f t="shared" si="2"/>
        <v>24</v>
      </c>
      <c r="C76" s="27">
        <f t="shared" si="3"/>
        <v>2</v>
      </c>
      <c r="D76" s="26" t="str" cm="1">
        <f t="array" ref="D76">INDEX('BaseMap-1'!$H$8:$J$94,1+B76,C76)</f>
        <v/>
      </c>
    </row>
    <row r="77" spans="1:4" x14ac:dyDescent="0.75">
      <c r="A77" s="27">
        <v>75</v>
      </c>
      <c r="B77" s="27">
        <f t="shared" si="2"/>
        <v>24</v>
      </c>
      <c r="C77" s="27">
        <f t="shared" si="3"/>
        <v>3</v>
      </c>
      <c r="D77" s="26" t="str" cm="1">
        <f t="array" ref="D77">INDEX('BaseMap-1'!$H$8:$J$94,1+B77,C77)</f>
        <v/>
      </c>
    </row>
    <row r="78" spans="1:4" x14ac:dyDescent="0.75">
      <c r="A78" s="27">
        <v>76</v>
      </c>
      <c r="B78" s="27">
        <f t="shared" si="2"/>
        <v>25</v>
      </c>
      <c r="C78" s="27">
        <f t="shared" si="3"/>
        <v>1</v>
      </c>
      <c r="D78" s="26" t="str" cm="1">
        <f t="array" ref="D78">INDEX('BaseMap-1'!$H$8:$J$94,1+B78,C78)</f>
        <v/>
      </c>
    </row>
    <row r="79" spans="1:4" x14ac:dyDescent="0.75">
      <c r="A79" s="27">
        <v>77</v>
      </c>
      <c r="B79" s="27">
        <f t="shared" si="2"/>
        <v>25</v>
      </c>
      <c r="C79" s="27">
        <f t="shared" si="3"/>
        <v>2</v>
      </c>
      <c r="D79" s="26" t="str" cm="1">
        <f t="array" ref="D79">INDEX('BaseMap-1'!$H$8:$J$94,1+B79,C79)</f>
        <v/>
      </c>
    </row>
    <row r="80" spans="1:4" x14ac:dyDescent="0.75">
      <c r="A80" s="27">
        <v>78</v>
      </c>
      <c r="B80" s="27">
        <f t="shared" si="2"/>
        <v>25</v>
      </c>
      <c r="C80" s="27">
        <f t="shared" si="3"/>
        <v>3</v>
      </c>
      <c r="D80" s="26" t="str" cm="1">
        <f t="array" ref="D80">INDEX('BaseMap-1'!$H$8:$J$94,1+B80,C80)</f>
        <v/>
      </c>
    </row>
    <row r="81" spans="1:4" x14ac:dyDescent="0.75">
      <c r="A81" s="27">
        <v>79</v>
      </c>
      <c r="B81" s="27">
        <f t="shared" si="2"/>
        <v>26</v>
      </c>
      <c r="C81" s="27">
        <f t="shared" si="3"/>
        <v>1</v>
      </c>
      <c r="D81" s="26" t="str" cm="1">
        <f t="array" ref="D81">INDEX('BaseMap-1'!$H$8:$J$94,1+B81,C81)</f>
        <v/>
      </c>
    </row>
    <row r="82" spans="1:4" x14ac:dyDescent="0.75">
      <c r="A82" s="27">
        <v>80</v>
      </c>
      <c r="B82" s="27">
        <f t="shared" si="2"/>
        <v>26</v>
      </c>
      <c r="C82" s="27">
        <f t="shared" si="3"/>
        <v>2</v>
      </c>
      <c r="D82" s="26" t="str" cm="1">
        <f t="array" ref="D82">INDEX('BaseMap-1'!$H$8:$J$94,1+B82,C82)</f>
        <v/>
      </c>
    </row>
    <row r="83" spans="1:4" x14ac:dyDescent="0.75">
      <c r="A83" s="27">
        <v>81</v>
      </c>
      <c r="B83" s="27">
        <f t="shared" si="2"/>
        <v>26</v>
      </c>
      <c r="C83" s="27">
        <f t="shared" si="3"/>
        <v>3</v>
      </c>
      <c r="D83" s="26" t="str" cm="1">
        <f t="array" ref="D83">INDEX('BaseMap-1'!$H$8:$J$94,1+B83,C83)</f>
        <v/>
      </c>
    </row>
    <row r="84" spans="1:4" x14ac:dyDescent="0.75">
      <c r="A84" s="27">
        <v>82</v>
      </c>
      <c r="B84" s="27">
        <f t="shared" si="2"/>
        <v>27</v>
      </c>
      <c r="C84" s="27">
        <f t="shared" si="3"/>
        <v>1</v>
      </c>
      <c r="D84" s="26" t="str" cm="1">
        <f t="array" ref="D84">INDEX('BaseMap-1'!$H$8:$J$94,1+B84,C84)</f>
        <v/>
      </c>
    </row>
    <row r="85" spans="1:4" x14ac:dyDescent="0.75">
      <c r="A85" s="27">
        <v>83</v>
      </c>
      <c r="B85" s="27">
        <f t="shared" si="2"/>
        <v>27</v>
      </c>
      <c r="C85" s="27">
        <f t="shared" si="3"/>
        <v>2</v>
      </c>
      <c r="D85" s="26" t="str" cm="1">
        <f t="array" ref="D85">INDEX('BaseMap-1'!$H$8:$J$94,1+B85,C85)</f>
        <v/>
      </c>
    </row>
    <row r="86" spans="1:4" x14ac:dyDescent="0.75">
      <c r="A86" s="27">
        <v>84</v>
      </c>
      <c r="B86" s="27">
        <f t="shared" si="2"/>
        <v>27</v>
      </c>
      <c r="C86" s="27">
        <f t="shared" si="3"/>
        <v>3</v>
      </c>
      <c r="D86" s="26" t="str" cm="1">
        <f t="array" ref="D86">INDEX('BaseMap-1'!$H$8:$J$94,1+B86,C86)</f>
        <v/>
      </c>
    </row>
    <row r="87" spans="1:4" x14ac:dyDescent="0.75">
      <c r="A87" s="27">
        <v>85</v>
      </c>
      <c r="B87" s="27">
        <f t="shared" si="2"/>
        <v>28</v>
      </c>
      <c r="C87" s="27">
        <f t="shared" si="3"/>
        <v>1</v>
      </c>
      <c r="D87" s="26" t="str" cm="1">
        <f t="array" ref="D87">INDEX('BaseMap-1'!$H$8:$J$94,1+B87,C87)</f>
        <v/>
      </c>
    </row>
    <row r="88" spans="1:4" x14ac:dyDescent="0.75">
      <c r="A88" s="27">
        <v>86</v>
      </c>
      <c r="B88" s="27">
        <f t="shared" si="2"/>
        <v>28</v>
      </c>
      <c r="C88" s="27">
        <f t="shared" si="3"/>
        <v>2</v>
      </c>
      <c r="D88" s="26" t="str" cm="1">
        <f t="array" ref="D88">INDEX('BaseMap-1'!$H$8:$J$94,1+B88,C88)</f>
        <v/>
      </c>
    </row>
    <row r="89" spans="1:4" x14ac:dyDescent="0.75">
      <c r="A89" s="27">
        <v>87</v>
      </c>
      <c r="B89" s="27">
        <f t="shared" si="2"/>
        <v>28</v>
      </c>
      <c r="C89" s="27">
        <f t="shared" si="3"/>
        <v>3</v>
      </c>
      <c r="D89" s="26" t="str" cm="1">
        <f t="array" ref="D89">INDEX('BaseMap-1'!$H$8:$J$94,1+B89,C89)</f>
        <v/>
      </c>
    </row>
    <row r="90" spans="1:4" x14ac:dyDescent="0.75">
      <c r="A90" s="27">
        <v>88</v>
      </c>
      <c r="B90" s="27">
        <f t="shared" si="2"/>
        <v>29</v>
      </c>
      <c r="C90" s="27">
        <f t="shared" si="3"/>
        <v>1</v>
      </c>
      <c r="D90" s="26" t="str" cm="1">
        <f t="array" ref="D90">INDEX('BaseMap-1'!$H$8:$J$94,1+B90,C90)</f>
        <v/>
      </c>
    </row>
    <row r="91" spans="1:4" x14ac:dyDescent="0.75">
      <c r="A91" s="27">
        <v>89</v>
      </c>
      <c r="B91" s="27">
        <f t="shared" si="2"/>
        <v>29</v>
      </c>
      <c r="C91" s="27">
        <f t="shared" si="3"/>
        <v>2</v>
      </c>
      <c r="D91" s="26" t="str" cm="1">
        <f t="array" ref="D91">INDEX('BaseMap-1'!$H$8:$J$94,1+B91,C91)</f>
        <v/>
      </c>
    </row>
    <row r="92" spans="1:4" x14ac:dyDescent="0.75">
      <c r="A92" s="27">
        <v>90</v>
      </c>
      <c r="B92" s="27">
        <f t="shared" si="2"/>
        <v>29</v>
      </c>
      <c r="C92" s="27">
        <f t="shared" si="3"/>
        <v>3</v>
      </c>
      <c r="D92" s="26" t="str" cm="1">
        <f t="array" ref="D92">INDEX('BaseMap-1'!$H$8:$J$94,1+B92,C92)</f>
        <v/>
      </c>
    </row>
    <row r="93" spans="1:4" x14ac:dyDescent="0.75">
      <c r="A93" s="27">
        <v>91</v>
      </c>
      <c r="B93" s="27">
        <f t="shared" si="2"/>
        <v>30</v>
      </c>
      <c r="C93" s="27">
        <f t="shared" si="3"/>
        <v>1</v>
      </c>
      <c r="D93" s="26" t="str" cm="1">
        <f t="array" ref="D93">INDEX('BaseMap-1'!$H$8:$J$94,1+B93,C93)</f>
        <v/>
      </c>
    </row>
    <row r="94" spans="1:4" x14ac:dyDescent="0.75">
      <c r="A94" s="27">
        <v>92</v>
      </c>
      <c r="B94" s="27">
        <f t="shared" si="2"/>
        <v>30</v>
      </c>
      <c r="C94" s="27">
        <f t="shared" si="3"/>
        <v>2</v>
      </c>
      <c r="D94" s="26" t="str" cm="1">
        <f t="array" ref="D94">INDEX('BaseMap-1'!$H$8:$J$94,1+B94,C94)</f>
        <v/>
      </c>
    </row>
    <row r="95" spans="1:4" x14ac:dyDescent="0.75">
      <c r="A95" s="27">
        <v>93</v>
      </c>
      <c r="B95" s="27">
        <f t="shared" si="2"/>
        <v>30</v>
      </c>
      <c r="C95" s="27">
        <f t="shared" si="3"/>
        <v>3</v>
      </c>
      <c r="D95" s="26" t="str" cm="1">
        <f t="array" ref="D95">INDEX('BaseMap-1'!$H$8:$J$94,1+B95,C95)</f>
        <v/>
      </c>
    </row>
    <row r="96" spans="1:4" x14ac:dyDescent="0.75">
      <c r="A96" s="27">
        <v>94</v>
      </c>
      <c r="B96" s="27">
        <f t="shared" si="2"/>
        <v>31</v>
      </c>
      <c r="C96" s="27">
        <f t="shared" si="3"/>
        <v>1</v>
      </c>
      <c r="D96" s="26" t="str" cm="1">
        <f t="array" ref="D96">INDEX('BaseMap-1'!$H$8:$J$94,1+B96,C96)</f>
        <v/>
      </c>
    </row>
    <row r="97" spans="1:4" x14ac:dyDescent="0.75">
      <c r="A97" s="27">
        <v>95</v>
      </c>
      <c r="B97" s="27">
        <f t="shared" si="2"/>
        <v>31</v>
      </c>
      <c r="C97" s="27">
        <f t="shared" si="3"/>
        <v>2</v>
      </c>
      <c r="D97" s="26" t="str" cm="1">
        <f t="array" ref="D97">INDEX('BaseMap-1'!$H$8:$J$94,1+B97,C97)</f>
        <v/>
      </c>
    </row>
    <row r="98" spans="1:4" x14ac:dyDescent="0.75">
      <c r="A98" s="27">
        <v>96</v>
      </c>
      <c r="B98" s="27">
        <f t="shared" si="2"/>
        <v>31</v>
      </c>
      <c r="C98" s="27">
        <f t="shared" si="3"/>
        <v>3</v>
      </c>
      <c r="D98" s="26" t="str" cm="1">
        <f t="array" ref="D98">INDEX('BaseMap-1'!$H$8:$J$94,1+B98,C98)</f>
        <v/>
      </c>
    </row>
    <row r="99" spans="1:4" x14ac:dyDescent="0.75">
      <c r="A99" s="27">
        <v>97</v>
      </c>
      <c r="B99" s="27">
        <f t="shared" si="2"/>
        <v>32</v>
      </c>
      <c r="C99" s="27">
        <f t="shared" si="3"/>
        <v>1</v>
      </c>
      <c r="D99" s="26" t="str" cm="1">
        <f t="array" ref="D99">INDEX('BaseMap-1'!$H$8:$J$94,1+B99,C99)</f>
        <v/>
      </c>
    </row>
    <row r="100" spans="1:4" x14ac:dyDescent="0.75">
      <c r="A100" s="27">
        <v>98</v>
      </c>
      <c r="B100" s="27">
        <f t="shared" si="2"/>
        <v>32</v>
      </c>
      <c r="C100" s="27">
        <f t="shared" si="3"/>
        <v>2</v>
      </c>
      <c r="D100" s="26" t="str" cm="1">
        <f t="array" ref="D100">INDEX('BaseMap-1'!$H$8:$J$94,1+B100,C100)</f>
        <v/>
      </c>
    </row>
    <row r="101" spans="1:4" x14ac:dyDescent="0.75">
      <c r="A101" s="27">
        <v>99</v>
      </c>
      <c r="B101" s="27">
        <f t="shared" si="2"/>
        <v>32</v>
      </c>
      <c r="C101" s="27">
        <f t="shared" si="3"/>
        <v>3</v>
      </c>
      <c r="D101" s="26" t="str" cm="1">
        <f t="array" ref="D101">INDEX('BaseMap-1'!$H$8:$J$94,1+B101,C101)</f>
        <v/>
      </c>
    </row>
    <row r="102" spans="1:4" x14ac:dyDescent="0.75">
      <c r="A102" s="27">
        <v>100</v>
      </c>
      <c r="B102" s="27">
        <f t="shared" si="2"/>
        <v>33</v>
      </c>
      <c r="C102" s="27">
        <f t="shared" si="3"/>
        <v>1</v>
      </c>
      <c r="D102" s="26" t="str" cm="1">
        <f t="array" ref="D102">INDEX('BaseMap-1'!$H$8:$J$94,1+B102,C102)</f>
        <v/>
      </c>
    </row>
    <row r="103" spans="1:4" x14ac:dyDescent="0.75">
      <c r="A103" s="27">
        <v>101</v>
      </c>
      <c r="B103" s="27">
        <f t="shared" si="2"/>
        <v>33</v>
      </c>
      <c r="C103" s="27">
        <f t="shared" si="3"/>
        <v>2</v>
      </c>
      <c r="D103" s="26" t="str" cm="1">
        <f t="array" ref="D103">INDEX('BaseMap-1'!$H$8:$J$94,1+B103,C103)</f>
        <v/>
      </c>
    </row>
    <row r="104" spans="1:4" x14ac:dyDescent="0.75">
      <c r="A104" s="27">
        <v>102</v>
      </c>
      <c r="B104" s="27">
        <f t="shared" si="2"/>
        <v>33</v>
      </c>
      <c r="C104" s="27">
        <f t="shared" si="3"/>
        <v>3</v>
      </c>
      <c r="D104" s="26" t="str" cm="1">
        <f t="array" ref="D104">INDEX('BaseMap-1'!$H$8:$J$94,1+B104,C104)</f>
        <v/>
      </c>
    </row>
    <row r="105" spans="1:4" x14ac:dyDescent="0.75">
      <c r="A105" s="27">
        <v>103</v>
      </c>
      <c r="B105" s="27">
        <f t="shared" si="2"/>
        <v>34</v>
      </c>
      <c r="C105" s="27">
        <f t="shared" si="3"/>
        <v>1</v>
      </c>
      <c r="D105" s="26" t="str" cm="1">
        <f t="array" ref="D105">INDEX('BaseMap-1'!$H$8:$J$94,1+B105,C105)</f>
        <v/>
      </c>
    </row>
    <row r="106" spans="1:4" x14ac:dyDescent="0.75">
      <c r="A106" s="27">
        <v>104</v>
      </c>
      <c r="B106" s="27">
        <f t="shared" si="2"/>
        <v>34</v>
      </c>
      <c r="C106" s="27">
        <f t="shared" si="3"/>
        <v>2</v>
      </c>
      <c r="D106" s="26" t="str" cm="1">
        <f t="array" ref="D106">INDEX('BaseMap-1'!$H$8:$J$94,1+B106,C106)</f>
        <v/>
      </c>
    </row>
    <row r="107" spans="1:4" x14ac:dyDescent="0.75">
      <c r="A107" s="27">
        <v>105</v>
      </c>
      <c r="B107" s="27">
        <f t="shared" si="2"/>
        <v>34</v>
      </c>
      <c r="C107" s="27">
        <f t="shared" si="3"/>
        <v>3</v>
      </c>
      <c r="D107" s="26" t="str" cm="1">
        <f t="array" ref="D107">INDEX('BaseMap-1'!$H$8:$J$94,1+B107,C107)</f>
        <v/>
      </c>
    </row>
    <row r="108" spans="1:4" x14ac:dyDescent="0.75">
      <c r="A108" s="27">
        <v>106</v>
      </c>
      <c r="B108" s="27">
        <f t="shared" si="2"/>
        <v>35</v>
      </c>
      <c r="C108" s="27">
        <f t="shared" si="3"/>
        <v>1</v>
      </c>
      <c r="D108" s="26" t="str" cm="1">
        <f t="array" ref="D108">INDEX('BaseMap-1'!$H$8:$J$94,1+B108,C108)</f>
        <v/>
      </c>
    </row>
    <row r="109" spans="1:4" x14ac:dyDescent="0.75">
      <c r="A109" s="27">
        <v>107</v>
      </c>
      <c r="B109" s="27">
        <f t="shared" si="2"/>
        <v>35</v>
      </c>
      <c r="C109" s="27">
        <f t="shared" si="3"/>
        <v>2</v>
      </c>
      <c r="D109" s="26" t="str" cm="1">
        <f t="array" ref="D109">INDEX('BaseMap-1'!$H$8:$J$94,1+B109,C109)</f>
        <v/>
      </c>
    </row>
    <row r="110" spans="1:4" x14ac:dyDescent="0.75">
      <c r="A110" s="27">
        <v>108</v>
      </c>
      <c r="B110" s="27">
        <f t="shared" si="2"/>
        <v>35</v>
      </c>
      <c r="C110" s="27">
        <f t="shared" si="3"/>
        <v>3</v>
      </c>
      <c r="D110" s="26" t="str" cm="1">
        <f t="array" ref="D110">INDEX('BaseMap-1'!$H$8:$J$94,1+B110,C110)</f>
        <v/>
      </c>
    </row>
    <row r="111" spans="1:4" x14ac:dyDescent="0.75">
      <c r="A111" s="27">
        <v>109</v>
      </c>
      <c r="B111" s="27">
        <f t="shared" si="2"/>
        <v>36</v>
      </c>
      <c r="C111" s="27">
        <f t="shared" si="3"/>
        <v>1</v>
      </c>
      <c r="D111" s="26" t="str" cm="1">
        <f t="array" ref="D111">INDEX('BaseMap-1'!$H$8:$J$94,1+B111,C111)</f>
        <v/>
      </c>
    </row>
    <row r="112" spans="1:4" x14ac:dyDescent="0.75">
      <c r="A112" s="27">
        <v>110</v>
      </c>
      <c r="B112" s="27">
        <f t="shared" si="2"/>
        <v>36</v>
      </c>
      <c r="C112" s="27">
        <f t="shared" si="3"/>
        <v>2</v>
      </c>
      <c r="D112" s="26" t="str" cm="1">
        <f t="array" ref="D112">INDEX('BaseMap-1'!$H$8:$J$94,1+B112,C112)</f>
        <v/>
      </c>
    </row>
    <row r="113" spans="1:4" x14ac:dyDescent="0.75">
      <c r="A113" s="27">
        <v>111</v>
      </c>
      <c r="B113" s="27">
        <f t="shared" si="2"/>
        <v>36</v>
      </c>
      <c r="C113" s="27">
        <f t="shared" si="3"/>
        <v>3</v>
      </c>
      <c r="D113" s="26" t="str" cm="1">
        <f t="array" ref="D113">INDEX('BaseMap-1'!$H$8:$J$94,1+B113,C113)</f>
        <v/>
      </c>
    </row>
    <row r="114" spans="1:4" x14ac:dyDescent="0.75">
      <c r="A114" s="27">
        <v>112</v>
      </c>
      <c r="B114" s="27">
        <f t="shared" si="2"/>
        <v>37</v>
      </c>
      <c r="C114" s="27">
        <f t="shared" si="3"/>
        <v>1</v>
      </c>
      <c r="D114" s="26" t="str" cm="1">
        <f t="array" ref="D114">INDEX('BaseMap-1'!$H$8:$J$94,1+B114,C114)</f>
        <v/>
      </c>
    </row>
    <row r="115" spans="1:4" x14ac:dyDescent="0.75">
      <c r="A115" s="27">
        <v>113</v>
      </c>
      <c r="B115" s="27">
        <f t="shared" si="2"/>
        <v>37</v>
      </c>
      <c r="C115" s="27">
        <f t="shared" si="3"/>
        <v>2</v>
      </c>
      <c r="D115" s="26" t="str" cm="1">
        <f t="array" ref="D115">INDEX('BaseMap-1'!$H$8:$J$94,1+B115,C115)</f>
        <v/>
      </c>
    </row>
    <row r="116" spans="1:4" x14ac:dyDescent="0.75">
      <c r="A116" s="27">
        <v>114</v>
      </c>
      <c r="B116" s="27">
        <f t="shared" si="2"/>
        <v>37</v>
      </c>
      <c r="C116" s="27">
        <f t="shared" si="3"/>
        <v>3</v>
      </c>
      <c r="D116" s="26" t="str" cm="1">
        <f t="array" ref="D116">INDEX('BaseMap-1'!$H$8:$J$94,1+B116,C116)</f>
        <v/>
      </c>
    </row>
    <row r="117" spans="1:4" x14ac:dyDescent="0.75">
      <c r="A117" s="27">
        <v>115</v>
      </c>
      <c r="B117" s="27">
        <f t="shared" si="2"/>
        <v>38</v>
      </c>
      <c r="C117" s="27">
        <f t="shared" si="3"/>
        <v>1</v>
      </c>
      <c r="D117" s="26" t="str" cm="1">
        <f t="array" ref="D117">INDEX('BaseMap-1'!$H$8:$J$94,1+B117,C117)</f>
        <v/>
      </c>
    </row>
    <row r="118" spans="1:4" x14ac:dyDescent="0.75">
      <c r="A118" s="27">
        <v>116</v>
      </c>
      <c r="B118" s="27">
        <f t="shared" si="2"/>
        <v>38</v>
      </c>
      <c r="C118" s="27">
        <f t="shared" si="3"/>
        <v>2</v>
      </c>
      <c r="D118" s="26" t="str" cm="1">
        <f t="array" ref="D118">INDEX('BaseMap-1'!$H$8:$J$94,1+B118,C118)</f>
        <v/>
      </c>
    </row>
    <row r="119" spans="1:4" x14ac:dyDescent="0.75">
      <c r="A119" s="27">
        <v>117</v>
      </c>
      <c r="B119" s="27">
        <f t="shared" si="2"/>
        <v>38</v>
      </c>
      <c r="C119" s="27">
        <f t="shared" si="3"/>
        <v>3</v>
      </c>
      <c r="D119" s="26" t="str" cm="1">
        <f t="array" ref="D119">INDEX('BaseMap-1'!$H$8:$J$94,1+B119,C119)</f>
        <v/>
      </c>
    </row>
    <row r="120" spans="1:4" x14ac:dyDescent="0.75">
      <c r="A120" s="27">
        <v>118</v>
      </c>
      <c r="B120" s="27">
        <f t="shared" si="2"/>
        <v>39</v>
      </c>
      <c r="C120" s="27">
        <f t="shared" si="3"/>
        <v>1</v>
      </c>
      <c r="D120" s="26" t="str" cm="1">
        <f t="array" ref="D120">INDEX('BaseMap-1'!$H$8:$J$94,1+B120,C120)</f>
        <v/>
      </c>
    </row>
    <row r="121" spans="1:4" x14ac:dyDescent="0.75">
      <c r="A121" s="27">
        <v>119</v>
      </c>
      <c r="B121" s="27">
        <f t="shared" si="2"/>
        <v>39</v>
      </c>
      <c r="C121" s="27">
        <f t="shared" si="3"/>
        <v>2</v>
      </c>
      <c r="D121" s="26" t="str" cm="1">
        <f t="array" ref="D121">INDEX('BaseMap-1'!$H$8:$J$94,1+B121,C121)</f>
        <v/>
      </c>
    </row>
    <row r="122" spans="1:4" x14ac:dyDescent="0.75">
      <c r="A122" s="27">
        <v>120</v>
      </c>
      <c r="B122" s="27">
        <f t="shared" si="2"/>
        <v>39</v>
      </c>
      <c r="C122" s="27">
        <f t="shared" si="3"/>
        <v>3</v>
      </c>
      <c r="D122" s="26" t="str" cm="1">
        <f t="array" ref="D122">INDEX('BaseMap-1'!$H$8:$J$94,1+B122,C122)</f>
        <v/>
      </c>
    </row>
    <row r="123" spans="1:4" x14ac:dyDescent="0.75">
      <c r="A123" s="27">
        <v>121</v>
      </c>
      <c r="B123" s="27">
        <f t="shared" si="2"/>
        <v>40</v>
      </c>
      <c r="C123" s="27">
        <f t="shared" si="3"/>
        <v>1</v>
      </c>
      <c r="D123" s="26" t="str" cm="1">
        <f t="array" ref="D123">INDEX('BaseMap-1'!$H$8:$J$94,1+B123,C123)</f>
        <v/>
      </c>
    </row>
    <row r="124" spans="1:4" x14ac:dyDescent="0.75">
      <c r="A124" s="27">
        <v>122</v>
      </c>
      <c r="B124" s="27">
        <f t="shared" si="2"/>
        <v>40</v>
      </c>
      <c r="C124" s="27">
        <f t="shared" si="3"/>
        <v>2</v>
      </c>
      <c r="D124" s="26" t="str" cm="1">
        <f t="array" ref="D124">INDEX('BaseMap-1'!$H$8:$J$94,1+B124,C124)</f>
        <v/>
      </c>
    </row>
    <row r="125" spans="1:4" x14ac:dyDescent="0.75">
      <c r="A125" s="27">
        <v>123</v>
      </c>
      <c r="B125" s="27">
        <f t="shared" si="2"/>
        <v>40</v>
      </c>
      <c r="C125" s="27">
        <f t="shared" si="3"/>
        <v>3</v>
      </c>
      <c r="D125" s="26" t="str" cm="1">
        <f t="array" ref="D125">INDEX('BaseMap-1'!$H$8:$J$94,1+B125,C125)</f>
        <v/>
      </c>
    </row>
    <row r="126" spans="1:4" x14ac:dyDescent="0.75">
      <c r="A126" s="27">
        <v>124</v>
      </c>
      <c r="B126" s="27">
        <f t="shared" si="2"/>
        <v>41</v>
      </c>
      <c r="C126" s="27">
        <f t="shared" si="3"/>
        <v>1</v>
      </c>
      <c r="D126" s="26" t="str" cm="1">
        <f t="array" ref="D126">INDEX('BaseMap-1'!$H$8:$J$94,1+B126,C126)</f>
        <v/>
      </c>
    </row>
    <row r="127" spans="1:4" x14ac:dyDescent="0.75">
      <c r="A127" s="27">
        <v>125</v>
      </c>
      <c r="B127" s="27">
        <f t="shared" si="2"/>
        <v>41</v>
      </c>
      <c r="C127" s="27">
        <f t="shared" si="3"/>
        <v>2</v>
      </c>
      <c r="D127" s="26" t="str" cm="1">
        <f t="array" ref="D127">INDEX('BaseMap-1'!$H$8:$J$94,1+B127,C127)</f>
        <v/>
      </c>
    </row>
    <row r="128" spans="1:4" x14ac:dyDescent="0.75">
      <c r="A128" s="27">
        <v>126</v>
      </c>
      <c r="B128" s="27">
        <f t="shared" si="2"/>
        <v>41</v>
      </c>
      <c r="C128" s="27">
        <f t="shared" si="3"/>
        <v>3</v>
      </c>
      <c r="D128" s="26" t="str" cm="1">
        <f t="array" ref="D128">INDEX('BaseMap-1'!$H$8:$J$94,1+B128,C128)</f>
        <v/>
      </c>
    </row>
    <row r="129" spans="1:4" x14ac:dyDescent="0.75">
      <c r="A129" s="27">
        <v>127</v>
      </c>
      <c r="B129" s="27">
        <f t="shared" si="2"/>
        <v>42</v>
      </c>
      <c r="C129" s="27">
        <f t="shared" si="3"/>
        <v>1</v>
      </c>
      <c r="D129" s="26" t="str" cm="1">
        <f t="array" ref="D129">INDEX('BaseMap-1'!$H$8:$J$94,1+B129,C129)</f>
        <v/>
      </c>
    </row>
    <row r="130" spans="1:4" x14ac:dyDescent="0.75">
      <c r="A130" s="27">
        <v>128</v>
      </c>
      <c r="B130" s="27">
        <f t="shared" si="2"/>
        <v>42</v>
      </c>
      <c r="C130" s="27">
        <f t="shared" si="3"/>
        <v>2</v>
      </c>
      <c r="D130" s="26" t="str" cm="1">
        <f t="array" ref="D130">INDEX('BaseMap-1'!$H$8:$J$94,1+B130,C130)</f>
        <v/>
      </c>
    </row>
    <row r="131" spans="1:4" x14ac:dyDescent="0.75">
      <c r="A131" s="27">
        <v>129</v>
      </c>
      <c r="B131" s="27">
        <f t="shared" si="2"/>
        <v>42</v>
      </c>
      <c r="C131" s="27">
        <f t="shared" si="3"/>
        <v>3</v>
      </c>
      <c r="D131" s="26" t="str" cm="1">
        <f t="array" ref="D131">INDEX('BaseMap-1'!$H$8:$J$94,1+B131,C131)</f>
        <v/>
      </c>
    </row>
    <row r="132" spans="1:4" x14ac:dyDescent="0.75">
      <c r="A132" s="27">
        <v>130</v>
      </c>
      <c r="B132" s="27">
        <f t="shared" ref="B132:B195" si="4">IF(MOD(A132,3)=0,A132/3-1,INT(A132/3))</f>
        <v>43</v>
      </c>
      <c r="C132" s="27">
        <f t="shared" ref="C132:C195" si="5">IF(MOD(A132,3)=0,3,MOD(A132,3))</f>
        <v>1</v>
      </c>
      <c r="D132" s="26" t="str" cm="1">
        <f t="array" ref="D132">INDEX('BaseMap-1'!$H$8:$J$94,1+B132,C132)</f>
        <v/>
      </c>
    </row>
    <row r="133" spans="1:4" x14ac:dyDescent="0.75">
      <c r="A133" s="27">
        <v>131</v>
      </c>
      <c r="B133" s="27">
        <f t="shared" si="4"/>
        <v>43</v>
      </c>
      <c r="C133" s="27">
        <f t="shared" si="5"/>
        <v>2</v>
      </c>
      <c r="D133" s="26" t="str" cm="1">
        <f t="array" ref="D133">INDEX('BaseMap-1'!$H$8:$J$94,1+B133,C133)</f>
        <v/>
      </c>
    </row>
    <row r="134" spans="1:4" x14ac:dyDescent="0.75">
      <c r="A134" s="27">
        <v>132</v>
      </c>
      <c r="B134" s="27">
        <f t="shared" si="4"/>
        <v>43</v>
      </c>
      <c r="C134" s="27">
        <f t="shared" si="5"/>
        <v>3</v>
      </c>
      <c r="D134" s="26" t="str" cm="1">
        <f t="array" ref="D134">INDEX('BaseMap-1'!$H$8:$J$94,1+B134,C134)</f>
        <v/>
      </c>
    </row>
    <row r="135" spans="1:4" x14ac:dyDescent="0.75">
      <c r="A135" s="27">
        <v>133</v>
      </c>
      <c r="B135" s="27">
        <f t="shared" si="4"/>
        <v>44</v>
      </c>
      <c r="C135" s="27">
        <f t="shared" si="5"/>
        <v>1</v>
      </c>
      <c r="D135" s="26" t="str" cm="1">
        <f t="array" ref="D135">INDEX('BaseMap-1'!$H$8:$J$94,1+B135,C135)</f>
        <v/>
      </c>
    </row>
    <row r="136" spans="1:4" x14ac:dyDescent="0.75">
      <c r="A136" s="27">
        <v>134</v>
      </c>
      <c r="B136" s="27">
        <f t="shared" si="4"/>
        <v>44</v>
      </c>
      <c r="C136" s="27">
        <f t="shared" si="5"/>
        <v>2</v>
      </c>
      <c r="D136" s="26" t="str" cm="1">
        <f t="array" ref="D136">INDEX('BaseMap-1'!$H$8:$J$94,1+B136,C136)</f>
        <v/>
      </c>
    </row>
    <row r="137" spans="1:4" x14ac:dyDescent="0.75">
      <c r="A137" s="27">
        <v>135</v>
      </c>
      <c r="B137" s="27">
        <f t="shared" si="4"/>
        <v>44</v>
      </c>
      <c r="C137" s="27">
        <f t="shared" si="5"/>
        <v>3</v>
      </c>
      <c r="D137" s="26" t="str" cm="1">
        <f t="array" ref="D137">INDEX('BaseMap-1'!$H$8:$J$94,1+B137,C137)</f>
        <v/>
      </c>
    </row>
    <row r="138" spans="1:4" x14ac:dyDescent="0.75">
      <c r="A138" s="27">
        <v>136</v>
      </c>
      <c r="B138" s="27">
        <f t="shared" si="4"/>
        <v>45</v>
      </c>
      <c r="C138" s="27">
        <f t="shared" si="5"/>
        <v>1</v>
      </c>
      <c r="D138" s="26" t="str" cm="1">
        <f t="array" ref="D138">INDEX('BaseMap-1'!$H$8:$J$94,1+B138,C138)</f>
        <v/>
      </c>
    </row>
    <row r="139" spans="1:4" x14ac:dyDescent="0.75">
      <c r="A139" s="27">
        <v>137</v>
      </c>
      <c r="B139" s="27">
        <f t="shared" si="4"/>
        <v>45</v>
      </c>
      <c r="C139" s="27">
        <f t="shared" si="5"/>
        <v>2</v>
      </c>
      <c r="D139" s="26" t="str" cm="1">
        <f t="array" ref="D139">INDEX('BaseMap-1'!$H$8:$J$94,1+B139,C139)</f>
        <v/>
      </c>
    </row>
    <row r="140" spans="1:4" x14ac:dyDescent="0.75">
      <c r="A140" s="27">
        <v>138</v>
      </c>
      <c r="B140" s="27">
        <f t="shared" si="4"/>
        <v>45</v>
      </c>
      <c r="C140" s="27">
        <f t="shared" si="5"/>
        <v>3</v>
      </c>
      <c r="D140" s="26" t="str" cm="1">
        <f t="array" ref="D140">INDEX('BaseMap-1'!$H$8:$J$94,1+B140,C140)</f>
        <v/>
      </c>
    </row>
    <row r="141" spans="1:4" x14ac:dyDescent="0.75">
      <c r="A141" s="27">
        <v>139</v>
      </c>
      <c r="B141" s="27">
        <f t="shared" si="4"/>
        <v>46</v>
      </c>
      <c r="C141" s="27">
        <f t="shared" si="5"/>
        <v>1</v>
      </c>
      <c r="D141" s="26" t="str" cm="1">
        <f t="array" ref="D141">INDEX('BaseMap-1'!$H$8:$J$94,1+B141,C141)</f>
        <v/>
      </c>
    </row>
    <row r="142" spans="1:4" x14ac:dyDescent="0.75">
      <c r="A142" s="27">
        <v>140</v>
      </c>
      <c r="B142" s="27">
        <f t="shared" si="4"/>
        <v>46</v>
      </c>
      <c r="C142" s="27">
        <f t="shared" si="5"/>
        <v>2</v>
      </c>
      <c r="D142" s="26" t="str" cm="1">
        <f t="array" ref="D142">INDEX('BaseMap-1'!$H$8:$J$94,1+B142,C142)</f>
        <v/>
      </c>
    </row>
    <row r="143" spans="1:4" x14ac:dyDescent="0.75">
      <c r="A143" s="27">
        <v>141</v>
      </c>
      <c r="B143" s="27">
        <f t="shared" si="4"/>
        <v>46</v>
      </c>
      <c r="C143" s="27">
        <f t="shared" si="5"/>
        <v>3</v>
      </c>
      <c r="D143" s="26" t="str" cm="1">
        <f t="array" ref="D143">INDEX('BaseMap-1'!$H$8:$J$94,1+B143,C143)</f>
        <v/>
      </c>
    </row>
    <row r="144" spans="1:4" x14ac:dyDescent="0.75">
      <c r="A144" s="27">
        <v>142</v>
      </c>
      <c r="B144" s="27">
        <f t="shared" si="4"/>
        <v>47</v>
      </c>
      <c r="C144" s="27">
        <f t="shared" si="5"/>
        <v>1</v>
      </c>
      <c r="D144" s="26" t="str" cm="1">
        <f t="array" ref="D144">INDEX('BaseMap-1'!$H$8:$J$94,1+B144,C144)</f>
        <v/>
      </c>
    </row>
    <row r="145" spans="1:4" x14ac:dyDescent="0.75">
      <c r="A145" s="27">
        <v>143</v>
      </c>
      <c r="B145" s="27">
        <f t="shared" si="4"/>
        <v>47</v>
      </c>
      <c r="C145" s="27">
        <f t="shared" si="5"/>
        <v>2</v>
      </c>
      <c r="D145" s="26" t="str" cm="1">
        <f t="array" ref="D145">INDEX('BaseMap-1'!$H$8:$J$94,1+B145,C145)</f>
        <v/>
      </c>
    </row>
    <row r="146" spans="1:4" x14ac:dyDescent="0.75">
      <c r="A146" s="27">
        <v>144</v>
      </c>
      <c r="B146" s="27">
        <f t="shared" si="4"/>
        <v>47</v>
      </c>
      <c r="C146" s="27">
        <f t="shared" si="5"/>
        <v>3</v>
      </c>
      <c r="D146" s="26" t="str" cm="1">
        <f t="array" ref="D146">INDEX('BaseMap-1'!$H$8:$J$94,1+B146,C146)</f>
        <v/>
      </c>
    </row>
    <row r="147" spans="1:4" x14ac:dyDescent="0.75">
      <c r="A147" s="27">
        <v>145</v>
      </c>
      <c r="B147" s="27">
        <f t="shared" si="4"/>
        <v>48</v>
      </c>
      <c r="C147" s="27">
        <f t="shared" si="5"/>
        <v>1</v>
      </c>
      <c r="D147" s="26" t="str" cm="1">
        <f t="array" ref="D147">INDEX('BaseMap-1'!$H$8:$J$94,1+B147,C147)</f>
        <v/>
      </c>
    </row>
    <row r="148" spans="1:4" x14ac:dyDescent="0.75">
      <c r="A148" s="27">
        <v>146</v>
      </c>
      <c r="B148" s="27">
        <f t="shared" si="4"/>
        <v>48</v>
      </c>
      <c r="C148" s="27">
        <f t="shared" si="5"/>
        <v>2</v>
      </c>
      <c r="D148" s="26" t="str" cm="1">
        <f t="array" ref="D148">INDEX('BaseMap-1'!$H$8:$J$94,1+B148,C148)</f>
        <v/>
      </c>
    </row>
    <row r="149" spans="1:4" x14ac:dyDescent="0.75">
      <c r="A149" s="27">
        <v>147</v>
      </c>
      <c r="B149" s="27">
        <f t="shared" si="4"/>
        <v>48</v>
      </c>
      <c r="C149" s="27">
        <f t="shared" si="5"/>
        <v>3</v>
      </c>
      <c r="D149" s="26" t="str" cm="1">
        <f t="array" ref="D149">INDEX('BaseMap-1'!$H$8:$J$94,1+B149,C149)</f>
        <v/>
      </c>
    </row>
    <row r="150" spans="1:4" x14ac:dyDescent="0.75">
      <c r="A150" s="27">
        <v>148</v>
      </c>
      <c r="B150" s="27">
        <f t="shared" si="4"/>
        <v>49</v>
      </c>
      <c r="C150" s="27">
        <f t="shared" si="5"/>
        <v>1</v>
      </c>
      <c r="D150" s="26" t="str" cm="1">
        <f t="array" ref="D150">INDEX('BaseMap-1'!$H$8:$J$94,1+B150,C150)</f>
        <v/>
      </c>
    </row>
    <row r="151" spans="1:4" x14ac:dyDescent="0.75">
      <c r="A151" s="27">
        <v>149</v>
      </c>
      <c r="B151" s="27">
        <f t="shared" si="4"/>
        <v>49</v>
      </c>
      <c r="C151" s="27">
        <f t="shared" si="5"/>
        <v>2</v>
      </c>
      <c r="D151" s="26" t="str" cm="1">
        <f t="array" ref="D151">INDEX('BaseMap-1'!$H$8:$J$94,1+B151,C151)</f>
        <v/>
      </c>
    </row>
    <row r="152" spans="1:4" x14ac:dyDescent="0.75">
      <c r="A152" s="27">
        <v>150</v>
      </c>
      <c r="B152" s="27">
        <f t="shared" si="4"/>
        <v>49</v>
      </c>
      <c r="C152" s="27">
        <f t="shared" si="5"/>
        <v>3</v>
      </c>
      <c r="D152" s="26" t="str" cm="1">
        <f t="array" ref="D152">INDEX('BaseMap-1'!$H$8:$J$94,1+B152,C152)</f>
        <v/>
      </c>
    </row>
    <row r="153" spans="1:4" x14ac:dyDescent="0.75">
      <c r="A153" s="27">
        <v>151</v>
      </c>
      <c r="B153" s="27">
        <f t="shared" si="4"/>
        <v>50</v>
      </c>
      <c r="C153" s="27">
        <f t="shared" si="5"/>
        <v>1</v>
      </c>
      <c r="D153" s="26" t="str" cm="1">
        <f t="array" ref="D153">INDEX('BaseMap-1'!$H$8:$J$94,1+B153,C153)</f>
        <v/>
      </c>
    </row>
    <row r="154" spans="1:4" x14ac:dyDescent="0.75">
      <c r="A154" s="27">
        <v>152</v>
      </c>
      <c r="B154" s="27">
        <f t="shared" si="4"/>
        <v>50</v>
      </c>
      <c r="C154" s="27">
        <f t="shared" si="5"/>
        <v>2</v>
      </c>
      <c r="D154" s="26" t="str" cm="1">
        <f t="array" ref="D154">INDEX('BaseMap-1'!$H$8:$J$94,1+B154,C154)</f>
        <v/>
      </c>
    </row>
    <row r="155" spans="1:4" x14ac:dyDescent="0.75">
      <c r="A155" s="27">
        <v>153</v>
      </c>
      <c r="B155" s="27">
        <f t="shared" si="4"/>
        <v>50</v>
      </c>
      <c r="C155" s="27">
        <f t="shared" si="5"/>
        <v>3</v>
      </c>
      <c r="D155" s="26" t="str" cm="1">
        <f t="array" ref="D155">INDEX('BaseMap-1'!$H$8:$J$94,1+B155,C155)</f>
        <v/>
      </c>
    </row>
    <row r="156" spans="1:4" x14ac:dyDescent="0.75">
      <c r="A156" s="27">
        <v>154</v>
      </c>
      <c r="B156" s="27">
        <f t="shared" si="4"/>
        <v>51</v>
      </c>
      <c r="C156" s="27">
        <f t="shared" si="5"/>
        <v>1</v>
      </c>
      <c r="D156" s="26" t="str" cm="1">
        <f t="array" ref="D156">INDEX('BaseMap-1'!$H$8:$J$94,1+B156,C156)</f>
        <v/>
      </c>
    </row>
    <row r="157" spans="1:4" x14ac:dyDescent="0.75">
      <c r="A157" s="27">
        <v>155</v>
      </c>
      <c r="B157" s="27">
        <f t="shared" si="4"/>
        <v>51</v>
      </c>
      <c r="C157" s="27">
        <f t="shared" si="5"/>
        <v>2</v>
      </c>
      <c r="D157" s="26" t="str" cm="1">
        <f t="array" ref="D157">INDEX('BaseMap-1'!$H$8:$J$94,1+B157,C157)</f>
        <v/>
      </c>
    </row>
    <row r="158" spans="1:4" x14ac:dyDescent="0.75">
      <c r="A158" s="27">
        <v>156</v>
      </c>
      <c r="B158" s="27">
        <f t="shared" si="4"/>
        <v>51</v>
      </c>
      <c r="C158" s="27">
        <f t="shared" si="5"/>
        <v>3</v>
      </c>
      <c r="D158" s="26" t="str" cm="1">
        <f t="array" ref="D158">INDEX('BaseMap-1'!$H$8:$J$94,1+B158,C158)</f>
        <v/>
      </c>
    </row>
    <row r="159" spans="1:4" x14ac:dyDescent="0.75">
      <c r="A159" s="27">
        <v>157</v>
      </c>
      <c r="B159" s="27">
        <f t="shared" si="4"/>
        <v>52</v>
      </c>
      <c r="C159" s="27">
        <f t="shared" si="5"/>
        <v>1</v>
      </c>
      <c r="D159" s="26" cm="1">
        <f t="array" ref="D159">INDEX('BaseMap-1'!$H$8:$J$94,1+B159,C159)</f>
        <v>0</v>
      </c>
    </row>
    <row r="160" spans="1:4" x14ac:dyDescent="0.75">
      <c r="A160" s="27">
        <v>158</v>
      </c>
      <c r="B160" s="27">
        <f t="shared" si="4"/>
        <v>52</v>
      </c>
      <c r="C160" s="27">
        <f t="shared" si="5"/>
        <v>2</v>
      </c>
      <c r="D160" s="26" cm="1">
        <f t="array" ref="D160">INDEX('BaseMap-1'!$H$8:$J$94,1+B160,C160)</f>
        <v>0</v>
      </c>
    </row>
    <row r="161" spans="1:4" x14ac:dyDescent="0.75">
      <c r="A161" s="27">
        <v>159</v>
      </c>
      <c r="B161" s="27">
        <f t="shared" si="4"/>
        <v>52</v>
      </c>
      <c r="C161" s="27">
        <f t="shared" si="5"/>
        <v>3</v>
      </c>
      <c r="D161" s="26" cm="1">
        <f t="array" ref="D161">INDEX('BaseMap-1'!$H$8:$J$94,1+B161,C161)</f>
        <v>0</v>
      </c>
    </row>
    <row r="162" spans="1:4" x14ac:dyDescent="0.75">
      <c r="A162" s="27">
        <v>160</v>
      </c>
      <c r="B162" s="27">
        <f t="shared" si="4"/>
        <v>53</v>
      </c>
      <c r="C162" s="27">
        <f t="shared" si="5"/>
        <v>1</v>
      </c>
      <c r="D162" s="26" cm="1">
        <f t="array" ref="D162">INDEX('BaseMap-1'!$H$8:$J$94,1+B162,C162)</f>
        <v>0</v>
      </c>
    </row>
    <row r="163" spans="1:4" x14ac:dyDescent="0.75">
      <c r="A163" s="27">
        <v>161</v>
      </c>
      <c r="B163" s="27">
        <f t="shared" si="4"/>
        <v>53</v>
      </c>
      <c r="C163" s="27">
        <f t="shared" si="5"/>
        <v>2</v>
      </c>
      <c r="D163" s="26" cm="1">
        <f t="array" ref="D163">INDEX('BaseMap-1'!$H$8:$J$94,1+B163,C163)</f>
        <v>0</v>
      </c>
    </row>
    <row r="164" spans="1:4" x14ac:dyDescent="0.75">
      <c r="A164" s="27">
        <v>162</v>
      </c>
      <c r="B164" s="27">
        <f t="shared" si="4"/>
        <v>53</v>
      </c>
      <c r="C164" s="27">
        <f t="shared" si="5"/>
        <v>3</v>
      </c>
      <c r="D164" s="26" cm="1">
        <f t="array" ref="D164">INDEX('BaseMap-1'!$H$8:$J$94,1+B164,C164)</f>
        <v>0</v>
      </c>
    </row>
    <row r="165" spans="1:4" x14ac:dyDescent="0.75">
      <c r="A165" s="27">
        <v>163</v>
      </c>
      <c r="B165" s="27">
        <f t="shared" si="4"/>
        <v>54</v>
      </c>
      <c r="C165" s="27">
        <f t="shared" si="5"/>
        <v>1</v>
      </c>
      <c r="D165" s="26" cm="1">
        <f t="array" ref="D165">INDEX('BaseMap-1'!$H$8:$J$94,1+B165,C165)</f>
        <v>0</v>
      </c>
    </row>
    <row r="166" spans="1:4" x14ac:dyDescent="0.75">
      <c r="A166" s="27">
        <v>164</v>
      </c>
      <c r="B166" s="27">
        <f t="shared" si="4"/>
        <v>54</v>
      </c>
      <c r="C166" s="27">
        <f t="shared" si="5"/>
        <v>2</v>
      </c>
      <c r="D166" s="26" cm="1">
        <f t="array" ref="D166">INDEX('BaseMap-1'!$H$8:$J$94,1+B166,C166)</f>
        <v>0</v>
      </c>
    </row>
    <row r="167" spans="1:4" x14ac:dyDescent="0.75">
      <c r="A167" s="27">
        <v>165</v>
      </c>
      <c r="B167" s="27">
        <f t="shared" si="4"/>
        <v>54</v>
      </c>
      <c r="C167" s="27">
        <f t="shared" si="5"/>
        <v>3</v>
      </c>
      <c r="D167" s="26" cm="1">
        <f t="array" ref="D167">INDEX('BaseMap-1'!$H$8:$J$94,1+B167,C167)</f>
        <v>0</v>
      </c>
    </row>
    <row r="168" spans="1:4" x14ac:dyDescent="0.75">
      <c r="A168" s="27">
        <v>166</v>
      </c>
      <c r="B168" s="27">
        <f t="shared" si="4"/>
        <v>55</v>
      </c>
      <c r="C168" s="27">
        <f t="shared" si="5"/>
        <v>1</v>
      </c>
      <c r="D168" s="26" cm="1">
        <f t="array" ref="D168">INDEX('BaseMap-1'!$H$8:$J$94,1+B168,C168)</f>
        <v>0</v>
      </c>
    </row>
    <row r="169" spans="1:4" x14ac:dyDescent="0.75">
      <c r="A169" s="27">
        <v>167</v>
      </c>
      <c r="B169" s="27">
        <f t="shared" si="4"/>
        <v>55</v>
      </c>
      <c r="C169" s="27">
        <f t="shared" si="5"/>
        <v>2</v>
      </c>
      <c r="D169" s="26" cm="1">
        <f t="array" ref="D169">INDEX('BaseMap-1'!$H$8:$J$94,1+B169,C169)</f>
        <v>0</v>
      </c>
    </row>
    <row r="170" spans="1:4" x14ac:dyDescent="0.75">
      <c r="A170" s="27">
        <v>168</v>
      </c>
      <c r="B170" s="27">
        <f t="shared" si="4"/>
        <v>55</v>
      </c>
      <c r="C170" s="27">
        <f t="shared" si="5"/>
        <v>3</v>
      </c>
      <c r="D170" s="26" cm="1">
        <f t="array" ref="D170">INDEX('BaseMap-1'!$H$8:$J$94,1+B170,C170)</f>
        <v>0</v>
      </c>
    </row>
    <row r="171" spans="1:4" x14ac:dyDescent="0.75">
      <c r="A171" s="27">
        <v>169</v>
      </c>
      <c r="B171" s="27">
        <f t="shared" si="4"/>
        <v>56</v>
      </c>
      <c r="C171" s="27">
        <f t="shared" si="5"/>
        <v>1</v>
      </c>
      <c r="D171" s="26" cm="1">
        <f t="array" ref="D171">INDEX('BaseMap-1'!$H$8:$J$94,1+B171,C171)</f>
        <v>0</v>
      </c>
    </row>
    <row r="172" spans="1:4" x14ac:dyDescent="0.75">
      <c r="A172" s="27">
        <v>170</v>
      </c>
      <c r="B172" s="27">
        <f t="shared" si="4"/>
        <v>56</v>
      </c>
      <c r="C172" s="27">
        <f t="shared" si="5"/>
        <v>2</v>
      </c>
      <c r="D172" s="26" cm="1">
        <f t="array" ref="D172">INDEX('BaseMap-1'!$H$8:$J$94,1+B172,C172)</f>
        <v>0</v>
      </c>
    </row>
    <row r="173" spans="1:4" x14ac:dyDescent="0.75">
      <c r="A173" s="27">
        <v>171</v>
      </c>
      <c r="B173" s="27">
        <f t="shared" si="4"/>
        <v>56</v>
      </c>
      <c r="C173" s="27">
        <f t="shared" si="5"/>
        <v>3</v>
      </c>
      <c r="D173" s="26" cm="1">
        <f t="array" ref="D173">INDEX('BaseMap-1'!$H$8:$J$94,1+B173,C173)</f>
        <v>0</v>
      </c>
    </row>
    <row r="174" spans="1:4" x14ac:dyDescent="0.75">
      <c r="A174" s="27">
        <v>172</v>
      </c>
      <c r="B174" s="27">
        <f t="shared" si="4"/>
        <v>57</v>
      </c>
      <c r="C174" s="27">
        <f t="shared" si="5"/>
        <v>1</v>
      </c>
      <c r="D174" s="26" cm="1">
        <f t="array" ref="D174">INDEX('BaseMap-1'!$H$8:$J$94,1+B174,C174)</f>
        <v>0</v>
      </c>
    </row>
    <row r="175" spans="1:4" x14ac:dyDescent="0.75">
      <c r="A175" s="27">
        <v>173</v>
      </c>
      <c r="B175" s="27">
        <f t="shared" si="4"/>
        <v>57</v>
      </c>
      <c r="C175" s="27">
        <f t="shared" si="5"/>
        <v>2</v>
      </c>
      <c r="D175" s="26" cm="1">
        <f t="array" ref="D175">INDEX('BaseMap-1'!$H$8:$J$94,1+B175,C175)</f>
        <v>0</v>
      </c>
    </row>
    <row r="176" spans="1:4" x14ac:dyDescent="0.75">
      <c r="A176" s="27">
        <v>174</v>
      </c>
      <c r="B176" s="27">
        <f t="shared" si="4"/>
        <v>57</v>
      </c>
      <c r="C176" s="27">
        <f t="shared" si="5"/>
        <v>3</v>
      </c>
      <c r="D176" s="26" cm="1">
        <f t="array" ref="D176">INDEX('BaseMap-1'!$H$8:$J$94,1+B176,C176)</f>
        <v>0</v>
      </c>
    </row>
    <row r="177" spans="1:4" x14ac:dyDescent="0.75">
      <c r="A177" s="27">
        <v>175</v>
      </c>
      <c r="B177" s="27">
        <f t="shared" si="4"/>
        <v>58</v>
      </c>
      <c r="C177" s="27">
        <f t="shared" si="5"/>
        <v>1</v>
      </c>
      <c r="D177" s="26" cm="1">
        <f t="array" ref="D177">INDEX('BaseMap-1'!$H$8:$J$94,1+B177,C177)</f>
        <v>0</v>
      </c>
    </row>
    <row r="178" spans="1:4" x14ac:dyDescent="0.75">
      <c r="A178" s="27">
        <v>176</v>
      </c>
      <c r="B178" s="27">
        <f t="shared" si="4"/>
        <v>58</v>
      </c>
      <c r="C178" s="27">
        <f t="shared" si="5"/>
        <v>2</v>
      </c>
      <c r="D178" s="26" cm="1">
        <f t="array" ref="D178">INDEX('BaseMap-1'!$H$8:$J$94,1+B178,C178)</f>
        <v>0</v>
      </c>
    </row>
    <row r="179" spans="1:4" x14ac:dyDescent="0.75">
      <c r="A179" s="27">
        <v>177</v>
      </c>
      <c r="B179" s="27">
        <f t="shared" si="4"/>
        <v>58</v>
      </c>
      <c r="C179" s="27">
        <f t="shared" si="5"/>
        <v>3</v>
      </c>
      <c r="D179" s="26" cm="1">
        <f t="array" ref="D179">INDEX('BaseMap-1'!$H$8:$J$94,1+B179,C179)</f>
        <v>0</v>
      </c>
    </row>
    <row r="180" spans="1:4" x14ac:dyDescent="0.75">
      <c r="A180" s="27">
        <v>178</v>
      </c>
      <c r="B180" s="27">
        <f t="shared" si="4"/>
        <v>59</v>
      </c>
      <c r="C180" s="27">
        <f t="shared" si="5"/>
        <v>1</v>
      </c>
      <c r="D180" s="26" cm="1">
        <f t="array" ref="D180">INDEX('BaseMap-1'!$H$8:$J$94,1+B180,C180)</f>
        <v>0</v>
      </c>
    </row>
    <row r="181" spans="1:4" x14ac:dyDescent="0.75">
      <c r="A181" s="27">
        <v>179</v>
      </c>
      <c r="B181" s="27">
        <f t="shared" si="4"/>
        <v>59</v>
      </c>
      <c r="C181" s="27">
        <f t="shared" si="5"/>
        <v>2</v>
      </c>
      <c r="D181" s="26" cm="1">
        <f t="array" ref="D181">INDEX('BaseMap-1'!$H$8:$J$94,1+B181,C181)</f>
        <v>0</v>
      </c>
    </row>
    <row r="182" spans="1:4" x14ac:dyDescent="0.75">
      <c r="A182" s="27">
        <v>180</v>
      </c>
      <c r="B182" s="27">
        <f t="shared" si="4"/>
        <v>59</v>
      </c>
      <c r="C182" s="27">
        <f t="shared" si="5"/>
        <v>3</v>
      </c>
      <c r="D182" s="26" cm="1">
        <f t="array" ref="D182">INDEX('BaseMap-1'!$H$8:$J$94,1+B182,C182)</f>
        <v>0</v>
      </c>
    </row>
    <row r="183" spans="1:4" x14ac:dyDescent="0.75">
      <c r="A183" s="27">
        <v>181</v>
      </c>
      <c r="B183" s="27">
        <f t="shared" si="4"/>
        <v>60</v>
      </c>
      <c r="C183" s="27">
        <f t="shared" si="5"/>
        <v>1</v>
      </c>
      <c r="D183" s="26" cm="1">
        <f t="array" ref="D183">INDEX('BaseMap-1'!$H$8:$J$94,1+B183,C183)</f>
        <v>0</v>
      </c>
    </row>
    <row r="184" spans="1:4" x14ac:dyDescent="0.75">
      <c r="A184" s="27">
        <v>182</v>
      </c>
      <c r="B184" s="27">
        <f t="shared" si="4"/>
        <v>60</v>
      </c>
      <c r="C184" s="27">
        <f t="shared" si="5"/>
        <v>2</v>
      </c>
      <c r="D184" s="26" cm="1">
        <f t="array" ref="D184">INDEX('BaseMap-1'!$H$8:$J$94,1+B184,C184)</f>
        <v>0</v>
      </c>
    </row>
    <row r="185" spans="1:4" x14ac:dyDescent="0.75">
      <c r="A185" s="27">
        <v>183</v>
      </c>
      <c r="B185" s="27">
        <f t="shared" si="4"/>
        <v>60</v>
      </c>
      <c r="C185" s="27">
        <f t="shared" si="5"/>
        <v>3</v>
      </c>
      <c r="D185" s="26" cm="1">
        <f t="array" ref="D185">INDEX('BaseMap-1'!$H$8:$J$94,1+B185,C185)</f>
        <v>0</v>
      </c>
    </row>
    <row r="186" spans="1:4" x14ac:dyDescent="0.75">
      <c r="A186" s="27">
        <v>184</v>
      </c>
      <c r="B186" s="27">
        <f t="shared" si="4"/>
        <v>61</v>
      </c>
      <c r="C186" s="27">
        <f t="shared" si="5"/>
        <v>1</v>
      </c>
      <c r="D186" s="26" cm="1">
        <f t="array" ref="D186">INDEX('BaseMap-1'!$H$8:$J$94,1+B186,C186)</f>
        <v>0</v>
      </c>
    </row>
    <row r="187" spans="1:4" x14ac:dyDescent="0.75">
      <c r="A187" s="27">
        <v>185</v>
      </c>
      <c r="B187" s="27">
        <f t="shared" si="4"/>
        <v>61</v>
      </c>
      <c r="C187" s="27">
        <f t="shared" si="5"/>
        <v>2</v>
      </c>
      <c r="D187" s="26" cm="1">
        <f t="array" ref="D187">INDEX('BaseMap-1'!$H$8:$J$94,1+B187,C187)</f>
        <v>0</v>
      </c>
    </row>
    <row r="188" spans="1:4" x14ac:dyDescent="0.75">
      <c r="A188" s="27">
        <v>186</v>
      </c>
      <c r="B188" s="27">
        <f t="shared" si="4"/>
        <v>61</v>
      </c>
      <c r="C188" s="27">
        <f t="shared" si="5"/>
        <v>3</v>
      </c>
      <c r="D188" s="26" cm="1">
        <f t="array" ref="D188">INDEX('BaseMap-1'!$H$8:$J$94,1+B188,C188)</f>
        <v>0</v>
      </c>
    </row>
    <row r="189" spans="1:4" x14ac:dyDescent="0.75">
      <c r="A189" s="27">
        <v>187</v>
      </c>
      <c r="B189" s="27">
        <f t="shared" si="4"/>
        <v>62</v>
      </c>
      <c r="C189" s="27">
        <f t="shared" si="5"/>
        <v>1</v>
      </c>
      <c r="D189" s="26" cm="1">
        <f t="array" ref="D189">INDEX('BaseMap-1'!$H$8:$J$94,1+B189,C189)</f>
        <v>0</v>
      </c>
    </row>
    <row r="190" spans="1:4" x14ac:dyDescent="0.75">
      <c r="A190" s="27">
        <v>188</v>
      </c>
      <c r="B190" s="27">
        <f t="shared" si="4"/>
        <v>62</v>
      </c>
      <c r="C190" s="27">
        <f t="shared" si="5"/>
        <v>2</v>
      </c>
      <c r="D190" s="26" cm="1">
        <f t="array" ref="D190">INDEX('BaseMap-1'!$H$8:$J$94,1+B190,C190)</f>
        <v>0</v>
      </c>
    </row>
    <row r="191" spans="1:4" x14ac:dyDescent="0.75">
      <c r="A191" s="27">
        <v>189</v>
      </c>
      <c r="B191" s="27">
        <f t="shared" si="4"/>
        <v>62</v>
      </c>
      <c r="C191" s="27">
        <f t="shared" si="5"/>
        <v>3</v>
      </c>
      <c r="D191" s="26" cm="1">
        <f t="array" ref="D191">INDEX('BaseMap-1'!$H$8:$J$94,1+B191,C191)</f>
        <v>0</v>
      </c>
    </row>
    <row r="192" spans="1:4" x14ac:dyDescent="0.75">
      <c r="A192" s="27">
        <v>190</v>
      </c>
      <c r="B192" s="27">
        <f t="shared" si="4"/>
        <v>63</v>
      </c>
      <c r="C192" s="27">
        <f t="shared" si="5"/>
        <v>1</v>
      </c>
      <c r="D192" s="26" cm="1">
        <f t="array" ref="D192">INDEX('BaseMap-1'!$H$8:$J$94,1+B192,C192)</f>
        <v>0</v>
      </c>
    </row>
    <row r="193" spans="1:4" x14ac:dyDescent="0.75">
      <c r="A193" s="27">
        <v>191</v>
      </c>
      <c r="B193" s="27">
        <f t="shared" si="4"/>
        <v>63</v>
      </c>
      <c r="C193" s="27">
        <f t="shared" si="5"/>
        <v>2</v>
      </c>
      <c r="D193" s="26" cm="1">
        <f t="array" ref="D193">INDEX('BaseMap-1'!$H$8:$J$94,1+B193,C193)</f>
        <v>0</v>
      </c>
    </row>
    <row r="194" spans="1:4" x14ac:dyDescent="0.75">
      <c r="A194" s="27">
        <v>192</v>
      </c>
      <c r="B194" s="27">
        <f t="shared" si="4"/>
        <v>63</v>
      </c>
      <c r="C194" s="27">
        <f t="shared" si="5"/>
        <v>3</v>
      </c>
      <c r="D194" s="26" cm="1">
        <f t="array" ref="D194">INDEX('BaseMap-1'!$H$8:$J$94,1+B194,C194)</f>
        <v>0</v>
      </c>
    </row>
    <row r="195" spans="1:4" x14ac:dyDescent="0.75">
      <c r="A195" s="27">
        <v>193</v>
      </c>
      <c r="B195" s="27">
        <f t="shared" si="4"/>
        <v>64</v>
      </c>
      <c r="C195" s="27">
        <f t="shared" si="5"/>
        <v>1</v>
      </c>
      <c r="D195" s="26" cm="1">
        <f t="array" ref="D195">INDEX('BaseMap-1'!$H$8:$J$94,1+B195,C195)</f>
        <v>0</v>
      </c>
    </row>
    <row r="196" spans="1:4" x14ac:dyDescent="0.75">
      <c r="A196" s="27">
        <v>194</v>
      </c>
      <c r="B196" s="27">
        <f t="shared" ref="B196:B259" si="6">IF(MOD(A196,3)=0,A196/3-1,INT(A196/3))</f>
        <v>64</v>
      </c>
      <c r="C196" s="27">
        <f t="shared" ref="C196:C259" si="7">IF(MOD(A196,3)=0,3,MOD(A196,3))</f>
        <v>2</v>
      </c>
      <c r="D196" s="26" cm="1">
        <f t="array" ref="D196">INDEX('BaseMap-1'!$H$8:$J$94,1+B196,C196)</f>
        <v>0</v>
      </c>
    </row>
    <row r="197" spans="1:4" x14ac:dyDescent="0.75">
      <c r="A197" s="27">
        <v>195</v>
      </c>
      <c r="B197" s="27">
        <f t="shared" si="6"/>
        <v>64</v>
      </c>
      <c r="C197" s="27">
        <f t="shared" si="7"/>
        <v>3</v>
      </c>
      <c r="D197" s="26" cm="1">
        <f t="array" ref="D197">INDEX('BaseMap-1'!$H$8:$J$94,1+B197,C197)</f>
        <v>0</v>
      </c>
    </row>
    <row r="198" spans="1:4" x14ac:dyDescent="0.75">
      <c r="A198" s="27">
        <v>196</v>
      </c>
      <c r="B198" s="27">
        <f t="shared" si="6"/>
        <v>65</v>
      </c>
      <c r="C198" s="27">
        <f t="shared" si="7"/>
        <v>1</v>
      </c>
      <c r="D198" s="26" cm="1">
        <f t="array" ref="D198">INDEX('BaseMap-1'!$H$8:$J$94,1+B198,C198)</f>
        <v>0</v>
      </c>
    </row>
    <row r="199" spans="1:4" x14ac:dyDescent="0.75">
      <c r="A199" s="27">
        <v>197</v>
      </c>
      <c r="B199" s="27">
        <f t="shared" si="6"/>
        <v>65</v>
      </c>
      <c r="C199" s="27">
        <f t="shared" si="7"/>
        <v>2</v>
      </c>
      <c r="D199" s="26" cm="1">
        <f t="array" ref="D199">INDEX('BaseMap-1'!$H$8:$J$94,1+B199,C199)</f>
        <v>0</v>
      </c>
    </row>
    <row r="200" spans="1:4" x14ac:dyDescent="0.75">
      <c r="A200" s="27">
        <v>198</v>
      </c>
      <c r="B200" s="27">
        <f t="shared" si="6"/>
        <v>65</v>
      </c>
      <c r="C200" s="27">
        <f t="shared" si="7"/>
        <v>3</v>
      </c>
      <c r="D200" s="26" cm="1">
        <f t="array" ref="D200">INDEX('BaseMap-1'!$H$8:$J$94,1+B200,C200)</f>
        <v>0</v>
      </c>
    </row>
    <row r="201" spans="1:4" x14ac:dyDescent="0.75">
      <c r="A201" s="27">
        <v>199</v>
      </c>
      <c r="B201" s="27">
        <f t="shared" si="6"/>
        <v>66</v>
      </c>
      <c r="C201" s="27">
        <f t="shared" si="7"/>
        <v>1</v>
      </c>
      <c r="D201" s="26" cm="1">
        <f t="array" ref="D201">INDEX('BaseMap-1'!$H$8:$J$94,1+B201,C201)</f>
        <v>0</v>
      </c>
    </row>
    <row r="202" spans="1:4" x14ac:dyDescent="0.75">
      <c r="A202" s="27">
        <v>200</v>
      </c>
      <c r="B202" s="27">
        <f t="shared" si="6"/>
        <v>66</v>
      </c>
      <c r="C202" s="27">
        <f t="shared" si="7"/>
        <v>2</v>
      </c>
      <c r="D202" s="26" cm="1">
        <f t="array" ref="D202">INDEX('BaseMap-1'!$H$8:$J$94,1+B202,C202)</f>
        <v>0</v>
      </c>
    </row>
    <row r="203" spans="1:4" x14ac:dyDescent="0.75">
      <c r="A203" s="27">
        <v>201</v>
      </c>
      <c r="B203" s="27">
        <f t="shared" si="6"/>
        <v>66</v>
      </c>
      <c r="C203" s="27">
        <f t="shared" si="7"/>
        <v>3</v>
      </c>
      <c r="D203" s="26" cm="1">
        <f t="array" ref="D203">INDEX('BaseMap-1'!$H$8:$J$94,1+B203,C203)</f>
        <v>0</v>
      </c>
    </row>
    <row r="204" spans="1:4" x14ac:dyDescent="0.75">
      <c r="A204" s="27">
        <v>202</v>
      </c>
      <c r="B204" s="27">
        <f t="shared" si="6"/>
        <v>67</v>
      </c>
      <c r="C204" s="27">
        <f t="shared" si="7"/>
        <v>1</v>
      </c>
      <c r="D204" s="26" cm="1">
        <f t="array" ref="D204">INDEX('BaseMap-1'!$H$8:$J$94,1+B204,C204)</f>
        <v>0</v>
      </c>
    </row>
    <row r="205" spans="1:4" x14ac:dyDescent="0.75">
      <c r="A205" s="27">
        <v>203</v>
      </c>
      <c r="B205" s="27">
        <f t="shared" si="6"/>
        <v>67</v>
      </c>
      <c r="C205" s="27">
        <f t="shared" si="7"/>
        <v>2</v>
      </c>
      <c r="D205" s="26" cm="1">
        <f t="array" ref="D205">INDEX('BaseMap-1'!$H$8:$J$94,1+B205,C205)</f>
        <v>0</v>
      </c>
    </row>
    <row r="206" spans="1:4" x14ac:dyDescent="0.75">
      <c r="A206" s="27">
        <v>204</v>
      </c>
      <c r="B206" s="27">
        <f t="shared" si="6"/>
        <v>67</v>
      </c>
      <c r="C206" s="27">
        <f t="shared" si="7"/>
        <v>3</v>
      </c>
      <c r="D206" s="26" cm="1">
        <f t="array" ref="D206">INDEX('BaseMap-1'!$H$8:$J$94,1+B206,C206)</f>
        <v>0</v>
      </c>
    </row>
    <row r="207" spans="1:4" x14ac:dyDescent="0.75">
      <c r="A207" s="27">
        <v>205</v>
      </c>
      <c r="B207" s="27">
        <f t="shared" si="6"/>
        <v>68</v>
      </c>
      <c r="C207" s="27">
        <f t="shared" si="7"/>
        <v>1</v>
      </c>
      <c r="D207" s="26" cm="1">
        <f t="array" ref="D207">INDEX('BaseMap-1'!$H$8:$J$94,1+B207,C207)</f>
        <v>0</v>
      </c>
    </row>
    <row r="208" spans="1:4" x14ac:dyDescent="0.75">
      <c r="A208" s="27">
        <v>206</v>
      </c>
      <c r="B208" s="27">
        <f t="shared" si="6"/>
        <v>68</v>
      </c>
      <c r="C208" s="27">
        <f t="shared" si="7"/>
        <v>2</v>
      </c>
      <c r="D208" s="26" cm="1">
        <f t="array" ref="D208">INDEX('BaseMap-1'!$H$8:$J$94,1+B208,C208)</f>
        <v>0</v>
      </c>
    </row>
    <row r="209" spans="1:4" x14ac:dyDescent="0.75">
      <c r="A209" s="27">
        <v>207</v>
      </c>
      <c r="B209" s="27">
        <f t="shared" si="6"/>
        <v>68</v>
      </c>
      <c r="C209" s="27">
        <f t="shared" si="7"/>
        <v>3</v>
      </c>
      <c r="D209" s="26" cm="1">
        <f t="array" ref="D209">INDEX('BaseMap-1'!$H$8:$J$94,1+B209,C209)</f>
        <v>0</v>
      </c>
    </row>
    <row r="210" spans="1:4" x14ac:dyDescent="0.75">
      <c r="A210" s="27">
        <v>208</v>
      </c>
      <c r="B210" s="27">
        <f t="shared" si="6"/>
        <v>69</v>
      </c>
      <c r="C210" s="27">
        <f t="shared" si="7"/>
        <v>1</v>
      </c>
      <c r="D210" s="26" cm="1">
        <f t="array" ref="D210">INDEX('BaseMap-1'!$H$8:$J$94,1+B210,C210)</f>
        <v>0</v>
      </c>
    </row>
    <row r="211" spans="1:4" x14ac:dyDescent="0.75">
      <c r="A211" s="27">
        <v>209</v>
      </c>
      <c r="B211" s="27">
        <f t="shared" si="6"/>
        <v>69</v>
      </c>
      <c r="C211" s="27">
        <f t="shared" si="7"/>
        <v>2</v>
      </c>
      <c r="D211" s="26" cm="1">
        <f t="array" ref="D211">INDEX('BaseMap-1'!$H$8:$J$94,1+B211,C211)</f>
        <v>0</v>
      </c>
    </row>
    <row r="212" spans="1:4" x14ac:dyDescent="0.75">
      <c r="A212" s="27">
        <v>210</v>
      </c>
      <c r="B212" s="27">
        <f t="shared" si="6"/>
        <v>69</v>
      </c>
      <c r="C212" s="27">
        <f t="shared" si="7"/>
        <v>3</v>
      </c>
      <c r="D212" s="26" cm="1">
        <f t="array" ref="D212">INDEX('BaseMap-1'!$H$8:$J$94,1+B212,C212)</f>
        <v>0</v>
      </c>
    </row>
    <row r="213" spans="1:4" x14ac:dyDescent="0.75">
      <c r="A213" s="27">
        <v>211</v>
      </c>
      <c r="B213" s="27">
        <f t="shared" si="6"/>
        <v>70</v>
      </c>
      <c r="C213" s="27">
        <f t="shared" si="7"/>
        <v>1</v>
      </c>
      <c r="D213" s="26" cm="1">
        <f t="array" ref="D213">INDEX('BaseMap-1'!$H$8:$J$94,1+B213,C213)</f>
        <v>0</v>
      </c>
    </row>
    <row r="214" spans="1:4" x14ac:dyDescent="0.75">
      <c r="A214" s="27">
        <v>212</v>
      </c>
      <c r="B214" s="27">
        <f t="shared" si="6"/>
        <v>70</v>
      </c>
      <c r="C214" s="27">
        <f t="shared" si="7"/>
        <v>2</v>
      </c>
      <c r="D214" s="26" cm="1">
        <f t="array" ref="D214">INDEX('BaseMap-1'!$H$8:$J$94,1+B214,C214)</f>
        <v>0</v>
      </c>
    </row>
    <row r="215" spans="1:4" x14ac:dyDescent="0.75">
      <c r="A215" s="27">
        <v>213</v>
      </c>
      <c r="B215" s="27">
        <f t="shared" si="6"/>
        <v>70</v>
      </c>
      <c r="C215" s="27">
        <f t="shared" si="7"/>
        <v>3</v>
      </c>
      <c r="D215" s="26" cm="1">
        <f t="array" ref="D215">INDEX('BaseMap-1'!$H$8:$J$94,1+B215,C215)</f>
        <v>0</v>
      </c>
    </row>
    <row r="216" spans="1:4" x14ac:dyDescent="0.75">
      <c r="A216" s="27">
        <v>214</v>
      </c>
      <c r="B216" s="27">
        <f t="shared" si="6"/>
        <v>71</v>
      </c>
      <c r="C216" s="27">
        <f t="shared" si="7"/>
        <v>1</v>
      </c>
      <c r="D216" s="26" cm="1">
        <f t="array" ref="D216">INDEX('BaseMap-1'!$H$8:$J$94,1+B216,C216)</f>
        <v>0</v>
      </c>
    </row>
    <row r="217" spans="1:4" x14ac:dyDescent="0.75">
      <c r="A217" s="27">
        <v>215</v>
      </c>
      <c r="B217" s="27">
        <f t="shared" si="6"/>
        <v>71</v>
      </c>
      <c r="C217" s="27">
        <f t="shared" si="7"/>
        <v>2</v>
      </c>
      <c r="D217" s="26" cm="1">
        <f t="array" ref="D217">INDEX('BaseMap-1'!$H$8:$J$94,1+B217,C217)</f>
        <v>0</v>
      </c>
    </row>
    <row r="218" spans="1:4" x14ac:dyDescent="0.75">
      <c r="A218" s="27">
        <v>216</v>
      </c>
      <c r="B218" s="27">
        <f t="shared" si="6"/>
        <v>71</v>
      </c>
      <c r="C218" s="27">
        <f t="shared" si="7"/>
        <v>3</v>
      </c>
      <c r="D218" s="26" cm="1">
        <f t="array" ref="D218">INDEX('BaseMap-1'!$H$8:$J$94,1+B218,C218)</f>
        <v>0</v>
      </c>
    </row>
    <row r="219" spans="1:4" x14ac:dyDescent="0.75">
      <c r="A219" s="27">
        <v>217</v>
      </c>
      <c r="B219" s="27">
        <f t="shared" si="6"/>
        <v>72</v>
      </c>
      <c r="C219" s="27">
        <f t="shared" si="7"/>
        <v>1</v>
      </c>
      <c r="D219" s="26" cm="1">
        <f t="array" ref="D219">INDEX('BaseMap-1'!$H$8:$J$94,1+B219,C219)</f>
        <v>0</v>
      </c>
    </row>
    <row r="220" spans="1:4" x14ac:dyDescent="0.75">
      <c r="A220" s="27">
        <v>218</v>
      </c>
      <c r="B220" s="27">
        <f t="shared" si="6"/>
        <v>72</v>
      </c>
      <c r="C220" s="27">
        <f t="shared" si="7"/>
        <v>2</v>
      </c>
      <c r="D220" s="26" cm="1">
        <f t="array" ref="D220">INDEX('BaseMap-1'!$H$8:$J$94,1+B220,C220)</f>
        <v>0</v>
      </c>
    </row>
    <row r="221" spans="1:4" x14ac:dyDescent="0.75">
      <c r="A221" s="27">
        <v>219</v>
      </c>
      <c r="B221" s="27">
        <f t="shared" si="6"/>
        <v>72</v>
      </c>
      <c r="C221" s="27">
        <f t="shared" si="7"/>
        <v>3</v>
      </c>
      <c r="D221" s="26" cm="1">
        <f t="array" ref="D221">INDEX('BaseMap-1'!$H$8:$J$94,1+B221,C221)</f>
        <v>0</v>
      </c>
    </row>
    <row r="222" spans="1:4" x14ac:dyDescent="0.75">
      <c r="A222" s="27">
        <v>220</v>
      </c>
      <c r="B222" s="27">
        <f t="shared" si="6"/>
        <v>73</v>
      </c>
      <c r="C222" s="27">
        <f t="shared" si="7"/>
        <v>1</v>
      </c>
      <c r="D222" s="26" cm="1">
        <f t="array" ref="D222">INDEX('BaseMap-1'!$H$8:$J$94,1+B222,C222)</f>
        <v>0</v>
      </c>
    </row>
    <row r="223" spans="1:4" x14ac:dyDescent="0.75">
      <c r="A223" s="27">
        <v>221</v>
      </c>
      <c r="B223" s="27">
        <f t="shared" si="6"/>
        <v>73</v>
      </c>
      <c r="C223" s="27">
        <f t="shared" si="7"/>
        <v>2</v>
      </c>
      <c r="D223" s="26" cm="1">
        <f t="array" ref="D223">INDEX('BaseMap-1'!$H$8:$J$94,1+B223,C223)</f>
        <v>0</v>
      </c>
    </row>
    <row r="224" spans="1:4" x14ac:dyDescent="0.75">
      <c r="A224" s="27">
        <v>222</v>
      </c>
      <c r="B224" s="27">
        <f t="shared" si="6"/>
        <v>73</v>
      </c>
      <c r="C224" s="27">
        <f t="shared" si="7"/>
        <v>3</v>
      </c>
      <c r="D224" s="26" cm="1">
        <f t="array" ref="D224">INDEX('BaseMap-1'!$H$8:$J$94,1+B224,C224)</f>
        <v>0</v>
      </c>
    </row>
    <row r="225" spans="1:4" x14ac:dyDescent="0.75">
      <c r="A225" s="27">
        <v>223</v>
      </c>
      <c r="B225" s="27">
        <f t="shared" si="6"/>
        <v>74</v>
      </c>
      <c r="C225" s="27">
        <f t="shared" si="7"/>
        <v>1</v>
      </c>
      <c r="D225" s="26" cm="1">
        <f t="array" ref="D225">INDEX('BaseMap-1'!$H$8:$J$94,1+B225,C225)</f>
        <v>0</v>
      </c>
    </row>
    <row r="226" spans="1:4" x14ac:dyDescent="0.75">
      <c r="A226" s="27">
        <v>224</v>
      </c>
      <c r="B226" s="27">
        <f t="shared" si="6"/>
        <v>74</v>
      </c>
      <c r="C226" s="27">
        <f t="shared" si="7"/>
        <v>2</v>
      </c>
      <c r="D226" s="26" cm="1">
        <f t="array" ref="D226">INDEX('BaseMap-1'!$H$8:$J$94,1+B226,C226)</f>
        <v>0</v>
      </c>
    </row>
    <row r="227" spans="1:4" x14ac:dyDescent="0.75">
      <c r="A227" s="27">
        <v>225</v>
      </c>
      <c r="B227" s="27">
        <f t="shared" si="6"/>
        <v>74</v>
      </c>
      <c r="C227" s="27">
        <f t="shared" si="7"/>
        <v>3</v>
      </c>
      <c r="D227" s="26" cm="1">
        <f t="array" ref="D227">INDEX('BaseMap-1'!$H$8:$J$94,1+B227,C227)</f>
        <v>0</v>
      </c>
    </row>
    <row r="228" spans="1:4" x14ac:dyDescent="0.75">
      <c r="A228" s="27">
        <v>226</v>
      </c>
      <c r="B228" s="27">
        <f t="shared" si="6"/>
        <v>75</v>
      </c>
      <c r="C228" s="27">
        <f t="shared" si="7"/>
        <v>1</v>
      </c>
      <c r="D228" s="26" cm="1">
        <f t="array" ref="D228">INDEX('BaseMap-1'!$H$8:$J$94,1+B228,C228)</f>
        <v>0</v>
      </c>
    </row>
    <row r="229" spans="1:4" x14ac:dyDescent="0.75">
      <c r="A229" s="27">
        <v>227</v>
      </c>
      <c r="B229" s="27">
        <f t="shared" si="6"/>
        <v>75</v>
      </c>
      <c r="C229" s="27">
        <f t="shared" si="7"/>
        <v>2</v>
      </c>
      <c r="D229" s="26" cm="1">
        <f t="array" ref="D229">INDEX('BaseMap-1'!$H$8:$J$94,1+B229,C229)</f>
        <v>0</v>
      </c>
    </row>
    <row r="230" spans="1:4" x14ac:dyDescent="0.75">
      <c r="A230" s="27">
        <v>228</v>
      </c>
      <c r="B230" s="27">
        <f t="shared" si="6"/>
        <v>75</v>
      </c>
      <c r="C230" s="27">
        <f t="shared" si="7"/>
        <v>3</v>
      </c>
      <c r="D230" s="26" cm="1">
        <f t="array" ref="D230">INDEX('BaseMap-1'!$H$8:$J$94,1+B230,C230)</f>
        <v>0</v>
      </c>
    </row>
    <row r="231" spans="1:4" x14ac:dyDescent="0.75">
      <c r="A231" s="27">
        <v>229</v>
      </c>
      <c r="B231" s="27">
        <f t="shared" si="6"/>
        <v>76</v>
      </c>
      <c r="C231" s="27">
        <f t="shared" si="7"/>
        <v>1</v>
      </c>
      <c r="D231" s="26" cm="1">
        <f t="array" ref="D231">INDEX('BaseMap-1'!$H$8:$J$94,1+B231,C231)</f>
        <v>0</v>
      </c>
    </row>
    <row r="232" spans="1:4" x14ac:dyDescent="0.75">
      <c r="A232" s="27">
        <v>230</v>
      </c>
      <c r="B232" s="27">
        <f t="shared" si="6"/>
        <v>76</v>
      </c>
      <c r="C232" s="27">
        <f t="shared" si="7"/>
        <v>2</v>
      </c>
      <c r="D232" s="26" cm="1">
        <f t="array" ref="D232">INDEX('BaseMap-1'!$H$8:$J$94,1+B232,C232)</f>
        <v>0</v>
      </c>
    </row>
    <row r="233" spans="1:4" x14ac:dyDescent="0.75">
      <c r="A233" s="27">
        <v>231</v>
      </c>
      <c r="B233" s="27">
        <f t="shared" si="6"/>
        <v>76</v>
      </c>
      <c r="C233" s="27">
        <f t="shared" si="7"/>
        <v>3</v>
      </c>
      <c r="D233" s="26" cm="1">
        <f t="array" ref="D233">INDEX('BaseMap-1'!$H$8:$J$94,1+B233,C233)</f>
        <v>0</v>
      </c>
    </row>
    <row r="234" spans="1:4" x14ac:dyDescent="0.75">
      <c r="A234" s="27">
        <v>232</v>
      </c>
      <c r="B234" s="27">
        <f t="shared" si="6"/>
        <v>77</v>
      </c>
      <c r="C234" s="27">
        <f t="shared" si="7"/>
        <v>1</v>
      </c>
      <c r="D234" s="26" cm="1">
        <f t="array" ref="D234">INDEX('BaseMap-1'!$H$8:$J$94,1+B234,C234)</f>
        <v>0</v>
      </c>
    </row>
    <row r="235" spans="1:4" x14ac:dyDescent="0.75">
      <c r="A235" s="27">
        <v>233</v>
      </c>
      <c r="B235" s="27">
        <f t="shared" si="6"/>
        <v>77</v>
      </c>
      <c r="C235" s="27">
        <f t="shared" si="7"/>
        <v>2</v>
      </c>
      <c r="D235" s="26" cm="1">
        <f t="array" ref="D235">INDEX('BaseMap-1'!$H$8:$J$94,1+B235,C235)</f>
        <v>0</v>
      </c>
    </row>
    <row r="236" spans="1:4" x14ac:dyDescent="0.75">
      <c r="A236" s="27">
        <v>234</v>
      </c>
      <c r="B236" s="27">
        <f t="shared" si="6"/>
        <v>77</v>
      </c>
      <c r="C236" s="27">
        <f t="shared" si="7"/>
        <v>3</v>
      </c>
      <c r="D236" s="26" cm="1">
        <f t="array" ref="D236">INDEX('BaseMap-1'!$H$8:$J$94,1+B236,C236)</f>
        <v>0</v>
      </c>
    </row>
    <row r="237" spans="1:4" x14ac:dyDescent="0.75">
      <c r="A237" s="27">
        <v>235</v>
      </c>
      <c r="B237" s="27">
        <f t="shared" si="6"/>
        <v>78</v>
      </c>
      <c r="C237" s="27">
        <f t="shared" si="7"/>
        <v>1</v>
      </c>
      <c r="D237" s="26" cm="1">
        <f t="array" ref="D237">INDEX('BaseMap-1'!$H$8:$J$94,1+B237,C237)</f>
        <v>0</v>
      </c>
    </row>
    <row r="238" spans="1:4" x14ac:dyDescent="0.75">
      <c r="A238" s="27">
        <v>236</v>
      </c>
      <c r="B238" s="27">
        <f t="shared" si="6"/>
        <v>78</v>
      </c>
      <c r="C238" s="27">
        <f t="shared" si="7"/>
        <v>2</v>
      </c>
      <c r="D238" s="26" cm="1">
        <f t="array" ref="D238">INDEX('BaseMap-1'!$H$8:$J$94,1+B238,C238)</f>
        <v>0</v>
      </c>
    </row>
    <row r="239" spans="1:4" x14ac:dyDescent="0.75">
      <c r="A239" s="27">
        <v>237</v>
      </c>
      <c r="B239" s="27">
        <f t="shared" si="6"/>
        <v>78</v>
      </c>
      <c r="C239" s="27">
        <f t="shared" si="7"/>
        <v>3</v>
      </c>
      <c r="D239" s="26" cm="1">
        <f t="array" ref="D239">INDEX('BaseMap-1'!$H$8:$J$94,1+B239,C239)</f>
        <v>0</v>
      </c>
    </row>
    <row r="240" spans="1:4" x14ac:dyDescent="0.75">
      <c r="A240" s="27">
        <v>238</v>
      </c>
      <c r="B240" s="27">
        <f t="shared" si="6"/>
        <v>79</v>
      </c>
      <c r="C240" s="27">
        <f t="shared" si="7"/>
        <v>1</v>
      </c>
      <c r="D240" s="26" cm="1">
        <f t="array" ref="D240">INDEX('BaseMap-1'!$H$8:$J$94,1+B240,C240)</f>
        <v>0</v>
      </c>
    </row>
    <row r="241" spans="1:4" x14ac:dyDescent="0.75">
      <c r="A241" s="27">
        <v>239</v>
      </c>
      <c r="B241" s="27">
        <f t="shared" si="6"/>
        <v>79</v>
      </c>
      <c r="C241" s="27">
        <f t="shared" si="7"/>
        <v>2</v>
      </c>
      <c r="D241" s="26" cm="1">
        <f t="array" ref="D241">INDEX('BaseMap-1'!$H$8:$J$94,1+B241,C241)</f>
        <v>0</v>
      </c>
    </row>
    <row r="242" spans="1:4" x14ac:dyDescent="0.75">
      <c r="A242" s="27">
        <v>240</v>
      </c>
      <c r="B242" s="27">
        <f t="shared" si="6"/>
        <v>79</v>
      </c>
      <c r="C242" s="27">
        <f t="shared" si="7"/>
        <v>3</v>
      </c>
      <c r="D242" s="26" cm="1">
        <f t="array" ref="D242">INDEX('BaseMap-1'!$H$8:$J$94,1+B242,C242)</f>
        <v>0</v>
      </c>
    </row>
    <row r="243" spans="1:4" x14ac:dyDescent="0.75">
      <c r="A243" s="27">
        <v>241</v>
      </c>
      <c r="B243" s="27">
        <f t="shared" si="6"/>
        <v>80</v>
      </c>
      <c r="C243" s="27">
        <f t="shared" si="7"/>
        <v>1</v>
      </c>
      <c r="D243" s="26" cm="1">
        <f t="array" ref="D243">INDEX('BaseMap-1'!$H$8:$J$94,1+B243,C243)</f>
        <v>0</v>
      </c>
    </row>
    <row r="244" spans="1:4" x14ac:dyDescent="0.75">
      <c r="A244" s="27">
        <v>242</v>
      </c>
      <c r="B244" s="27">
        <f t="shared" si="6"/>
        <v>80</v>
      </c>
      <c r="C244" s="27">
        <f t="shared" si="7"/>
        <v>2</v>
      </c>
      <c r="D244" s="26" cm="1">
        <f t="array" ref="D244">INDEX('BaseMap-1'!$H$8:$J$94,1+B244,C244)</f>
        <v>0</v>
      </c>
    </row>
    <row r="245" spans="1:4" x14ac:dyDescent="0.75">
      <c r="A245" s="27">
        <v>243</v>
      </c>
      <c r="B245" s="27">
        <f t="shared" si="6"/>
        <v>80</v>
      </c>
      <c r="C245" s="27">
        <f t="shared" si="7"/>
        <v>3</v>
      </c>
      <c r="D245" s="26" cm="1">
        <f t="array" ref="D245">INDEX('BaseMap-1'!$H$8:$J$94,1+B245,C245)</f>
        <v>0</v>
      </c>
    </row>
    <row r="246" spans="1:4" x14ac:dyDescent="0.75">
      <c r="A246" s="27">
        <v>244</v>
      </c>
      <c r="B246" s="27">
        <f t="shared" si="6"/>
        <v>81</v>
      </c>
      <c r="C246" s="27">
        <f t="shared" si="7"/>
        <v>1</v>
      </c>
      <c r="D246" s="26" cm="1">
        <f t="array" ref="D246">INDEX('BaseMap-1'!$H$8:$J$94,1+B246,C246)</f>
        <v>0</v>
      </c>
    </row>
    <row r="247" spans="1:4" x14ac:dyDescent="0.75">
      <c r="A247" s="27">
        <v>245</v>
      </c>
      <c r="B247" s="27">
        <f t="shared" si="6"/>
        <v>81</v>
      </c>
      <c r="C247" s="27">
        <f t="shared" si="7"/>
        <v>2</v>
      </c>
      <c r="D247" s="26" cm="1">
        <f t="array" ref="D247">INDEX('BaseMap-1'!$H$8:$J$94,1+B247,C247)</f>
        <v>0</v>
      </c>
    </row>
    <row r="248" spans="1:4" x14ac:dyDescent="0.75">
      <c r="A248" s="27">
        <v>246</v>
      </c>
      <c r="B248" s="27">
        <f t="shared" si="6"/>
        <v>81</v>
      </c>
      <c r="C248" s="27">
        <f t="shared" si="7"/>
        <v>3</v>
      </c>
      <c r="D248" s="26" cm="1">
        <f t="array" ref="D248">INDEX('BaseMap-1'!$H$8:$J$94,1+B248,C248)</f>
        <v>0</v>
      </c>
    </row>
    <row r="249" spans="1:4" x14ac:dyDescent="0.75">
      <c r="A249" s="27">
        <v>247</v>
      </c>
      <c r="B249" s="27">
        <f t="shared" si="6"/>
        <v>82</v>
      </c>
      <c r="C249" s="27">
        <f t="shared" si="7"/>
        <v>1</v>
      </c>
      <c r="D249" s="26" cm="1">
        <f t="array" ref="D249">INDEX('BaseMap-1'!$H$8:$J$94,1+B249,C249)</f>
        <v>0</v>
      </c>
    </row>
    <row r="250" spans="1:4" x14ac:dyDescent="0.75">
      <c r="A250" s="27">
        <v>248</v>
      </c>
      <c r="B250" s="27">
        <f t="shared" si="6"/>
        <v>82</v>
      </c>
      <c r="C250" s="27">
        <f t="shared" si="7"/>
        <v>2</v>
      </c>
      <c r="D250" s="26" cm="1">
        <f t="array" ref="D250">INDEX('BaseMap-1'!$H$8:$J$94,1+B250,C250)</f>
        <v>0</v>
      </c>
    </row>
    <row r="251" spans="1:4" x14ac:dyDescent="0.75">
      <c r="A251" s="27">
        <v>249</v>
      </c>
      <c r="B251" s="27">
        <f t="shared" si="6"/>
        <v>82</v>
      </c>
      <c r="C251" s="27">
        <f t="shared" si="7"/>
        <v>3</v>
      </c>
      <c r="D251" s="26" cm="1">
        <f t="array" ref="D251">INDEX('BaseMap-1'!$H$8:$J$94,1+B251,C251)</f>
        <v>0</v>
      </c>
    </row>
    <row r="252" spans="1:4" x14ac:dyDescent="0.75">
      <c r="A252" s="27">
        <v>250</v>
      </c>
      <c r="B252" s="27">
        <f t="shared" si="6"/>
        <v>83</v>
      </c>
      <c r="C252" s="27">
        <f t="shared" si="7"/>
        <v>1</v>
      </c>
      <c r="D252" s="26" cm="1">
        <f t="array" ref="D252">INDEX('BaseMap-1'!$H$8:$J$94,1+B252,C252)</f>
        <v>0</v>
      </c>
    </row>
    <row r="253" spans="1:4" x14ac:dyDescent="0.75">
      <c r="A253" s="27">
        <v>251</v>
      </c>
      <c r="B253" s="27">
        <f t="shared" si="6"/>
        <v>83</v>
      </c>
      <c r="C253" s="27">
        <f t="shared" si="7"/>
        <v>2</v>
      </c>
      <c r="D253" s="26" cm="1">
        <f t="array" ref="D253">INDEX('BaseMap-1'!$H$8:$J$94,1+B253,C253)</f>
        <v>0</v>
      </c>
    </row>
    <row r="254" spans="1:4" x14ac:dyDescent="0.75">
      <c r="A254" s="27">
        <v>252</v>
      </c>
      <c r="B254" s="27">
        <f t="shared" si="6"/>
        <v>83</v>
      </c>
      <c r="C254" s="27">
        <f t="shared" si="7"/>
        <v>3</v>
      </c>
      <c r="D254" s="26" cm="1">
        <f t="array" ref="D254">INDEX('BaseMap-1'!$H$8:$J$94,1+B254,C254)</f>
        <v>0</v>
      </c>
    </row>
    <row r="255" spans="1:4" x14ac:dyDescent="0.75">
      <c r="A255" s="27">
        <v>253</v>
      </c>
      <c r="B255" s="27">
        <f t="shared" si="6"/>
        <v>84</v>
      </c>
      <c r="C255" s="27">
        <f t="shared" si="7"/>
        <v>1</v>
      </c>
      <c r="D255" s="26" cm="1">
        <f t="array" ref="D255">INDEX('BaseMap-1'!$H$8:$J$94,1+B255,C255)</f>
        <v>0</v>
      </c>
    </row>
    <row r="256" spans="1:4" x14ac:dyDescent="0.75">
      <c r="A256" s="27">
        <v>254</v>
      </c>
      <c r="B256" s="27">
        <f t="shared" si="6"/>
        <v>84</v>
      </c>
      <c r="C256" s="27">
        <f t="shared" si="7"/>
        <v>2</v>
      </c>
      <c r="D256" s="26" cm="1">
        <f t="array" ref="D256">INDEX('BaseMap-1'!$H$8:$J$94,1+B256,C256)</f>
        <v>0</v>
      </c>
    </row>
    <row r="257" spans="1:4" x14ac:dyDescent="0.75">
      <c r="A257" s="27">
        <v>255</v>
      </c>
      <c r="B257" s="27">
        <f t="shared" si="6"/>
        <v>84</v>
      </c>
      <c r="C257" s="27">
        <f t="shared" si="7"/>
        <v>3</v>
      </c>
      <c r="D257" s="26" cm="1">
        <f t="array" ref="D257">INDEX('BaseMap-1'!$H$8:$J$94,1+B257,C257)</f>
        <v>0</v>
      </c>
    </row>
    <row r="258" spans="1:4" x14ac:dyDescent="0.75">
      <c r="A258" s="27">
        <v>256</v>
      </c>
      <c r="B258" s="27">
        <f t="shared" si="6"/>
        <v>85</v>
      </c>
      <c r="C258" s="27">
        <f t="shared" si="7"/>
        <v>1</v>
      </c>
      <c r="D258" s="26" cm="1">
        <f t="array" ref="D258">INDEX('BaseMap-1'!$H$8:$J$94,1+B258,C258)</f>
        <v>0</v>
      </c>
    </row>
    <row r="259" spans="1:4" x14ac:dyDescent="0.75">
      <c r="A259" s="27">
        <v>257</v>
      </c>
      <c r="B259" s="27">
        <f t="shared" si="6"/>
        <v>85</v>
      </c>
      <c r="C259" s="27">
        <f t="shared" si="7"/>
        <v>2</v>
      </c>
      <c r="D259" s="26" cm="1">
        <f t="array" ref="D259">INDEX('BaseMap-1'!$H$8:$J$94,1+B259,C259)</f>
        <v>0</v>
      </c>
    </row>
    <row r="260" spans="1:4" x14ac:dyDescent="0.75">
      <c r="A260" s="27">
        <v>258</v>
      </c>
      <c r="B260" s="27">
        <f t="shared" ref="B260:B323" si="8">IF(MOD(A260,3)=0,A260/3-1,INT(A260/3))</f>
        <v>85</v>
      </c>
      <c r="C260" s="27">
        <f t="shared" ref="C260:C323" si="9">IF(MOD(A260,3)=0,3,MOD(A260,3))</f>
        <v>3</v>
      </c>
      <c r="D260" s="26" cm="1">
        <f t="array" ref="D260">INDEX('BaseMap-1'!$H$8:$J$94,1+B260,C260)</f>
        <v>0</v>
      </c>
    </row>
    <row r="261" spans="1:4" x14ac:dyDescent="0.75">
      <c r="A261" s="27">
        <v>259</v>
      </c>
      <c r="B261" s="27">
        <f t="shared" si="8"/>
        <v>86</v>
      </c>
      <c r="C261" s="27">
        <f t="shared" si="9"/>
        <v>1</v>
      </c>
      <c r="D261" s="26" cm="1">
        <f t="array" ref="D261">INDEX('BaseMap-1'!$H$8:$J$94,1+B261,C261)</f>
        <v>0</v>
      </c>
    </row>
    <row r="262" spans="1:4" x14ac:dyDescent="0.75">
      <c r="A262" s="27">
        <v>260</v>
      </c>
      <c r="B262" s="27">
        <f t="shared" si="8"/>
        <v>86</v>
      </c>
      <c r="C262" s="27">
        <f t="shared" si="9"/>
        <v>2</v>
      </c>
      <c r="D262" s="26" cm="1">
        <f t="array" ref="D262">INDEX('BaseMap-1'!$H$8:$J$94,1+B262,C262)</f>
        <v>0</v>
      </c>
    </row>
    <row r="263" spans="1:4" x14ac:dyDescent="0.75">
      <c r="A263" s="27">
        <v>261</v>
      </c>
      <c r="B263" s="27">
        <f t="shared" si="8"/>
        <v>86</v>
      </c>
      <c r="C263" s="27">
        <f t="shared" si="9"/>
        <v>3</v>
      </c>
      <c r="D263" s="26" cm="1">
        <f t="array" ref="D263">INDEX('BaseMap-1'!$H$8:$J$94,1+B263,C263)</f>
        <v>0</v>
      </c>
    </row>
    <row r="264" spans="1:4" x14ac:dyDescent="0.75">
      <c r="A264" s="27">
        <v>262</v>
      </c>
      <c r="B264" s="27">
        <f t="shared" si="8"/>
        <v>87</v>
      </c>
      <c r="C264" s="27">
        <f t="shared" si="9"/>
        <v>1</v>
      </c>
      <c r="D264" s="26" t="e" cm="1">
        <f t="array" ref="D264">INDEX('BaseMap-1'!$H$8:$J$94,1+B264,C264)</f>
        <v>#REF!</v>
      </c>
    </row>
    <row r="265" spans="1:4" x14ac:dyDescent="0.75">
      <c r="A265" s="27">
        <v>263</v>
      </c>
      <c r="B265" s="27">
        <f t="shared" si="8"/>
        <v>87</v>
      </c>
      <c r="C265" s="27">
        <f t="shared" si="9"/>
        <v>2</v>
      </c>
      <c r="D265" s="26" t="e" cm="1">
        <f t="array" ref="D265">INDEX('BaseMap-1'!$H$8:$J$94,1+B265,C265)</f>
        <v>#REF!</v>
      </c>
    </row>
    <row r="266" spans="1:4" x14ac:dyDescent="0.75">
      <c r="A266" s="27">
        <v>264</v>
      </c>
      <c r="B266" s="27">
        <f t="shared" si="8"/>
        <v>87</v>
      </c>
      <c r="C266" s="27">
        <f t="shared" si="9"/>
        <v>3</v>
      </c>
      <c r="D266" s="26" t="e" cm="1">
        <f t="array" ref="D266">INDEX('BaseMap-1'!$H$8:$J$94,1+B266,C266)</f>
        <v>#REF!</v>
      </c>
    </row>
    <row r="267" spans="1:4" x14ac:dyDescent="0.75">
      <c r="A267" s="27">
        <v>265</v>
      </c>
      <c r="B267" s="27">
        <f t="shared" si="8"/>
        <v>88</v>
      </c>
      <c r="C267" s="27">
        <f t="shared" si="9"/>
        <v>1</v>
      </c>
      <c r="D267" s="26" t="e" cm="1">
        <f t="array" ref="D267">INDEX('BaseMap-1'!$H$8:$J$94,1+B267,C267)</f>
        <v>#REF!</v>
      </c>
    </row>
    <row r="268" spans="1:4" x14ac:dyDescent="0.75">
      <c r="A268" s="27">
        <v>266</v>
      </c>
      <c r="B268" s="27">
        <f t="shared" si="8"/>
        <v>88</v>
      </c>
      <c r="C268" s="27">
        <f t="shared" si="9"/>
        <v>2</v>
      </c>
      <c r="D268" s="26" t="e" cm="1">
        <f t="array" ref="D268">INDEX('BaseMap-1'!$H$8:$J$94,1+B268,C268)</f>
        <v>#REF!</v>
      </c>
    </row>
    <row r="269" spans="1:4" x14ac:dyDescent="0.75">
      <c r="A269" s="27">
        <v>267</v>
      </c>
      <c r="B269" s="27">
        <f t="shared" si="8"/>
        <v>88</v>
      </c>
      <c r="C269" s="27">
        <f t="shared" si="9"/>
        <v>3</v>
      </c>
      <c r="D269" s="26" t="e" cm="1">
        <f t="array" ref="D269">INDEX('BaseMap-1'!$H$8:$J$94,1+B269,C269)</f>
        <v>#REF!</v>
      </c>
    </row>
    <row r="270" spans="1:4" x14ac:dyDescent="0.75">
      <c r="A270" s="27">
        <v>268</v>
      </c>
      <c r="B270" s="27">
        <f t="shared" si="8"/>
        <v>89</v>
      </c>
      <c r="C270" s="27">
        <f t="shared" si="9"/>
        <v>1</v>
      </c>
      <c r="D270" s="26" t="e" cm="1">
        <f t="array" ref="D270">INDEX('BaseMap-1'!$H$8:$J$94,1+B270,C270)</f>
        <v>#REF!</v>
      </c>
    </row>
    <row r="271" spans="1:4" x14ac:dyDescent="0.75">
      <c r="A271" s="27">
        <v>269</v>
      </c>
      <c r="B271" s="27">
        <f t="shared" si="8"/>
        <v>89</v>
      </c>
      <c r="C271" s="27">
        <f t="shared" si="9"/>
        <v>2</v>
      </c>
      <c r="D271" s="26" t="e" cm="1">
        <f t="array" ref="D271">INDEX('BaseMap-1'!$H$8:$J$94,1+B271,C271)</f>
        <v>#REF!</v>
      </c>
    </row>
    <row r="272" spans="1:4" x14ac:dyDescent="0.75">
      <c r="A272" s="27">
        <v>270</v>
      </c>
      <c r="B272" s="27">
        <f t="shared" si="8"/>
        <v>89</v>
      </c>
      <c r="C272" s="27">
        <f t="shared" si="9"/>
        <v>3</v>
      </c>
      <c r="D272" s="26" t="e" cm="1">
        <f t="array" ref="D272">INDEX('BaseMap-1'!$H$8:$J$94,1+B272,C272)</f>
        <v>#REF!</v>
      </c>
    </row>
    <row r="273" spans="1:4" x14ac:dyDescent="0.75">
      <c r="A273" s="27">
        <v>271</v>
      </c>
      <c r="B273" s="27">
        <f t="shared" si="8"/>
        <v>90</v>
      </c>
      <c r="C273" s="27">
        <f t="shared" si="9"/>
        <v>1</v>
      </c>
      <c r="D273" s="26" t="e" cm="1">
        <f t="array" ref="D273">INDEX('BaseMap-1'!$H$8:$J$94,1+B273,C273)</f>
        <v>#REF!</v>
      </c>
    </row>
    <row r="274" spans="1:4" x14ac:dyDescent="0.75">
      <c r="A274" s="27">
        <v>272</v>
      </c>
      <c r="B274" s="27">
        <f t="shared" si="8"/>
        <v>90</v>
      </c>
      <c r="C274" s="27">
        <f t="shared" si="9"/>
        <v>2</v>
      </c>
      <c r="D274" s="26" t="e" cm="1">
        <f t="array" ref="D274">INDEX('BaseMap-1'!$H$8:$J$94,1+B274,C274)</f>
        <v>#REF!</v>
      </c>
    </row>
    <row r="275" spans="1:4" x14ac:dyDescent="0.75">
      <c r="A275" s="27">
        <v>273</v>
      </c>
      <c r="B275" s="27">
        <f t="shared" si="8"/>
        <v>90</v>
      </c>
      <c r="C275" s="27">
        <f t="shared" si="9"/>
        <v>3</v>
      </c>
      <c r="D275" s="26" t="e" cm="1">
        <f t="array" ref="D275">INDEX('BaseMap-1'!$H$8:$J$94,1+B275,C275)</f>
        <v>#REF!</v>
      </c>
    </row>
    <row r="276" spans="1:4" x14ac:dyDescent="0.75">
      <c r="A276" s="27">
        <v>274</v>
      </c>
      <c r="B276" s="27">
        <f t="shared" si="8"/>
        <v>91</v>
      </c>
      <c r="C276" s="27">
        <f t="shared" si="9"/>
        <v>1</v>
      </c>
      <c r="D276" s="26" t="e" cm="1">
        <f t="array" ref="D276">INDEX('BaseMap-1'!$H$8:$J$94,1+B276,C276)</f>
        <v>#REF!</v>
      </c>
    </row>
    <row r="277" spans="1:4" x14ac:dyDescent="0.75">
      <c r="A277" s="27">
        <v>275</v>
      </c>
      <c r="B277" s="27">
        <f t="shared" si="8"/>
        <v>91</v>
      </c>
      <c r="C277" s="27">
        <f t="shared" si="9"/>
        <v>2</v>
      </c>
      <c r="D277" s="26" t="e" cm="1">
        <f t="array" ref="D277">INDEX('BaseMap-1'!$H$8:$J$94,1+B277,C277)</f>
        <v>#REF!</v>
      </c>
    </row>
    <row r="278" spans="1:4" x14ac:dyDescent="0.75">
      <c r="A278" s="27">
        <v>276</v>
      </c>
      <c r="B278" s="27">
        <f t="shared" si="8"/>
        <v>91</v>
      </c>
      <c r="C278" s="27">
        <f t="shared" si="9"/>
        <v>3</v>
      </c>
      <c r="D278" s="26" t="e" cm="1">
        <f t="array" ref="D278">INDEX('BaseMap-1'!$H$8:$J$94,1+B278,C278)</f>
        <v>#REF!</v>
      </c>
    </row>
    <row r="279" spans="1:4" x14ac:dyDescent="0.75">
      <c r="A279" s="27">
        <v>277</v>
      </c>
      <c r="B279" s="27">
        <f t="shared" si="8"/>
        <v>92</v>
      </c>
      <c r="C279" s="27">
        <f t="shared" si="9"/>
        <v>1</v>
      </c>
      <c r="D279" s="26" t="e" cm="1">
        <f t="array" ref="D279">INDEX('BaseMap-1'!$H$8:$J$94,1+B279,C279)</f>
        <v>#REF!</v>
      </c>
    </row>
    <row r="280" spans="1:4" x14ac:dyDescent="0.75">
      <c r="A280" s="27">
        <v>278</v>
      </c>
      <c r="B280" s="27">
        <f t="shared" si="8"/>
        <v>92</v>
      </c>
      <c r="C280" s="27">
        <f t="shared" si="9"/>
        <v>2</v>
      </c>
      <c r="D280" s="26" t="e" cm="1">
        <f t="array" ref="D280">INDEX('BaseMap-1'!$H$8:$J$94,1+B280,C280)</f>
        <v>#REF!</v>
      </c>
    </row>
    <row r="281" spans="1:4" x14ac:dyDescent="0.75">
      <c r="A281" s="27">
        <v>279</v>
      </c>
      <c r="B281" s="27">
        <f t="shared" si="8"/>
        <v>92</v>
      </c>
      <c r="C281" s="27">
        <f t="shared" si="9"/>
        <v>3</v>
      </c>
      <c r="D281" s="26" t="e" cm="1">
        <f t="array" ref="D281">INDEX('BaseMap-1'!$H$8:$J$94,1+B281,C281)</f>
        <v>#REF!</v>
      </c>
    </row>
    <row r="282" spans="1:4" x14ac:dyDescent="0.75">
      <c r="A282" s="27">
        <v>280</v>
      </c>
      <c r="B282" s="27">
        <f t="shared" si="8"/>
        <v>93</v>
      </c>
      <c r="C282" s="27">
        <f t="shared" si="9"/>
        <v>1</v>
      </c>
      <c r="D282" s="26" t="e" cm="1">
        <f t="array" ref="D282">INDEX('BaseMap-1'!$H$8:$J$94,1+B282,C282)</f>
        <v>#REF!</v>
      </c>
    </row>
    <row r="283" spans="1:4" x14ac:dyDescent="0.75">
      <c r="A283" s="27">
        <v>281</v>
      </c>
      <c r="B283" s="27">
        <f t="shared" si="8"/>
        <v>93</v>
      </c>
      <c r="C283" s="27">
        <f t="shared" si="9"/>
        <v>2</v>
      </c>
      <c r="D283" s="26" t="e" cm="1">
        <f t="array" ref="D283">INDEX('BaseMap-1'!$H$8:$J$94,1+B283,C283)</f>
        <v>#REF!</v>
      </c>
    </row>
    <row r="284" spans="1:4" x14ac:dyDescent="0.75">
      <c r="A284" s="27">
        <v>282</v>
      </c>
      <c r="B284" s="27">
        <f t="shared" si="8"/>
        <v>93</v>
      </c>
      <c r="C284" s="27">
        <f t="shared" si="9"/>
        <v>3</v>
      </c>
      <c r="D284" s="26" t="e" cm="1">
        <f t="array" ref="D284">INDEX('BaseMap-1'!$H$8:$J$94,1+B284,C284)</f>
        <v>#REF!</v>
      </c>
    </row>
    <row r="285" spans="1:4" x14ac:dyDescent="0.75">
      <c r="A285" s="27">
        <v>283</v>
      </c>
      <c r="B285" s="27">
        <f t="shared" si="8"/>
        <v>94</v>
      </c>
      <c r="C285" s="27">
        <f t="shared" si="9"/>
        <v>1</v>
      </c>
      <c r="D285" s="26" t="e" cm="1">
        <f t="array" ref="D285">INDEX('BaseMap-1'!$H$8:$J$94,1+B285,C285)</f>
        <v>#REF!</v>
      </c>
    </row>
    <row r="286" spans="1:4" x14ac:dyDescent="0.75">
      <c r="A286" s="27">
        <v>284</v>
      </c>
      <c r="B286" s="27">
        <f t="shared" si="8"/>
        <v>94</v>
      </c>
      <c r="C286" s="27">
        <f t="shared" si="9"/>
        <v>2</v>
      </c>
      <c r="D286" s="26" t="e" cm="1">
        <f t="array" ref="D286">INDEX('BaseMap-1'!$H$8:$J$94,1+B286,C286)</f>
        <v>#REF!</v>
      </c>
    </row>
    <row r="287" spans="1:4" x14ac:dyDescent="0.75">
      <c r="A287" s="27">
        <v>285</v>
      </c>
      <c r="B287" s="27">
        <f t="shared" si="8"/>
        <v>94</v>
      </c>
      <c r="C287" s="27">
        <f t="shared" si="9"/>
        <v>3</v>
      </c>
      <c r="D287" s="26" t="e" cm="1">
        <f t="array" ref="D287">INDEX('BaseMap-1'!$H$8:$J$94,1+B287,C287)</f>
        <v>#REF!</v>
      </c>
    </row>
    <row r="288" spans="1:4" x14ac:dyDescent="0.75">
      <c r="A288" s="27">
        <v>286</v>
      </c>
      <c r="B288" s="27">
        <f t="shared" si="8"/>
        <v>95</v>
      </c>
      <c r="C288" s="27">
        <f t="shared" si="9"/>
        <v>1</v>
      </c>
      <c r="D288" s="26" t="e" cm="1">
        <f t="array" ref="D288">INDEX('BaseMap-1'!$H$8:$J$94,1+B288,C288)</f>
        <v>#REF!</v>
      </c>
    </row>
    <row r="289" spans="1:4" x14ac:dyDescent="0.75">
      <c r="A289" s="27">
        <v>287</v>
      </c>
      <c r="B289" s="27">
        <f t="shared" si="8"/>
        <v>95</v>
      </c>
      <c r="C289" s="27">
        <f t="shared" si="9"/>
        <v>2</v>
      </c>
      <c r="D289" s="26" t="e" cm="1">
        <f t="array" ref="D289">INDEX('BaseMap-1'!$H$8:$J$94,1+B289,C289)</f>
        <v>#REF!</v>
      </c>
    </row>
    <row r="290" spans="1:4" x14ac:dyDescent="0.75">
      <c r="A290" s="27">
        <v>288</v>
      </c>
      <c r="B290" s="27">
        <f t="shared" si="8"/>
        <v>95</v>
      </c>
      <c r="C290" s="27">
        <f t="shared" si="9"/>
        <v>3</v>
      </c>
      <c r="D290" s="26" t="e" cm="1">
        <f t="array" ref="D290">INDEX('BaseMap-1'!$H$8:$J$94,1+B290,C290)</f>
        <v>#REF!</v>
      </c>
    </row>
    <row r="291" spans="1:4" x14ac:dyDescent="0.75">
      <c r="A291" s="27">
        <v>289</v>
      </c>
      <c r="B291" s="27">
        <f t="shared" si="8"/>
        <v>96</v>
      </c>
      <c r="C291" s="27">
        <f t="shared" si="9"/>
        <v>1</v>
      </c>
      <c r="D291" s="26" t="e" cm="1">
        <f t="array" ref="D291">INDEX('BaseMap-1'!$H$8:$J$94,1+B291,C291)</f>
        <v>#REF!</v>
      </c>
    </row>
    <row r="292" spans="1:4" x14ac:dyDescent="0.75">
      <c r="A292" s="27">
        <v>290</v>
      </c>
      <c r="B292" s="27">
        <f t="shared" si="8"/>
        <v>96</v>
      </c>
      <c r="C292" s="27">
        <f t="shared" si="9"/>
        <v>2</v>
      </c>
      <c r="D292" s="26" t="e" cm="1">
        <f t="array" ref="D292">INDEX('BaseMap-1'!$H$8:$J$94,1+B292,C292)</f>
        <v>#REF!</v>
      </c>
    </row>
    <row r="293" spans="1:4" x14ac:dyDescent="0.75">
      <c r="A293" s="27">
        <v>291</v>
      </c>
      <c r="B293" s="27">
        <f t="shared" si="8"/>
        <v>96</v>
      </c>
      <c r="C293" s="27">
        <f t="shared" si="9"/>
        <v>3</v>
      </c>
      <c r="D293" s="26" t="e" cm="1">
        <f t="array" ref="D293">INDEX('BaseMap-1'!$H$8:$J$94,1+B293,C293)</f>
        <v>#REF!</v>
      </c>
    </row>
    <row r="294" spans="1:4" x14ac:dyDescent="0.75">
      <c r="A294" s="27">
        <v>292</v>
      </c>
      <c r="B294" s="27">
        <f t="shared" si="8"/>
        <v>97</v>
      </c>
      <c r="C294" s="27">
        <f t="shared" si="9"/>
        <v>1</v>
      </c>
      <c r="D294" s="26" t="e" cm="1">
        <f t="array" ref="D294">INDEX('BaseMap-1'!$H$8:$J$94,1+B294,C294)</f>
        <v>#REF!</v>
      </c>
    </row>
    <row r="295" spans="1:4" x14ac:dyDescent="0.75">
      <c r="A295" s="27">
        <v>293</v>
      </c>
      <c r="B295" s="27">
        <f t="shared" si="8"/>
        <v>97</v>
      </c>
      <c r="C295" s="27">
        <f t="shared" si="9"/>
        <v>2</v>
      </c>
      <c r="D295" s="26" t="e" cm="1">
        <f t="array" ref="D295">INDEX('BaseMap-1'!$H$8:$J$94,1+B295,C295)</f>
        <v>#REF!</v>
      </c>
    </row>
    <row r="296" spans="1:4" x14ac:dyDescent="0.75">
      <c r="A296" s="27">
        <v>294</v>
      </c>
      <c r="B296" s="27">
        <f t="shared" si="8"/>
        <v>97</v>
      </c>
      <c r="C296" s="27">
        <f t="shared" si="9"/>
        <v>3</v>
      </c>
      <c r="D296" s="26" t="e" cm="1">
        <f t="array" ref="D296">INDEX('BaseMap-1'!$H$8:$J$94,1+B296,C296)</f>
        <v>#REF!</v>
      </c>
    </row>
    <row r="297" spans="1:4" x14ac:dyDescent="0.75">
      <c r="A297" s="27">
        <v>295</v>
      </c>
      <c r="B297" s="27">
        <f t="shared" si="8"/>
        <v>98</v>
      </c>
      <c r="C297" s="27">
        <f t="shared" si="9"/>
        <v>1</v>
      </c>
      <c r="D297" s="26" t="e" cm="1">
        <f t="array" ref="D297">INDEX('BaseMap-1'!$H$8:$J$94,1+B297,C297)</f>
        <v>#REF!</v>
      </c>
    </row>
    <row r="298" spans="1:4" x14ac:dyDescent="0.75">
      <c r="A298" s="27">
        <v>296</v>
      </c>
      <c r="B298" s="27">
        <f t="shared" si="8"/>
        <v>98</v>
      </c>
      <c r="C298" s="27">
        <f t="shared" si="9"/>
        <v>2</v>
      </c>
      <c r="D298" s="26" t="e" cm="1">
        <f t="array" ref="D298">INDEX('BaseMap-1'!$H$8:$J$94,1+B298,C298)</f>
        <v>#REF!</v>
      </c>
    </row>
    <row r="299" spans="1:4" x14ac:dyDescent="0.75">
      <c r="A299" s="27">
        <v>297</v>
      </c>
      <c r="B299" s="27">
        <f t="shared" si="8"/>
        <v>98</v>
      </c>
      <c r="C299" s="27">
        <f t="shared" si="9"/>
        <v>3</v>
      </c>
      <c r="D299" s="26" t="e" cm="1">
        <f t="array" ref="D299">INDEX('BaseMap-1'!$H$8:$J$94,1+B299,C299)</f>
        <v>#REF!</v>
      </c>
    </row>
    <row r="300" spans="1:4" x14ac:dyDescent="0.75">
      <c r="A300" s="27">
        <v>298</v>
      </c>
      <c r="B300" s="27">
        <f t="shared" si="8"/>
        <v>99</v>
      </c>
      <c r="C300" s="27">
        <f t="shared" si="9"/>
        <v>1</v>
      </c>
      <c r="D300" s="26" t="e" cm="1">
        <f t="array" ref="D300">INDEX('BaseMap-1'!$H$8:$J$94,1+B300,C300)</f>
        <v>#REF!</v>
      </c>
    </row>
    <row r="301" spans="1:4" x14ac:dyDescent="0.75">
      <c r="A301" s="27">
        <v>299</v>
      </c>
      <c r="B301" s="27">
        <f t="shared" si="8"/>
        <v>99</v>
      </c>
      <c r="C301" s="27">
        <f t="shared" si="9"/>
        <v>2</v>
      </c>
      <c r="D301" s="26" t="e" cm="1">
        <f t="array" ref="D301">INDEX('BaseMap-1'!$H$8:$J$94,1+B301,C301)</f>
        <v>#REF!</v>
      </c>
    </row>
    <row r="302" spans="1:4" x14ac:dyDescent="0.75">
      <c r="A302" s="27">
        <v>300</v>
      </c>
      <c r="B302" s="27">
        <f t="shared" si="8"/>
        <v>99</v>
      </c>
      <c r="C302" s="27">
        <f t="shared" si="9"/>
        <v>3</v>
      </c>
      <c r="D302" s="26" t="e" cm="1">
        <f t="array" ref="D302">INDEX('BaseMap-1'!$H$8:$J$94,1+B302,C302)</f>
        <v>#REF!</v>
      </c>
    </row>
    <row r="303" spans="1:4" x14ac:dyDescent="0.75">
      <c r="A303" s="27">
        <v>301</v>
      </c>
      <c r="B303" s="27">
        <f t="shared" si="8"/>
        <v>100</v>
      </c>
      <c r="C303" s="27">
        <f t="shared" si="9"/>
        <v>1</v>
      </c>
      <c r="D303" s="26" t="e" cm="1">
        <f t="array" ref="D303">INDEX('BaseMap-1'!$H$8:$J$94,1+B303,C303)</f>
        <v>#REF!</v>
      </c>
    </row>
    <row r="304" spans="1:4" x14ac:dyDescent="0.75">
      <c r="A304" s="27">
        <v>302</v>
      </c>
      <c r="B304" s="27">
        <f t="shared" si="8"/>
        <v>100</v>
      </c>
      <c r="C304" s="27">
        <f t="shared" si="9"/>
        <v>2</v>
      </c>
      <c r="D304" s="26" t="e" cm="1">
        <f t="array" ref="D304">INDEX('BaseMap-1'!$H$8:$J$94,1+B304,C304)</f>
        <v>#REF!</v>
      </c>
    </row>
    <row r="305" spans="1:4" x14ac:dyDescent="0.75">
      <c r="A305" s="27">
        <v>303</v>
      </c>
      <c r="B305" s="27">
        <f t="shared" si="8"/>
        <v>100</v>
      </c>
      <c r="C305" s="27">
        <f t="shared" si="9"/>
        <v>3</v>
      </c>
      <c r="D305" s="26" t="e" cm="1">
        <f t="array" ref="D305">INDEX('BaseMap-1'!$H$8:$J$94,1+B305,C305)</f>
        <v>#REF!</v>
      </c>
    </row>
    <row r="306" spans="1:4" x14ac:dyDescent="0.75">
      <c r="A306" s="27">
        <v>304</v>
      </c>
      <c r="B306" s="27">
        <f t="shared" si="8"/>
        <v>101</v>
      </c>
      <c r="C306" s="27">
        <f t="shared" si="9"/>
        <v>1</v>
      </c>
      <c r="D306" s="26" t="e" cm="1">
        <f t="array" ref="D306">INDEX('BaseMap-1'!$H$8:$J$94,1+B306,C306)</f>
        <v>#REF!</v>
      </c>
    </row>
    <row r="307" spans="1:4" x14ac:dyDescent="0.75">
      <c r="A307" s="27">
        <v>305</v>
      </c>
      <c r="B307" s="27">
        <f t="shared" si="8"/>
        <v>101</v>
      </c>
      <c r="C307" s="27">
        <f t="shared" si="9"/>
        <v>2</v>
      </c>
      <c r="D307" s="26" t="e" cm="1">
        <f t="array" ref="D307">INDEX('BaseMap-1'!$H$8:$J$94,1+B307,C307)</f>
        <v>#REF!</v>
      </c>
    </row>
    <row r="308" spans="1:4" x14ac:dyDescent="0.75">
      <c r="A308" s="27">
        <v>306</v>
      </c>
      <c r="B308" s="27">
        <f t="shared" si="8"/>
        <v>101</v>
      </c>
      <c r="C308" s="27">
        <f t="shared" si="9"/>
        <v>3</v>
      </c>
      <c r="D308" s="26" t="e" cm="1">
        <f t="array" ref="D308">INDEX('BaseMap-1'!$H$8:$J$94,1+B308,C308)</f>
        <v>#REF!</v>
      </c>
    </row>
    <row r="309" spans="1:4" x14ac:dyDescent="0.75">
      <c r="A309" s="27">
        <v>307</v>
      </c>
      <c r="B309" s="27">
        <f t="shared" si="8"/>
        <v>102</v>
      </c>
      <c r="C309" s="27">
        <f t="shared" si="9"/>
        <v>1</v>
      </c>
      <c r="D309" s="26" t="e" cm="1">
        <f t="array" ref="D309">INDEX('BaseMap-1'!$H$8:$J$94,1+B309,C309)</f>
        <v>#REF!</v>
      </c>
    </row>
    <row r="310" spans="1:4" x14ac:dyDescent="0.75">
      <c r="A310" s="27">
        <v>308</v>
      </c>
      <c r="B310" s="27">
        <f t="shared" si="8"/>
        <v>102</v>
      </c>
      <c r="C310" s="27">
        <f t="shared" si="9"/>
        <v>2</v>
      </c>
      <c r="D310" s="26" t="e" cm="1">
        <f t="array" ref="D310">INDEX('BaseMap-1'!$H$8:$J$94,1+B310,C310)</f>
        <v>#REF!</v>
      </c>
    </row>
    <row r="311" spans="1:4" x14ac:dyDescent="0.75">
      <c r="A311" s="27">
        <v>309</v>
      </c>
      <c r="B311" s="27">
        <f t="shared" si="8"/>
        <v>102</v>
      </c>
      <c r="C311" s="27">
        <f t="shared" si="9"/>
        <v>3</v>
      </c>
      <c r="D311" s="26" t="e" cm="1">
        <f t="array" ref="D311">INDEX('BaseMap-1'!$H$8:$J$94,1+B311,C311)</f>
        <v>#REF!</v>
      </c>
    </row>
    <row r="312" spans="1:4" x14ac:dyDescent="0.75">
      <c r="A312" s="27">
        <v>310</v>
      </c>
      <c r="B312" s="27">
        <f t="shared" si="8"/>
        <v>103</v>
      </c>
      <c r="C312" s="27">
        <f t="shared" si="9"/>
        <v>1</v>
      </c>
      <c r="D312" s="26" t="e" cm="1">
        <f t="array" ref="D312">INDEX('BaseMap-1'!$H$8:$J$94,1+B312,C312)</f>
        <v>#REF!</v>
      </c>
    </row>
    <row r="313" spans="1:4" x14ac:dyDescent="0.75">
      <c r="A313" s="27">
        <v>311</v>
      </c>
      <c r="B313" s="27">
        <f t="shared" si="8"/>
        <v>103</v>
      </c>
      <c r="C313" s="27">
        <f t="shared" si="9"/>
        <v>2</v>
      </c>
      <c r="D313" s="26" t="e" cm="1">
        <f t="array" ref="D313">INDEX('BaseMap-1'!$H$8:$J$94,1+B313,C313)</f>
        <v>#REF!</v>
      </c>
    </row>
    <row r="314" spans="1:4" x14ac:dyDescent="0.75">
      <c r="A314" s="27">
        <v>312</v>
      </c>
      <c r="B314" s="27">
        <f t="shared" si="8"/>
        <v>103</v>
      </c>
      <c r="C314" s="27">
        <f t="shared" si="9"/>
        <v>3</v>
      </c>
      <c r="D314" s="26" t="e" cm="1">
        <f t="array" ref="D314">INDEX('BaseMap-1'!$H$8:$J$94,1+B314,C314)</f>
        <v>#REF!</v>
      </c>
    </row>
    <row r="315" spans="1:4" x14ac:dyDescent="0.75">
      <c r="A315" s="27">
        <v>313</v>
      </c>
      <c r="B315" s="27">
        <f t="shared" si="8"/>
        <v>104</v>
      </c>
      <c r="C315" s="27">
        <f t="shared" si="9"/>
        <v>1</v>
      </c>
      <c r="D315" s="26" t="e" cm="1">
        <f t="array" ref="D315">INDEX('BaseMap-1'!$H$8:$J$94,1+B315,C315)</f>
        <v>#REF!</v>
      </c>
    </row>
    <row r="316" spans="1:4" x14ac:dyDescent="0.75">
      <c r="A316" s="27">
        <v>314</v>
      </c>
      <c r="B316" s="27">
        <f t="shared" si="8"/>
        <v>104</v>
      </c>
      <c r="C316" s="27">
        <f t="shared" si="9"/>
        <v>2</v>
      </c>
      <c r="D316" s="26" t="e" cm="1">
        <f t="array" ref="D316">INDEX('BaseMap-1'!$H$8:$J$94,1+B316,C316)</f>
        <v>#REF!</v>
      </c>
    </row>
    <row r="317" spans="1:4" x14ac:dyDescent="0.75">
      <c r="A317" s="27">
        <v>315</v>
      </c>
      <c r="B317" s="27">
        <f t="shared" si="8"/>
        <v>104</v>
      </c>
      <c r="C317" s="27">
        <f t="shared" si="9"/>
        <v>3</v>
      </c>
      <c r="D317" s="26" t="e" cm="1">
        <f t="array" ref="D317">INDEX('BaseMap-1'!$H$8:$J$94,1+B317,C317)</f>
        <v>#REF!</v>
      </c>
    </row>
    <row r="318" spans="1:4" x14ac:dyDescent="0.75">
      <c r="A318" s="27">
        <v>316</v>
      </c>
      <c r="B318" s="27">
        <f t="shared" si="8"/>
        <v>105</v>
      </c>
      <c r="C318" s="27">
        <f t="shared" si="9"/>
        <v>1</v>
      </c>
      <c r="D318" s="26" t="e" cm="1">
        <f t="array" ref="D318">INDEX('BaseMap-1'!$H$8:$J$94,1+B318,C318)</f>
        <v>#REF!</v>
      </c>
    </row>
    <row r="319" spans="1:4" x14ac:dyDescent="0.75">
      <c r="A319" s="27">
        <v>317</v>
      </c>
      <c r="B319" s="27">
        <f t="shared" si="8"/>
        <v>105</v>
      </c>
      <c r="C319" s="27">
        <f t="shared" si="9"/>
        <v>2</v>
      </c>
      <c r="D319" s="26" t="e" cm="1">
        <f t="array" ref="D319">INDEX('BaseMap-1'!$H$8:$J$94,1+B319,C319)</f>
        <v>#REF!</v>
      </c>
    </row>
    <row r="320" spans="1:4" x14ac:dyDescent="0.75">
      <c r="A320" s="27">
        <v>318</v>
      </c>
      <c r="B320" s="27">
        <f t="shared" si="8"/>
        <v>105</v>
      </c>
      <c r="C320" s="27">
        <f t="shared" si="9"/>
        <v>3</v>
      </c>
      <c r="D320" s="26" t="e" cm="1">
        <f t="array" ref="D320">INDEX('BaseMap-1'!$H$8:$J$94,1+B320,C320)</f>
        <v>#REF!</v>
      </c>
    </row>
    <row r="321" spans="1:4" x14ac:dyDescent="0.75">
      <c r="A321" s="27">
        <v>319</v>
      </c>
      <c r="B321" s="27">
        <f t="shared" si="8"/>
        <v>106</v>
      </c>
      <c r="C321" s="27">
        <f t="shared" si="9"/>
        <v>1</v>
      </c>
      <c r="D321" s="26" t="e" cm="1">
        <f t="array" ref="D321">INDEX('BaseMap-1'!$H$8:$J$94,1+B321,C321)</f>
        <v>#REF!</v>
      </c>
    </row>
    <row r="322" spans="1:4" x14ac:dyDescent="0.75">
      <c r="A322" s="27">
        <v>320</v>
      </c>
      <c r="B322" s="27">
        <f t="shared" si="8"/>
        <v>106</v>
      </c>
      <c r="C322" s="27">
        <f t="shared" si="9"/>
        <v>2</v>
      </c>
      <c r="D322" s="26" t="e" cm="1">
        <f t="array" ref="D322">INDEX('BaseMap-1'!$H$8:$J$94,1+B322,C322)</f>
        <v>#REF!</v>
      </c>
    </row>
    <row r="323" spans="1:4" x14ac:dyDescent="0.75">
      <c r="A323" s="27">
        <v>321</v>
      </c>
      <c r="B323" s="27">
        <f t="shared" si="8"/>
        <v>106</v>
      </c>
      <c r="C323" s="27">
        <f t="shared" si="9"/>
        <v>3</v>
      </c>
      <c r="D323" s="26" t="e" cm="1">
        <f t="array" ref="D323">INDEX('BaseMap-1'!$H$8:$J$94,1+B323,C323)</f>
        <v>#REF!</v>
      </c>
    </row>
    <row r="324" spans="1:4" x14ac:dyDescent="0.75">
      <c r="A324" s="27">
        <v>322</v>
      </c>
      <c r="B324" s="27">
        <f t="shared" ref="B324:B387" si="10">IF(MOD(A324,3)=0,A324/3-1,INT(A324/3))</f>
        <v>107</v>
      </c>
      <c r="C324" s="27">
        <f t="shared" ref="C324:C387" si="11">IF(MOD(A324,3)=0,3,MOD(A324,3))</f>
        <v>1</v>
      </c>
      <c r="D324" s="26" t="e" cm="1">
        <f t="array" ref="D324">INDEX('BaseMap-1'!$H$8:$J$94,1+B324,C324)</f>
        <v>#REF!</v>
      </c>
    </row>
    <row r="325" spans="1:4" x14ac:dyDescent="0.75">
      <c r="A325" s="27">
        <v>323</v>
      </c>
      <c r="B325" s="27">
        <f t="shared" si="10"/>
        <v>107</v>
      </c>
      <c r="C325" s="27">
        <f t="shared" si="11"/>
        <v>2</v>
      </c>
      <c r="D325" s="26" t="e" cm="1">
        <f t="array" ref="D325">INDEX('BaseMap-1'!$H$8:$J$94,1+B325,C325)</f>
        <v>#REF!</v>
      </c>
    </row>
    <row r="326" spans="1:4" x14ac:dyDescent="0.75">
      <c r="A326" s="27">
        <v>324</v>
      </c>
      <c r="B326" s="27">
        <f t="shared" si="10"/>
        <v>107</v>
      </c>
      <c r="C326" s="27">
        <f t="shared" si="11"/>
        <v>3</v>
      </c>
      <c r="D326" s="26" t="e" cm="1">
        <f t="array" ref="D326">INDEX('BaseMap-1'!$H$8:$J$94,1+B326,C326)</f>
        <v>#REF!</v>
      </c>
    </row>
    <row r="327" spans="1:4" x14ac:dyDescent="0.75">
      <c r="A327" s="27">
        <v>325</v>
      </c>
      <c r="B327" s="27">
        <f t="shared" si="10"/>
        <v>108</v>
      </c>
      <c r="C327" s="27">
        <f t="shared" si="11"/>
        <v>1</v>
      </c>
      <c r="D327" s="26" t="e" cm="1">
        <f t="array" ref="D327">INDEX('BaseMap-1'!$H$8:$J$94,1+B327,C327)</f>
        <v>#REF!</v>
      </c>
    </row>
    <row r="328" spans="1:4" x14ac:dyDescent="0.75">
      <c r="A328" s="27">
        <v>326</v>
      </c>
      <c r="B328" s="27">
        <f t="shared" si="10"/>
        <v>108</v>
      </c>
      <c r="C328" s="27">
        <f t="shared" si="11"/>
        <v>2</v>
      </c>
      <c r="D328" s="26" t="e" cm="1">
        <f t="array" ref="D328">INDEX('BaseMap-1'!$H$8:$J$94,1+B328,C328)</f>
        <v>#REF!</v>
      </c>
    </row>
    <row r="329" spans="1:4" x14ac:dyDescent="0.75">
      <c r="A329" s="27">
        <v>327</v>
      </c>
      <c r="B329" s="27">
        <f t="shared" si="10"/>
        <v>108</v>
      </c>
      <c r="C329" s="27">
        <f t="shared" si="11"/>
        <v>3</v>
      </c>
      <c r="D329" s="26" t="e" cm="1">
        <f t="array" ref="D329">INDEX('BaseMap-1'!$H$8:$J$94,1+B329,C329)</f>
        <v>#REF!</v>
      </c>
    </row>
    <row r="330" spans="1:4" x14ac:dyDescent="0.75">
      <c r="A330" s="27">
        <v>328</v>
      </c>
      <c r="B330" s="27">
        <f t="shared" si="10"/>
        <v>109</v>
      </c>
      <c r="C330" s="27">
        <f t="shared" si="11"/>
        <v>1</v>
      </c>
      <c r="D330" s="26" t="e" cm="1">
        <f t="array" ref="D330">INDEX('BaseMap-1'!$H$8:$J$94,1+B330,C330)</f>
        <v>#REF!</v>
      </c>
    </row>
    <row r="331" spans="1:4" x14ac:dyDescent="0.75">
      <c r="A331" s="27">
        <v>329</v>
      </c>
      <c r="B331" s="27">
        <f t="shared" si="10"/>
        <v>109</v>
      </c>
      <c r="C331" s="27">
        <f t="shared" si="11"/>
        <v>2</v>
      </c>
      <c r="D331" s="26" t="e" cm="1">
        <f t="array" ref="D331">INDEX('BaseMap-1'!$H$8:$J$94,1+B331,C331)</f>
        <v>#REF!</v>
      </c>
    </row>
    <row r="332" spans="1:4" x14ac:dyDescent="0.75">
      <c r="A332" s="27">
        <v>330</v>
      </c>
      <c r="B332" s="27">
        <f t="shared" si="10"/>
        <v>109</v>
      </c>
      <c r="C332" s="27">
        <f t="shared" si="11"/>
        <v>3</v>
      </c>
      <c r="D332" s="26" t="e" cm="1">
        <f t="array" ref="D332">INDEX('BaseMap-1'!$H$8:$J$94,1+B332,C332)</f>
        <v>#REF!</v>
      </c>
    </row>
    <row r="333" spans="1:4" x14ac:dyDescent="0.75">
      <c r="A333" s="27">
        <v>331</v>
      </c>
      <c r="B333" s="27">
        <f t="shared" si="10"/>
        <v>110</v>
      </c>
      <c r="C333" s="27">
        <f t="shared" si="11"/>
        <v>1</v>
      </c>
      <c r="D333" s="26" t="e" cm="1">
        <f t="array" ref="D333">INDEX('BaseMap-1'!$H$8:$J$94,1+B333,C333)</f>
        <v>#REF!</v>
      </c>
    </row>
    <row r="334" spans="1:4" x14ac:dyDescent="0.75">
      <c r="A334" s="27">
        <v>332</v>
      </c>
      <c r="B334" s="27">
        <f t="shared" si="10"/>
        <v>110</v>
      </c>
      <c r="C334" s="27">
        <f t="shared" si="11"/>
        <v>2</v>
      </c>
      <c r="D334" s="26" t="e" cm="1">
        <f t="array" ref="D334">INDEX('BaseMap-1'!$H$8:$J$94,1+B334,C334)</f>
        <v>#REF!</v>
      </c>
    </row>
    <row r="335" spans="1:4" x14ac:dyDescent="0.75">
      <c r="A335" s="27">
        <v>333</v>
      </c>
      <c r="B335" s="27">
        <f t="shared" si="10"/>
        <v>110</v>
      </c>
      <c r="C335" s="27">
        <f t="shared" si="11"/>
        <v>3</v>
      </c>
      <c r="D335" s="26" t="e" cm="1">
        <f t="array" ref="D335">INDEX('BaseMap-1'!$H$8:$J$94,1+B335,C335)</f>
        <v>#REF!</v>
      </c>
    </row>
    <row r="336" spans="1:4" x14ac:dyDescent="0.75">
      <c r="A336" s="27">
        <v>334</v>
      </c>
      <c r="B336" s="27">
        <f t="shared" si="10"/>
        <v>111</v>
      </c>
      <c r="C336" s="27">
        <f t="shared" si="11"/>
        <v>1</v>
      </c>
      <c r="D336" s="26" t="e" cm="1">
        <f t="array" ref="D336">INDEX('BaseMap-1'!$H$8:$J$94,1+B336,C336)</f>
        <v>#REF!</v>
      </c>
    </row>
    <row r="337" spans="1:4" x14ac:dyDescent="0.75">
      <c r="A337" s="27">
        <v>335</v>
      </c>
      <c r="B337" s="27">
        <f t="shared" si="10"/>
        <v>111</v>
      </c>
      <c r="C337" s="27">
        <f t="shared" si="11"/>
        <v>2</v>
      </c>
      <c r="D337" s="26" t="e" cm="1">
        <f t="array" ref="D337">INDEX('BaseMap-1'!$H$8:$J$94,1+B337,C337)</f>
        <v>#REF!</v>
      </c>
    </row>
    <row r="338" spans="1:4" x14ac:dyDescent="0.75">
      <c r="A338" s="27">
        <v>336</v>
      </c>
      <c r="B338" s="27">
        <f t="shared" si="10"/>
        <v>111</v>
      </c>
      <c r="C338" s="27">
        <f t="shared" si="11"/>
        <v>3</v>
      </c>
      <c r="D338" s="26" t="e" cm="1">
        <f t="array" ref="D338">INDEX('BaseMap-1'!$H$8:$J$94,1+B338,C338)</f>
        <v>#REF!</v>
      </c>
    </row>
    <row r="339" spans="1:4" x14ac:dyDescent="0.75">
      <c r="A339" s="27">
        <v>337</v>
      </c>
      <c r="B339" s="27">
        <f t="shared" si="10"/>
        <v>112</v>
      </c>
      <c r="C339" s="27">
        <f t="shared" si="11"/>
        <v>1</v>
      </c>
      <c r="D339" s="26" t="e" cm="1">
        <f t="array" ref="D339">INDEX('BaseMap-1'!$H$8:$J$94,1+B339,C339)</f>
        <v>#REF!</v>
      </c>
    </row>
    <row r="340" spans="1:4" x14ac:dyDescent="0.75">
      <c r="A340" s="27">
        <v>338</v>
      </c>
      <c r="B340" s="27">
        <f t="shared" si="10"/>
        <v>112</v>
      </c>
      <c r="C340" s="27">
        <f t="shared" si="11"/>
        <v>2</v>
      </c>
      <c r="D340" s="26" t="e" cm="1">
        <f t="array" ref="D340">INDEX('BaseMap-1'!$H$8:$J$94,1+B340,C340)</f>
        <v>#REF!</v>
      </c>
    </row>
    <row r="341" spans="1:4" x14ac:dyDescent="0.75">
      <c r="A341" s="27">
        <v>339</v>
      </c>
      <c r="B341" s="27">
        <f t="shared" si="10"/>
        <v>112</v>
      </c>
      <c r="C341" s="27">
        <f t="shared" si="11"/>
        <v>3</v>
      </c>
      <c r="D341" s="26" t="e" cm="1">
        <f t="array" ref="D341">INDEX('BaseMap-1'!$H$8:$J$94,1+B341,C341)</f>
        <v>#REF!</v>
      </c>
    </row>
    <row r="342" spans="1:4" x14ac:dyDescent="0.75">
      <c r="A342" s="27">
        <v>340</v>
      </c>
      <c r="B342" s="27">
        <f t="shared" si="10"/>
        <v>113</v>
      </c>
      <c r="C342" s="27">
        <f t="shared" si="11"/>
        <v>1</v>
      </c>
      <c r="D342" s="26" t="e" cm="1">
        <f t="array" ref="D342">INDEX('BaseMap-1'!$H$8:$J$94,1+B342,C342)</f>
        <v>#REF!</v>
      </c>
    </row>
    <row r="343" spans="1:4" x14ac:dyDescent="0.75">
      <c r="A343" s="27">
        <v>341</v>
      </c>
      <c r="B343" s="27">
        <f t="shared" si="10"/>
        <v>113</v>
      </c>
      <c r="C343" s="27">
        <f t="shared" si="11"/>
        <v>2</v>
      </c>
      <c r="D343" s="26" t="e" cm="1">
        <f t="array" ref="D343">INDEX('BaseMap-1'!$H$8:$J$94,1+B343,C343)</f>
        <v>#REF!</v>
      </c>
    </row>
    <row r="344" spans="1:4" x14ac:dyDescent="0.75">
      <c r="A344" s="27">
        <v>342</v>
      </c>
      <c r="B344" s="27">
        <f t="shared" si="10"/>
        <v>113</v>
      </c>
      <c r="C344" s="27">
        <f t="shared" si="11"/>
        <v>3</v>
      </c>
      <c r="D344" s="26" t="e" cm="1">
        <f t="array" ref="D344">INDEX('BaseMap-1'!$H$8:$J$94,1+B344,C344)</f>
        <v>#REF!</v>
      </c>
    </row>
    <row r="345" spans="1:4" x14ac:dyDescent="0.75">
      <c r="A345" s="27">
        <v>343</v>
      </c>
      <c r="B345" s="27">
        <f t="shared" si="10"/>
        <v>114</v>
      </c>
      <c r="C345" s="27">
        <f t="shared" si="11"/>
        <v>1</v>
      </c>
      <c r="D345" s="26" t="e" cm="1">
        <f t="array" ref="D345">INDEX('BaseMap-1'!$H$8:$J$94,1+B345,C345)</f>
        <v>#REF!</v>
      </c>
    </row>
    <row r="346" spans="1:4" x14ac:dyDescent="0.75">
      <c r="A346" s="27">
        <v>344</v>
      </c>
      <c r="B346" s="27">
        <f t="shared" si="10"/>
        <v>114</v>
      </c>
      <c r="C346" s="27">
        <f t="shared" si="11"/>
        <v>2</v>
      </c>
    </row>
    <row r="347" spans="1:4" x14ac:dyDescent="0.75">
      <c r="A347" s="27">
        <v>345</v>
      </c>
      <c r="B347" s="27">
        <f t="shared" si="10"/>
        <v>114</v>
      </c>
      <c r="C347" s="27">
        <f t="shared" si="11"/>
        <v>3</v>
      </c>
    </row>
    <row r="348" spans="1:4" x14ac:dyDescent="0.75">
      <c r="A348" s="27">
        <v>346</v>
      </c>
      <c r="B348" s="27">
        <f t="shared" si="10"/>
        <v>115</v>
      </c>
      <c r="C348" s="27">
        <f t="shared" si="11"/>
        <v>1</v>
      </c>
    </row>
    <row r="349" spans="1:4" x14ac:dyDescent="0.75">
      <c r="A349" s="27">
        <v>347</v>
      </c>
      <c r="B349" s="27">
        <f t="shared" si="10"/>
        <v>115</v>
      </c>
      <c r="C349" s="27">
        <f t="shared" si="11"/>
        <v>2</v>
      </c>
    </row>
    <row r="350" spans="1:4" x14ac:dyDescent="0.75">
      <c r="A350" s="27">
        <v>348</v>
      </c>
      <c r="B350" s="27">
        <f t="shared" si="10"/>
        <v>115</v>
      </c>
      <c r="C350" s="27">
        <f t="shared" si="11"/>
        <v>3</v>
      </c>
    </row>
    <row r="351" spans="1:4" x14ac:dyDescent="0.75">
      <c r="A351" s="27">
        <v>349</v>
      </c>
      <c r="B351" s="27">
        <f t="shared" si="10"/>
        <v>116</v>
      </c>
      <c r="C351" s="27">
        <f t="shared" si="11"/>
        <v>1</v>
      </c>
    </row>
    <row r="352" spans="1:4" x14ac:dyDescent="0.75">
      <c r="A352" s="27">
        <v>350</v>
      </c>
      <c r="B352" s="27">
        <f t="shared" si="10"/>
        <v>116</v>
      </c>
      <c r="C352" s="27">
        <f t="shared" si="11"/>
        <v>2</v>
      </c>
    </row>
    <row r="353" spans="1:3" x14ac:dyDescent="0.75">
      <c r="A353" s="27">
        <v>351</v>
      </c>
      <c r="B353" s="27">
        <f t="shared" si="10"/>
        <v>116</v>
      </c>
      <c r="C353" s="27">
        <f t="shared" si="11"/>
        <v>3</v>
      </c>
    </row>
    <row r="354" spans="1:3" x14ac:dyDescent="0.75">
      <c r="A354" s="27">
        <v>352</v>
      </c>
      <c r="B354" s="27">
        <f t="shared" si="10"/>
        <v>117</v>
      </c>
      <c r="C354" s="27">
        <f t="shared" si="11"/>
        <v>1</v>
      </c>
    </row>
    <row r="355" spans="1:3" x14ac:dyDescent="0.75">
      <c r="A355" s="27">
        <v>353</v>
      </c>
      <c r="B355" s="27">
        <f t="shared" si="10"/>
        <v>117</v>
      </c>
      <c r="C355" s="27">
        <f t="shared" si="11"/>
        <v>2</v>
      </c>
    </row>
    <row r="356" spans="1:3" x14ac:dyDescent="0.75">
      <c r="A356" s="27">
        <v>354</v>
      </c>
      <c r="B356" s="27">
        <f t="shared" si="10"/>
        <v>117</v>
      </c>
      <c r="C356" s="27">
        <f t="shared" si="11"/>
        <v>3</v>
      </c>
    </row>
    <row r="357" spans="1:3" x14ac:dyDescent="0.75">
      <c r="A357" s="27">
        <v>355</v>
      </c>
      <c r="B357" s="27">
        <f t="shared" si="10"/>
        <v>118</v>
      </c>
      <c r="C357" s="27">
        <f t="shared" si="11"/>
        <v>1</v>
      </c>
    </row>
    <row r="358" spans="1:3" x14ac:dyDescent="0.75">
      <c r="A358" s="27">
        <v>356</v>
      </c>
      <c r="B358" s="27">
        <f t="shared" si="10"/>
        <v>118</v>
      </c>
      <c r="C358" s="27">
        <f t="shared" si="11"/>
        <v>2</v>
      </c>
    </row>
    <row r="359" spans="1:3" x14ac:dyDescent="0.75">
      <c r="A359" s="27">
        <v>357</v>
      </c>
      <c r="B359" s="27">
        <f t="shared" si="10"/>
        <v>118</v>
      </c>
      <c r="C359" s="27">
        <f t="shared" si="11"/>
        <v>3</v>
      </c>
    </row>
    <row r="360" spans="1:3" x14ac:dyDescent="0.75">
      <c r="A360" s="27">
        <v>358</v>
      </c>
      <c r="B360" s="27">
        <f t="shared" si="10"/>
        <v>119</v>
      </c>
      <c r="C360" s="27">
        <f t="shared" si="11"/>
        <v>1</v>
      </c>
    </row>
    <row r="361" spans="1:3" x14ac:dyDescent="0.75">
      <c r="A361" s="27">
        <v>359</v>
      </c>
      <c r="B361" s="27">
        <f t="shared" si="10"/>
        <v>119</v>
      </c>
      <c r="C361" s="27">
        <f t="shared" si="11"/>
        <v>2</v>
      </c>
    </row>
    <row r="362" spans="1:3" x14ac:dyDescent="0.75">
      <c r="A362" s="27">
        <v>360</v>
      </c>
      <c r="B362" s="27">
        <f t="shared" si="10"/>
        <v>119</v>
      </c>
      <c r="C362" s="27">
        <f t="shared" si="11"/>
        <v>3</v>
      </c>
    </row>
    <row r="363" spans="1:3" x14ac:dyDescent="0.75">
      <c r="A363" s="27">
        <v>361</v>
      </c>
      <c r="B363" s="27">
        <f t="shared" si="10"/>
        <v>120</v>
      </c>
      <c r="C363" s="27">
        <f t="shared" si="11"/>
        <v>1</v>
      </c>
    </row>
    <row r="364" spans="1:3" x14ac:dyDescent="0.75">
      <c r="A364" s="27">
        <v>362</v>
      </c>
      <c r="B364" s="27">
        <f t="shared" si="10"/>
        <v>120</v>
      </c>
      <c r="C364" s="27">
        <f t="shared" si="11"/>
        <v>2</v>
      </c>
    </row>
    <row r="365" spans="1:3" x14ac:dyDescent="0.75">
      <c r="A365" s="27">
        <v>363</v>
      </c>
      <c r="B365" s="27">
        <f t="shared" si="10"/>
        <v>120</v>
      </c>
      <c r="C365" s="27">
        <f t="shared" si="11"/>
        <v>3</v>
      </c>
    </row>
    <row r="366" spans="1:3" x14ac:dyDescent="0.75">
      <c r="A366" s="27">
        <v>364</v>
      </c>
      <c r="B366" s="27">
        <f t="shared" si="10"/>
        <v>121</v>
      </c>
      <c r="C366" s="27">
        <f t="shared" si="11"/>
        <v>1</v>
      </c>
    </row>
    <row r="367" spans="1:3" x14ac:dyDescent="0.75">
      <c r="A367" s="27">
        <v>365</v>
      </c>
      <c r="B367" s="27">
        <f t="shared" si="10"/>
        <v>121</v>
      </c>
      <c r="C367" s="27">
        <f t="shared" si="11"/>
        <v>2</v>
      </c>
    </row>
    <row r="368" spans="1:3" x14ac:dyDescent="0.75">
      <c r="A368" s="27">
        <v>366</v>
      </c>
      <c r="B368" s="27">
        <f t="shared" si="10"/>
        <v>121</v>
      </c>
      <c r="C368" s="27">
        <f t="shared" si="11"/>
        <v>3</v>
      </c>
    </row>
    <row r="369" spans="1:3" x14ac:dyDescent="0.75">
      <c r="A369" s="27">
        <v>367</v>
      </c>
      <c r="B369" s="27">
        <f t="shared" si="10"/>
        <v>122</v>
      </c>
      <c r="C369" s="27">
        <f t="shared" si="11"/>
        <v>1</v>
      </c>
    </row>
    <row r="370" spans="1:3" x14ac:dyDescent="0.75">
      <c r="A370" s="27">
        <v>368</v>
      </c>
      <c r="B370" s="27">
        <f t="shared" si="10"/>
        <v>122</v>
      </c>
      <c r="C370" s="27">
        <f t="shared" si="11"/>
        <v>2</v>
      </c>
    </row>
    <row r="371" spans="1:3" x14ac:dyDescent="0.75">
      <c r="A371" s="27">
        <v>369</v>
      </c>
      <c r="B371" s="27">
        <f t="shared" si="10"/>
        <v>122</v>
      </c>
      <c r="C371" s="27">
        <f t="shared" si="11"/>
        <v>3</v>
      </c>
    </row>
    <row r="372" spans="1:3" x14ac:dyDescent="0.75">
      <c r="A372" s="27">
        <v>370</v>
      </c>
      <c r="B372" s="27">
        <f t="shared" si="10"/>
        <v>123</v>
      </c>
      <c r="C372" s="27">
        <f t="shared" si="11"/>
        <v>1</v>
      </c>
    </row>
    <row r="373" spans="1:3" x14ac:dyDescent="0.75">
      <c r="A373" s="27">
        <v>371</v>
      </c>
      <c r="B373" s="27">
        <f t="shared" si="10"/>
        <v>123</v>
      </c>
      <c r="C373" s="27">
        <f t="shared" si="11"/>
        <v>2</v>
      </c>
    </row>
    <row r="374" spans="1:3" x14ac:dyDescent="0.75">
      <c r="A374" s="27">
        <v>372</v>
      </c>
      <c r="B374" s="27">
        <f t="shared" si="10"/>
        <v>123</v>
      </c>
      <c r="C374" s="27">
        <f t="shared" si="11"/>
        <v>3</v>
      </c>
    </row>
    <row r="375" spans="1:3" x14ac:dyDescent="0.75">
      <c r="A375" s="27">
        <v>373</v>
      </c>
      <c r="B375" s="27">
        <f t="shared" si="10"/>
        <v>124</v>
      </c>
      <c r="C375" s="27">
        <f t="shared" si="11"/>
        <v>1</v>
      </c>
    </row>
    <row r="376" spans="1:3" x14ac:dyDescent="0.75">
      <c r="A376" s="27">
        <v>374</v>
      </c>
      <c r="B376" s="27">
        <f t="shared" si="10"/>
        <v>124</v>
      </c>
      <c r="C376" s="27">
        <f t="shared" si="11"/>
        <v>2</v>
      </c>
    </row>
    <row r="377" spans="1:3" x14ac:dyDescent="0.75">
      <c r="A377" s="27">
        <v>375</v>
      </c>
      <c r="B377" s="27">
        <f t="shared" si="10"/>
        <v>124</v>
      </c>
      <c r="C377" s="27">
        <f t="shared" si="11"/>
        <v>3</v>
      </c>
    </row>
    <row r="378" spans="1:3" x14ac:dyDescent="0.75">
      <c r="A378" s="27">
        <v>376</v>
      </c>
      <c r="B378" s="27">
        <f t="shared" si="10"/>
        <v>125</v>
      </c>
      <c r="C378" s="27">
        <f t="shared" si="11"/>
        <v>1</v>
      </c>
    </row>
    <row r="379" spans="1:3" x14ac:dyDescent="0.75">
      <c r="A379" s="27">
        <v>377</v>
      </c>
      <c r="B379" s="27">
        <f t="shared" si="10"/>
        <v>125</v>
      </c>
      <c r="C379" s="27">
        <f t="shared" si="11"/>
        <v>2</v>
      </c>
    </row>
    <row r="380" spans="1:3" x14ac:dyDescent="0.75">
      <c r="A380" s="27">
        <v>378</v>
      </c>
      <c r="B380" s="27">
        <f t="shared" si="10"/>
        <v>125</v>
      </c>
      <c r="C380" s="27">
        <f t="shared" si="11"/>
        <v>3</v>
      </c>
    </row>
    <row r="381" spans="1:3" x14ac:dyDescent="0.75">
      <c r="A381" s="27">
        <v>379</v>
      </c>
      <c r="B381" s="27">
        <f t="shared" si="10"/>
        <v>126</v>
      </c>
      <c r="C381" s="27">
        <f t="shared" si="11"/>
        <v>1</v>
      </c>
    </row>
    <row r="382" spans="1:3" x14ac:dyDescent="0.75">
      <c r="A382" s="27">
        <v>380</v>
      </c>
      <c r="B382" s="27">
        <f t="shared" si="10"/>
        <v>126</v>
      </c>
      <c r="C382" s="27">
        <f t="shared" si="11"/>
        <v>2</v>
      </c>
    </row>
    <row r="383" spans="1:3" x14ac:dyDescent="0.75">
      <c r="A383" s="27">
        <v>381</v>
      </c>
      <c r="B383" s="27">
        <f t="shared" si="10"/>
        <v>126</v>
      </c>
      <c r="C383" s="27">
        <f t="shared" si="11"/>
        <v>3</v>
      </c>
    </row>
    <row r="384" spans="1:3" x14ac:dyDescent="0.75">
      <c r="A384" s="27">
        <v>382</v>
      </c>
      <c r="B384" s="27">
        <f t="shared" si="10"/>
        <v>127</v>
      </c>
      <c r="C384" s="27">
        <f t="shared" si="11"/>
        <v>1</v>
      </c>
    </row>
    <row r="385" spans="1:3" x14ac:dyDescent="0.75">
      <c r="A385" s="27">
        <v>383</v>
      </c>
      <c r="B385" s="27">
        <f t="shared" si="10"/>
        <v>127</v>
      </c>
      <c r="C385" s="27">
        <f t="shared" si="11"/>
        <v>2</v>
      </c>
    </row>
    <row r="386" spans="1:3" x14ac:dyDescent="0.75">
      <c r="A386" s="27">
        <v>384</v>
      </c>
      <c r="B386" s="27">
        <f t="shared" si="10"/>
        <v>127</v>
      </c>
      <c r="C386" s="27">
        <f t="shared" si="11"/>
        <v>3</v>
      </c>
    </row>
    <row r="387" spans="1:3" x14ac:dyDescent="0.75">
      <c r="A387" s="27">
        <v>385</v>
      </c>
      <c r="B387" s="27">
        <f t="shared" si="10"/>
        <v>128</v>
      </c>
      <c r="C387" s="27">
        <f t="shared" si="11"/>
        <v>1</v>
      </c>
    </row>
    <row r="388" spans="1:3" x14ac:dyDescent="0.75">
      <c r="A388" s="27">
        <v>386</v>
      </c>
      <c r="B388" s="27">
        <f t="shared" ref="B388:B393" si="12">IF(MOD(A388,7)=0,A388/7-1,INT(A388/7))</f>
        <v>55</v>
      </c>
      <c r="C388" s="27">
        <f t="shared" ref="C388:C393" si="13">IF(MOD(A388,3)=0,3,MOD(A388,3))</f>
        <v>2</v>
      </c>
    </row>
    <row r="389" spans="1:3" x14ac:dyDescent="0.75">
      <c r="A389" s="27">
        <v>387</v>
      </c>
      <c r="B389" s="27">
        <f t="shared" si="12"/>
        <v>55</v>
      </c>
      <c r="C389" s="27">
        <f t="shared" si="13"/>
        <v>3</v>
      </c>
    </row>
    <row r="390" spans="1:3" x14ac:dyDescent="0.75">
      <c r="A390" s="27">
        <v>388</v>
      </c>
      <c r="B390" s="27">
        <f t="shared" si="12"/>
        <v>55</v>
      </c>
      <c r="C390" s="27">
        <f t="shared" si="13"/>
        <v>1</v>
      </c>
    </row>
    <row r="391" spans="1:3" x14ac:dyDescent="0.75">
      <c r="A391" s="27">
        <v>389</v>
      </c>
      <c r="B391" s="27">
        <f t="shared" si="12"/>
        <v>55</v>
      </c>
      <c r="C391" s="27">
        <f t="shared" si="13"/>
        <v>2</v>
      </c>
    </row>
    <row r="392" spans="1:3" x14ac:dyDescent="0.75">
      <c r="A392" s="27">
        <v>390</v>
      </c>
      <c r="B392" s="27">
        <f t="shared" si="12"/>
        <v>55</v>
      </c>
      <c r="C392" s="27">
        <f t="shared" si="13"/>
        <v>3</v>
      </c>
    </row>
    <row r="393" spans="1:3" x14ac:dyDescent="0.75">
      <c r="A393" s="27">
        <v>391</v>
      </c>
      <c r="B393" s="27">
        <f t="shared" si="12"/>
        <v>55</v>
      </c>
      <c r="C393" s="27">
        <f t="shared" si="13"/>
        <v>1</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44"/>
  <sheetViews>
    <sheetView workbookViewId="0">
      <selection activeCell="D9" sqref="D9"/>
    </sheetView>
  </sheetViews>
  <sheetFormatPr defaultRowHeight="14.75" x14ac:dyDescent="0.75"/>
  <cols>
    <col min="1" max="1" width="8.7265625" style="113"/>
    <col min="2" max="2" width="41.953125" style="113" bestFit="1" customWidth="1"/>
    <col min="3" max="3" width="44.6328125" style="113" customWidth="1"/>
    <col min="4" max="4" width="71.58984375" style="114" bestFit="1" customWidth="1"/>
    <col min="5" max="5" width="12.1796875" style="113" customWidth="1"/>
    <col min="6" max="6" width="20.7265625" style="113" customWidth="1"/>
    <col min="7" max="7" width="15.2265625" style="113" bestFit="1" customWidth="1"/>
    <col min="8" max="8" width="33.90625" style="113" customWidth="1"/>
    <col min="9" max="9" width="19.31640625" style="113" customWidth="1"/>
    <col min="10" max="16384" width="8.7265625" style="113"/>
  </cols>
  <sheetData>
    <row r="1" spans="1:9" x14ac:dyDescent="0.75">
      <c r="B1" s="18" t="s">
        <v>34</v>
      </c>
      <c r="C1" s="56" t="s">
        <v>33</v>
      </c>
      <c r="D1" s="140" t="s">
        <v>6</v>
      </c>
    </row>
    <row r="2" spans="1:9" x14ac:dyDescent="0.75">
      <c r="B2" s="58" t="s">
        <v>69</v>
      </c>
      <c r="C2" s="34" t="s">
        <v>91</v>
      </c>
      <c r="D2" s="141" t="s">
        <v>91</v>
      </c>
    </row>
    <row r="3" spans="1:9" x14ac:dyDescent="0.75">
      <c r="B3" s="21" t="s">
        <v>35</v>
      </c>
      <c r="D3" s="142"/>
    </row>
    <row r="4" spans="1:9" ht="15.5" thickBot="1" x14ac:dyDescent="0.9">
      <c r="B4" s="23" t="s">
        <v>70</v>
      </c>
      <c r="C4" s="24" t="s">
        <v>91</v>
      </c>
      <c r="D4" s="143"/>
    </row>
    <row r="5" spans="1:9" x14ac:dyDescent="0.75">
      <c r="C5" s="54" t="s">
        <v>7</v>
      </c>
      <c r="D5" s="4" t="s">
        <v>8</v>
      </c>
      <c r="E5" s="12" t="s">
        <v>17</v>
      </c>
      <c r="F5" s="12" t="s">
        <v>18</v>
      </c>
      <c r="G5" s="12" t="s">
        <v>19</v>
      </c>
    </row>
    <row r="6" spans="1:9" x14ac:dyDescent="0.75">
      <c r="A6" s="113">
        <v>0</v>
      </c>
      <c r="B6" s="34" t="s">
        <v>91</v>
      </c>
      <c r="C6" s="34" t="s">
        <v>91</v>
      </c>
      <c r="D6" s="141" t="s">
        <v>91</v>
      </c>
      <c r="E6" s="35">
        <v>1</v>
      </c>
      <c r="F6" s="35">
        <v>1</v>
      </c>
      <c r="G6" s="35" t="s">
        <v>21</v>
      </c>
    </row>
    <row r="7" spans="1:9" x14ac:dyDescent="0.75">
      <c r="A7" s="115">
        <v>1</v>
      </c>
      <c r="B7" s="115" t="s">
        <v>37</v>
      </c>
      <c r="C7" s="115" t="s">
        <v>23</v>
      </c>
      <c r="D7" s="116" t="s">
        <v>1036</v>
      </c>
      <c r="E7" s="115">
        <v>1</v>
      </c>
      <c r="F7" s="115" t="s">
        <v>20</v>
      </c>
      <c r="G7" s="115" t="s">
        <v>0</v>
      </c>
      <c r="H7" s="115"/>
      <c r="I7" s="115" t="str">
        <f>TRIM(C7)</f>
        <v>ID</v>
      </c>
    </row>
    <row r="8" spans="1:9" ht="103.25" x14ac:dyDescent="0.75">
      <c r="A8" s="113">
        <v>2</v>
      </c>
      <c r="B8" s="115" t="s">
        <v>1072</v>
      </c>
      <c r="C8" s="115" t="s">
        <v>1084</v>
      </c>
      <c r="D8" s="116" t="s">
        <v>1076</v>
      </c>
      <c r="E8" s="115">
        <v>0</v>
      </c>
      <c r="F8" s="115" t="s">
        <v>20</v>
      </c>
      <c r="G8" s="115" t="s">
        <v>5</v>
      </c>
      <c r="H8" s="115"/>
      <c r="I8" s="115" t="str">
        <f t="shared" ref="I8:I36" si="0">TRIM(C8)</f>
        <v>Date of diagnosis</v>
      </c>
    </row>
    <row r="9" spans="1:9" x14ac:dyDescent="0.75">
      <c r="A9" s="113">
        <v>3</v>
      </c>
      <c r="B9" s="115" t="s">
        <v>1041</v>
      </c>
      <c r="C9" s="116" t="s">
        <v>1202</v>
      </c>
      <c r="D9" s="116" t="s">
        <v>1055</v>
      </c>
      <c r="E9" s="115">
        <v>0</v>
      </c>
      <c r="F9" s="115" t="s">
        <v>20</v>
      </c>
      <c r="G9" s="115" t="s">
        <v>5</v>
      </c>
      <c r="H9" s="115"/>
      <c r="I9" s="115" t="str">
        <f t="shared" si="0"/>
        <v>Center of diagnosis</v>
      </c>
    </row>
    <row r="10" spans="1:9" ht="29.5" x14ac:dyDescent="0.75">
      <c r="A10" s="115">
        <v>4</v>
      </c>
      <c r="B10" s="115" t="s">
        <v>1095</v>
      </c>
      <c r="C10" s="115" t="s">
        <v>1054</v>
      </c>
      <c r="D10" s="116" t="s">
        <v>169</v>
      </c>
      <c r="E10" s="115">
        <v>0</v>
      </c>
      <c r="F10" s="115">
        <v>1</v>
      </c>
      <c r="G10" s="115" t="s">
        <v>0</v>
      </c>
      <c r="H10" s="115"/>
      <c r="I10" s="115" t="str">
        <f t="shared" si="0"/>
        <v>Center code</v>
      </c>
    </row>
    <row r="11" spans="1:9" x14ac:dyDescent="0.75">
      <c r="A11" s="113">
        <v>5</v>
      </c>
      <c r="B11" s="115" t="s">
        <v>1042</v>
      </c>
      <c r="C11" s="115" t="s">
        <v>1043</v>
      </c>
      <c r="D11" s="116" t="s">
        <v>1043</v>
      </c>
      <c r="E11" s="115">
        <v>0</v>
      </c>
      <c r="F11" s="115">
        <v>1</v>
      </c>
      <c r="G11" s="36" t="s">
        <v>3</v>
      </c>
      <c r="H11" s="115"/>
      <c r="I11" s="115" t="str">
        <f t="shared" si="0"/>
        <v>Center name</v>
      </c>
    </row>
    <row r="12" spans="1:9" x14ac:dyDescent="0.75">
      <c r="A12" s="113">
        <v>6</v>
      </c>
      <c r="B12" s="115" t="s">
        <v>1044</v>
      </c>
      <c r="C12" s="115" t="s">
        <v>1046</v>
      </c>
      <c r="D12" s="116" t="s">
        <v>1046</v>
      </c>
      <c r="E12" s="115">
        <v>0</v>
      </c>
      <c r="F12" s="115">
        <v>1</v>
      </c>
      <c r="G12" s="115" t="s">
        <v>3</v>
      </c>
      <c r="H12" s="115"/>
      <c r="I12" s="115" t="str">
        <f t="shared" si="0"/>
        <v>Center city</v>
      </c>
    </row>
    <row r="13" spans="1:9" x14ac:dyDescent="0.75">
      <c r="A13" s="115">
        <v>7</v>
      </c>
      <c r="B13" s="115" t="s">
        <v>1045</v>
      </c>
      <c r="C13" s="115" t="s">
        <v>1085</v>
      </c>
      <c r="D13" s="116" t="s">
        <v>1085</v>
      </c>
      <c r="E13" s="115">
        <v>1</v>
      </c>
      <c r="F13" s="115">
        <v>1</v>
      </c>
      <c r="G13" s="115" t="s">
        <v>3</v>
      </c>
      <c r="H13" s="115"/>
      <c r="I13" s="115" t="str">
        <f t="shared" si="0"/>
        <v>Center country</v>
      </c>
    </row>
    <row r="14" spans="1:9" x14ac:dyDescent="0.75">
      <c r="A14" s="113">
        <v>8</v>
      </c>
      <c r="B14" s="115" t="s">
        <v>1073</v>
      </c>
      <c r="C14" s="115" t="s">
        <v>1086</v>
      </c>
      <c r="D14" s="116" t="s">
        <v>177</v>
      </c>
      <c r="E14" s="115">
        <v>0</v>
      </c>
      <c r="F14" s="115">
        <v>1</v>
      </c>
      <c r="G14" s="115" t="s">
        <v>5</v>
      </c>
      <c r="H14" s="115"/>
      <c r="I14" s="115" t="str">
        <f t="shared" si="0"/>
        <v>Primary treatment center</v>
      </c>
    </row>
    <row r="15" spans="1:9" x14ac:dyDescent="0.75">
      <c r="A15" s="113">
        <v>9</v>
      </c>
      <c r="B15" s="115" t="s">
        <v>1047</v>
      </c>
      <c r="C15" s="115" t="s">
        <v>1051</v>
      </c>
      <c r="D15" s="116" t="s">
        <v>1051</v>
      </c>
      <c r="E15" s="36">
        <v>0</v>
      </c>
      <c r="F15" s="115">
        <v>1</v>
      </c>
      <c r="G15" s="115" t="s">
        <v>3</v>
      </c>
      <c r="H15" s="115"/>
      <c r="I15" s="115" t="str">
        <f t="shared" si="0"/>
        <v>Primary treatment center name</v>
      </c>
    </row>
    <row r="16" spans="1:9" x14ac:dyDescent="0.75">
      <c r="A16" s="115">
        <v>10</v>
      </c>
      <c r="B16" s="115" t="s">
        <v>1048</v>
      </c>
      <c r="C16" s="115" t="s">
        <v>1050</v>
      </c>
      <c r="D16" s="116" t="s">
        <v>1050</v>
      </c>
      <c r="E16" s="115">
        <v>0</v>
      </c>
      <c r="F16" s="115">
        <v>1</v>
      </c>
      <c r="G16" s="115" t="s">
        <v>3</v>
      </c>
      <c r="H16" s="115"/>
      <c r="I16" s="115" t="str">
        <f t="shared" si="0"/>
        <v>Primary treatment center city</v>
      </c>
    </row>
    <row r="17" spans="1:9" x14ac:dyDescent="0.75">
      <c r="A17" s="113">
        <v>11</v>
      </c>
      <c r="B17" s="115" t="s">
        <v>1049</v>
      </c>
      <c r="C17" s="115" t="s">
        <v>1087</v>
      </c>
      <c r="D17" s="116" t="s">
        <v>1087</v>
      </c>
      <c r="E17" s="115">
        <v>0</v>
      </c>
      <c r="F17" s="115">
        <v>1</v>
      </c>
      <c r="G17" s="115" t="s">
        <v>3</v>
      </c>
      <c r="H17" s="115"/>
      <c r="I17" s="115" t="str">
        <f t="shared" si="0"/>
        <v>Primary treatment center country</v>
      </c>
    </row>
    <row r="18" spans="1:9" x14ac:dyDescent="0.75">
      <c r="A18" s="113">
        <v>12</v>
      </c>
      <c r="B18" s="115" t="s">
        <v>1052</v>
      </c>
      <c r="C18" s="115" t="s">
        <v>182</v>
      </c>
      <c r="D18" s="116" t="s">
        <v>182</v>
      </c>
      <c r="E18" s="115">
        <v>1</v>
      </c>
      <c r="F18" s="115" t="s">
        <v>20</v>
      </c>
      <c r="G18" s="115" t="s">
        <v>2</v>
      </c>
      <c r="H18" s="115"/>
      <c r="I18" s="115" t="str">
        <f t="shared" si="0"/>
        <v>Date of arrival to our institution</v>
      </c>
    </row>
    <row r="19" spans="1:9" x14ac:dyDescent="0.75">
      <c r="A19" s="115">
        <v>13</v>
      </c>
      <c r="B19" s="115" t="s">
        <v>1053</v>
      </c>
      <c r="C19" s="115" t="s">
        <v>186</v>
      </c>
      <c r="D19" s="116" t="s">
        <v>1056</v>
      </c>
      <c r="E19" s="115">
        <v>0</v>
      </c>
      <c r="F19" s="115" t="s">
        <v>20</v>
      </c>
      <c r="G19" s="115" t="s">
        <v>1</v>
      </c>
      <c r="H19" s="115"/>
      <c r="I19" s="115" t="str">
        <f t="shared" si="0"/>
        <v>Diagnostic Group</v>
      </c>
    </row>
    <row r="20" spans="1:9" ht="88.5" x14ac:dyDescent="0.75">
      <c r="A20" s="113">
        <v>14</v>
      </c>
      <c r="B20" s="115" t="s">
        <v>1057</v>
      </c>
      <c r="C20" s="115" t="s">
        <v>91</v>
      </c>
      <c r="D20" s="116" t="s">
        <v>1077</v>
      </c>
      <c r="E20" s="115">
        <v>0</v>
      </c>
      <c r="F20" s="115" t="s">
        <v>20</v>
      </c>
      <c r="G20" s="115" t="s">
        <v>1</v>
      </c>
      <c r="H20" s="115"/>
      <c r="I20" s="115" t="str">
        <f t="shared" si="0"/>
        <v>Diagnosis</v>
      </c>
    </row>
    <row r="21" spans="1:9" x14ac:dyDescent="0.75">
      <c r="A21" s="113">
        <v>15</v>
      </c>
      <c r="B21" s="115" t="s">
        <v>1058</v>
      </c>
      <c r="C21" s="115" t="s">
        <v>1062</v>
      </c>
      <c r="D21" s="116" t="s">
        <v>1059</v>
      </c>
      <c r="E21" s="115">
        <v>0</v>
      </c>
      <c r="F21" s="115" t="s">
        <v>20</v>
      </c>
      <c r="G21" s="115" t="s">
        <v>1</v>
      </c>
      <c r="H21" s="115"/>
      <c r="I21" s="115" t="str">
        <f t="shared" si="0"/>
        <v>Tumour behaviour (ICD-O-3 type)</v>
      </c>
    </row>
    <row r="22" spans="1:9" x14ac:dyDescent="0.75">
      <c r="A22" s="115">
        <v>16</v>
      </c>
      <c r="B22" s="115" t="s">
        <v>1060</v>
      </c>
      <c r="C22" s="115" t="s">
        <v>1088</v>
      </c>
      <c r="D22" s="116" t="s">
        <v>1088</v>
      </c>
      <c r="E22" s="115">
        <v>0</v>
      </c>
      <c r="F22" s="115">
        <v>1</v>
      </c>
      <c r="G22" s="115" t="s">
        <v>3</v>
      </c>
      <c r="H22" s="115"/>
      <c r="I22" s="115" t="str">
        <f t="shared" si="0"/>
        <v>Diagnosis description</v>
      </c>
    </row>
    <row r="23" spans="1:9" x14ac:dyDescent="0.75">
      <c r="A23" s="113">
        <v>17</v>
      </c>
      <c r="B23" s="115" t="s">
        <v>1061</v>
      </c>
      <c r="C23" s="115" t="s">
        <v>1037</v>
      </c>
      <c r="D23" s="116" t="s">
        <v>1064</v>
      </c>
      <c r="E23" s="115">
        <v>0</v>
      </c>
      <c r="F23" s="115" t="s">
        <v>20</v>
      </c>
      <c r="G23" s="115" t="s">
        <v>5</v>
      </c>
      <c r="H23" s="115"/>
      <c r="I23" s="115" t="str">
        <f t="shared" si="0"/>
        <v>Site</v>
      </c>
    </row>
    <row r="24" spans="1:9" ht="59" x14ac:dyDescent="0.75">
      <c r="A24" s="113">
        <v>18</v>
      </c>
      <c r="B24" s="115" t="s">
        <v>1065</v>
      </c>
      <c r="C24" s="115" t="s">
        <v>1089</v>
      </c>
      <c r="D24" s="116" t="s">
        <v>1074</v>
      </c>
      <c r="E24" s="115">
        <v>0</v>
      </c>
      <c r="F24" s="115" t="s">
        <v>20</v>
      </c>
      <c r="G24" s="115" t="s">
        <v>1</v>
      </c>
      <c r="H24" s="115"/>
      <c r="I24" s="115" t="str">
        <f t="shared" si="0"/>
        <v>Site(ICD-O-3 topography)</v>
      </c>
    </row>
    <row r="25" spans="1:9" x14ac:dyDescent="0.75">
      <c r="A25" s="115">
        <v>19</v>
      </c>
      <c r="B25" s="115" t="s">
        <v>1066</v>
      </c>
      <c r="C25" s="115" t="s">
        <v>1090</v>
      </c>
      <c r="D25" s="116" t="s">
        <v>1075</v>
      </c>
      <c r="E25" s="115">
        <v>0</v>
      </c>
      <c r="F25" s="115" t="s">
        <v>20</v>
      </c>
      <c r="G25" s="115" t="s">
        <v>3</v>
      </c>
      <c r="H25" s="115"/>
      <c r="I25" s="115" t="str">
        <f t="shared" si="0"/>
        <v>Site description</v>
      </c>
    </row>
    <row r="26" spans="1:9" x14ac:dyDescent="0.75">
      <c r="A26" s="113">
        <v>20</v>
      </c>
      <c r="B26" s="115" t="s">
        <v>1063</v>
      </c>
      <c r="C26" s="115" t="s">
        <v>1091</v>
      </c>
      <c r="D26" s="116" t="s">
        <v>1091</v>
      </c>
      <c r="E26" s="115">
        <v>0</v>
      </c>
      <c r="F26" s="115" t="s">
        <v>20</v>
      </c>
      <c r="G26" s="115" t="s">
        <v>1</v>
      </c>
      <c r="H26" s="115"/>
      <c r="I26" s="115" t="str">
        <f t="shared" si="0"/>
        <v>Laterality</v>
      </c>
    </row>
    <row r="27" spans="1:9" ht="29.5" x14ac:dyDescent="0.75">
      <c r="A27" s="113">
        <v>21</v>
      </c>
      <c r="B27" s="115" t="s">
        <v>1096</v>
      </c>
      <c r="C27" s="115" t="s">
        <v>210</v>
      </c>
      <c r="D27" s="116" t="s">
        <v>213</v>
      </c>
      <c r="E27" s="115">
        <v>0</v>
      </c>
      <c r="F27" s="115" t="s">
        <v>20</v>
      </c>
      <c r="G27" s="115" t="s">
        <v>5</v>
      </c>
      <c r="H27" s="118"/>
      <c r="I27" s="115" t="str">
        <f t="shared" si="0"/>
        <v>Metastatic</v>
      </c>
    </row>
    <row r="28" spans="1:9" x14ac:dyDescent="0.75">
      <c r="A28" s="115">
        <v>22</v>
      </c>
      <c r="B28" s="115" t="s">
        <v>1097</v>
      </c>
      <c r="C28" s="115" t="s">
        <v>1103</v>
      </c>
      <c r="D28" s="116" t="s">
        <v>214</v>
      </c>
      <c r="E28" s="115">
        <v>0</v>
      </c>
      <c r="F28" s="115" t="s">
        <v>20</v>
      </c>
      <c r="G28" s="115" t="s">
        <v>984</v>
      </c>
      <c r="I28" s="115" t="str">
        <f t="shared" si="0"/>
        <v>Metastasis id</v>
      </c>
    </row>
    <row r="29" spans="1:9" x14ac:dyDescent="0.75">
      <c r="A29" s="113">
        <v>23</v>
      </c>
      <c r="B29" s="115" t="s">
        <v>1098</v>
      </c>
      <c r="C29" s="115" t="s">
        <v>1101</v>
      </c>
      <c r="D29" s="116" t="s">
        <v>1067</v>
      </c>
      <c r="E29" s="115">
        <v>0</v>
      </c>
      <c r="F29" s="115" t="s">
        <v>20</v>
      </c>
      <c r="G29" s="115" t="s">
        <v>5</v>
      </c>
      <c r="I29" s="115" t="str">
        <f t="shared" si="0"/>
        <v>Metastasis site</v>
      </c>
    </row>
    <row r="30" spans="1:9" ht="29.5" x14ac:dyDescent="0.75">
      <c r="A30" s="113">
        <v>24</v>
      </c>
      <c r="B30" s="115" t="s">
        <v>1099</v>
      </c>
      <c r="C30" s="115" t="s">
        <v>1102</v>
      </c>
      <c r="D30" s="116" t="s">
        <v>1068</v>
      </c>
      <c r="E30" s="115">
        <v>0</v>
      </c>
      <c r="F30" s="115" t="s">
        <v>20</v>
      </c>
      <c r="G30" s="115" t="s">
        <v>1</v>
      </c>
      <c r="I30" s="115" t="str">
        <f t="shared" si="0"/>
        <v>Metastasis site code</v>
      </c>
    </row>
    <row r="31" spans="1:9" x14ac:dyDescent="0.75">
      <c r="A31" s="115">
        <v>25</v>
      </c>
      <c r="B31" s="115" t="s">
        <v>1100</v>
      </c>
      <c r="C31" s="115" t="s">
        <v>222</v>
      </c>
      <c r="D31" s="116" t="s">
        <v>222</v>
      </c>
      <c r="E31" s="115">
        <v>0</v>
      </c>
      <c r="F31" s="115" t="s">
        <v>20</v>
      </c>
      <c r="G31" s="115" t="s">
        <v>3</v>
      </c>
      <c r="I31" s="115" t="str">
        <f t="shared" si="0"/>
        <v>Additional description of sites of metastatis</v>
      </c>
    </row>
    <row r="32" spans="1:9" ht="44.25" x14ac:dyDescent="0.75">
      <c r="A32" s="113">
        <v>26</v>
      </c>
      <c r="B32" s="115" t="s">
        <v>1069</v>
      </c>
      <c r="C32" s="115" t="s">
        <v>1092</v>
      </c>
      <c r="D32" s="116" t="s">
        <v>228</v>
      </c>
      <c r="E32" s="115">
        <v>0</v>
      </c>
      <c r="F32" s="115">
        <v>1</v>
      </c>
      <c r="G32" s="115" t="s">
        <v>3</v>
      </c>
      <c r="I32" s="115" t="str">
        <f t="shared" si="0"/>
        <v>Genetic markers(text)</v>
      </c>
    </row>
    <row r="33" spans="1:9" ht="73.75" x14ac:dyDescent="0.75">
      <c r="A33" s="113">
        <v>27</v>
      </c>
      <c r="B33" s="115" t="s">
        <v>1038</v>
      </c>
      <c r="C33" s="115" t="s">
        <v>229</v>
      </c>
      <c r="D33" s="116" t="s">
        <v>1078</v>
      </c>
      <c r="E33" s="115">
        <v>0</v>
      </c>
      <c r="F33" s="115">
        <v>1</v>
      </c>
      <c r="G33" s="115" t="s">
        <v>3</v>
      </c>
      <c r="I33" s="115" t="str">
        <f t="shared" si="0"/>
        <v>Stage/Risk</v>
      </c>
    </row>
    <row r="34" spans="1:9" ht="44.25" x14ac:dyDescent="0.75">
      <c r="A34" s="115">
        <v>28</v>
      </c>
      <c r="B34" s="115" t="s">
        <v>1039</v>
      </c>
      <c r="C34" s="115" t="s">
        <v>1093</v>
      </c>
      <c r="D34" s="116" t="s">
        <v>1079</v>
      </c>
      <c r="E34" s="115">
        <v>0</v>
      </c>
      <c r="F34" s="115" t="s">
        <v>20</v>
      </c>
      <c r="G34" s="115" t="s">
        <v>1</v>
      </c>
      <c r="I34" s="115" t="str">
        <f t="shared" si="0"/>
        <v>Immunology</v>
      </c>
    </row>
    <row r="35" spans="1:9" ht="103.25" x14ac:dyDescent="0.75">
      <c r="A35" s="113">
        <v>29</v>
      </c>
      <c r="B35" s="115" t="s">
        <v>1071</v>
      </c>
      <c r="C35" s="115" t="s">
        <v>1070</v>
      </c>
      <c r="D35" s="116" t="s">
        <v>1094</v>
      </c>
      <c r="E35" s="115">
        <v>0</v>
      </c>
      <c r="F35" s="115" t="s">
        <v>20</v>
      </c>
      <c r="G35" s="115" t="s">
        <v>1</v>
      </c>
      <c r="I35" s="115" t="str">
        <f t="shared" si="0"/>
        <v>Hereditary Cancer Predisposition</v>
      </c>
    </row>
    <row r="36" spans="1:9" x14ac:dyDescent="0.75">
      <c r="A36" s="113">
        <v>30</v>
      </c>
      <c r="B36" s="115" t="s">
        <v>1040</v>
      </c>
      <c r="C36" s="29" t="s">
        <v>261</v>
      </c>
      <c r="D36" s="29" t="s">
        <v>261</v>
      </c>
      <c r="E36" s="115">
        <v>0</v>
      </c>
      <c r="F36" s="115" t="s">
        <v>20</v>
      </c>
      <c r="G36" s="115" t="s">
        <v>3</v>
      </c>
      <c r="I36" s="115" t="str">
        <f t="shared" si="0"/>
        <v>Notes</v>
      </c>
    </row>
    <row r="37" spans="1:9" x14ac:dyDescent="0.75">
      <c r="A37" s="115"/>
      <c r="B37" s="115"/>
      <c r="C37" s="30"/>
      <c r="D37" s="30"/>
      <c r="E37" s="117"/>
      <c r="F37" s="117"/>
      <c r="G37" s="115"/>
    </row>
    <row r="38" spans="1:9" x14ac:dyDescent="0.75">
      <c r="A38" s="115"/>
      <c r="B38" s="115"/>
      <c r="C38" s="28"/>
      <c r="D38" s="29"/>
      <c r="E38" s="117"/>
      <c r="F38" s="117"/>
      <c r="G38" s="115"/>
    </row>
    <row r="39" spans="1:9" x14ac:dyDescent="0.75">
      <c r="A39" s="115"/>
      <c r="B39" s="115"/>
      <c r="C39" s="29"/>
      <c r="D39" s="29"/>
      <c r="E39" s="117"/>
      <c r="F39" s="117"/>
      <c r="G39" s="115"/>
    </row>
    <row r="40" spans="1:9" x14ac:dyDescent="0.75">
      <c r="A40" s="115"/>
      <c r="B40" s="115"/>
      <c r="C40" s="30"/>
      <c r="D40" s="29"/>
      <c r="E40" s="117"/>
      <c r="F40" s="117"/>
      <c r="G40" s="115"/>
    </row>
    <row r="41" spans="1:9" x14ac:dyDescent="0.75">
      <c r="A41" s="115"/>
      <c r="B41" s="115"/>
      <c r="C41" s="30"/>
      <c r="D41" s="29"/>
      <c r="E41" s="117"/>
      <c r="F41" s="117"/>
      <c r="G41" s="115"/>
    </row>
    <row r="42" spans="1:9" x14ac:dyDescent="0.75">
      <c r="A42" s="115"/>
      <c r="B42" s="115"/>
      <c r="C42" s="30"/>
      <c r="D42" s="29"/>
      <c r="E42" s="117"/>
      <c r="F42" s="117"/>
      <c r="G42" s="115"/>
    </row>
    <row r="43" spans="1:9" x14ac:dyDescent="0.75">
      <c r="A43" s="115"/>
      <c r="B43" s="115"/>
      <c r="C43" s="30"/>
      <c r="D43" s="29"/>
      <c r="E43" s="117"/>
      <c r="F43" s="117"/>
      <c r="G43" s="115"/>
    </row>
    <row r="44" spans="1:9" x14ac:dyDescent="0.75">
      <c r="A44" s="115"/>
      <c r="B44" s="115"/>
      <c r="C44" s="30"/>
      <c r="D44" s="29"/>
      <c r="E44" s="117"/>
      <c r="F44" s="117"/>
      <c r="G44" s="115"/>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zoomScale="85" zoomScaleNormal="85" workbookViewId="0">
      <selection activeCell="B5" sqref="B5"/>
    </sheetView>
  </sheetViews>
  <sheetFormatPr defaultRowHeight="14.75" x14ac:dyDescent="0.75"/>
  <cols>
    <col min="1" max="1" width="8.7265625" style="113"/>
    <col min="2" max="2" width="44.26953125" style="114" customWidth="1"/>
    <col min="3" max="3" width="51.6796875" style="114" customWidth="1"/>
    <col min="4" max="4" width="45.86328125" style="114" customWidth="1"/>
    <col min="5" max="5" width="45.953125" style="114" customWidth="1"/>
    <col min="6" max="7" width="19.54296875" style="113" customWidth="1"/>
    <col min="8" max="8" width="25.6328125" style="113" customWidth="1"/>
    <col min="9" max="9" width="19.54296875" style="113" customWidth="1"/>
    <col min="10" max="10" width="89.90625" style="113" customWidth="1"/>
    <col min="11" max="16384" width="8.7265625" style="113"/>
  </cols>
  <sheetData>
    <row r="1" spans="2:10" ht="44.25" x14ac:dyDescent="0.75">
      <c r="B1" s="14" t="str">
        <f>CONCATENATE("* differential.element[",'Diag-1'!A6,"].id = """,'Diag-1'!B6,"""")</f>
        <v>* differential.element[0].id = "Diagnosis"</v>
      </c>
      <c r="C1" s="14" t="str">
        <f>CONCATENATE("* differential.element[",'Diag-1'!A6,"].path = """,'Diag-1'!$B$6,"""")</f>
        <v>* differential.element[0].path = "Diagnosis"</v>
      </c>
      <c r="D1" s="14" t="str">
        <f>CONCATENATE("* differential.element[",'Diag-1'!A6,"].short = """,'Diag-1'!C6,"""")</f>
        <v>* differential.element[0].short = "Diagnosis"</v>
      </c>
      <c r="E1" s="14" t="str">
        <f>CONCATENATE("* differential.element[",'Diag-1'!A6,"].definition = """,'Diag-1'!D6,"""")</f>
        <v>* differential.element[0].definition = "Diagnosis"</v>
      </c>
      <c r="F1" s="14" t="str">
        <f>CONCATENATE("* differential.element[",'Diag-1'!A6,"].min = ",'Diag-1'!E6,"")</f>
        <v>* differential.element[0].min = 1</v>
      </c>
      <c r="G1" s="14" t="str">
        <f>CONCATENATE("* differential.element[",'Diag-1'!A6,"].max = """,'Diag-1'!F6,"""")</f>
        <v>* differential.element[0].max = "1"</v>
      </c>
      <c r="H1" s="14"/>
    </row>
    <row r="2" spans="2:10" ht="44.25" x14ac:dyDescent="0.75">
      <c r="B2" s="116" t="str">
        <f>CONCATENATE("* differential.element[",'Diag-1'!$A7,"].id = """,'Diag-1'!$B$6,".",'Diag-1'!B7,"""")</f>
        <v>* differential.element[1].id = "Diagnosis.identifier"</v>
      </c>
      <c r="C2" s="116" t="str">
        <f>CONCATENATE("* differential.element[",'Diag-1'!$A7,"].path = """,'Diag-1'!$B$6,".",'Diag-1'!B7,"""")</f>
        <v>* differential.element[1].path = "Diagnosis.identifier"</v>
      </c>
      <c r="D2" s="116" t="str">
        <f>CONCATENATE("* differential.element[",'Diag-1'!A7,"].short = """,'Diag-1'!C7,"""")</f>
        <v>* differential.element[1].short = "ID"</v>
      </c>
      <c r="E2" s="116" t="str">
        <f>CONCATENATE("* differential.element[",'Diag-1'!A7,"].definition = """,'Diag-1'!D7,"""")</f>
        <v>* differential.element[1].definition = "diagnosis identifier"</v>
      </c>
      <c r="F2" s="116" t="str">
        <f>CONCATENATE("* differential.element[",'Diag-1'!A7,"].min = ",'Diag-1'!E7,"")</f>
        <v>* differential.element[1].min = 1</v>
      </c>
      <c r="G2" s="116" t="str">
        <f>CONCATENATE("* differential.element[",'Diag-1'!A7,"].max = """,'Diag-1'!F7,"""")</f>
        <v>* differential.element[1].max = "*"</v>
      </c>
      <c r="H2" s="116" t="str">
        <f>CONCATENATE("* differential.element[",'Diag-1'!A7,"].type.code = #",'Diag-1'!G7,"")</f>
        <v>* differential.element[1].type.code = #Identifier</v>
      </c>
      <c r="I2" s="10"/>
      <c r="J2" s="113" t="s">
        <v>9</v>
      </c>
    </row>
    <row r="3" spans="2:10" ht="177" x14ac:dyDescent="0.75">
      <c r="B3" s="116" t="str">
        <f>CONCATENATE("* differential.element[",'Diag-1'!$A8,"].id = """,'Diag-1'!$B$6,".",'Diag-1'!B8,"""")</f>
        <v>* differential.element[2].id = "Diagnosis.dateOfDiagnosis"</v>
      </c>
      <c r="C3" s="116" t="str">
        <f>CONCATENATE("* differential.element[",'Diag-1'!$A8,"].path = """,'Diag-1'!$B$6,".",'Diag-1'!B8,"""")</f>
        <v>* differential.element[2].path = "Diagnosis.dateOfDiagnosis"</v>
      </c>
      <c r="D3" s="116" t="str">
        <f>CONCATENATE("* differential.element[",'Diag-1'!A8,"].short = """,'Diag-1'!C8,"""")</f>
        <v>* differential.element[2].short = "Date of diagnosis"</v>
      </c>
      <c r="E3" s="116" t="str">
        <f>CONCATENATE("* differential.element[",'Diag-1'!A8,"].definition = """,'Diag-1'!D8,"""")</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c r="F3" s="116" t="str">
        <f>CONCATENATE("* differential.element[",'Diag-1'!A8,"].min = ",'Diag-1'!E8,"")</f>
        <v>* differential.element[2].min = 0</v>
      </c>
      <c r="G3" s="116" t="str">
        <f>CONCATENATE("* differential.element[",'Diag-1'!A8,"].max = """,'Diag-1'!F8,"""")</f>
        <v>* differential.element[2].max = "*"</v>
      </c>
      <c r="H3" s="116" t="str">
        <f>CONCATENATE("* differential.element[",'Diag-1'!A8,"].type.code = #",'Diag-1'!G8,"")</f>
        <v>* differential.element[2].type.code = #BackboneElement</v>
      </c>
      <c r="I3" s="10"/>
      <c r="J3" s="113" t="s">
        <v>10</v>
      </c>
    </row>
    <row r="4" spans="2:10" ht="44.25" x14ac:dyDescent="0.75">
      <c r="B4" s="116" t="str">
        <f>CONCATENATE("* differential.element[",'Diag-1'!$A9,"].id = """,'Diag-1'!$B$6,".",'Diag-1'!B9,"""")</f>
        <v>* differential.element[3].id = "Diagnosis.centerOfDiagnosis"</v>
      </c>
      <c r="C4" s="116" t="str">
        <f>CONCATENATE("* differential.element[",'Diag-1'!$A9,"].path = """,'Diag-1'!$B$6,".",'Diag-1'!B9,"""")</f>
        <v>* differential.element[3].path = "Diagnosis.centerOfDiagnosis"</v>
      </c>
      <c r="D4" s="116" t="str">
        <f>CONCATENATE("* differential.element[",'Diag-1'!A9,"].short = """,'Diag-1'!C9,"""")</f>
        <v>* differential.element[3].short = "Center of diagnosis"</v>
      </c>
      <c r="E4" s="116" t="str">
        <f>CONCATENATE("* differential.element[",'Diag-1'!A9,"].definition = """,'Diag-1'!D9,"""")</f>
        <v>* differential.element[3].definition = "Institution in which the diagnosis was made."</v>
      </c>
      <c r="F4" s="116" t="str">
        <f>CONCATENATE("* differential.element[",'Diag-1'!A9,"].min = ",'Diag-1'!E9,"")</f>
        <v>* differential.element[3].min = 0</v>
      </c>
      <c r="G4" s="116" t="str">
        <f>CONCATENATE("* differential.element[",'Diag-1'!A9,"].max = """,'Diag-1'!F9,"""")</f>
        <v>* differential.element[3].max = "*"</v>
      </c>
      <c r="H4" s="116" t="str">
        <f>CONCATENATE("* differential.element[",'Diag-1'!A9,"].type.code = #",'Diag-1'!G9,"")</f>
        <v>* differential.element[3].type.code = #BackboneElement</v>
      </c>
      <c r="I4" s="10"/>
      <c r="J4" s="113" t="s">
        <v>11</v>
      </c>
    </row>
    <row r="5" spans="2:10" ht="59" x14ac:dyDescent="0.75">
      <c r="B5" s="116" t="str">
        <f>CONCATENATE("* differential.element[",'Diag-1'!$A10,"].id = """,'Diag-1'!$B$6,".",'Diag-1'!B10,"""")</f>
        <v>* differential.element[4].id = "Diagnosis.centerOfDiagnosis.identifier"</v>
      </c>
      <c r="C5" s="116" t="str">
        <f>CONCATENATE("* differential.element[",'Diag-1'!$A10,"].path = """,'Diag-1'!$B$6,".",'Diag-1'!B10,"""")</f>
        <v>* differential.element[4].path = "Diagnosis.centerOfDiagnosis.identifier"</v>
      </c>
      <c r="D5" s="116" t="str">
        <f>CONCATENATE("* differential.element[",'Diag-1'!A10,"].short = """,'Diag-1'!C10,"""")</f>
        <v>* differential.element[4].short = "Center code"</v>
      </c>
      <c r="E5" s="116" t="str">
        <f>CONCATENATE("* differential.element[",'Diag-1'!A10,"].definition = """,'Diag-1'!D10,"""")</f>
        <v>* differential.element[4].definition = "Code of the institution in which the diagnosis was made.
IN AIEOP thus information is retrievable from the Mod.1.01 database"</v>
      </c>
      <c r="F5" s="116" t="str">
        <f>CONCATENATE("* differential.element[",'Diag-1'!A10,"].min = ",'Diag-1'!E10,"")</f>
        <v>* differential.element[4].min = 0</v>
      </c>
      <c r="G5" s="116" t="str">
        <f>CONCATENATE("* differential.element[",'Diag-1'!A10,"].max = """,'Diag-1'!F10,"""")</f>
        <v>* differential.element[4].max = "1"</v>
      </c>
      <c r="H5" s="116" t="str">
        <f>CONCATENATE("* differential.element[",'Diag-1'!A10,"].type.code = #",'Diag-1'!G10,"")</f>
        <v>* differential.element[4].type.code = #Identifier</v>
      </c>
      <c r="I5" s="10"/>
      <c r="J5" s="113" t="s">
        <v>12</v>
      </c>
    </row>
    <row r="6" spans="2:10" ht="44.25" x14ac:dyDescent="0.75">
      <c r="B6" s="116" t="str">
        <f>CONCATENATE("* differential.element[",'Diag-1'!$A11,"].id = """,'Diag-1'!$B$6,".",'Diag-1'!B11,"""")</f>
        <v>* differential.element[5].id = "Diagnosis.centerOfDiagnosis.name"</v>
      </c>
      <c r="C6" s="116" t="str">
        <f>CONCATENATE("* differential.element[",'Diag-1'!$A11,"].path = """,'Diag-1'!$B$6,".",'Diag-1'!B11,"""")</f>
        <v>* differential.element[5].path = "Diagnosis.centerOfDiagnosis.name"</v>
      </c>
      <c r="D6" s="116" t="str">
        <f>CONCATENATE("* differential.element[",'Diag-1'!A11,"].short = """,'Diag-1'!C11,"""")</f>
        <v>* differential.element[5].short = "Center name"</v>
      </c>
      <c r="E6" s="116" t="str">
        <f>CONCATENATE("* differential.element[",'Diag-1'!A11,"].definition = """,'Diag-1'!D11,"""")</f>
        <v>* differential.element[5].definition = "Center name"</v>
      </c>
      <c r="F6" s="116" t="str">
        <f>CONCATENATE("* differential.element[",'Diag-1'!A11,"].min = ",'Diag-1'!E11,"")</f>
        <v>* differential.element[5].min = 0</v>
      </c>
      <c r="G6" s="116" t="str">
        <f>CONCATENATE("* differential.element[",'Diag-1'!A11,"].max = """,'Diag-1'!F11,"""")</f>
        <v>* differential.element[5].max = "1"</v>
      </c>
      <c r="H6" s="116" t="str">
        <f>CONCATENATE("* differential.element[",'Diag-1'!A11,"].type.code = #",'Diag-1'!G11,"")</f>
        <v>* differential.element[5].type.code = #string</v>
      </c>
      <c r="I6" s="10"/>
      <c r="J6" s="113" t="s">
        <v>13</v>
      </c>
    </row>
    <row r="7" spans="2:10" ht="44.25" x14ac:dyDescent="0.75">
      <c r="B7" s="116" t="str">
        <f>CONCATENATE("* differential.element[",'Diag-1'!$A12,"].id = """,'Diag-1'!$B$6,".",'Diag-1'!B12,"""")</f>
        <v>* differential.element[6].id = "Diagnosis.centerOfDiagnosis.city"</v>
      </c>
      <c r="C7" s="116" t="str">
        <f>CONCATENATE("* differential.element[",'Diag-1'!$A12,"].path = """,'Diag-1'!$B$6,".",'Diag-1'!B12,"""")</f>
        <v>* differential.element[6].path = "Diagnosis.centerOfDiagnosis.city"</v>
      </c>
      <c r="D7" s="116" t="str">
        <f>CONCATENATE("* differential.element[",'Diag-1'!A12,"].short = """,'Diag-1'!C12,"""")</f>
        <v>* differential.element[6].short = "Center city"</v>
      </c>
      <c r="E7" s="116" t="str">
        <f>CONCATENATE("* differential.element[",'Diag-1'!A12,"].definition = """,'Diag-1'!D12,"""")</f>
        <v>* differential.element[6].definition = "Center city"</v>
      </c>
      <c r="F7" s="116" t="str">
        <f>CONCATENATE("* differential.element[",'Diag-1'!A12,"].min = ",'Diag-1'!E12,"")</f>
        <v>* differential.element[6].min = 0</v>
      </c>
      <c r="G7" s="116" t="str">
        <f>CONCATENATE("* differential.element[",'Diag-1'!A12,"].max = """,'Diag-1'!F12,"""")</f>
        <v>* differential.element[6].max = "1"</v>
      </c>
      <c r="H7" s="116" t="str">
        <f>CONCATENATE("* differential.element[",'Diag-1'!A12,"].type.code = #",'Diag-1'!G12,"")</f>
        <v>* differential.element[6].type.code = #string</v>
      </c>
      <c r="I7" s="10"/>
      <c r="J7" s="113" t="s">
        <v>14</v>
      </c>
    </row>
    <row r="8" spans="2:10" ht="44.25" x14ac:dyDescent="0.75">
      <c r="B8" s="116" t="str">
        <f>CONCATENATE("* differential.element[",'Diag-1'!$A13,"].id = """,'Diag-1'!$B$6,".",'Diag-1'!B13,"""")</f>
        <v>* differential.element[7].id = "Diagnosis.centerOfDiagnosis.country"</v>
      </c>
      <c r="C8" s="116" t="str">
        <f>CONCATENATE("* differential.element[",'Diag-1'!$A13,"].path = """,'Diag-1'!$B$6,".",'Diag-1'!B13,"""")</f>
        <v>* differential.element[7].path = "Diagnosis.centerOfDiagnosis.country"</v>
      </c>
      <c r="D8" s="116" t="str">
        <f>CONCATENATE("* differential.element[",'Diag-1'!A13,"].short = """,'Diag-1'!C13,"""")</f>
        <v>* differential.element[7].short = "Center country"</v>
      </c>
      <c r="E8" s="116" t="str">
        <f>CONCATENATE("* differential.element[",'Diag-1'!A13,"].definition = """,'Diag-1'!D13,"""")</f>
        <v>* differential.element[7].definition = "Center country"</v>
      </c>
      <c r="F8" s="116" t="str">
        <f>CONCATENATE("* differential.element[",'Diag-1'!A13,"].min = ",'Diag-1'!E13,"")</f>
        <v>* differential.element[7].min = 1</v>
      </c>
      <c r="G8" s="116" t="str">
        <f>CONCATENATE("* differential.element[",'Diag-1'!A13,"].max = """,'Diag-1'!F13,"""")</f>
        <v>* differential.element[7].max = "1"</v>
      </c>
      <c r="H8" s="116" t="str">
        <f>CONCATENATE("* differential.element[",'Diag-1'!A13,"].type.code = #",'Diag-1'!G13,"")</f>
        <v>* differential.element[7].type.code = #string</v>
      </c>
      <c r="I8" s="10"/>
      <c r="J8" s="113" t="s">
        <v>15</v>
      </c>
    </row>
    <row r="9" spans="2:10" ht="44.25" x14ac:dyDescent="0.75">
      <c r="B9" s="116" t="str">
        <f>CONCATENATE("* differential.element[",'Diag-1'!$A14,"].id = """,'Diag-1'!$B$6,".",'Diag-1'!B14,"""")</f>
        <v>* differential.element[8].id = "Diagnosis.primaryTreatmentCenter"</v>
      </c>
      <c r="C9" s="116" t="str">
        <f>CONCATENATE("* differential.element[",'Diag-1'!$A14,"].path = """,'Diag-1'!$B$6,".",'Diag-1'!B14,"""")</f>
        <v>* differential.element[8].path = "Diagnosis.primaryTreatmentCenter"</v>
      </c>
      <c r="D9" s="116" t="str">
        <f>CONCATENATE("* differential.element[",'Diag-1'!A14,"].short = """,'Diag-1'!C14,"""")</f>
        <v>* differential.element[8].short = "Primary treatment center"</v>
      </c>
      <c r="E9" s="116" t="str">
        <f>CONCATENATE("* differential.element[",'Diag-1'!A14,"].definition = """,'Diag-1'!D14,"""")</f>
        <v>* differential.element[8].definition = "Report here the institution in which most of the treatment was given"</v>
      </c>
      <c r="F9" s="116" t="str">
        <f>CONCATENATE("* differential.element[",'Diag-1'!A14,"].min = ",'Diag-1'!E14,"")</f>
        <v>* differential.element[8].min = 0</v>
      </c>
      <c r="G9" s="116" t="str">
        <f>CONCATENATE("* differential.element[",'Diag-1'!A14,"].max = """,'Diag-1'!F14,"""")</f>
        <v>* differential.element[8].max = "1"</v>
      </c>
      <c r="H9" s="116" t="str">
        <f>CONCATENATE("* differential.element[",'Diag-1'!A14,"].type.code = #",'Diag-1'!G14,"")</f>
        <v>* differential.element[8].type.code = #BackboneElement</v>
      </c>
      <c r="I9" s="10"/>
    </row>
    <row r="10" spans="2:10" ht="44.25" x14ac:dyDescent="0.75">
      <c r="B10" s="116" t="str">
        <f>CONCATENATE("* differential.element[",'Diag-1'!$A15,"].id = """,'Diag-1'!$B$6,".",'Diag-1'!B15,"""")</f>
        <v>* differential.element[9].id = "Diagnosis.primaryTreatmentCenter.name"</v>
      </c>
      <c r="C10" s="116" t="str">
        <f>CONCATENATE("* differential.element[",'Diag-1'!$A15,"].path = """,'Diag-1'!$B$6,".",'Diag-1'!B15,"""")</f>
        <v>* differential.element[9].path = "Diagnosis.primaryTreatmentCenter.name"</v>
      </c>
      <c r="D10" s="116" t="str">
        <f>CONCATENATE("* differential.element[",'Diag-1'!A15,"].short = """,'Diag-1'!C15,"""")</f>
        <v>* differential.element[9].short = "Primary treatment center name"</v>
      </c>
      <c r="E10" s="116" t="str">
        <f>CONCATENATE("* differential.element[",'Diag-1'!A15,"].definition = """,'Diag-1'!D15,"""")</f>
        <v>* differential.element[9].definition = "Primary treatment center name"</v>
      </c>
      <c r="F10" s="116" t="str">
        <f>CONCATENATE("* differential.element[",'Diag-1'!A15,"].min = ",'Diag-1'!E15,"")</f>
        <v>* differential.element[9].min = 0</v>
      </c>
      <c r="G10" s="116" t="str">
        <f>CONCATENATE("* differential.element[",'Diag-1'!A15,"].max = """,'Diag-1'!F15,"""")</f>
        <v>* differential.element[9].max = "1"</v>
      </c>
      <c r="H10" s="116" t="str">
        <f>CONCATENATE("* differential.element[",'Diag-1'!A15,"].type.code = #",'Diag-1'!G15,"")</f>
        <v>* differential.element[9].type.code = #string</v>
      </c>
      <c r="I10" s="10"/>
    </row>
    <row r="11" spans="2:10" ht="44.25" x14ac:dyDescent="0.75">
      <c r="B11" s="116" t="str">
        <f>CONCATENATE("* differential.element[",'Diag-1'!$A16,"].id = """,'Diag-1'!$B$6,".",'Diag-1'!B16,"""")</f>
        <v>* differential.element[10].id = "Diagnosis.primaryTreatmentCenter.city"</v>
      </c>
      <c r="C11" s="116" t="str">
        <f>CONCATENATE("* differential.element[",'Diag-1'!$A16,"].path = """,'Diag-1'!$B$6,".",'Diag-1'!B16,"""")</f>
        <v>* differential.element[10].path = "Diagnosis.primaryTreatmentCenter.city"</v>
      </c>
      <c r="D11" s="116" t="str">
        <f>CONCATENATE("* differential.element[",'Diag-1'!A16,"].short = """,'Diag-1'!C16,"""")</f>
        <v>* differential.element[10].short = "Primary treatment center city"</v>
      </c>
      <c r="E11" s="116" t="str">
        <f>CONCATENATE("* differential.element[",'Diag-1'!A16,"].definition = """,'Diag-1'!D16,"""")</f>
        <v>* differential.element[10].definition = "Primary treatment center city"</v>
      </c>
      <c r="F11" s="116" t="str">
        <f>CONCATENATE("* differential.element[",'Diag-1'!A16,"].min = ",'Diag-1'!E16,"")</f>
        <v>* differential.element[10].min = 0</v>
      </c>
      <c r="G11" s="116" t="str">
        <f>CONCATENATE("* differential.element[",'Diag-1'!A16,"].max = """,'Diag-1'!F16,"""")</f>
        <v>* differential.element[10].max = "1"</v>
      </c>
      <c r="H11" s="116" t="str">
        <f>CONCATENATE("* differential.element[",'Diag-1'!A16,"].type.code = #",'Diag-1'!G16,"")</f>
        <v>* differential.element[10].type.code = #string</v>
      </c>
      <c r="I11" s="10"/>
    </row>
    <row r="12" spans="2:10" ht="44.25" x14ac:dyDescent="0.75">
      <c r="B12" s="116" t="str">
        <f>CONCATENATE("* differential.element[",'Diag-1'!$A17,"].id = """,'Diag-1'!$B$6,".",'Diag-1'!B17,"""")</f>
        <v>* differential.element[11].id = "Diagnosis.primaryTreatmentCenter.country"</v>
      </c>
      <c r="C12" s="116" t="str">
        <f>CONCATENATE("* differential.element[",'Diag-1'!$A17,"].path = """,'Diag-1'!$B$6,".",'Diag-1'!B17,"""")</f>
        <v>* differential.element[11].path = "Diagnosis.primaryTreatmentCenter.country"</v>
      </c>
      <c r="D12" s="116" t="str">
        <f>CONCATENATE("* differential.element[",'Diag-1'!A17,"].short = """,'Diag-1'!C17,"""")</f>
        <v>* differential.element[11].short = "Primary treatment center country"</v>
      </c>
      <c r="E12" s="116" t="str">
        <f>CONCATENATE("* differential.element[",'Diag-1'!A17,"].definition = """,'Diag-1'!D17,"""")</f>
        <v>* differential.element[11].definition = "Primary treatment center country"</v>
      </c>
      <c r="F12" s="116" t="str">
        <f>CONCATENATE("* differential.element[",'Diag-1'!A17,"].min = ",'Diag-1'!E17,"")</f>
        <v>* differential.element[11].min = 0</v>
      </c>
      <c r="G12" s="116" t="str">
        <f>CONCATENATE("* differential.element[",'Diag-1'!A17,"].max = """,'Diag-1'!F17,"""")</f>
        <v>* differential.element[11].max = "1"</v>
      </c>
      <c r="H12" s="116" t="str">
        <f>CONCATENATE("* differential.element[",'Diag-1'!A17,"].type.code = #",'Diag-1'!G17,"")</f>
        <v>* differential.element[11].type.code = #string</v>
      </c>
      <c r="I12" s="10"/>
    </row>
    <row r="13" spans="2:10" ht="44.25" x14ac:dyDescent="0.75">
      <c r="B13" s="116" t="str">
        <f>CONCATENATE("* differential.element[",'Diag-1'!$A18,"].id = """,'Diag-1'!$B$6,".",'Diag-1'!B18,"""")</f>
        <v>* differential.element[12].id = "Diagnosis.dateOfArrivalAtCenter"</v>
      </c>
      <c r="C13" s="116" t="str">
        <f>CONCATENATE("* differential.element[",'Diag-1'!$A18,"].path = """,'Diag-1'!$B$6,".",'Diag-1'!B18,"""")</f>
        <v>* differential.element[12].path = "Diagnosis.dateOfArrivalAtCenter"</v>
      </c>
      <c r="D13" s="116" t="str">
        <f>CONCATENATE("* differential.element[",'Diag-1'!A18,"].short = """,'Diag-1'!C18,"""")</f>
        <v>* differential.element[12].short = "Date of arrival to our institution"</v>
      </c>
      <c r="E13" s="116" t="str">
        <f>CONCATENATE("* differential.element[",'Diag-1'!A18,"].definition = """,'Diag-1'!D18,"""")</f>
        <v>* differential.element[12].definition = "Date of arrival to our institution"</v>
      </c>
      <c r="F13" s="116" t="str">
        <f>CONCATENATE("* differential.element[",'Diag-1'!A18,"].min = ",'Diag-1'!E18,"")</f>
        <v>* differential.element[12].min = 1</v>
      </c>
      <c r="G13" s="116" t="str">
        <f>CONCATENATE("* differential.element[",'Diag-1'!A18,"].max = """,'Diag-1'!F18,"""")</f>
        <v>* differential.element[12].max = "*"</v>
      </c>
      <c r="H13" s="116" t="str">
        <f>CONCATENATE("* differential.element[",'Diag-1'!A18,"].type.code = #",'Diag-1'!G18,"")</f>
        <v>* differential.element[12].type.code = #dateTime</v>
      </c>
      <c r="I13" s="10"/>
    </row>
    <row r="14" spans="2:10" ht="44.25" x14ac:dyDescent="0.75">
      <c r="B14" s="116" t="str">
        <f>CONCATENATE("* differential.element[",'Diag-1'!$A19,"].id = """,'Diag-1'!$B$6,".",'Diag-1'!B19,"""")</f>
        <v>* differential.element[13].id = "Diagnosis.diagnosticGroup"</v>
      </c>
      <c r="C14" s="116" t="str">
        <f>CONCATENATE("* differential.element[",'Diag-1'!$A19,"].path = """,'Diag-1'!$B$6,".",'Diag-1'!B19,"""")</f>
        <v>* differential.element[13].path = "Diagnosis.diagnosticGroup"</v>
      </c>
      <c r="D14" s="116" t="str">
        <f>CONCATENATE("* differential.element[",'Diag-1'!A19,"].short = """,'Diag-1'!C19,"""")</f>
        <v>* differential.element[13].short = "Diagnostic Group"</v>
      </c>
      <c r="E14" s="116" t="str">
        <f>CONCATENATE("* differential.element[",'Diag-1'!A19,"].definition = """,'Diag-1'!D19,"""")</f>
        <v>* differential.element[13].definition = "Diagnostic Group. ICCC-3 Classification (Main and Extended classification tables)"</v>
      </c>
      <c r="F14" s="116" t="str">
        <f>CONCATENATE("* differential.element[",'Diag-1'!A19,"].min = ",'Diag-1'!E19,"")</f>
        <v>* differential.element[13].min = 0</v>
      </c>
      <c r="G14" s="116" t="str">
        <f>CONCATENATE("* differential.element[",'Diag-1'!A19,"].max = """,'Diag-1'!F19,"""")</f>
        <v>* differential.element[13].max = "*"</v>
      </c>
      <c r="H14" s="116" t="str">
        <f>CONCATENATE("* differential.element[",'Diag-1'!A19,"].type.code = #",'Diag-1'!G19,"")</f>
        <v>* differential.element[13].type.code = #CodeableConcept</v>
      </c>
      <c r="I14" s="10"/>
    </row>
    <row r="15" spans="2:10" ht="147.5" x14ac:dyDescent="0.75">
      <c r="B15" s="116" t="str">
        <f>CONCATENATE("* differential.element[",'Diag-1'!$A20,"].id = """,'Diag-1'!$B$6,".",'Diag-1'!B20,"""")</f>
        <v>* differential.element[14].id = "Diagnosis.morphologyCode"</v>
      </c>
      <c r="C15" s="116" t="str">
        <f>CONCATENATE("* differential.element[",'Diag-1'!$A20,"].path = """,'Diag-1'!$B$6,".",'Diag-1'!B20,"""")</f>
        <v>* differential.element[14].path = "Diagnosis.morphologyCode"</v>
      </c>
      <c r="D15" s="116" t="str">
        <f>CONCATENATE("* differential.element[",'Diag-1'!A20,"].short = """,'Diag-1'!C20,"""")</f>
        <v>* differential.element[14].short = "Diagnosis"</v>
      </c>
      <c r="E15" s="116" t="str">
        <f>CONCATENATE("* differential.element[",'Diag-1'!A20,"].definition = """,'Diag-1'!D20,"""")</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c r="F15" s="116" t="str">
        <f>CONCATENATE("* differential.element[",'Diag-1'!A20,"].min = ",'Diag-1'!E20,"")</f>
        <v>* differential.element[14].min = 0</v>
      </c>
      <c r="G15" s="116" t="str">
        <f>CONCATENATE("* differential.element[",'Diag-1'!A20,"].max = """,'Diag-1'!F20,"""")</f>
        <v>* differential.element[14].max = "*"</v>
      </c>
      <c r="H15" s="116" t="str">
        <f>CONCATENATE("* differential.element[",'Diag-1'!A20,"].type.code = #",'Diag-1'!G20,"")</f>
        <v>* differential.element[14].type.code = #CodeableConcept</v>
      </c>
      <c r="I15" s="10"/>
    </row>
    <row r="16" spans="2:10" ht="44.25" x14ac:dyDescent="0.75">
      <c r="B16" s="116" t="str">
        <f>CONCATENATE("* differential.element[",'Diag-1'!$A21,"].id = """,'Diag-1'!$B$6,".",'Diag-1'!B21,"""")</f>
        <v>* differential.element[15].id = "Diagnosis.tumorBehaviour"</v>
      </c>
      <c r="C16" s="116" t="str">
        <f>CONCATENATE("* differential.element[",'Diag-1'!$A21,"].path = """,'Diag-1'!$B$6,".",'Diag-1'!B21,"""")</f>
        <v>* differential.element[15].path = "Diagnosis.tumorBehaviour"</v>
      </c>
      <c r="D16" s="116" t="str">
        <f>CONCATENATE("* differential.element[",'Diag-1'!A21,"].short = """,'Diag-1'!C21,"""")</f>
        <v>* differential.element[15].short = "Tumour behaviour (ICD-O-3 type)"</v>
      </c>
      <c r="E16" s="116" t="str">
        <f>CONCATENATE("* differential.element[",'Diag-1'!A21,"].definition = """,'Diag-1'!D21,"""")</f>
        <v>* differential.element[15].definition = "Tumour behaviour. Automatically generated by the system for benign tumors"</v>
      </c>
      <c r="F16" s="116" t="str">
        <f>CONCATENATE("* differential.element[",'Diag-1'!A21,"].min = ",'Diag-1'!E21,"")</f>
        <v>* differential.element[15].min = 0</v>
      </c>
      <c r="G16" s="116" t="str">
        <f>CONCATENATE("* differential.element[",'Diag-1'!A21,"].max = """,'Diag-1'!F21,"""")</f>
        <v>* differential.element[15].max = "*"</v>
      </c>
      <c r="H16" s="116" t="str">
        <f>CONCATENATE("* differential.element[",'Diag-1'!A21,"].type.code = #",'Diag-1'!G21,"")</f>
        <v>* differential.element[15].type.code = #CodeableConcept</v>
      </c>
      <c r="I16" s="10"/>
    </row>
    <row r="17" spans="2:9" ht="44.25" x14ac:dyDescent="0.75">
      <c r="B17" s="116" t="str">
        <f>CONCATENATE("* differential.element[",'Diag-1'!$A22,"].id = """,'Diag-1'!$B$6,".",'Diag-1'!B22,"""")</f>
        <v>* differential.element[16].id = "Diagnosis.description"</v>
      </c>
      <c r="C17" s="116" t="str">
        <f>CONCATENATE("* differential.element[",'Diag-1'!$A22,"].path = """,'Diag-1'!$B$6,".",'Diag-1'!B22,"""")</f>
        <v>* differential.element[16].path = "Diagnosis.description"</v>
      </c>
      <c r="D17" s="116" t="str">
        <f>CONCATENATE("* differential.element[",'Diag-1'!A22,"].short = """,'Diag-1'!C22,"""")</f>
        <v>* differential.element[16].short = "Diagnosis description"</v>
      </c>
      <c r="E17" s="116" t="str">
        <f>CONCATENATE("* differential.element[",'Diag-1'!A22,"].definition = """,'Diag-1'!D22,"""")</f>
        <v>* differential.element[16].definition = "Diagnosis description"</v>
      </c>
      <c r="F17" s="116" t="str">
        <f>CONCATENATE("* differential.element[",'Diag-1'!A22,"].min = ",'Diag-1'!E22,"")</f>
        <v>* differential.element[16].min = 0</v>
      </c>
      <c r="G17" s="116" t="str">
        <f>CONCATENATE("* differential.element[",'Diag-1'!A22,"].max = """,'Diag-1'!F22,"""")</f>
        <v>* differential.element[16].max = "1"</v>
      </c>
      <c r="H17" s="116" t="str">
        <f>CONCATENATE("* differential.element[",'Diag-1'!A22,"].type.code = #",'Diag-1'!G22,"")</f>
        <v>* differential.element[16].type.code = #string</v>
      </c>
      <c r="I17" s="10"/>
    </row>
    <row r="18" spans="2:9" ht="44.25" x14ac:dyDescent="0.75">
      <c r="B18" s="116" t="str">
        <f>CONCATENATE("* differential.element[",'Diag-1'!$A23,"].id = """,'Diag-1'!$B$6,".",'Diag-1'!B23,"""")</f>
        <v>* differential.element[17].id = "Diagnosis.site"</v>
      </c>
      <c r="C18" s="116" t="str">
        <f>CONCATENATE("* differential.element[",'Diag-1'!$A23,"].path = """,'Diag-1'!$B$6,".",'Diag-1'!B23,"""")</f>
        <v>* differential.element[17].path = "Diagnosis.site"</v>
      </c>
      <c r="D18" s="116" t="str">
        <f>CONCATENATE("* differential.element[",'Diag-1'!A23,"].short = """,'Diag-1'!C23,"""")</f>
        <v>* differential.element[17].short = "Site"</v>
      </c>
      <c r="E18" s="116" t="str">
        <f>CONCATENATE("* differential.element[",'Diag-1'!A23,"].definition = """,'Diag-1'!D23,"""")</f>
        <v>* differential.element[17].definition = "Site of the tumor"</v>
      </c>
      <c r="F18" s="116" t="str">
        <f>CONCATENATE("* differential.element[",'Diag-1'!A23,"].min = ",'Diag-1'!E23,"")</f>
        <v>* differential.element[17].min = 0</v>
      </c>
      <c r="G18" s="116" t="str">
        <f>CONCATENATE("* differential.element[",'Diag-1'!A23,"].max = """,'Diag-1'!F23,"""")</f>
        <v>* differential.element[17].max = "*"</v>
      </c>
      <c r="H18" s="116" t="str">
        <f>CONCATENATE("* differential.element[",'Diag-1'!A23,"].type.code = #",'Diag-1'!G23,"")</f>
        <v>* differential.element[17].type.code = #BackboneElement</v>
      </c>
      <c r="I18" s="10"/>
    </row>
    <row r="19" spans="2:9" ht="103.25" x14ac:dyDescent="0.75">
      <c r="B19" s="116" t="str">
        <f>CONCATENATE("* differential.element[",'Diag-1'!$A24,"].id = """,'Diag-1'!$B$6,".",'Diag-1'!B24,"""")</f>
        <v>* differential.element[18].id = "Diagnosis.site.code"</v>
      </c>
      <c r="C19" s="116" t="str">
        <f>CONCATENATE("* differential.element[",'Diag-1'!$A24,"].path = """,'Diag-1'!$B$6,".",'Diag-1'!B24,"""")</f>
        <v>* differential.element[18].path = "Diagnosis.site.code"</v>
      </c>
      <c r="D19" s="116" t="str">
        <f>CONCATENATE("* differential.element[",'Diag-1'!A24,"].short = """,'Diag-1'!C24,"""")</f>
        <v>* differential.element[18].short = "Site(ICD-O-3 topography)"</v>
      </c>
      <c r="E19" s="116" t="str">
        <f>CONCATENATE("* differential.element[",'Diag-1'!A24,"].definition = """,'Diag-1'!D24,"""")</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c r="F19" s="116" t="str">
        <f>CONCATENATE("* differential.element[",'Diag-1'!A24,"].min = ",'Diag-1'!E24,"")</f>
        <v>* differential.element[18].min = 0</v>
      </c>
      <c r="G19" s="116" t="str">
        <f>CONCATENATE("* differential.element[",'Diag-1'!A24,"].max = """,'Diag-1'!F24,"""")</f>
        <v>* differential.element[18].max = "*"</v>
      </c>
      <c r="H19" s="116" t="str">
        <f>CONCATENATE("* differential.element[",'Diag-1'!A24,"].type.code = #",'Diag-1'!G24,"")</f>
        <v>* differential.element[18].type.code = #CodeableConcept</v>
      </c>
      <c r="I19" s="10"/>
    </row>
    <row r="20" spans="2:9" ht="44.25" x14ac:dyDescent="0.75">
      <c r="B20" s="116" t="str">
        <f>CONCATENATE("* differential.element[",'Diag-1'!$A25,"].id = """,'Diag-1'!$B$6,".",'Diag-1'!B25,"""")</f>
        <v>* differential.element[19].id = "Diagnosis.site.description"</v>
      </c>
      <c r="C20" s="116" t="str">
        <f>CONCATENATE("* differential.element[",'Diag-1'!$A25,"].path = """,'Diag-1'!$B$6,".",'Diag-1'!B25,"""")</f>
        <v>* differential.element[19].path = "Diagnosis.site.description"</v>
      </c>
      <c r="D20" s="116" t="str">
        <f>CONCATENATE("* differential.element[",'Diag-1'!A25,"].short = """,'Diag-1'!C25,"""")</f>
        <v>* differential.element[19].short = "Site description"</v>
      </c>
      <c r="E20" s="116" t="str">
        <f>CONCATENATE("* differential.element[",'Diag-1'!A25,"].definition = """,'Diag-1'!D25,"""")</f>
        <v>* differential.element[19].definition = "Site description . Free text to report the site of the tumor"</v>
      </c>
      <c r="F20" s="116" t="str">
        <f>CONCATENATE("* differential.element[",'Diag-1'!A25,"].min = ",'Diag-1'!E25,"")</f>
        <v>* differential.element[19].min = 0</v>
      </c>
      <c r="G20" s="116" t="str">
        <f>CONCATENATE("* differential.element[",'Diag-1'!A25,"].max = """,'Diag-1'!F25,"""")</f>
        <v>* differential.element[19].max = "*"</v>
      </c>
      <c r="H20" s="116" t="str">
        <f>CONCATENATE("* differential.element[",'Diag-1'!A25,"].type.code = #",'Diag-1'!G25,"")</f>
        <v>* differential.element[19].type.code = #string</v>
      </c>
      <c r="I20" s="10"/>
    </row>
    <row r="21" spans="2:9" ht="44.25" x14ac:dyDescent="0.75">
      <c r="B21" s="116" t="str">
        <f>CONCATENATE("* differential.element[",'Diag-1'!$A26,"].id = """,'Diag-1'!$B$6,".",'Diag-1'!B26,"""")</f>
        <v>* differential.element[20].id = "Diagnosis.laterality"</v>
      </c>
      <c r="C21" s="116" t="str">
        <f>CONCATENATE("* differential.element[",'Diag-1'!$A26,"].path = """,'Diag-1'!$B$6,".",'Diag-1'!B26,"""")</f>
        <v>* differential.element[20].path = "Diagnosis.laterality"</v>
      </c>
      <c r="D21" s="116" t="str">
        <f>CONCATENATE("* differential.element[",'Diag-1'!A26,"].short = """,'Diag-1'!C26,"""")</f>
        <v>* differential.element[20].short = "Laterality"</v>
      </c>
      <c r="E21" s="116" t="str">
        <f>CONCATENATE("* differential.element[",'Diag-1'!A26,"].definition = """,'Diag-1'!D26,"""")</f>
        <v>* differential.element[20].definition = "Laterality"</v>
      </c>
      <c r="F21" s="116" t="str">
        <f>CONCATENATE("* differential.element[",'Diag-1'!A26,"].min = ",'Diag-1'!E26,"")</f>
        <v>* differential.element[20].min = 0</v>
      </c>
      <c r="G21" s="116" t="str">
        <f>CONCATENATE("* differential.element[",'Diag-1'!A26,"].max = """,'Diag-1'!F26,"""")</f>
        <v>* differential.element[20].max = "*"</v>
      </c>
      <c r="H21" s="116" t="str">
        <f>CONCATENATE("* differential.element[",'Diag-1'!A26,"].type.code = #",'Diag-1'!G26,"")</f>
        <v>* differential.element[20].type.code = #CodeableConcept</v>
      </c>
      <c r="I21" s="10"/>
    </row>
    <row r="22" spans="2:9" ht="44.25" x14ac:dyDescent="0.75">
      <c r="B22" s="116" t="str">
        <f>CONCATENATE("* differential.element[",'Diag-1'!$A27,"].id = """,'Diag-1'!$B$6,".",'Diag-1'!B27,"""")</f>
        <v>* differential.element[21].id = "Diagnosis.metastasis"</v>
      </c>
      <c r="C22" s="116" t="str">
        <f>CONCATENATE("* differential.element[",'Diag-1'!$A27,"].path = """,'Diag-1'!$B$6,".",'Diag-1'!B27,"""")</f>
        <v>* differential.element[21].path = "Diagnosis.metastasis"</v>
      </c>
      <c r="D22" s="116" t="str">
        <f>CONCATENATE("* differential.element[",'Diag-1'!A27,"].short = """,'Diag-1'!C27,"""")</f>
        <v>* differential.element[21].short = "Metastatic"</v>
      </c>
      <c r="E22" s="116" t="str">
        <f>CONCATENATE("* differential.element[",'Diag-1'!A27,"].definition = """,'Diag-1'!D27,"""")</f>
        <v>* differential.element[21].definition = "Some tumors may be either localized (e.g. stage III neuroblastoma) or metastatic. Please specify."</v>
      </c>
      <c r="F22" s="116" t="str">
        <f>CONCATENATE("* differential.element[",'Diag-1'!A27,"].min = ",'Diag-1'!E27,"")</f>
        <v>* differential.element[21].min = 0</v>
      </c>
      <c r="G22" s="116" t="str">
        <f>CONCATENATE("* differential.element[",'Diag-1'!A27,"].max = """,'Diag-1'!F27,"""")</f>
        <v>* differential.element[21].max = "*"</v>
      </c>
      <c r="H22" s="116" t="str">
        <f>CONCATENATE("* differential.element[",'Diag-1'!A27,"].type.code = #",'Diag-1'!G27,"")</f>
        <v>* differential.element[21].type.code = #BackboneElement</v>
      </c>
      <c r="I22" s="10"/>
    </row>
    <row r="23" spans="2:9" ht="44.25" x14ac:dyDescent="0.75">
      <c r="B23" s="116" t="str">
        <f>CONCATENATE("* differential.element[",'Diag-1'!$A28,"].id = """,'Diag-1'!$B$6,".",'Diag-1'!B28,"""")</f>
        <v>* differential.element[22].id = "Diagnosis.metastasis.identifier"</v>
      </c>
      <c r="C23" s="116" t="str">
        <f>CONCATENATE("* differential.element[",'Diag-1'!$A28,"].path = """,'Diag-1'!$B$6,".",'Diag-1'!B28,"""")</f>
        <v>* differential.element[22].path = "Diagnosis.metastasis.identifier"</v>
      </c>
      <c r="D23" s="116" t="str">
        <f>CONCATENATE("* differential.element[",'Diag-1'!A28,"].short = """,'Diag-1'!C28,"""")</f>
        <v>* differential.element[22].short = "Metastasis id"</v>
      </c>
      <c r="E23" s="116" t="str">
        <f>CONCATENATE("* differential.element[",'Diag-1'!A28,"].definition = """,'Diag-1'!D28,"""")</f>
        <v>* differential.element[22].definition = "Number of metastases"</v>
      </c>
      <c r="F23" s="116" t="str">
        <f>CONCATENATE("* differential.element[",'Diag-1'!A28,"].min = ",'Diag-1'!E28,"")</f>
        <v>* differential.element[22].min = 0</v>
      </c>
      <c r="G23" s="116" t="str">
        <f>CONCATENATE("* differential.element[",'Diag-1'!A28,"].max = """,'Diag-1'!F28,"""")</f>
        <v>* differential.element[22].max = "*"</v>
      </c>
      <c r="H23" s="116" t="str">
        <f>CONCATENATE("* differential.element[",'Diag-1'!A28,"].type.code = #",'Diag-1'!G28,"")</f>
        <v>* differential.element[22].type.code = #integer</v>
      </c>
      <c r="I23" s="10"/>
    </row>
    <row r="24" spans="2:9" ht="44.25" x14ac:dyDescent="0.75">
      <c r="B24" s="116" t="str">
        <f>CONCATENATE("* differential.element[",'Diag-1'!$A29,"].id = """,'Diag-1'!$B$6,".",'Diag-1'!B29,"""")</f>
        <v>* differential.element[23].id = "Diagnosis.metastasis.site"</v>
      </c>
      <c r="C24" s="116" t="str">
        <f>CONCATENATE("* differential.element[",'Diag-1'!$A29,"].path = """,'Diag-1'!$B$6,".",'Diag-1'!B29,"""")</f>
        <v>* differential.element[23].path = "Diagnosis.metastasis.site"</v>
      </c>
      <c r="D24" s="116" t="str">
        <f>CONCATENATE("* differential.element[",'Diag-1'!A29,"].short = """,'Diag-1'!C29,"""")</f>
        <v>* differential.element[23].short = "Metastasis site"</v>
      </c>
      <c r="E24" s="116" t="str">
        <f>CONCATENATE("* differential.element[",'Diag-1'!A29,"].definition = """,'Diag-1'!D29,"""")</f>
        <v>* differential.element[23].definition = "Please report here the site(s) of metastases detected at diagnosis."</v>
      </c>
      <c r="F24" s="116" t="str">
        <f>CONCATENATE("* differential.element[",'Diag-1'!A29,"].min = ",'Diag-1'!E29,"")</f>
        <v>* differential.element[23].min = 0</v>
      </c>
      <c r="G24" s="116" t="str">
        <f>CONCATENATE("* differential.element[",'Diag-1'!A29,"].max = """,'Diag-1'!F29,"""")</f>
        <v>* differential.element[23].max = "*"</v>
      </c>
      <c r="H24" s="116" t="str">
        <f>CONCATENATE("* differential.element[",'Diag-1'!A29,"].type.code = #",'Diag-1'!G29,"")</f>
        <v>* differential.element[23].type.code = #BackboneElement</v>
      </c>
      <c r="I24" s="10"/>
    </row>
    <row r="25" spans="2:9" ht="44.25" x14ac:dyDescent="0.75">
      <c r="B25" s="116" t="str">
        <f>CONCATENATE("* differential.element[",'Diag-1'!$A30,"].id = """,'Diag-1'!$B$6,".",'Diag-1'!B30,"""")</f>
        <v>* differential.element[24].id = "Diagnosis.metastasis.site.code"</v>
      </c>
      <c r="C25" s="116" t="str">
        <f>CONCATENATE("* differential.element[",'Diag-1'!$A30,"].path = """,'Diag-1'!$B$6,".",'Diag-1'!B30,"""")</f>
        <v>* differential.element[24].path = "Diagnosis.metastasis.site.code"</v>
      </c>
      <c r="D25" s="116" t="str">
        <f>CONCATENATE("* differential.element[",'Diag-1'!A30,"].short = """,'Diag-1'!C30,"""")</f>
        <v>* differential.element[24].short = "Metastasis site code"</v>
      </c>
      <c r="E25" s="116" t="str">
        <f>CONCATENATE("* differential.element[",'Diag-1'!A30,"].definition = """,'Diag-1'!D30,"""")</f>
        <v>* differential.element[24].definition = "Metastases detected at diagnosis (using ICD-O-3 Topography). If site(s) is unknown, code C80.9"</v>
      </c>
      <c r="F25" s="116" t="str">
        <f>CONCATENATE("* differential.element[",'Diag-1'!A30,"].min = ",'Diag-1'!E30,"")</f>
        <v>* differential.element[24].min = 0</v>
      </c>
      <c r="G25" s="116" t="str">
        <f>CONCATENATE("* differential.element[",'Diag-1'!A30,"].max = """,'Diag-1'!F30,"""")</f>
        <v>* differential.element[24].max = "*"</v>
      </c>
      <c r="H25" s="116" t="str">
        <f>CONCATENATE("* differential.element[",'Diag-1'!A30,"].type.code = #",'Diag-1'!G30,"")</f>
        <v>* differential.element[24].type.code = #CodeableConcept</v>
      </c>
      <c r="I25" s="10"/>
    </row>
    <row r="26" spans="2:9" ht="44.25" x14ac:dyDescent="0.75">
      <c r="B26" s="116" t="str">
        <f>CONCATENATE("* differential.element[",'Diag-1'!$A31,"].id = """,'Diag-1'!$B$6,".",'Diag-1'!B31,"""")</f>
        <v>* differential.element[25].id = "Diagnosis.metastasis.site.description"</v>
      </c>
      <c r="C26" s="116" t="str">
        <f>CONCATENATE("* differential.element[",'Diag-1'!$A31,"].path = """,'Diag-1'!$B$6,".",'Diag-1'!B31,"""")</f>
        <v>* differential.element[25].path = "Diagnosis.metastasis.site.description"</v>
      </c>
      <c r="D26" s="116" t="str">
        <f>CONCATENATE("* differential.element[",'Diag-1'!A31,"].short = """,'Diag-1'!C31,"""")</f>
        <v>* differential.element[25].short = "Additional description of sites of metastatis"</v>
      </c>
      <c r="E26" s="116" t="str">
        <f>CONCATENATE("* differential.element[",'Diag-1'!A31,"].definition = """,'Diag-1'!D31,"""")</f>
        <v>* differential.element[25].definition = "Additional description of sites of metastatis"</v>
      </c>
      <c r="F26" s="116" t="str">
        <f>CONCATENATE("* differential.element[",'Diag-1'!A31,"].min = ",'Diag-1'!E31,"")</f>
        <v>* differential.element[25].min = 0</v>
      </c>
      <c r="G26" s="116" t="str">
        <f>CONCATENATE("* differential.element[",'Diag-1'!A31,"].max = """,'Diag-1'!F31,"""")</f>
        <v>* differential.element[25].max = "*"</v>
      </c>
      <c r="H26" s="116" t="str">
        <f>CONCATENATE("* differential.element[",'Diag-1'!A31,"].type.code = #",'Diag-1'!G31,"")</f>
        <v>* differential.element[25].type.code = #string</v>
      </c>
    </row>
    <row r="27" spans="2:9" ht="73.75" x14ac:dyDescent="0.75">
      <c r="B27" s="116" t="str">
        <f>CONCATENATE("* differential.element[",'Diag-1'!$A32,"].id = """,'Diag-1'!$B$6,".",'Diag-1'!B32,"""")</f>
        <v>* differential.element[26].id = "Diagnosis.geneticMarkers"</v>
      </c>
      <c r="C27" s="116" t="str">
        <f>CONCATENATE("* differential.element[",'Diag-1'!$A32,"].path = """,'Diag-1'!$B$6,".",'Diag-1'!B32,"""")</f>
        <v>* differential.element[26].path = "Diagnosis.geneticMarkers"</v>
      </c>
      <c r="D27" s="116" t="str">
        <f>CONCATENATE("* differential.element[",'Diag-1'!A32,"].short = """,'Diag-1'!C32,"""")</f>
        <v>* differential.element[26].short = "Genetic markers(text)"</v>
      </c>
      <c r="E27" s="116" t="str">
        <f>CONCATENATE("* differential.element[",'Diag-1'!A32,"].definition = """,'Diag-1'!D32,"""")</f>
        <v>* differential.element[26].definition = "Please report here any genetic marker: chromosomal alterations (e.g. translocation, deletions, duplications); or other types of genetic alterations (amplification, deletion, mutation)"</v>
      </c>
      <c r="F27" s="116" t="str">
        <f>CONCATENATE("* differential.element[",'Diag-1'!A32,"].min = ",'Diag-1'!E32,"")</f>
        <v>* differential.element[26].min = 0</v>
      </c>
      <c r="G27" s="116" t="str">
        <f>CONCATENATE("* differential.element[",'Diag-1'!A32,"].max = """,'Diag-1'!F32,"""")</f>
        <v>* differential.element[26].max = "1"</v>
      </c>
      <c r="H27" s="116" t="str">
        <f>CONCATENATE("* differential.element[",'Diag-1'!A32,"].type.code = #",'Diag-1'!G32,"")</f>
        <v>* differential.element[26].type.code = #string</v>
      </c>
    </row>
    <row r="28" spans="2:9" ht="132.75" x14ac:dyDescent="0.75">
      <c r="B28" s="116" t="str">
        <f>CONCATENATE("* differential.element[",'Diag-1'!$A33,"].id = """,'Diag-1'!$B$6,".",'Diag-1'!B33,"""")</f>
        <v>* differential.element[27].id = "Diagnosis.stage"</v>
      </c>
      <c r="C28" s="116" t="str">
        <f>CONCATENATE("* differential.element[",'Diag-1'!$A33,"].path = """,'Diag-1'!$B$6,".",'Diag-1'!B33,"""")</f>
        <v>* differential.element[27].path = "Diagnosis.stage"</v>
      </c>
      <c r="D28" s="116" t="str">
        <f>CONCATENATE("* differential.element[",'Diag-1'!A33,"].short = """,'Diag-1'!C33,"""")</f>
        <v>* differential.element[27].short = "Stage/Risk"</v>
      </c>
      <c r="E28" s="116" t="str">
        <f>CONCATENATE("* differential.element[",'Diag-1'!A33,"].definition = """,'Diag-1'!D33,"""")</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c r="F28" s="116" t="str">
        <f>CONCATENATE("* differential.element[",'Diag-1'!A33,"].min = ",'Diag-1'!E33,"")</f>
        <v>* differential.element[27].min = 0</v>
      </c>
      <c r="G28" s="116" t="str">
        <f>CONCATENATE("* differential.element[",'Diag-1'!A33,"].max = """,'Diag-1'!F33,"""")</f>
        <v>* differential.element[27].max = "1"</v>
      </c>
      <c r="H28" s="116" t="str">
        <f>CONCATENATE("* differential.element[",'Diag-1'!A33,"].type.code = #",'Diag-1'!G33,"")</f>
        <v>* differential.element[27].type.code = #string</v>
      </c>
    </row>
    <row r="29" spans="2:9" ht="88.5" x14ac:dyDescent="0.75">
      <c r="B29" s="116" t="str">
        <f>CONCATENATE("* differential.element[",'Diag-1'!$A34,"].id = """,'Diag-1'!$B$6,".",'Diag-1'!B34,"""")</f>
        <v>* differential.element[28].id = "Diagnosis.immunology"</v>
      </c>
      <c r="C29" s="116" t="str">
        <f>CONCATENATE("* differential.element[",'Diag-1'!$A34,"].path = """,'Diag-1'!$B$6,".",'Diag-1'!B34,"""")</f>
        <v>* differential.element[28].path = "Diagnosis.immunology"</v>
      </c>
      <c r="D29" s="116" t="str">
        <f>CONCATENATE("* differential.element[",'Diag-1'!A34,"].short = """,'Diag-1'!C34,"""")</f>
        <v>* differential.element[28].short = "Immunology"</v>
      </c>
      <c r="E29" s="116" t="str">
        <f>CONCATENATE("* differential.element[",'Diag-1'!A34,"].definition = """,'Diag-1'!D34,"""")</f>
        <v>* differential.element[28].definition = "Immunology . This is a free text field. Report here, if applicable (e.g. leukemias) the immunophenotype of the disease (sometimes already reported in the ICD-O-3 Morphology coding). If immunology is unknown, specify 'NK'"</v>
      </c>
      <c r="F29" s="116" t="str">
        <f>CONCATENATE("* differential.element[",'Diag-1'!A34,"].min = ",'Diag-1'!E34,"")</f>
        <v>* differential.element[28].min = 0</v>
      </c>
      <c r="G29" s="116" t="str">
        <f>CONCATENATE("* differential.element[",'Diag-1'!A34,"].max = """,'Diag-1'!F34,"""")</f>
        <v>* differential.element[28].max = "*"</v>
      </c>
      <c r="H29" s="116" t="str">
        <f>CONCATENATE("* differential.element[",'Diag-1'!A34,"].type.code = #",'Diag-1'!G34,"")</f>
        <v>* differential.element[28].type.code = #CodeableConcept</v>
      </c>
    </row>
    <row r="30" spans="2:9" ht="177" x14ac:dyDescent="0.75">
      <c r="B30" s="116" t="str">
        <f>CONCATENATE("* differential.element[",'Diag-1'!$A35,"].id = """,'Diag-1'!$B$6,".",'Diag-1'!B35,"""")</f>
        <v>* differential.element[29].id = "Diagnosis.hereditaryPredisposition"</v>
      </c>
      <c r="C30" s="116" t="str">
        <f>CONCATENATE("* differential.element[",'Diag-1'!$A35,"].path = """,'Diag-1'!$B$6,".",'Diag-1'!B35,"""")</f>
        <v>* differential.element[29].path = "Diagnosis.hereditaryPredisposition"</v>
      </c>
      <c r="D30" s="116" t="str">
        <f>CONCATENATE("* differential.element[",'Diag-1'!A35,"].short = """,'Diag-1'!C35,"""")</f>
        <v>* differential.element[29].short = "Hereditary Cancer Predisposition"</v>
      </c>
      <c r="E30" s="116" t="str">
        <f>CONCATENATE("* differential.element[",'Diag-1'!A35,"].definition = """,'Diag-1'!D35,"""")</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c r="F30" s="116" t="str">
        <f>CONCATENATE("* differential.element[",'Diag-1'!A35,"].min = ",'Diag-1'!E35,"")</f>
        <v>* differential.element[29].min = 0</v>
      </c>
      <c r="G30" s="116" t="str">
        <f>CONCATENATE("* differential.element[",'Diag-1'!A35,"].max = """,'Diag-1'!F35,"""")</f>
        <v>* differential.element[29].max = "*"</v>
      </c>
      <c r="H30" s="116" t="str">
        <f>CONCATENATE("* differential.element[",'Diag-1'!A35,"].type.code = #",'Diag-1'!G35,"")</f>
        <v>* differential.element[29].type.code = #CodeableConcept</v>
      </c>
    </row>
    <row r="31" spans="2:9" ht="44.25" x14ac:dyDescent="0.75">
      <c r="B31" s="116" t="str">
        <f>CONCATENATE("* differential.element[",'Diag-1'!$A36,"].id = """,'Diag-1'!$B$6,".",'Diag-1'!B36,"""")</f>
        <v>* differential.element[30].id = "Diagnosis.notes"</v>
      </c>
      <c r="C31" s="116" t="str">
        <f>CONCATENATE("* differential.element[",'Diag-1'!$A36,"].path = """,'Diag-1'!$B$6,".",'Diag-1'!B36,"""")</f>
        <v>* differential.element[30].path = "Diagnosis.notes"</v>
      </c>
      <c r="D31" s="116" t="str">
        <f>CONCATENATE("* differential.element[",'Diag-1'!A36,"].short = """,'Diag-1'!C36,"""")</f>
        <v>* differential.element[30].short = "Notes"</v>
      </c>
      <c r="E31" s="116" t="str">
        <f>CONCATENATE("* differential.element[",'Diag-1'!A36,"].definition = """,'Diag-1'!D36,"""")</f>
        <v>* differential.element[30].definition = "Notes"</v>
      </c>
      <c r="F31" s="116" t="str">
        <f>CONCATENATE("* differential.element[",'Diag-1'!A36,"].min = ",'Diag-1'!E36,"")</f>
        <v>* differential.element[30].min = 0</v>
      </c>
      <c r="G31" s="116" t="str">
        <f>CONCATENATE("* differential.element[",'Diag-1'!A36,"].max = """,'Diag-1'!F36,"""")</f>
        <v>* differential.element[30].max = "*"</v>
      </c>
      <c r="H31" s="116" t="str">
        <f>CONCATENATE("* differential.element[",'Diag-1'!A36,"].type.code = #",'Diag-1'!G36,"")</f>
        <v>* differential.element[30].type.code = #string</v>
      </c>
    </row>
    <row r="32" spans="2:9" x14ac:dyDescent="0.75">
      <c r="B32" s="116"/>
      <c r="C32" s="116"/>
      <c r="D32" s="116"/>
      <c r="E32" s="116"/>
      <c r="F32" s="116"/>
      <c r="G32" s="116"/>
      <c r="H32" s="116"/>
    </row>
    <row r="33" spans="2:8" x14ac:dyDescent="0.75">
      <c r="B33" s="116"/>
      <c r="C33" s="116"/>
      <c r="D33" s="116"/>
      <c r="E33" s="116"/>
      <c r="F33" s="116"/>
      <c r="G33" s="116"/>
      <c r="H33" s="116"/>
    </row>
    <row r="34" spans="2:8" x14ac:dyDescent="0.75">
      <c r="B34" s="116"/>
      <c r="C34" s="116"/>
      <c r="D34" s="116"/>
      <c r="E34" s="116"/>
      <c r="F34" s="116"/>
      <c r="G34" s="116"/>
      <c r="H34" s="116"/>
    </row>
    <row r="35" spans="2:8" x14ac:dyDescent="0.75">
      <c r="B35" s="116"/>
      <c r="C35" s="116"/>
      <c r="D35" s="116"/>
      <c r="E35" s="116"/>
      <c r="F35" s="116"/>
      <c r="G35" s="116"/>
      <c r="H35" s="116"/>
    </row>
    <row r="36" spans="2:8" x14ac:dyDescent="0.75">
      <c r="B36" s="116"/>
      <c r="C36" s="116"/>
      <c r="D36" s="116"/>
      <c r="E36" s="116"/>
      <c r="F36" s="116"/>
      <c r="G36" s="116"/>
      <c r="H36" s="116"/>
    </row>
    <row r="37" spans="2:8" x14ac:dyDescent="0.75">
      <c r="B37" s="116"/>
      <c r="C37" s="116"/>
      <c r="D37" s="116"/>
      <c r="E37" s="116"/>
      <c r="F37" s="116"/>
      <c r="G37" s="116"/>
      <c r="H37" s="116"/>
    </row>
    <row r="38" spans="2:8" x14ac:dyDescent="0.75">
      <c r="B38" s="116"/>
      <c r="C38" s="116"/>
      <c r="D38" s="116"/>
      <c r="E38" s="116"/>
      <c r="F38" s="116"/>
      <c r="G38" s="116"/>
      <c r="H38" s="116"/>
    </row>
    <row r="39" spans="2:8" x14ac:dyDescent="0.75">
      <c r="B39" s="116"/>
      <c r="C39" s="116"/>
      <c r="D39" s="116"/>
      <c r="E39" s="116"/>
      <c r="F39" s="116"/>
      <c r="G39" s="116"/>
      <c r="H39" s="116"/>
    </row>
    <row r="40" spans="2:8" x14ac:dyDescent="0.75">
      <c r="B40" s="116"/>
      <c r="C40" s="116"/>
      <c r="D40" s="116"/>
      <c r="E40" s="116"/>
      <c r="F40" s="116"/>
      <c r="G40" s="116"/>
      <c r="H40" s="116"/>
    </row>
    <row r="41" spans="2:8" x14ac:dyDescent="0.75">
      <c r="B41" s="116"/>
      <c r="C41" s="116"/>
      <c r="D41" s="116"/>
      <c r="E41" s="116"/>
      <c r="F41" s="116"/>
      <c r="G41" s="116"/>
      <c r="H41" s="116"/>
    </row>
    <row r="42" spans="2:8" x14ac:dyDescent="0.75">
      <c r="B42" s="116"/>
      <c r="C42" s="116"/>
      <c r="D42" s="116"/>
      <c r="E42" s="116"/>
      <c r="F42" s="116"/>
      <c r="G42" s="116"/>
      <c r="H42" s="116"/>
    </row>
    <row r="43" spans="2:8" x14ac:dyDescent="0.75">
      <c r="B43" s="116"/>
      <c r="C43" s="116"/>
      <c r="D43" s="116"/>
      <c r="E43" s="116"/>
      <c r="F43" s="116"/>
      <c r="G43" s="116"/>
      <c r="H43" s="116"/>
    </row>
    <row r="44" spans="2:8" x14ac:dyDescent="0.75">
      <c r="B44" s="116"/>
      <c r="C44" s="116"/>
      <c r="D44" s="116"/>
      <c r="E44" s="116"/>
      <c r="F44" s="116"/>
      <c r="G44" s="116"/>
      <c r="H44" s="116"/>
    </row>
    <row r="45" spans="2:8" x14ac:dyDescent="0.75">
      <c r="B45" s="116"/>
      <c r="C45" s="116"/>
      <c r="D45" s="116"/>
      <c r="E45" s="116"/>
      <c r="F45" s="116"/>
      <c r="G45" s="116"/>
      <c r="H45" s="116"/>
    </row>
    <row r="46" spans="2:8" x14ac:dyDescent="0.75">
      <c r="B46" s="116"/>
      <c r="C46" s="116"/>
      <c r="D46" s="116"/>
      <c r="E46" s="116"/>
      <c r="F46" s="116"/>
      <c r="G46" s="116"/>
      <c r="H46" s="116"/>
    </row>
    <row r="47" spans="2:8" x14ac:dyDescent="0.75">
      <c r="B47" s="116"/>
      <c r="C47" s="116"/>
      <c r="D47" s="116"/>
      <c r="E47" s="116"/>
      <c r="F47" s="116"/>
      <c r="G47" s="116"/>
      <c r="H47" s="116"/>
    </row>
    <row r="48" spans="2:8" x14ac:dyDescent="0.75">
      <c r="B48" s="116"/>
      <c r="C48" s="116"/>
      <c r="D48" s="116"/>
      <c r="E48" s="116"/>
      <c r="F48" s="116"/>
      <c r="G48" s="116"/>
      <c r="H48" s="116"/>
    </row>
    <row r="49" spans="2:8" x14ac:dyDescent="0.75">
      <c r="B49" s="116"/>
      <c r="C49" s="116"/>
      <c r="D49" s="116"/>
      <c r="E49" s="116"/>
      <c r="F49" s="116"/>
      <c r="G49" s="116"/>
      <c r="H49" s="116"/>
    </row>
    <row r="50" spans="2:8" x14ac:dyDescent="0.75">
      <c r="B50" s="116"/>
      <c r="C50" s="116"/>
      <c r="D50" s="116"/>
      <c r="E50" s="116"/>
      <c r="F50" s="116"/>
      <c r="G50" s="116"/>
      <c r="H50" s="116"/>
    </row>
    <row r="51" spans="2:8" x14ac:dyDescent="0.75">
      <c r="B51" s="116"/>
      <c r="C51" s="116"/>
      <c r="D51" s="116"/>
      <c r="E51" s="116"/>
      <c r="F51" s="116"/>
      <c r="G51" s="116"/>
      <c r="H51" s="116"/>
    </row>
    <row r="52" spans="2:8" x14ac:dyDescent="0.75">
      <c r="B52" s="116"/>
      <c r="C52" s="116"/>
      <c r="D52" s="116"/>
      <c r="E52" s="116"/>
      <c r="F52" s="116"/>
      <c r="G52" s="116"/>
      <c r="H52" s="116"/>
    </row>
    <row r="53" spans="2:8" x14ac:dyDescent="0.75">
      <c r="B53" s="116"/>
      <c r="C53" s="116"/>
      <c r="D53" s="116"/>
      <c r="E53" s="116"/>
      <c r="F53" s="116"/>
      <c r="G53" s="116"/>
      <c r="H53" s="116"/>
    </row>
    <row r="54" spans="2:8" x14ac:dyDescent="0.75">
      <c r="B54" s="116"/>
      <c r="C54" s="116"/>
      <c r="D54" s="116"/>
      <c r="E54" s="116"/>
      <c r="F54" s="116"/>
      <c r="G54" s="116"/>
      <c r="H54" s="116"/>
    </row>
    <row r="55" spans="2:8" x14ac:dyDescent="0.75">
      <c r="B55" s="116"/>
      <c r="C55" s="116"/>
      <c r="D55" s="116"/>
      <c r="E55" s="116"/>
      <c r="F55" s="116"/>
      <c r="G55" s="116"/>
      <c r="H55" s="116"/>
    </row>
    <row r="56" spans="2:8" x14ac:dyDescent="0.75">
      <c r="B56" s="116"/>
      <c r="C56" s="116"/>
      <c r="D56" s="116"/>
      <c r="E56" s="116"/>
      <c r="F56" s="116"/>
      <c r="G56" s="116"/>
      <c r="H56" s="116"/>
    </row>
    <row r="57" spans="2:8" x14ac:dyDescent="0.75">
      <c r="B57" s="116"/>
      <c r="C57" s="116"/>
      <c r="D57" s="116"/>
      <c r="E57" s="116"/>
      <c r="F57" s="116"/>
      <c r="G57" s="116"/>
      <c r="H57" s="116"/>
    </row>
    <row r="58" spans="2:8" x14ac:dyDescent="0.75">
      <c r="B58" s="116"/>
      <c r="C58" s="116"/>
      <c r="D58" s="116"/>
      <c r="E58" s="116"/>
      <c r="F58" s="116"/>
      <c r="G58" s="116"/>
      <c r="H58" s="116"/>
    </row>
    <row r="59" spans="2:8" x14ac:dyDescent="0.75">
      <c r="B59" s="116"/>
      <c r="C59" s="116"/>
      <c r="D59" s="116"/>
      <c r="E59" s="116"/>
      <c r="F59" s="116"/>
      <c r="G59" s="116"/>
      <c r="H59" s="116"/>
    </row>
    <row r="60" spans="2:8" x14ac:dyDescent="0.75">
      <c r="B60" s="116"/>
      <c r="C60" s="116"/>
      <c r="D60" s="116"/>
      <c r="E60" s="116"/>
      <c r="F60" s="116"/>
      <c r="G60" s="116"/>
      <c r="H60" s="116"/>
    </row>
    <row r="61" spans="2:8" x14ac:dyDescent="0.75">
      <c r="B61" s="116"/>
      <c r="C61" s="116"/>
      <c r="D61" s="116"/>
      <c r="E61" s="116"/>
      <c r="F61" s="116"/>
      <c r="G61" s="116"/>
      <c r="H61" s="116"/>
    </row>
    <row r="62" spans="2:8" x14ac:dyDescent="0.75">
      <c r="B62" s="116"/>
      <c r="C62" s="116"/>
      <c r="D62" s="116"/>
      <c r="E62" s="116"/>
      <c r="F62" s="116"/>
      <c r="G62" s="116"/>
      <c r="H62" s="116"/>
    </row>
    <row r="63" spans="2:8" x14ac:dyDescent="0.75">
      <c r="B63" s="116"/>
      <c r="C63" s="116"/>
      <c r="D63" s="116"/>
      <c r="E63" s="116"/>
      <c r="F63" s="116"/>
      <c r="G63" s="116"/>
      <c r="H63" s="116"/>
    </row>
    <row r="64" spans="2:8" x14ac:dyDescent="0.75">
      <c r="B64" s="116"/>
      <c r="C64" s="116"/>
      <c r="D64" s="116"/>
      <c r="E64" s="116"/>
      <c r="F64" s="116"/>
      <c r="G64" s="116"/>
      <c r="H64" s="116"/>
    </row>
    <row r="65" spans="2:8" x14ac:dyDescent="0.75">
      <c r="B65" s="116"/>
      <c r="C65" s="116"/>
      <c r="D65" s="116"/>
      <c r="E65" s="116"/>
      <c r="F65" s="116"/>
      <c r="G65" s="116"/>
      <c r="H65" s="116"/>
    </row>
    <row r="66" spans="2:8" x14ac:dyDescent="0.75">
      <c r="B66" s="116"/>
      <c r="C66" s="116"/>
      <c r="D66" s="116"/>
      <c r="E66" s="116"/>
      <c r="F66" s="116"/>
      <c r="G66" s="116"/>
      <c r="H66" s="116"/>
    </row>
    <row r="67" spans="2:8" x14ac:dyDescent="0.75">
      <c r="B67" s="116"/>
      <c r="C67" s="116"/>
      <c r="D67" s="116"/>
      <c r="E67" s="116"/>
      <c r="F67" s="116"/>
      <c r="G67" s="116"/>
      <c r="H67" s="116"/>
    </row>
    <row r="68" spans="2:8" x14ac:dyDescent="0.75">
      <c r="B68" s="116"/>
      <c r="C68" s="116"/>
      <c r="D68" s="116"/>
      <c r="E68" s="116"/>
      <c r="F68" s="116"/>
      <c r="G68" s="116"/>
      <c r="H68" s="116"/>
    </row>
    <row r="69" spans="2:8" x14ac:dyDescent="0.75">
      <c r="B69" s="116"/>
      <c r="C69" s="116"/>
      <c r="D69" s="116"/>
      <c r="E69" s="116"/>
      <c r="F69" s="116"/>
      <c r="G69" s="116"/>
      <c r="H69" s="116"/>
    </row>
    <row r="70" spans="2:8" x14ac:dyDescent="0.75">
      <c r="B70" s="116"/>
      <c r="C70" s="116"/>
      <c r="D70" s="116"/>
      <c r="E70" s="116"/>
      <c r="F70" s="116"/>
      <c r="G70" s="116"/>
      <c r="H70" s="116"/>
    </row>
    <row r="71" spans="2:8" x14ac:dyDescent="0.75">
      <c r="B71" s="116"/>
      <c r="C71" s="116"/>
      <c r="D71" s="116"/>
      <c r="E71" s="116"/>
      <c r="F71" s="116"/>
      <c r="G71" s="116"/>
      <c r="H71" s="116"/>
    </row>
    <row r="72" spans="2:8" x14ac:dyDescent="0.75">
      <c r="B72" s="116"/>
      <c r="C72" s="116"/>
      <c r="D72" s="116"/>
      <c r="E72" s="116"/>
      <c r="F72" s="116"/>
      <c r="G72" s="116"/>
      <c r="H72" s="116"/>
    </row>
    <row r="73" spans="2:8" x14ac:dyDescent="0.75">
      <c r="B73" s="116"/>
      <c r="C73" s="116"/>
      <c r="D73" s="116"/>
      <c r="E73" s="116"/>
      <c r="F73" s="116"/>
      <c r="G73" s="116"/>
      <c r="H73" s="116"/>
    </row>
    <row r="74" spans="2:8" x14ac:dyDescent="0.75">
      <c r="B74" s="116"/>
      <c r="C74" s="116"/>
      <c r="D74" s="116"/>
      <c r="E74" s="116"/>
      <c r="F74" s="116"/>
      <c r="G74" s="116"/>
      <c r="H74" s="116"/>
    </row>
    <row r="75" spans="2:8" x14ac:dyDescent="0.75">
      <c r="B75" s="116"/>
      <c r="C75" s="116"/>
      <c r="D75" s="116"/>
      <c r="E75" s="116"/>
      <c r="F75" s="116"/>
      <c r="G75" s="116"/>
      <c r="H75" s="116"/>
    </row>
    <row r="76" spans="2:8" x14ac:dyDescent="0.75">
      <c r="B76" s="116"/>
      <c r="C76" s="116"/>
      <c r="D76" s="116"/>
      <c r="E76" s="116"/>
      <c r="F76" s="116"/>
      <c r="G76" s="116"/>
      <c r="H76" s="116"/>
    </row>
    <row r="77" spans="2:8" x14ac:dyDescent="0.75">
      <c r="B77" s="116"/>
      <c r="C77" s="116"/>
      <c r="D77" s="116"/>
      <c r="E77" s="116"/>
      <c r="F77" s="116"/>
      <c r="G77" s="116"/>
      <c r="H77" s="116"/>
    </row>
    <row r="78" spans="2:8" x14ac:dyDescent="0.75">
      <c r="B78" s="116"/>
      <c r="C78" s="116"/>
      <c r="D78" s="116"/>
      <c r="E78" s="116"/>
      <c r="F78" s="116"/>
      <c r="G78" s="116"/>
      <c r="H78" s="116"/>
    </row>
    <row r="79" spans="2:8" x14ac:dyDescent="0.75">
      <c r="B79" s="116"/>
      <c r="C79" s="116"/>
      <c r="D79" s="116"/>
      <c r="E79" s="116"/>
      <c r="F79" s="116"/>
      <c r="G79" s="116"/>
      <c r="H79" s="116"/>
    </row>
    <row r="80" spans="2:8" x14ac:dyDescent="0.75">
      <c r="B80" s="116"/>
      <c r="C80" s="116"/>
      <c r="D80" s="116"/>
      <c r="E80" s="116"/>
      <c r="F80" s="116"/>
      <c r="G80" s="116"/>
      <c r="H80" s="116"/>
    </row>
    <row r="81" spans="2:8" x14ac:dyDescent="0.75">
      <c r="B81" s="116"/>
      <c r="C81" s="116"/>
      <c r="D81" s="116"/>
      <c r="E81" s="116"/>
      <c r="F81" s="116"/>
      <c r="G81" s="116"/>
      <c r="H81" s="116"/>
    </row>
    <row r="82" spans="2:8" x14ac:dyDescent="0.75">
      <c r="B82" s="116"/>
      <c r="C82" s="116"/>
      <c r="D82" s="116"/>
      <c r="E82" s="116"/>
      <c r="F82" s="116"/>
      <c r="G82" s="116"/>
      <c r="H82" s="116"/>
    </row>
    <row r="83" spans="2:8" x14ac:dyDescent="0.75">
      <c r="B83" s="116"/>
      <c r="C83" s="116"/>
      <c r="D83" s="116"/>
      <c r="E83" s="116"/>
      <c r="F83" s="116"/>
      <c r="G83" s="116"/>
      <c r="H83" s="116"/>
    </row>
    <row r="84" spans="2:8" x14ac:dyDescent="0.75">
      <c r="B84" s="116"/>
      <c r="C84" s="116"/>
      <c r="D84" s="116"/>
      <c r="E84" s="116"/>
      <c r="F84" s="116"/>
      <c r="G84" s="116"/>
      <c r="H84" s="116"/>
    </row>
    <row r="85" spans="2:8" x14ac:dyDescent="0.75">
      <c r="B85" s="116"/>
      <c r="C85" s="116"/>
      <c r="D85" s="116"/>
      <c r="E85" s="116"/>
      <c r="F85" s="116"/>
      <c r="G85" s="116"/>
      <c r="H85" s="116"/>
    </row>
    <row r="86" spans="2:8" x14ac:dyDescent="0.75">
      <c r="B86" s="116"/>
      <c r="C86" s="116"/>
      <c r="D86" s="116"/>
      <c r="E86" s="116"/>
      <c r="F86" s="116"/>
      <c r="G86" s="116"/>
      <c r="H86" s="116"/>
    </row>
    <row r="87" spans="2:8" x14ac:dyDescent="0.75">
      <c r="B87" s="116"/>
      <c r="C87" s="116"/>
      <c r="D87" s="116"/>
      <c r="E87" s="116"/>
      <c r="F87" s="116"/>
      <c r="G87" s="116"/>
      <c r="H87" s="116"/>
    </row>
    <row r="88" spans="2:8" x14ac:dyDescent="0.75">
      <c r="B88" s="116"/>
      <c r="C88" s="116"/>
      <c r="D88" s="116"/>
      <c r="E88" s="116"/>
      <c r="F88" s="116"/>
      <c r="G88" s="116"/>
      <c r="H88" s="116"/>
    </row>
    <row r="89" spans="2:8" x14ac:dyDescent="0.75">
      <c r="B89" s="116"/>
      <c r="C89" s="116"/>
      <c r="D89" s="116"/>
      <c r="E89" s="116"/>
      <c r="F89" s="116"/>
      <c r="G89" s="116"/>
      <c r="H89" s="116"/>
    </row>
    <row r="90" spans="2:8" x14ac:dyDescent="0.75">
      <c r="B90" s="116"/>
      <c r="C90" s="116"/>
      <c r="D90" s="116"/>
      <c r="E90" s="116"/>
      <c r="F90" s="116"/>
      <c r="G90" s="116"/>
      <c r="H90" s="116"/>
    </row>
    <row r="91" spans="2:8" x14ac:dyDescent="0.75">
      <c r="B91" s="116"/>
      <c r="C91" s="116"/>
      <c r="D91" s="116"/>
      <c r="E91" s="116"/>
      <c r="F91" s="116"/>
      <c r="G91" s="116"/>
      <c r="H91" s="116"/>
    </row>
    <row r="92" spans="2:8" x14ac:dyDescent="0.75">
      <c r="B92" s="116"/>
      <c r="C92" s="116"/>
      <c r="D92" s="116"/>
      <c r="E92" s="116"/>
      <c r="F92" s="116"/>
      <c r="G92" s="116"/>
      <c r="H92" s="116"/>
    </row>
    <row r="93" spans="2:8" x14ac:dyDescent="0.75">
      <c r="B93" s="116"/>
      <c r="C93" s="116"/>
      <c r="D93" s="116"/>
      <c r="E93" s="116"/>
      <c r="F93" s="116"/>
      <c r="G93" s="116"/>
      <c r="H93" s="116"/>
    </row>
    <row r="94" spans="2:8" x14ac:dyDescent="0.75">
      <c r="B94" s="116"/>
      <c r="C94" s="116"/>
      <c r="D94" s="116"/>
      <c r="E94" s="116"/>
      <c r="F94" s="116"/>
      <c r="G94" s="116"/>
      <c r="H94" s="116"/>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topLeftCell="A40" workbookViewId="0">
      <selection activeCell="D9" sqref="D9"/>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4:5" x14ac:dyDescent="0.75">
      <c r="D2" s="16" t="str">
        <f>CONCATENATE("Instance: ",'Diag-1'!B6)</f>
        <v>Instance: Diagnosis</v>
      </c>
    </row>
    <row r="3" spans="4:5" x14ac:dyDescent="0.75">
      <c r="D3" s="16" t="s">
        <v>25</v>
      </c>
    </row>
    <row r="4" spans="4:5" x14ac:dyDescent="0.75">
      <c r="D4" s="16" t="str">
        <f>CONCATENATE("Description: """,'Diag-1'!D2,"""")</f>
        <v>Description: "Diagnosis"</v>
      </c>
      <c r="E4" s="16"/>
    </row>
    <row r="5" spans="4:5" x14ac:dyDescent="0.75">
      <c r="D5" s="16" t="str">
        <f>CONCATENATE("Title: """,'Diag-1'!C2,"""")</f>
        <v>Title: "Diagnosis"</v>
      </c>
      <c r="E5" s="16"/>
    </row>
    <row r="6" spans="4:5" x14ac:dyDescent="0.75">
      <c r="D6" s="16" t="s">
        <v>26</v>
      </c>
      <c r="E6" s="16"/>
    </row>
    <row r="7" spans="4:5" x14ac:dyDescent="0.75">
      <c r="D7" s="16"/>
      <c r="E7" s="16"/>
    </row>
    <row r="8" spans="4:5" x14ac:dyDescent="0.75">
      <c r="D8" s="16" t="str">
        <f>CONCATENATE("* publisher = """,'Diag-1'!B4,"""")</f>
        <v>* publisher = "PanCareSurPass project"</v>
      </c>
      <c r="E8" s="16"/>
    </row>
    <row r="9" spans="4:5" x14ac:dyDescent="0.75">
      <c r="D9" s="16" t="s">
        <v>27</v>
      </c>
      <c r="E9" s="16"/>
    </row>
    <row r="10" spans="4:5" x14ac:dyDescent="0.75">
      <c r="D10" s="16" t="str">
        <f>CONCATENATE("* url = """,'Diag-1'!B2,"/StructureDefinition/",'Diag-1'!B6,"""")</f>
        <v>* url = "http://hl7.eu/fhir/ig/pcsp/StructureDefinition/Diagnosis"</v>
      </c>
      <c r="E10" s="16"/>
    </row>
    <row r="11" spans="4:5" x14ac:dyDescent="0.75">
      <c r="D11" s="16" t="str">
        <f>CONCATENATE("* name = """,'Diag-1'!C4,"""")</f>
        <v>* name = "Diagnosis"</v>
      </c>
      <c r="E11" s="16"/>
    </row>
    <row r="12" spans="4:5" x14ac:dyDescent="0.75">
      <c r="D12" s="16" t="str">
        <f>CONCATENATE("* title = """,'Diag-1'!C2,"""")</f>
        <v>* title = "Diagnosis"</v>
      </c>
      <c r="E12" s="16"/>
    </row>
    <row r="13" spans="4:5" x14ac:dyDescent="0.75">
      <c r="D13" s="16" t="s">
        <v>27</v>
      </c>
      <c r="E13" s="16"/>
    </row>
    <row r="14" spans="4:5" x14ac:dyDescent="0.75">
      <c r="D14" s="16" t="s">
        <v>28</v>
      </c>
      <c r="E14" s="16"/>
    </row>
    <row r="15" spans="4:5" x14ac:dyDescent="0.75">
      <c r="D15" s="16" t="str">
        <f>CONCATENATE("* description = """,'Diag-1'!D2,"""")</f>
        <v>* description = "Diagnosis"</v>
      </c>
      <c r="E15" s="16"/>
    </row>
    <row r="16" spans="4:5" x14ac:dyDescent="0.75">
      <c r="D16" s="16" t="s">
        <v>29</v>
      </c>
      <c r="E16" s="16"/>
    </row>
    <row r="18" spans="2:7" x14ac:dyDescent="0.75">
      <c r="C18" s="113">
        <v>0</v>
      </c>
      <c r="D18" s="48" t="str">
        <f>CONCATENATE("* mapping[",C18,"].identity = """,'BaseMap-1'!F1,"""")</f>
        <v>* mapping[0].identity = "fhir"</v>
      </c>
      <c r="G18" s="114" t="s">
        <v>53</v>
      </c>
    </row>
    <row r="19" spans="2:7" x14ac:dyDescent="0.75">
      <c r="B19" s="49" t="s">
        <v>55</v>
      </c>
      <c r="C19" s="113">
        <v>0</v>
      </c>
      <c r="D19" s="48" t="str">
        <f>CONCATENATE("* mapping[",C19,"].uri = """,'BaseMap-1'!F2,"""")</f>
        <v>* mapping[0].uri = "hl7.org/fhir/r4"</v>
      </c>
      <c r="G19" s="114" t="s">
        <v>54</v>
      </c>
    </row>
    <row r="20" spans="2:7" x14ac:dyDescent="0.75">
      <c r="C20" s="113">
        <v>0</v>
      </c>
      <c r="D20" s="48" t="str">
        <f>CONCATENATE("* mapping[",C20,"].name = """,'BaseMap-1'!D2,"""")</f>
        <v>* mapping[0].name = "FHIR"</v>
      </c>
      <c r="G20" s="114" t="s">
        <v>56</v>
      </c>
    </row>
    <row r="22" spans="2:7" x14ac:dyDescent="0.75">
      <c r="D22" s="16" t="s">
        <v>30</v>
      </c>
      <c r="E22" s="16"/>
    </row>
    <row r="23" spans="2:7" x14ac:dyDescent="0.75">
      <c r="D23" s="16" t="s">
        <v>67</v>
      </c>
      <c r="E23" s="16"/>
    </row>
    <row r="24" spans="2:7" x14ac:dyDescent="0.75">
      <c r="D24" s="16" t="str">
        <f>CONCATENATE("* type = """,'Diag-1'!B6,"""")</f>
        <v>* type = "Diagnosis"</v>
      </c>
      <c r="E24" s="16"/>
    </row>
    <row r="25" spans="2:7" x14ac:dyDescent="0.75">
      <c r="D25" s="16" t="s">
        <v>31</v>
      </c>
    </row>
    <row r="26" spans="2:7" x14ac:dyDescent="0.75">
      <c r="D26" s="16" t="s">
        <v>32</v>
      </c>
    </row>
    <row r="28" spans="2:7" x14ac:dyDescent="0.75">
      <c r="D28" s="34" t="str">
        <f>'Diag-2'!B1</f>
        <v>* differential.element[0].id = "Diagnosis"</v>
      </c>
    </row>
    <row r="29" spans="2:7" x14ac:dyDescent="0.75">
      <c r="D29" s="34" t="str">
        <f>'Diag-2'!C1</f>
        <v>* differential.element[0].path = "Diagnosis"</v>
      </c>
    </row>
    <row r="30" spans="2:7" x14ac:dyDescent="0.75">
      <c r="D30" s="34" t="str">
        <f>'Diag-2'!D1</f>
        <v>* differential.element[0].short = "Diagnosis"</v>
      </c>
    </row>
    <row r="31" spans="2:7" x14ac:dyDescent="0.75">
      <c r="D31" s="34" t="str">
        <f>'Diag-2'!E1</f>
        <v>* differential.element[0].definition = "Diagnosis"</v>
      </c>
    </row>
    <row r="32" spans="2:7" x14ac:dyDescent="0.75">
      <c r="D32" s="34" t="str">
        <f>'Diag-2'!F1</f>
        <v>* differential.element[0].min = 1</v>
      </c>
    </row>
    <row r="33" spans="1:4" x14ac:dyDescent="0.75">
      <c r="D33" s="34" t="str">
        <f>'Diag-2'!G1</f>
        <v>* differential.element[0].max = "1"</v>
      </c>
    </row>
    <row r="34" spans="1:4" x14ac:dyDescent="0.75">
      <c r="D34" s="8"/>
    </row>
    <row r="35" spans="1:4" x14ac:dyDescent="0.75">
      <c r="A35" s="115">
        <v>1</v>
      </c>
      <c r="B35" s="115">
        <f>IF(MOD(A35,7)=0,A35/7-1,INT(A35/7))</f>
        <v>0</v>
      </c>
      <c r="C35" s="115">
        <f>IF(MOD(A35,7)=0,7,MOD(A35,7))</f>
        <v>1</v>
      </c>
      <c r="D35" s="116" t="str" cm="1">
        <f t="array" ref="D35">INDEX('Diag-2'!$B$2:$H$41,1+B35,C35)</f>
        <v>* differential.element[1].id = "Diagnosis.identifier"</v>
      </c>
    </row>
    <row r="36" spans="1:4" x14ac:dyDescent="0.75">
      <c r="A36" s="115">
        <v>2</v>
      </c>
      <c r="B36" s="115">
        <f t="shared" ref="B36:B99" si="0">IF(MOD(A36,7)=0,A36/7-1,INT(A36/7))</f>
        <v>0</v>
      </c>
      <c r="C36" s="115">
        <f t="shared" ref="C36:C99" si="1">IF(MOD(A36,7)=0,7,MOD(A36,7))</f>
        <v>2</v>
      </c>
      <c r="D36" s="116" t="str" cm="1">
        <f t="array" ref="D36">INDEX('Diag-2'!$B$2:$H$41,1+B36,C36)</f>
        <v>* differential.element[1].path = "Diagnosis.identifier"</v>
      </c>
    </row>
    <row r="37" spans="1:4" x14ac:dyDescent="0.75">
      <c r="A37" s="115">
        <v>3</v>
      </c>
      <c r="B37" s="115">
        <f t="shared" si="0"/>
        <v>0</v>
      </c>
      <c r="C37" s="115">
        <f t="shared" si="1"/>
        <v>3</v>
      </c>
      <c r="D37" s="116" t="str" cm="1">
        <f t="array" ref="D37">INDEX('Diag-2'!$B$2:$H$41,1+B37,C37)</f>
        <v>* differential.element[1].short = "ID"</v>
      </c>
    </row>
    <row r="38" spans="1:4" x14ac:dyDescent="0.75">
      <c r="A38" s="115">
        <v>4</v>
      </c>
      <c r="B38" s="115">
        <f t="shared" si="0"/>
        <v>0</v>
      </c>
      <c r="C38" s="115">
        <f t="shared" si="1"/>
        <v>4</v>
      </c>
      <c r="D38" s="116" t="str" cm="1">
        <f t="array" ref="D38">INDEX('Diag-2'!$B$2:$H$41,1+B38,C38)</f>
        <v>* differential.element[1].definition = "diagnosis identifier"</v>
      </c>
    </row>
    <row r="39" spans="1:4" x14ac:dyDescent="0.75">
      <c r="A39" s="115">
        <v>5</v>
      </c>
      <c r="B39" s="115">
        <f t="shared" si="0"/>
        <v>0</v>
      </c>
      <c r="C39" s="115">
        <f t="shared" si="1"/>
        <v>5</v>
      </c>
      <c r="D39" s="116" t="str" cm="1">
        <f t="array" ref="D39">INDEX('Diag-2'!$B$2:$H$41,1+B39,C39)</f>
        <v>* differential.element[1].min = 1</v>
      </c>
    </row>
    <row r="40" spans="1:4" x14ac:dyDescent="0.75">
      <c r="A40" s="115">
        <v>6</v>
      </c>
      <c r="B40" s="115">
        <f t="shared" si="0"/>
        <v>0</v>
      </c>
      <c r="C40" s="115">
        <f t="shared" si="1"/>
        <v>6</v>
      </c>
      <c r="D40" s="116" t="str" cm="1">
        <f t="array" ref="D40">INDEX('Diag-2'!$B$2:$H$41,1+B40,C40)</f>
        <v>* differential.element[1].max = "*"</v>
      </c>
    </row>
    <row r="41" spans="1:4" x14ac:dyDescent="0.75">
      <c r="A41" s="115">
        <v>7</v>
      </c>
      <c r="B41" s="115">
        <f t="shared" si="0"/>
        <v>0</v>
      </c>
      <c r="C41" s="115">
        <f t="shared" si="1"/>
        <v>7</v>
      </c>
      <c r="D41" s="116" t="str" cm="1">
        <f t="array" ref="D41">INDEX('Diag-2'!$B$2:$H$41,1+B41,C41)</f>
        <v>* differential.element[1].type.code = #Identifier</v>
      </c>
    </row>
    <row r="42" spans="1:4" x14ac:dyDescent="0.75">
      <c r="A42" s="115">
        <v>8</v>
      </c>
      <c r="B42" s="115">
        <f t="shared" si="0"/>
        <v>1</v>
      </c>
      <c r="C42" s="115">
        <f t="shared" si="1"/>
        <v>1</v>
      </c>
      <c r="D42" s="116" t="str" cm="1">
        <f t="array" ref="D42">INDEX('Diag-2'!$B$2:$H$41,1+B42,C42)</f>
        <v>* differential.element[2].id = "Diagnosis.dateOfDiagnosis"</v>
      </c>
    </row>
    <row r="43" spans="1:4" x14ac:dyDescent="0.75">
      <c r="A43" s="115">
        <v>9</v>
      </c>
      <c r="B43" s="115">
        <f t="shared" si="0"/>
        <v>1</v>
      </c>
      <c r="C43" s="115">
        <f t="shared" si="1"/>
        <v>2</v>
      </c>
      <c r="D43" s="116" t="str" cm="1">
        <f t="array" ref="D43">INDEX('Diag-2'!$B$2:$H$41,1+B43,C43)</f>
        <v>* differential.element[2].path = "Diagnosis.dateOfDiagnosis"</v>
      </c>
    </row>
    <row r="44" spans="1:4" x14ac:dyDescent="0.75">
      <c r="A44" s="115">
        <v>10</v>
      </c>
      <c r="B44" s="115">
        <f t="shared" si="0"/>
        <v>1</v>
      </c>
      <c r="C44" s="115">
        <f t="shared" si="1"/>
        <v>3</v>
      </c>
      <c r="D44" s="116" t="str" cm="1">
        <f t="array" ref="D44">INDEX('Diag-2'!$B$2:$H$41,1+B44,C44)</f>
        <v>* differential.element[2].short = "Date of diagnosis"</v>
      </c>
    </row>
    <row r="45" spans="1:4" ht="59" x14ac:dyDescent="0.75">
      <c r="A45" s="115">
        <v>11</v>
      </c>
      <c r="B45" s="115">
        <f t="shared" si="0"/>
        <v>1</v>
      </c>
      <c r="C45" s="115">
        <f t="shared" si="1"/>
        <v>4</v>
      </c>
      <c r="D45" s="116" t="str" cm="1">
        <f t="array" ref="D45">INDEX('Diag-2'!$B$2:$H$41,1+B45,C45)</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row>
    <row r="46" spans="1:4" x14ac:dyDescent="0.75">
      <c r="A46" s="115">
        <v>12</v>
      </c>
      <c r="B46" s="115">
        <f t="shared" si="0"/>
        <v>1</v>
      </c>
      <c r="C46" s="115">
        <f t="shared" si="1"/>
        <v>5</v>
      </c>
      <c r="D46" s="116" t="str" cm="1">
        <f t="array" ref="D46">INDEX('Diag-2'!$B$2:$H$41,1+B46,C46)</f>
        <v>* differential.element[2].min = 0</v>
      </c>
    </row>
    <row r="47" spans="1:4" x14ac:dyDescent="0.75">
      <c r="A47" s="115">
        <v>13</v>
      </c>
      <c r="B47" s="115">
        <f t="shared" si="0"/>
        <v>1</v>
      </c>
      <c r="C47" s="115">
        <f t="shared" si="1"/>
        <v>6</v>
      </c>
      <c r="D47" s="116" t="str" cm="1">
        <f t="array" ref="D47">INDEX('Diag-2'!$B$2:$H$41,1+B47,C47)</f>
        <v>* differential.element[2].max = "*"</v>
      </c>
    </row>
    <row r="48" spans="1:4" x14ac:dyDescent="0.75">
      <c r="A48" s="115">
        <v>14</v>
      </c>
      <c r="B48" s="115">
        <f t="shared" si="0"/>
        <v>1</v>
      </c>
      <c r="C48" s="115">
        <f t="shared" si="1"/>
        <v>7</v>
      </c>
      <c r="D48" s="116" t="str" cm="1">
        <f t="array" ref="D48">INDEX('Diag-2'!$B$2:$H$41,1+B48,C48)</f>
        <v>* differential.element[2].type.code = #BackboneElement</v>
      </c>
    </row>
    <row r="49" spans="1:4" x14ac:dyDescent="0.75">
      <c r="A49" s="115">
        <v>15</v>
      </c>
      <c r="B49" s="115">
        <f t="shared" si="0"/>
        <v>2</v>
      </c>
      <c r="C49" s="115">
        <f t="shared" si="1"/>
        <v>1</v>
      </c>
      <c r="D49" s="116" t="str" cm="1">
        <f t="array" ref="D49">INDEX('Diag-2'!$B$2:$H$41,1+B49,C49)</f>
        <v>* differential.element[3].id = "Diagnosis.centerOfDiagnosis"</v>
      </c>
    </row>
    <row r="50" spans="1:4" x14ac:dyDescent="0.75">
      <c r="A50" s="115">
        <v>16</v>
      </c>
      <c r="B50" s="115">
        <f t="shared" si="0"/>
        <v>2</v>
      </c>
      <c r="C50" s="115">
        <f t="shared" si="1"/>
        <v>2</v>
      </c>
      <c r="D50" s="116" t="str" cm="1">
        <f t="array" ref="D50">INDEX('Diag-2'!$B$2:$H$41,1+B50,C50)</f>
        <v>* differential.element[3].path = "Diagnosis.centerOfDiagnosis"</v>
      </c>
    </row>
    <row r="51" spans="1:4" x14ac:dyDescent="0.75">
      <c r="A51" s="115">
        <v>17</v>
      </c>
      <c r="B51" s="115">
        <f t="shared" si="0"/>
        <v>2</v>
      </c>
      <c r="C51" s="115">
        <f t="shared" si="1"/>
        <v>3</v>
      </c>
      <c r="D51" s="116" t="str" cm="1">
        <f t="array" ref="D51">INDEX('Diag-2'!$B$2:$H$41,1+B51,C51)</f>
        <v>* differential.element[3].short = "Center of diagnosis"</v>
      </c>
    </row>
    <row r="52" spans="1:4" x14ac:dyDescent="0.75">
      <c r="A52" s="115">
        <v>18</v>
      </c>
      <c r="B52" s="115">
        <f t="shared" si="0"/>
        <v>2</v>
      </c>
      <c r="C52" s="115">
        <f t="shared" si="1"/>
        <v>4</v>
      </c>
      <c r="D52" s="116" t="str" cm="1">
        <f t="array" ref="D52">INDEX('Diag-2'!$B$2:$H$41,1+B52,C52)</f>
        <v>* differential.element[3].definition = "Institution in which the diagnosis was made."</v>
      </c>
    </row>
    <row r="53" spans="1:4" x14ac:dyDescent="0.75">
      <c r="A53" s="115">
        <v>19</v>
      </c>
      <c r="B53" s="115">
        <f t="shared" si="0"/>
        <v>2</v>
      </c>
      <c r="C53" s="115">
        <f t="shared" si="1"/>
        <v>5</v>
      </c>
      <c r="D53" s="116" t="str" cm="1">
        <f t="array" ref="D53">INDEX('Diag-2'!$B$2:$H$41,1+B53,C53)</f>
        <v>* differential.element[3].min = 0</v>
      </c>
    </row>
    <row r="54" spans="1:4" x14ac:dyDescent="0.75">
      <c r="A54" s="115">
        <v>20</v>
      </c>
      <c r="B54" s="115">
        <f t="shared" si="0"/>
        <v>2</v>
      </c>
      <c r="C54" s="115">
        <f t="shared" si="1"/>
        <v>6</v>
      </c>
      <c r="D54" s="116" t="str" cm="1">
        <f t="array" ref="D54">INDEX('Diag-2'!$B$2:$H$41,1+B54,C54)</f>
        <v>* differential.element[3].max = "*"</v>
      </c>
    </row>
    <row r="55" spans="1:4" x14ac:dyDescent="0.75">
      <c r="A55" s="115">
        <v>21</v>
      </c>
      <c r="B55" s="115">
        <f t="shared" si="0"/>
        <v>2</v>
      </c>
      <c r="C55" s="115">
        <f t="shared" si="1"/>
        <v>7</v>
      </c>
      <c r="D55" s="116" t="str" cm="1">
        <f t="array" ref="D55">INDEX('Diag-2'!$B$2:$H$41,1+B55,C55)</f>
        <v>* differential.element[3].type.code = #BackboneElement</v>
      </c>
    </row>
    <row r="56" spans="1:4" x14ac:dyDescent="0.75">
      <c r="A56" s="115">
        <v>22</v>
      </c>
      <c r="B56" s="115">
        <f t="shared" si="0"/>
        <v>3</v>
      </c>
      <c r="C56" s="115">
        <f t="shared" si="1"/>
        <v>1</v>
      </c>
      <c r="D56" s="116" t="str" cm="1">
        <f t="array" ref="D56">INDEX('Diag-2'!$B$2:$H$41,1+B56,C56)</f>
        <v>* differential.element[4].id = "Diagnosis.centerOfDiagnosis.identifier"</v>
      </c>
    </row>
    <row r="57" spans="1:4" x14ac:dyDescent="0.75">
      <c r="A57" s="115">
        <v>23</v>
      </c>
      <c r="B57" s="115">
        <f t="shared" si="0"/>
        <v>3</v>
      </c>
      <c r="C57" s="115">
        <f t="shared" si="1"/>
        <v>2</v>
      </c>
      <c r="D57" s="116" t="str" cm="1">
        <f t="array" ref="D57">INDEX('Diag-2'!$B$2:$H$41,1+B57,C57)</f>
        <v>* differential.element[4].path = "Diagnosis.centerOfDiagnosis.identifier"</v>
      </c>
    </row>
    <row r="58" spans="1:4" x14ac:dyDescent="0.75">
      <c r="A58" s="115">
        <v>24</v>
      </c>
      <c r="B58" s="115">
        <f t="shared" si="0"/>
        <v>3</v>
      </c>
      <c r="C58" s="115">
        <f t="shared" si="1"/>
        <v>3</v>
      </c>
      <c r="D58" s="116" t="str" cm="1">
        <f t="array" ref="D58">INDEX('Diag-2'!$B$2:$H$41,1+B58,C58)</f>
        <v>* differential.element[4].short = "Center code"</v>
      </c>
    </row>
    <row r="59" spans="1:4" ht="29.5" x14ac:dyDescent="0.75">
      <c r="A59" s="115">
        <v>25</v>
      </c>
      <c r="B59" s="115">
        <f t="shared" si="0"/>
        <v>3</v>
      </c>
      <c r="C59" s="115">
        <f t="shared" si="1"/>
        <v>4</v>
      </c>
      <c r="D59" s="116" t="str" cm="1">
        <f t="array" ref="D59">INDEX('Diag-2'!$B$2:$H$41,1+B59,C59)</f>
        <v>* differential.element[4].definition = "Code of the institution in which the diagnosis was made.
IN AIEOP thus information is retrievable from the Mod.1.01 database"</v>
      </c>
    </row>
    <row r="60" spans="1:4" x14ac:dyDescent="0.75">
      <c r="A60" s="115">
        <v>26</v>
      </c>
      <c r="B60" s="115">
        <f t="shared" si="0"/>
        <v>3</v>
      </c>
      <c r="C60" s="115">
        <f t="shared" si="1"/>
        <v>5</v>
      </c>
      <c r="D60" s="116" t="str" cm="1">
        <f t="array" ref="D60">INDEX('Diag-2'!$B$2:$H$41,1+B60,C60)</f>
        <v>* differential.element[4].min = 0</v>
      </c>
    </row>
    <row r="61" spans="1:4" x14ac:dyDescent="0.75">
      <c r="A61" s="115">
        <v>27</v>
      </c>
      <c r="B61" s="115">
        <f t="shared" si="0"/>
        <v>3</v>
      </c>
      <c r="C61" s="115">
        <f t="shared" si="1"/>
        <v>6</v>
      </c>
      <c r="D61" s="116" t="str" cm="1">
        <f t="array" ref="D61">INDEX('Diag-2'!$B$2:$H$41,1+B61,C61)</f>
        <v>* differential.element[4].max = "1"</v>
      </c>
    </row>
    <row r="62" spans="1:4" x14ac:dyDescent="0.75">
      <c r="A62" s="115">
        <v>28</v>
      </c>
      <c r="B62" s="115">
        <f t="shared" si="0"/>
        <v>3</v>
      </c>
      <c r="C62" s="115">
        <f t="shared" si="1"/>
        <v>7</v>
      </c>
      <c r="D62" s="116" t="str" cm="1">
        <f t="array" ref="D62">INDEX('Diag-2'!$B$2:$H$41,1+B62,C62)</f>
        <v>* differential.element[4].type.code = #Identifier</v>
      </c>
    </row>
    <row r="63" spans="1:4" x14ac:dyDescent="0.75">
      <c r="A63" s="115">
        <v>29</v>
      </c>
      <c r="B63" s="115">
        <f t="shared" si="0"/>
        <v>4</v>
      </c>
      <c r="C63" s="115">
        <f t="shared" si="1"/>
        <v>1</v>
      </c>
      <c r="D63" s="116" t="str" cm="1">
        <f t="array" ref="D63">INDEX('Diag-2'!$B$2:$H$41,1+B63,C63)</f>
        <v>* differential.element[5].id = "Diagnosis.centerOfDiagnosis.name"</v>
      </c>
    </row>
    <row r="64" spans="1:4" x14ac:dyDescent="0.75">
      <c r="A64" s="115">
        <v>30</v>
      </c>
      <c r="B64" s="115">
        <f t="shared" si="0"/>
        <v>4</v>
      </c>
      <c r="C64" s="115">
        <f t="shared" si="1"/>
        <v>2</v>
      </c>
      <c r="D64" s="116" t="str" cm="1">
        <f t="array" ref="D64">INDEX('Diag-2'!$B$2:$H$41,1+B64,C64)</f>
        <v>* differential.element[5].path = "Diagnosis.centerOfDiagnosis.name"</v>
      </c>
    </row>
    <row r="65" spans="1:4" x14ac:dyDescent="0.75">
      <c r="A65" s="115">
        <v>31</v>
      </c>
      <c r="B65" s="115">
        <f t="shared" si="0"/>
        <v>4</v>
      </c>
      <c r="C65" s="115">
        <f t="shared" si="1"/>
        <v>3</v>
      </c>
      <c r="D65" s="116" t="str" cm="1">
        <f t="array" ref="D65">INDEX('Diag-2'!$B$2:$H$41,1+B65,C65)</f>
        <v>* differential.element[5].short = "Center name"</v>
      </c>
    </row>
    <row r="66" spans="1:4" x14ac:dyDescent="0.75">
      <c r="A66" s="115">
        <v>32</v>
      </c>
      <c r="B66" s="115">
        <f t="shared" si="0"/>
        <v>4</v>
      </c>
      <c r="C66" s="115">
        <f t="shared" si="1"/>
        <v>4</v>
      </c>
      <c r="D66" s="116" t="str" cm="1">
        <f t="array" ref="D66">INDEX('Diag-2'!$B$2:$H$41,1+B66,C66)</f>
        <v>* differential.element[5].definition = "Center name"</v>
      </c>
    </row>
    <row r="67" spans="1:4" x14ac:dyDescent="0.75">
      <c r="A67" s="115">
        <v>33</v>
      </c>
      <c r="B67" s="115">
        <f t="shared" si="0"/>
        <v>4</v>
      </c>
      <c r="C67" s="115">
        <f t="shared" si="1"/>
        <v>5</v>
      </c>
      <c r="D67" s="116" t="str" cm="1">
        <f t="array" ref="D67">INDEX('Diag-2'!$B$2:$H$41,1+B67,C67)</f>
        <v>* differential.element[5].min = 0</v>
      </c>
    </row>
    <row r="68" spans="1:4" x14ac:dyDescent="0.75">
      <c r="A68" s="115">
        <v>34</v>
      </c>
      <c r="B68" s="115">
        <f t="shared" si="0"/>
        <v>4</v>
      </c>
      <c r="C68" s="115">
        <f t="shared" si="1"/>
        <v>6</v>
      </c>
      <c r="D68" s="116" t="str" cm="1">
        <f t="array" ref="D68">INDEX('Diag-2'!$B$2:$H$41,1+B68,C68)</f>
        <v>* differential.element[5].max = "1"</v>
      </c>
    </row>
    <row r="69" spans="1:4" x14ac:dyDescent="0.75">
      <c r="A69" s="115">
        <v>35</v>
      </c>
      <c r="B69" s="115">
        <f t="shared" si="0"/>
        <v>4</v>
      </c>
      <c r="C69" s="115">
        <f t="shared" si="1"/>
        <v>7</v>
      </c>
      <c r="D69" s="116" t="str" cm="1">
        <f t="array" ref="D69">INDEX('Diag-2'!$B$2:$H$41,1+B69,C69)</f>
        <v>* differential.element[5].type.code = #string</v>
      </c>
    </row>
    <row r="70" spans="1:4" x14ac:dyDescent="0.75">
      <c r="A70" s="115">
        <v>36</v>
      </c>
      <c r="B70" s="115">
        <f t="shared" si="0"/>
        <v>5</v>
      </c>
      <c r="C70" s="115">
        <f t="shared" si="1"/>
        <v>1</v>
      </c>
      <c r="D70" s="116" t="str" cm="1">
        <f t="array" ref="D70">INDEX('Diag-2'!$B$2:$H$41,1+B70,C70)</f>
        <v>* differential.element[6].id = "Diagnosis.centerOfDiagnosis.city"</v>
      </c>
    </row>
    <row r="71" spans="1:4" x14ac:dyDescent="0.75">
      <c r="A71" s="115">
        <v>37</v>
      </c>
      <c r="B71" s="115">
        <f t="shared" si="0"/>
        <v>5</v>
      </c>
      <c r="C71" s="115">
        <f t="shared" si="1"/>
        <v>2</v>
      </c>
      <c r="D71" s="116" t="str" cm="1">
        <f t="array" ref="D71">INDEX('Diag-2'!$B$2:$H$41,1+B71,C71)</f>
        <v>* differential.element[6].path = "Diagnosis.centerOfDiagnosis.city"</v>
      </c>
    </row>
    <row r="72" spans="1:4" x14ac:dyDescent="0.75">
      <c r="A72" s="115">
        <v>38</v>
      </c>
      <c r="B72" s="115">
        <f t="shared" si="0"/>
        <v>5</v>
      </c>
      <c r="C72" s="115">
        <f t="shared" si="1"/>
        <v>3</v>
      </c>
      <c r="D72" s="116" t="str" cm="1">
        <f t="array" ref="D72">INDEX('Diag-2'!$B$2:$H$41,1+B72,C72)</f>
        <v>* differential.element[6].short = "Center city"</v>
      </c>
    </row>
    <row r="73" spans="1:4" x14ac:dyDescent="0.75">
      <c r="A73" s="115">
        <v>39</v>
      </c>
      <c r="B73" s="115">
        <f t="shared" si="0"/>
        <v>5</v>
      </c>
      <c r="C73" s="115">
        <f t="shared" si="1"/>
        <v>4</v>
      </c>
      <c r="D73" s="116" t="str" cm="1">
        <f t="array" ref="D73">INDEX('Diag-2'!$B$2:$H$41,1+B73,C73)</f>
        <v>* differential.element[6].definition = "Center city"</v>
      </c>
    </row>
    <row r="74" spans="1:4" x14ac:dyDescent="0.75">
      <c r="A74" s="115">
        <v>40</v>
      </c>
      <c r="B74" s="115">
        <f t="shared" si="0"/>
        <v>5</v>
      </c>
      <c r="C74" s="115">
        <f t="shared" si="1"/>
        <v>5</v>
      </c>
      <c r="D74" s="116" t="str" cm="1">
        <f t="array" ref="D74">INDEX('Diag-2'!$B$2:$H$41,1+B74,C74)</f>
        <v>* differential.element[6].min = 0</v>
      </c>
    </row>
    <row r="75" spans="1:4" x14ac:dyDescent="0.75">
      <c r="A75" s="115">
        <v>41</v>
      </c>
      <c r="B75" s="115">
        <f t="shared" si="0"/>
        <v>5</v>
      </c>
      <c r="C75" s="115">
        <f t="shared" si="1"/>
        <v>6</v>
      </c>
      <c r="D75" s="116" t="str" cm="1">
        <f t="array" ref="D75">INDEX('Diag-2'!$B$2:$H$41,1+B75,C75)</f>
        <v>* differential.element[6].max = "1"</v>
      </c>
    </row>
    <row r="76" spans="1:4" x14ac:dyDescent="0.75">
      <c r="A76" s="115">
        <v>42</v>
      </c>
      <c r="B76" s="115">
        <f t="shared" si="0"/>
        <v>5</v>
      </c>
      <c r="C76" s="115">
        <f t="shared" si="1"/>
        <v>7</v>
      </c>
      <c r="D76" s="116" t="str" cm="1">
        <f t="array" ref="D76">INDEX('Diag-2'!$B$2:$H$41,1+B76,C76)</f>
        <v>* differential.element[6].type.code = #string</v>
      </c>
    </row>
    <row r="77" spans="1:4" x14ac:dyDescent="0.75">
      <c r="A77" s="115">
        <v>43</v>
      </c>
      <c r="B77" s="115">
        <f t="shared" si="0"/>
        <v>6</v>
      </c>
      <c r="C77" s="115">
        <f t="shared" si="1"/>
        <v>1</v>
      </c>
      <c r="D77" s="116" t="str" cm="1">
        <f t="array" ref="D77">INDEX('Diag-2'!$B$2:$H$41,1+B77,C77)</f>
        <v>* differential.element[7].id = "Diagnosis.centerOfDiagnosis.country"</v>
      </c>
    </row>
    <row r="78" spans="1:4" x14ac:dyDescent="0.75">
      <c r="A78" s="115">
        <v>44</v>
      </c>
      <c r="B78" s="115">
        <f t="shared" si="0"/>
        <v>6</v>
      </c>
      <c r="C78" s="115">
        <f t="shared" si="1"/>
        <v>2</v>
      </c>
      <c r="D78" s="116" t="str" cm="1">
        <f t="array" ref="D78">INDEX('Diag-2'!$B$2:$H$41,1+B78,C78)</f>
        <v>* differential.element[7].path = "Diagnosis.centerOfDiagnosis.country"</v>
      </c>
    </row>
    <row r="79" spans="1:4" x14ac:dyDescent="0.75">
      <c r="A79" s="115">
        <v>45</v>
      </c>
      <c r="B79" s="115">
        <f t="shared" si="0"/>
        <v>6</v>
      </c>
      <c r="C79" s="115">
        <f t="shared" si="1"/>
        <v>3</v>
      </c>
      <c r="D79" s="116" t="str" cm="1">
        <f t="array" ref="D79">INDEX('Diag-2'!$B$2:$H$41,1+B79,C79)</f>
        <v>* differential.element[7].short = "Center country"</v>
      </c>
    </row>
    <row r="80" spans="1:4" x14ac:dyDescent="0.75">
      <c r="A80" s="115">
        <v>46</v>
      </c>
      <c r="B80" s="115">
        <f t="shared" si="0"/>
        <v>6</v>
      </c>
      <c r="C80" s="115">
        <f t="shared" si="1"/>
        <v>4</v>
      </c>
      <c r="D80" s="116" t="str" cm="1">
        <f t="array" ref="D80">INDEX('Diag-2'!$B$2:$H$41,1+B80,C80)</f>
        <v>* differential.element[7].definition = "Center country"</v>
      </c>
    </row>
    <row r="81" spans="1:7" x14ac:dyDescent="0.75">
      <c r="A81" s="115">
        <v>47</v>
      </c>
      <c r="B81" s="115">
        <f t="shared" si="0"/>
        <v>6</v>
      </c>
      <c r="C81" s="115">
        <f t="shared" si="1"/>
        <v>5</v>
      </c>
      <c r="D81" s="116" t="str" cm="1">
        <f t="array" ref="D81">INDEX('Diag-2'!$B$2:$H$41,1+B81,C81)</f>
        <v>* differential.element[7].min = 1</v>
      </c>
    </row>
    <row r="82" spans="1:7" x14ac:dyDescent="0.75">
      <c r="A82" s="115">
        <v>48</v>
      </c>
      <c r="B82" s="115">
        <f t="shared" si="0"/>
        <v>6</v>
      </c>
      <c r="C82" s="115">
        <f t="shared" si="1"/>
        <v>6</v>
      </c>
      <c r="D82" s="116" t="str" cm="1">
        <f t="array" ref="D82">INDEX('Diag-2'!$B$2:$H$41,1+B82,C82)</f>
        <v>* differential.element[7].max = "1"</v>
      </c>
    </row>
    <row r="83" spans="1:7" x14ac:dyDescent="0.75">
      <c r="A83" s="115">
        <v>49</v>
      </c>
      <c r="B83" s="115">
        <f t="shared" si="0"/>
        <v>6</v>
      </c>
      <c r="C83" s="115">
        <f t="shared" si="1"/>
        <v>7</v>
      </c>
      <c r="D83" s="116" t="str" cm="1">
        <f t="array" ref="D83">INDEX('Diag-2'!$B$2:$H$41,1+B83,C83)</f>
        <v>* differential.element[7].type.code = #string</v>
      </c>
    </row>
    <row r="84" spans="1:7" x14ac:dyDescent="0.75">
      <c r="A84" s="115">
        <v>50</v>
      </c>
      <c r="B84" s="115">
        <f t="shared" si="0"/>
        <v>7</v>
      </c>
      <c r="C84" s="115">
        <f t="shared" si="1"/>
        <v>1</v>
      </c>
      <c r="D84" s="116" t="str" cm="1">
        <f t="array" ref="D84">INDEX('Diag-2'!$B$2:$H$41,1+B84,C84)</f>
        <v>* differential.element[8].id = "Diagnosis.primaryTreatmentCenter"</v>
      </c>
    </row>
    <row r="85" spans="1:7" x14ac:dyDescent="0.75">
      <c r="A85" s="115">
        <v>51</v>
      </c>
      <c r="B85" s="115">
        <f t="shared" si="0"/>
        <v>7</v>
      </c>
      <c r="C85" s="115">
        <f t="shared" si="1"/>
        <v>2</v>
      </c>
      <c r="D85" s="116" t="str" cm="1">
        <f t="array" ref="D85">INDEX('Diag-2'!$B$2:$H$41,1+B85,C85)</f>
        <v>* differential.element[8].path = "Diagnosis.primaryTreatmentCenter"</v>
      </c>
    </row>
    <row r="86" spans="1:7" x14ac:dyDescent="0.75">
      <c r="A86" s="115">
        <v>52</v>
      </c>
      <c r="B86" s="115">
        <f t="shared" si="0"/>
        <v>7</v>
      </c>
      <c r="C86" s="115">
        <f t="shared" si="1"/>
        <v>3</v>
      </c>
      <c r="D86" s="116" t="str" cm="1">
        <f t="array" ref="D86">INDEX('Diag-2'!$B$2:$H$41,1+B86,C86)</f>
        <v>* differential.element[8].short = "Primary treatment center"</v>
      </c>
    </row>
    <row r="87" spans="1:7" x14ac:dyDescent="0.75">
      <c r="A87" s="115">
        <v>53</v>
      </c>
      <c r="B87" s="115">
        <f t="shared" si="0"/>
        <v>7</v>
      </c>
      <c r="C87" s="115">
        <f t="shared" si="1"/>
        <v>4</v>
      </c>
      <c r="D87" s="116" t="str" cm="1">
        <f t="array" ref="D87">INDEX('Diag-2'!$B$2:$H$41,1+B87,C87)</f>
        <v>* differential.element[8].definition = "Report here the institution in which most of the treatment was given"</v>
      </c>
      <c r="G87" s="15"/>
    </row>
    <row r="88" spans="1:7" x14ac:dyDescent="0.75">
      <c r="A88" s="115">
        <v>54</v>
      </c>
      <c r="B88" s="115">
        <f t="shared" si="0"/>
        <v>7</v>
      </c>
      <c r="C88" s="115">
        <f t="shared" si="1"/>
        <v>5</v>
      </c>
      <c r="D88" s="116" t="str" cm="1">
        <f t="array" ref="D88">INDEX('Diag-2'!$B$2:$H$41,1+B88,C88)</f>
        <v>* differential.element[8].min = 0</v>
      </c>
    </row>
    <row r="89" spans="1:7" x14ac:dyDescent="0.75">
      <c r="A89" s="115">
        <v>55</v>
      </c>
      <c r="B89" s="115">
        <f t="shared" si="0"/>
        <v>7</v>
      </c>
      <c r="C89" s="115">
        <f t="shared" si="1"/>
        <v>6</v>
      </c>
      <c r="D89" s="116" t="str" cm="1">
        <f t="array" ref="D89">INDEX('Diag-2'!$B$2:$H$41,1+B89,C89)</f>
        <v>* differential.element[8].max = "1"</v>
      </c>
    </row>
    <row r="90" spans="1:7" x14ac:dyDescent="0.75">
      <c r="A90" s="115">
        <v>56</v>
      </c>
      <c r="B90" s="115">
        <f t="shared" si="0"/>
        <v>7</v>
      </c>
      <c r="C90" s="115">
        <f t="shared" si="1"/>
        <v>7</v>
      </c>
      <c r="D90" s="116" t="str" cm="1">
        <f t="array" ref="D90">INDEX('Diag-2'!$B$2:$H$41,1+B90,C90)</f>
        <v>* differential.element[8].type.code = #BackboneElement</v>
      </c>
    </row>
    <row r="91" spans="1:7" x14ac:dyDescent="0.75">
      <c r="A91" s="115">
        <v>57</v>
      </c>
      <c r="B91" s="115">
        <f t="shared" si="0"/>
        <v>8</v>
      </c>
      <c r="C91" s="115">
        <f t="shared" si="1"/>
        <v>1</v>
      </c>
      <c r="D91" s="116" t="str" cm="1">
        <f t="array" ref="D91">INDEX('Diag-2'!$B$2:$H$41,1+B91,C91)</f>
        <v>* differential.element[9].id = "Diagnosis.primaryTreatmentCenter.name"</v>
      </c>
    </row>
    <row r="92" spans="1:7" x14ac:dyDescent="0.75">
      <c r="A92" s="115">
        <v>58</v>
      </c>
      <c r="B92" s="115">
        <f t="shared" si="0"/>
        <v>8</v>
      </c>
      <c r="C92" s="115">
        <f t="shared" si="1"/>
        <v>2</v>
      </c>
      <c r="D92" s="116" t="str" cm="1">
        <f t="array" ref="D92">INDEX('Diag-2'!$B$2:$H$41,1+B92,C92)</f>
        <v>* differential.element[9].path = "Diagnosis.primaryTreatmentCenter.name"</v>
      </c>
    </row>
    <row r="93" spans="1:7" x14ac:dyDescent="0.75">
      <c r="A93" s="115">
        <v>59</v>
      </c>
      <c r="B93" s="115">
        <f t="shared" si="0"/>
        <v>8</v>
      </c>
      <c r="C93" s="115">
        <f t="shared" si="1"/>
        <v>3</v>
      </c>
      <c r="D93" s="116" t="str" cm="1">
        <f t="array" ref="D93">INDEX('Diag-2'!$B$2:$H$41,1+B93,C93)</f>
        <v>* differential.element[9].short = "Primary treatment center name"</v>
      </c>
    </row>
    <row r="94" spans="1:7" x14ac:dyDescent="0.75">
      <c r="A94" s="115">
        <v>60</v>
      </c>
      <c r="B94" s="115">
        <f t="shared" si="0"/>
        <v>8</v>
      </c>
      <c r="C94" s="115">
        <f t="shared" si="1"/>
        <v>4</v>
      </c>
      <c r="D94" s="116" t="str" cm="1">
        <f t="array" ref="D94">INDEX('Diag-2'!$B$2:$H$41,1+B94,C94)</f>
        <v>* differential.element[9].definition = "Primary treatment center name"</v>
      </c>
    </row>
    <row r="95" spans="1:7" x14ac:dyDescent="0.75">
      <c r="A95" s="115">
        <v>61</v>
      </c>
      <c r="B95" s="115">
        <f t="shared" si="0"/>
        <v>8</v>
      </c>
      <c r="C95" s="115">
        <f t="shared" si="1"/>
        <v>5</v>
      </c>
      <c r="D95" s="116" t="str" cm="1">
        <f t="array" ref="D95">INDEX('Diag-2'!$B$2:$H$41,1+B95,C95)</f>
        <v>* differential.element[9].min = 0</v>
      </c>
    </row>
    <row r="96" spans="1:7" x14ac:dyDescent="0.75">
      <c r="A96" s="115">
        <v>62</v>
      </c>
      <c r="B96" s="115">
        <f t="shared" si="0"/>
        <v>8</v>
      </c>
      <c r="C96" s="115">
        <f t="shared" si="1"/>
        <v>6</v>
      </c>
      <c r="D96" s="116" t="str" cm="1">
        <f t="array" ref="D96">INDEX('Diag-2'!$B$2:$H$41,1+B96,C96)</f>
        <v>* differential.element[9].max = "1"</v>
      </c>
    </row>
    <row r="97" spans="1:4" x14ac:dyDescent="0.75">
      <c r="A97" s="115">
        <v>63</v>
      </c>
      <c r="B97" s="115">
        <f t="shared" si="0"/>
        <v>8</v>
      </c>
      <c r="C97" s="115">
        <f t="shared" si="1"/>
        <v>7</v>
      </c>
      <c r="D97" s="116" t="str" cm="1">
        <f t="array" ref="D97">INDEX('Diag-2'!$B$2:$H$41,1+B97,C97)</f>
        <v>* differential.element[9].type.code = #string</v>
      </c>
    </row>
    <row r="98" spans="1:4" x14ac:dyDescent="0.75">
      <c r="A98" s="115">
        <v>64</v>
      </c>
      <c r="B98" s="115">
        <f t="shared" si="0"/>
        <v>9</v>
      </c>
      <c r="C98" s="115">
        <f t="shared" si="1"/>
        <v>1</v>
      </c>
      <c r="D98" s="116" t="str" cm="1">
        <f t="array" ref="D98">INDEX('Diag-2'!$B$2:$H$41,1+B98,C98)</f>
        <v>* differential.element[10].id = "Diagnosis.primaryTreatmentCenter.city"</v>
      </c>
    </row>
    <row r="99" spans="1:4" x14ac:dyDescent="0.75">
      <c r="A99" s="115">
        <v>65</v>
      </c>
      <c r="B99" s="115">
        <f t="shared" si="0"/>
        <v>9</v>
      </c>
      <c r="C99" s="115">
        <f t="shared" si="1"/>
        <v>2</v>
      </c>
      <c r="D99" s="116" t="str" cm="1">
        <f t="array" ref="D99">INDEX('Diag-2'!$B$2:$H$41,1+B99,C99)</f>
        <v>* differential.element[10].path = "Diagnosis.primaryTreatmentCenter.city"</v>
      </c>
    </row>
    <row r="100" spans="1:4" x14ac:dyDescent="0.75">
      <c r="A100" s="115">
        <v>66</v>
      </c>
      <c r="B100" s="115">
        <f t="shared" ref="B100:B163" si="2">IF(MOD(A100,7)=0,A100/7-1,INT(A100/7))</f>
        <v>9</v>
      </c>
      <c r="C100" s="115">
        <f t="shared" ref="C100:C163" si="3">IF(MOD(A100,7)=0,7,MOD(A100,7))</f>
        <v>3</v>
      </c>
      <c r="D100" s="116" t="str" cm="1">
        <f t="array" ref="D100">INDEX('Diag-2'!$B$2:$H$41,1+B100,C100)</f>
        <v>* differential.element[10].short = "Primary treatment center city"</v>
      </c>
    </row>
    <row r="101" spans="1:4" x14ac:dyDescent="0.75">
      <c r="A101" s="115">
        <v>67</v>
      </c>
      <c r="B101" s="115">
        <f t="shared" si="2"/>
        <v>9</v>
      </c>
      <c r="C101" s="115">
        <f t="shared" si="3"/>
        <v>4</v>
      </c>
      <c r="D101" s="116" t="str" cm="1">
        <f t="array" ref="D101">INDEX('Diag-2'!$B$2:$H$41,1+B101,C101)</f>
        <v>* differential.element[10].definition = "Primary treatment center city"</v>
      </c>
    </row>
    <row r="102" spans="1:4" x14ac:dyDescent="0.75">
      <c r="A102" s="115">
        <v>68</v>
      </c>
      <c r="B102" s="115">
        <f t="shared" si="2"/>
        <v>9</v>
      </c>
      <c r="C102" s="115">
        <f t="shared" si="3"/>
        <v>5</v>
      </c>
      <c r="D102" s="116" t="str" cm="1">
        <f t="array" ref="D102">INDEX('Diag-2'!$B$2:$H$41,1+B102,C102)</f>
        <v>* differential.element[10].min = 0</v>
      </c>
    </row>
    <row r="103" spans="1:4" x14ac:dyDescent="0.75">
      <c r="A103" s="115">
        <v>69</v>
      </c>
      <c r="B103" s="115">
        <f t="shared" si="2"/>
        <v>9</v>
      </c>
      <c r="C103" s="115">
        <f t="shared" si="3"/>
        <v>6</v>
      </c>
      <c r="D103" s="116" t="str" cm="1">
        <f t="array" ref="D103">INDEX('Diag-2'!$B$2:$H$41,1+B103,C103)</f>
        <v>* differential.element[10].max = "1"</v>
      </c>
    </row>
    <row r="104" spans="1:4" x14ac:dyDescent="0.75">
      <c r="A104" s="115">
        <v>70</v>
      </c>
      <c r="B104" s="115">
        <f t="shared" si="2"/>
        <v>9</v>
      </c>
      <c r="C104" s="115">
        <f t="shared" si="3"/>
        <v>7</v>
      </c>
      <c r="D104" s="116" t="str" cm="1">
        <f t="array" ref="D104">INDEX('Diag-2'!$B$2:$H$41,1+B104,C104)</f>
        <v>* differential.element[10].type.code = #string</v>
      </c>
    </row>
    <row r="105" spans="1:4" x14ac:dyDescent="0.75">
      <c r="A105" s="115">
        <v>71</v>
      </c>
      <c r="B105" s="115">
        <f t="shared" si="2"/>
        <v>10</v>
      </c>
      <c r="C105" s="115">
        <f t="shared" si="3"/>
        <v>1</v>
      </c>
      <c r="D105" s="116" t="str" cm="1">
        <f t="array" ref="D105">INDEX('Diag-2'!$B$2:$H$41,1+B105,C105)</f>
        <v>* differential.element[11].id = "Diagnosis.primaryTreatmentCenter.country"</v>
      </c>
    </row>
    <row r="106" spans="1:4" x14ac:dyDescent="0.75">
      <c r="A106" s="115">
        <v>72</v>
      </c>
      <c r="B106" s="115">
        <f t="shared" si="2"/>
        <v>10</v>
      </c>
      <c r="C106" s="115">
        <f t="shared" si="3"/>
        <v>2</v>
      </c>
      <c r="D106" s="116" t="str" cm="1">
        <f t="array" ref="D106">INDEX('Diag-2'!$B$2:$H$41,1+B106,C106)</f>
        <v>* differential.element[11].path = "Diagnosis.primaryTreatmentCenter.country"</v>
      </c>
    </row>
    <row r="107" spans="1:4" x14ac:dyDescent="0.75">
      <c r="A107" s="115">
        <v>73</v>
      </c>
      <c r="B107" s="115">
        <f t="shared" si="2"/>
        <v>10</v>
      </c>
      <c r="C107" s="115">
        <f t="shared" si="3"/>
        <v>3</v>
      </c>
      <c r="D107" s="116" t="str" cm="1">
        <f t="array" ref="D107">INDEX('Diag-2'!$B$2:$H$41,1+B107,C107)</f>
        <v>* differential.element[11].short = "Primary treatment center country"</v>
      </c>
    </row>
    <row r="108" spans="1:4" x14ac:dyDescent="0.75">
      <c r="A108" s="115">
        <v>74</v>
      </c>
      <c r="B108" s="115">
        <f t="shared" si="2"/>
        <v>10</v>
      </c>
      <c r="C108" s="115">
        <f t="shared" si="3"/>
        <v>4</v>
      </c>
      <c r="D108" s="116" t="str" cm="1">
        <f t="array" ref="D108">INDEX('Diag-2'!$B$2:$H$41,1+B108,C108)</f>
        <v>* differential.element[11].definition = "Primary treatment center country"</v>
      </c>
    </row>
    <row r="109" spans="1:4" x14ac:dyDescent="0.75">
      <c r="A109" s="115">
        <v>75</v>
      </c>
      <c r="B109" s="115">
        <f t="shared" si="2"/>
        <v>10</v>
      </c>
      <c r="C109" s="115">
        <f t="shared" si="3"/>
        <v>5</v>
      </c>
      <c r="D109" s="116" t="str" cm="1">
        <f t="array" ref="D109">INDEX('Diag-2'!$B$2:$H$41,1+B109,C109)</f>
        <v>* differential.element[11].min = 0</v>
      </c>
    </row>
    <row r="110" spans="1:4" x14ac:dyDescent="0.75">
      <c r="A110" s="115">
        <v>76</v>
      </c>
      <c r="B110" s="115">
        <f t="shared" si="2"/>
        <v>10</v>
      </c>
      <c r="C110" s="115">
        <f t="shared" si="3"/>
        <v>6</v>
      </c>
      <c r="D110" s="116" t="str" cm="1">
        <f t="array" ref="D110">INDEX('Diag-2'!$B$2:$H$41,1+B110,C110)</f>
        <v>* differential.element[11].max = "1"</v>
      </c>
    </row>
    <row r="111" spans="1:4" x14ac:dyDescent="0.75">
      <c r="A111" s="115">
        <v>77</v>
      </c>
      <c r="B111" s="115">
        <f t="shared" si="2"/>
        <v>10</v>
      </c>
      <c r="C111" s="115">
        <f t="shared" si="3"/>
        <v>7</v>
      </c>
      <c r="D111" s="116" t="str" cm="1">
        <f t="array" ref="D111">INDEX('Diag-2'!$B$2:$H$41,1+B111,C111)</f>
        <v>* differential.element[11].type.code = #string</v>
      </c>
    </row>
    <row r="112" spans="1:4" x14ac:dyDescent="0.75">
      <c r="A112" s="115">
        <v>78</v>
      </c>
      <c r="B112" s="115">
        <f t="shared" si="2"/>
        <v>11</v>
      </c>
      <c r="C112" s="115">
        <f t="shared" si="3"/>
        <v>1</v>
      </c>
      <c r="D112" s="116" t="str" cm="1">
        <f t="array" ref="D112">INDEX('Diag-2'!$B$2:$H$41,1+B112,C112)</f>
        <v>* differential.element[12].id = "Diagnosis.dateOfArrivalAtCenter"</v>
      </c>
    </row>
    <row r="113" spans="1:4" x14ac:dyDescent="0.75">
      <c r="A113" s="115">
        <v>79</v>
      </c>
      <c r="B113" s="115">
        <f t="shared" si="2"/>
        <v>11</v>
      </c>
      <c r="C113" s="115">
        <f t="shared" si="3"/>
        <v>2</v>
      </c>
      <c r="D113" s="116" t="str" cm="1">
        <f t="array" ref="D113">INDEX('Diag-2'!$B$2:$H$41,1+B113,C113)</f>
        <v>* differential.element[12].path = "Diagnosis.dateOfArrivalAtCenter"</v>
      </c>
    </row>
    <row r="114" spans="1:4" x14ac:dyDescent="0.75">
      <c r="A114" s="115">
        <v>80</v>
      </c>
      <c r="B114" s="115">
        <f t="shared" si="2"/>
        <v>11</v>
      </c>
      <c r="C114" s="115">
        <f t="shared" si="3"/>
        <v>3</v>
      </c>
      <c r="D114" s="116" t="str" cm="1">
        <f t="array" ref="D114">INDEX('Diag-2'!$B$2:$H$41,1+B114,C114)</f>
        <v>* differential.element[12].short = "Date of arrival to our institution"</v>
      </c>
    </row>
    <row r="115" spans="1:4" x14ac:dyDescent="0.75">
      <c r="A115" s="115">
        <v>81</v>
      </c>
      <c r="B115" s="115">
        <f t="shared" si="2"/>
        <v>11</v>
      </c>
      <c r="C115" s="115">
        <f t="shared" si="3"/>
        <v>4</v>
      </c>
      <c r="D115" s="116" t="str" cm="1">
        <f t="array" ref="D115">INDEX('Diag-2'!$B$2:$H$41,1+B115,C115)</f>
        <v>* differential.element[12].definition = "Date of arrival to our institution"</v>
      </c>
    </row>
    <row r="116" spans="1:4" x14ac:dyDescent="0.75">
      <c r="A116" s="115">
        <v>82</v>
      </c>
      <c r="B116" s="115">
        <f t="shared" si="2"/>
        <v>11</v>
      </c>
      <c r="C116" s="115">
        <f t="shared" si="3"/>
        <v>5</v>
      </c>
      <c r="D116" s="116" t="str" cm="1">
        <f t="array" ref="D116">INDEX('Diag-2'!$B$2:$H$41,1+B116,C116)</f>
        <v>* differential.element[12].min = 1</v>
      </c>
    </row>
    <row r="117" spans="1:4" x14ac:dyDescent="0.75">
      <c r="A117" s="115">
        <v>83</v>
      </c>
      <c r="B117" s="115">
        <f t="shared" si="2"/>
        <v>11</v>
      </c>
      <c r="C117" s="115">
        <f t="shared" si="3"/>
        <v>6</v>
      </c>
      <c r="D117" s="116" t="str" cm="1">
        <f t="array" ref="D117">INDEX('Diag-2'!$B$2:$H$41,1+B117,C117)</f>
        <v>* differential.element[12].max = "*"</v>
      </c>
    </row>
    <row r="118" spans="1:4" x14ac:dyDescent="0.75">
      <c r="A118" s="115">
        <v>84</v>
      </c>
      <c r="B118" s="115">
        <f t="shared" si="2"/>
        <v>11</v>
      </c>
      <c r="C118" s="115">
        <f t="shared" si="3"/>
        <v>7</v>
      </c>
      <c r="D118" s="116" t="str" cm="1">
        <f t="array" ref="D118">INDEX('Diag-2'!$B$2:$H$41,1+B118,C118)</f>
        <v>* differential.element[12].type.code = #dateTime</v>
      </c>
    </row>
    <row r="119" spans="1:4" x14ac:dyDescent="0.75">
      <c r="A119" s="115">
        <v>85</v>
      </c>
      <c r="B119" s="115">
        <f t="shared" si="2"/>
        <v>12</v>
      </c>
      <c r="C119" s="115">
        <f t="shared" si="3"/>
        <v>1</v>
      </c>
      <c r="D119" s="116" t="str" cm="1">
        <f t="array" ref="D119">INDEX('Diag-2'!$B$2:$H$41,1+B119,C119)</f>
        <v>* differential.element[13].id = "Diagnosis.diagnosticGroup"</v>
      </c>
    </row>
    <row r="120" spans="1:4" x14ac:dyDescent="0.75">
      <c r="A120" s="115">
        <v>86</v>
      </c>
      <c r="B120" s="115">
        <f t="shared" si="2"/>
        <v>12</v>
      </c>
      <c r="C120" s="115">
        <f t="shared" si="3"/>
        <v>2</v>
      </c>
      <c r="D120" s="116" t="str" cm="1">
        <f t="array" ref="D120">INDEX('Diag-2'!$B$2:$H$41,1+B120,C120)</f>
        <v>* differential.element[13].path = "Diagnosis.diagnosticGroup"</v>
      </c>
    </row>
    <row r="121" spans="1:4" x14ac:dyDescent="0.75">
      <c r="A121" s="115">
        <v>87</v>
      </c>
      <c r="B121" s="115">
        <f t="shared" si="2"/>
        <v>12</v>
      </c>
      <c r="C121" s="115">
        <f t="shared" si="3"/>
        <v>3</v>
      </c>
      <c r="D121" s="116" t="str" cm="1">
        <f t="array" ref="D121">INDEX('Diag-2'!$B$2:$H$41,1+B121,C121)</f>
        <v>* differential.element[13].short = "Diagnostic Group"</v>
      </c>
    </row>
    <row r="122" spans="1:4" x14ac:dyDescent="0.75">
      <c r="A122" s="115">
        <v>88</v>
      </c>
      <c r="B122" s="115">
        <f t="shared" si="2"/>
        <v>12</v>
      </c>
      <c r="C122" s="115">
        <f t="shared" si="3"/>
        <v>4</v>
      </c>
      <c r="D122" s="116" t="str" cm="1">
        <f t="array" ref="D122">INDEX('Diag-2'!$B$2:$H$41,1+B122,C122)</f>
        <v>* differential.element[13].definition = "Diagnostic Group. ICCC-3 Classification (Main and Extended classification tables)"</v>
      </c>
    </row>
    <row r="123" spans="1:4" x14ac:dyDescent="0.75">
      <c r="A123" s="115">
        <v>89</v>
      </c>
      <c r="B123" s="115">
        <f t="shared" si="2"/>
        <v>12</v>
      </c>
      <c r="C123" s="115">
        <f t="shared" si="3"/>
        <v>5</v>
      </c>
      <c r="D123" s="116" t="str" cm="1">
        <f t="array" ref="D123">INDEX('Diag-2'!$B$2:$H$41,1+B123,C123)</f>
        <v>* differential.element[13].min = 0</v>
      </c>
    </row>
    <row r="124" spans="1:4" x14ac:dyDescent="0.75">
      <c r="A124" s="115">
        <v>90</v>
      </c>
      <c r="B124" s="115">
        <f t="shared" si="2"/>
        <v>12</v>
      </c>
      <c r="C124" s="115">
        <f t="shared" si="3"/>
        <v>6</v>
      </c>
      <c r="D124" s="116" t="str" cm="1">
        <f t="array" ref="D124">INDEX('Diag-2'!$B$2:$H$41,1+B124,C124)</f>
        <v>* differential.element[13].max = "*"</v>
      </c>
    </row>
    <row r="125" spans="1:4" x14ac:dyDescent="0.75">
      <c r="A125" s="115">
        <v>91</v>
      </c>
      <c r="B125" s="115">
        <f t="shared" si="2"/>
        <v>12</v>
      </c>
      <c r="C125" s="115">
        <f t="shared" si="3"/>
        <v>7</v>
      </c>
      <c r="D125" s="116" t="str" cm="1">
        <f t="array" ref="D125">INDEX('Diag-2'!$B$2:$H$41,1+B125,C125)</f>
        <v>* differential.element[13].type.code = #CodeableConcept</v>
      </c>
    </row>
    <row r="126" spans="1:4" x14ac:dyDescent="0.75">
      <c r="A126" s="115">
        <v>92</v>
      </c>
      <c r="B126" s="115">
        <f t="shared" si="2"/>
        <v>13</v>
      </c>
      <c r="C126" s="115">
        <f t="shared" si="3"/>
        <v>1</v>
      </c>
      <c r="D126" s="116" t="str" cm="1">
        <f t="array" ref="D126">INDEX('Diag-2'!$B$2:$H$41,1+B126,C126)</f>
        <v>* differential.element[14].id = "Diagnosis.morphologyCode"</v>
      </c>
    </row>
    <row r="127" spans="1:4" x14ac:dyDescent="0.75">
      <c r="A127" s="115">
        <v>93</v>
      </c>
      <c r="B127" s="115">
        <f t="shared" si="2"/>
        <v>13</v>
      </c>
      <c r="C127" s="115">
        <f t="shared" si="3"/>
        <v>2</v>
      </c>
      <c r="D127" s="116" t="str" cm="1">
        <f t="array" ref="D127">INDEX('Diag-2'!$B$2:$H$41,1+B127,C127)</f>
        <v>* differential.element[14].path = "Diagnosis.morphologyCode"</v>
      </c>
    </row>
    <row r="128" spans="1:4" x14ac:dyDescent="0.75">
      <c r="A128" s="115">
        <v>94</v>
      </c>
      <c r="B128" s="115">
        <f t="shared" si="2"/>
        <v>13</v>
      </c>
      <c r="C128" s="115">
        <f t="shared" si="3"/>
        <v>3</v>
      </c>
      <c r="D128" s="116" t="str" cm="1">
        <f t="array" ref="D128">INDEX('Diag-2'!$B$2:$H$41,1+B128,C128)</f>
        <v>* differential.element[14].short = "Diagnosis"</v>
      </c>
    </row>
    <row r="129" spans="1:4" ht="59" x14ac:dyDescent="0.75">
      <c r="A129" s="115">
        <v>95</v>
      </c>
      <c r="B129" s="115">
        <f t="shared" si="2"/>
        <v>13</v>
      </c>
      <c r="C129" s="115">
        <f t="shared" si="3"/>
        <v>4</v>
      </c>
      <c r="D129" s="116" t="str" cm="1">
        <f t="array" ref="D129">INDEX('Diag-2'!$B$2:$H$41,1+B129,C129)</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row>
    <row r="130" spans="1:4" x14ac:dyDescent="0.75">
      <c r="A130" s="115">
        <v>96</v>
      </c>
      <c r="B130" s="115">
        <f t="shared" si="2"/>
        <v>13</v>
      </c>
      <c r="C130" s="115">
        <f t="shared" si="3"/>
        <v>5</v>
      </c>
      <c r="D130" s="116" t="str" cm="1">
        <f t="array" ref="D130">INDEX('Diag-2'!$B$2:$H$41,1+B130,C130)</f>
        <v>* differential.element[14].min = 0</v>
      </c>
    </row>
    <row r="131" spans="1:4" x14ac:dyDescent="0.75">
      <c r="A131" s="115">
        <v>97</v>
      </c>
      <c r="B131" s="115">
        <f t="shared" si="2"/>
        <v>13</v>
      </c>
      <c r="C131" s="115">
        <f t="shared" si="3"/>
        <v>6</v>
      </c>
      <c r="D131" s="116" t="str" cm="1">
        <f t="array" ref="D131">INDEX('Diag-2'!$B$2:$H$41,1+B131,C131)</f>
        <v>* differential.element[14].max = "*"</v>
      </c>
    </row>
    <row r="132" spans="1:4" x14ac:dyDescent="0.75">
      <c r="A132" s="115">
        <v>98</v>
      </c>
      <c r="B132" s="115">
        <f t="shared" si="2"/>
        <v>13</v>
      </c>
      <c r="C132" s="115">
        <f t="shared" si="3"/>
        <v>7</v>
      </c>
      <c r="D132" s="116" t="str" cm="1">
        <f t="array" ref="D132">INDEX('Diag-2'!$B$2:$H$41,1+B132,C132)</f>
        <v>* differential.element[14].type.code = #CodeableConcept</v>
      </c>
    </row>
    <row r="133" spans="1:4" x14ac:dyDescent="0.75">
      <c r="A133" s="115">
        <v>99</v>
      </c>
      <c r="B133" s="115">
        <f t="shared" si="2"/>
        <v>14</v>
      </c>
      <c r="C133" s="115">
        <f t="shared" si="3"/>
        <v>1</v>
      </c>
      <c r="D133" s="116" t="str" cm="1">
        <f t="array" ref="D133">INDEX('Diag-2'!$B$2:$H$41,1+B133,C133)</f>
        <v>* differential.element[15].id = "Diagnosis.tumorBehaviour"</v>
      </c>
    </row>
    <row r="134" spans="1:4" x14ac:dyDescent="0.75">
      <c r="A134" s="115">
        <v>100</v>
      </c>
      <c r="B134" s="115">
        <f t="shared" si="2"/>
        <v>14</v>
      </c>
      <c r="C134" s="115">
        <f t="shared" si="3"/>
        <v>2</v>
      </c>
      <c r="D134" s="116" t="str" cm="1">
        <f t="array" ref="D134">INDEX('Diag-2'!$B$2:$H$41,1+B134,C134)</f>
        <v>* differential.element[15].path = "Diagnosis.tumorBehaviour"</v>
      </c>
    </row>
    <row r="135" spans="1:4" x14ac:dyDescent="0.75">
      <c r="A135" s="115">
        <v>101</v>
      </c>
      <c r="B135" s="115">
        <f t="shared" si="2"/>
        <v>14</v>
      </c>
      <c r="C135" s="115">
        <f t="shared" si="3"/>
        <v>3</v>
      </c>
      <c r="D135" s="116" t="str" cm="1">
        <f t="array" ref="D135">INDEX('Diag-2'!$B$2:$H$41,1+B135,C135)</f>
        <v>* differential.element[15].short = "Tumour behaviour (ICD-O-3 type)"</v>
      </c>
    </row>
    <row r="136" spans="1:4" x14ac:dyDescent="0.75">
      <c r="A136" s="115">
        <v>102</v>
      </c>
      <c r="B136" s="115">
        <f t="shared" si="2"/>
        <v>14</v>
      </c>
      <c r="C136" s="115">
        <f t="shared" si="3"/>
        <v>4</v>
      </c>
      <c r="D136" s="116" t="str" cm="1">
        <f t="array" ref="D136">INDEX('Diag-2'!$B$2:$H$41,1+B136,C136)</f>
        <v>* differential.element[15].definition = "Tumour behaviour. Automatically generated by the system for benign tumors"</v>
      </c>
    </row>
    <row r="137" spans="1:4" x14ac:dyDescent="0.75">
      <c r="A137" s="115">
        <v>103</v>
      </c>
      <c r="B137" s="115">
        <f t="shared" si="2"/>
        <v>14</v>
      </c>
      <c r="C137" s="115">
        <f t="shared" si="3"/>
        <v>5</v>
      </c>
      <c r="D137" s="116" t="str" cm="1">
        <f t="array" ref="D137">INDEX('Diag-2'!$B$2:$H$41,1+B137,C137)</f>
        <v>* differential.element[15].min = 0</v>
      </c>
    </row>
    <row r="138" spans="1:4" x14ac:dyDescent="0.75">
      <c r="A138" s="115">
        <v>104</v>
      </c>
      <c r="B138" s="115">
        <f t="shared" si="2"/>
        <v>14</v>
      </c>
      <c r="C138" s="115">
        <f t="shared" si="3"/>
        <v>6</v>
      </c>
      <c r="D138" s="116" t="str" cm="1">
        <f t="array" ref="D138">INDEX('Diag-2'!$B$2:$H$41,1+B138,C138)</f>
        <v>* differential.element[15].max = "*"</v>
      </c>
    </row>
    <row r="139" spans="1:4" x14ac:dyDescent="0.75">
      <c r="A139" s="115">
        <v>105</v>
      </c>
      <c r="B139" s="115">
        <f t="shared" si="2"/>
        <v>14</v>
      </c>
      <c r="C139" s="115">
        <f t="shared" si="3"/>
        <v>7</v>
      </c>
      <c r="D139" s="116" t="str" cm="1">
        <f t="array" ref="D139">INDEX('Diag-2'!$B$2:$H$41,1+B139,C139)</f>
        <v>* differential.element[15].type.code = #CodeableConcept</v>
      </c>
    </row>
    <row r="140" spans="1:4" x14ac:dyDescent="0.75">
      <c r="A140" s="115">
        <v>106</v>
      </c>
      <c r="B140" s="115">
        <f t="shared" si="2"/>
        <v>15</v>
      </c>
      <c r="C140" s="115">
        <f t="shared" si="3"/>
        <v>1</v>
      </c>
      <c r="D140" s="116" t="str" cm="1">
        <f t="array" ref="D140">INDEX('Diag-2'!$B$2:$H$41,1+B140,C140)</f>
        <v>* differential.element[16].id = "Diagnosis.description"</v>
      </c>
    </row>
    <row r="141" spans="1:4" x14ac:dyDescent="0.75">
      <c r="A141" s="115">
        <v>107</v>
      </c>
      <c r="B141" s="115">
        <f t="shared" si="2"/>
        <v>15</v>
      </c>
      <c r="C141" s="115">
        <f t="shared" si="3"/>
        <v>2</v>
      </c>
      <c r="D141" s="116" t="str" cm="1">
        <f t="array" ref="D141">INDEX('Diag-2'!$B$2:$H$41,1+B141,C141)</f>
        <v>* differential.element[16].path = "Diagnosis.description"</v>
      </c>
    </row>
    <row r="142" spans="1:4" x14ac:dyDescent="0.75">
      <c r="A142" s="115">
        <v>108</v>
      </c>
      <c r="B142" s="115">
        <f t="shared" si="2"/>
        <v>15</v>
      </c>
      <c r="C142" s="115">
        <f t="shared" si="3"/>
        <v>3</v>
      </c>
      <c r="D142" s="116" t="str" cm="1">
        <f t="array" ref="D142">INDEX('Diag-2'!$B$2:$H$41,1+B142,C142)</f>
        <v>* differential.element[16].short = "Diagnosis description"</v>
      </c>
    </row>
    <row r="143" spans="1:4" x14ac:dyDescent="0.75">
      <c r="A143" s="115">
        <v>109</v>
      </c>
      <c r="B143" s="115">
        <f t="shared" si="2"/>
        <v>15</v>
      </c>
      <c r="C143" s="115">
        <f t="shared" si="3"/>
        <v>4</v>
      </c>
      <c r="D143" s="116" t="str" cm="1">
        <f t="array" ref="D143">INDEX('Diag-2'!$B$2:$H$41,1+B143,C143)</f>
        <v>* differential.element[16].definition = "Diagnosis description"</v>
      </c>
    </row>
    <row r="144" spans="1:4" x14ac:dyDescent="0.75">
      <c r="A144" s="115">
        <v>110</v>
      </c>
      <c r="B144" s="115">
        <f t="shared" si="2"/>
        <v>15</v>
      </c>
      <c r="C144" s="115">
        <f t="shared" si="3"/>
        <v>5</v>
      </c>
      <c r="D144" s="116" t="str" cm="1">
        <f t="array" ref="D144">INDEX('Diag-2'!$B$2:$H$41,1+B144,C144)</f>
        <v>* differential.element[16].min = 0</v>
      </c>
    </row>
    <row r="145" spans="1:5" x14ac:dyDescent="0.75">
      <c r="A145" s="115">
        <v>111</v>
      </c>
      <c r="B145" s="115">
        <f t="shared" si="2"/>
        <v>15</v>
      </c>
      <c r="C145" s="115">
        <f t="shared" si="3"/>
        <v>6</v>
      </c>
      <c r="D145" s="116" t="str" cm="1">
        <f t="array" ref="D145">INDEX('Diag-2'!$B$2:$H$41,1+B145,C145)</f>
        <v>* differential.element[16].max = "1"</v>
      </c>
    </row>
    <row r="146" spans="1:5" x14ac:dyDescent="0.75">
      <c r="A146" s="115">
        <v>112</v>
      </c>
      <c r="B146" s="115">
        <f t="shared" si="2"/>
        <v>15</v>
      </c>
      <c r="C146" s="115">
        <f t="shared" si="3"/>
        <v>7</v>
      </c>
      <c r="D146" s="116" t="str" cm="1">
        <f t="array" ref="D146">INDEX('Diag-2'!$B$2:$H$41,1+B146,C146)</f>
        <v>* differential.element[16].type.code = #string</v>
      </c>
    </row>
    <row r="147" spans="1:5" x14ac:dyDescent="0.75">
      <c r="A147" s="115">
        <v>113</v>
      </c>
      <c r="B147" s="115">
        <f t="shared" si="2"/>
        <v>16</v>
      </c>
      <c r="C147" s="115">
        <f t="shared" si="3"/>
        <v>1</v>
      </c>
      <c r="D147" s="116" t="str" cm="1">
        <f t="array" ref="D147">INDEX('Diag-2'!$B$2:$H$41,1+B147,C147)</f>
        <v>* differential.element[17].id = "Diagnosis.site"</v>
      </c>
    </row>
    <row r="148" spans="1:5" x14ac:dyDescent="0.75">
      <c r="A148" s="115">
        <v>114</v>
      </c>
      <c r="B148" s="115">
        <f t="shared" si="2"/>
        <v>16</v>
      </c>
      <c r="C148" s="115">
        <f t="shared" si="3"/>
        <v>2</v>
      </c>
      <c r="D148" s="116" t="str" cm="1">
        <f t="array" ref="D148">INDEX('Diag-2'!$B$2:$H$41,1+B148,C148)</f>
        <v>* differential.element[17].path = "Diagnosis.site"</v>
      </c>
    </row>
    <row r="149" spans="1:5" x14ac:dyDescent="0.75">
      <c r="A149" s="115">
        <v>115</v>
      </c>
      <c r="B149" s="115">
        <f t="shared" si="2"/>
        <v>16</v>
      </c>
      <c r="C149" s="115">
        <f t="shared" si="3"/>
        <v>3</v>
      </c>
      <c r="D149" s="116" t="str" cm="1">
        <f t="array" ref="D149">INDEX('Diag-2'!$B$2:$H$41,1+B149,C149)</f>
        <v>* differential.element[17].short = "Site"</v>
      </c>
      <c r="E149" s="43"/>
    </row>
    <row r="150" spans="1:5" x14ac:dyDescent="0.75">
      <c r="A150" s="115">
        <v>116</v>
      </c>
      <c r="B150" s="115">
        <f t="shared" si="2"/>
        <v>16</v>
      </c>
      <c r="C150" s="115">
        <f t="shared" si="3"/>
        <v>4</v>
      </c>
      <c r="D150" s="116" t="str" cm="1">
        <f t="array" ref="D150">INDEX('Diag-2'!$B$2:$H$41,1+B150,C150)</f>
        <v>* differential.element[17].definition = "Site of the tumor"</v>
      </c>
    </row>
    <row r="151" spans="1:5" x14ac:dyDescent="0.75">
      <c r="A151" s="115">
        <v>117</v>
      </c>
      <c r="B151" s="115">
        <f t="shared" si="2"/>
        <v>16</v>
      </c>
      <c r="C151" s="115">
        <f t="shared" si="3"/>
        <v>5</v>
      </c>
      <c r="D151" s="116" t="str" cm="1">
        <f t="array" ref="D151">INDEX('Diag-2'!$B$2:$H$41,1+B151,C151)</f>
        <v>* differential.element[17].min = 0</v>
      </c>
    </row>
    <row r="152" spans="1:5" x14ac:dyDescent="0.75">
      <c r="A152" s="115">
        <v>118</v>
      </c>
      <c r="B152" s="115">
        <f t="shared" si="2"/>
        <v>16</v>
      </c>
      <c r="C152" s="115">
        <f t="shared" si="3"/>
        <v>6</v>
      </c>
      <c r="D152" s="116" t="str" cm="1">
        <f t="array" ref="D152">INDEX('Diag-2'!$B$2:$H$41,1+B152,C152)</f>
        <v>* differential.element[17].max = "*"</v>
      </c>
    </row>
    <row r="153" spans="1:5" x14ac:dyDescent="0.75">
      <c r="A153" s="115">
        <v>119</v>
      </c>
      <c r="B153" s="115">
        <f t="shared" si="2"/>
        <v>16</v>
      </c>
      <c r="C153" s="115">
        <f t="shared" si="3"/>
        <v>7</v>
      </c>
      <c r="D153" s="116" t="str" cm="1">
        <f t="array" ref="D153">INDEX('Diag-2'!$B$2:$H$41,1+B153,C153)</f>
        <v>* differential.element[17].type.code = #BackboneElement</v>
      </c>
    </row>
    <row r="154" spans="1:5" x14ac:dyDescent="0.75">
      <c r="A154" s="115">
        <v>120</v>
      </c>
      <c r="B154" s="115">
        <f t="shared" si="2"/>
        <v>17</v>
      </c>
      <c r="C154" s="115">
        <f t="shared" si="3"/>
        <v>1</v>
      </c>
      <c r="D154" s="116" t="str" cm="1">
        <f t="array" ref="D154">INDEX('Diag-2'!$B$2:$H$41,1+B154,C154)</f>
        <v>* differential.element[18].id = "Diagnosis.site.code"</v>
      </c>
    </row>
    <row r="155" spans="1:5" x14ac:dyDescent="0.75">
      <c r="A155" s="115">
        <v>121</v>
      </c>
      <c r="B155" s="115">
        <f t="shared" si="2"/>
        <v>17</v>
      </c>
      <c r="C155" s="115">
        <f t="shared" si="3"/>
        <v>2</v>
      </c>
      <c r="D155" s="116" t="str" cm="1">
        <f t="array" ref="D155">INDEX('Diag-2'!$B$2:$H$41,1+B155,C155)</f>
        <v>* differential.element[18].path = "Diagnosis.site.code"</v>
      </c>
    </row>
    <row r="156" spans="1:5" x14ac:dyDescent="0.75">
      <c r="A156" s="115">
        <v>122</v>
      </c>
      <c r="B156" s="115">
        <f t="shared" si="2"/>
        <v>17</v>
      </c>
      <c r="C156" s="115">
        <f t="shared" si="3"/>
        <v>3</v>
      </c>
      <c r="D156" s="116" t="str" cm="1">
        <f t="array" ref="D156">INDEX('Diag-2'!$B$2:$H$41,1+B156,C156)</f>
        <v>* differential.element[18].short = "Site(ICD-O-3 topography)"</v>
      </c>
    </row>
    <row r="157" spans="1:5" ht="44.25" x14ac:dyDescent="0.75">
      <c r="A157" s="115">
        <v>123</v>
      </c>
      <c r="B157" s="115">
        <f t="shared" si="2"/>
        <v>17</v>
      </c>
      <c r="C157" s="115">
        <f t="shared" si="3"/>
        <v>4</v>
      </c>
      <c r="D157" s="116" t="str" cm="1">
        <f t="array" ref="D157">INDEX('Diag-2'!$B$2:$H$41,1+B157,C157)</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row>
    <row r="158" spans="1:5" x14ac:dyDescent="0.75">
      <c r="A158" s="115">
        <v>124</v>
      </c>
      <c r="B158" s="115">
        <f t="shared" si="2"/>
        <v>17</v>
      </c>
      <c r="C158" s="115">
        <f t="shared" si="3"/>
        <v>5</v>
      </c>
      <c r="D158" s="116" t="str" cm="1">
        <f t="array" ref="D158">INDEX('Diag-2'!$B$2:$H$41,1+B158,C158)</f>
        <v>* differential.element[18].min = 0</v>
      </c>
    </row>
    <row r="159" spans="1:5" x14ac:dyDescent="0.75">
      <c r="A159" s="115">
        <v>125</v>
      </c>
      <c r="B159" s="115">
        <f t="shared" si="2"/>
        <v>17</v>
      </c>
      <c r="C159" s="115">
        <f t="shared" si="3"/>
        <v>6</v>
      </c>
      <c r="D159" s="116" t="str" cm="1">
        <f t="array" ref="D159">INDEX('Diag-2'!$B$2:$H$41,1+B159,C159)</f>
        <v>* differential.element[18].max = "*"</v>
      </c>
    </row>
    <row r="160" spans="1:5" x14ac:dyDescent="0.75">
      <c r="A160" s="115">
        <v>126</v>
      </c>
      <c r="B160" s="115">
        <f t="shared" si="2"/>
        <v>17</v>
      </c>
      <c r="C160" s="115">
        <f t="shared" si="3"/>
        <v>7</v>
      </c>
      <c r="D160" s="116" t="str" cm="1">
        <f t="array" ref="D160">INDEX('Diag-2'!$B$2:$H$41,1+B160,C160)</f>
        <v>* differential.element[18].type.code = #CodeableConcept</v>
      </c>
    </row>
    <row r="161" spans="1:4" x14ac:dyDescent="0.75">
      <c r="A161" s="115">
        <v>127</v>
      </c>
      <c r="B161" s="115">
        <f t="shared" si="2"/>
        <v>18</v>
      </c>
      <c r="C161" s="115">
        <f t="shared" si="3"/>
        <v>1</v>
      </c>
      <c r="D161" s="116" t="str" cm="1">
        <f t="array" ref="D161">INDEX('Diag-2'!$B$2:$H$41,1+B161,C161)</f>
        <v>* differential.element[19].id = "Diagnosis.site.description"</v>
      </c>
    </row>
    <row r="162" spans="1:4" x14ac:dyDescent="0.75">
      <c r="A162" s="115">
        <v>128</v>
      </c>
      <c r="B162" s="115">
        <f t="shared" si="2"/>
        <v>18</v>
      </c>
      <c r="C162" s="115">
        <f t="shared" si="3"/>
        <v>2</v>
      </c>
      <c r="D162" s="116" t="str" cm="1">
        <f t="array" ref="D162">INDEX('Diag-2'!$B$2:$H$41,1+B162,C162)</f>
        <v>* differential.element[19].path = "Diagnosis.site.description"</v>
      </c>
    </row>
    <row r="163" spans="1:4" x14ac:dyDescent="0.75">
      <c r="A163" s="115">
        <v>129</v>
      </c>
      <c r="B163" s="115">
        <f t="shared" si="2"/>
        <v>18</v>
      </c>
      <c r="C163" s="115">
        <f t="shared" si="3"/>
        <v>3</v>
      </c>
      <c r="D163" s="116" t="str" cm="1">
        <f t="array" ref="D163">INDEX('Diag-2'!$B$2:$H$41,1+B163,C163)</f>
        <v>* differential.element[19].short = "Site description"</v>
      </c>
    </row>
    <row r="164" spans="1:4" x14ac:dyDescent="0.75">
      <c r="A164" s="115">
        <v>130</v>
      </c>
      <c r="B164" s="115">
        <f t="shared" ref="B164:B227" si="4">IF(MOD(A164,7)=0,A164/7-1,INT(A164/7))</f>
        <v>18</v>
      </c>
      <c r="C164" s="115">
        <f t="shared" ref="C164:C227" si="5">IF(MOD(A164,7)=0,7,MOD(A164,7))</f>
        <v>4</v>
      </c>
      <c r="D164" s="116" t="str" cm="1">
        <f t="array" ref="D164">INDEX('Diag-2'!$B$2:$H$41,1+B164,C164)</f>
        <v>* differential.element[19].definition = "Site description . Free text to report the site of the tumor"</v>
      </c>
    </row>
    <row r="165" spans="1:4" x14ac:dyDescent="0.75">
      <c r="A165" s="115">
        <v>131</v>
      </c>
      <c r="B165" s="115">
        <f t="shared" si="4"/>
        <v>18</v>
      </c>
      <c r="C165" s="115">
        <f t="shared" si="5"/>
        <v>5</v>
      </c>
      <c r="D165" s="116" t="str" cm="1">
        <f t="array" ref="D165">INDEX('Diag-2'!$B$2:$H$41,1+B165,C165)</f>
        <v>* differential.element[19].min = 0</v>
      </c>
    </row>
    <row r="166" spans="1:4" x14ac:dyDescent="0.75">
      <c r="A166" s="115">
        <v>132</v>
      </c>
      <c r="B166" s="115">
        <f t="shared" si="4"/>
        <v>18</v>
      </c>
      <c r="C166" s="115">
        <f t="shared" si="5"/>
        <v>6</v>
      </c>
      <c r="D166" s="116" t="str" cm="1">
        <f t="array" ref="D166">INDEX('Diag-2'!$B$2:$H$41,1+B166,C166)</f>
        <v>* differential.element[19].max = "*"</v>
      </c>
    </row>
    <row r="167" spans="1:4" x14ac:dyDescent="0.75">
      <c r="A167" s="115">
        <v>133</v>
      </c>
      <c r="B167" s="115">
        <f t="shared" si="4"/>
        <v>18</v>
      </c>
      <c r="C167" s="115">
        <f t="shared" si="5"/>
        <v>7</v>
      </c>
      <c r="D167" s="116" t="str" cm="1">
        <f t="array" ref="D167">INDEX('Diag-2'!$B$2:$H$41,1+B167,C167)</f>
        <v>* differential.element[19].type.code = #string</v>
      </c>
    </row>
    <row r="168" spans="1:4" x14ac:dyDescent="0.75">
      <c r="A168" s="115">
        <v>134</v>
      </c>
      <c r="B168" s="115">
        <f t="shared" si="4"/>
        <v>19</v>
      </c>
      <c r="C168" s="115">
        <f t="shared" si="5"/>
        <v>1</v>
      </c>
      <c r="D168" s="116" t="str" cm="1">
        <f t="array" ref="D168">INDEX('Diag-2'!$B$2:$H$41,1+B168,C168)</f>
        <v>* differential.element[20].id = "Diagnosis.laterality"</v>
      </c>
    </row>
    <row r="169" spans="1:4" x14ac:dyDescent="0.75">
      <c r="A169" s="115">
        <v>135</v>
      </c>
      <c r="B169" s="115">
        <f t="shared" si="4"/>
        <v>19</v>
      </c>
      <c r="C169" s="115">
        <f t="shared" si="5"/>
        <v>2</v>
      </c>
      <c r="D169" s="116" t="str" cm="1">
        <f t="array" ref="D169">INDEX('Diag-2'!$B$2:$H$41,1+B169,C169)</f>
        <v>* differential.element[20].path = "Diagnosis.laterality"</v>
      </c>
    </row>
    <row r="170" spans="1:4" x14ac:dyDescent="0.75">
      <c r="A170" s="115">
        <v>136</v>
      </c>
      <c r="B170" s="115">
        <f t="shared" si="4"/>
        <v>19</v>
      </c>
      <c r="C170" s="115">
        <f t="shared" si="5"/>
        <v>3</v>
      </c>
      <c r="D170" s="116" t="str" cm="1">
        <f t="array" ref="D170">INDEX('Diag-2'!$B$2:$H$41,1+B170,C170)</f>
        <v>* differential.element[20].short = "Laterality"</v>
      </c>
    </row>
    <row r="171" spans="1:4" x14ac:dyDescent="0.75">
      <c r="A171" s="115">
        <v>137</v>
      </c>
      <c r="B171" s="115">
        <f t="shared" si="4"/>
        <v>19</v>
      </c>
      <c r="C171" s="115">
        <f t="shared" si="5"/>
        <v>4</v>
      </c>
      <c r="D171" s="116" t="str" cm="1">
        <f t="array" ref="D171">INDEX('Diag-2'!$B$2:$H$41,1+B171,C171)</f>
        <v>* differential.element[20].definition = "Laterality"</v>
      </c>
    </row>
    <row r="172" spans="1:4" x14ac:dyDescent="0.75">
      <c r="A172" s="115">
        <v>138</v>
      </c>
      <c r="B172" s="115">
        <f t="shared" si="4"/>
        <v>19</v>
      </c>
      <c r="C172" s="115">
        <f t="shared" si="5"/>
        <v>5</v>
      </c>
      <c r="D172" s="116" t="str" cm="1">
        <f t="array" ref="D172">INDEX('Diag-2'!$B$2:$H$41,1+B172,C172)</f>
        <v>* differential.element[20].min = 0</v>
      </c>
    </row>
    <row r="173" spans="1:4" x14ac:dyDescent="0.75">
      <c r="A173" s="115">
        <v>139</v>
      </c>
      <c r="B173" s="115">
        <f t="shared" si="4"/>
        <v>19</v>
      </c>
      <c r="C173" s="115">
        <f t="shared" si="5"/>
        <v>6</v>
      </c>
      <c r="D173" s="116" t="str" cm="1">
        <f t="array" ref="D173">INDEX('Diag-2'!$B$2:$H$41,1+B173,C173)</f>
        <v>* differential.element[20].max = "*"</v>
      </c>
    </row>
    <row r="174" spans="1:4" x14ac:dyDescent="0.75">
      <c r="A174" s="115">
        <v>140</v>
      </c>
      <c r="B174" s="115">
        <f t="shared" si="4"/>
        <v>19</v>
      </c>
      <c r="C174" s="115">
        <f t="shared" si="5"/>
        <v>7</v>
      </c>
      <c r="D174" s="116" t="str" cm="1">
        <f t="array" ref="D174">INDEX('Diag-2'!$B$2:$H$41,1+B174,C174)</f>
        <v>* differential.element[20].type.code = #CodeableConcept</v>
      </c>
    </row>
    <row r="175" spans="1:4" x14ac:dyDescent="0.75">
      <c r="A175" s="115">
        <v>141</v>
      </c>
      <c r="B175" s="115">
        <f t="shared" si="4"/>
        <v>20</v>
      </c>
      <c r="C175" s="115">
        <f t="shared" si="5"/>
        <v>1</v>
      </c>
      <c r="D175" s="116" t="str" cm="1">
        <f t="array" ref="D175">INDEX('Diag-2'!$B$2:$H$41,1+B175,C175)</f>
        <v>* differential.element[21].id = "Diagnosis.metastasis"</v>
      </c>
    </row>
    <row r="176" spans="1:4" x14ac:dyDescent="0.75">
      <c r="A176" s="115">
        <v>142</v>
      </c>
      <c r="B176" s="115">
        <f t="shared" si="4"/>
        <v>20</v>
      </c>
      <c r="C176" s="115">
        <f t="shared" si="5"/>
        <v>2</v>
      </c>
      <c r="D176" s="116" t="str" cm="1">
        <f t="array" ref="D176">INDEX('Diag-2'!$B$2:$H$41,1+B176,C176)</f>
        <v>* differential.element[21].path = "Diagnosis.metastasis"</v>
      </c>
    </row>
    <row r="177" spans="1:4" x14ac:dyDescent="0.75">
      <c r="A177" s="115">
        <v>143</v>
      </c>
      <c r="B177" s="115">
        <f t="shared" si="4"/>
        <v>20</v>
      </c>
      <c r="C177" s="115">
        <f t="shared" si="5"/>
        <v>3</v>
      </c>
      <c r="D177" s="116" t="str" cm="1">
        <f t="array" ref="D177">INDEX('Diag-2'!$B$2:$H$41,1+B177,C177)</f>
        <v>* differential.element[21].short = "Metastatic"</v>
      </c>
    </row>
    <row r="178" spans="1:4" x14ac:dyDescent="0.75">
      <c r="A178" s="115">
        <v>144</v>
      </c>
      <c r="B178" s="115">
        <f t="shared" si="4"/>
        <v>20</v>
      </c>
      <c r="C178" s="115">
        <f t="shared" si="5"/>
        <v>4</v>
      </c>
      <c r="D178" s="116" t="str" cm="1">
        <f t="array" ref="D178">INDEX('Diag-2'!$B$2:$H$41,1+B178,C178)</f>
        <v>* differential.element[21].definition = "Some tumors may be either localized (e.g. stage III neuroblastoma) or metastatic. Please specify."</v>
      </c>
    </row>
    <row r="179" spans="1:4" x14ac:dyDescent="0.75">
      <c r="A179" s="115">
        <v>145</v>
      </c>
      <c r="B179" s="115">
        <f t="shared" si="4"/>
        <v>20</v>
      </c>
      <c r="C179" s="115">
        <f t="shared" si="5"/>
        <v>5</v>
      </c>
      <c r="D179" s="116" t="str" cm="1">
        <f t="array" ref="D179">INDEX('Diag-2'!$B$2:$H$41,1+B179,C179)</f>
        <v>* differential.element[21].min = 0</v>
      </c>
    </row>
    <row r="180" spans="1:4" x14ac:dyDescent="0.75">
      <c r="A180" s="115">
        <v>146</v>
      </c>
      <c r="B180" s="115">
        <f t="shared" si="4"/>
        <v>20</v>
      </c>
      <c r="C180" s="115">
        <f t="shared" si="5"/>
        <v>6</v>
      </c>
      <c r="D180" s="116" t="str" cm="1">
        <f t="array" ref="D180">INDEX('Diag-2'!$B$2:$H$41,1+B180,C180)</f>
        <v>* differential.element[21].max = "*"</v>
      </c>
    </row>
    <row r="181" spans="1:4" x14ac:dyDescent="0.75">
      <c r="A181" s="115">
        <v>147</v>
      </c>
      <c r="B181" s="115">
        <f t="shared" si="4"/>
        <v>20</v>
      </c>
      <c r="C181" s="115">
        <f t="shared" si="5"/>
        <v>7</v>
      </c>
      <c r="D181" s="116" t="str" cm="1">
        <f t="array" ref="D181">INDEX('Diag-2'!$B$2:$H$41,1+B181,C181)</f>
        <v>* differential.element[21].type.code = #BackboneElement</v>
      </c>
    </row>
    <row r="182" spans="1:4" x14ac:dyDescent="0.75">
      <c r="A182" s="115">
        <v>148</v>
      </c>
      <c r="B182" s="115">
        <f t="shared" si="4"/>
        <v>21</v>
      </c>
      <c r="C182" s="115">
        <f t="shared" si="5"/>
        <v>1</v>
      </c>
      <c r="D182" s="116" t="str" cm="1">
        <f t="array" ref="D182">INDEX('Diag-2'!$B$2:$H$41,1+B182,C182)</f>
        <v>* differential.element[22].id = "Diagnosis.metastasis.identifier"</v>
      </c>
    </row>
    <row r="183" spans="1:4" x14ac:dyDescent="0.75">
      <c r="A183" s="115">
        <v>149</v>
      </c>
      <c r="B183" s="115">
        <f t="shared" si="4"/>
        <v>21</v>
      </c>
      <c r="C183" s="115">
        <f t="shared" si="5"/>
        <v>2</v>
      </c>
      <c r="D183" s="116" t="str" cm="1">
        <f t="array" ref="D183">INDEX('Diag-2'!$B$2:$H$41,1+B183,C183)</f>
        <v>* differential.element[22].path = "Diagnosis.metastasis.identifier"</v>
      </c>
    </row>
    <row r="184" spans="1:4" x14ac:dyDescent="0.75">
      <c r="A184" s="115">
        <v>150</v>
      </c>
      <c r="B184" s="115">
        <f t="shared" si="4"/>
        <v>21</v>
      </c>
      <c r="C184" s="115">
        <f t="shared" si="5"/>
        <v>3</v>
      </c>
      <c r="D184" s="116" t="str" cm="1">
        <f t="array" ref="D184">INDEX('Diag-2'!$B$2:$H$41,1+B184,C184)</f>
        <v>* differential.element[22].short = "Metastasis id"</v>
      </c>
    </row>
    <row r="185" spans="1:4" x14ac:dyDescent="0.75">
      <c r="A185" s="115">
        <v>151</v>
      </c>
      <c r="B185" s="115">
        <f t="shared" si="4"/>
        <v>21</v>
      </c>
      <c r="C185" s="115">
        <f t="shared" si="5"/>
        <v>4</v>
      </c>
      <c r="D185" s="116" t="str" cm="1">
        <f t="array" ref="D185">INDEX('Diag-2'!$B$2:$H$41,1+B185,C185)</f>
        <v>* differential.element[22].definition = "Number of metastases"</v>
      </c>
    </row>
    <row r="186" spans="1:4" x14ac:dyDescent="0.75">
      <c r="A186" s="115">
        <v>152</v>
      </c>
      <c r="B186" s="115">
        <f t="shared" si="4"/>
        <v>21</v>
      </c>
      <c r="C186" s="115">
        <f t="shared" si="5"/>
        <v>5</v>
      </c>
      <c r="D186" s="116" t="str" cm="1">
        <f t="array" ref="D186">INDEX('Diag-2'!$B$2:$H$41,1+B186,C186)</f>
        <v>* differential.element[22].min = 0</v>
      </c>
    </row>
    <row r="187" spans="1:4" x14ac:dyDescent="0.75">
      <c r="A187" s="115">
        <v>153</v>
      </c>
      <c r="B187" s="115">
        <f t="shared" si="4"/>
        <v>21</v>
      </c>
      <c r="C187" s="115">
        <f t="shared" si="5"/>
        <v>6</v>
      </c>
      <c r="D187" s="116" t="str" cm="1">
        <f t="array" ref="D187">INDEX('Diag-2'!$B$2:$H$41,1+B187,C187)</f>
        <v>* differential.element[22].max = "*"</v>
      </c>
    </row>
    <row r="188" spans="1:4" x14ac:dyDescent="0.75">
      <c r="A188" s="115">
        <v>154</v>
      </c>
      <c r="B188" s="115">
        <f t="shared" si="4"/>
        <v>21</v>
      </c>
      <c r="C188" s="115">
        <f t="shared" si="5"/>
        <v>7</v>
      </c>
      <c r="D188" s="116" t="str" cm="1">
        <f t="array" ref="D188">INDEX('Diag-2'!$B$2:$H$41,1+B188,C188)</f>
        <v>* differential.element[22].type.code = #integer</v>
      </c>
    </row>
    <row r="189" spans="1:4" x14ac:dyDescent="0.75">
      <c r="A189" s="115">
        <v>155</v>
      </c>
      <c r="B189" s="115">
        <f t="shared" si="4"/>
        <v>22</v>
      </c>
      <c r="C189" s="115">
        <f t="shared" si="5"/>
        <v>1</v>
      </c>
      <c r="D189" s="116" t="str" cm="1">
        <f t="array" ref="D189">INDEX('Diag-2'!$B$2:$H$41,1+B189,C189)</f>
        <v>* differential.element[23].id = "Diagnosis.metastasis.site"</v>
      </c>
    </row>
    <row r="190" spans="1:4" x14ac:dyDescent="0.75">
      <c r="A190" s="115">
        <v>156</v>
      </c>
      <c r="B190" s="115">
        <f t="shared" si="4"/>
        <v>22</v>
      </c>
      <c r="C190" s="115">
        <f t="shared" si="5"/>
        <v>2</v>
      </c>
      <c r="D190" s="116" t="str" cm="1">
        <f t="array" ref="D190">INDEX('Diag-2'!$B$2:$H$41,1+B190,C190)</f>
        <v>* differential.element[23].path = "Diagnosis.metastasis.site"</v>
      </c>
    </row>
    <row r="191" spans="1:4" x14ac:dyDescent="0.75">
      <c r="A191" s="115">
        <v>157</v>
      </c>
      <c r="B191" s="115">
        <f t="shared" si="4"/>
        <v>22</v>
      </c>
      <c r="C191" s="115">
        <f t="shared" si="5"/>
        <v>3</v>
      </c>
      <c r="D191" s="116" t="str" cm="1">
        <f t="array" ref="D191">INDEX('Diag-2'!$B$2:$H$41,1+B191,C191)</f>
        <v>* differential.element[23].short = "Metastasis site"</v>
      </c>
    </row>
    <row r="192" spans="1:4" x14ac:dyDescent="0.75">
      <c r="A192" s="115">
        <v>158</v>
      </c>
      <c r="B192" s="115">
        <f t="shared" si="4"/>
        <v>22</v>
      </c>
      <c r="C192" s="115">
        <f t="shared" si="5"/>
        <v>4</v>
      </c>
      <c r="D192" s="116" t="str" cm="1">
        <f t="array" ref="D192">INDEX('Diag-2'!$B$2:$H$41,1+B192,C192)</f>
        <v>* differential.element[23].definition = "Please report here the site(s) of metastases detected at diagnosis."</v>
      </c>
    </row>
    <row r="193" spans="1:4" x14ac:dyDescent="0.75">
      <c r="A193" s="115">
        <v>159</v>
      </c>
      <c r="B193" s="115">
        <f t="shared" si="4"/>
        <v>22</v>
      </c>
      <c r="C193" s="115">
        <f t="shared" si="5"/>
        <v>5</v>
      </c>
      <c r="D193" s="116" t="str" cm="1">
        <f t="array" ref="D193">INDEX('Diag-2'!$B$2:$H$41,1+B193,C193)</f>
        <v>* differential.element[23].min = 0</v>
      </c>
    </row>
    <row r="194" spans="1:4" x14ac:dyDescent="0.75">
      <c r="A194" s="115">
        <v>160</v>
      </c>
      <c r="B194" s="115">
        <f t="shared" si="4"/>
        <v>22</v>
      </c>
      <c r="C194" s="115">
        <f t="shared" si="5"/>
        <v>6</v>
      </c>
      <c r="D194" s="116" t="str" cm="1">
        <f t="array" ref="D194">INDEX('Diag-2'!$B$2:$H$41,1+B194,C194)</f>
        <v>* differential.element[23].max = "*"</v>
      </c>
    </row>
    <row r="195" spans="1:4" x14ac:dyDescent="0.75">
      <c r="A195" s="115">
        <v>161</v>
      </c>
      <c r="B195" s="115">
        <f t="shared" si="4"/>
        <v>22</v>
      </c>
      <c r="C195" s="115">
        <f t="shared" si="5"/>
        <v>7</v>
      </c>
      <c r="D195" s="116" t="str" cm="1">
        <f t="array" ref="D195">INDEX('Diag-2'!$B$2:$H$41,1+B195,C195)</f>
        <v>* differential.element[23].type.code = #BackboneElement</v>
      </c>
    </row>
    <row r="196" spans="1:4" x14ac:dyDescent="0.75">
      <c r="A196" s="115">
        <v>162</v>
      </c>
      <c r="B196" s="115">
        <f t="shared" si="4"/>
        <v>23</v>
      </c>
      <c r="C196" s="115">
        <f t="shared" si="5"/>
        <v>1</v>
      </c>
      <c r="D196" s="116" t="str" cm="1">
        <f t="array" ref="D196">INDEX('Diag-2'!$B$2:$H$41,1+B196,C196)</f>
        <v>* differential.element[24].id = "Diagnosis.metastasis.site.code"</v>
      </c>
    </row>
    <row r="197" spans="1:4" x14ac:dyDescent="0.75">
      <c r="A197" s="115">
        <v>163</v>
      </c>
      <c r="B197" s="115">
        <f t="shared" si="4"/>
        <v>23</v>
      </c>
      <c r="C197" s="115">
        <f t="shared" si="5"/>
        <v>2</v>
      </c>
      <c r="D197" s="116" t="str" cm="1">
        <f t="array" ref="D197">INDEX('Diag-2'!$B$2:$H$41,1+B197,C197)</f>
        <v>* differential.element[24].path = "Diagnosis.metastasis.site.code"</v>
      </c>
    </row>
    <row r="198" spans="1:4" x14ac:dyDescent="0.75">
      <c r="A198" s="115">
        <v>164</v>
      </c>
      <c r="B198" s="115">
        <f t="shared" si="4"/>
        <v>23</v>
      </c>
      <c r="C198" s="115">
        <f t="shared" si="5"/>
        <v>3</v>
      </c>
      <c r="D198" s="116" t="str" cm="1">
        <f t="array" ref="D198">INDEX('Diag-2'!$B$2:$H$41,1+B198,C198)</f>
        <v>* differential.element[24].short = "Metastasis site code"</v>
      </c>
    </row>
    <row r="199" spans="1:4" x14ac:dyDescent="0.75">
      <c r="A199" s="115">
        <v>165</v>
      </c>
      <c r="B199" s="115">
        <f t="shared" si="4"/>
        <v>23</v>
      </c>
      <c r="C199" s="115">
        <f t="shared" si="5"/>
        <v>4</v>
      </c>
      <c r="D199" s="116" t="str" cm="1">
        <f t="array" ref="D199">INDEX('Diag-2'!$B$2:$H$41,1+B199,C199)</f>
        <v>* differential.element[24].definition = "Metastases detected at diagnosis (using ICD-O-3 Topography). If site(s) is unknown, code C80.9"</v>
      </c>
    </row>
    <row r="200" spans="1:4" x14ac:dyDescent="0.75">
      <c r="A200" s="115">
        <v>166</v>
      </c>
      <c r="B200" s="115">
        <f t="shared" si="4"/>
        <v>23</v>
      </c>
      <c r="C200" s="115">
        <f t="shared" si="5"/>
        <v>5</v>
      </c>
      <c r="D200" s="116" t="str" cm="1">
        <f t="array" ref="D200">INDEX('Diag-2'!$B$2:$H$41,1+B200,C200)</f>
        <v>* differential.element[24].min = 0</v>
      </c>
    </row>
    <row r="201" spans="1:4" x14ac:dyDescent="0.75">
      <c r="A201" s="115">
        <v>167</v>
      </c>
      <c r="B201" s="115">
        <f t="shared" si="4"/>
        <v>23</v>
      </c>
      <c r="C201" s="115">
        <f t="shared" si="5"/>
        <v>6</v>
      </c>
      <c r="D201" s="116" t="str" cm="1">
        <f t="array" ref="D201">INDEX('Diag-2'!$B$2:$H$41,1+B201,C201)</f>
        <v>* differential.element[24].max = "*"</v>
      </c>
    </row>
    <row r="202" spans="1:4" x14ac:dyDescent="0.75">
      <c r="A202" s="115">
        <v>168</v>
      </c>
      <c r="B202" s="115">
        <f t="shared" si="4"/>
        <v>23</v>
      </c>
      <c r="C202" s="115">
        <f t="shared" si="5"/>
        <v>7</v>
      </c>
      <c r="D202" s="116" t="str" cm="1">
        <f t="array" ref="D202">INDEX('Diag-2'!$B$2:$H$41,1+B202,C202)</f>
        <v>* differential.element[24].type.code = #CodeableConcept</v>
      </c>
    </row>
    <row r="203" spans="1:4" x14ac:dyDescent="0.75">
      <c r="A203" s="115">
        <v>169</v>
      </c>
      <c r="B203" s="115">
        <f t="shared" si="4"/>
        <v>24</v>
      </c>
      <c r="C203" s="115">
        <f t="shared" si="5"/>
        <v>1</v>
      </c>
      <c r="D203" s="116" t="str" cm="1">
        <f t="array" ref="D203">INDEX('Diag-2'!$B$2:$H$41,1+B203,C203)</f>
        <v>* differential.element[25].id = "Diagnosis.metastasis.site.description"</v>
      </c>
    </row>
    <row r="204" spans="1:4" x14ac:dyDescent="0.75">
      <c r="A204" s="115">
        <v>170</v>
      </c>
      <c r="B204" s="115">
        <f t="shared" si="4"/>
        <v>24</v>
      </c>
      <c r="C204" s="115">
        <f t="shared" si="5"/>
        <v>2</v>
      </c>
      <c r="D204" s="116" t="str" cm="1">
        <f t="array" ref="D204">INDEX('Diag-2'!$B$2:$H$41,1+B204,C204)</f>
        <v>* differential.element[25].path = "Diagnosis.metastasis.site.description"</v>
      </c>
    </row>
    <row r="205" spans="1:4" x14ac:dyDescent="0.75">
      <c r="A205" s="115">
        <v>171</v>
      </c>
      <c r="B205" s="115">
        <f t="shared" si="4"/>
        <v>24</v>
      </c>
      <c r="C205" s="115">
        <f t="shared" si="5"/>
        <v>3</v>
      </c>
      <c r="D205" s="116" t="str" cm="1">
        <f t="array" ref="D205">INDEX('Diag-2'!$B$2:$H$41,1+B205,C205)</f>
        <v>* differential.element[25].short = "Additional description of sites of metastatis"</v>
      </c>
    </row>
    <row r="206" spans="1:4" x14ac:dyDescent="0.75">
      <c r="A206" s="115">
        <v>172</v>
      </c>
      <c r="B206" s="115">
        <f t="shared" si="4"/>
        <v>24</v>
      </c>
      <c r="C206" s="115">
        <f t="shared" si="5"/>
        <v>4</v>
      </c>
      <c r="D206" s="116" t="str" cm="1">
        <f t="array" ref="D206">INDEX('Diag-2'!$B$2:$H$41,1+B206,C206)</f>
        <v>* differential.element[25].definition = "Additional description of sites of metastatis"</v>
      </c>
    </row>
    <row r="207" spans="1:4" x14ac:dyDescent="0.75">
      <c r="A207" s="115">
        <v>173</v>
      </c>
      <c r="B207" s="115">
        <f t="shared" si="4"/>
        <v>24</v>
      </c>
      <c r="C207" s="115">
        <f t="shared" si="5"/>
        <v>5</v>
      </c>
      <c r="D207" s="116" t="str" cm="1">
        <f t="array" ref="D207">INDEX('Diag-2'!$B$2:$H$41,1+B207,C207)</f>
        <v>* differential.element[25].min = 0</v>
      </c>
    </row>
    <row r="208" spans="1:4" x14ac:dyDescent="0.75">
      <c r="A208" s="115">
        <v>174</v>
      </c>
      <c r="B208" s="115">
        <f t="shared" si="4"/>
        <v>24</v>
      </c>
      <c r="C208" s="115">
        <f t="shared" si="5"/>
        <v>6</v>
      </c>
      <c r="D208" s="116" t="str" cm="1">
        <f t="array" ref="D208">INDEX('Diag-2'!$B$2:$H$41,1+B208,C208)</f>
        <v>* differential.element[25].max = "*"</v>
      </c>
    </row>
    <row r="209" spans="1:4" x14ac:dyDescent="0.75">
      <c r="A209" s="115">
        <v>175</v>
      </c>
      <c r="B209" s="115">
        <f t="shared" si="4"/>
        <v>24</v>
      </c>
      <c r="C209" s="115">
        <f t="shared" si="5"/>
        <v>7</v>
      </c>
      <c r="D209" s="116" t="str" cm="1">
        <f t="array" ref="D209">INDEX('Diag-2'!$B$2:$H$41,1+B209,C209)</f>
        <v>* differential.element[25].type.code = #string</v>
      </c>
    </row>
    <row r="210" spans="1:4" x14ac:dyDescent="0.75">
      <c r="A210" s="115">
        <v>176</v>
      </c>
      <c r="B210" s="115">
        <f t="shared" si="4"/>
        <v>25</v>
      </c>
      <c r="C210" s="115">
        <f t="shared" si="5"/>
        <v>1</v>
      </c>
      <c r="D210" s="116" t="str" cm="1">
        <f t="array" ref="D210">INDEX('Diag-2'!$B$2:$H$41,1+B210,C210)</f>
        <v>* differential.element[26].id = "Diagnosis.geneticMarkers"</v>
      </c>
    </row>
    <row r="211" spans="1:4" x14ac:dyDescent="0.75">
      <c r="A211" s="115">
        <v>177</v>
      </c>
      <c r="B211" s="115">
        <f t="shared" si="4"/>
        <v>25</v>
      </c>
      <c r="C211" s="115">
        <f t="shared" si="5"/>
        <v>2</v>
      </c>
      <c r="D211" s="116" t="str" cm="1">
        <f t="array" ref="D211">INDEX('Diag-2'!$B$2:$H$41,1+B211,C211)</f>
        <v>* differential.element[26].path = "Diagnosis.geneticMarkers"</v>
      </c>
    </row>
    <row r="212" spans="1:4" x14ac:dyDescent="0.75">
      <c r="A212" s="115">
        <v>178</v>
      </c>
      <c r="B212" s="115">
        <f t="shared" si="4"/>
        <v>25</v>
      </c>
      <c r="C212" s="115">
        <f t="shared" si="5"/>
        <v>3</v>
      </c>
      <c r="D212" s="116" t="str" cm="1">
        <f t="array" ref="D212">INDEX('Diag-2'!$B$2:$H$41,1+B212,C212)</f>
        <v>* differential.element[26].short = "Genetic markers(text)"</v>
      </c>
    </row>
    <row r="213" spans="1:4" ht="29.5" x14ac:dyDescent="0.75">
      <c r="A213" s="115">
        <v>179</v>
      </c>
      <c r="B213" s="115">
        <f t="shared" si="4"/>
        <v>25</v>
      </c>
      <c r="C213" s="115">
        <f t="shared" si="5"/>
        <v>4</v>
      </c>
      <c r="D213" s="116" t="str" cm="1">
        <f t="array" ref="D213">INDEX('Diag-2'!$B$2:$H$41,1+B213,C213)</f>
        <v>* differential.element[26].definition = "Please report here any genetic marker: chromosomal alterations (e.g. translocation, deletions, duplications); or other types of genetic alterations (amplification, deletion, mutation)"</v>
      </c>
    </row>
    <row r="214" spans="1:4" x14ac:dyDescent="0.75">
      <c r="A214" s="115">
        <v>180</v>
      </c>
      <c r="B214" s="115">
        <f t="shared" si="4"/>
        <v>25</v>
      </c>
      <c r="C214" s="115">
        <f t="shared" si="5"/>
        <v>5</v>
      </c>
      <c r="D214" s="116" t="str" cm="1">
        <f t="array" ref="D214">INDEX('Diag-2'!$B$2:$H$41,1+B214,C214)</f>
        <v>* differential.element[26].min = 0</v>
      </c>
    </row>
    <row r="215" spans="1:4" x14ac:dyDescent="0.75">
      <c r="A215" s="115">
        <v>181</v>
      </c>
      <c r="B215" s="115">
        <f t="shared" si="4"/>
        <v>25</v>
      </c>
      <c r="C215" s="115">
        <f t="shared" si="5"/>
        <v>6</v>
      </c>
      <c r="D215" s="116" t="str" cm="1">
        <f t="array" ref="D215">INDEX('Diag-2'!$B$2:$H$41,1+B215,C215)</f>
        <v>* differential.element[26].max = "1"</v>
      </c>
    </row>
    <row r="216" spans="1:4" x14ac:dyDescent="0.75">
      <c r="A216" s="115">
        <v>182</v>
      </c>
      <c r="B216" s="115">
        <f t="shared" si="4"/>
        <v>25</v>
      </c>
      <c r="C216" s="115">
        <f t="shared" si="5"/>
        <v>7</v>
      </c>
      <c r="D216" s="116" t="str" cm="1">
        <f t="array" ref="D216">INDEX('Diag-2'!$B$2:$H$41,1+B216,C216)</f>
        <v>* differential.element[26].type.code = #string</v>
      </c>
    </row>
    <row r="217" spans="1:4" x14ac:dyDescent="0.75">
      <c r="A217" s="115">
        <v>183</v>
      </c>
      <c r="B217" s="115">
        <f t="shared" si="4"/>
        <v>26</v>
      </c>
      <c r="C217" s="115">
        <f t="shared" si="5"/>
        <v>1</v>
      </c>
      <c r="D217" s="116" t="str" cm="1">
        <f t="array" ref="D217">INDEX('Diag-2'!$B$2:$H$41,1+B217,C217)</f>
        <v>* differential.element[27].id = "Diagnosis.stage"</v>
      </c>
    </row>
    <row r="218" spans="1:4" x14ac:dyDescent="0.75">
      <c r="A218" s="115">
        <v>184</v>
      </c>
      <c r="B218" s="115">
        <f t="shared" si="4"/>
        <v>26</v>
      </c>
      <c r="C218" s="115">
        <f t="shared" si="5"/>
        <v>2</v>
      </c>
      <c r="D218" s="116" t="str" cm="1">
        <f t="array" ref="D218">INDEX('Diag-2'!$B$2:$H$41,1+B218,C218)</f>
        <v>* differential.element[27].path = "Diagnosis.stage"</v>
      </c>
    </row>
    <row r="219" spans="1:4" x14ac:dyDescent="0.75">
      <c r="A219" s="115">
        <v>185</v>
      </c>
      <c r="B219" s="115">
        <f t="shared" si="4"/>
        <v>26</v>
      </c>
      <c r="C219" s="115">
        <f t="shared" si="5"/>
        <v>3</v>
      </c>
      <c r="D219" s="116" t="str" cm="1">
        <f t="array" ref="D219">INDEX('Diag-2'!$B$2:$H$41,1+B219,C219)</f>
        <v>* differential.element[27].short = "Stage/Risk"</v>
      </c>
    </row>
    <row r="220" spans="1:4" ht="44.25" x14ac:dyDescent="0.75">
      <c r="A220" s="115">
        <v>186</v>
      </c>
      <c r="B220" s="115">
        <f t="shared" si="4"/>
        <v>26</v>
      </c>
      <c r="C220" s="115">
        <f t="shared" si="5"/>
        <v>4</v>
      </c>
      <c r="D220" s="116" t="str" cm="1">
        <f t="array" ref="D220">INDEX('Diag-2'!$B$2:$H$41,1+B220,C220)</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row>
    <row r="221" spans="1:4" x14ac:dyDescent="0.75">
      <c r="A221" s="115">
        <v>187</v>
      </c>
      <c r="B221" s="115">
        <f t="shared" si="4"/>
        <v>26</v>
      </c>
      <c r="C221" s="115">
        <f t="shared" si="5"/>
        <v>5</v>
      </c>
      <c r="D221" s="116" t="str" cm="1">
        <f t="array" ref="D221">INDEX('Diag-2'!$B$2:$H$41,1+B221,C221)</f>
        <v>* differential.element[27].min = 0</v>
      </c>
    </row>
    <row r="222" spans="1:4" x14ac:dyDescent="0.75">
      <c r="A222" s="115">
        <v>188</v>
      </c>
      <c r="B222" s="115">
        <f t="shared" si="4"/>
        <v>26</v>
      </c>
      <c r="C222" s="115">
        <f t="shared" si="5"/>
        <v>6</v>
      </c>
      <c r="D222" s="116" t="str" cm="1">
        <f t="array" ref="D222">INDEX('Diag-2'!$B$2:$H$41,1+B222,C222)</f>
        <v>* differential.element[27].max = "1"</v>
      </c>
    </row>
    <row r="223" spans="1:4" x14ac:dyDescent="0.75">
      <c r="A223" s="115">
        <v>189</v>
      </c>
      <c r="B223" s="115">
        <f t="shared" si="4"/>
        <v>26</v>
      </c>
      <c r="C223" s="115">
        <f t="shared" si="5"/>
        <v>7</v>
      </c>
      <c r="D223" s="116" t="str" cm="1">
        <f t="array" ref="D223">INDEX('Diag-2'!$B$2:$H$41,1+B223,C223)</f>
        <v>* differential.element[27].type.code = #string</v>
      </c>
    </row>
    <row r="224" spans="1:4" x14ac:dyDescent="0.75">
      <c r="A224" s="115">
        <v>190</v>
      </c>
      <c r="B224" s="115">
        <f t="shared" si="4"/>
        <v>27</v>
      </c>
      <c r="C224" s="115">
        <f t="shared" si="5"/>
        <v>1</v>
      </c>
      <c r="D224" s="116" t="str" cm="1">
        <f t="array" ref="D224">INDEX('Diag-2'!$B$2:$H$41,1+B224,C224)</f>
        <v>* differential.element[28].id = "Diagnosis.immunology"</v>
      </c>
    </row>
    <row r="225" spans="1:4" x14ac:dyDescent="0.75">
      <c r="A225" s="115">
        <v>191</v>
      </c>
      <c r="B225" s="115">
        <f t="shared" si="4"/>
        <v>27</v>
      </c>
      <c r="C225" s="115">
        <f t="shared" si="5"/>
        <v>2</v>
      </c>
      <c r="D225" s="116" t="str" cm="1">
        <f t="array" ref="D225">INDEX('Diag-2'!$B$2:$H$41,1+B225,C225)</f>
        <v>* differential.element[28].path = "Diagnosis.immunology"</v>
      </c>
    </row>
    <row r="226" spans="1:4" x14ac:dyDescent="0.75">
      <c r="A226" s="115">
        <v>192</v>
      </c>
      <c r="B226" s="115">
        <f t="shared" si="4"/>
        <v>27</v>
      </c>
      <c r="C226" s="115">
        <f t="shared" si="5"/>
        <v>3</v>
      </c>
      <c r="D226" s="116" t="str" cm="1">
        <f t="array" ref="D226">INDEX('Diag-2'!$B$2:$H$41,1+B226,C226)</f>
        <v>* differential.element[28].short = "Immunology"</v>
      </c>
    </row>
    <row r="227" spans="1:4" ht="29.5" x14ac:dyDescent="0.75">
      <c r="A227" s="115">
        <v>193</v>
      </c>
      <c r="B227" s="115">
        <f t="shared" si="4"/>
        <v>27</v>
      </c>
      <c r="C227" s="115">
        <f t="shared" si="5"/>
        <v>4</v>
      </c>
      <c r="D227" s="116" t="str" cm="1">
        <f t="array" ref="D227">INDEX('Diag-2'!$B$2:$H$41,1+B227,C227)</f>
        <v>* differential.element[28].definition = "Immunology . This is a free text field. Report here, if applicable (e.g. leukemias) the immunophenotype of the disease (sometimes already reported in the ICD-O-3 Morphology coding). If immunology is unknown, specify 'NK'"</v>
      </c>
    </row>
    <row r="228" spans="1:4" x14ac:dyDescent="0.75">
      <c r="A228" s="115">
        <v>194</v>
      </c>
      <c r="B228" s="115">
        <f t="shared" ref="B228:B251" si="6">IF(MOD(A228,7)=0,A228/7-1,INT(A228/7))</f>
        <v>27</v>
      </c>
      <c r="C228" s="115">
        <f t="shared" ref="C228:C251" si="7">IF(MOD(A228,7)=0,7,MOD(A228,7))</f>
        <v>5</v>
      </c>
      <c r="D228" s="116" t="str" cm="1">
        <f t="array" ref="D228">INDEX('Diag-2'!$B$2:$H$41,1+B228,C228)</f>
        <v>* differential.element[28].min = 0</v>
      </c>
    </row>
    <row r="229" spans="1:4" x14ac:dyDescent="0.75">
      <c r="A229" s="115">
        <v>195</v>
      </c>
      <c r="B229" s="115">
        <f t="shared" si="6"/>
        <v>27</v>
      </c>
      <c r="C229" s="115">
        <f t="shared" si="7"/>
        <v>6</v>
      </c>
      <c r="D229" s="116" t="str" cm="1">
        <f t="array" ref="D229">INDEX('Diag-2'!$B$2:$H$41,1+B229,C229)</f>
        <v>* differential.element[28].max = "*"</v>
      </c>
    </row>
    <row r="230" spans="1:4" x14ac:dyDescent="0.75">
      <c r="A230" s="115">
        <v>196</v>
      </c>
      <c r="B230" s="115">
        <f t="shared" si="6"/>
        <v>27</v>
      </c>
      <c r="C230" s="115">
        <f t="shared" si="7"/>
        <v>7</v>
      </c>
      <c r="D230" s="116" t="str" cm="1">
        <f t="array" ref="D230">INDEX('Diag-2'!$B$2:$H$41,1+B230,C230)</f>
        <v>* differential.element[28].type.code = #CodeableConcept</v>
      </c>
    </row>
    <row r="231" spans="1:4" x14ac:dyDescent="0.75">
      <c r="A231" s="115">
        <v>197</v>
      </c>
      <c r="B231" s="115">
        <f t="shared" si="6"/>
        <v>28</v>
      </c>
      <c r="C231" s="115">
        <f t="shared" si="7"/>
        <v>1</v>
      </c>
      <c r="D231" s="116" t="str" cm="1">
        <f t="array" ref="D231">INDEX('Diag-2'!$B$2:$H$41,1+B231,C231)</f>
        <v>* differential.element[29].id = "Diagnosis.hereditaryPredisposition"</v>
      </c>
    </row>
    <row r="232" spans="1:4" x14ac:dyDescent="0.75">
      <c r="A232" s="115">
        <v>198</v>
      </c>
      <c r="B232" s="115">
        <f t="shared" si="6"/>
        <v>28</v>
      </c>
      <c r="C232" s="115">
        <f t="shared" si="7"/>
        <v>2</v>
      </c>
      <c r="D232" s="116" t="str" cm="1">
        <f t="array" ref="D232">INDEX('Diag-2'!$B$2:$H$41,1+B232,C232)</f>
        <v>* differential.element[29].path = "Diagnosis.hereditaryPredisposition"</v>
      </c>
    </row>
    <row r="233" spans="1:4" x14ac:dyDescent="0.75">
      <c r="A233" s="115">
        <v>199</v>
      </c>
      <c r="B233" s="115">
        <f t="shared" si="6"/>
        <v>28</v>
      </c>
      <c r="C233" s="115">
        <f t="shared" si="7"/>
        <v>3</v>
      </c>
      <c r="D233" s="116" t="str" cm="1">
        <f t="array" ref="D233">INDEX('Diag-2'!$B$2:$H$41,1+B233,C233)</f>
        <v>* differential.element[29].short = "Hereditary Cancer Predisposition"</v>
      </c>
    </row>
    <row r="234" spans="1:4" ht="59" x14ac:dyDescent="0.75">
      <c r="A234" s="115">
        <v>200</v>
      </c>
      <c r="B234" s="115">
        <f t="shared" si="6"/>
        <v>28</v>
      </c>
      <c r="C234" s="115">
        <f t="shared" si="7"/>
        <v>4</v>
      </c>
      <c r="D234" s="116" t="str" cm="1">
        <f t="array" ref="D234">INDEX('Diag-2'!$B$2:$H$41,1+B234,C234)</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row>
    <row r="235" spans="1:4" x14ac:dyDescent="0.75">
      <c r="A235" s="115">
        <v>201</v>
      </c>
      <c r="B235" s="115">
        <f t="shared" si="6"/>
        <v>28</v>
      </c>
      <c r="C235" s="115">
        <f t="shared" si="7"/>
        <v>5</v>
      </c>
      <c r="D235" s="116" t="str" cm="1">
        <f t="array" ref="D235">INDEX('Diag-2'!$B$2:$H$41,1+B235,C235)</f>
        <v>* differential.element[29].min = 0</v>
      </c>
    </row>
    <row r="236" spans="1:4" x14ac:dyDescent="0.75">
      <c r="A236" s="115">
        <v>202</v>
      </c>
      <c r="B236" s="115">
        <f t="shared" si="6"/>
        <v>28</v>
      </c>
      <c r="C236" s="115">
        <f t="shared" si="7"/>
        <v>6</v>
      </c>
      <c r="D236" s="116" t="str" cm="1">
        <f t="array" ref="D236">INDEX('Diag-2'!$B$2:$H$41,1+B236,C236)</f>
        <v>* differential.element[29].max = "*"</v>
      </c>
    </row>
    <row r="237" spans="1:4" x14ac:dyDescent="0.75">
      <c r="A237" s="115">
        <v>203</v>
      </c>
      <c r="B237" s="115">
        <f t="shared" si="6"/>
        <v>28</v>
      </c>
      <c r="C237" s="115">
        <f t="shared" si="7"/>
        <v>7</v>
      </c>
      <c r="D237" s="116" t="str" cm="1">
        <f t="array" ref="D237">INDEX('Diag-2'!$B$2:$H$41,1+B237,C237)</f>
        <v>* differential.element[29].type.code = #CodeableConcept</v>
      </c>
    </row>
    <row r="238" spans="1:4" x14ac:dyDescent="0.75">
      <c r="A238" s="115">
        <v>204</v>
      </c>
      <c r="B238" s="115">
        <f t="shared" si="6"/>
        <v>29</v>
      </c>
      <c r="C238" s="115">
        <f t="shared" si="7"/>
        <v>1</v>
      </c>
      <c r="D238" s="116" t="str" cm="1">
        <f t="array" ref="D238">INDEX('Diag-2'!$B$2:$H$41,1+B238,C238)</f>
        <v>* differential.element[30].id = "Diagnosis.notes"</v>
      </c>
    </row>
    <row r="239" spans="1:4" x14ac:dyDescent="0.75">
      <c r="A239" s="115">
        <v>205</v>
      </c>
      <c r="B239" s="115">
        <f t="shared" si="6"/>
        <v>29</v>
      </c>
      <c r="C239" s="115">
        <f t="shared" si="7"/>
        <v>2</v>
      </c>
      <c r="D239" s="116" t="str" cm="1">
        <f t="array" ref="D239">INDEX('Diag-2'!$B$2:$H$41,1+B239,C239)</f>
        <v>* differential.element[30].path = "Diagnosis.notes"</v>
      </c>
    </row>
    <row r="240" spans="1:4" x14ac:dyDescent="0.75">
      <c r="A240" s="115">
        <v>206</v>
      </c>
      <c r="B240" s="115">
        <f t="shared" si="6"/>
        <v>29</v>
      </c>
      <c r="C240" s="115">
        <f t="shared" si="7"/>
        <v>3</v>
      </c>
      <c r="D240" s="116" t="str" cm="1">
        <f t="array" ref="D240">INDEX('Diag-2'!$B$2:$H$41,1+B240,C240)</f>
        <v>* differential.element[30].short = "Notes"</v>
      </c>
    </row>
    <row r="241" spans="1:4" x14ac:dyDescent="0.75">
      <c r="A241" s="115">
        <v>207</v>
      </c>
      <c r="B241" s="115">
        <f t="shared" si="6"/>
        <v>29</v>
      </c>
      <c r="C241" s="115">
        <f t="shared" si="7"/>
        <v>4</v>
      </c>
      <c r="D241" s="116" t="str" cm="1">
        <f t="array" ref="D241">INDEX('Diag-2'!$B$2:$H$41,1+B241,C241)</f>
        <v>* differential.element[30].definition = "Notes"</v>
      </c>
    </row>
    <row r="242" spans="1:4" x14ac:dyDescent="0.75">
      <c r="A242" s="115">
        <v>208</v>
      </c>
      <c r="B242" s="115">
        <f t="shared" si="6"/>
        <v>29</v>
      </c>
      <c r="C242" s="115">
        <f t="shared" si="7"/>
        <v>5</v>
      </c>
      <c r="D242" s="116" t="str" cm="1">
        <f t="array" ref="D242">INDEX('Diag-2'!$B$2:$H$41,1+B242,C242)</f>
        <v>* differential.element[30].min = 0</v>
      </c>
    </row>
    <row r="243" spans="1:4" x14ac:dyDescent="0.75">
      <c r="A243" s="115">
        <v>209</v>
      </c>
      <c r="B243" s="115">
        <f t="shared" si="6"/>
        <v>29</v>
      </c>
      <c r="C243" s="115">
        <f t="shared" si="7"/>
        <v>6</v>
      </c>
      <c r="D243" s="116" t="str" cm="1">
        <f t="array" ref="D243">INDEX('Diag-2'!$B$2:$H$41,1+B243,C243)</f>
        <v>* differential.element[30].max = "*"</v>
      </c>
    </row>
    <row r="244" spans="1:4" x14ac:dyDescent="0.75">
      <c r="A244" s="115">
        <v>210</v>
      </c>
      <c r="B244" s="115">
        <f t="shared" si="6"/>
        <v>29</v>
      </c>
      <c r="C244" s="115">
        <f t="shared" si="7"/>
        <v>7</v>
      </c>
      <c r="D244" s="116" t="str" cm="1">
        <f t="array" ref="D244">INDEX('Diag-2'!$B$2:$H$41,1+B244,C244)</f>
        <v>* differential.element[30].type.code = #string</v>
      </c>
    </row>
    <row r="245" spans="1:4" x14ac:dyDescent="0.75">
      <c r="A245" s="115">
        <v>211</v>
      </c>
      <c r="B245" s="115">
        <f t="shared" si="6"/>
        <v>30</v>
      </c>
      <c r="C245" s="115">
        <f t="shared" si="7"/>
        <v>1</v>
      </c>
      <c r="D245" s="116" cm="1">
        <f t="array" ref="D245">INDEX('Diag-2'!$B$2:$H$41,1+B245,C245)</f>
        <v>0</v>
      </c>
    </row>
    <row r="246" spans="1:4" x14ac:dyDescent="0.75">
      <c r="A246" s="115">
        <v>212</v>
      </c>
      <c r="B246" s="115">
        <f t="shared" si="6"/>
        <v>30</v>
      </c>
      <c r="C246" s="115">
        <f t="shared" si="7"/>
        <v>2</v>
      </c>
      <c r="D246" s="116" cm="1">
        <f t="array" ref="D246">INDEX('Diag-2'!$B$2:$H$41,1+B246,C246)</f>
        <v>0</v>
      </c>
    </row>
    <row r="247" spans="1:4" x14ac:dyDescent="0.75">
      <c r="A247" s="115">
        <v>213</v>
      </c>
      <c r="B247" s="115">
        <f t="shared" si="6"/>
        <v>30</v>
      </c>
      <c r="C247" s="115">
        <f t="shared" si="7"/>
        <v>3</v>
      </c>
      <c r="D247" s="116" cm="1">
        <f t="array" ref="D247">INDEX('Diag-2'!$B$2:$H$41,1+B247,C247)</f>
        <v>0</v>
      </c>
    </row>
    <row r="248" spans="1:4" x14ac:dyDescent="0.75">
      <c r="A248" s="115">
        <v>214</v>
      </c>
      <c r="B248" s="115">
        <f t="shared" si="6"/>
        <v>30</v>
      </c>
      <c r="C248" s="115">
        <f t="shared" si="7"/>
        <v>4</v>
      </c>
      <c r="D248" s="116" cm="1">
        <f t="array" ref="D248">INDEX('Diag-2'!$B$2:$H$41,1+B248,C248)</f>
        <v>0</v>
      </c>
    </row>
    <row r="249" spans="1:4" x14ac:dyDescent="0.75">
      <c r="A249" s="115">
        <v>215</v>
      </c>
      <c r="B249" s="115">
        <f t="shared" si="6"/>
        <v>30</v>
      </c>
      <c r="C249" s="115">
        <f t="shared" si="7"/>
        <v>5</v>
      </c>
      <c r="D249" s="116" cm="1">
        <f t="array" ref="D249">INDEX('Diag-2'!$B$2:$H$41,1+B249,C249)</f>
        <v>0</v>
      </c>
    </row>
    <row r="250" spans="1:4" x14ac:dyDescent="0.75">
      <c r="A250" s="115">
        <v>216</v>
      </c>
      <c r="B250" s="115">
        <f t="shared" si="6"/>
        <v>30</v>
      </c>
      <c r="C250" s="115">
        <f t="shared" si="7"/>
        <v>6</v>
      </c>
      <c r="D250" s="116" cm="1">
        <f t="array" ref="D250">INDEX('Diag-2'!$B$2:$H$41,1+B250,C250)</f>
        <v>0</v>
      </c>
    </row>
    <row r="251" spans="1:4" x14ac:dyDescent="0.75">
      <c r="A251" s="115">
        <v>217</v>
      </c>
      <c r="B251" s="115">
        <f t="shared" si="6"/>
        <v>30</v>
      </c>
      <c r="C251" s="115">
        <f t="shared" si="7"/>
        <v>7</v>
      </c>
      <c r="D251" s="116" cm="1">
        <f t="array" ref="D251">INDEX('Diag-2'!$B$2:$H$41,1+B251,C251)</f>
        <v>0</v>
      </c>
    </row>
    <row r="252" spans="1:4" x14ac:dyDescent="0.75">
      <c r="A252" s="115">
        <v>218</v>
      </c>
      <c r="B252" s="115">
        <f>IF(MOD(A252,7)=0,A252/7-1,INT(A252/7))</f>
        <v>31</v>
      </c>
      <c r="C252" s="115">
        <f>IF(MOD(A252,7)=0,7,MOD(A252,7))</f>
        <v>1</v>
      </c>
      <c r="D252" s="116" cm="1">
        <f t="array" ref="D252">INDEX('Diag-2'!$B$2:$H$41,1+B252,C252)</f>
        <v>0</v>
      </c>
    </row>
    <row r="253" spans="1:4" x14ac:dyDescent="0.75">
      <c r="A253" s="115">
        <v>219</v>
      </c>
      <c r="B253" s="115">
        <f t="shared" ref="B253:B256" si="8">IF(MOD(A253,7)=0,A253/7-1,INT(A253/7))</f>
        <v>31</v>
      </c>
      <c r="C253" s="115">
        <f t="shared" ref="C253:C256" si="9">IF(MOD(A253,7)=0,7,MOD(A253,7))</f>
        <v>2</v>
      </c>
      <c r="D253" s="116" cm="1">
        <f t="array" ref="D253">INDEX('Diag-2'!$B$2:$H$41,1+B253,C253)</f>
        <v>0</v>
      </c>
    </row>
    <row r="254" spans="1:4" x14ac:dyDescent="0.75">
      <c r="A254" s="115">
        <v>220</v>
      </c>
      <c r="B254" s="115">
        <f t="shared" si="8"/>
        <v>31</v>
      </c>
      <c r="C254" s="115">
        <f t="shared" si="9"/>
        <v>3</v>
      </c>
      <c r="D254" s="116" cm="1">
        <f t="array" ref="D254">INDEX('Diag-2'!$B$2:$H$41,1+B254,C254)</f>
        <v>0</v>
      </c>
    </row>
    <row r="255" spans="1:4" x14ac:dyDescent="0.75">
      <c r="A255" s="115">
        <v>221</v>
      </c>
      <c r="B255" s="115">
        <f t="shared" si="8"/>
        <v>31</v>
      </c>
      <c r="C255" s="115">
        <f t="shared" si="9"/>
        <v>4</v>
      </c>
      <c r="D255" s="116" cm="1">
        <f t="array" ref="D255">INDEX('Diag-2'!$B$2:$H$41,1+B255,C255)</f>
        <v>0</v>
      </c>
    </row>
    <row r="256" spans="1:4" x14ac:dyDescent="0.75">
      <c r="A256" s="115">
        <v>222</v>
      </c>
      <c r="B256" s="115">
        <f t="shared" si="8"/>
        <v>31</v>
      </c>
      <c r="C256" s="115">
        <f t="shared" si="9"/>
        <v>5</v>
      </c>
      <c r="D256" s="116" cm="1">
        <f t="array" ref="D256">INDEX('Diag-2'!$B$2:$H$41,1+B256,C256)</f>
        <v>0</v>
      </c>
    </row>
    <row r="257" spans="1:4" x14ac:dyDescent="0.75">
      <c r="A257" s="115">
        <v>223</v>
      </c>
      <c r="B257" s="115">
        <f>IF(MOD(A257,7)=0,A257/7-1,INT(A257/7))</f>
        <v>31</v>
      </c>
      <c r="C257" s="115">
        <f>IF(MOD(A257,7)=0,7,MOD(A257,7))</f>
        <v>6</v>
      </c>
      <c r="D257" s="116"/>
    </row>
    <row r="258" spans="1:4" x14ac:dyDescent="0.75">
      <c r="A258" s="115">
        <v>224</v>
      </c>
      <c r="B258" s="115">
        <f t="shared" ref="B258:B264" si="10">IF(MOD(A258,7)=0,A258/7-1,INT(A258/7))</f>
        <v>31</v>
      </c>
      <c r="C258" s="115">
        <f t="shared" ref="C258:C264" si="11">IF(MOD(A258,7)=0,7,MOD(A258,7))</f>
        <v>7</v>
      </c>
      <c r="D258" s="116"/>
    </row>
    <row r="259" spans="1:4" x14ac:dyDescent="0.75">
      <c r="A259" s="115">
        <v>225</v>
      </c>
      <c r="B259" s="115">
        <f t="shared" si="10"/>
        <v>32</v>
      </c>
      <c r="C259" s="115">
        <f t="shared" si="11"/>
        <v>1</v>
      </c>
      <c r="D259" s="116"/>
    </row>
    <row r="260" spans="1:4" x14ac:dyDescent="0.75">
      <c r="A260" s="115">
        <v>226</v>
      </c>
      <c r="B260" s="115">
        <f t="shared" si="10"/>
        <v>32</v>
      </c>
      <c r="C260" s="115">
        <f t="shared" si="11"/>
        <v>2</v>
      </c>
      <c r="D260" s="116"/>
    </row>
    <row r="261" spans="1:4" x14ac:dyDescent="0.75">
      <c r="A261" s="115">
        <v>227</v>
      </c>
      <c r="B261" s="115">
        <f t="shared" si="10"/>
        <v>32</v>
      </c>
      <c r="C261" s="115">
        <f t="shared" si="11"/>
        <v>3</v>
      </c>
      <c r="D261" s="116"/>
    </row>
    <row r="262" spans="1:4" x14ac:dyDescent="0.75">
      <c r="A262" s="115">
        <v>228</v>
      </c>
      <c r="B262" s="115">
        <f t="shared" si="10"/>
        <v>32</v>
      </c>
      <c r="C262" s="115">
        <f t="shared" si="11"/>
        <v>4</v>
      </c>
      <c r="D262" s="116"/>
    </row>
    <row r="263" spans="1:4" x14ac:dyDescent="0.75">
      <c r="A263" s="115">
        <v>229</v>
      </c>
      <c r="B263" s="115">
        <f t="shared" si="10"/>
        <v>32</v>
      </c>
      <c r="C263" s="115">
        <f t="shared" si="11"/>
        <v>5</v>
      </c>
      <c r="D263" s="116"/>
    </row>
    <row r="264" spans="1:4" x14ac:dyDescent="0.75">
      <c r="A264" s="115">
        <v>230</v>
      </c>
      <c r="B264" s="115">
        <f t="shared" si="10"/>
        <v>32</v>
      </c>
      <c r="C264" s="115">
        <f t="shared" si="11"/>
        <v>6</v>
      </c>
      <c r="D264" s="116"/>
    </row>
    <row r="265" spans="1:4" x14ac:dyDescent="0.75">
      <c r="A265" s="115">
        <v>231</v>
      </c>
      <c r="B265" s="115">
        <f>IF(MOD(A265,7)=0,A265/7-1,INT(A265/7))</f>
        <v>32</v>
      </c>
      <c r="C265" s="115">
        <f>IF(MOD(A265,7)=0,7,MOD(A265,7))</f>
        <v>7</v>
      </c>
      <c r="D265" s="116"/>
    </row>
    <row r="266" spans="1:4" x14ac:dyDescent="0.75">
      <c r="A266" s="115">
        <v>232</v>
      </c>
      <c r="B266" s="115">
        <f t="shared" ref="B266:B268" si="12">IF(MOD(A266,7)=0,A266/7-1,INT(A266/7))</f>
        <v>33</v>
      </c>
      <c r="C266" s="115">
        <f t="shared" ref="C266:C268" si="13">IF(MOD(A266,7)=0,7,MOD(A266,7))</f>
        <v>1</v>
      </c>
      <c r="D266" s="116"/>
    </row>
    <row r="267" spans="1:4" x14ac:dyDescent="0.75">
      <c r="A267" s="115">
        <v>233</v>
      </c>
      <c r="B267" s="115">
        <f t="shared" si="12"/>
        <v>33</v>
      </c>
      <c r="C267" s="115">
        <f t="shared" si="13"/>
        <v>2</v>
      </c>
      <c r="D267" s="116"/>
    </row>
    <row r="268" spans="1:4" x14ac:dyDescent="0.75">
      <c r="A268" s="115">
        <v>234</v>
      </c>
      <c r="B268" s="115">
        <f t="shared" si="12"/>
        <v>33</v>
      </c>
      <c r="C268" s="115">
        <f t="shared" si="13"/>
        <v>3</v>
      </c>
      <c r="D268" s="116"/>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5"/>
  <sheetViews>
    <sheetView topLeftCell="G19" workbookViewId="0">
      <selection activeCell="H7" sqref="H7:H50"/>
    </sheetView>
  </sheetViews>
  <sheetFormatPr defaultRowHeight="14.75" x14ac:dyDescent="0.75"/>
  <cols>
    <col min="1" max="2" width="8.7265625" style="113"/>
    <col min="3" max="3" width="31.6796875" style="113" bestFit="1" customWidth="1"/>
    <col min="4" max="4" width="72.1328125" style="113" customWidth="1"/>
    <col min="5" max="5" width="24.81640625" style="113" customWidth="1"/>
    <col min="6" max="6" width="15.5" style="113" customWidth="1"/>
    <col min="7" max="7" width="16.1328125" style="113" customWidth="1"/>
    <col min="8" max="8" width="10.76953125" style="113" customWidth="1"/>
    <col min="9" max="9" width="45.26953125" style="113" customWidth="1"/>
    <col min="10" max="10" width="40.1328125" style="114" customWidth="1"/>
    <col min="11" max="11" width="26.6328125" style="114" customWidth="1"/>
    <col min="12" max="12" width="48.54296875" style="114" customWidth="1"/>
    <col min="13" max="13" width="53.36328125" style="113" customWidth="1"/>
    <col min="14" max="14" width="51.5" style="113" customWidth="1"/>
    <col min="15" max="16384" width="8.7265625" style="113"/>
  </cols>
  <sheetData>
    <row r="1" spans="1:14" x14ac:dyDescent="0.75">
      <c r="C1" s="107" t="str">
        <f>'Diag-1'!B1</f>
        <v>canonical</v>
      </c>
      <c r="D1" s="19" t="s">
        <v>33</v>
      </c>
      <c r="E1" s="20"/>
      <c r="G1" s="44" t="s">
        <v>51</v>
      </c>
      <c r="N1" s="113" t="s">
        <v>49</v>
      </c>
    </row>
    <row r="2" spans="1:14" ht="15.5" thickBot="1" x14ac:dyDescent="0.9">
      <c r="C2" s="109" t="str">
        <f>'Diag-1'!B2</f>
        <v>http://hl7.eu/fhir/ig/pcsp</v>
      </c>
      <c r="D2" s="17" t="s">
        <v>57</v>
      </c>
      <c r="E2" s="37"/>
      <c r="G2" s="113" t="s">
        <v>48</v>
      </c>
      <c r="M2" s="46"/>
      <c r="N2" s="113" t="str">
        <f>CONCATENATE("Mapping: ",E2)</f>
        <v xml:space="preserve">Mapping: </v>
      </c>
    </row>
    <row r="3" spans="1:14" x14ac:dyDescent="0.75">
      <c r="C3" s="107" t="str">
        <f>'Diag-1'!B3</f>
        <v>Publisher</v>
      </c>
      <c r="D3" s="42"/>
      <c r="E3" s="38"/>
      <c r="M3" s="46"/>
      <c r="N3" s="113" t="str">
        <f>CONCATENATE("Id: ",E2)</f>
        <v xml:space="preserve">Id: </v>
      </c>
    </row>
    <row r="4" spans="1:14" ht="15.5" thickBot="1" x14ac:dyDescent="0.9">
      <c r="C4" s="109" t="str">
        <f>'Diag-1'!B4</f>
        <v>PanCareSurPass project</v>
      </c>
      <c r="D4" s="45"/>
      <c r="E4" s="39"/>
      <c r="M4" s="46"/>
      <c r="N4" s="113" t="str">
        <f>CONCATENATE("Title: """,D2,"""")</f>
        <v>Title: "FHIR"</v>
      </c>
    </row>
    <row r="5" spans="1:14" x14ac:dyDescent="0.75">
      <c r="M5" s="46"/>
      <c r="N5" s="113" t="str">
        <f>CONCATENATE("Source: ",C2,"/",C7)</f>
        <v>Source: http://hl7.eu/fhir/ig/pcsp/Diagnosis</v>
      </c>
    </row>
    <row r="6" spans="1:14" x14ac:dyDescent="0.75">
      <c r="D6" s="113" t="s">
        <v>47</v>
      </c>
      <c r="M6" s="46"/>
      <c r="N6" s="113" t="str">
        <f>CONCATENATE("Target: """,D4,"""")</f>
        <v>Target: ""</v>
      </c>
    </row>
    <row r="7" spans="1:14" ht="29.5" x14ac:dyDescent="0.75">
      <c r="A7" s="115">
        <v>0</v>
      </c>
      <c r="B7" s="115">
        <f>'Diag-1'!A6</f>
        <v>0</v>
      </c>
      <c r="C7" s="115" t="str">
        <f>'Diag-1'!B6</f>
        <v>Diagnosis</v>
      </c>
      <c r="D7" s="25" t="s">
        <v>1115</v>
      </c>
      <c r="H7" s="113" t="b">
        <f>IF(D7&gt;"",TRUE,FALSE)</f>
        <v>1</v>
      </c>
      <c r="I7" s="114" t="str">
        <f>IF(H7,CONCATENATE("* differential.element[",$B7,"].mapping[",$A7,"].identity = """,$G$1,""""),"")</f>
        <v>* differential.element[0].mapping[0].identity = "fhir"</v>
      </c>
      <c r="J7" s="114" t="str">
        <f>IF(H7,CONCATENATE("* differential.element[",$B7,"].mapping[",$A7,"].map = """,D7,""""),"")</f>
        <v>* differential.element[0].mapping[0].map = "Condition"</v>
      </c>
      <c r="K7" s="114" t="str">
        <f>IF(E7&gt;"",CONCATENATE("* differential.element[",$B7,"].mapping[",$A7,"].comment = """,E7,""""),"")</f>
        <v/>
      </c>
      <c r="M7" s="113" t="s">
        <v>50</v>
      </c>
      <c r="N7" s="113" t="s">
        <v>49</v>
      </c>
    </row>
    <row r="8" spans="1:14" ht="29.5" x14ac:dyDescent="0.75">
      <c r="A8" s="115">
        <v>0</v>
      </c>
      <c r="B8" s="115">
        <f>'Diag-1'!A7</f>
        <v>1</v>
      </c>
      <c r="C8" s="115" t="str">
        <f>'Diag-1'!B7</f>
        <v>identifier</v>
      </c>
      <c r="D8" s="50" t="s">
        <v>1116</v>
      </c>
      <c r="H8" s="113" t="b">
        <f t="shared" ref="H8:H50" si="0">IF(D8&gt;"",TRUE,FALSE)</f>
        <v>1</v>
      </c>
      <c r="I8" s="114" t="str">
        <f t="shared" ref="I8:I50" si="1">IF(H8,CONCATENATE("* differential.element[",$B8,"].mapping[",$A8,"].identity = """,$G$1,""""),"")</f>
        <v>* differential.element[1].mapping[0].identity = "fhir"</v>
      </c>
      <c r="J8" s="114" t="str">
        <f t="shared" ref="J8:J50" si="2">IF(H8,CONCATENATE("* differential.element[",$B8,"].mapping[",$A8,"].map = """,D8,""""),"")</f>
        <v>* differential.element[1].mapping[0].map = "Condition.identifier"</v>
      </c>
      <c r="K8" s="114" t="str">
        <f t="shared" ref="K8:K50" si="3">IF(E8&gt;"",CONCATENATE("* differential.element[",$B8,"].mapping[",$A8,"].comment = """,E8,""""),"")</f>
        <v/>
      </c>
      <c r="M8" s="46"/>
      <c r="N8" s="113" t="str">
        <f t="shared" ref="N8:N41" si="4">CONCATENATE("* ",C8," -&gt; """,D8,"""")</f>
        <v>* identifier -&gt; "Condition.identifier"</v>
      </c>
    </row>
    <row r="9" spans="1:14" ht="59" x14ac:dyDescent="0.75">
      <c r="A9" s="115">
        <v>0</v>
      </c>
      <c r="B9" s="115">
        <f>'Diag-1'!A8</f>
        <v>2</v>
      </c>
      <c r="C9" s="115" t="str">
        <f>'Diag-1'!B8</f>
        <v>dateOfDiagnosis</v>
      </c>
      <c r="D9" s="146" t="s">
        <v>1117</v>
      </c>
      <c r="H9" s="113" t="b">
        <f t="shared" si="0"/>
        <v>1</v>
      </c>
      <c r="I9" s="114" t="str">
        <f t="shared" si="1"/>
        <v>* differential.element[2].mapping[0].identity = "fhir"</v>
      </c>
      <c r="J9" s="114" t="str">
        <f t="shared" si="2"/>
        <v>* differential.element[2].mapping[0].map = "Condition.extension('condition-assertedDate').valueDateTime
Observation.effectiveDateTime"</v>
      </c>
      <c r="K9" s="114" t="str">
        <f t="shared" si="3"/>
        <v/>
      </c>
      <c r="M9" s="46"/>
      <c r="N9" s="113" t="str">
        <f t="shared" si="4"/>
        <v>* dateOfDiagnosis -&gt; "Condition.extension('condition-assertedDate').valueDateTime
Observation.effectiveDateTime"</v>
      </c>
    </row>
    <row r="10" spans="1:14" ht="29.5" x14ac:dyDescent="0.75">
      <c r="A10" s="115">
        <v>0</v>
      </c>
      <c r="B10" s="115">
        <f>'Diag-1'!A9</f>
        <v>3</v>
      </c>
      <c r="C10" s="115" t="str">
        <f>'Diag-1'!B9</f>
        <v>centerOfDiagnosis</v>
      </c>
      <c r="D10" s="50" t="s">
        <v>1118</v>
      </c>
      <c r="H10" s="113" t="b">
        <f t="shared" si="0"/>
        <v>1</v>
      </c>
      <c r="I10" s="114" t="str">
        <f t="shared" si="1"/>
        <v>* differential.element[3].mapping[0].identity = "fhir"</v>
      </c>
      <c r="J10" s="114" t="str">
        <f t="shared" si="2"/>
        <v>* differential.element[3].mapping[0].map = "Observation.performer"</v>
      </c>
      <c r="K10" s="114" t="str">
        <f t="shared" si="3"/>
        <v/>
      </c>
      <c r="M10" s="46"/>
      <c r="N10" s="113" t="str">
        <f t="shared" si="4"/>
        <v>* centerOfDiagnosis -&gt; "Observation.performer"</v>
      </c>
    </row>
    <row r="11" spans="1:14" ht="44.25" x14ac:dyDescent="0.75">
      <c r="A11" s="115">
        <v>0</v>
      </c>
      <c r="B11" s="115">
        <f>'Diag-1'!A10</f>
        <v>4</v>
      </c>
      <c r="C11" s="115" t="str">
        <f>'Diag-1'!B10</f>
        <v>centerOfDiagnosis.identifier</v>
      </c>
      <c r="D11" s="146" t="s">
        <v>1121</v>
      </c>
      <c r="H11" s="113" t="b">
        <f t="shared" si="0"/>
        <v>1</v>
      </c>
      <c r="I11" s="114" t="str">
        <f t="shared" si="1"/>
        <v>* differential.element[4].mapping[0].identity = "fhir"</v>
      </c>
      <c r="J11" s="114" t="str">
        <f t="shared" si="2"/>
        <v>* differential.element[4].mapping[0].map = "Observation.performer.resolve().identifier
Observation.performer.identifier"</v>
      </c>
      <c r="K11" s="114" t="str">
        <f t="shared" si="3"/>
        <v/>
      </c>
      <c r="M11" s="46"/>
      <c r="N11" s="113" t="str">
        <f t="shared" si="4"/>
        <v>* centerOfDiagnosis.identifier -&gt; "Observation.performer.resolve().identifier
Observation.performer.identifier"</v>
      </c>
    </row>
    <row r="12" spans="1:14" ht="44.25" x14ac:dyDescent="0.75">
      <c r="A12" s="115">
        <v>0</v>
      </c>
      <c r="B12" s="115">
        <f>'Diag-1'!A11</f>
        <v>5</v>
      </c>
      <c r="C12" s="115" t="str">
        <f>'Diag-1'!B11</f>
        <v>centerOfDiagnosis.name</v>
      </c>
      <c r="D12" s="146" t="s">
        <v>1122</v>
      </c>
      <c r="H12" s="113" t="b">
        <f t="shared" si="0"/>
        <v>1</v>
      </c>
      <c r="I12" s="114" t="str">
        <f t="shared" si="1"/>
        <v>* differential.element[5].mapping[0].identity = "fhir"</v>
      </c>
      <c r="J12" s="114" t="str">
        <f t="shared" si="2"/>
        <v>* differential.element[5].mapping[0].map = "Observation.performer.resolve().name
Observation.performer.display"</v>
      </c>
      <c r="K12" s="114" t="str">
        <f t="shared" si="3"/>
        <v/>
      </c>
      <c r="M12" s="46"/>
      <c r="N12" s="113" t="str">
        <f>CONCATENATE("* ",C12," -&gt; """,D14,"""")</f>
        <v>* centerOfDiagnosis.name -&gt; "Observation.performer.resolve().address.country"</v>
      </c>
    </row>
    <row r="13" spans="1:14" ht="29.5" x14ac:dyDescent="0.75">
      <c r="A13" s="115">
        <v>0</v>
      </c>
      <c r="B13" s="115">
        <f>'Diag-1'!A12</f>
        <v>6</v>
      </c>
      <c r="C13" s="115" t="str">
        <f>'Diag-1'!B12</f>
        <v>centerOfDiagnosis.city</v>
      </c>
      <c r="D13" s="50" t="s">
        <v>1119</v>
      </c>
      <c r="H13" s="113" t="b">
        <f t="shared" si="0"/>
        <v>1</v>
      </c>
      <c r="I13" s="114" t="str">
        <f t="shared" si="1"/>
        <v>* differential.element[6].mapping[0].identity = "fhir"</v>
      </c>
      <c r="J13" s="114" t="str">
        <f t="shared" si="2"/>
        <v>* differential.element[6].mapping[0].map = "Observation.performer.resolve().address.city"</v>
      </c>
      <c r="K13" s="114" t="str">
        <f t="shared" si="3"/>
        <v/>
      </c>
      <c r="M13" s="46"/>
      <c r="N13" s="113" t="str">
        <f>CONCATENATE("* ",C13," -&gt; """,D12,"""")</f>
        <v>* centerOfDiagnosis.city -&gt; "Observation.performer.resolve().name
Observation.performer.display"</v>
      </c>
    </row>
    <row r="14" spans="1:14" ht="44.25" x14ac:dyDescent="0.75">
      <c r="A14" s="115">
        <v>0</v>
      </c>
      <c r="B14" s="115">
        <f>'Diag-1'!A13</f>
        <v>7</v>
      </c>
      <c r="C14" s="115" t="str">
        <f>'Diag-1'!B13</f>
        <v>centerOfDiagnosis.country</v>
      </c>
      <c r="D14" s="50" t="s">
        <v>1120</v>
      </c>
      <c r="H14" s="113" t="b">
        <f t="shared" si="0"/>
        <v>1</v>
      </c>
      <c r="I14" s="114" t="str">
        <f t="shared" si="1"/>
        <v>* differential.element[7].mapping[0].identity = "fhir"</v>
      </c>
      <c r="J14" s="114" t="str">
        <f t="shared" si="2"/>
        <v>* differential.element[7].mapping[0].map = "Observation.performer.resolve().address.country"</v>
      </c>
      <c r="K14" s="114" t="str">
        <f t="shared" si="3"/>
        <v/>
      </c>
      <c r="M14" s="46"/>
      <c r="N14" s="113" t="str">
        <f>CONCATENATE("* ",C14," -&gt; """,D13,"""")</f>
        <v>* centerOfDiagnosis.country -&gt; "Observation.performer.resolve().address.city"</v>
      </c>
    </row>
    <row r="15" spans="1:14" ht="44.25" x14ac:dyDescent="0.75">
      <c r="A15" s="115">
        <v>0</v>
      </c>
      <c r="B15" s="115">
        <f>'Diag-1'!A14</f>
        <v>8</v>
      </c>
      <c r="C15" s="115" t="str">
        <f>'Diag-1'!B14</f>
        <v>primaryTreatmentCenter</v>
      </c>
      <c r="D15" s="116" t="s">
        <v>1123</v>
      </c>
      <c r="H15" s="113" t="b">
        <f t="shared" si="0"/>
        <v>1</v>
      </c>
      <c r="I15" s="114" t="str">
        <f t="shared" si="1"/>
        <v>* differential.element[8].mapping[0].identity = "fhir"</v>
      </c>
      <c r="J15" s="114" t="str">
        <f t="shared" si="2"/>
        <v>* differential.element[8].mapping[0].map = "Patient.generalPractitioner
Encounter.serviceProvider"</v>
      </c>
      <c r="K15" s="114" t="str">
        <f t="shared" si="3"/>
        <v/>
      </c>
      <c r="N15" s="113" t="str">
        <f t="shared" si="4"/>
        <v>* primaryTreatmentCenter -&gt; "Patient.generalPractitioner
Encounter.serviceProvider"</v>
      </c>
    </row>
    <row r="16" spans="1:14" ht="73.75" x14ac:dyDescent="0.75">
      <c r="A16" s="115">
        <v>0</v>
      </c>
      <c r="B16" s="115">
        <f>'Diag-1'!A15</f>
        <v>9</v>
      </c>
      <c r="C16" s="115" t="str">
        <f>'Diag-1'!B15</f>
        <v>primaryTreatmentCenter.name</v>
      </c>
      <c r="D16" s="116" t="s">
        <v>1124</v>
      </c>
      <c r="H16" s="113" t="b">
        <f t="shared" si="0"/>
        <v>1</v>
      </c>
      <c r="I16" s="114" t="str">
        <f t="shared" si="1"/>
        <v>* differential.element[9].mapping[0].identity = "fhir"</v>
      </c>
      <c r="J16" s="114" t="str">
        <f t="shared" si="2"/>
        <v>* differential.element[9].mapping[0].map = "Patient.generalPractitioner.display
Patient.generalPractitioner.resolve().name
Encounter.serviceProvider.display
Encounter.serviceProvider.resolve().name"</v>
      </c>
      <c r="K16" s="114" t="str">
        <f t="shared" si="3"/>
        <v/>
      </c>
      <c r="N16" s="113" t="str">
        <f t="shared" si="4"/>
        <v>* primaryTreatmentCenter.name -&gt; "Patient.generalPractitioner.display
Patient.generalPractitioner.resolve().name
Encounter.serviceProvider.display
Encounter.serviceProvider.resolve().name"</v>
      </c>
    </row>
    <row r="17" spans="1:14" ht="73.75" x14ac:dyDescent="0.75">
      <c r="A17" s="115">
        <v>0</v>
      </c>
      <c r="B17" s="115">
        <f>'Diag-1'!A16</f>
        <v>10</v>
      </c>
      <c r="C17" s="115" t="str">
        <f>'Diag-1'!B16</f>
        <v>primaryTreatmentCenter.city</v>
      </c>
      <c r="D17" s="116" t="s">
        <v>1125</v>
      </c>
      <c r="H17" s="113" t="b">
        <f t="shared" si="0"/>
        <v>1</v>
      </c>
      <c r="I17" s="114" t="str">
        <f t="shared" si="1"/>
        <v>* differential.element[10].mapping[0].identity = "fhir"</v>
      </c>
      <c r="J17" s="114" t="str">
        <f t="shared" si="2"/>
        <v>* differential.element[10].mapping[0].map = "Patient.generalPractitioner.resolve().address.city
Encounter.serviceProvider.resolve().address.city"</v>
      </c>
      <c r="K17" s="114" t="str">
        <f t="shared" si="3"/>
        <v/>
      </c>
      <c r="N17" s="113" t="str">
        <f t="shared" si="4"/>
        <v>* primaryTreatmentCenter.city -&gt; "Patient.generalPractitioner.resolve().address.city
Encounter.serviceProvider.resolve().address.city"</v>
      </c>
    </row>
    <row r="18" spans="1:14" ht="73.75" x14ac:dyDescent="0.75">
      <c r="A18" s="115">
        <v>0</v>
      </c>
      <c r="B18" s="115">
        <f>'Diag-1'!A17</f>
        <v>11</v>
      </c>
      <c r="C18" s="115" t="str">
        <f>'Diag-1'!B17</f>
        <v>primaryTreatmentCenter.country</v>
      </c>
      <c r="D18" s="116" t="s">
        <v>1126</v>
      </c>
      <c r="H18" s="113" t="b">
        <f t="shared" si="0"/>
        <v>1</v>
      </c>
      <c r="I18" s="114" t="str">
        <f t="shared" si="1"/>
        <v>* differential.element[11].mapping[0].identity = "fhir"</v>
      </c>
      <c r="J18" s="114" t="str">
        <f t="shared" si="2"/>
        <v>* differential.element[11].mapping[0].map = "Patient.generalPractitioner.resolve().address.country
Encounter.serviceProvider.resolve().address.country"</v>
      </c>
      <c r="K18" s="114" t="str">
        <f t="shared" si="3"/>
        <v/>
      </c>
      <c r="N18" s="113" t="str">
        <f t="shared" si="4"/>
        <v>* primaryTreatmentCenter.country -&gt; "Patient.generalPractitioner.resolve().address.country
Encounter.serviceProvider.resolve().address.country"</v>
      </c>
    </row>
    <row r="19" spans="1:14" ht="29.5" x14ac:dyDescent="0.75">
      <c r="A19" s="115">
        <v>0</v>
      </c>
      <c r="B19" s="115">
        <f>'Diag-1'!A18</f>
        <v>12</v>
      </c>
      <c r="C19" s="115" t="str">
        <f>'Diag-1'!B18</f>
        <v>dateOfArrivalAtCenter</v>
      </c>
      <c r="D19" s="116" t="s">
        <v>1127</v>
      </c>
      <c r="H19" s="113" t="b">
        <f t="shared" si="0"/>
        <v>1</v>
      </c>
      <c r="I19" s="114" t="str">
        <f t="shared" si="1"/>
        <v>* differential.element[12].mapping[0].identity = "fhir"</v>
      </c>
      <c r="J19" s="114" t="str">
        <f t="shared" si="2"/>
        <v>* differential.element[12].mapping[0].map = "Encounter.period.start"</v>
      </c>
      <c r="K19" s="114" t="str">
        <f t="shared" si="3"/>
        <v/>
      </c>
      <c r="N19" s="113" t="str">
        <f t="shared" si="4"/>
        <v>* dateOfArrivalAtCenter -&gt; "Encounter.period.start"</v>
      </c>
    </row>
    <row r="20" spans="1:14" ht="29.5" x14ac:dyDescent="0.75">
      <c r="A20" s="115">
        <v>0</v>
      </c>
      <c r="B20" s="115">
        <f>'Diag-1'!A19</f>
        <v>13</v>
      </c>
      <c r="C20" s="115" t="str">
        <f>'Diag-1'!B19</f>
        <v>diagnosticGroup</v>
      </c>
      <c r="D20" s="50" t="s">
        <v>1130</v>
      </c>
      <c r="H20" s="113" t="b">
        <f t="shared" si="0"/>
        <v>1</v>
      </c>
      <c r="I20" s="114" t="str">
        <f t="shared" si="1"/>
        <v>* differential.element[13].mapping[0].identity = "fhir"</v>
      </c>
      <c r="J20" s="114" t="str">
        <f t="shared" si="2"/>
        <v>* differential.element[13].mapping[0].map = "Condition.code.coding"</v>
      </c>
      <c r="K20" s="114" t="str">
        <f t="shared" si="3"/>
        <v/>
      </c>
      <c r="N20" s="113" t="str">
        <f>CONCATENATE("* ",C20," -&gt; """,D21,"""")</f>
        <v>* diagnosticGroup -&gt; "Condition.extension('mcode-histology-morphology-behavior').valueCodeableConcept"</v>
      </c>
    </row>
    <row r="21" spans="1:14" ht="59" x14ac:dyDescent="0.75">
      <c r="A21" s="115">
        <v>0</v>
      </c>
      <c r="B21" s="115">
        <f>'Diag-1'!A20</f>
        <v>14</v>
      </c>
      <c r="C21" s="115" t="str">
        <f>'Diag-1'!B20</f>
        <v>morphologyCode</v>
      </c>
      <c r="D21" s="50" t="s">
        <v>1128</v>
      </c>
      <c r="H21" s="113" t="b">
        <f t="shared" si="0"/>
        <v>1</v>
      </c>
      <c r="I21" s="114" t="str">
        <f t="shared" si="1"/>
        <v>* differential.element[14].mapping[0].identity = "fhir"</v>
      </c>
      <c r="J21" s="114" t="str">
        <f t="shared" si="2"/>
        <v>* differential.element[14].mapping[0].map = "Condition.extension('mcode-histology-morphology-behavior').valueCodeableConcept"</v>
      </c>
      <c r="K21" s="114" t="str">
        <f t="shared" si="3"/>
        <v/>
      </c>
      <c r="N21" s="113" t="e">
        <f>CONCATENATE("* ",C21," -&gt; """,#REF!,"""")</f>
        <v>#REF!</v>
      </c>
    </row>
    <row r="22" spans="1:14" ht="59" x14ac:dyDescent="0.75">
      <c r="A22" s="115">
        <v>0</v>
      </c>
      <c r="B22" s="115">
        <f>'Diag-1'!A21</f>
        <v>15</v>
      </c>
      <c r="C22" s="115" t="str">
        <f>'Diag-1'!B21</f>
        <v>tumorBehaviour</v>
      </c>
      <c r="D22" s="50" t="s">
        <v>1128</v>
      </c>
      <c r="H22" s="113" t="b">
        <f t="shared" si="0"/>
        <v>1</v>
      </c>
      <c r="I22" s="114" t="str">
        <f t="shared" si="1"/>
        <v>* differential.element[15].mapping[0].identity = "fhir"</v>
      </c>
      <c r="J22" s="114" t="str">
        <f t="shared" si="2"/>
        <v>* differential.element[15].mapping[0].map = "Condition.extension('mcode-histology-morphology-behavior').valueCodeableConcept"</v>
      </c>
      <c r="K22" s="114" t="str">
        <f t="shared" si="3"/>
        <v/>
      </c>
      <c r="N22" s="113" t="str">
        <f t="shared" si="4"/>
        <v>* tumorBehaviour -&gt; "Condition.extension('mcode-histology-morphology-behavior').valueCodeableConcept"</v>
      </c>
    </row>
    <row r="23" spans="1:14" ht="44.25" x14ac:dyDescent="0.75">
      <c r="A23" s="115">
        <v>0</v>
      </c>
      <c r="B23" s="115">
        <f>'Diag-1'!A22</f>
        <v>16</v>
      </c>
      <c r="C23" s="115" t="str">
        <f>'Diag-1'!B22</f>
        <v>description</v>
      </c>
      <c r="D23" s="116" t="s">
        <v>1129</v>
      </c>
      <c r="H23" s="113" t="b">
        <f t="shared" si="0"/>
        <v>1</v>
      </c>
      <c r="I23" s="114" t="str">
        <f t="shared" si="1"/>
        <v>* differential.element[16].mapping[0].identity = "fhir"</v>
      </c>
      <c r="J23" s="114" t="str">
        <f t="shared" si="2"/>
        <v>* differential.element[16].mapping[0].map = "Condition.text
Condition.code.text"</v>
      </c>
      <c r="K23" s="114" t="str">
        <f t="shared" si="3"/>
        <v/>
      </c>
      <c r="N23" s="113" t="str">
        <f t="shared" si="4"/>
        <v>* description -&gt; "Condition.text
Condition.code.text"</v>
      </c>
    </row>
    <row r="24" spans="1:14" ht="29.5" x14ac:dyDescent="0.75">
      <c r="A24" s="115">
        <v>0</v>
      </c>
      <c r="B24" s="115">
        <f>'Diag-1'!A23</f>
        <v>17</v>
      </c>
      <c r="C24" s="115" t="str">
        <f>'Diag-1'!B23</f>
        <v>site</v>
      </c>
      <c r="D24" s="115" t="s">
        <v>1131</v>
      </c>
      <c r="H24" s="113" t="b">
        <f t="shared" si="0"/>
        <v>1</v>
      </c>
      <c r="I24" s="114" t="str">
        <f t="shared" si="1"/>
        <v>* differential.element[17].mapping[0].identity = "fhir"</v>
      </c>
      <c r="J24" s="114" t="str">
        <f t="shared" si="2"/>
        <v>* differential.element[17].mapping[0].map = "Condition.bodySite"</v>
      </c>
      <c r="K24" s="114" t="str">
        <f t="shared" si="3"/>
        <v/>
      </c>
      <c r="N24" s="113" t="str">
        <f t="shared" si="4"/>
        <v>* site -&gt; "Condition.bodySite"</v>
      </c>
    </row>
    <row r="25" spans="1:14" ht="29.5" x14ac:dyDescent="0.75">
      <c r="A25" s="115">
        <v>0</v>
      </c>
      <c r="B25" s="115">
        <f>'Diag-1'!A24</f>
        <v>18</v>
      </c>
      <c r="C25" s="115" t="str">
        <f>'Diag-1'!B24</f>
        <v>site.code</v>
      </c>
      <c r="D25" s="115" t="s">
        <v>1132</v>
      </c>
      <c r="H25" s="113" t="b">
        <f t="shared" si="0"/>
        <v>1</v>
      </c>
      <c r="I25" s="114" t="str">
        <f t="shared" si="1"/>
        <v>* differential.element[18].mapping[0].identity = "fhir"</v>
      </c>
      <c r="J25" s="114" t="str">
        <f t="shared" si="2"/>
        <v>* differential.element[18].mapping[0].map = "Condition.bodySite.coding"</v>
      </c>
      <c r="K25" s="114" t="str">
        <f t="shared" si="3"/>
        <v/>
      </c>
      <c r="N25" s="113" t="str">
        <f t="shared" si="4"/>
        <v>* site.code -&gt; "Condition.bodySite.coding"</v>
      </c>
    </row>
    <row r="26" spans="1:14" ht="29.5" x14ac:dyDescent="0.75">
      <c r="A26" s="115">
        <v>0</v>
      </c>
      <c r="B26" s="115">
        <f>'Diag-1'!A25</f>
        <v>19</v>
      </c>
      <c r="C26" s="115" t="str">
        <f>'Diag-1'!B25</f>
        <v>site.description</v>
      </c>
      <c r="D26" s="115" t="s">
        <v>1133</v>
      </c>
      <c r="H26" s="113" t="b">
        <f t="shared" si="0"/>
        <v>1</v>
      </c>
      <c r="I26" s="114" t="str">
        <f t="shared" si="1"/>
        <v>* differential.element[19].mapping[0].identity = "fhir"</v>
      </c>
      <c r="J26" s="114" t="str">
        <f t="shared" si="2"/>
        <v>* differential.element[19].mapping[0].map = "Condition.bodySite.text"</v>
      </c>
      <c r="K26" s="114" t="str">
        <f t="shared" si="3"/>
        <v/>
      </c>
      <c r="N26" s="113" t="str">
        <f t="shared" si="4"/>
        <v>* site.description -&gt; "Condition.bodySite.text"</v>
      </c>
    </row>
    <row r="27" spans="1:14" ht="44.25" x14ac:dyDescent="0.75">
      <c r="A27" s="115">
        <v>0</v>
      </c>
      <c r="B27" s="115">
        <f>'Diag-1'!A26</f>
        <v>20</v>
      </c>
      <c r="C27" s="115" t="str">
        <f>'Diag-1'!B26</f>
        <v>laterality</v>
      </c>
      <c r="D27" s="115" t="s">
        <v>1134</v>
      </c>
      <c r="H27" s="113" t="b">
        <f t="shared" si="0"/>
        <v>1</v>
      </c>
      <c r="I27" s="114" t="str">
        <f t="shared" si="1"/>
        <v>* differential.element[20].mapping[0].identity = "fhir"</v>
      </c>
      <c r="J27" s="114" t="str">
        <f t="shared" si="2"/>
        <v>* differential.element[20].mapping[0].map = "Condition.bodySite.extension('mcode-laterality-qualifier').valueCodeableConcept"</v>
      </c>
      <c r="K27" s="114" t="str">
        <f t="shared" si="3"/>
        <v/>
      </c>
      <c r="N27" s="113" t="str">
        <f t="shared" si="4"/>
        <v>* laterality -&gt; "Condition.bodySite.extension('mcode-laterality-qualifier').valueCodeableConcept"</v>
      </c>
    </row>
    <row r="28" spans="1:14" ht="44.25" x14ac:dyDescent="0.75">
      <c r="A28" s="115">
        <v>0</v>
      </c>
      <c r="B28" s="115">
        <f>'Diag-1'!A27</f>
        <v>21</v>
      </c>
      <c r="C28" s="115" t="str">
        <f>'Diag-1'!B27</f>
        <v>metastasis</v>
      </c>
      <c r="D28" s="115" t="s">
        <v>1135</v>
      </c>
      <c r="H28" s="113" t="b">
        <f t="shared" si="0"/>
        <v>1</v>
      </c>
      <c r="I28" s="114" t="str">
        <f t="shared" si="1"/>
        <v>* differential.element[21].mapping[0].identity = "fhir"</v>
      </c>
      <c r="J28" s="114" t="str">
        <f t="shared" si="2"/>
        <v>* differential.element[21].mapping[0].map = "Condition.conformsTo('ConditionSecondaryCancerPcsp')"</v>
      </c>
      <c r="K28" s="114" t="str">
        <f t="shared" si="3"/>
        <v/>
      </c>
      <c r="N28" s="113" t="str">
        <f>CONCATENATE("* ",C28," -&gt; """,D29,"""")</f>
        <v>* metastasis -&gt; "Condition.conformsTo('ConditionSecondaryCancerPcsp').identifier"</v>
      </c>
    </row>
    <row r="29" spans="1:14" ht="44.25" x14ac:dyDescent="0.75">
      <c r="A29" s="115">
        <v>0</v>
      </c>
      <c r="B29" s="115">
        <f>'Diag-1'!A28</f>
        <v>22</v>
      </c>
      <c r="C29" s="115" t="str">
        <f>'Diag-1'!B28</f>
        <v>metastasis.identifier</v>
      </c>
      <c r="D29" s="115" t="s">
        <v>1136</v>
      </c>
      <c r="H29" s="113" t="b">
        <f t="shared" si="0"/>
        <v>1</v>
      </c>
      <c r="I29" s="114" t="str">
        <f t="shared" si="1"/>
        <v>* differential.element[22].mapping[0].identity = "fhir"</v>
      </c>
      <c r="J29" s="114" t="str">
        <f t="shared" si="2"/>
        <v>* differential.element[22].mapping[0].map = "Condition.conformsTo('ConditionSecondaryCancerPcsp').identifier"</v>
      </c>
      <c r="K29" s="114" t="str">
        <f t="shared" si="3"/>
        <v/>
      </c>
      <c r="N29" s="113" t="e">
        <f>CONCATENATE("* ",C29," -&gt; """,#REF!,"""")</f>
        <v>#REF!</v>
      </c>
    </row>
    <row r="30" spans="1:14" ht="44.25" x14ac:dyDescent="0.75">
      <c r="A30" s="115">
        <v>0</v>
      </c>
      <c r="B30" s="115">
        <f>'Diag-1'!A29</f>
        <v>23</v>
      </c>
      <c r="C30" s="115" t="str">
        <f>'Diag-1'!B29</f>
        <v>metastasis.site</v>
      </c>
      <c r="D30" s="115" t="s">
        <v>1137</v>
      </c>
      <c r="H30" s="113" t="b">
        <f t="shared" si="0"/>
        <v>1</v>
      </c>
      <c r="I30" s="114" t="str">
        <f t="shared" si="1"/>
        <v>* differential.element[23].mapping[0].identity = "fhir"</v>
      </c>
      <c r="J30" s="114" t="str">
        <f t="shared" si="2"/>
        <v>* differential.element[23].mapping[0].map = "Condition.conformsTo('ConditionSecondaryCancerPcsp')bodySite"</v>
      </c>
      <c r="K30" s="114" t="str">
        <f t="shared" si="3"/>
        <v/>
      </c>
      <c r="N30" s="113" t="str">
        <f t="shared" si="4"/>
        <v>* metastasis.site -&gt; "Condition.conformsTo('ConditionSecondaryCancerPcsp')bodySite"</v>
      </c>
    </row>
    <row r="31" spans="1:14" ht="44.25" x14ac:dyDescent="0.75">
      <c r="A31" s="115">
        <v>0</v>
      </c>
      <c r="B31" s="115">
        <f>'Diag-1'!A30</f>
        <v>24</v>
      </c>
      <c r="C31" s="115" t="str">
        <f>'Diag-1'!B30</f>
        <v>metastasis.site.code</v>
      </c>
      <c r="D31" s="115" t="s">
        <v>1138</v>
      </c>
      <c r="H31" s="113" t="b">
        <f t="shared" si="0"/>
        <v>1</v>
      </c>
      <c r="I31" s="114" t="str">
        <f t="shared" si="1"/>
        <v>* differential.element[24].mapping[0].identity = "fhir"</v>
      </c>
      <c r="J31" s="114" t="str">
        <f t="shared" si="2"/>
        <v>* differential.element[24].mapping[0].map = "Condition.conformsTo('ConditionSecondaryCancerPcsp').bodySite.coding"</v>
      </c>
      <c r="K31" s="114" t="str">
        <f t="shared" si="3"/>
        <v/>
      </c>
      <c r="N31" s="113" t="str">
        <f t="shared" si="4"/>
        <v>* metastasis.site.code -&gt; "Condition.conformsTo('ConditionSecondaryCancerPcsp').bodySite.coding"</v>
      </c>
    </row>
    <row r="32" spans="1:14" ht="44.25" x14ac:dyDescent="0.75">
      <c r="A32" s="115">
        <v>0</v>
      </c>
      <c r="B32" s="115">
        <f>'Diag-1'!A31</f>
        <v>25</v>
      </c>
      <c r="C32" s="115" t="str">
        <f>'Diag-1'!B31</f>
        <v>metastasis.site.description</v>
      </c>
      <c r="D32" s="115" t="s">
        <v>1139</v>
      </c>
      <c r="H32" s="113" t="b">
        <f t="shared" si="0"/>
        <v>1</v>
      </c>
      <c r="I32" s="114" t="str">
        <f t="shared" si="1"/>
        <v>* differential.element[25].mapping[0].identity = "fhir"</v>
      </c>
      <c r="J32" s="114" t="str">
        <f t="shared" si="2"/>
        <v>* differential.element[25].mapping[0].map = "Condition.conformsTo('ConditionSecondaryCancerPcsp').bodySite.text"</v>
      </c>
      <c r="K32" s="114" t="str">
        <f t="shared" si="3"/>
        <v/>
      </c>
      <c r="N32" s="113" t="str">
        <f t="shared" si="4"/>
        <v>* metastasis.site.description -&gt; "Condition.conformsTo('ConditionSecondaryCancerPcsp').bodySite.text"</v>
      </c>
    </row>
    <row r="33" spans="1:14" ht="29.5" x14ac:dyDescent="0.75">
      <c r="A33" s="115">
        <v>0</v>
      </c>
      <c r="B33" s="115">
        <f>'Diag-1'!A32</f>
        <v>26</v>
      </c>
      <c r="C33" s="115" t="str">
        <f>'Diag-1'!B32</f>
        <v>geneticMarkers</v>
      </c>
      <c r="D33" s="115" t="s">
        <v>1140</v>
      </c>
      <c r="H33" s="113" t="b">
        <f t="shared" si="0"/>
        <v>1</v>
      </c>
      <c r="I33" s="114" t="str">
        <f t="shared" si="1"/>
        <v>* differential.element[26].mapping[0].identity = "fhir"</v>
      </c>
      <c r="J33" s="114" t="str">
        <f t="shared" si="2"/>
        <v>* differential.element[26].mapping[0].map = "Condition.evidence:geneticMarker"</v>
      </c>
      <c r="K33" s="114" t="str">
        <f t="shared" si="3"/>
        <v/>
      </c>
      <c r="N33" s="113" t="str">
        <f t="shared" si="4"/>
        <v>* geneticMarkers -&gt; "Condition.evidence:geneticMarker"</v>
      </c>
    </row>
    <row r="34" spans="1:14" ht="29.5" x14ac:dyDescent="0.75">
      <c r="A34" s="115">
        <v>0</v>
      </c>
      <c r="B34" s="115">
        <f>'Diag-1'!A33</f>
        <v>27</v>
      </c>
      <c r="C34" s="115" t="str">
        <f>'Diag-1'!B33</f>
        <v>stage</v>
      </c>
      <c r="D34" s="115" t="s">
        <v>1141</v>
      </c>
      <c r="H34" s="113" t="b">
        <f t="shared" si="0"/>
        <v>1</v>
      </c>
      <c r="I34" s="114" t="str">
        <f t="shared" si="1"/>
        <v>* differential.element[27].mapping[0].identity = "fhir"</v>
      </c>
      <c r="J34" s="114" t="str">
        <f t="shared" si="2"/>
        <v>* differential.element[27].mapping[0].map = "Condition.stage"</v>
      </c>
      <c r="K34" s="114" t="str">
        <f t="shared" si="3"/>
        <v/>
      </c>
      <c r="N34" s="113" t="str">
        <f t="shared" si="4"/>
        <v>* stage -&gt; "Condition.stage"</v>
      </c>
    </row>
    <row r="35" spans="1:14" ht="29.5" x14ac:dyDescent="0.75">
      <c r="A35" s="115">
        <v>0</v>
      </c>
      <c r="B35" s="115">
        <f>'Diag-1'!A34</f>
        <v>28</v>
      </c>
      <c r="C35" s="115" t="str">
        <f>'Diag-1'!B34</f>
        <v>immunology</v>
      </c>
      <c r="D35" s="115" t="s">
        <v>1142</v>
      </c>
      <c r="H35" s="113" t="b">
        <f t="shared" si="0"/>
        <v>1</v>
      </c>
      <c r="I35" s="114" t="str">
        <f t="shared" si="1"/>
        <v>* differential.element[28].mapping[0].identity = "fhir"</v>
      </c>
      <c r="J35" s="114" t="str">
        <f t="shared" si="2"/>
        <v>* differential.element[28].mapping[0].map = "Condition.evidence:immunology"</v>
      </c>
      <c r="K35" s="114" t="str">
        <f t="shared" si="3"/>
        <v/>
      </c>
      <c r="N35" s="113" t="str">
        <f t="shared" si="4"/>
        <v>* immunology -&gt; "Condition.evidence:immunology"</v>
      </c>
    </row>
    <row r="36" spans="1:14" ht="29.5" x14ac:dyDescent="0.75">
      <c r="A36" s="115">
        <v>0</v>
      </c>
      <c r="B36" s="115">
        <f>'Diag-1'!A35</f>
        <v>29</v>
      </c>
      <c r="C36" s="115" t="str">
        <f>'Diag-1'!B35</f>
        <v>hereditaryPredisposition</v>
      </c>
      <c r="D36" s="115" t="s">
        <v>1143</v>
      </c>
      <c r="H36" s="113" t="b">
        <f t="shared" si="0"/>
        <v>1</v>
      </c>
      <c r="I36" s="114" t="str">
        <f t="shared" si="1"/>
        <v>* differential.element[29].mapping[0].identity = "fhir"</v>
      </c>
      <c r="J36" s="114" t="str">
        <f t="shared" si="2"/>
        <v>* differential.element[29].mapping[0].map = "Condition.evidence:predisposition"</v>
      </c>
      <c r="K36" s="114" t="str">
        <f t="shared" si="3"/>
        <v/>
      </c>
      <c r="N36" s="113" t="str">
        <f t="shared" si="4"/>
        <v>* hereditaryPredisposition -&gt; "Condition.evidence:predisposition"</v>
      </c>
    </row>
    <row r="37" spans="1:14" ht="29.5" x14ac:dyDescent="0.75">
      <c r="A37" s="115">
        <v>0</v>
      </c>
      <c r="B37" s="115">
        <f>'Diag-1'!A36</f>
        <v>30</v>
      </c>
      <c r="C37" s="115" t="str">
        <f>'Diag-1'!B36</f>
        <v>notes</v>
      </c>
      <c r="D37" s="115" t="s">
        <v>1144</v>
      </c>
      <c r="H37" s="113" t="b">
        <f t="shared" si="0"/>
        <v>1</v>
      </c>
      <c r="I37" s="114" t="str">
        <f t="shared" si="1"/>
        <v>* differential.element[30].mapping[0].identity = "fhir"</v>
      </c>
      <c r="J37" s="114" t="str">
        <f t="shared" si="2"/>
        <v>* differential.element[30].mapping[0].map = "Condition.note"</v>
      </c>
      <c r="K37" s="114" t="str">
        <f t="shared" si="3"/>
        <v/>
      </c>
      <c r="N37" s="113" t="str">
        <f t="shared" si="4"/>
        <v>* notes -&gt; "Condition.note"</v>
      </c>
    </row>
    <row r="38" spans="1:14" x14ac:dyDescent="0.75">
      <c r="A38" s="115"/>
      <c r="B38" s="115"/>
      <c r="C38" s="115"/>
      <c r="D38" s="115"/>
      <c r="H38" s="113" t="b">
        <f t="shared" si="0"/>
        <v>0</v>
      </c>
      <c r="I38" s="114" t="str">
        <f t="shared" si="1"/>
        <v/>
      </c>
      <c r="J38" s="114" t="str">
        <f t="shared" si="2"/>
        <v/>
      </c>
      <c r="K38" s="114" t="str">
        <f t="shared" si="3"/>
        <v/>
      </c>
      <c r="N38" s="113" t="str">
        <f t="shared" si="4"/>
        <v>*  -&gt; ""</v>
      </c>
    </row>
    <row r="39" spans="1:14" x14ac:dyDescent="0.75">
      <c r="A39" s="115"/>
      <c r="B39" s="115"/>
      <c r="C39" s="115"/>
      <c r="D39" s="115"/>
      <c r="H39" s="113" t="b">
        <f t="shared" si="0"/>
        <v>0</v>
      </c>
      <c r="I39" s="114" t="str">
        <f t="shared" si="1"/>
        <v/>
      </c>
      <c r="J39" s="114" t="str">
        <f t="shared" si="2"/>
        <v/>
      </c>
      <c r="K39" s="114" t="str">
        <f t="shared" si="3"/>
        <v/>
      </c>
      <c r="N39" s="113" t="str">
        <f t="shared" si="4"/>
        <v>*  -&gt; ""</v>
      </c>
    </row>
    <row r="40" spans="1:14" x14ac:dyDescent="0.75">
      <c r="A40" s="115"/>
      <c r="B40" s="115"/>
      <c r="C40" s="115"/>
      <c r="D40" s="115"/>
      <c r="H40" s="113" t="b">
        <f t="shared" si="0"/>
        <v>0</v>
      </c>
      <c r="I40" s="114" t="str">
        <f t="shared" si="1"/>
        <v/>
      </c>
      <c r="J40" s="114" t="str">
        <f t="shared" si="2"/>
        <v/>
      </c>
      <c r="K40" s="114" t="str">
        <f t="shared" si="3"/>
        <v/>
      </c>
      <c r="N40" s="113" t="str">
        <f t="shared" si="4"/>
        <v>*  -&gt; ""</v>
      </c>
    </row>
    <row r="41" spans="1:14" x14ac:dyDescent="0.75">
      <c r="A41" s="115"/>
      <c r="B41" s="115"/>
      <c r="C41" s="115"/>
      <c r="D41" s="47"/>
      <c r="H41" s="113" t="b">
        <f t="shared" si="0"/>
        <v>0</v>
      </c>
      <c r="I41" s="114" t="str">
        <f t="shared" si="1"/>
        <v/>
      </c>
      <c r="J41" s="114" t="str">
        <f t="shared" si="2"/>
        <v/>
      </c>
      <c r="K41" s="114" t="str">
        <f t="shared" si="3"/>
        <v/>
      </c>
      <c r="N41" s="113" t="str">
        <f t="shared" si="4"/>
        <v>*  -&gt; ""</v>
      </c>
    </row>
    <row r="42" spans="1:14" x14ac:dyDescent="0.75">
      <c r="A42" s="115"/>
      <c r="B42" s="115"/>
      <c r="C42" s="115"/>
      <c r="D42" s="115"/>
      <c r="H42" s="113" t="b">
        <f t="shared" si="0"/>
        <v>0</v>
      </c>
      <c r="I42" s="114" t="str">
        <f t="shared" si="1"/>
        <v/>
      </c>
      <c r="J42" s="114" t="str">
        <f t="shared" si="2"/>
        <v/>
      </c>
      <c r="K42" s="114" t="str">
        <f t="shared" si="3"/>
        <v/>
      </c>
    </row>
    <row r="43" spans="1:14" x14ac:dyDescent="0.75">
      <c r="A43" s="115"/>
      <c r="B43" s="115"/>
      <c r="C43" s="115"/>
      <c r="D43" s="115"/>
      <c r="H43" s="113" t="b">
        <f t="shared" si="0"/>
        <v>0</v>
      </c>
      <c r="I43" s="114" t="str">
        <f t="shared" si="1"/>
        <v/>
      </c>
      <c r="J43" s="114" t="str">
        <f t="shared" si="2"/>
        <v/>
      </c>
      <c r="K43" s="114" t="str">
        <f t="shared" si="3"/>
        <v/>
      </c>
    </row>
    <row r="44" spans="1:14" x14ac:dyDescent="0.75">
      <c r="A44" s="115"/>
      <c r="B44" s="115"/>
      <c r="C44" s="115"/>
      <c r="D44" s="115"/>
      <c r="H44" s="113" t="b">
        <f t="shared" si="0"/>
        <v>0</v>
      </c>
      <c r="I44" s="114" t="str">
        <f t="shared" si="1"/>
        <v/>
      </c>
      <c r="J44" s="114" t="str">
        <f t="shared" si="2"/>
        <v/>
      </c>
      <c r="K44" s="114" t="str">
        <f t="shared" si="3"/>
        <v/>
      </c>
    </row>
    <row r="45" spans="1:14" x14ac:dyDescent="0.75">
      <c r="A45" s="115"/>
      <c r="B45" s="115"/>
      <c r="C45" s="115"/>
      <c r="D45" s="115"/>
      <c r="H45" s="113" t="b">
        <f t="shared" si="0"/>
        <v>0</v>
      </c>
      <c r="I45" s="114" t="str">
        <f t="shared" si="1"/>
        <v/>
      </c>
      <c r="J45" s="114" t="str">
        <f t="shared" si="2"/>
        <v/>
      </c>
      <c r="K45" s="114" t="str">
        <f t="shared" si="3"/>
        <v/>
      </c>
    </row>
    <row r="46" spans="1:14" x14ac:dyDescent="0.75">
      <c r="B46" s="113" t="e">
        <f>'Base-1'!#REF!</f>
        <v>#REF!</v>
      </c>
      <c r="H46" s="113" t="b">
        <f t="shared" si="0"/>
        <v>0</v>
      </c>
      <c r="I46" s="114" t="str">
        <f t="shared" si="1"/>
        <v/>
      </c>
      <c r="J46" s="114" t="str">
        <f t="shared" si="2"/>
        <v/>
      </c>
      <c r="K46" s="114" t="str">
        <f t="shared" si="3"/>
        <v/>
      </c>
    </row>
    <row r="47" spans="1:14" x14ac:dyDescent="0.75">
      <c r="B47" s="113" t="e">
        <f>'Base-1'!#REF!</f>
        <v>#REF!</v>
      </c>
      <c r="C47" s="113" t="str">
        <f>'Base-1'!C15</f>
        <v>Date of first elective end of treatment</v>
      </c>
      <c r="H47" s="113" t="b">
        <f t="shared" si="0"/>
        <v>0</v>
      </c>
      <c r="I47" s="114" t="str">
        <f t="shared" si="1"/>
        <v/>
      </c>
      <c r="J47" s="114" t="str">
        <f t="shared" si="2"/>
        <v/>
      </c>
      <c r="K47" s="114" t="str">
        <f t="shared" si="3"/>
        <v/>
      </c>
    </row>
    <row r="48" spans="1:14" x14ac:dyDescent="0.75">
      <c r="B48" s="113" t="e">
        <f>'Base-1'!#REF!</f>
        <v>#REF!</v>
      </c>
      <c r="C48" s="113" t="e">
        <f>'Base-1'!#REF!</f>
        <v>#REF!</v>
      </c>
      <c r="H48" s="113" t="b">
        <f t="shared" si="0"/>
        <v>0</v>
      </c>
      <c r="I48" s="114" t="str">
        <f t="shared" si="1"/>
        <v/>
      </c>
      <c r="J48" s="114" t="str">
        <f t="shared" si="2"/>
        <v/>
      </c>
      <c r="K48" s="114" t="str">
        <f t="shared" si="3"/>
        <v/>
      </c>
    </row>
    <row r="49" spans="2:11" x14ac:dyDescent="0.75">
      <c r="B49" s="113" t="e">
        <f>'Base-1'!#REF!</f>
        <v>#REF!</v>
      </c>
      <c r="C49" s="113" t="e">
        <f>'Base-1'!#REF!</f>
        <v>#REF!</v>
      </c>
      <c r="H49" s="113" t="b">
        <f t="shared" si="0"/>
        <v>0</v>
      </c>
      <c r="I49" s="114" t="str">
        <f t="shared" si="1"/>
        <v/>
      </c>
      <c r="J49" s="114" t="str">
        <f t="shared" si="2"/>
        <v/>
      </c>
      <c r="K49" s="114" t="str">
        <f t="shared" si="3"/>
        <v/>
      </c>
    </row>
    <row r="50" spans="2:11" x14ac:dyDescent="0.75">
      <c r="B50" s="113" t="e">
        <f>'Base-1'!#REF!</f>
        <v>#REF!</v>
      </c>
      <c r="C50" s="113" t="e">
        <f>'Base-1'!#REF!</f>
        <v>#REF!</v>
      </c>
      <c r="H50" s="113" t="b">
        <f t="shared" si="0"/>
        <v>0</v>
      </c>
      <c r="I50" s="114" t="str">
        <f t="shared" si="1"/>
        <v/>
      </c>
      <c r="J50" s="114" t="str">
        <f t="shared" si="2"/>
        <v/>
      </c>
      <c r="K50" s="114" t="str">
        <f t="shared" si="3"/>
        <v/>
      </c>
    </row>
    <row r="51" spans="2:11" x14ac:dyDescent="0.75">
      <c r="B51" s="113">
        <f>'Base-1'!A37</f>
        <v>0</v>
      </c>
      <c r="C51" s="113">
        <f>'Base-1'!B37</f>
        <v>0</v>
      </c>
    </row>
    <row r="52" spans="2:11" x14ac:dyDescent="0.75">
      <c r="B52" s="113">
        <f>'Base-1'!A38</f>
        <v>0</v>
      </c>
      <c r="C52" s="113">
        <f>'Base-1'!B38</f>
        <v>0</v>
      </c>
    </row>
    <row r="53" spans="2:11" x14ac:dyDescent="0.75">
      <c r="B53" s="113">
        <f>'Base-1'!A39</f>
        <v>0</v>
      </c>
      <c r="C53" s="113">
        <f>'Base-1'!B39</f>
        <v>0</v>
      </c>
    </row>
    <row r="54" spans="2:11" x14ac:dyDescent="0.75">
      <c r="B54" s="113">
        <f>'Base-1'!A40</f>
        <v>0</v>
      </c>
      <c r="C54" s="113">
        <f>'Base-1'!B40</f>
        <v>0</v>
      </c>
    </row>
    <row r="55" spans="2:11" x14ac:dyDescent="0.75">
      <c r="B55" s="113">
        <f>'Base-1'!A41</f>
        <v>0</v>
      </c>
      <c r="C55" s="113">
        <f>'Base-1'!B41</f>
        <v>0</v>
      </c>
    </row>
    <row r="56" spans="2:11" x14ac:dyDescent="0.75">
      <c r="B56" s="113">
        <f>'Base-1'!A42</f>
        <v>0</v>
      </c>
      <c r="C56" s="113">
        <f>'Base-1'!B42</f>
        <v>0</v>
      </c>
    </row>
    <row r="57" spans="2:11" x14ac:dyDescent="0.75">
      <c r="B57" s="113">
        <f>'Base-1'!A43</f>
        <v>0</v>
      </c>
      <c r="C57" s="113">
        <f>'Base-1'!B43</f>
        <v>0</v>
      </c>
    </row>
    <row r="58" spans="2:11" x14ac:dyDescent="0.75">
      <c r="B58" s="113">
        <f>'Base-1'!A44</f>
        <v>0</v>
      </c>
      <c r="C58" s="113">
        <f>'Base-1'!B44</f>
        <v>0</v>
      </c>
    </row>
    <row r="59" spans="2:11" x14ac:dyDescent="0.75">
      <c r="B59" s="113">
        <f>'Base-1'!A45</f>
        <v>0</v>
      </c>
      <c r="C59" s="113">
        <f>'Base-1'!B45</f>
        <v>0</v>
      </c>
    </row>
    <row r="60" spans="2:11" x14ac:dyDescent="0.75">
      <c r="B60" s="113">
        <f>'Base-1'!A46</f>
        <v>0</v>
      </c>
      <c r="C60" s="113">
        <f>'Base-1'!B46</f>
        <v>0</v>
      </c>
    </row>
    <row r="61" spans="2:11" x14ac:dyDescent="0.75">
      <c r="B61" s="113">
        <f>'Base-1'!A47</f>
        <v>0</v>
      </c>
      <c r="C61" s="113">
        <f>'Base-1'!B47</f>
        <v>0</v>
      </c>
    </row>
    <row r="62" spans="2:11" x14ac:dyDescent="0.75">
      <c r="B62" s="113">
        <f>'Base-1'!A48</f>
        <v>0</v>
      </c>
      <c r="C62" s="113">
        <f>'Base-1'!B48</f>
        <v>0</v>
      </c>
    </row>
    <row r="63" spans="2:11" x14ac:dyDescent="0.75">
      <c r="B63" s="113">
        <f>'Base-1'!A49</f>
        <v>0</v>
      </c>
      <c r="C63" s="113">
        <f>'Base-1'!B49</f>
        <v>0</v>
      </c>
    </row>
    <row r="64" spans="2:11" x14ac:dyDescent="0.75">
      <c r="B64" s="113">
        <f>'Base-1'!A50</f>
        <v>0</v>
      </c>
      <c r="C64" s="113">
        <f>'Base-1'!B50</f>
        <v>0</v>
      </c>
    </row>
    <row r="65" spans="2:3" x14ac:dyDescent="0.75">
      <c r="B65" s="113">
        <f>'Base-1'!A51</f>
        <v>0</v>
      </c>
      <c r="C65" s="113">
        <f>'Base-1'!B51</f>
        <v>0</v>
      </c>
    </row>
    <row r="66" spans="2:3" x14ac:dyDescent="0.75">
      <c r="B66" s="113">
        <f>'Base-1'!A52</f>
        <v>0</v>
      </c>
      <c r="C66" s="113">
        <f>'Base-1'!B52</f>
        <v>0</v>
      </c>
    </row>
    <row r="67" spans="2:3" x14ac:dyDescent="0.75">
      <c r="B67" s="113">
        <f>'Base-1'!A53</f>
        <v>0</v>
      </c>
      <c r="C67" s="113">
        <f>'Base-1'!B53</f>
        <v>0</v>
      </c>
    </row>
    <row r="68" spans="2:3" x14ac:dyDescent="0.75">
      <c r="B68" s="113">
        <f>'Base-1'!A54</f>
        <v>0</v>
      </c>
      <c r="C68" s="113">
        <f>'Base-1'!B54</f>
        <v>0</v>
      </c>
    </row>
    <row r="69" spans="2:3" x14ac:dyDescent="0.75">
      <c r="B69" s="113">
        <f>'Base-1'!A55</f>
        <v>0</v>
      </c>
      <c r="C69" s="113">
        <f>'Base-1'!B55</f>
        <v>0</v>
      </c>
    </row>
    <row r="70" spans="2:3" x14ac:dyDescent="0.75">
      <c r="B70" s="113">
        <f>'Base-1'!A56</f>
        <v>0</v>
      </c>
      <c r="C70" s="113">
        <f>'Base-1'!B56</f>
        <v>0</v>
      </c>
    </row>
    <row r="71" spans="2:3" x14ac:dyDescent="0.75">
      <c r="B71" s="113">
        <f>'Base-1'!A57</f>
        <v>0</v>
      </c>
      <c r="C71" s="113">
        <f>'Base-1'!B57</f>
        <v>0</v>
      </c>
    </row>
    <row r="72" spans="2:3" x14ac:dyDescent="0.75">
      <c r="B72" s="113">
        <f>'Base-1'!A58</f>
        <v>0</v>
      </c>
      <c r="C72" s="113">
        <f>'Base-1'!B58</f>
        <v>0</v>
      </c>
    </row>
    <row r="73" spans="2:3" x14ac:dyDescent="0.75">
      <c r="B73" s="113">
        <f>'Base-1'!A59</f>
        <v>0</v>
      </c>
      <c r="C73" s="113">
        <f>'Base-1'!B59</f>
        <v>0</v>
      </c>
    </row>
    <row r="74" spans="2:3" x14ac:dyDescent="0.75">
      <c r="B74" s="113">
        <f>'Base-1'!A60</f>
        <v>0</v>
      </c>
      <c r="C74" s="113">
        <f>'Base-1'!B60</f>
        <v>0</v>
      </c>
    </row>
    <row r="75" spans="2:3" x14ac:dyDescent="0.75">
      <c r="B75" s="113">
        <f>'Base-1'!A61</f>
        <v>0</v>
      </c>
      <c r="C75" s="113">
        <f>'Base-1'!B61</f>
        <v>0</v>
      </c>
    </row>
    <row r="76" spans="2:3" x14ac:dyDescent="0.75">
      <c r="B76" s="113">
        <f>'Base-1'!A62</f>
        <v>0</v>
      </c>
      <c r="C76" s="113">
        <f>'Base-1'!B62</f>
        <v>0</v>
      </c>
    </row>
    <row r="77" spans="2:3" x14ac:dyDescent="0.75">
      <c r="B77" s="113">
        <f>'Base-1'!A63</f>
        <v>0</v>
      </c>
      <c r="C77" s="113">
        <f>'Base-1'!B63</f>
        <v>0</v>
      </c>
    </row>
    <row r="78" spans="2:3" x14ac:dyDescent="0.75">
      <c r="B78" s="113">
        <f>'Base-1'!A64</f>
        <v>0</v>
      </c>
      <c r="C78" s="113">
        <f>'Base-1'!B64</f>
        <v>0</v>
      </c>
    </row>
    <row r="79" spans="2:3" x14ac:dyDescent="0.75">
      <c r="B79" s="113">
        <f>'Base-1'!A65</f>
        <v>0</v>
      </c>
      <c r="C79" s="113">
        <f>'Base-1'!B65</f>
        <v>0</v>
      </c>
    </row>
    <row r="80" spans="2:3" x14ac:dyDescent="0.75">
      <c r="B80" s="113">
        <f>'Base-1'!A66</f>
        <v>0</v>
      </c>
      <c r="C80" s="113">
        <f>'Base-1'!B66</f>
        <v>0</v>
      </c>
    </row>
    <row r="81" spans="2:3" x14ac:dyDescent="0.75">
      <c r="B81" s="113">
        <f>'Base-1'!A67</f>
        <v>0</v>
      </c>
      <c r="C81" s="113">
        <f>'Base-1'!B67</f>
        <v>0</v>
      </c>
    </row>
    <row r="82" spans="2:3" x14ac:dyDescent="0.75">
      <c r="B82" s="113">
        <f>'Base-1'!A68</f>
        <v>0</v>
      </c>
      <c r="C82" s="113">
        <f>'Base-1'!B68</f>
        <v>0</v>
      </c>
    </row>
    <row r="83" spans="2:3" x14ac:dyDescent="0.75">
      <c r="B83" s="113">
        <f>'Base-1'!A69</f>
        <v>0</v>
      </c>
      <c r="C83" s="113">
        <f>'Base-1'!B69</f>
        <v>0</v>
      </c>
    </row>
    <row r="84" spans="2:3" x14ac:dyDescent="0.75">
      <c r="B84" s="113">
        <f>'Base-1'!A70</f>
        <v>0</v>
      </c>
      <c r="C84" s="113">
        <f>'Base-1'!B70</f>
        <v>0</v>
      </c>
    </row>
    <row r="85" spans="2:3" x14ac:dyDescent="0.75">
      <c r="B85" s="113">
        <f>'Base-1'!A71</f>
        <v>0</v>
      </c>
      <c r="C85" s="113">
        <f>'Base-1'!B71</f>
        <v>0</v>
      </c>
    </row>
    <row r="86" spans="2:3" x14ac:dyDescent="0.75">
      <c r="B86" s="113">
        <f>'Base-1'!A72</f>
        <v>0</v>
      </c>
      <c r="C86" s="113">
        <f>'Base-1'!B72</f>
        <v>0</v>
      </c>
    </row>
    <row r="87" spans="2:3" x14ac:dyDescent="0.75">
      <c r="B87" s="113">
        <f>'Base-1'!A73</f>
        <v>0</v>
      </c>
      <c r="C87" s="113">
        <f>'Base-1'!B73</f>
        <v>0</v>
      </c>
    </row>
    <row r="88" spans="2:3" x14ac:dyDescent="0.75">
      <c r="B88" s="113">
        <f>'Base-1'!A74</f>
        <v>0</v>
      </c>
      <c r="C88" s="113">
        <f>'Base-1'!B74</f>
        <v>0</v>
      </c>
    </row>
    <row r="89" spans="2:3" x14ac:dyDescent="0.75">
      <c r="B89" s="113">
        <f>'Base-1'!A75</f>
        <v>0</v>
      </c>
      <c r="C89" s="113">
        <f>'Base-1'!B75</f>
        <v>0</v>
      </c>
    </row>
    <row r="90" spans="2:3" x14ac:dyDescent="0.75">
      <c r="B90" s="113">
        <f>'Base-1'!A76</f>
        <v>0</v>
      </c>
      <c r="C90" s="113">
        <f>'Base-1'!B76</f>
        <v>0</v>
      </c>
    </row>
    <row r="91" spans="2:3" x14ac:dyDescent="0.75">
      <c r="B91" s="113">
        <f>'Base-1'!A77</f>
        <v>0</v>
      </c>
      <c r="C91" s="113">
        <f>'Base-1'!B77</f>
        <v>0</v>
      </c>
    </row>
    <row r="92" spans="2:3" x14ac:dyDescent="0.75">
      <c r="B92" s="113">
        <f>'Base-1'!A78</f>
        <v>0</v>
      </c>
      <c r="C92" s="113">
        <f>'Base-1'!B78</f>
        <v>0</v>
      </c>
    </row>
    <row r="93" spans="2:3" x14ac:dyDescent="0.75">
      <c r="B93" s="113">
        <f>'Base-1'!A79</f>
        <v>0</v>
      </c>
      <c r="C93" s="113">
        <f>'Base-1'!B79</f>
        <v>0</v>
      </c>
    </row>
    <row r="94" spans="2:3" x14ac:dyDescent="0.75">
      <c r="B94" s="113">
        <f>'Base-1'!A80</f>
        <v>0</v>
      </c>
      <c r="C94" s="113">
        <f>'Base-1'!B80</f>
        <v>0</v>
      </c>
    </row>
    <row r="95" spans="2:3" x14ac:dyDescent="0.75">
      <c r="B95" s="113">
        <f>'Base-1'!A81</f>
        <v>0</v>
      </c>
      <c r="C95" s="113">
        <f>'Base-1'!B81</f>
        <v>0</v>
      </c>
    </row>
    <row r="96" spans="2:3" x14ac:dyDescent="0.75">
      <c r="B96" s="113">
        <f>'Base-1'!A82</f>
        <v>0</v>
      </c>
      <c r="C96" s="113">
        <f>'Base-1'!B82</f>
        <v>0</v>
      </c>
    </row>
    <row r="97" spans="2:3" x14ac:dyDescent="0.75">
      <c r="B97" s="113">
        <f>'Base-1'!A83</f>
        <v>0</v>
      </c>
      <c r="C97" s="113">
        <f>'Base-1'!B83</f>
        <v>0</v>
      </c>
    </row>
    <row r="98" spans="2:3" x14ac:dyDescent="0.75">
      <c r="B98" s="113">
        <f>'Base-1'!A84</f>
        <v>0</v>
      </c>
      <c r="C98" s="113">
        <f>'Base-1'!B84</f>
        <v>0</v>
      </c>
    </row>
    <row r="99" spans="2:3" x14ac:dyDescent="0.75">
      <c r="B99" s="113">
        <f>'Base-1'!A85</f>
        <v>0</v>
      </c>
      <c r="C99" s="113">
        <f>'Base-1'!B85</f>
        <v>0</v>
      </c>
    </row>
    <row r="100" spans="2:3" x14ac:dyDescent="0.75">
      <c r="B100" s="113">
        <f>'Base-1'!A86</f>
        <v>0</v>
      </c>
      <c r="C100" s="113">
        <f>'Base-1'!B86</f>
        <v>0</v>
      </c>
    </row>
    <row r="101" spans="2:3" x14ac:dyDescent="0.75">
      <c r="B101" s="113">
        <f>'Base-1'!A87</f>
        <v>0</v>
      </c>
      <c r="C101" s="113">
        <f>'Base-1'!B87</f>
        <v>0</v>
      </c>
    </row>
    <row r="102" spans="2:3" x14ac:dyDescent="0.75">
      <c r="B102" s="113">
        <f>'Base-1'!A88</f>
        <v>0</v>
      </c>
      <c r="C102" s="113">
        <f>'Base-1'!B88</f>
        <v>0</v>
      </c>
    </row>
    <row r="103" spans="2:3" x14ac:dyDescent="0.75">
      <c r="B103" s="113">
        <f>'Base-1'!A89</f>
        <v>0</v>
      </c>
      <c r="C103" s="113">
        <f>'Base-1'!B89</f>
        <v>0</v>
      </c>
    </row>
    <row r="104" spans="2:3" x14ac:dyDescent="0.75">
      <c r="B104" s="113">
        <f>'Base-1'!A90</f>
        <v>0</v>
      </c>
      <c r="C104" s="113">
        <f>'Base-1'!B90</f>
        <v>0</v>
      </c>
    </row>
    <row r="105" spans="2:3" x14ac:dyDescent="0.75">
      <c r="B105" s="113">
        <f>'Base-1'!A91</f>
        <v>0</v>
      </c>
      <c r="C105" s="113">
        <f>'Base-1'!B91</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22" workbookViewId="0">
      <selection activeCell="D3" sqref="D3:D206"/>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1:5" x14ac:dyDescent="0.75">
      <c r="D2" s="8"/>
    </row>
    <row r="3" spans="1:5" x14ac:dyDescent="0.75">
      <c r="A3" s="115">
        <v>1</v>
      </c>
      <c r="B3" s="115">
        <f>IF(MOD(A3,3)=0,A3/3-1,INT(A3/3))</f>
        <v>0</v>
      </c>
      <c r="C3" s="115">
        <f>IF(MOD(A3,3)=0,3,MOD(A3,3))</f>
        <v>1</v>
      </c>
      <c r="D3" s="113" t="str" cm="1">
        <f t="array" ref="D3">INDEX('Diag-Map-1'!$I$7:$K$100,1+B3,C3)</f>
        <v>* differential.element[0].mapping[0].identity = "fhir"</v>
      </c>
      <c r="E3" s="113" t="str">
        <f>INDEX('Diag-Map-1'!$I$8:$K$17,1,1)</f>
        <v>* differential.element[1].mapping[0].identity = "fhir"</v>
      </c>
    </row>
    <row r="4" spans="1:5" x14ac:dyDescent="0.75">
      <c r="A4" s="115">
        <v>2</v>
      </c>
      <c r="B4" s="115">
        <f t="shared" ref="B4:B67" si="0">IF(MOD(A4,3)=0,A4/3-1,INT(A4/3))</f>
        <v>0</v>
      </c>
      <c r="C4" s="115">
        <f t="shared" ref="C4:C67" si="1">IF(MOD(A4,3)=0,3,MOD(A4,3))</f>
        <v>2</v>
      </c>
      <c r="D4" s="113" t="str" cm="1">
        <f t="array" ref="D4">INDEX('Diag-Map-1'!$I$7:$K$100,1+B4,C4)</f>
        <v>* differential.element[0].mapping[0].map = "Condition"</v>
      </c>
    </row>
    <row r="5" spans="1:5" x14ac:dyDescent="0.75">
      <c r="A5" s="115">
        <v>3</v>
      </c>
      <c r="B5" s="115">
        <f t="shared" si="0"/>
        <v>0</v>
      </c>
      <c r="C5" s="115">
        <f t="shared" si="1"/>
        <v>3</v>
      </c>
      <c r="D5" s="113" t="str" cm="1">
        <f t="array" ref="D5">INDEX('Diag-Map-1'!$I$7:$K$100,1+B5,C5)</f>
        <v/>
      </c>
    </row>
    <row r="6" spans="1:5" x14ac:dyDescent="0.75">
      <c r="A6" s="115">
        <v>4</v>
      </c>
      <c r="B6" s="115">
        <f t="shared" si="0"/>
        <v>1</v>
      </c>
      <c r="C6" s="115">
        <f t="shared" si="1"/>
        <v>1</v>
      </c>
      <c r="D6" s="113" t="str" cm="1">
        <f t="array" ref="D6">INDEX('Diag-Map-1'!$I$7:$K$100,1+B6,C6)</f>
        <v>* differential.element[1].mapping[0].identity = "fhir"</v>
      </c>
    </row>
    <row r="7" spans="1:5" x14ac:dyDescent="0.75">
      <c r="A7" s="115">
        <v>5</v>
      </c>
      <c r="B7" s="115">
        <f t="shared" si="0"/>
        <v>1</v>
      </c>
      <c r="C7" s="115">
        <f t="shared" si="1"/>
        <v>2</v>
      </c>
      <c r="D7" s="113" t="str" cm="1">
        <f t="array" ref="D7">INDEX('Diag-Map-1'!$I$7:$K$100,1+B7,C7)</f>
        <v>* differential.element[1].mapping[0].map = "Condition.identifier"</v>
      </c>
    </row>
    <row r="8" spans="1:5" x14ac:dyDescent="0.75">
      <c r="A8" s="115">
        <v>6</v>
      </c>
      <c r="B8" s="115">
        <f t="shared" si="0"/>
        <v>1</v>
      </c>
      <c r="C8" s="115">
        <f t="shared" si="1"/>
        <v>3</v>
      </c>
      <c r="D8" s="113" t="str" cm="1">
        <f t="array" ref="D8">INDEX('Diag-Map-1'!$I$7:$K$100,1+B8,C8)</f>
        <v/>
      </c>
    </row>
    <row r="9" spans="1:5" x14ac:dyDescent="0.75">
      <c r="A9" s="115">
        <v>7</v>
      </c>
      <c r="B9" s="115">
        <f t="shared" si="0"/>
        <v>2</v>
      </c>
      <c r="C9" s="115">
        <f t="shared" si="1"/>
        <v>1</v>
      </c>
      <c r="D9" s="113" t="str" cm="1">
        <f t="array" ref="D9">INDEX('Diag-Map-1'!$I$7:$K$100,1+B9,C9)</f>
        <v>* differential.element[2].mapping[0].identity = "fhir"</v>
      </c>
    </row>
    <row r="10" spans="1:5" x14ac:dyDescent="0.75">
      <c r="A10" s="115">
        <v>8</v>
      </c>
      <c r="B10" s="115">
        <f t="shared" si="0"/>
        <v>2</v>
      </c>
      <c r="C10" s="115">
        <f t="shared" si="1"/>
        <v>2</v>
      </c>
      <c r="D10" s="113" t="str" cm="1">
        <f t="array" ref="D10">INDEX('Diag-Map-1'!$I$7:$K$100,1+B10,C10)</f>
        <v>* differential.element[2].mapping[0].map = "Condition.extension('condition-assertedDate').valueDateTime
Observation.effectiveDateTime"</v>
      </c>
    </row>
    <row r="11" spans="1:5" x14ac:dyDescent="0.75">
      <c r="A11" s="115">
        <v>9</v>
      </c>
      <c r="B11" s="115">
        <f t="shared" si="0"/>
        <v>2</v>
      </c>
      <c r="C11" s="115">
        <f t="shared" si="1"/>
        <v>3</v>
      </c>
      <c r="D11" s="113" t="str" cm="1">
        <f t="array" ref="D11">INDEX('Diag-Map-1'!$I$7:$K$100,1+B11,C11)</f>
        <v/>
      </c>
    </row>
    <row r="12" spans="1:5" x14ac:dyDescent="0.75">
      <c r="A12" s="115">
        <v>10</v>
      </c>
      <c r="B12" s="115">
        <f t="shared" si="0"/>
        <v>3</v>
      </c>
      <c r="C12" s="115">
        <f t="shared" si="1"/>
        <v>1</v>
      </c>
      <c r="D12" s="113" t="str" cm="1">
        <f t="array" ref="D12">INDEX('Diag-Map-1'!$I$7:$K$100,1+B12,C12)</f>
        <v>* differential.element[3].mapping[0].identity = "fhir"</v>
      </c>
    </row>
    <row r="13" spans="1:5" x14ac:dyDescent="0.75">
      <c r="A13" s="115">
        <v>11</v>
      </c>
      <c r="B13" s="115">
        <f t="shared" si="0"/>
        <v>3</v>
      </c>
      <c r="C13" s="115">
        <f t="shared" si="1"/>
        <v>2</v>
      </c>
      <c r="D13" s="113" t="str" cm="1">
        <f t="array" ref="D13">INDEX('Diag-Map-1'!$I$7:$K$100,1+B13,C13)</f>
        <v>* differential.element[3].mapping[0].map = "Observation.performer"</v>
      </c>
    </row>
    <row r="14" spans="1:5" x14ac:dyDescent="0.75">
      <c r="A14" s="115">
        <v>12</v>
      </c>
      <c r="B14" s="115">
        <f t="shared" si="0"/>
        <v>3</v>
      </c>
      <c r="C14" s="115">
        <f t="shared" si="1"/>
        <v>3</v>
      </c>
      <c r="D14" s="113" t="str" cm="1">
        <f t="array" ref="D14">INDEX('Diag-Map-1'!$I$7:$K$100,1+B14,C14)</f>
        <v/>
      </c>
    </row>
    <row r="15" spans="1:5" x14ac:dyDescent="0.75">
      <c r="A15" s="115">
        <v>13</v>
      </c>
      <c r="B15" s="115">
        <f t="shared" si="0"/>
        <v>4</v>
      </c>
      <c r="C15" s="115">
        <f t="shared" si="1"/>
        <v>1</v>
      </c>
      <c r="D15" s="113" t="str" cm="1">
        <f t="array" ref="D15">INDEX('Diag-Map-1'!$I$7:$K$100,1+B15,C15)</f>
        <v>* differential.element[4].mapping[0].identity = "fhir"</v>
      </c>
    </row>
    <row r="16" spans="1:5" x14ac:dyDescent="0.75">
      <c r="A16" s="115">
        <v>14</v>
      </c>
      <c r="B16" s="115">
        <f t="shared" si="0"/>
        <v>4</v>
      </c>
      <c r="C16" s="115">
        <f t="shared" si="1"/>
        <v>2</v>
      </c>
      <c r="D16" s="113" t="str" cm="1">
        <f t="array" ref="D16">INDEX('Diag-Map-1'!$I$7:$K$100,1+B16,C16)</f>
        <v>* differential.element[4].mapping[0].map = "Observation.performer.resolve().identifier
Observation.performer.identifier"</v>
      </c>
    </row>
    <row r="17" spans="1:4" x14ac:dyDescent="0.75">
      <c r="A17" s="115">
        <v>15</v>
      </c>
      <c r="B17" s="115">
        <f t="shared" si="0"/>
        <v>4</v>
      </c>
      <c r="C17" s="115">
        <f t="shared" si="1"/>
        <v>3</v>
      </c>
      <c r="D17" s="113" t="str" cm="1">
        <f t="array" ref="D17">INDEX('Diag-Map-1'!$I$7:$K$100,1+B17,C17)</f>
        <v/>
      </c>
    </row>
    <row r="18" spans="1:4" x14ac:dyDescent="0.75">
      <c r="A18" s="115">
        <v>16</v>
      </c>
      <c r="B18" s="115">
        <f t="shared" si="0"/>
        <v>5</v>
      </c>
      <c r="C18" s="115">
        <f t="shared" si="1"/>
        <v>1</v>
      </c>
      <c r="D18" s="113" t="str" cm="1">
        <f t="array" ref="D18">INDEX('Diag-Map-1'!$I$7:$K$100,1+B18,C18)</f>
        <v>* differential.element[5].mapping[0].identity = "fhir"</v>
      </c>
    </row>
    <row r="19" spans="1:4" x14ac:dyDescent="0.75">
      <c r="A19" s="115">
        <v>17</v>
      </c>
      <c r="B19" s="115">
        <f t="shared" si="0"/>
        <v>5</v>
      </c>
      <c r="C19" s="115">
        <f t="shared" si="1"/>
        <v>2</v>
      </c>
      <c r="D19" s="113" t="str" cm="1">
        <f t="array" ref="D19">INDEX('Diag-Map-1'!$I$7:$K$100,1+B19,C19)</f>
        <v>* differential.element[5].mapping[0].map = "Observation.performer.resolve().name
Observation.performer.display"</v>
      </c>
    </row>
    <row r="20" spans="1:4" x14ac:dyDescent="0.75">
      <c r="A20" s="115">
        <v>18</v>
      </c>
      <c r="B20" s="115">
        <f t="shared" si="0"/>
        <v>5</v>
      </c>
      <c r="C20" s="115">
        <f t="shared" si="1"/>
        <v>3</v>
      </c>
      <c r="D20" s="113" t="str" cm="1">
        <f t="array" ref="D20">INDEX('Diag-Map-1'!$I$7:$K$100,1+B20,C20)</f>
        <v/>
      </c>
    </row>
    <row r="21" spans="1:4" x14ac:dyDescent="0.75">
      <c r="A21" s="115">
        <v>19</v>
      </c>
      <c r="B21" s="115">
        <f t="shared" si="0"/>
        <v>6</v>
      </c>
      <c r="C21" s="115">
        <f t="shared" si="1"/>
        <v>1</v>
      </c>
      <c r="D21" s="113" t="str" cm="1">
        <f t="array" ref="D21">INDEX('Diag-Map-1'!$I$7:$K$100,1+B21,C21)</f>
        <v>* differential.element[6].mapping[0].identity = "fhir"</v>
      </c>
    </row>
    <row r="22" spans="1:4" x14ac:dyDescent="0.75">
      <c r="A22" s="115">
        <v>20</v>
      </c>
      <c r="B22" s="115">
        <f t="shared" si="0"/>
        <v>6</v>
      </c>
      <c r="C22" s="115">
        <f t="shared" si="1"/>
        <v>2</v>
      </c>
      <c r="D22" s="113" t="str" cm="1">
        <f t="array" ref="D22">INDEX('Diag-Map-1'!$I$7:$K$100,1+B22,C22)</f>
        <v>* differential.element[6].mapping[0].map = "Observation.performer.resolve().address.city"</v>
      </c>
    </row>
    <row r="23" spans="1:4" x14ac:dyDescent="0.75">
      <c r="A23" s="115">
        <v>21</v>
      </c>
      <c r="B23" s="115">
        <f t="shared" si="0"/>
        <v>6</v>
      </c>
      <c r="C23" s="115">
        <f t="shared" si="1"/>
        <v>3</v>
      </c>
      <c r="D23" s="113" t="str" cm="1">
        <f t="array" ref="D23">INDEX('Diag-Map-1'!$I$7:$K$100,1+B23,C23)</f>
        <v/>
      </c>
    </row>
    <row r="24" spans="1:4" x14ac:dyDescent="0.75">
      <c r="A24" s="115">
        <v>22</v>
      </c>
      <c r="B24" s="115">
        <f t="shared" si="0"/>
        <v>7</v>
      </c>
      <c r="C24" s="115">
        <f t="shared" si="1"/>
        <v>1</v>
      </c>
      <c r="D24" s="113" t="str" cm="1">
        <f t="array" ref="D24">INDEX('Diag-Map-1'!$I$7:$K$100,1+B24,C24)</f>
        <v>* differential.element[7].mapping[0].identity = "fhir"</v>
      </c>
    </row>
    <row r="25" spans="1:4" x14ac:dyDescent="0.75">
      <c r="A25" s="115">
        <v>23</v>
      </c>
      <c r="B25" s="115">
        <f t="shared" si="0"/>
        <v>7</v>
      </c>
      <c r="C25" s="115">
        <f t="shared" si="1"/>
        <v>2</v>
      </c>
      <c r="D25" s="113" t="str" cm="1">
        <f t="array" ref="D25">INDEX('Diag-Map-1'!$I$7:$K$100,1+B25,C25)</f>
        <v>* differential.element[7].mapping[0].map = "Observation.performer.resolve().address.country"</v>
      </c>
    </row>
    <row r="26" spans="1:4" x14ac:dyDescent="0.75">
      <c r="A26" s="115">
        <v>24</v>
      </c>
      <c r="B26" s="115">
        <f t="shared" si="0"/>
        <v>7</v>
      </c>
      <c r="C26" s="115">
        <f t="shared" si="1"/>
        <v>3</v>
      </c>
      <c r="D26" s="113" t="str" cm="1">
        <f t="array" ref="D26">INDEX('Diag-Map-1'!$I$7:$K$100,1+B26,C26)</f>
        <v/>
      </c>
    </row>
    <row r="27" spans="1:4" x14ac:dyDescent="0.75">
      <c r="A27" s="115">
        <v>25</v>
      </c>
      <c r="B27" s="115">
        <f t="shared" si="0"/>
        <v>8</v>
      </c>
      <c r="C27" s="115">
        <f t="shared" si="1"/>
        <v>1</v>
      </c>
      <c r="D27" s="113" t="str" cm="1">
        <f t="array" ref="D27">INDEX('Diag-Map-1'!$I$7:$K$100,1+B27,C27)</f>
        <v>* differential.element[8].mapping[0].identity = "fhir"</v>
      </c>
    </row>
    <row r="28" spans="1:4" x14ac:dyDescent="0.75">
      <c r="A28" s="115">
        <v>26</v>
      </c>
      <c r="B28" s="115">
        <f t="shared" si="0"/>
        <v>8</v>
      </c>
      <c r="C28" s="115">
        <f t="shared" si="1"/>
        <v>2</v>
      </c>
      <c r="D28" s="113" t="str" cm="1">
        <f t="array" ref="D28">INDEX('Diag-Map-1'!$I$7:$K$100,1+B28,C28)</f>
        <v>* differential.element[8].mapping[0].map = "Patient.generalPractitioner
Encounter.serviceProvider"</v>
      </c>
    </row>
    <row r="29" spans="1:4" x14ac:dyDescent="0.75">
      <c r="A29" s="115">
        <v>27</v>
      </c>
      <c r="B29" s="115">
        <f t="shared" si="0"/>
        <v>8</v>
      </c>
      <c r="C29" s="115">
        <f t="shared" si="1"/>
        <v>3</v>
      </c>
      <c r="D29" s="113" t="str" cm="1">
        <f t="array" ref="D29">INDEX('Diag-Map-1'!$I$7:$K$100,1+B29,C29)</f>
        <v/>
      </c>
    </row>
    <row r="30" spans="1:4" x14ac:dyDescent="0.75">
      <c r="A30" s="115">
        <v>28</v>
      </c>
      <c r="B30" s="115">
        <f t="shared" si="0"/>
        <v>9</v>
      </c>
      <c r="C30" s="115">
        <f t="shared" si="1"/>
        <v>1</v>
      </c>
      <c r="D30" s="113" t="str" cm="1">
        <f t="array" ref="D30">INDEX('Diag-Map-1'!$I$7:$K$100,1+B30,C30)</f>
        <v>* differential.element[9].mapping[0].identity = "fhir"</v>
      </c>
    </row>
    <row r="31" spans="1:4" x14ac:dyDescent="0.75">
      <c r="A31" s="115">
        <v>29</v>
      </c>
      <c r="B31" s="115">
        <f t="shared" si="0"/>
        <v>9</v>
      </c>
      <c r="C31" s="115">
        <f t="shared" si="1"/>
        <v>2</v>
      </c>
      <c r="D31" s="113" t="str" cm="1">
        <f t="array" ref="D31">INDEX('Diag-Map-1'!$I$7:$K$100,1+B31,C31)</f>
        <v>* differential.element[9].mapping[0].map = "Patient.generalPractitioner.display
Patient.generalPractitioner.resolve().name
Encounter.serviceProvider.display
Encounter.serviceProvider.resolve().name"</v>
      </c>
    </row>
    <row r="32" spans="1:4" x14ac:dyDescent="0.75">
      <c r="A32" s="115">
        <v>30</v>
      </c>
      <c r="B32" s="115">
        <f t="shared" si="0"/>
        <v>9</v>
      </c>
      <c r="C32" s="115">
        <f t="shared" si="1"/>
        <v>3</v>
      </c>
      <c r="D32" s="113" t="str" cm="1">
        <f t="array" ref="D32">INDEX('Diag-Map-1'!$I$7:$K$100,1+B32,C32)</f>
        <v/>
      </c>
    </row>
    <row r="33" spans="1:4" x14ac:dyDescent="0.75">
      <c r="A33" s="115">
        <v>31</v>
      </c>
      <c r="B33" s="115">
        <f t="shared" si="0"/>
        <v>10</v>
      </c>
      <c r="C33" s="115">
        <f t="shared" si="1"/>
        <v>1</v>
      </c>
      <c r="D33" s="113" t="str" cm="1">
        <f t="array" ref="D33">INDEX('Diag-Map-1'!$I$7:$K$100,1+B33,C33)</f>
        <v>* differential.element[10].mapping[0].identity = "fhir"</v>
      </c>
    </row>
    <row r="34" spans="1:4" x14ac:dyDescent="0.75">
      <c r="A34" s="115">
        <v>32</v>
      </c>
      <c r="B34" s="115">
        <f t="shared" si="0"/>
        <v>10</v>
      </c>
      <c r="C34" s="115">
        <f t="shared" si="1"/>
        <v>2</v>
      </c>
      <c r="D34" s="113" t="str" cm="1">
        <f t="array" ref="D34">INDEX('Diag-Map-1'!$I$7:$K$100,1+B34,C34)</f>
        <v>* differential.element[10].mapping[0].map = "Patient.generalPractitioner.resolve().address.city
Encounter.serviceProvider.resolve().address.city"</v>
      </c>
    </row>
    <row r="35" spans="1:4" x14ac:dyDescent="0.75">
      <c r="A35" s="115">
        <v>33</v>
      </c>
      <c r="B35" s="115">
        <f t="shared" si="0"/>
        <v>10</v>
      </c>
      <c r="C35" s="115">
        <f t="shared" si="1"/>
        <v>3</v>
      </c>
      <c r="D35" s="113" t="str" cm="1">
        <f t="array" ref="D35">INDEX('Diag-Map-1'!$I$7:$K$100,1+B35,C35)</f>
        <v/>
      </c>
    </row>
    <row r="36" spans="1:4" x14ac:dyDescent="0.75">
      <c r="A36" s="115">
        <v>34</v>
      </c>
      <c r="B36" s="115">
        <f t="shared" si="0"/>
        <v>11</v>
      </c>
      <c r="C36" s="115">
        <f t="shared" si="1"/>
        <v>1</v>
      </c>
      <c r="D36" s="113" t="str" cm="1">
        <f t="array" ref="D36">INDEX('Diag-Map-1'!$I$7:$K$100,1+B36,C36)</f>
        <v>* differential.element[11].mapping[0].identity = "fhir"</v>
      </c>
    </row>
    <row r="37" spans="1:4" x14ac:dyDescent="0.75">
      <c r="A37" s="115">
        <v>35</v>
      </c>
      <c r="B37" s="115">
        <f t="shared" si="0"/>
        <v>11</v>
      </c>
      <c r="C37" s="115">
        <f t="shared" si="1"/>
        <v>2</v>
      </c>
      <c r="D37" s="113" t="str" cm="1">
        <f t="array" ref="D37">INDEX('Diag-Map-1'!$I$7:$K$100,1+B37,C37)</f>
        <v>* differential.element[11].mapping[0].map = "Patient.generalPractitioner.resolve().address.country
Encounter.serviceProvider.resolve().address.country"</v>
      </c>
    </row>
    <row r="38" spans="1:4" x14ac:dyDescent="0.75">
      <c r="A38" s="115">
        <v>36</v>
      </c>
      <c r="B38" s="115">
        <f t="shared" si="0"/>
        <v>11</v>
      </c>
      <c r="C38" s="115">
        <f t="shared" si="1"/>
        <v>3</v>
      </c>
      <c r="D38" s="113" t="str" cm="1">
        <f t="array" ref="D38">INDEX('Diag-Map-1'!$I$7:$K$100,1+B38,C38)</f>
        <v/>
      </c>
    </row>
    <row r="39" spans="1:4" x14ac:dyDescent="0.75">
      <c r="A39" s="115">
        <v>37</v>
      </c>
      <c r="B39" s="115">
        <f t="shared" si="0"/>
        <v>12</v>
      </c>
      <c r="C39" s="115">
        <f t="shared" si="1"/>
        <v>1</v>
      </c>
      <c r="D39" s="113" t="str" cm="1">
        <f t="array" ref="D39">INDEX('Diag-Map-1'!$I$7:$K$100,1+B39,C39)</f>
        <v>* differential.element[12].mapping[0].identity = "fhir"</v>
      </c>
    </row>
    <row r="40" spans="1:4" x14ac:dyDescent="0.75">
      <c r="A40" s="115">
        <v>38</v>
      </c>
      <c r="B40" s="115">
        <f t="shared" si="0"/>
        <v>12</v>
      </c>
      <c r="C40" s="115">
        <f t="shared" si="1"/>
        <v>2</v>
      </c>
      <c r="D40" s="113" t="str" cm="1">
        <f t="array" ref="D40">INDEX('Diag-Map-1'!$I$7:$K$100,1+B40,C40)</f>
        <v>* differential.element[12].mapping[0].map = "Encounter.period.start"</v>
      </c>
    </row>
    <row r="41" spans="1:4" x14ac:dyDescent="0.75">
      <c r="A41" s="115">
        <v>39</v>
      </c>
      <c r="B41" s="115">
        <f t="shared" si="0"/>
        <v>12</v>
      </c>
      <c r="C41" s="115">
        <f t="shared" si="1"/>
        <v>3</v>
      </c>
      <c r="D41" s="113" t="str" cm="1">
        <f t="array" ref="D41">INDEX('Diag-Map-1'!$I$7:$K$100,1+B41,C41)</f>
        <v/>
      </c>
    </row>
    <row r="42" spans="1:4" x14ac:dyDescent="0.75">
      <c r="A42" s="115">
        <v>40</v>
      </c>
      <c r="B42" s="115">
        <f t="shared" si="0"/>
        <v>13</v>
      </c>
      <c r="C42" s="115">
        <f t="shared" si="1"/>
        <v>1</v>
      </c>
      <c r="D42" s="113" t="str" cm="1">
        <f t="array" ref="D42">INDEX('Diag-Map-1'!$I$7:$K$100,1+B42,C42)</f>
        <v>* differential.element[13].mapping[0].identity = "fhir"</v>
      </c>
    </row>
    <row r="43" spans="1:4" x14ac:dyDescent="0.75">
      <c r="A43" s="115">
        <v>41</v>
      </c>
      <c r="B43" s="115">
        <f t="shared" si="0"/>
        <v>13</v>
      </c>
      <c r="C43" s="115">
        <f t="shared" si="1"/>
        <v>2</v>
      </c>
      <c r="D43" s="113" t="str" cm="1">
        <f t="array" ref="D43">INDEX('Diag-Map-1'!$I$7:$K$100,1+B43,C43)</f>
        <v>* differential.element[13].mapping[0].map = "Condition.code.coding"</v>
      </c>
    </row>
    <row r="44" spans="1:4" x14ac:dyDescent="0.75">
      <c r="A44" s="115">
        <v>42</v>
      </c>
      <c r="B44" s="115">
        <f t="shared" si="0"/>
        <v>13</v>
      </c>
      <c r="C44" s="115">
        <f t="shared" si="1"/>
        <v>3</v>
      </c>
      <c r="D44" s="113" t="str" cm="1">
        <f t="array" ref="D44">INDEX('Diag-Map-1'!$I$7:$K$100,1+B44,C44)</f>
        <v/>
      </c>
    </row>
    <row r="45" spans="1:4" x14ac:dyDescent="0.75">
      <c r="A45" s="115">
        <v>43</v>
      </c>
      <c r="B45" s="115">
        <f t="shared" si="0"/>
        <v>14</v>
      </c>
      <c r="C45" s="115">
        <f t="shared" si="1"/>
        <v>1</v>
      </c>
      <c r="D45" s="113" t="str" cm="1">
        <f t="array" ref="D45">INDEX('Diag-Map-1'!$I$7:$K$100,1+B45,C45)</f>
        <v>* differential.element[14].mapping[0].identity = "fhir"</v>
      </c>
    </row>
    <row r="46" spans="1:4" x14ac:dyDescent="0.75">
      <c r="A46" s="115">
        <v>44</v>
      </c>
      <c r="B46" s="115">
        <f t="shared" si="0"/>
        <v>14</v>
      </c>
      <c r="C46" s="115">
        <f t="shared" si="1"/>
        <v>2</v>
      </c>
      <c r="D46" s="113" t="str" cm="1">
        <f t="array" ref="D46">INDEX('Diag-Map-1'!$I$7:$K$100,1+B46,C46)</f>
        <v>* differential.element[14].mapping[0].map = "Condition.extension('mcode-histology-morphology-behavior').valueCodeableConcept"</v>
      </c>
    </row>
    <row r="47" spans="1:4" x14ac:dyDescent="0.75">
      <c r="A47" s="115">
        <v>45</v>
      </c>
      <c r="B47" s="115">
        <f t="shared" si="0"/>
        <v>14</v>
      </c>
      <c r="C47" s="115">
        <f t="shared" si="1"/>
        <v>3</v>
      </c>
      <c r="D47" s="113" t="str" cm="1">
        <f t="array" ref="D47">INDEX('Diag-Map-1'!$I$7:$K$100,1+B47,C47)</f>
        <v/>
      </c>
    </row>
    <row r="48" spans="1:4" x14ac:dyDescent="0.75">
      <c r="A48" s="115">
        <v>46</v>
      </c>
      <c r="B48" s="115">
        <f t="shared" si="0"/>
        <v>15</v>
      </c>
      <c r="C48" s="115">
        <f t="shared" si="1"/>
        <v>1</v>
      </c>
      <c r="D48" s="113" t="str" cm="1">
        <f t="array" ref="D48">INDEX('Diag-Map-1'!$I$7:$K$100,1+B48,C48)</f>
        <v>* differential.element[15].mapping[0].identity = "fhir"</v>
      </c>
    </row>
    <row r="49" spans="1:7" x14ac:dyDescent="0.75">
      <c r="A49" s="115">
        <v>47</v>
      </c>
      <c r="B49" s="115">
        <f t="shared" si="0"/>
        <v>15</v>
      </c>
      <c r="C49" s="115">
        <f t="shared" si="1"/>
        <v>2</v>
      </c>
      <c r="D49" s="113" t="str" cm="1">
        <f t="array" ref="D49">INDEX('Diag-Map-1'!$I$7:$K$100,1+B49,C49)</f>
        <v>* differential.element[15].mapping[0].map = "Condition.extension('mcode-histology-morphology-behavior').valueCodeableConcept"</v>
      </c>
    </row>
    <row r="50" spans="1:7" x14ac:dyDescent="0.75">
      <c r="A50" s="115">
        <v>48</v>
      </c>
      <c r="B50" s="115">
        <f t="shared" si="0"/>
        <v>15</v>
      </c>
      <c r="C50" s="115">
        <f t="shared" si="1"/>
        <v>3</v>
      </c>
      <c r="D50" s="113" t="str" cm="1">
        <f t="array" ref="D50">INDEX('Diag-Map-1'!$I$7:$K$100,1+B50,C50)</f>
        <v/>
      </c>
    </row>
    <row r="51" spans="1:7" x14ac:dyDescent="0.75">
      <c r="A51" s="115">
        <v>49</v>
      </c>
      <c r="B51" s="115">
        <f t="shared" si="0"/>
        <v>16</v>
      </c>
      <c r="C51" s="115">
        <f t="shared" si="1"/>
        <v>1</v>
      </c>
      <c r="D51" s="113" t="str" cm="1">
        <f t="array" ref="D51">INDEX('Diag-Map-1'!$I$7:$K$100,1+B51,C51)</f>
        <v>* differential.element[16].mapping[0].identity = "fhir"</v>
      </c>
    </row>
    <row r="52" spans="1:7" x14ac:dyDescent="0.75">
      <c r="A52" s="115">
        <v>50</v>
      </c>
      <c r="B52" s="115">
        <f t="shared" si="0"/>
        <v>16</v>
      </c>
      <c r="C52" s="115">
        <f t="shared" si="1"/>
        <v>2</v>
      </c>
      <c r="D52" s="113" t="str" cm="1">
        <f t="array" ref="D52">INDEX('Diag-Map-1'!$I$7:$K$100,1+B52,C52)</f>
        <v>* differential.element[16].mapping[0].map = "Condition.text
Condition.code.text"</v>
      </c>
    </row>
    <row r="53" spans="1:7" x14ac:dyDescent="0.75">
      <c r="A53" s="115">
        <v>51</v>
      </c>
      <c r="B53" s="115">
        <f t="shared" si="0"/>
        <v>16</v>
      </c>
      <c r="C53" s="115">
        <f t="shared" si="1"/>
        <v>3</v>
      </c>
      <c r="D53" s="113" t="str" cm="1">
        <f t="array" ref="D53">INDEX('Diag-Map-1'!$I$7:$K$100,1+B53,C53)</f>
        <v/>
      </c>
    </row>
    <row r="54" spans="1:7" x14ac:dyDescent="0.75">
      <c r="A54" s="115">
        <v>52</v>
      </c>
      <c r="B54" s="115">
        <f t="shared" si="0"/>
        <v>17</v>
      </c>
      <c r="C54" s="115">
        <f t="shared" si="1"/>
        <v>1</v>
      </c>
      <c r="D54" s="113" t="str" cm="1">
        <f t="array" ref="D54">INDEX('Diag-Map-1'!$I$7:$K$100,1+B54,C54)</f>
        <v>* differential.element[17].mapping[0].identity = "fhir"</v>
      </c>
    </row>
    <row r="55" spans="1:7" x14ac:dyDescent="0.75">
      <c r="A55" s="115">
        <v>53</v>
      </c>
      <c r="B55" s="115">
        <f t="shared" si="0"/>
        <v>17</v>
      </c>
      <c r="C55" s="115">
        <f t="shared" si="1"/>
        <v>2</v>
      </c>
      <c r="D55" s="113" t="str" cm="1">
        <f t="array" ref="D55">INDEX('Diag-Map-1'!$I$7:$K$100,1+B55,C55)</f>
        <v>* differential.element[17].mapping[0].map = "Condition.bodySite"</v>
      </c>
      <c r="G55" s="15"/>
    </row>
    <row r="56" spans="1:7" x14ac:dyDescent="0.75">
      <c r="A56" s="115">
        <v>54</v>
      </c>
      <c r="B56" s="115">
        <f t="shared" si="0"/>
        <v>17</v>
      </c>
      <c r="C56" s="115">
        <f t="shared" si="1"/>
        <v>3</v>
      </c>
      <c r="D56" s="113" t="str" cm="1">
        <f t="array" ref="D56">INDEX('Diag-Map-1'!$I$7:$K$100,1+B56,C56)</f>
        <v/>
      </c>
    </row>
    <row r="57" spans="1:7" x14ac:dyDescent="0.75">
      <c r="A57" s="115">
        <v>55</v>
      </c>
      <c r="B57" s="115">
        <f t="shared" si="0"/>
        <v>18</v>
      </c>
      <c r="C57" s="115">
        <f t="shared" si="1"/>
        <v>1</v>
      </c>
      <c r="D57" s="113" t="str" cm="1">
        <f t="array" ref="D57">INDEX('Diag-Map-1'!$I$7:$K$100,1+B57,C57)</f>
        <v>* differential.element[18].mapping[0].identity = "fhir"</v>
      </c>
    </row>
    <row r="58" spans="1:7" x14ac:dyDescent="0.75">
      <c r="A58" s="115">
        <v>56</v>
      </c>
      <c r="B58" s="115">
        <f t="shared" si="0"/>
        <v>18</v>
      </c>
      <c r="C58" s="115">
        <f t="shared" si="1"/>
        <v>2</v>
      </c>
      <c r="D58" s="113" t="str" cm="1">
        <f t="array" ref="D58">INDEX('Diag-Map-1'!$I$7:$K$100,1+B58,C58)</f>
        <v>* differential.element[18].mapping[0].map = "Condition.bodySite.coding"</v>
      </c>
    </row>
    <row r="59" spans="1:7" x14ac:dyDescent="0.75">
      <c r="A59" s="115">
        <v>57</v>
      </c>
      <c r="B59" s="115">
        <f t="shared" si="0"/>
        <v>18</v>
      </c>
      <c r="C59" s="115">
        <f t="shared" si="1"/>
        <v>3</v>
      </c>
      <c r="D59" s="113" t="str" cm="1">
        <f t="array" ref="D59">INDEX('Diag-Map-1'!$I$7:$K$100,1+B59,C59)</f>
        <v/>
      </c>
    </row>
    <row r="60" spans="1:7" x14ac:dyDescent="0.75">
      <c r="A60" s="115">
        <v>58</v>
      </c>
      <c r="B60" s="115">
        <f t="shared" si="0"/>
        <v>19</v>
      </c>
      <c r="C60" s="115">
        <f t="shared" si="1"/>
        <v>1</v>
      </c>
      <c r="D60" s="113" t="str" cm="1">
        <f t="array" ref="D60">INDEX('Diag-Map-1'!$I$7:$K$100,1+B60,C60)</f>
        <v>* differential.element[19].mapping[0].identity = "fhir"</v>
      </c>
    </row>
    <row r="61" spans="1:7" x14ac:dyDescent="0.75">
      <c r="A61" s="115">
        <v>59</v>
      </c>
      <c r="B61" s="115">
        <f t="shared" si="0"/>
        <v>19</v>
      </c>
      <c r="C61" s="115">
        <f t="shared" si="1"/>
        <v>2</v>
      </c>
      <c r="D61" s="113" t="str" cm="1">
        <f t="array" ref="D61">INDEX('Diag-Map-1'!$I$7:$K$100,1+B61,C61)</f>
        <v>* differential.element[19].mapping[0].map = "Condition.bodySite.text"</v>
      </c>
    </row>
    <row r="62" spans="1:7" x14ac:dyDescent="0.75">
      <c r="A62" s="115">
        <v>60</v>
      </c>
      <c r="B62" s="115">
        <f t="shared" si="0"/>
        <v>19</v>
      </c>
      <c r="C62" s="115">
        <f t="shared" si="1"/>
        <v>3</v>
      </c>
      <c r="D62" s="113" t="str" cm="1">
        <f t="array" ref="D62">INDEX('Diag-Map-1'!$I$7:$K$100,1+B62,C62)</f>
        <v/>
      </c>
    </row>
    <row r="63" spans="1:7" x14ac:dyDescent="0.75">
      <c r="A63" s="115">
        <v>61</v>
      </c>
      <c r="B63" s="115">
        <f t="shared" si="0"/>
        <v>20</v>
      </c>
      <c r="C63" s="115">
        <f t="shared" si="1"/>
        <v>1</v>
      </c>
      <c r="D63" s="113" t="str" cm="1">
        <f t="array" ref="D63">INDEX('Diag-Map-1'!$I$7:$K$100,1+B63,C63)</f>
        <v>* differential.element[20].mapping[0].identity = "fhir"</v>
      </c>
    </row>
    <row r="64" spans="1:7" x14ac:dyDescent="0.75">
      <c r="A64" s="115">
        <v>62</v>
      </c>
      <c r="B64" s="115">
        <f t="shared" si="0"/>
        <v>20</v>
      </c>
      <c r="C64" s="115">
        <f t="shared" si="1"/>
        <v>2</v>
      </c>
      <c r="D64" s="113" t="str" cm="1">
        <f t="array" ref="D64">INDEX('Diag-Map-1'!$I$7:$K$100,1+B64,C64)</f>
        <v>* differential.element[20].mapping[0].map = "Condition.bodySite.extension('mcode-laterality-qualifier').valueCodeableConcept"</v>
      </c>
    </row>
    <row r="65" spans="1:4" x14ac:dyDescent="0.75">
      <c r="A65" s="115">
        <v>63</v>
      </c>
      <c r="B65" s="115">
        <f t="shared" si="0"/>
        <v>20</v>
      </c>
      <c r="C65" s="115">
        <f t="shared" si="1"/>
        <v>3</v>
      </c>
      <c r="D65" s="113" t="str" cm="1">
        <f t="array" ref="D65">INDEX('Diag-Map-1'!$I$7:$K$100,1+B65,C65)</f>
        <v/>
      </c>
    </row>
    <row r="66" spans="1:4" x14ac:dyDescent="0.75">
      <c r="A66" s="115">
        <v>64</v>
      </c>
      <c r="B66" s="115">
        <f t="shared" si="0"/>
        <v>21</v>
      </c>
      <c r="C66" s="115">
        <f t="shared" si="1"/>
        <v>1</v>
      </c>
      <c r="D66" s="113" t="str" cm="1">
        <f t="array" ref="D66">INDEX('Diag-Map-1'!$I$7:$K$100,1+B66,C66)</f>
        <v>* differential.element[21].mapping[0].identity = "fhir"</v>
      </c>
    </row>
    <row r="67" spans="1:4" x14ac:dyDescent="0.75">
      <c r="A67" s="115">
        <v>65</v>
      </c>
      <c r="B67" s="115">
        <f t="shared" si="0"/>
        <v>21</v>
      </c>
      <c r="C67" s="115">
        <f t="shared" si="1"/>
        <v>2</v>
      </c>
      <c r="D67" s="113" t="str" cm="1">
        <f t="array" ref="D67">INDEX('Diag-Map-1'!$I$7:$K$100,1+B67,C67)</f>
        <v>* differential.element[21].mapping[0].map = "Condition.conformsTo('ConditionSecondaryCancerPcsp')"</v>
      </c>
    </row>
    <row r="68" spans="1:4" x14ac:dyDescent="0.75">
      <c r="A68" s="115">
        <v>66</v>
      </c>
      <c r="B68" s="115">
        <f t="shared" ref="B68:B131" si="2">IF(MOD(A68,3)=0,A68/3-1,INT(A68/3))</f>
        <v>21</v>
      </c>
      <c r="C68" s="115">
        <f t="shared" ref="C68:C131" si="3">IF(MOD(A68,3)=0,3,MOD(A68,3))</f>
        <v>3</v>
      </c>
      <c r="D68" s="113" t="str" cm="1">
        <f t="array" ref="D68">INDEX('Diag-Map-1'!$I$7:$K$100,1+B68,C68)</f>
        <v/>
      </c>
    </row>
    <row r="69" spans="1:4" x14ac:dyDescent="0.75">
      <c r="A69" s="115">
        <v>67</v>
      </c>
      <c r="B69" s="115">
        <f t="shared" si="2"/>
        <v>22</v>
      </c>
      <c r="C69" s="115">
        <f t="shared" si="3"/>
        <v>1</v>
      </c>
      <c r="D69" s="113" t="str" cm="1">
        <f t="array" ref="D69">INDEX('Diag-Map-1'!$I$7:$K$100,1+B69,C69)</f>
        <v>* differential.element[22].mapping[0].identity = "fhir"</v>
      </c>
    </row>
    <row r="70" spans="1:4" x14ac:dyDescent="0.75">
      <c r="A70" s="115">
        <v>68</v>
      </c>
      <c r="B70" s="115">
        <f t="shared" si="2"/>
        <v>22</v>
      </c>
      <c r="C70" s="115">
        <f t="shared" si="3"/>
        <v>2</v>
      </c>
      <c r="D70" s="113" t="str" cm="1">
        <f t="array" ref="D70">INDEX('Diag-Map-1'!$I$7:$K$100,1+B70,C70)</f>
        <v>* differential.element[22].mapping[0].map = "Condition.conformsTo('ConditionSecondaryCancerPcsp').identifier"</v>
      </c>
    </row>
    <row r="71" spans="1:4" x14ac:dyDescent="0.75">
      <c r="A71" s="115">
        <v>69</v>
      </c>
      <c r="B71" s="115">
        <f t="shared" si="2"/>
        <v>22</v>
      </c>
      <c r="C71" s="115">
        <f t="shared" si="3"/>
        <v>3</v>
      </c>
      <c r="D71" s="113" t="str" cm="1">
        <f t="array" ref="D71">INDEX('Diag-Map-1'!$I$7:$K$100,1+B71,C71)</f>
        <v/>
      </c>
    </row>
    <row r="72" spans="1:4" x14ac:dyDescent="0.75">
      <c r="A72" s="115">
        <v>70</v>
      </c>
      <c r="B72" s="115">
        <f t="shared" si="2"/>
        <v>23</v>
      </c>
      <c r="C72" s="115">
        <f t="shared" si="3"/>
        <v>1</v>
      </c>
      <c r="D72" s="113" t="str" cm="1">
        <f t="array" ref="D72">INDEX('Diag-Map-1'!$I$7:$K$100,1+B72,C72)</f>
        <v>* differential.element[23].mapping[0].identity = "fhir"</v>
      </c>
    </row>
    <row r="73" spans="1:4" x14ac:dyDescent="0.75">
      <c r="A73" s="115">
        <v>71</v>
      </c>
      <c r="B73" s="115">
        <f t="shared" si="2"/>
        <v>23</v>
      </c>
      <c r="C73" s="115">
        <f t="shared" si="3"/>
        <v>2</v>
      </c>
      <c r="D73" s="113" t="str" cm="1">
        <f t="array" ref="D73">INDEX('Diag-Map-1'!$I$7:$K$100,1+B73,C73)</f>
        <v>* differential.element[23].mapping[0].map = "Condition.conformsTo('ConditionSecondaryCancerPcsp')bodySite"</v>
      </c>
    </row>
    <row r="74" spans="1:4" x14ac:dyDescent="0.75">
      <c r="A74" s="115">
        <v>72</v>
      </c>
      <c r="B74" s="115">
        <f t="shared" si="2"/>
        <v>23</v>
      </c>
      <c r="C74" s="115">
        <f t="shared" si="3"/>
        <v>3</v>
      </c>
      <c r="D74" s="113" t="str" cm="1">
        <f t="array" ref="D74">INDEX('Diag-Map-1'!$I$7:$K$100,1+B74,C74)</f>
        <v/>
      </c>
    </row>
    <row r="75" spans="1:4" x14ac:dyDescent="0.75">
      <c r="A75" s="115">
        <v>73</v>
      </c>
      <c r="B75" s="115">
        <f t="shared" si="2"/>
        <v>24</v>
      </c>
      <c r="C75" s="115">
        <f t="shared" si="3"/>
        <v>1</v>
      </c>
      <c r="D75" s="113" t="str" cm="1">
        <f t="array" ref="D75">INDEX('Diag-Map-1'!$I$7:$K$100,1+B75,C75)</f>
        <v>* differential.element[24].mapping[0].identity = "fhir"</v>
      </c>
    </row>
    <row r="76" spans="1:4" x14ac:dyDescent="0.75">
      <c r="A76" s="115">
        <v>74</v>
      </c>
      <c r="B76" s="115">
        <f t="shared" si="2"/>
        <v>24</v>
      </c>
      <c r="C76" s="115">
        <f t="shared" si="3"/>
        <v>2</v>
      </c>
      <c r="D76" s="113" t="str" cm="1">
        <f t="array" ref="D76">INDEX('Diag-Map-1'!$I$7:$K$100,1+B76,C76)</f>
        <v>* differential.element[24].mapping[0].map = "Condition.conformsTo('ConditionSecondaryCancerPcsp').bodySite.coding"</v>
      </c>
    </row>
    <row r="77" spans="1:4" x14ac:dyDescent="0.75">
      <c r="A77" s="115">
        <v>75</v>
      </c>
      <c r="B77" s="115">
        <f t="shared" si="2"/>
        <v>24</v>
      </c>
      <c r="C77" s="115">
        <f t="shared" si="3"/>
        <v>3</v>
      </c>
      <c r="D77" s="113" t="str" cm="1">
        <f t="array" ref="D77">INDEX('Diag-Map-1'!$I$7:$K$100,1+B77,C77)</f>
        <v/>
      </c>
    </row>
    <row r="78" spans="1:4" x14ac:dyDescent="0.75">
      <c r="A78" s="115">
        <v>76</v>
      </c>
      <c r="B78" s="115">
        <f t="shared" si="2"/>
        <v>25</v>
      </c>
      <c r="C78" s="115">
        <f t="shared" si="3"/>
        <v>1</v>
      </c>
      <c r="D78" s="113" t="str" cm="1">
        <f t="array" ref="D78">INDEX('Diag-Map-1'!$I$7:$K$100,1+B78,C78)</f>
        <v>* differential.element[25].mapping[0].identity = "fhir"</v>
      </c>
    </row>
    <row r="79" spans="1:4" x14ac:dyDescent="0.75">
      <c r="A79" s="115">
        <v>77</v>
      </c>
      <c r="B79" s="115">
        <f t="shared" si="2"/>
        <v>25</v>
      </c>
      <c r="C79" s="115">
        <f t="shared" si="3"/>
        <v>2</v>
      </c>
      <c r="D79" s="113" t="str" cm="1">
        <f t="array" ref="D79">INDEX('Diag-Map-1'!$I$7:$K$100,1+B79,C79)</f>
        <v>* differential.element[25].mapping[0].map = "Condition.conformsTo('ConditionSecondaryCancerPcsp').bodySite.text"</v>
      </c>
    </row>
    <row r="80" spans="1:4" x14ac:dyDescent="0.75">
      <c r="A80" s="115">
        <v>78</v>
      </c>
      <c r="B80" s="115">
        <f t="shared" si="2"/>
        <v>25</v>
      </c>
      <c r="C80" s="115">
        <f t="shared" si="3"/>
        <v>3</v>
      </c>
      <c r="D80" s="113" t="str" cm="1">
        <f t="array" ref="D80">INDEX('Diag-Map-1'!$I$7:$K$100,1+B80,C80)</f>
        <v/>
      </c>
    </row>
    <row r="81" spans="1:4" x14ac:dyDescent="0.75">
      <c r="A81" s="115">
        <v>79</v>
      </c>
      <c r="B81" s="115">
        <f t="shared" si="2"/>
        <v>26</v>
      </c>
      <c r="C81" s="115">
        <f t="shared" si="3"/>
        <v>1</v>
      </c>
      <c r="D81" s="113" t="str" cm="1">
        <f t="array" ref="D81">INDEX('Diag-Map-1'!$I$7:$K$100,1+B81,C81)</f>
        <v>* differential.element[26].mapping[0].identity = "fhir"</v>
      </c>
    </row>
    <row r="82" spans="1:4" x14ac:dyDescent="0.75">
      <c r="A82" s="115">
        <v>80</v>
      </c>
      <c r="B82" s="115">
        <f t="shared" si="2"/>
        <v>26</v>
      </c>
      <c r="C82" s="115">
        <f t="shared" si="3"/>
        <v>2</v>
      </c>
      <c r="D82" s="113" t="str" cm="1">
        <f t="array" ref="D82">INDEX('Diag-Map-1'!$I$7:$K$100,1+B82,C82)</f>
        <v>* differential.element[26].mapping[0].map = "Condition.evidence:geneticMarker"</v>
      </c>
    </row>
    <row r="83" spans="1:4" x14ac:dyDescent="0.75">
      <c r="A83" s="115">
        <v>81</v>
      </c>
      <c r="B83" s="115">
        <f t="shared" si="2"/>
        <v>26</v>
      </c>
      <c r="C83" s="115">
        <f t="shared" si="3"/>
        <v>3</v>
      </c>
      <c r="D83" s="113" t="str" cm="1">
        <f t="array" ref="D83">INDEX('Diag-Map-1'!$I$7:$K$100,1+B83,C83)</f>
        <v/>
      </c>
    </row>
    <row r="84" spans="1:4" x14ac:dyDescent="0.75">
      <c r="A84" s="115">
        <v>82</v>
      </c>
      <c r="B84" s="115">
        <f t="shared" si="2"/>
        <v>27</v>
      </c>
      <c r="C84" s="115">
        <f t="shared" si="3"/>
        <v>1</v>
      </c>
      <c r="D84" s="113" t="str" cm="1">
        <f t="array" ref="D84">INDEX('Diag-Map-1'!$I$7:$K$100,1+B84,C84)</f>
        <v>* differential.element[27].mapping[0].identity = "fhir"</v>
      </c>
    </row>
    <row r="85" spans="1:4" x14ac:dyDescent="0.75">
      <c r="A85" s="115">
        <v>83</v>
      </c>
      <c r="B85" s="115">
        <f t="shared" si="2"/>
        <v>27</v>
      </c>
      <c r="C85" s="115">
        <f t="shared" si="3"/>
        <v>2</v>
      </c>
      <c r="D85" s="113" t="str" cm="1">
        <f t="array" ref="D85">INDEX('Diag-Map-1'!$I$7:$K$100,1+B85,C85)</f>
        <v>* differential.element[27].mapping[0].map = "Condition.stage"</v>
      </c>
    </row>
    <row r="86" spans="1:4" x14ac:dyDescent="0.75">
      <c r="A86" s="115">
        <v>84</v>
      </c>
      <c r="B86" s="115">
        <f t="shared" si="2"/>
        <v>27</v>
      </c>
      <c r="C86" s="115">
        <f t="shared" si="3"/>
        <v>3</v>
      </c>
      <c r="D86" s="113" t="str" cm="1">
        <f t="array" ref="D86">INDEX('Diag-Map-1'!$I$7:$K$100,1+B86,C86)</f>
        <v/>
      </c>
    </row>
    <row r="87" spans="1:4" x14ac:dyDescent="0.75">
      <c r="A87" s="115">
        <v>85</v>
      </c>
      <c r="B87" s="115">
        <f t="shared" si="2"/>
        <v>28</v>
      </c>
      <c r="C87" s="115">
        <f t="shared" si="3"/>
        <v>1</v>
      </c>
      <c r="D87" s="113" t="str" cm="1">
        <f t="array" ref="D87">INDEX('Diag-Map-1'!$I$7:$K$100,1+B87,C87)</f>
        <v>* differential.element[28].mapping[0].identity = "fhir"</v>
      </c>
    </row>
    <row r="88" spans="1:4" x14ac:dyDescent="0.75">
      <c r="A88" s="115">
        <v>86</v>
      </c>
      <c r="B88" s="115">
        <f t="shared" si="2"/>
        <v>28</v>
      </c>
      <c r="C88" s="115">
        <f t="shared" si="3"/>
        <v>2</v>
      </c>
      <c r="D88" s="113" t="str" cm="1">
        <f t="array" ref="D88">INDEX('Diag-Map-1'!$I$7:$K$100,1+B88,C88)</f>
        <v>* differential.element[28].mapping[0].map = "Condition.evidence:immunology"</v>
      </c>
    </row>
    <row r="89" spans="1:4" x14ac:dyDescent="0.75">
      <c r="A89" s="115">
        <v>87</v>
      </c>
      <c r="B89" s="115">
        <f t="shared" si="2"/>
        <v>28</v>
      </c>
      <c r="C89" s="115">
        <f t="shared" si="3"/>
        <v>3</v>
      </c>
      <c r="D89" s="113" t="str" cm="1">
        <f t="array" ref="D89">INDEX('Diag-Map-1'!$I$7:$K$100,1+B89,C89)</f>
        <v/>
      </c>
    </row>
    <row r="90" spans="1:4" x14ac:dyDescent="0.75">
      <c r="A90" s="115">
        <v>88</v>
      </c>
      <c r="B90" s="115">
        <f t="shared" si="2"/>
        <v>29</v>
      </c>
      <c r="C90" s="115">
        <f t="shared" si="3"/>
        <v>1</v>
      </c>
      <c r="D90" s="113" t="str" cm="1">
        <f t="array" ref="D90">INDEX('Diag-Map-1'!$I$7:$K$100,1+B90,C90)</f>
        <v>* differential.element[29].mapping[0].identity = "fhir"</v>
      </c>
    </row>
    <row r="91" spans="1:4" x14ac:dyDescent="0.75">
      <c r="A91" s="115">
        <v>89</v>
      </c>
      <c r="B91" s="115">
        <f t="shared" si="2"/>
        <v>29</v>
      </c>
      <c r="C91" s="115">
        <f t="shared" si="3"/>
        <v>2</v>
      </c>
      <c r="D91" s="113" t="str" cm="1">
        <f t="array" ref="D91">INDEX('Diag-Map-1'!$I$7:$K$100,1+B91,C91)</f>
        <v>* differential.element[29].mapping[0].map = "Condition.evidence:predisposition"</v>
      </c>
    </row>
    <row r="92" spans="1:4" x14ac:dyDescent="0.75">
      <c r="A92" s="115">
        <v>90</v>
      </c>
      <c r="B92" s="115">
        <f t="shared" si="2"/>
        <v>29</v>
      </c>
      <c r="C92" s="115">
        <f t="shared" si="3"/>
        <v>3</v>
      </c>
      <c r="D92" s="113" t="str" cm="1">
        <f t="array" ref="D92">INDEX('Diag-Map-1'!$I$7:$K$100,1+B92,C92)</f>
        <v/>
      </c>
    </row>
    <row r="93" spans="1:4" x14ac:dyDescent="0.75">
      <c r="A93" s="115">
        <v>91</v>
      </c>
      <c r="B93" s="115">
        <f t="shared" si="2"/>
        <v>30</v>
      </c>
      <c r="C93" s="115">
        <f t="shared" si="3"/>
        <v>1</v>
      </c>
      <c r="D93" s="113" t="str" cm="1">
        <f t="array" ref="D93">INDEX('Diag-Map-1'!$I$7:$K$100,1+B93,C93)</f>
        <v>* differential.element[30].mapping[0].identity = "fhir"</v>
      </c>
    </row>
    <row r="94" spans="1:4" x14ac:dyDescent="0.75">
      <c r="A94" s="115">
        <v>92</v>
      </c>
      <c r="B94" s="115">
        <f t="shared" si="2"/>
        <v>30</v>
      </c>
      <c r="C94" s="115">
        <f t="shared" si="3"/>
        <v>2</v>
      </c>
      <c r="D94" s="113" t="str" cm="1">
        <f t="array" ref="D94">INDEX('Diag-Map-1'!$I$7:$K$100,1+B94,C94)</f>
        <v>* differential.element[30].mapping[0].map = "Condition.note"</v>
      </c>
    </row>
    <row r="95" spans="1:4" x14ac:dyDescent="0.75">
      <c r="A95" s="115">
        <v>93</v>
      </c>
      <c r="B95" s="115">
        <f t="shared" si="2"/>
        <v>30</v>
      </c>
      <c r="C95" s="115">
        <f t="shared" si="3"/>
        <v>3</v>
      </c>
      <c r="D95" s="113" t="str" cm="1">
        <f t="array" ref="D95">INDEX('Diag-Map-1'!$I$7:$K$100,1+B95,C95)</f>
        <v/>
      </c>
    </row>
    <row r="96" spans="1:4" x14ac:dyDescent="0.75">
      <c r="A96" s="115">
        <v>94</v>
      </c>
      <c r="B96" s="115">
        <f t="shared" si="2"/>
        <v>31</v>
      </c>
      <c r="C96" s="115">
        <f t="shared" si="3"/>
        <v>1</v>
      </c>
      <c r="D96" s="113" t="str" cm="1">
        <f t="array" ref="D96">INDEX('Diag-Map-1'!$I$7:$K$100,1+B96,C96)</f>
        <v/>
      </c>
    </row>
    <row r="97" spans="1:4" x14ac:dyDescent="0.75">
      <c r="A97" s="115">
        <v>95</v>
      </c>
      <c r="B97" s="115">
        <f t="shared" si="2"/>
        <v>31</v>
      </c>
      <c r="C97" s="115">
        <f t="shared" si="3"/>
        <v>2</v>
      </c>
      <c r="D97" s="113" t="str" cm="1">
        <f t="array" ref="D97">INDEX('Diag-Map-1'!$I$7:$K$100,1+B97,C97)</f>
        <v/>
      </c>
    </row>
    <row r="98" spans="1:4" x14ac:dyDescent="0.75">
      <c r="A98" s="115">
        <v>96</v>
      </c>
      <c r="B98" s="115">
        <f t="shared" si="2"/>
        <v>31</v>
      </c>
      <c r="C98" s="115">
        <f t="shared" si="3"/>
        <v>3</v>
      </c>
      <c r="D98" s="113" t="str" cm="1">
        <f t="array" ref="D98">INDEX('Diag-Map-1'!$I$7:$K$100,1+B98,C98)</f>
        <v/>
      </c>
    </row>
    <row r="99" spans="1:4" x14ac:dyDescent="0.75">
      <c r="A99" s="115">
        <v>97</v>
      </c>
      <c r="B99" s="115">
        <f t="shared" si="2"/>
        <v>32</v>
      </c>
      <c r="C99" s="115">
        <f t="shared" si="3"/>
        <v>1</v>
      </c>
      <c r="D99" s="113" t="str" cm="1">
        <f t="array" ref="D99">INDEX('Diag-Map-1'!$I$7:$K$100,1+B99,C99)</f>
        <v/>
      </c>
    </row>
    <row r="100" spans="1:4" x14ac:dyDescent="0.75">
      <c r="A100" s="115">
        <v>98</v>
      </c>
      <c r="B100" s="115">
        <f t="shared" si="2"/>
        <v>32</v>
      </c>
      <c r="C100" s="115">
        <f t="shared" si="3"/>
        <v>2</v>
      </c>
      <c r="D100" s="113" t="str" cm="1">
        <f t="array" ref="D100">INDEX('Diag-Map-1'!$I$7:$K$100,1+B100,C100)</f>
        <v/>
      </c>
    </row>
    <row r="101" spans="1:4" x14ac:dyDescent="0.75">
      <c r="A101" s="115">
        <v>99</v>
      </c>
      <c r="B101" s="115">
        <f t="shared" si="2"/>
        <v>32</v>
      </c>
      <c r="C101" s="115">
        <f t="shared" si="3"/>
        <v>3</v>
      </c>
      <c r="D101" s="113" t="str" cm="1">
        <f t="array" ref="D101">INDEX('Diag-Map-1'!$I$7:$K$100,1+B101,C101)</f>
        <v/>
      </c>
    </row>
    <row r="102" spans="1:4" x14ac:dyDescent="0.75">
      <c r="A102" s="115">
        <v>100</v>
      </c>
      <c r="B102" s="115">
        <f t="shared" si="2"/>
        <v>33</v>
      </c>
      <c r="C102" s="115">
        <f t="shared" si="3"/>
        <v>1</v>
      </c>
      <c r="D102" s="113" t="str" cm="1">
        <f t="array" ref="D102">INDEX('Diag-Map-1'!$I$7:$K$100,1+B102,C102)</f>
        <v/>
      </c>
    </row>
    <row r="103" spans="1:4" x14ac:dyDescent="0.75">
      <c r="A103" s="115">
        <v>101</v>
      </c>
      <c r="B103" s="115">
        <f t="shared" si="2"/>
        <v>33</v>
      </c>
      <c r="C103" s="115">
        <f t="shared" si="3"/>
        <v>2</v>
      </c>
      <c r="D103" s="113" t="str" cm="1">
        <f t="array" ref="D103">INDEX('Diag-Map-1'!$I$7:$K$100,1+B103,C103)</f>
        <v/>
      </c>
    </row>
    <row r="104" spans="1:4" x14ac:dyDescent="0.75">
      <c r="A104" s="115">
        <v>102</v>
      </c>
      <c r="B104" s="115">
        <f t="shared" si="2"/>
        <v>33</v>
      </c>
      <c r="C104" s="115">
        <f t="shared" si="3"/>
        <v>3</v>
      </c>
      <c r="D104" s="113" t="str" cm="1">
        <f t="array" ref="D104">INDEX('Diag-Map-1'!$I$7:$K$100,1+B104,C104)</f>
        <v/>
      </c>
    </row>
    <row r="105" spans="1:4" x14ac:dyDescent="0.75">
      <c r="A105" s="115">
        <v>103</v>
      </c>
      <c r="B105" s="115">
        <f t="shared" si="2"/>
        <v>34</v>
      </c>
      <c r="C105" s="115">
        <f t="shared" si="3"/>
        <v>1</v>
      </c>
      <c r="D105" s="113" t="str" cm="1">
        <f t="array" ref="D105">INDEX('Diag-Map-1'!$I$7:$K$100,1+B105,C105)</f>
        <v/>
      </c>
    </row>
    <row r="106" spans="1:4" x14ac:dyDescent="0.75">
      <c r="A106" s="115">
        <v>104</v>
      </c>
      <c r="B106" s="115">
        <f t="shared" si="2"/>
        <v>34</v>
      </c>
      <c r="C106" s="115">
        <f t="shared" si="3"/>
        <v>2</v>
      </c>
      <c r="D106" s="113" t="str" cm="1">
        <f t="array" ref="D106">INDEX('Diag-Map-1'!$I$7:$K$100,1+B106,C106)</f>
        <v/>
      </c>
    </row>
    <row r="107" spans="1:4" x14ac:dyDescent="0.75">
      <c r="A107" s="115">
        <v>105</v>
      </c>
      <c r="B107" s="115">
        <f t="shared" si="2"/>
        <v>34</v>
      </c>
      <c r="C107" s="115">
        <f t="shared" si="3"/>
        <v>3</v>
      </c>
      <c r="D107" s="113" t="str" cm="1">
        <f t="array" ref="D107">INDEX('Diag-Map-1'!$I$7:$K$100,1+B107,C107)</f>
        <v/>
      </c>
    </row>
    <row r="108" spans="1:4" x14ac:dyDescent="0.75">
      <c r="A108" s="115">
        <v>106</v>
      </c>
      <c r="B108" s="115">
        <f t="shared" si="2"/>
        <v>35</v>
      </c>
      <c r="C108" s="115">
        <f t="shared" si="3"/>
        <v>1</v>
      </c>
      <c r="D108" s="113" t="str" cm="1">
        <f t="array" ref="D108">INDEX('Diag-Map-1'!$I$7:$K$100,1+B108,C108)</f>
        <v/>
      </c>
    </row>
    <row r="109" spans="1:4" x14ac:dyDescent="0.75">
      <c r="A109" s="115">
        <v>107</v>
      </c>
      <c r="B109" s="115">
        <f t="shared" si="2"/>
        <v>35</v>
      </c>
      <c r="C109" s="115">
        <f t="shared" si="3"/>
        <v>2</v>
      </c>
      <c r="D109" s="113" t="str" cm="1">
        <f t="array" ref="D109">INDEX('Diag-Map-1'!$I$7:$K$100,1+B109,C109)</f>
        <v/>
      </c>
    </row>
    <row r="110" spans="1:4" x14ac:dyDescent="0.75">
      <c r="A110" s="115">
        <v>108</v>
      </c>
      <c r="B110" s="115">
        <f t="shared" si="2"/>
        <v>35</v>
      </c>
      <c r="C110" s="115">
        <f t="shared" si="3"/>
        <v>3</v>
      </c>
      <c r="D110" s="113" t="str" cm="1">
        <f t="array" ref="D110">INDEX('Diag-Map-1'!$I$7:$K$100,1+B110,C110)</f>
        <v/>
      </c>
    </row>
    <row r="111" spans="1:4" x14ac:dyDescent="0.75">
      <c r="A111" s="115">
        <v>109</v>
      </c>
      <c r="B111" s="115">
        <f t="shared" si="2"/>
        <v>36</v>
      </c>
      <c r="C111" s="115">
        <f t="shared" si="3"/>
        <v>1</v>
      </c>
      <c r="D111" s="113" t="str" cm="1">
        <f t="array" ref="D111">INDEX('Diag-Map-1'!$I$7:$K$100,1+B111,C111)</f>
        <v/>
      </c>
    </row>
    <row r="112" spans="1:4" x14ac:dyDescent="0.75">
      <c r="A112" s="115">
        <v>110</v>
      </c>
      <c r="B112" s="115">
        <f t="shared" si="2"/>
        <v>36</v>
      </c>
      <c r="C112" s="115">
        <f t="shared" si="3"/>
        <v>2</v>
      </c>
      <c r="D112" s="113" t="str" cm="1">
        <f t="array" ref="D112">INDEX('Diag-Map-1'!$I$7:$K$100,1+B112,C112)</f>
        <v/>
      </c>
    </row>
    <row r="113" spans="1:4" x14ac:dyDescent="0.75">
      <c r="A113" s="115">
        <v>111</v>
      </c>
      <c r="B113" s="115">
        <f t="shared" si="2"/>
        <v>36</v>
      </c>
      <c r="C113" s="115">
        <f t="shared" si="3"/>
        <v>3</v>
      </c>
      <c r="D113" s="113" t="str" cm="1">
        <f t="array" ref="D113">INDEX('Diag-Map-1'!$I$7:$K$100,1+B113,C113)</f>
        <v/>
      </c>
    </row>
    <row r="114" spans="1:4" x14ac:dyDescent="0.75">
      <c r="A114" s="115">
        <v>112</v>
      </c>
      <c r="B114" s="115">
        <f t="shared" si="2"/>
        <v>37</v>
      </c>
      <c r="C114" s="115">
        <f t="shared" si="3"/>
        <v>1</v>
      </c>
      <c r="D114" s="113" t="str" cm="1">
        <f t="array" ref="D114">INDEX('Diag-Map-1'!$I$7:$K$100,1+B114,C114)</f>
        <v/>
      </c>
    </row>
    <row r="115" spans="1:4" x14ac:dyDescent="0.75">
      <c r="A115" s="115">
        <v>113</v>
      </c>
      <c r="B115" s="115">
        <f t="shared" si="2"/>
        <v>37</v>
      </c>
      <c r="C115" s="115">
        <f t="shared" si="3"/>
        <v>2</v>
      </c>
      <c r="D115" s="113" t="str" cm="1">
        <f t="array" ref="D115">INDEX('Diag-Map-1'!$I$7:$K$100,1+B115,C115)</f>
        <v/>
      </c>
    </row>
    <row r="116" spans="1:4" x14ac:dyDescent="0.75">
      <c r="A116" s="115">
        <v>114</v>
      </c>
      <c r="B116" s="115">
        <f t="shared" si="2"/>
        <v>37</v>
      </c>
      <c r="C116" s="115">
        <f t="shared" si="3"/>
        <v>3</v>
      </c>
      <c r="D116" s="113" t="str" cm="1">
        <f t="array" ref="D116">INDEX('Diag-Map-1'!$I$7:$K$100,1+B116,C116)</f>
        <v/>
      </c>
    </row>
    <row r="117" spans="1:4" x14ac:dyDescent="0.75">
      <c r="A117" s="115">
        <v>115</v>
      </c>
      <c r="B117" s="115">
        <f t="shared" si="2"/>
        <v>38</v>
      </c>
      <c r="C117" s="115">
        <f t="shared" si="3"/>
        <v>1</v>
      </c>
      <c r="D117" s="113" t="str" cm="1">
        <f t="array" ref="D117">INDEX('Diag-Map-1'!$I$7:$K$100,1+B117,C117)</f>
        <v/>
      </c>
    </row>
    <row r="118" spans="1:4" x14ac:dyDescent="0.75">
      <c r="A118" s="115">
        <v>116</v>
      </c>
      <c r="B118" s="115">
        <f t="shared" si="2"/>
        <v>38</v>
      </c>
      <c r="C118" s="115">
        <f t="shared" si="3"/>
        <v>2</v>
      </c>
      <c r="D118" s="113" t="str" cm="1">
        <f t="array" ref="D118">INDEX('Diag-Map-1'!$I$7:$K$100,1+B118,C118)</f>
        <v/>
      </c>
    </row>
    <row r="119" spans="1:4" x14ac:dyDescent="0.75">
      <c r="A119" s="115">
        <v>117</v>
      </c>
      <c r="B119" s="115">
        <f t="shared" si="2"/>
        <v>38</v>
      </c>
      <c r="C119" s="115">
        <f t="shared" si="3"/>
        <v>3</v>
      </c>
      <c r="D119" s="113" t="str" cm="1">
        <f t="array" ref="D119">INDEX('Diag-Map-1'!$I$7:$K$100,1+B119,C119)</f>
        <v/>
      </c>
    </row>
    <row r="120" spans="1:4" x14ac:dyDescent="0.75">
      <c r="A120" s="115">
        <v>118</v>
      </c>
      <c r="B120" s="115">
        <f t="shared" si="2"/>
        <v>39</v>
      </c>
      <c r="C120" s="115">
        <f t="shared" si="3"/>
        <v>1</v>
      </c>
      <c r="D120" s="113" t="str" cm="1">
        <f t="array" ref="D120">INDEX('Diag-Map-1'!$I$7:$K$100,1+B120,C120)</f>
        <v/>
      </c>
    </row>
    <row r="121" spans="1:4" x14ac:dyDescent="0.75">
      <c r="A121" s="115">
        <v>119</v>
      </c>
      <c r="B121" s="115">
        <f t="shared" si="2"/>
        <v>39</v>
      </c>
      <c r="C121" s="115">
        <f t="shared" si="3"/>
        <v>2</v>
      </c>
      <c r="D121" s="113" t="str" cm="1">
        <f t="array" ref="D121">INDEX('Diag-Map-1'!$I$7:$K$100,1+B121,C121)</f>
        <v/>
      </c>
    </row>
    <row r="122" spans="1:4" x14ac:dyDescent="0.75">
      <c r="A122" s="115">
        <v>120</v>
      </c>
      <c r="B122" s="115">
        <f t="shared" si="2"/>
        <v>39</v>
      </c>
      <c r="C122" s="115">
        <f t="shared" si="3"/>
        <v>3</v>
      </c>
      <c r="D122" s="113" t="str" cm="1">
        <f t="array" ref="D122">INDEX('Diag-Map-1'!$I$7:$K$100,1+B122,C122)</f>
        <v/>
      </c>
    </row>
    <row r="123" spans="1:4" x14ac:dyDescent="0.75">
      <c r="A123" s="115">
        <v>121</v>
      </c>
      <c r="B123" s="115">
        <f t="shared" si="2"/>
        <v>40</v>
      </c>
      <c r="C123" s="115">
        <f t="shared" si="3"/>
        <v>1</v>
      </c>
      <c r="D123" s="113" t="str" cm="1">
        <f t="array" ref="D123">INDEX('Diag-Map-1'!$I$7:$K$100,1+B123,C123)</f>
        <v/>
      </c>
    </row>
    <row r="124" spans="1:4" x14ac:dyDescent="0.75">
      <c r="A124" s="115">
        <v>122</v>
      </c>
      <c r="B124" s="115">
        <f t="shared" si="2"/>
        <v>40</v>
      </c>
      <c r="C124" s="115">
        <f t="shared" si="3"/>
        <v>2</v>
      </c>
      <c r="D124" s="113" t="str" cm="1">
        <f t="array" ref="D124">INDEX('Diag-Map-1'!$I$7:$K$100,1+B124,C124)</f>
        <v/>
      </c>
    </row>
    <row r="125" spans="1:4" x14ac:dyDescent="0.75">
      <c r="A125" s="115">
        <v>123</v>
      </c>
      <c r="B125" s="115">
        <f t="shared" si="2"/>
        <v>40</v>
      </c>
      <c r="C125" s="115">
        <f t="shared" si="3"/>
        <v>3</v>
      </c>
      <c r="D125" s="113" t="str" cm="1">
        <f t="array" ref="D125">INDEX('Diag-Map-1'!$I$7:$K$100,1+B125,C125)</f>
        <v/>
      </c>
    </row>
    <row r="126" spans="1:4" x14ac:dyDescent="0.75">
      <c r="A126" s="115">
        <v>124</v>
      </c>
      <c r="B126" s="115">
        <f t="shared" si="2"/>
        <v>41</v>
      </c>
      <c r="C126" s="115">
        <f t="shared" si="3"/>
        <v>1</v>
      </c>
      <c r="D126" s="113" t="str" cm="1">
        <f t="array" ref="D126">INDEX('Diag-Map-1'!$I$7:$K$100,1+B126,C126)</f>
        <v/>
      </c>
    </row>
    <row r="127" spans="1:4" x14ac:dyDescent="0.75">
      <c r="A127" s="115">
        <v>125</v>
      </c>
      <c r="B127" s="115">
        <f t="shared" si="2"/>
        <v>41</v>
      </c>
      <c r="C127" s="115">
        <f t="shared" si="3"/>
        <v>2</v>
      </c>
      <c r="D127" s="113" t="str" cm="1">
        <f t="array" ref="D127">INDEX('Diag-Map-1'!$I$7:$K$100,1+B127,C127)</f>
        <v/>
      </c>
    </row>
    <row r="128" spans="1:4" x14ac:dyDescent="0.75">
      <c r="A128" s="115">
        <v>126</v>
      </c>
      <c r="B128" s="115">
        <f t="shared" si="2"/>
        <v>41</v>
      </c>
      <c r="C128" s="115">
        <f t="shared" si="3"/>
        <v>3</v>
      </c>
      <c r="D128" s="113" t="str" cm="1">
        <f t="array" ref="D128">INDEX('Diag-Map-1'!$I$7:$K$100,1+B128,C128)</f>
        <v/>
      </c>
    </row>
    <row r="129" spans="1:4" x14ac:dyDescent="0.75">
      <c r="A129" s="115">
        <v>127</v>
      </c>
      <c r="B129" s="115">
        <f t="shared" si="2"/>
        <v>42</v>
      </c>
      <c r="C129" s="115">
        <f t="shared" si="3"/>
        <v>1</v>
      </c>
      <c r="D129" s="113" t="str" cm="1">
        <f t="array" ref="D129">INDEX('Diag-Map-1'!$I$7:$K$100,1+B129,C129)</f>
        <v/>
      </c>
    </row>
    <row r="130" spans="1:4" x14ac:dyDescent="0.75">
      <c r="A130" s="115">
        <v>128</v>
      </c>
      <c r="B130" s="115">
        <f t="shared" si="2"/>
        <v>42</v>
      </c>
      <c r="C130" s="115">
        <f t="shared" si="3"/>
        <v>2</v>
      </c>
      <c r="D130" s="113" t="str" cm="1">
        <f t="array" ref="D130">INDEX('Diag-Map-1'!$I$7:$K$100,1+B130,C130)</f>
        <v/>
      </c>
    </row>
    <row r="131" spans="1:4" x14ac:dyDescent="0.75">
      <c r="A131" s="115">
        <v>129</v>
      </c>
      <c r="B131" s="115">
        <f t="shared" si="2"/>
        <v>42</v>
      </c>
      <c r="C131" s="115">
        <f t="shared" si="3"/>
        <v>3</v>
      </c>
      <c r="D131" s="113" t="str" cm="1">
        <f t="array" ref="D131">INDEX('Diag-Map-1'!$I$7:$K$100,1+B131,C131)</f>
        <v/>
      </c>
    </row>
    <row r="132" spans="1:4" x14ac:dyDescent="0.75">
      <c r="A132" s="115">
        <v>130</v>
      </c>
      <c r="B132" s="115">
        <f t="shared" ref="B132:B195" si="4">IF(MOD(A132,3)=0,A132/3-1,INT(A132/3))</f>
        <v>43</v>
      </c>
      <c r="C132" s="115">
        <f t="shared" ref="C132:C195" si="5">IF(MOD(A132,3)=0,3,MOD(A132,3))</f>
        <v>1</v>
      </c>
      <c r="D132" s="113" t="str" cm="1">
        <f t="array" ref="D132">INDEX('Diag-Map-1'!$I$7:$K$100,1+B132,C132)</f>
        <v/>
      </c>
    </row>
    <row r="133" spans="1:4" x14ac:dyDescent="0.75">
      <c r="A133" s="115">
        <v>131</v>
      </c>
      <c r="B133" s="115">
        <f t="shared" si="4"/>
        <v>43</v>
      </c>
      <c r="C133" s="115">
        <f t="shared" si="5"/>
        <v>2</v>
      </c>
      <c r="D133" s="113" t="str" cm="1">
        <f t="array" ref="D133">INDEX('Diag-Map-1'!$I$7:$K$100,1+B133,C133)</f>
        <v/>
      </c>
    </row>
    <row r="134" spans="1:4" x14ac:dyDescent="0.75">
      <c r="A134" s="115">
        <v>132</v>
      </c>
      <c r="B134" s="115">
        <f t="shared" si="4"/>
        <v>43</v>
      </c>
      <c r="C134" s="115">
        <f t="shared" si="5"/>
        <v>3</v>
      </c>
      <c r="D134" s="113" t="str" cm="1">
        <f t="array" ref="D134">INDEX('Diag-Map-1'!$I$7:$K$100,1+B134,C134)</f>
        <v/>
      </c>
    </row>
    <row r="135" spans="1:4" x14ac:dyDescent="0.75">
      <c r="A135" s="115">
        <v>133</v>
      </c>
      <c r="B135" s="115">
        <f t="shared" si="4"/>
        <v>44</v>
      </c>
      <c r="C135" s="115">
        <f t="shared" si="5"/>
        <v>1</v>
      </c>
      <c r="D135" s="113" cm="1">
        <f t="array" ref="D135">INDEX('Diag-Map-1'!$I$7:$K$100,1+B135,C135)</f>
        <v>0</v>
      </c>
    </row>
    <row r="136" spans="1:4" x14ac:dyDescent="0.75">
      <c r="A136" s="115">
        <v>134</v>
      </c>
      <c r="B136" s="115">
        <f t="shared" si="4"/>
        <v>44</v>
      </c>
      <c r="C136" s="115">
        <f t="shared" si="5"/>
        <v>2</v>
      </c>
      <c r="D136" s="113" cm="1">
        <f t="array" ref="D136">INDEX('Diag-Map-1'!$I$7:$K$100,1+B136,C136)</f>
        <v>0</v>
      </c>
    </row>
    <row r="137" spans="1:4" x14ac:dyDescent="0.75">
      <c r="A137" s="115">
        <v>135</v>
      </c>
      <c r="B137" s="115">
        <f t="shared" si="4"/>
        <v>44</v>
      </c>
      <c r="C137" s="115">
        <f t="shared" si="5"/>
        <v>3</v>
      </c>
      <c r="D137" s="113" cm="1">
        <f t="array" ref="D137">INDEX('Diag-Map-1'!$I$7:$K$100,1+B137,C137)</f>
        <v>0</v>
      </c>
    </row>
    <row r="138" spans="1:4" x14ac:dyDescent="0.75">
      <c r="A138" s="115">
        <v>136</v>
      </c>
      <c r="B138" s="115">
        <f t="shared" si="4"/>
        <v>45</v>
      </c>
      <c r="C138" s="115">
        <f t="shared" si="5"/>
        <v>1</v>
      </c>
      <c r="D138" s="113" cm="1">
        <f t="array" ref="D138">INDEX('Diag-Map-1'!$I$7:$K$100,1+B138,C138)</f>
        <v>0</v>
      </c>
    </row>
    <row r="139" spans="1:4" x14ac:dyDescent="0.75">
      <c r="A139" s="115">
        <v>137</v>
      </c>
      <c r="B139" s="115">
        <f t="shared" si="4"/>
        <v>45</v>
      </c>
      <c r="C139" s="115">
        <f t="shared" si="5"/>
        <v>2</v>
      </c>
      <c r="D139" s="113" cm="1">
        <f t="array" ref="D139">INDEX('Diag-Map-1'!$I$7:$K$100,1+B139,C139)</f>
        <v>0</v>
      </c>
    </row>
    <row r="140" spans="1:4" x14ac:dyDescent="0.75">
      <c r="A140" s="115">
        <v>138</v>
      </c>
      <c r="B140" s="115">
        <f t="shared" si="4"/>
        <v>45</v>
      </c>
      <c r="C140" s="115">
        <f t="shared" si="5"/>
        <v>3</v>
      </c>
      <c r="D140" s="113" cm="1">
        <f t="array" ref="D140">INDEX('Diag-Map-1'!$I$7:$K$100,1+B140,C140)</f>
        <v>0</v>
      </c>
    </row>
    <row r="141" spans="1:4" x14ac:dyDescent="0.75">
      <c r="A141" s="115">
        <v>139</v>
      </c>
      <c r="B141" s="115">
        <f t="shared" si="4"/>
        <v>46</v>
      </c>
      <c r="C141" s="115">
        <f t="shared" si="5"/>
        <v>1</v>
      </c>
      <c r="D141" s="113" cm="1">
        <f t="array" ref="D141">INDEX('Diag-Map-1'!$I$7:$K$100,1+B141,C141)</f>
        <v>0</v>
      </c>
    </row>
    <row r="142" spans="1:4" x14ac:dyDescent="0.75">
      <c r="A142" s="115">
        <v>140</v>
      </c>
      <c r="B142" s="115">
        <f t="shared" si="4"/>
        <v>46</v>
      </c>
      <c r="C142" s="115">
        <f t="shared" si="5"/>
        <v>2</v>
      </c>
      <c r="D142" s="113" cm="1">
        <f t="array" ref="D142">INDEX('Diag-Map-1'!$I$7:$K$100,1+B142,C142)</f>
        <v>0</v>
      </c>
    </row>
    <row r="143" spans="1:4" x14ac:dyDescent="0.75">
      <c r="A143" s="115">
        <v>141</v>
      </c>
      <c r="B143" s="115">
        <f t="shared" si="4"/>
        <v>46</v>
      </c>
      <c r="C143" s="115">
        <f t="shared" si="5"/>
        <v>3</v>
      </c>
      <c r="D143" s="113" cm="1">
        <f t="array" ref="D143">INDEX('Diag-Map-1'!$I$7:$K$100,1+B143,C143)</f>
        <v>0</v>
      </c>
    </row>
    <row r="144" spans="1:4" x14ac:dyDescent="0.75">
      <c r="A144" s="115">
        <v>142</v>
      </c>
      <c r="B144" s="115">
        <f t="shared" si="4"/>
        <v>47</v>
      </c>
      <c r="C144" s="115">
        <f t="shared" si="5"/>
        <v>1</v>
      </c>
      <c r="D144" s="113" cm="1">
        <f t="array" ref="D144">INDEX('Diag-Map-1'!$I$7:$K$100,1+B144,C144)</f>
        <v>0</v>
      </c>
    </row>
    <row r="145" spans="1:4" x14ac:dyDescent="0.75">
      <c r="A145" s="115">
        <v>143</v>
      </c>
      <c r="B145" s="115">
        <f t="shared" si="4"/>
        <v>47</v>
      </c>
      <c r="C145" s="115">
        <f t="shared" si="5"/>
        <v>2</v>
      </c>
      <c r="D145" s="113" cm="1">
        <f t="array" ref="D145">INDEX('Diag-Map-1'!$I$7:$K$100,1+B145,C145)</f>
        <v>0</v>
      </c>
    </row>
    <row r="146" spans="1:4" x14ac:dyDescent="0.75">
      <c r="A146" s="115">
        <v>144</v>
      </c>
      <c r="B146" s="115">
        <f t="shared" si="4"/>
        <v>47</v>
      </c>
      <c r="C146" s="115">
        <f t="shared" si="5"/>
        <v>3</v>
      </c>
      <c r="D146" s="113" cm="1">
        <f t="array" ref="D146">INDEX('Diag-Map-1'!$I$7:$K$100,1+B146,C146)</f>
        <v>0</v>
      </c>
    </row>
    <row r="147" spans="1:4" x14ac:dyDescent="0.75">
      <c r="A147" s="115">
        <v>145</v>
      </c>
      <c r="B147" s="115">
        <f t="shared" si="4"/>
        <v>48</v>
      </c>
      <c r="C147" s="115">
        <f t="shared" si="5"/>
        <v>1</v>
      </c>
      <c r="D147" s="113" cm="1">
        <f t="array" ref="D147">INDEX('Diag-Map-1'!$I$7:$K$100,1+B147,C147)</f>
        <v>0</v>
      </c>
    </row>
    <row r="148" spans="1:4" x14ac:dyDescent="0.75">
      <c r="A148" s="115">
        <v>146</v>
      </c>
      <c r="B148" s="115">
        <f t="shared" si="4"/>
        <v>48</v>
      </c>
      <c r="C148" s="115">
        <f t="shared" si="5"/>
        <v>2</v>
      </c>
      <c r="D148" s="113" cm="1">
        <f t="array" ref="D148">INDEX('Diag-Map-1'!$I$7:$K$100,1+B148,C148)</f>
        <v>0</v>
      </c>
    </row>
    <row r="149" spans="1:4" x14ac:dyDescent="0.75">
      <c r="A149" s="115">
        <v>147</v>
      </c>
      <c r="B149" s="115">
        <f t="shared" si="4"/>
        <v>48</v>
      </c>
      <c r="C149" s="115">
        <f t="shared" si="5"/>
        <v>3</v>
      </c>
      <c r="D149" s="113" cm="1">
        <f t="array" ref="D149">INDEX('Diag-Map-1'!$I$7:$K$100,1+B149,C149)</f>
        <v>0</v>
      </c>
    </row>
    <row r="150" spans="1:4" x14ac:dyDescent="0.75">
      <c r="A150" s="115">
        <v>148</v>
      </c>
      <c r="B150" s="115">
        <f t="shared" si="4"/>
        <v>49</v>
      </c>
      <c r="C150" s="115">
        <f t="shared" si="5"/>
        <v>1</v>
      </c>
      <c r="D150" s="113" cm="1">
        <f t="array" ref="D150">INDEX('Diag-Map-1'!$I$7:$K$100,1+B150,C150)</f>
        <v>0</v>
      </c>
    </row>
    <row r="151" spans="1:4" x14ac:dyDescent="0.75">
      <c r="A151" s="115">
        <v>149</v>
      </c>
      <c r="B151" s="115">
        <f t="shared" si="4"/>
        <v>49</v>
      </c>
      <c r="C151" s="115">
        <f t="shared" si="5"/>
        <v>2</v>
      </c>
      <c r="D151" s="113" cm="1">
        <f t="array" ref="D151">INDEX('Diag-Map-1'!$I$7:$K$100,1+B151,C151)</f>
        <v>0</v>
      </c>
    </row>
    <row r="152" spans="1:4" x14ac:dyDescent="0.75">
      <c r="A152" s="115">
        <v>150</v>
      </c>
      <c r="B152" s="115">
        <f t="shared" si="4"/>
        <v>49</v>
      </c>
      <c r="C152" s="115">
        <f t="shared" si="5"/>
        <v>3</v>
      </c>
      <c r="D152" s="113" cm="1">
        <f t="array" ref="D152">INDEX('Diag-Map-1'!$I$7:$K$100,1+B152,C152)</f>
        <v>0</v>
      </c>
    </row>
    <row r="153" spans="1:4" x14ac:dyDescent="0.75">
      <c r="A153" s="115">
        <v>151</v>
      </c>
      <c r="B153" s="115">
        <f t="shared" si="4"/>
        <v>50</v>
      </c>
      <c r="C153" s="115">
        <f t="shared" si="5"/>
        <v>1</v>
      </c>
      <c r="D153" s="113" cm="1">
        <f t="array" ref="D153">INDEX('Diag-Map-1'!$I$7:$K$100,1+B153,C153)</f>
        <v>0</v>
      </c>
    </row>
    <row r="154" spans="1:4" x14ac:dyDescent="0.75">
      <c r="A154" s="115">
        <v>152</v>
      </c>
      <c r="B154" s="115">
        <f t="shared" si="4"/>
        <v>50</v>
      </c>
      <c r="C154" s="115">
        <f t="shared" si="5"/>
        <v>2</v>
      </c>
      <c r="D154" s="113" cm="1">
        <f t="array" ref="D154">INDEX('Diag-Map-1'!$I$7:$K$100,1+B154,C154)</f>
        <v>0</v>
      </c>
    </row>
    <row r="155" spans="1:4" x14ac:dyDescent="0.75">
      <c r="A155" s="115">
        <v>153</v>
      </c>
      <c r="B155" s="115">
        <f t="shared" si="4"/>
        <v>50</v>
      </c>
      <c r="C155" s="115">
        <f t="shared" si="5"/>
        <v>3</v>
      </c>
      <c r="D155" s="113" cm="1">
        <f t="array" ref="D155">INDEX('Diag-Map-1'!$I$7:$K$100,1+B155,C155)</f>
        <v>0</v>
      </c>
    </row>
    <row r="156" spans="1:4" x14ac:dyDescent="0.75">
      <c r="A156" s="115">
        <v>154</v>
      </c>
      <c r="B156" s="115">
        <f t="shared" si="4"/>
        <v>51</v>
      </c>
      <c r="C156" s="115">
        <f t="shared" si="5"/>
        <v>1</v>
      </c>
      <c r="D156" s="113" cm="1">
        <f t="array" ref="D156">INDEX('Diag-Map-1'!$I$7:$K$100,1+B156,C156)</f>
        <v>0</v>
      </c>
    </row>
    <row r="157" spans="1:4" x14ac:dyDescent="0.75">
      <c r="A157" s="115">
        <v>155</v>
      </c>
      <c r="B157" s="115">
        <f t="shared" si="4"/>
        <v>51</v>
      </c>
      <c r="C157" s="115">
        <f t="shared" si="5"/>
        <v>2</v>
      </c>
      <c r="D157" s="113" cm="1">
        <f t="array" ref="D157">INDEX('Diag-Map-1'!$I$7:$K$100,1+B157,C157)</f>
        <v>0</v>
      </c>
    </row>
    <row r="158" spans="1:4" x14ac:dyDescent="0.75">
      <c r="A158" s="115">
        <v>156</v>
      </c>
      <c r="B158" s="115">
        <f t="shared" si="4"/>
        <v>51</v>
      </c>
      <c r="C158" s="115">
        <f t="shared" si="5"/>
        <v>3</v>
      </c>
      <c r="D158" s="113" cm="1">
        <f t="array" ref="D158">INDEX('Diag-Map-1'!$I$7:$K$100,1+B158,C158)</f>
        <v>0</v>
      </c>
    </row>
    <row r="159" spans="1:4" x14ac:dyDescent="0.75">
      <c r="A159" s="115">
        <v>157</v>
      </c>
      <c r="B159" s="115">
        <f t="shared" si="4"/>
        <v>52</v>
      </c>
      <c r="C159" s="115">
        <f t="shared" si="5"/>
        <v>1</v>
      </c>
      <c r="D159" s="113" cm="1">
        <f t="array" ref="D159">INDEX('Diag-Map-1'!$I$7:$K$100,1+B159,C159)</f>
        <v>0</v>
      </c>
    </row>
    <row r="160" spans="1:4" x14ac:dyDescent="0.75">
      <c r="A160" s="115">
        <v>158</v>
      </c>
      <c r="B160" s="115">
        <f t="shared" si="4"/>
        <v>52</v>
      </c>
      <c r="C160" s="115">
        <f t="shared" si="5"/>
        <v>2</v>
      </c>
      <c r="D160" s="113" cm="1">
        <f t="array" ref="D160">INDEX('Diag-Map-1'!$I$7:$K$100,1+B160,C160)</f>
        <v>0</v>
      </c>
    </row>
    <row r="161" spans="1:4" x14ac:dyDescent="0.75">
      <c r="A161" s="115">
        <v>159</v>
      </c>
      <c r="B161" s="115">
        <f t="shared" si="4"/>
        <v>52</v>
      </c>
      <c r="C161" s="115">
        <f t="shared" si="5"/>
        <v>3</v>
      </c>
      <c r="D161" s="113" cm="1">
        <f t="array" ref="D161">INDEX('Diag-Map-1'!$I$7:$K$100,1+B161,C161)</f>
        <v>0</v>
      </c>
    </row>
    <row r="162" spans="1:4" x14ac:dyDescent="0.75">
      <c r="A162" s="115">
        <v>160</v>
      </c>
      <c r="B162" s="115">
        <f t="shared" si="4"/>
        <v>53</v>
      </c>
      <c r="C162" s="115">
        <f t="shared" si="5"/>
        <v>1</v>
      </c>
      <c r="D162" s="113" cm="1">
        <f t="array" ref="D162">INDEX('Diag-Map-1'!$I$7:$K$100,1+B162,C162)</f>
        <v>0</v>
      </c>
    </row>
    <row r="163" spans="1:4" x14ac:dyDescent="0.75">
      <c r="A163" s="115">
        <v>161</v>
      </c>
      <c r="B163" s="115">
        <f t="shared" si="4"/>
        <v>53</v>
      </c>
      <c r="C163" s="115">
        <f t="shared" si="5"/>
        <v>2</v>
      </c>
      <c r="D163" s="113" cm="1">
        <f t="array" ref="D163">INDEX('Diag-Map-1'!$I$7:$K$100,1+B163,C163)</f>
        <v>0</v>
      </c>
    </row>
    <row r="164" spans="1:4" x14ac:dyDescent="0.75">
      <c r="A164" s="115">
        <v>162</v>
      </c>
      <c r="B164" s="115">
        <f t="shared" si="4"/>
        <v>53</v>
      </c>
      <c r="C164" s="115">
        <f t="shared" si="5"/>
        <v>3</v>
      </c>
      <c r="D164" s="113" cm="1">
        <f t="array" ref="D164">INDEX('Diag-Map-1'!$I$7:$K$100,1+B164,C164)</f>
        <v>0</v>
      </c>
    </row>
    <row r="165" spans="1:4" x14ac:dyDescent="0.75">
      <c r="A165" s="115">
        <v>163</v>
      </c>
      <c r="B165" s="115">
        <f t="shared" si="4"/>
        <v>54</v>
      </c>
      <c r="C165" s="115">
        <f t="shared" si="5"/>
        <v>1</v>
      </c>
      <c r="D165" s="113" cm="1">
        <f t="array" ref="D165">INDEX('Diag-Map-1'!$I$7:$K$100,1+B165,C165)</f>
        <v>0</v>
      </c>
    </row>
    <row r="166" spans="1:4" x14ac:dyDescent="0.75">
      <c r="A166" s="115">
        <v>164</v>
      </c>
      <c r="B166" s="115">
        <f t="shared" si="4"/>
        <v>54</v>
      </c>
      <c r="C166" s="115">
        <f t="shared" si="5"/>
        <v>2</v>
      </c>
      <c r="D166" s="113" cm="1">
        <f t="array" ref="D166">INDEX('Diag-Map-1'!$I$7:$K$100,1+B166,C166)</f>
        <v>0</v>
      </c>
    </row>
    <row r="167" spans="1:4" x14ac:dyDescent="0.75">
      <c r="A167" s="115">
        <v>165</v>
      </c>
      <c r="B167" s="115">
        <f t="shared" si="4"/>
        <v>54</v>
      </c>
      <c r="C167" s="115">
        <f t="shared" si="5"/>
        <v>3</v>
      </c>
      <c r="D167" s="113" cm="1">
        <f t="array" ref="D167">INDEX('Diag-Map-1'!$I$7:$K$100,1+B167,C167)</f>
        <v>0</v>
      </c>
    </row>
    <row r="168" spans="1:4" x14ac:dyDescent="0.75">
      <c r="A168" s="115">
        <v>166</v>
      </c>
      <c r="B168" s="115">
        <f t="shared" si="4"/>
        <v>55</v>
      </c>
      <c r="C168" s="115">
        <f t="shared" si="5"/>
        <v>1</v>
      </c>
      <c r="D168" s="113" cm="1">
        <f t="array" ref="D168">INDEX('Diag-Map-1'!$I$7:$K$100,1+B168,C168)</f>
        <v>0</v>
      </c>
    </row>
    <row r="169" spans="1:4" x14ac:dyDescent="0.75">
      <c r="A169" s="115">
        <v>167</v>
      </c>
      <c r="B169" s="115">
        <f t="shared" si="4"/>
        <v>55</v>
      </c>
      <c r="C169" s="115">
        <f t="shared" si="5"/>
        <v>2</v>
      </c>
      <c r="D169" s="113" cm="1">
        <f t="array" ref="D169">INDEX('Diag-Map-1'!$I$7:$K$100,1+B169,C169)</f>
        <v>0</v>
      </c>
    </row>
    <row r="170" spans="1:4" x14ac:dyDescent="0.75">
      <c r="A170" s="115">
        <v>168</v>
      </c>
      <c r="B170" s="115">
        <f t="shared" si="4"/>
        <v>55</v>
      </c>
      <c r="C170" s="115">
        <f t="shared" si="5"/>
        <v>3</v>
      </c>
      <c r="D170" s="113" cm="1">
        <f t="array" ref="D170">INDEX('Diag-Map-1'!$I$7:$K$100,1+B170,C170)</f>
        <v>0</v>
      </c>
    </row>
    <row r="171" spans="1:4" x14ac:dyDescent="0.75">
      <c r="A171" s="115">
        <v>169</v>
      </c>
      <c r="B171" s="115">
        <f t="shared" si="4"/>
        <v>56</v>
      </c>
      <c r="C171" s="115">
        <f t="shared" si="5"/>
        <v>1</v>
      </c>
      <c r="D171" s="113" cm="1">
        <f t="array" ref="D171">INDEX('Diag-Map-1'!$I$7:$K$100,1+B171,C171)</f>
        <v>0</v>
      </c>
    </row>
    <row r="172" spans="1:4" x14ac:dyDescent="0.75">
      <c r="A172" s="115">
        <v>170</v>
      </c>
      <c r="B172" s="115">
        <f t="shared" si="4"/>
        <v>56</v>
      </c>
      <c r="C172" s="115">
        <f t="shared" si="5"/>
        <v>2</v>
      </c>
      <c r="D172" s="113" cm="1">
        <f t="array" ref="D172">INDEX('Diag-Map-1'!$I$7:$K$100,1+B172,C172)</f>
        <v>0</v>
      </c>
    </row>
    <row r="173" spans="1:4" x14ac:dyDescent="0.75">
      <c r="A173" s="115">
        <v>171</v>
      </c>
      <c r="B173" s="115">
        <f t="shared" si="4"/>
        <v>56</v>
      </c>
      <c r="C173" s="115">
        <f t="shared" si="5"/>
        <v>3</v>
      </c>
      <c r="D173" s="113" cm="1">
        <f t="array" ref="D173">INDEX('Diag-Map-1'!$I$7:$K$100,1+B173,C173)</f>
        <v>0</v>
      </c>
    </row>
    <row r="174" spans="1:4" x14ac:dyDescent="0.75">
      <c r="A174" s="115">
        <v>172</v>
      </c>
      <c r="B174" s="115">
        <f t="shared" si="4"/>
        <v>57</v>
      </c>
      <c r="C174" s="115">
        <f t="shared" si="5"/>
        <v>1</v>
      </c>
      <c r="D174" s="113" cm="1">
        <f t="array" ref="D174">INDEX('Diag-Map-1'!$I$7:$K$100,1+B174,C174)</f>
        <v>0</v>
      </c>
    </row>
    <row r="175" spans="1:4" x14ac:dyDescent="0.75">
      <c r="A175" s="115">
        <v>173</v>
      </c>
      <c r="B175" s="115">
        <f t="shared" si="4"/>
        <v>57</v>
      </c>
      <c r="C175" s="115">
        <f t="shared" si="5"/>
        <v>2</v>
      </c>
      <c r="D175" s="113" cm="1">
        <f t="array" ref="D175">INDEX('Diag-Map-1'!$I$7:$K$100,1+B175,C175)</f>
        <v>0</v>
      </c>
    </row>
    <row r="176" spans="1:4" x14ac:dyDescent="0.75">
      <c r="A176" s="115">
        <v>174</v>
      </c>
      <c r="B176" s="115">
        <f t="shared" si="4"/>
        <v>57</v>
      </c>
      <c r="C176" s="115">
        <f t="shared" si="5"/>
        <v>3</v>
      </c>
      <c r="D176" s="113" cm="1">
        <f t="array" ref="D176">INDEX('Diag-Map-1'!$I$7:$K$100,1+B176,C176)</f>
        <v>0</v>
      </c>
    </row>
    <row r="177" spans="1:4" x14ac:dyDescent="0.75">
      <c r="A177" s="115">
        <v>175</v>
      </c>
      <c r="B177" s="115">
        <f t="shared" si="4"/>
        <v>58</v>
      </c>
      <c r="C177" s="115">
        <f t="shared" si="5"/>
        <v>1</v>
      </c>
      <c r="D177" s="113" cm="1">
        <f t="array" ref="D177">INDEX('Diag-Map-1'!$I$7:$K$100,1+B177,C177)</f>
        <v>0</v>
      </c>
    </row>
    <row r="178" spans="1:4" x14ac:dyDescent="0.75">
      <c r="A178" s="115">
        <v>176</v>
      </c>
      <c r="B178" s="115">
        <f t="shared" si="4"/>
        <v>58</v>
      </c>
      <c r="C178" s="115">
        <f t="shared" si="5"/>
        <v>2</v>
      </c>
      <c r="D178" s="113" cm="1">
        <f t="array" ref="D178">INDEX('Diag-Map-1'!$I$7:$K$100,1+B178,C178)</f>
        <v>0</v>
      </c>
    </row>
    <row r="179" spans="1:4" x14ac:dyDescent="0.75">
      <c r="A179" s="115">
        <v>177</v>
      </c>
      <c r="B179" s="115">
        <f t="shared" si="4"/>
        <v>58</v>
      </c>
      <c r="C179" s="115">
        <f t="shared" si="5"/>
        <v>3</v>
      </c>
      <c r="D179" s="113" cm="1">
        <f t="array" ref="D179">INDEX('Diag-Map-1'!$I$7:$K$100,1+B179,C179)</f>
        <v>0</v>
      </c>
    </row>
    <row r="180" spans="1:4" x14ac:dyDescent="0.75">
      <c r="A180" s="115">
        <v>178</v>
      </c>
      <c r="B180" s="115">
        <f t="shared" si="4"/>
        <v>59</v>
      </c>
      <c r="C180" s="115">
        <f t="shared" si="5"/>
        <v>1</v>
      </c>
      <c r="D180" s="113" cm="1">
        <f t="array" ref="D180">INDEX('Diag-Map-1'!$I$7:$K$100,1+B180,C180)</f>
        <v>0</v>
      </c>
    </row>
    <row r="181" spans="1:4" x14ac:dyDescent="0.75">
      <c r="A181" s="115">
        <v>179</v>
      </c>
      <c r="B181" s="115">
        <f t="shared" si="4"/>
        <v>59</v>
      </c>
      <c r="C181" s="115">
        <f t="shared" si="5"/>
        <v>2</v>
      </c>
      <c r="D181" s="113" cm="1">
        <f t="array" ref="D181">INDEX('Diag-Map-1'!$I$7:$K$100,1+B181,C181)</f>
        <v>0</v>
      </c>
    </row>
    <row r="182" spans="1:4" x14ac:dyDescent="0.75">
      <c r="A182" s="115">
        <v>180</v>
      </c>
      <c r="B182" s="115">
        <f t="shared" si="4"/>
        <v>59</v>
      </c>
      <c r="C182" s="115">
        <f t="shared" si="5"/>
        <v>3</v>
      </c>
      <c r="D182" s="113" cm="1">
        <f t="array" ref="D182">INDEX('Diag-Map-1'!$I$7:$K$100,1+B182,C182)</f>
        <v>0</v>
      </c>
    </row>
    <row r="183" spans="1:4" x14ac:dyDescent="0.75">
      <c r="A183" s="115">
        <v>181</v>
      </c>
      <c r="B183" s="115">
        <f t="shared" si="4"/>
        <v>60</v>
      </c>
      <c r="C183" s="115">
        <f t="shared" si="5"/>
        <v>1</v>
      </c>
      <c r="D183" s="113" cm="1">
        <f t="array" ref="D183">INDEX('Diag-Map-1'!$I$7:$K$100,1+B183,C183)</f>
        <v>0</v>
      </c>
    </row>
    <row r="184" spans="1:4" x14ac:dyDescent="0.75">
      <c r="A184" s="115">
        <v>182</v>
      </c>
      <c r="B184" s="115">
        <f t="shared" si="4"/>
        <v>60</v>
      </c>
      <c r="C184" s="115">
        <f t="shared" si="5"/>
        <v>2</v>
      </c>
      <c r="D184" s="113" cm="1">
        <f t="array" ref="D184">INDEX('Diag-Map-1'!$I$7:$K$100,1+B184,C184)</f>
        <v>0</v>
      </c>
    </row>
    <row r="185" spans="1:4" x14ac:dyDescent="0.75">
      <c r="A185" s="115">
        <v>183</v>
      </c>
      <c r="B185" s="115">
        <f t="shared" si="4"/>
        <v>60</v>
      </c>
      <c r="C185" s="115">
        <f t="shared" si="5"/>
        <v>3</v>
      </c>
      <c r="D185" s="113" cm="1">
        <f t="array" ref="D185">INDEX('Diag-Map-1'!$I$7:$K$100,1+B185,C185)</f>
        <v>0</v>
      </c>
    </row>
    <row r="186" spans="1:4" x14ac:dyDescent="0.75">
      <c r="A186" s="115">
        <v>184</v>
      </c>
      <c r="B186" s="115">
        <f t="shared" si="4"/>
        <v>61</v>
      </c>
      <c r="C186" s="115">
        <f t="shared" si="5"/>
        <v>1</v>
      </c>
      <c r="D186" s="113" cm="1">
        <f t="array" ref="D186">INDEX('Diag-Map-1'!$I$7:$K$100,1+B186,C186)</f>
        <v>0</v>
      </c>
    </row>
    <row r="187" spans="1:4" x14ac:dyDescent="0.75">
      <c r="A187" s="115">
        <v>185</v>
      </c>
      <c r="B187" s="115">
        <f t="shared" si="4"/>
        <v>61</v>
      </c>
      <c r="C187" s="115">
        <f t="shared" si="5"/>
        <v>2</v>
      </c>
      <c r="D187" s="113" cm="1">
        <f t="array" ref="D187">INDEX('Diag-Map-1'!$I$7:$K$100,1+B187,C187)</f>
        <v>0</v>
      </c>
    </row>
    <row r="188" spans="1:4" x14ac:dyDescent="0.75">
      <c r="A188" s="115">
        <v>186</v>
      </c>
      <c r="B188" s="115">
        <f t="shared" si="4"/>
        <v>61</v>
      </c>
      <c r="C188" s="115">
        <f t="shared" si="5"/>
        <v>3</v>
      </c>
      <c r="D188" s="113" cm="1">
        <f t="array" ref="D188">INDEX('Diag-Map-1'!$I$7:$K$100,1+B188,C188)</f>
        <v>0</v>
      </c>
    </row>
    <row r="189" spans="1:4" x14ac:dyDescent="0.75">
      <c r="A189" s="115">
        <v>187</v>
      </c>
      <c r="B189" s="115">
        <f t="shared" si="4"/>
        <v>62</v>
      </c>
      <c r="C189" s="115">
        <f t="shared" si="5"/>
        <v>1</v>
      </c>
      <c r="D189" s="113" cm="1">
        <f t="array" ref="D189">INDEX('Diag-Map-1'!$I$7:$K$100,1+B189,C189)</f>
        <v>0</v>
      </c>
    </row>
    <row r="190" spans="1:4" x14ac:dyDescent="0.75">
      <c r="A190" s="115">
        <v>188</v>
      </c>
      <c r="B190" s="115">
        <f t="shared" si="4"/>
        <v>62</v>
      </c>
      <c r="C190" s="115">
        <f t="shared" si="5"/>
        <v>2</v>
      </c>
      <c r="D190" s="113" cm="1">
        <f t="array" ref="D190">INDEX('Diag-Map-1'!$I$7:$K$100,1+B190,C190)</f>
        <v>0</v>
      </c>
    </row>
    <row r="191" spans="1:4" x14ac:dyDescent="0.75">
      <c r="A191" s="115">
        <v>189</v>
      </c>
      <c r="B191" s="115">
        <f t="shared" si="4"/>
        <v>62</v>
      </c>
      <c r="C191" s="115">
        <f t="shared" si="5"/>
        <v>3</v>
      </c>
      <c r="D191" s="113" cm="1">
        <f t="array" ref="D191">INDEX('Diag-Map-1'!$I$7:$K$100,1+B191,C191)</f>
        <v>0</v>
      </c>
    </row>
    <row r="192" spans="1:4" x14ac:dyDescent="0.75">
      <c r="A192" s="115">
        <v>190</v>
      </c>
      <c r="B192" s="115">
        <f t="shared" si="4"/>
        <v>63</v>
      </c>
      <c r="C192" s="115">
        <f t="shared" si="5"/>
        <v>1</v>
      </c>
      <c r="D192" s="113" cm="1">
        <f t="array" ref="D192">INDEX('Diag-Map-1'!$I$7:$K$100,1+B192,C192)</f>
        <v>0</v>
      </c>
    </row>
    <row r="193" spans="1:4" x14ac:dyDescent="0.75">
      <c r="A193" s="115">
        <v>191</v>
      </c>
      <c r="B193" s="115">
        <f t="shared" si="4"/>
        <v>63</v>
      </c>
      <c r="C193" s="115">
        <f t="shared" si="5"/>
        <v>2</v>
      </c>
      <c r="D193" s="113" cm="1">
        <f t="array" ref="D193">INDEX('Diag-Map-1'!$I$7:$K$100,1+B193,C193)</f>
        <v>0</v>
      </c>
    </row>
    <row r="194" spans="1:4" x14ac:dyDescent="0.75">
      <c r="A194" s="115">
        <v>192</v>
      </c>
      <c r="B194" s="115">
        <f t="shared" si="4"/>
        <v>63</v>
      </c>
      <c r="C194" s="115">
        <f t="shared" si="5"/>
        <v>3</v>
      </c>
      <c r="D194" s="113" cm="1">
        <f t="array" ref="D194">INDEX('Diag-Map-1'!$I$7:$K$100,1+B194,C194)</f>
        <v>0</v>
      </c>
    </row>
    <row r="195" spans="1:4" x14ac:dyDescent="0.75">
      <c r="A195" s="115">
        <v>193</v>
      </c>
      <c r="B195" s="115">
        <f t="shared" si="4"/>
        <v>64</v>
      </c>
      <c r="C195" s="115">
        <f t="shared" si="5"/>
        <v>1</v>
      </c>
      <c r="D195" s="113" cm="1">
        <f t="array" ref="D195">INDEX('Diag-Map-1'!$I$7:$K$100,1+B195,C195)</f>
        <v>0</v>
      </c>
    </row>
    <row r="196" spans="1:4" x14ac:dyDescent="0.75">
      <c r="A196" s="115">
        <v>194</v>
      </c>
      <c r="B196" s="115">
        <f t="shared" ref="B196:B206" si="6">IF(MOD(A196,3)=0,A196/3-1,INT(A196/3))</f>
        <v>64</v>
      </c>
      <c r="C196" s="115">
        <f t="shared" ref="C196:C206" si="7">IF(MOD(A196,3)=0,3,MOD(A196,3))</f>
        <v>2</v>
      </c>
      <c r="D196" s="113" cm="1">
        <f t="array" ref="D196">INDEX('Diag-Map-1'!$I$7:$K$100,1+B196,C196)</f>
        <v>0</v>
      </c>
    </row>
    <row r="197" spans="1:4" x14ac:dyDescent="0.75">
      <c r="A197" s="115">
        <v>195</v>
      </c>
      <c r="B197" s="115">
        <f t="shared" si="6"/>
        <v>64</v>
      </c>
      <c r="C197" s="115">
        <f t="shared" si="7"/>
        <v>3</v>
      </c>
      <c r="D197" s="113" cm="1">
        <f t="array" ref="D197">INDEX('Diag-Map-1'!$I$7:$K$100,1+B197,C197)</f>
        <v>0</v>
      </c>
    </row>
    <row r="198" spans="1:4" x14ac:dyDescent="0.75">
      <c r="A198" s="115">
        <v>196</v>
      </c>
      <c r="B198" s="115">
        <f t="shared" si="6"/>
        <v>65</v>
      </c>
      <c r="C198" s="115">
        <f t="shared" si="7"/>
        <v>1</v>
      </c>
      <c r="D198" s="113" cm="1">
        <f t="array" ref="D198">INDEX('Diag-Map-1'!$I$7:$K$100,1+B198,C198)</f>
        <v>0</v>
      </c>
    </row>
    <row r="199" spans="1:4" x14ac:dyDescent="0.75">
      <c r="A199" s="115">
        <v>197</v>
      </c>
      <c r="B199" s="115">
        <f t="shared" si="6"/>
        <v>65</v>
      </c>
      <c r="C199" s="115">
        <f t="shared" si="7"/>
        <v>2</v>
      </c>
      <c r="D199" s="113" cm="1">
        <f t="array" ref="D199">INDEX('Diag-Map-1'!$I$7:$K$100,1+B199,C199)</f>
        <v>0</v>
      </c>
    </row>
    <row r="200" spans="1:4" x14ac:dyDescent="0.75">
      <c r="A200" s="115">
        <v>198</v>
      </c>
      <c r="B200" s="115">
        <f t="shared" si="6"/>
        <v>65</v>
      </c>
      <c r="C200" s="115">
        <f t="shared" si="7"/>
        <v>3</v>
      </c>
      <c r="D200" s="113" cm="1">
        <f t="array" ref="D200">INDEX('Diag-Map-1'!$I$7:$K$100,1+B200,C200)</f>
        <v>0</v>
      </c>
    </row>
    <row r="201" spans="1:4" x14ac:dyDescent="0.75">
      <c r="A201" s="115">
        <v>199</v>
      </c>
      <c r="B201" s="115">
        <f t="shared" si="6"/>
        <v>66</v>
      </c>
      <c r="C201" s="115">
        <f t="shared" si="7"/>
        <v>1</v>
      </c>
      <c r="D201" s="113" cm="1">
        <f t="array" ref="D201">INDEX('Diag-Map-1'!$I$7:$K$100,1+B201,C201)</f>
        <v>0</v>
      </c>
    </row>
    <row r="202" spans="1:4" x14ac:dyDescent="0.75">
      <c r="A202" s="115">
        <v>200</v>
      </c>
      <c r="B202" s="115">
        <f t="shared" si="6"/>
        <v>66</v>
      </c>
      <c r="C202" s="115">
        <f t="shared" si="7"/>
        <v>2</v>
      </c>
      <c r="D202" s="113" cm="1">
        <f t="array" ref="D202">INDEX('Diag-Map-1'!$I$7:$K$100,1+B202,C202)</f>
        <v>0</v>
      </c>
    </row>
    <row r="203" spans="1:4" x14ac:dyDescent="0.75">
      <c r="A203" s="115">
        <v>201</v>
      </c>
      <c r="B203" s="115">
        <f t="shared" si="6"/>
        <v>66</v>
      </c>
      <c r="C203" s="115">
        <f t="shared" si="7"/>
        <v>3</v>
      </c>
      <c r="D203" s="113" cm="1">
        <f t="array" ref="D203">INDEX('Diag-Map-1'!$I$7:$K$100,1+B203,C203)</f>
        <v>0</v>
      </c>
    </row>
    <row r="204" spans="1:4" x14ac:dyDescent="0.75">
      <c r="A204" s="115">
        <v>202</v>
      </c>
      <c r="B204" s="115">
        <f t="shared" si="6"/>
        <v>67</v>
      </c>
      <c r="C204" s="115">
        <f t="shared" si="7"/>
        <v>1</v>
      </c>
      <c r="D204" s="113" cm="1">
        <f t="array" ref="D204">INDEX('Diag-Map-1'!$I$7:$K$100,1+B204,C204)</f>
        <v>0</v>
      </c>
    </row>
    <row r="205" spans="1:4" x14ac:dyDescent="0.75">
      <c r="A205" s="115">
        <v>203</v>
      </c>
      <c r="B205" s="115">
        <f t="shared" si="6"/>
        <v>67</v>
      </c>
      <c r="C205" s="115">
        <f t="shared" si="7"/>
        <v>2</v>
      </c>
      <c r="D205" s="113" cm="1">
        <f t="array" ref="D205">INDEX('Diag-Map-1'!$I$7:$K$100,1+B205,C205)</f>
        <v>0</v>
      </c>
    </row>
    <row r="206" spans="1:4" x14ac:dyDescent="0.75">
      <c r="A206" s="115">
        <v>204</v>
      </c>
      <c r="B206" s="115">
        <f t="shared" si="6"/>
        <v>67</v>
      </c>
      <c r="C206" s="115">
        <f t="shared" si="7"/>
        <v>3</v>
      </c>
      <c r="D206" s="113" cm="1">
        <f t="array" ref="D206">INDEX('Diag-Map-1'!$I$7:$K$100,1+B206,C206)</f>
        <v>0</v>
      </c>
    </row>
    <row r="207" spans="1:4" x14ac:dyDescent="0.75">
      <c r="A207" s="115"/>
      <c r="B207" s="115"/>
      <c r="C207" s="115"/>
    </row>
    <row r="208" spans="1:4" x14ac:dyDescent="0.75">
      <c r="A208" s="115"/>
      <c r="B208" s="115"/>
      <c r="C208" s="115"/>
    </row>
    <row r="209" spans="1:3" x14ac:dyDescent="0.75">
      <c r="A209" s="115"/>
      <c r="B209" s="115"/>
      <c r="C209" s="115"/>
    </row>
    <row r="210" spans="1:3" x14ac:dyDescent="0.75">
      <c r="A210" s="115"/>
      <c r="B210" s="115"/>
      <c r="C210" s="115"/>
    </row>
    <row r="211" spans="1:3" x14ac:dyDescent="0.75">
      <c r="A211" s="115"/>
      <c r="B211" s="115"/>
      <c r="C211" s="115"/>
    </row>
    <row r="212" spans="1:3" x14ac:dyDescent="0.75">
      <c r="A212" s="115"/>
      <c r="B212" s="115"/>
      <c r="C212" s="115"/>
    </row>
    <row r="213" spans="1:3" x14ac:dyDescent="0.75">
      <c r="A213" s="115"/>
      <c r="B213" s="115"/>
      <c r="C213" s="115"/>
    </row>
    <row r="214" spans="1:3" x14ac:dyDescent="0.75">
      <c r="A214" s="115"/>
      <c r="B214" s="115"/>
      <c r="C214" s="115"/>
    </row>
    <row r="215" spans="1:3" x14ac:dyDescent="0.75">
      <c r="A215" s="115"/>
      <c r="B215" s="115"/>
      <c r="C215" s="115"/>
    </row>
    <row r="216" spans="1:3" x14ac:dyDescent="0.75">
      <c r="A216" s="115"/>
      <c r="B216" s="115"/>
      <c r="C216" s="115"/>
    </row>
    <row r="217" spans="1:3" x14ac:dyDescent="0.75">
      <c r="A217" s="115"/>
      <c r="B217" s="115"/>
      <c r="C217" s="115"/>
    </row>
    <row r="218" spans="1:3" x14ac:dyDescent="0.75">
      <c r="A218" s="115"/>
      <c r="B218" s="115"/>
      <c r="C218" s="115"/>
    </row>
    <row r="219" spans="1:3" x14ac:dyDescent="0.75">
      <c r="A219" s="115"/>
      <c r="B219" s="115"/>
      <c r="C219" s="115"/>
    </row>
    <row r="220" spans="1:3" x14ac:dyDescent="0.75">
      <c r="A220" s="115"/>
      <c r="B220" s="115"/>
      <c r="C220" s="115"/>
    </row>
    <row r="221" spans="1:3" x14ac:dyDescent="0.75">
      <c r="A221" s="115"/>
      <c r="B221" s="115"/>
      <c r="C221" s="115"/>
    </row>
    <row r="222" spans="1:3" x14ac:dyDescent="0.75">
      <c r="A222" s="115"/>
      <c r="B222" s="115"/>
      <c r="C222" s="115"/>
    </row>
    <row r="223" spans="1:3" x14ac:dyDescent="0.75">
      <c r="A223" s="115"/>
      <c r="B223" s="115"/>
      <c r="C223" s="115"/>
    </row>
    <row r="224" spans="1:3" x14ac:dyDescent="0.75">
      <c r="A224" s="115"/>
      <c r="B224" s="115"/>
      <c r="C224" s="115"/>
    </row>
    <row r="225" spans="1:3" x14ac:dyDescent="0.75">
      <c r="A225" s="115"/>
      <c r="B225" s="115"/>
      <c r="C225" s="115"/>
    </row>
    <row r="226" spans="1:3" x14ac:dyDescent="0.75">
      <c r="A226" s="115"/>
      <c r="B226" s="115"/>
      <c r="C226" s="115"/>
    </row>
    <row r="227" spans="1:3" x14ac:dyDescent="0.75">
      <c r="A227" s="115"/>
      <c r="B227" s="115"/>
      <c r="C227" s="115"/>
    </row>
    <row r="228" spans="1:3" x14ac:dyDescent="0.75">
      <c r="A228" s="115"/>
      <c r="B228" s="115"/>
      <c r="C228" s="115"/>
    </row>
    <row r="229" spans="1:3" x14ac:dyDescent="0.75">
      <c r="A229" s="115"/>
      <c r="B229" s="115"/>
      <c r="C229" s="115"/>
    </row>
    <row r="230" spans="1:3" x14ac:dyDescent="0.75">
      <c r="A230" s="115"/>
      <c r="B230" s="115"/>
      <c r="C230" s="115"/>
    </row>
    <row r="231" spans="1:3" x14ac:dyDescent="0.75">
      <c r="A231" s="115"/>
      <c r="B231" s="115"/>
      <c r="C231" s="115"/>
    </row>
    <row r="232" spans="1:3" x14ac:dyDescent="0.75">
      <c r="A232" s="115"/>
      <c r="B232" s="115"/>
      <c r="C232" s="115"/>
    </row>
    <row r="233" spans="1:3" x14ac:dyDescent="0.75">
      <c r="A233" s="115"/>
      <c r="B233" s="115"/>
      <c r="C233" s="115"/>
    </row>
    <row r="234" spans="1:3" x14ac:dyDescent="0.75">
      <c r="A234" s="115"/>
      <c r="B234" s="115"/>
      <c r="C234" s="115"/>
    </row>
    <row r="235" spans="1:3" x14ac:dyDescent="0.75">
      <c r="A235" s="115"/>
      <c r="B235" s="115"/>
      <c r="C235" s="115"/>
    </row>
    <row r="236" spans="1:3" x14ac:dyDescent="0.75">
      <c r="A236" s="115"/>
      <c r="B236" s="115"/>
      <c r="C236" s="115"/>
    </row>
    <row r="237" spans="1:3" x14ac:dyDescent="0.75">
      <c r="A237" s="115"/>
      <c r="B237" s="115"/>
      <c r="C237" s="115"/>
    </row>
    <row r="238" spans="1:3" x14ac:dyDescent="0.75">
      <c r="A238" s="115"/>
      <c r="B238" s="115"/>
      <c r="C238" s="115"/>
    </row>
    <row r="239" spans="1:3" x14ac:dyDescent="0.75">
      <c r="A239" s="115"/>
      <c r="B239" s="115"/>
      <c r="C239" s="115"/>
    </row>
    <row r="240" spans="1:3" x14ac:dyDescent="0.75">
      <c r="A240" s="115"/>
      <c r="B240" s="115"/>
      <c r="C240" s="115"/>
    </row>
    <row r="241" spans="1:3" x14ac:dyDescent="0.75">
      <c r="A241" s="115"/>
      <c r="B241" s="115"/>
      <c r="C241" s="115"/>
    </row>
    <row r="242" spans="1:3" x14ac:dyDescent="0.75">
      <c r="A242" s="115"/>
      <c r="B242" s="115"/>
      <c r="C242" s="115"/>
    </row>
    <row r="243" spans="1:3" x14ac:dyDescent="0.75">
      <c r="A243" s="115"/>
      <c r="B243" s="115"/>
      <c r="C243" s="115"/>
    </row>
    <row r="244" spans="1:3" x14ac:dyDescent="0.75">
      <c r="A244" s="115"/>
      <c r="B244" s="115"/>
      <c r="C244" s="115"/>
    </row>
    <row r="245" spans="1:3" x14ac:dyDescent="0.75">
      <c r="A245" s="115"/>
      <c r="B245" s="115"/>
      <c r="C245" s="115"/>
    </row>
    <row r="246" spans="1:3" x14ac:dyDescent="0.75">
      <c r="A246" s="115"/>
      <c r="B246" s="115"/>
      <c r="C246" s="115"/>
    </row>
    <row r="247" spans="1:3" x14ac:dyDescent="0.75">
      <c r="A247" s="115"/>
      <c r="B247" s="115"/>
      <c r="C247" s="115"/>
    </row>
    <row r="248" spans="1:3" x14ac:dyDescent="0.75">
      <c r="A248" s="115"/>
      <c r="B248" s="115"/>
      <c r="C248" s="115"/>
    </row>
    <row r="249" spans="1:3" x14ac:dyDescent="0.75">
      <c r="A249" s="115"/>
      <c r="B249" s="115"/>
      <c r="C249" s="115"/>
    </row>
    <row r="250" spans="1:3" x14ac:dyDescent="0.75">
      <c r="A250" s="115"/>
      <c r="B250" s="115"/>
      <c r="C250" s="115"/>
    </row>
    <row r="251" spans="1:3" x14ac:dyDescent="0.75">
      <c r="A251" s="115"/>
      <c r="B251" s="115"/>
      <c r="C251" s="115"/>
    </row>
    <row r="252" spans="1:3" x14ac:dyDescent="0.75">
      <c r="A252" s="115"/>
      <c r="B252" s="115"/>
      <c r="C252" s="115"/>
    </row>
    <row r="253" spans="1:3" x14ac:dyDescent="0.75">
      <c r="A253" s="115"/>
      <c r="B253" s="115"/>
      <c r="C253" s="115"/>
    </row>
    <row r="254" spans="1:3" x14ac:dyDescent="0.75">
      <c r="A254" s="115"/>
      <c r="B254" s="115"/>
      <c r="C254" s="115"/>
    </row>
    <row r="255" spans="1:3" x14ac:dyDescent="0.75">
      <c r="A255" s="115"/>
      <c r="B255" s="115"/>
      <c r="C255" s="115"/>
    </row>
    <row r="256" spans="1:3" x14ac:dyDescent="0.75">
      <c r="A256" s="115"/>
      <c r="B256" s="115"/>
      <c r="C256" s="115"/>
    </row>
    <row r="257" spans="1:3" x14ac:dyDescent="0.75">
      <c r="A257" s="115"/>
      <c r="B257" s="115"/>
      <c r="C257" s="115"/>
    </row>
    <row r="258" spans="1:3" x14ac:dyDescent="0.75">
      <c r="A258" s="115"/>
      <c r="B258" s="115"/>
      <c r="C258" s="115"/>
    </row>
    <row r="259" spans="1:3" x14ac:dyDescent="0.75">
      <c r="A259" s="115"/>
      <c r="B259" s="115"/>
      <c r="C259" s="115"/>
    </row>
    <row r="260" spans="1:3" x14ac:dyDescent="0.75">
      <c r="A260" s="115"/>
      <c r="B260" s="115"/>
      <c r="C260" s="115"/>
    </row>
    <row r="261" spans="1:3" x14ac:dyDescent="0.75">
      <c r="A261" s="115"/>
      <c r="B261" s="115"/>
      <c r="C261" s="115"/>
    </row>
    <row r="262" spans="1:3" x14ac:dyDescent="0.75">
      <c r="A262" s="115"/>
      <c r="B262" s="115"/>
      <c r="C262" s="115"/>
    </row>
    <row r="263" spans="1:3" x14ac:dyDescent="0.75">
      <c r="A263" s="115"/>
      <c r="B263" s="115"/>
      <c r="C263" s="115"/>
    </row>
    <row r="264" spans="1:3" x14ac:dyDescent="0.75">
      <c r="A264" s="115"/>
      <c r="B264" s="115"/>
      <c r="C264" s="115"/>
    </row>
    <row r="265" spans="1:3" x14ac:dyDescent="0.75">
      <c r="A265" s="115"/>
      <c r="B265" s="115"/>
      <c r="C265" s="115"/>
    </row>
    <row r="266" spans="1:3" x14ac:dyDescent="0.75">
      <c r="A266" s="115"/>
      <c r="B266" s="115"/>
      <c r="C266" s="115"/>
    </row>
    <row r="267" spans="1:3" x14ac:dyDescent="0.75">
      <c r="A267" s="115"/>
      <c r="B267" s="115"/>
      <c r="C267" s="115"/>
    </row>
    <row r="268" spans="1:3" x14ac:dyDescent="0.75">
      <c r="A268" s="115"/>
      <c r="B268" s="115"/>
      <c r="C268" s="115"/>
    </row>
    <row r="269" spans="1:3" x14ac:dyDescent="0.75">
      <c r="A269" s="115"/>
      <c r="B269" s="115"/>
      <c r="C269" s="115"/>
    </row>
    <row r="270" spans="1:3" x14ac:dyDescent="0.75">
      <c r="A270" s="115"/>
      <c r="B270" s="115"/>
      <c r="C270" s="115"/>
    </row>
    <row r="271" spans="1:3" x14ac:dyDescent="0.75">
      <c r="A271" s="115"/>
      <c r="B271" s="115"/>
      <c r="C271" s="115"/>
    </row>
    <row r="272" spans="1:3" x14ac:dyDescent="0.75">
      <c r="A272" s="115"/>
      <c r="B272" s="115"/>
      <c r="C272" s="115"/>
    </row>
    <row r="273" spans="1:3" x14ac:dyDescent="0.75">
      <c r="A273" s="115"/>
      <c r="B273" s="115"/>
      <c r="C273" s="115"/>
    </row>
    <row r="274" spans="1:3" x14ac:dyDescent="0.75">
      <c r="A274" s="115"/>
      <c r="B274" s="115"/>
      <c r="C274" s="115"/>
    </row>
    <row r="275" spans="1:3" x14ac:dyDescent="0.75">
      <c r="A275" s="115"/>
      <c r="B275" s="115"/>
      <c r="C275" s="115"/>
    </row>
    <row r="276" spans="1:3" x14ac:dyDescent="0.75">
      <c r="A276" s="115"/>
      <c r="B276" s="115"/>
      <c r="C276" s="115"/>
    </row>
    <row r="277" spans="1:3" x14ac:dyDescent="0.75">
      <c r="A277" s="115"/>
      <c r="B277" s="115"/>
      <c r="C277" s="115"/>
    </row>
    <row r="278" spans="1:3" x14ac:dyDescent="0.75">
      <c r="A278" s="115"/>
      <c r="B278" s="115"/>
      <c r="C278" s="115"/>
    </row>
    <row r="279" spans="1:3" x14ac:dyDescent="0.75">
      <c r="A279" s="115"/>
      <c r="B279" s="115"/>
      <c r="C279" s="115"/>
    </row>
    <row r="280" spans="1:3" x14ac:dyDescent="0.75">
      <c r="A280" s="115"/>
      <c r="B280" s="115"/>
      <c r="C280" s="115"/>
    </row>
    <row r="281" spans="1:3" x14ac:dyDescent="0.75">
      <c r="A281" s="115"/>
      <c r="B281" s="115"/>
      <c r="C281" s="115"/>
    </row>
    <row r="282" spans="1:3" x14ac:dyDescent="0.75">
      <c r="A282" s="115"/>
      <c r="B282" s="115"/>
      <c r="C282" s="115"/>
    </row>
    <row r="283" spans="1:3" x14ac:dyDescent="0.75">
      <c r="A283" s="115"/>
      <c r="B283" s="115"/>
      <c r="C283" s="115"/>
    </row>
    <row r="284" spans="1:3" x14ac:dyDescent="0.75">
      <c r="A284" s="115"/>
      <c r="B284" s="115"/>
      <c r="C284" s="115"/>
    </row>
    <row r="285" spans="1:3" x14ac:dyDescent="0.75">
      <c r="A285" s="115"/>
      <c r="B285" s="115"/>
      <c r="C285" s="115"/>
    </row>
    <row r="286" spans="1:3" x14ac:dyDescent="0.75">
      <c r="A286" s="115"/>
      <c r="B286" s="115"/>
      <c r="C286" s="115"/>
    </row>
    <row r="287" spans="1:3" x14ac:dyDescent="0.75">
      <c r="A287" s="115"/>
      <c r="B287" s="115"/>
      <c r="C287" s="115"/>
    </row>
    <row r="288" spans="1:3" x14ac:dyDescent="0.75">
      <c r="A288" s="115"/>
      <c r="B288" s="115"/>
      <c r="C288" s="115"/>
    </row>
    <row r="289" spans="1:3" x14ac:dyDescent="0.75">
      <c r="A289" s="115"/>
      <c r="B289" s="115"/>
      <c r="C289" s="115"/>
    </row>
    <row r="290" spans="1:3" x14ac:dyDescent="0.75">
      <c r="A290" s="115"/>
      <c r="B290" s="115"/>
      <c r="C290" s="115"/>
    </row>
    <row r="291" spans="1:3" x14ac:dyDescent="0.75">
      <c r="A291" s="115"/>
      <c r="B291" s="115"/>
      <c r="C291" s="115"/>
    </row>
    <row r="292" spans="1:3" x14ac:dyDescent="0.75">
      <c r="A292" s="115"/>
      <c r="B292" s="115"/>
      <c r="C292" s="115"/>
    </row>
    <row r="293" spans="1:3" x14ac:dyDescent="0.75">
      <c r="A293" s="115"/>
      <c r="B293" s="115"/>
      <c r="C293" s="115"/>
    </row>
    <row r="294" spans="1:3" x14ac:dyDescent="0.75">
      <c r="A294" s="115"/>
      <c r="B294" s="115"/>
      <c r="C294" s="115"/>
    </row>
    <row r="295" spans="1:3" x14ac:dyDescent="0.75">
      <c r="A295" s="115"/>
      <c r="B295" s="115"/>
      <c r="C295" s="115"/>
    </row>
    <row r="296" spans="1:3" x14ac:dyDescent="0.75">
      <c r="A296" s="115"/>
      <c r="B296" s="115"/>
      <c r="C296" s="115"/>
    </row>
    <row r="297" spans="1:3" x14ac:dyDescent="0.75">
      <c r="A297" s="115"/>
      <c r="B297" s="115"/>
      <c r="C297" s="115"/>
    </row>
    <row r="298" spans="1:3" x14ac:dyDescent="0.75">
      <c r="A298" s="115"/>
      <c r="B298" s="115"/>
      <c r="C298" s="115"/>
    </row>
    <row r="299" spans="1:3" x14ac:dyDescent="0.75">
      <c r="A299" s="115"/>
      <c r="B299" s="115"/>
      <c r="C299" s="115"/>
    </row>
    <row r="300" spans="1:3" x14ac:dyDescent="0.75">
      <c r="A300" s="115"/>
      <c r="B300" s="115"/>
      <c r="C300" s="115"/>
    </row>
    <row r="301" spans="1:3" x14ac:dyDescent="0.75">
      <c r="A301" s="115"/>
      <c r="B301" s="115"/>
      <c r="C301" s="115"/>
    </row>
    <row r="302" spans="1:3" x14ac:dyDescent="0.75">
      <c r="A302" s="115"/>
      <c r="B302" s="115"/>
      <c r="C302" s="115"/>
    </row>
    <row r="303" spans="1:3" x14ac:dyDescent="0.75">
      <c r="A303" s="115"/>
      <c r="B303" s="115"/>
      <c r="C303" s="115"/>
    </row>
    <row r="304" spans="1:3" x14ac:dyDescent="0.75">
      <c r="A304" s="115"/>
      <c r="B304" s="115"/>
      <c r="C304" s="115"/>
    </row>
    <row r="305" spans="1:3" x14ac:dyDescent="0.75">
      <c r="A305" s="115"/>
      <c r="B305" s="115"/>
      <c r="C305" s="115"/>
    </row>
    <row r="306" spans="1:3" x14ac:dyDescent="0.75">
      <c r="A306" s="115"/>
      <c r="B306" s="115"/>
      <c r="C306" s="115"/>
    </row>
    <row r="307" spans="1:3" x14ac:dyDescent="0.75">
      <c r="A307" s="115"/>
      <c r="B307" s="115"/>
      <c r="C307" s="115"/>
    </row>
    <row r="308" spans="1:3" x14ac:dyDescent="0.75">
      <c r="A308" s="115"/>
      <c r="B308" s="115"/>
      <c r="C308" s="115"/>
    </row>
    <row r="309" spans="1:3" x14ac:dyDescent="0.75">
      <c r="A309" s="115"/>
      <c r="B309" s="115"/>
      <c r="C309" s="115"/>
    </row>
    <row r="310" spans="1:3" x14ac:dyDescent="0.75">
      <c r="A310" s="115"/>
      <c r="B310" s="115"/>
      <c r="C310" s="115"/>
    </row>
    <row r="311" spans="1:3" x14ac:dyDescent="0.75">
      <c r="A311" s="115"/>
      <c r="B311" s="115"/>
      <c r="C311" s="115"/>
    </row>
    <row r="312" spans="1:3" x14ac:dyDescent="0.75">
      <c r="A312" s="115"/>
      <c r="B312" s="115"/>
      <c r="C312" s="115"/>
    </row>
    <row r="313" spans="1:3" x14ac:dyDescent="0.75">
      <c r="A313" s="115"/>
      <c r="B313" s="115"/>
      <c r="C313" s="115"/>
    </row>
    <row r="314" spans="1:3" x14ac:dyDescent="0.75">
      <c r="A314" s="115"/>
      <c r="B314" s="115"/>
      <c r="C314" s="115"/>
    </row>
    <row r="315" spans="1:3" x14ac:dyDescent="0.75">
      <c r="A315" s="115"/>
      <c r="B315" s="115"/>
      <c r="C315" s="115"/>
    </row>
    <row r="316" spans="1:3" x14ac:dyDescent="0.75">
      <c r="A316" s="115"/>
      <c r="B316" s="115"/>
      <c r="C316" s="115"/>
    </row>
    <row r="317" spans="1:3" x14ac:dyDescent="0.75">
      <c r="A317" s="115"/>
      <c r="B317" s="115"/>
      <c r="C317" s="115"/>
    </row>
    <row r="318" spans="1:3" x14ac:dyDescent="0.75">
      <c r="A318" s="115"/>
      <c r="B318" s="115"/>
      <c r="C318" s="115"/>
    </row>
    <row r="319" spans="1:3" x14ac:dyDescent="0.75">
      <c r="A319" s="115"/>
      <c r="B319" s="115"/>
      <c r="C319" s="115"/>
    </row>
    <row r="320" spans="1:3" x14ac:dyDescent="0.75">
      <c r="A320" s="115"/>
      <c r="B320" s="115"/>
      <c r="C320" s="115"/>
    </row>
    <row r="321" spans="1:3" x14ac:dyDescent="0.75">
      <c r="A321" s="115"/>
      <c r="B321" s="115"/>
      <c r="C321" s="115"/>
    </row>
    <row r="322" spans="1:3" x14ac:dyDescent="0.75">
      <c r="A322" s="115"/>
      <c r="B322" s="115"/>
      <c r="C322" s="115"/>
    </row>
    <row r="323" spans="1:3" x14ac:dyDescent="0.75">
      <c r="A323" s="115"/>
      <c r="B323" s="115"/>
      <c r="C323" s="115"/>
    </row>
    <row r="324" spans="1:3" x14ac:dyDescent="0.75">
      <c r="A324" s="115"/>
      <c r="B324" s="115"/>
      <c r="C324" s="115"/>
    </row>
    <row r="325" spans="1:3" x14ac:dyDescent="0.75">
      <c r="A325" s="115"/>
      <c r="B325" s="115"/>
      <c r="C325" s="115"/>
    </row>
    <row r="326" spans="1:3" x14ac:dyDescent="0.75">
      <c r="A326" s="115"/>
      <c r="B326" s="115"/>
      <c r="C326" s="115"/>
    </row>
    <row r="327" spans="1:3" x14ac:dyDescent="0.75">
      <c r="A327" s="115"/>
      <c r="B327" s="115"/>
      <c r="C327" s="115"/>
    </row>
    <row r="328" spans="1:3" x14ac:dyDescent="0.75">
      <c r="A328" s="115"/>
      <c r="B328" s="115"/>
      <c r="C328" s="115"/>
    </row>
    <row r="329" spans="1:3" x14ac:dyDescent="0.75">
      <c r="A329" s="115"/>
      <c r="B329" s="115"/>
      <c r="C329" s="115"/>
    </row>
    <row r="330" spans="1:3" x14ac:dyDescent="0.75">
      <c r="A330" s="115"/>
      <c r="B330" s="115"/>
      <c r="C330" s="115"/>
    </row>
    <row r="331" spans="1:3" x14ac:dyDescent="0.75">
      <c r="A331" s="115"/>
      <c r="B331" s="115"/>
      <c r="C331" s="115"/>
    </row>
    <row r="332" spans="1:3" x14ac:dyDescent="0.75">
      <c r="A332" s="115"/>
      <c r="B332" s="115"/>
      <c r="C332" s="115"/>
    </row>
    <row r="333" spans="1:3" x14ac:dyDescent="0.75">
      <c r="A333" s="115"/>
      <c r="B333" s="115"/>
      <c r="C333" s="115"/>
    </row>
    <row r="334" spans="1:3" x14ac:dyDescent="0.75">
      <c r="A334" s="115"/>
      <c r="B334" s="115"/>
      <c r="C334" s="115"/>
    </row>
    <row r="335" spans="1:3" x14ac:dyDescent="0.75">
      <c r="A335" s="115"/>
      <c r="B335" s="115"/>
      <c r="C335" s="115"/>
    </row>
    <row r="336" spans="1:3" x14ac:dyDescent="0.75">
      <c r="A336" s="115"/>
      <c r="B336" s="115"/>
      <c r="C336" s="115"/>
    </row>
    <row r="337" spans="1:3" x14ac:dyDescent="0.75">
      <c r="A337" s="115"/>
      <c r="B337" s="115"/>
      <c r="C337" s="115"/>
    </row>
    <row r="338" spans="1:3" x14ac:dyDescent="0.75">
      <c r="A338" s="115"/>
      <c r="B338" s="115"/>
      <c r="C338" s="115"/>
    </row>
    <row r="339" spans="1:3" x14ac:dyDescent="0.75">
      <c r="A339" s="115"/>
      <c r="B339" s="115"/>
      <c r="C339" s="115"/>
    </row>
    <row r="340" spans="1:3" x14ac:dyDescent="0.75">
      <c r="A340" s="115"/>
      <c r="B340" s="115"/>
      <c r="C340" s="115"/>
    </row>
    <row r="341" spans="1:3" x14ac:dyDescent="0.75">
      <c r="A341" s="115"/>
      <c r="B341" s="115"/>
      <c r="C341" s="115"/>
    </row>
    <row r="342" spans="1:3" x14ac:dyDescent="0.75">
      <c r="A342" s="115"/>
      <c r="B342" s="115"/>
      <c r="C342" s="115"/>
    </row>
    <row r="343" spans="1:3" x14ac:dyDescent="0.75">
      <c r="A343" s="115"/>
      <c r="B343" s="115"/>
      <c r="C343" s="115"/>
    </row>
    <row r="344" spans="1:3" x14ac:dyDescent="0.75">
      <c r="A344" s="115"/>
      <c r="B344" s="115"/>
      <c r="C344" s="115"/>
    </row>
    <row r="345" spans="1:3" x14ac:dyDescent="0.75">
      <c r="A345" s="115"/>
      <c r="B345" s="115"/>
      <c r="C345" s="115"/>
    </row>
    <row r="346" spans="1:3" x14ac:dyDescent="0.75">
      <c r="A346" s="115"/>
      <c r="B346" s="115"/>
      <c r="C346" s="115"/>
    </row>
    <row r="347" spans="1:3" x14ac:dyDescent="0.75">
      <c r="A347" s="115"/>
      <c r="B347" s="115"/>
      <c r="C347" s="115"/>
    </row>
    <row r="348" spans="1:3" x14ac:dyDescent="0.75">
      <c r="A348" s="115"/>
      <c r="B348" s="115"/>
      <c r="C348" s="115"/>
    </row>
    <row r="349" spans="1:3" x14ac:dyDescent="0.75">
      <c r="A349" s="115"/>
      <c r="B349" s="115"/>
      <c r="C349" s="115"/>
    </row>
    <row r="350" spans="1:3" x14ac:dyDescent="0.75">
      <c r="A350" s="115"/>
      <c r="B350" s="115"/>
      <c r="C350" s="115"/>
    </row>
    <row r="351" spans="1:3" x14ac:dyDescent="0.75">
      <c r="A351" s="115"/>
      <c r="B351" s="115"/>
      <c r="C351" s="115"/>
    </row>
    <row r="352" spans="1:3" x14ac:dyDescent="0.75">
      <c r="A352" s="115"/>
      <c r="B352" s="115"/>
      <c r="C352" s="115"/>
    </row>
    <row r="353" spans="1:3" x14ac:dyDescent="0.75">
      <c r="A353" s="115"/>
      <c r="B353" s="115"/>
      <c r="C353" s="115"/>
    </row>
    <row r="354" spans="1:3" x14ac:dyDescent="0.75">
      <c r="A354" s="115"/>
      <c r="B354" s="115"/>
      <c r="C354" s="115"/>
    </row>
    <row r="355" spans="1:3" x14ac:dyDescent="0.75">
      <c r="A355" s="115"/>
      <c r="B355" s="115"/>
      <c r="C355" s="115"/>
    </row>
    <row r="356" spans="1:3" x14ac:dyDescent="0.75">
      <c r="A356" s="115"/>
      <c r="B356" s="115"/>
      <c r="C356" s="115"/>
    </row>
    <row r="357" spans="1:3" x14ac:dyDescent="0.75">
      <c r="A357" s="115"/>
      <c r="B357" s="115"/>
      <c r="C357" s="115"/>
    </row>
    <row r="358" spans="1:3" x14ac:dyDescent="0.75">
      <c r="A358" s="115"/>
      <c r="B358" s="115"/>
      <c r="C358" s="115"/>
    </row>
    <row r="359" spans="1:3" x14ac:dyDescent="0.75">
      <c r="A359" s="115"/>
      <c r="B359" s="115"/>
      <c r="C359" s="115"/>
    </row>
    <row r="360" spans="1:3" x14ac:dyDescent="0.75">
      <c r="A360" s="115"/>
      <c r="B360" s="115"/>
      <c r="C360" s="115"/>
    </row>
    <row r="361" spans="1:3" x14ac:dyDescent="0.75">
      <c r="A361" s="115"/>
      <c r="B361" s="115"/>
      <c r="C361" s="115"/>
    </row>
    <row r="362" spans="1:3" x14ac:dyDescent="0.75">
      <c r="A362" s="115"/>
      <c r="B362" s="115"/>
      <c r="C362" s="115"/>
    </row>
    <row r="363" spans="1:3" x14ac:dyDescent="0.75">
      <c r="A363" s="115"/>
      <c r="B363" s="115"/>
      <c r="C363" s="115"/>
    </row>
    <row r="364" spans="1:3" x14ac:dyDescent="0.75">
      <c r="A364" s="115"/>
      <c r="B364" s="115"/>
      <c r="C364" s="115"/>
    </row>
    <row r="365" spans="1:3" x14ac:dyDescent="0.75">
      <c r="A365" s="115"/>
      <c r="B365" s="115"/>
      <c r="C365" s="115"/>
    </row>
    <row r="366" spans="1:3" x14ac:dyDescent="0.75">
      <c r="A366" s="115"/>
      <c r="B366" s="115"/>
      <c r="C366" s="115"/>
    </row>
    <row r="367" spans="1:3" x14ac:dyDescent="0.75">
      <c r="A367" s="115"/>
      <c r="B367" s="115"/>
      <c r="C367" s="115"/>
    </row>
    <row r="368" spans="1:3" x14ac:dyDescent="0.75">
      <c r="A368" s="115"/>
      <c r="B368" s="115"/>
      <c r="C368" s="115"/>
    </row>
    <row r="369" spans="1:3" x14ac:dyDescent="0.75">
      <c r="A369" s="115"/>
      <c r="B369" s="115"/>
      <c r="C369" s="115"/>
    </row>
    <row r="370" spans="1:3" x14ac:dyDescent="0.75">
      <c r="A370" s="115"/>
      <c r="B370" s="115"/>
      <c r="C370" s="115"/>
    </row>
    <row r="371" spans="1:3" x14ac:dyDescent="0.75">
      <c r="A371" s="115"/>
      <c r="B371" s="115"/>
      <c r="C371" s="115"/>
    </row>
    <row r="372" spans="1:3" x14ac:dyDescent="0.75">
      <c r="A372" s="115"/>
      <c r="B372" s="115"/>
      <c r="C372" s="115"/>
    </row>
    <row r="373" spans="1:3" x14ac:dyDescent="0.75">
      <c r="A373" s="115"/>
      <c r="B373" s="115"/>
      <c r="C373" s="115"/>
    </row>
    <row r="374" spans="1:3" x14ac:dyDescent="0.75">
      <c r="A374" s="115"/>
      <c r="B374" s="115"/>
      <c r="C374" s="115"/>
    </row>
    <row r="375" spans="1:3" x14ac:dyDescent="0.75">
      <c r="A375" s="115"/>
      <c r="B375" s="115"/>
      <c r="C375" s="115"/>
    </row>
    <row r="376" spans="1:3" x14ac:dyDescent="0.75">
      <c r="A376" s="115"/>
      <c r="B376" s="115"/>
      <c r="C376" s="115"/>
    </row>
    <row r="377" spans="1:3" x14ac:dyDescent="0.75">
      <c r="A377" s="115"/>
      <c r="B377" s="115"/>
      <c r="C377" s="115"/>
    </row>
    <row r="378" spans="1:3" x14ac:dyDescent="0.75">
      <c r="A378" s="115"/>
      <c r="B378" s="115"/>
      <c r="C378" s="115"/>
    </row>
    <row r="379" spans="1:3" x14ac:dyDescent="0.75">
      <c r="A379" s="115"/>
      <c r="B379" s="115"/>
      <c r="C379" s="115"/>
    </row>
    <row r="380" spans="1:3" x14ac:dyDescent="0.75">
      <c r="A380" s="115"/>
      <c r="B380" s="115"/>
      <c r="C380" s="115"/>
    </row>
    <row r="381" spans="1:3" x14ac:dyDescent="0.75">
      <c r="A381" s="115"/>
      <c r="B381" s="115"/>
      <c r="C381" s="115"/>
    </row>
    <row r="382" spans="1:3" x14ac:dyDescent="0.75">
      <c r="A382" s="115"/>
      <c r="B382" s="115"/>
      <c r="C382" s="115"/>
    </row>
    <row r="383" spans="1:3" x14ac:dyDescent="0.75">
      <c r="A383" s="115"/>
      <c r="B383" s="115"/>
      <c r="C383" s="115"/>
    </row>
    <row r="384" spans="1:3" x14ac:dyDescent="0.75">
      <c r="A384" s="115"/>
      <c r="B384" s="115"/>
      <c r="C384" s="115"/>
    </row>
    <row r="385" spans="1:3" x14ac:dyDescent="0.75">
      <c r="A385" s="115"/>
      <c r="B385" s="115"/>
      <c r="C385" s="115"/>
    </row>
    <row r="386" spans="1:3" x14ac:dyDescent="0.75">
      <c r="A386" s="115"/>
      <c r="B386" s="115"/>
      <c r="C386" s="115"/>
    </row>
    <row r="387" spans="1:3" x14ac:dyDescent="0.75">
      <c r="A387" s="115"/>
      <c r="B387" s="115"/>
      <c r="C387" s="115"/>
    </row>
    <row r="388" spans="1:3" x14ac:dyDescent="0.75">
      <c r="A388" s="115"/>
      <c r="B388" s="115"/>
      <c r="C388" s="115"/>
    </row>
    <row r="389" spans="1:3" x14ac:dyDescent="0.75">
      <c r="A389" s="115"/>
      <c r="B389" s="115"/>
      <c r="C389" s="115"/>
    </row>
    <row r="390" spans="1:3" x14ac:dyDescent="0.75">
      <c r="A390" s="115"/>
      <c r="B390" s="115"/>
      <c r="C390" s="115"/>
    </row>
    <row r="391" spans="1:3" x14ac:dyDescent="0.75">
      <c r="A391" s="115"/>
      <c r="B391" s="115"/>
      <c r="C391" s="115"/>
    </row>
    <row r="392" spans="1:3" x14ac:dyDescent="0.75">
      <c r="A392" s="115"/>
      <c r="B392" s="115"/>
      <c r="C392" s="115"/>
    </row>
    <row r="393" spans="1:3" x14ac:dyDescent="0.75">
      <c r="A393" s="115"/>
      <c r="B393" s="115"/>
      <c r="C393" s="115"/>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B38" sqref="B38:C38"/>
    </sheetView>
  </sheetViews>
  <sheetFormatPr defaultRowHeight="14.75" x14ac:dyDescent="0.75"/>
  <cols>
    <col min="1" max="2" width="8.7265625" style="113"/>
    <col min="3" max="3" width="31.6796875" style="113" bestFit="1" customWidth="1"/>
    <col min="4" max="4" width="72.1328125" style="113" customWidth="1"/>
    <col min="5" max="5" width="24.81640625" style="113" customWidth="1"/>
    <col min="6" max="6" width="15.5" style="113" customWidth="1"/>
    <col min="7" max="7" width="16.1328125" style="113" customWidth="1"/>
    <col min="8" max="8" width="10.76953125" style="113" customWidth="1"/>
    <col min="9" max="9" width="45.26953125" style="113" customWidth="1"/>
    <col min="10" max="10" width="40.1328125" style="114" customWidth="1"/>
    <col min="11" max="11" width="26.6328125" style="114" customWidth="1"/>
    <col min="12" max="12" width="48.54296875" style="114" customWidth="1"/>
    <col min="13" max="13" width="53.36328125" style="113" customWidth="1"/>
    <col min="14" max="14" width="51.5" style="113" customWidth="1"/>
    <col min="15" max="16384" width="8.7265625" style="113"/>
  </cols>
  <sheetData>
    <row r="1" spans="1:14" x14ac:dyDescent="0.75">
      <c r="C1" s="107" t="str">
        <f>'Diag-1'!B1</f>
        <v>canonical</v>
      </c>
      <c r="D1" s="19" t="s">
        <v>33</v>
      </c>
      <c r="E1" s="20"/>
      <c r="G1" s="44" t="s">
        <v>888</v>
      </c>
      <c r="N1" s="113" t="s">
        <v>49</v>
      </c>
    </row>
    <row r="2" spans="1:14" ht="15.5" thickBot="1" x14ac:dyDescent="0.9">
      <c r="C2" s="109" t="str">
        <f>'Diag-1'!B2</f>
        <v>http://hl7.eu/fhir/ig/pcsp</v>
      </c>
      <c r="D2" s="17" t="s">
        <v>879</v>
      </c>
      <c r="E2" s="37"/>
      <c r="G2" s="55" t="s">
        <v>889</v>
      </c>
      <c r="M2" s="46"/>
      <c r="N2" s="113" t="str">
        <f>CONCATENATE("Mapping: ",E2)</f>
        <v xml:space="preserve">Mapping: </v>
      </c>
    </row>
    <row r="3" spans="1:14" x14ac:dyDescent="0.75">
      <c r="C3" s="107" t="str">
        <f>'Diag-1'!B3</f>
        <v>Publisher</v>
      </c>
      <c r="D3" s="42"/>
      <c r="E3" s="38"/>
      <c r="M3" s="46"/>
      <c r="N3" s="113" t="str">
        <f>CONCATENATE("Id: ",E2)</f>
        <v xml:space="preserve">Id: </v>
      </c>
    </row>
    <row r="4" spans="1:14" ht="15.5" thickBot="1" x14ac:dyDescent="0.9">
      <c r="C4" s="109" t="str">
        <f>'Diag-1'!B4</f>
        <v>PanCareSurPass project</v>
      </c>
      <c r="D4" s="45"/>
      <c r="E4" s="39"/>
      <c r="M4" s="46"/>
      <c r="N4" s="113" t="str">
        <f>CONCATENATE("Title: """,D2,"""")</f>
        <v>Title: "CDA"</v>
      </c>
    </row>
    <row r="5" spans="1:14" x14ac:dyDescent="0.75">
      <c r="M5" s="46"/>
      <c r="N5" s="113" t="str">
        <f>CONCATENATE("Source: ",C2,"/",C7)</f>
        <v>Source: http://hl7.eu/fhir/ig/pcsp/Diagnosis</v>
      </c>
    </row>
    <row r="6" spans="1:14" x14ac:dyDescent="0.75">
      <c r="D6" s="113" t="s">
        <v>47</v>
      </c>
      <c r="M6" s="46"/>
      <c r="N6" s="113" t="str">
        <f>CONCATENATE("Target: """,D4,"""")</f>
        <v>Target: ""</v>
      </c>
    </row>
    <row r="7" spans="1:14" ht="14.75" customHeight="1" x14ac:dyDescent="0.75">
      <c r="A7" s="115">
        <v>0</v>
      </c>
      <c r="B7" s="115">
        <f>'Diag-1'!A6</f>
        <v>0</v>
      </c>
      <c r="C7" s="115" t="str">
        <f>'Diag-1'!B6</f>
        <v>Diagnosis</v>
      </c>
      <c r="D7" s="115"/>
      <c r="H7" s="113" t="b">
        <f>IF(D7&gt;"",TRUE,FALSE)</f>
        <v>0</v>
      </c>
      <c r="I7" s="114" t="str">
        <f>IF(H7,CONCATENATE("* differential.element[",$B7,"].mapping[",$A7,"].identity = """,$G$1,""""),"")</f>
        <v/>
      </c>
      <c r="J7" s="114" t="str">
        <f>IF(H7,CONCATENATE("* differential.element[",$B7,"].mapping[",$A7,"].map = """,D7,""""),"")</f>
        <v/>
      </c>
      <c r="K7" s="114" t="str">
        <f>IF(E7&gt;"",CONCATENATE("* differential.element[",$B7,"].mapping[",$A7,"].comment = """,E7,""""),"")</f>
        <v/>
      </c>
      <c r="M7" s="113" t="s">
        <v>50</v>
      </c>
      <c r="N7" s="113" t="s">
        <v>49</v>
      </c>
    </row>
    <row r="8" spans="1:14" x14ac:dyDescent="0.75">
      <c r="A8" s="115">
        <v>0</v>
      </c>
      <c r="B8" s="115">
        <f>'Diag-1'!A7</f>
        <v>1</v>
      </c>
      <c r="C8" s="115" t="str">
        <f>'Diag-1'!B7</f>
        <v>identifier</v>
      </c>
      <c r="D8" s="115"/>
      <c r="H8" s="113" t="b">
        <f>IF(D8&gt;"",TRUE,FALSE)</f>
        <v>0</v>
      </c>
      <c r="I8" s="114" t="str">
        <f>IF(H8,CONCATENATE("* differential.element[",$B8,"].mapping[",$A8,"].identity = """,$G$1,""""),"")</f>
        <v/>
      </c>
      <c r="J8" s="114" t="str">
        <f>IF(H8,CONCATENATE("* differential.element[",$B8,"].mapping[",$A8,"].map = """,D8,""""),"")</f>
        <v/>
      </c>
      <c r="K8" s="114" t="str">
        <f>IF(E8&gt;"",CONCATENATE("* differential.element[",$B8,"].mapping[",$A8,"].comment = """,E8,""""),"")</f>
        <v/>
      </c>
      <c r="M8" s="46"/>
      <c r="N8" s="113" t="str">
        <f t="shared" ref="N8:N41" si="0">CONCATENATE("* ",C8," -&gt; """,D8,"""")</f>
        <v>* identifier -&gt; ""</v>
      </c>
    </row>
    <row r="9" spans="1:14" x14ac:dyDescent="0.75">
      <c r="A9" s="115">
        <v>0</v>
      </c>
      <c r="B9" s="115">
        <f>'Diag-1'!A8</f>
        <v>2</v>
      </c>
      <c r="C9" s="115" t="str">
        <f>'Diag-1'!B8</f>
        <v>dateOfDiagnosis</v>
      </c>
      <c r="D9" s="117"/>
      <c r="H9" s="113" t="b">
        <f t="shared" ref="H9:H50" si="1">IF(D9&gt;"",TRUE,FALSE)</f>
        <v>0</v>
      </c>
      <c r="I9" s="114" t="str">
        <f t="shared" ref="I9:I50" si="2">IF(H9,CONCATENATE("* differential.element[",$B9,"].mapping[",$A9,"].identity = """,$G$1,""""),"")</f>
        <v/>
      </c>
      <c r="J9" s="114" t="str">
        <f t="shared" ref="J9:J50" si="3">IF(H9,CONCATENATE("* differential.element[",$B9,"].mapping[",$A9,"].map = """,D9,""""),"")</f>
        <v/>
      </c>
      <c r="K9" s="114" t="str">
        <f t="shared" ref="K9:K50" si="4">IF(E9&gt;"",CONCATENATE("* differential.element[",$B9,"].mapping[",$A9,"].comment = """,E9,""""),"")</f>
        <v/>
      </c>
      <c r="M9" s="46"/>
      <c r="N9" s="113" t="str">
        <f t="shared" si="0"/>
        <v>* dateOfDiagnosis -&gt; ""</v>
      </c>
    </row>
    <row r="10" spans="1:14" ht="29.5" customHeight="1" x14ac:dyDescent="0.75">
      <c r="A10" s="115">
        <v>0</v>
      </c>
      <c r="B10" s="115">
        <f>'Diag-1'!A9</f>
        <v>3</v>
      </c>
      <c r="C10" s="115" t="str">
        <f>'Diag-1'!B9</f>
        <v>centerOfDiagnosis</v>
      </c>
      <c r="D10" s="117"/>
      <c r="H10" s="113" t="b">
        <f t="shared" si="1"/>
        <v>0</v>
      </c>
      <c r="I10" s="114" t="str">
        <f t="shared" si="2"/>
        <v/>
      </c>
      <c r="J10" s="114" t="str">
        <f t="shared" si="3"/>
        <v/>
      </c>
      <c r="K10" s="114" t="str">
        <f t="shared" si="4"/>
        <v/>
      </c>
      <c r="M10" s="46"/>
      <c r="N10" s="113" t="str">
        <f t="shared" si="0"/>
        <v>* centerOfDiagnosis -&gt; ""</v>
      </c>
    </row>
    <row r="11" spans="1:14" x14ac:dyDescent="0.75">
      <c r="A11" s="115">
        <v>0</v>
      </c>
      <c r="B11" s="115">
        <f>'Diag-1'!A10</f>
        <v>4</v>
      </c>
      <c r="C11" s="115" t="str">
        <f>'Diag-1'!B10</f>
        <v>centerOfDiagnosis.identifier</v>
      </c>
      <c r="D11" s="117"/>
      <c r="H11" s="113" t="b">
        <f t="shared" si="1"/>
        <v>0</v>
      </c>
      <c r="I11" s="114" t="str">
        <f t="shared" si="2"/>
        <v/>
      </c>
      <c r="J11" s="114" t="str">
        <f t="shared" si="3"/>
        <v/>
      </c>
      <c r="K11" s="114" t="str">
        <f t="shared" si="4"/>
        <v/>
      </c>
      <c r="M11" s="46"/>
      <c r="N11" s="113" t="str">
        <f t="shared" si="0"/>
        <v>* centerOfDiagnosis.identifier -&gt; ""</v>
      </c>
    </row>
    <row r="12" spans="1:14" x14ac:dyDescent="0.75">
      <c r="A12" s="115">
        <v>0</v>
      </c>
      <c r="B12" s="115">
        <f>'Diag-1'!A11</f>
        <v>5</v>
      </c>
      <c r="C12" s="115" t="str">
        <f>'Diag-1'!B11</f>
        <v>centerOfDiagnosis.name</v>
      </c>
      <c r="D12" s="117"/>
      <c r="H12" s="113" t="b">
        <f t="shared" si="1"/>
        <v>0</v>
      </c>
      <c r="I12" s="114" t="str">
        <f t="shared" si="2"/>
        <v/>
      </c>
      <c r="J12" s="114" t="str">
        <f t="shared" si="3"/>
        <v/>
      </c>
      <c r="K12" s="114" t="str">
        <f t="shared" si="4"/>
        <v/>
      </c>
      <c r="M12" s="46"/>
      <c r="N12" s="113" t="str">
        <f t="shared" si="0"/>
        <v>* centerOfDiagnosis.name -&gt; ""</v>
      </c>
    </row>
    <row r="13" spans="1:14" x14ac:dyDescent="0.75">
      <c r="A13" s="115">
        <v>0</v>
      </c>
      <c r="B13" s="115">
        <f>'Diag-1'!A12</f>
        <v>6</v>
      </c>
      <c r="C13" s="115" t="str">
        <f>'Diag-1'!B12</f>
        <v>centerOfDiagnosis.city</v>
      </c>
      <c r="D13" s="117"/>
      <c r="H13" s="113" t="b">
        <f t="shared" si="1"/>
        <v>0</v>
      </c>
      <c r="I13" s="114" t="str">
        <f t="shared" si="2"/>
        <v/>
      </c>
      <c r="J13" s="114" t="str">
        <f t="shared" si="3"/>
        <v/>
      </c>
      <c r="K13" s="114" t="str">
        <f t="shared" si="4"/>
        <v/>
      </c>
      <c r="M13" s="46"/>
      <c r="N13" s="113" t="str">
        <f t="shared" si="0"/>
        <v>* centerOfDiagnosis.city -&gt; ""</v>
      </c>
    </row>
    <row r="14" spans="1:14" x14ac:dyDescent="0.75">
      <c r="A14" s="115">
        <v>0</v>
      </c>
      <c r="B14" s="115">
        <f>'Diag-1'!A13</f>
        <v>7</v>
      </c>
      <c r="C14" s="115" t="str">
        <f>'Diag-1'!B13</f>
        <v>centerOfDiagnosis.country</v>
      </c>
      <c r="D14" s="115"/>
      <c r="H14" s="113" t="b">
        <f t="shared" si="1"/>
        <v>0</v>
      </c>
      <c r="I14" s="114" t="str">
        <f t="shared" si="2"/>
        <v/>
      </c>
      <c r="J14" s="114" t="str">
        <f t="shared" si="3"/>
        <v/>
      </c>
      <c r="K14" s="114" t="str">
        <f t="shared" si="4"/>
        <v/>
      </c>
      <c r="M14" s="46"/>
      <c r="N14" s="113" t="str">
        <f t="shared" si="0"/>
        <v>* centerOfDiagnosis.country -&gt; ""</v>
      </c>
    </row>
    <row r="15" spans="1:14" x14ac:dyDescent="0.75">
      <c r="A15" s="115">
        <v>0</v>
      </c>
      <c r="B15" s="115">
        <f>'Diag-1'!A14</f>
        <v>8</v>
      </c>
      <c r="C15" s="115" t="str">
        <f>'Diag-1'!B14</f>
        <v>primaryTreatmentCenter</v>
      </c>
      <c r="D15" s="115"/>
      <c r="H15" s="113" t="b">
        <f t="shared" si="1"/>
        <v>0</v>
      </c>
      <c r="I15" s="114" t="str">
        <f t="shared" si="2"/>
        <v/>
      </c>
      <c r="J15" s="114" t="str">
        <f t="shared" si="3"/>
        <v/>
      </c>
      <c r="K15" s="114" t="str">
        <f t="shared" si="4"/>
        <v/>
      </c>
      <c r="N15" s="113" t="str">
        <f t="shared" si="0"/>
        <v>* primaryTreatmentCenter -&gt; ""</v>
      </c>
    </row>
    <row r="16" spans="1:14" x14ac:dyDescent="0.75">
      <c r="A16" s="115">
        <v>0</v>
      </c>
      <c r="B16" s="115">
        <f>'Diag-1'!A15</f>
        <v>9</v>
      </c>
      <c r="C16" s="115" t="str">
        <f>'Diag-1'!B15</f>
        <v>primaryTreatmentCenter.name</v>
      </c>
      <c r="D16" s="115"/>
      <c r="H16" s="113" t="b">
        <f t="shared" si="1"/>
        <v>0</v>
      </c>
      <c r="I16" s="114" t="str">
        <f t="shared" si="2"/>
        <v/>
      </c>
      <c r="J16" s="114" t="str">
        <f t="shared" si="3"/>
        <v/>
      </c>
      <c r="K16" s="114" t="str">
        <f t="shared" si="4"/>
        <v/>
      </c>
      <c r="N16" s="113" t="str">
        <f t="shared" si="0"/>
        <v>* primaryTreatmentCenter.name -&gt; ""</v>
      </c>
    </row>
    <row r="17" spans="1:14" x14ac:dyDescent="0.75">
      <c r="A17" s="115">
        <v>0</v>
      </c>
      <c r="B17" s="115">
        <f>'Diag-1'!A16</f>
        <v>10</v>
      </c>
      <c r="C17" s="115" t="str">
        <f>'Diag-1'!B16</f>
        <v>primaryTreatmentCenter.city</v>
      </c>
      <c r="D17" s="115"/>
      <c r="H17" s="113" t="b">
        <f t="shared" si="1"/>
        <v>0</v>
      </c>
      <c r="I17" s="114" t="str">
        <f t="shared" si="2"/>
        <v/>
      </c>
      <c r="J17" s="114" t="str">
        <f t="shared" si="3"/>
        <v/>
      </c>
      <c r="K17" s="114" t="str">
        <f t="shared" si="4"/>
        <v/>
      </c>
      <c r="N17" s="113" t="str">
        <f t="shared" si="0"/>
        <v>* primaryTreatmentCenter.city -&gt; ""</v>
      </c>
    </row>
    <row r="18" spans="1:14" x14ac:dyDescent="0.75">
      <c r="A18" s="115">
        <v>0</v>
      </c>
      <c r="B18" s="115">
        <f>'Diag-1'!A17</f>
        <v>11</v>
      </c>
      <c r="C18" s="115" t="str">
        <f>'Diag-1'!B17</f>
        <v>primaryTreatmentCenter.country</v>
      </c>
      <c r="D18" s="115"/>
      <c r="H18" s="113" t="b">
        <f t="shared" si="1"/>
        <v>0</v>
      </c>
      <c r="I18" s="114" t="str">
        <f t="shared" si="2"/>
        <v/>
      </c>
      <c r="J18" s="114" t="str">
        <f t="shared" si="3"/>
        <v/>
      </c>
      <c r="K18" s="114" t="str">
        <f t="shared" si="4"/>
        <v/>
      </c>
      <c r="N18" s="113" t="str">
        <f t="shared" si="0"/>
        <v>* primaryTreatmentCenter.country -&gt; ""</v>
      </c>
    </row>
    <row r="19" spans="1:14" x14ac:dyDescent="0.75">
      <c r="A19" s="115">
        <v>0</v>
      </c>
      <c r="B19" s="115">
        <f>'Diag-1'!A18</f>
        <v>12</v>
      </c>
      <c r="C19" s="115" t="str">
        <f>'Diag-1'!B18</f>
        <v>dateOfArrivalAtCenter</v>
      </c>
      <c r="D19" s="115"/>
      <c r="H19" s="113" t="b">
        <f t="shared" si="1"/>
        <v>0</v>
      </c>
      <c r="I19" s="114" t="str">
        <f t="shared" si="2"/>
        <v/>
      </c>
      <c r="J19" s="114" t="str">
        <f t="shared" si="3"/>
        <v/>
      </c>
      <c r="K19" s="114" t="str">
        <f t="shared" si="4"/>
        <v/>
      </c>
      <c r="N19" s="113" t="str">
        <f t="shared" si="0"/>
        <v>* dateOfArrivalAtCenter -&gt; ""</v>
      </c>
    </row>
    <row r="20" spans="1:14" x14ac:dyDescent="0.75">
      <c r="A20" s="115">
        <v>0</v>
      </c>
      <c r="B20" s="115">
        <f>'Diag-1'!A19</f>
        <v>13</v>
      </c>
      <c r="C20" s="115" t="str">
        <f>'Diag-1'!B19</f>
        <v>diagnosticGroup</v>
      </c>
      <c r="D20" s="115"/>
      <c r="H20" s="113" t="b">
        <f t="shared" si="1"/>
        <v>0</v>
      </c>
      <c r="I20" s="114" t="str">
        <f t="shared" si="2"/>
        <v/>
      </c>
      <c r="J20" s="114" t="str">
        <f t="shared" si="3"/>
        <v/>
      </c>
      <c r="K20" s="114" t="str">
        <f t="shared" si="4"/>
        <v/>
      </c>
      <c r="N20" s="113" t="str">
        <f t="shared" si="0"/>
        <v>* diagnosticGroup -&gt; ""</v>
      </c>
    </row>
    <row r="21" spans="1:14" x14ac:dyDescent="0.75">
      <c r="A21" s="115">
        <v>0</v>
      </c>
      <c r="B21" s="115">
        <f>'Diag-1'!A20</f>
        <v>14</v>
      </c>
      <c r="C21" s="115" t="str">
        <f>'Diag-1'!B20</f>
        <v>morphologyCode</v>
      </c>
      <c r="D21" s="115"/>
      <c r="H21" s="113" t="b">
        <f t="shared" si="1"/>
        <v>0</v>
      </c>
      <c r="I21" s="114" t="str">
        <f t="shared" si="2"/>
        <v/>
      </c>
      <c r="J21" s="114" t="str">
        <f t="shared" si="3"/>
        <v/>
      </c>
      <c r="K21" s="114" t="str">
        <f t="shared" si="4"/>
        <v/>
      </c>
      <c r="N21" s="113" t="str">
        <f t="shared" si="0"/>
        <v>* morphologyCode -&gt; ""</v>
      </c>
    </row>
    <row r="22" spans="1:14" x14ac:dyDescent="0.75">
      <c r="A22" s="115">
        <v>0</v>
      </c>
      <c r="B22" s="115">
        <f>'Diag-1'!A21</f>
        <v>15</v>
      </c>
      <c r="C22" s="115" t="str">
        <f>'Diag-1'!B21</f>
        <v>tumorBehaviour</v>
      </c>
      <c r="D22" s="115"/>
      <c r="H22" s="113" t="b">
        <f t="shared" si="1"/>
        <v>0</v>
      </c>
      <c r="I22" s="114" t="str">
        <f t="shared" si="2"/>
        <v/>
      </c>
      <c r="J22" s="114" t="str">
        <f t="shared" si="3"/>
        <v/>
      </c>
      <c r="K22" s="114" t="str">
        <f t="shared" si="4"/>
        <v/>
      </c>
      <c r="N22" s="113" t="str">
        <f t="shared" si="0"/>
        <v>* tumorBehaviour -&gt; ""</v>
      </c>
    </row>
    <row r="23" spans="1:14" x14ac:dyDescent="0.75">
      <c r="A23" s="115">
        <v>0</v>
      </c>
      <c r="B23" s="115">
        <f>'Diag-1'!A22</f>
        <v>16</v>
      </c>
      <c r="C23" s="115" t="str">
        <f>'Diag-1'!B22</f>
        <v>description</v>
      </c>
      <c r="D23" s="115"/>
      <c r="H23" s="113" t="b">
        <f t="shared" si="1"/>
        <v>0</v>
      </c>
      <c r="I23" s="114" t="str">
        <f t="shared" si="2"/>
        <v/>
      </c>
      <c r="J23" s="114" t="str">
        <f t="shared" si="3"/>
        <v/>
      </c>
      <c r="K23" s="114" t="str">
        <f t="shared" si="4"/>
        <v/>
      </c>
      <c r="N23" s="113" t="str">
        <f t="shared" si="0"/>
        <v>* description -&gt; ""</v>
      </c>
    </row>
    <row r="24" spans="1:14" x14ac:dyDescent="0.75">
      <c r="A24" s="115">
        <v>0</v>
      </c>
      <c r="B24" s="115">
        <f>'Diag-1'!A23</f>
        <v>17</v>
      </c>
      <c r="C24" s="115" t="str">
        <f>'Diag-1'!B23</f>
        <v>site</v>
      </c>
      <c r="D24" s="115"/>
      <c r="H24" s="113" t="b">
        <f t="shared" si="1"/>
        <v>0</v>
      </c>
      <c r="I24" s="114" t="str">
        <f t="shared" si="2"/>
        <v/>
      </c>
      <c r="J24" s="114" t="str">
        <f t="shared" si="3"/>
        <v/>
      </c>
      <c r="K24" s="114" t="str">
        <f t="shared" si="4"/>
        <v/>
      </c>
      <c r="N24" s="113" t="str">
        <f t="shared" si="0"/>
        <v>* site -&gt; ""</v>
      </c>
    </row>
    <row r="25" spans="1:14" x14ac:dyDescent="0.75">
      <c r="A25" s="115">
        <v>0</v>
      </c>
      <c r="B25" s="115">
        <f>'Diag-1'!A24</f>
        <v>18</v>
      </c>
      <c r="C25" s="115" t="str">
        <f>'Diag-1'!B24</f>
        <v>site.code</v>
      </c>
      <c r="D25" s="115"/>
      <c r="H25" s="113" t="b">
        <f t="shared" si="1"/>
        <v>0</v>
      </c>
      <c r="I25" s="114" t="str">
        <f t="shared" si="2"/>
        <v/>
      </c>
      <c r="J25" s="114" t="str">
        <f t="shared" si="3"/>
        <v/>
      </c>
      <c r="K25" s="114" t="str">
        <f t="shared" si="4"/>
        <v/>
      </c>
      <c r="N25" s="113" t="str">
        <f t="shared" si="0"/>
        <v>* site.code -&gt; ""</v>
      </c>
    </row>
    <row r="26" spans="1:14" x14ac:dyDescent="0.75">
      <c r="A26" s="115">
        <v>0</v>
      </c>
      <c r="B26" s="115">
        <f>'Diag-1'!A25</f>
        <v>19</v>
      </c>
      <c r="C26" s="115" t="str">
        <f>'Diag-1'!B25</f>
        <v>site.description</v>
      </c>
      <c r="D26" s="115"/>
      <c r="H26" s="113" t="b">
        <f t="shared" si="1"/>
        <v>0</v>
      </c>
      <c r="I26" s="114" t="str">
        <f t="shared" si="2"/>
        <v/>
      </c>
      <c r="J26" s="114" t="str">
        <f t="shared" si="3"/>
        <v/>
      </c>
      <c r="K26" s="114" t="str">
        <f t="shared" si="4"/>
        <v/>
      </c>
      <c r="N26" s="113" t="str">
        <f t="shared" si="0"/>
        <v>* site.description -&gt; ""</v>
      </c>
    </row>
    <row r="27" spans="1:14" x14ac:dyDescent="0.75">
      <c r="A27" s="115">
        <v>0</v>
      </c>
      <c r="B27" s="115">
        <f>'Diag-1'!A26</f>
        <v>20</v>
      </c>
      <c r="C27" s="115" t="str">
        <f>'Diag-1'!B26</f>
        <v>laterality</v>
      </c>
      <c r="D27" s="115"/>
      <c r="H27" s="113" t="b">
        <f t="shared" si="1"/>
        <v>0</v>
      </c>
      <c r="I27" s="114" t="str">
        <f t="shared" si="2"/>
        <v/>
      </c>
      <c r="J27" s="114" t="str">
        <f t="shared" si="3"/>
        <v/>
      </c>
      <c r="K27" s="114" t="str">
        <f t="shared" si="4"/>
        <v/>
      </c>
      <c r="N27" s="113" t="str">
        <f t="shared" si="0"/>
        <v>* laterality -&gt; ""</v>
      </c>
    </row>
    <row r="28" spans="1:14" x14ac:dyDescent="0.75">
      <c r="A28" s="115">
        <v>0</v>
      </c>
      <c r="B28" s="115">
        <f>'Diag-1'!A27</f>
        <v>21</v>
      </c>
      <c r="C28" s="115" t="str">
        <f>'Diag-1'!B27</f>
        <v>metastasis</v>
      </c>
      <c r="D28" s="115"/>
      <c r="H28" s="113" t="b">
        <f t="shared" si="1"/>
        <v>0</v>
      </c>
      <c r="I28" s="114" t="str">
        <f t="shared" si="2"/>
        <v/>
      </c>
      <c r="J28" s="114" t="str">
        <f t="shared" si="3"/>
        <v/>
      </c>
      <c r="K28" s="114" t="str">
        <f t="shared" si="4"/>
        <v/>
      </c>
      <c r="N28" s="113" t="str">
        <f t="shared" si="0"/>
        <v>* metastasis -&gt; ""</v>
      </c>
    </row>
    <row r="29" spans="1:14" x14ac:dyDescent="0.75">
      <c r="A29" s="115">
        <v>0</v>
      </c>
      <c r="B29" s="115">
        <f>'Diag-1'!A28</f>
        <v>22</v>
      </c>
      <c r="C29" s="115" t="str">
        <f>'Diag-1'!B28</f>
        <v>metastasis.identifier</v>
      </c>
      <c r="D29" s="115"/>
      <c r="H29" s="113" t="b">
        <f t="shared" si="1"/>
        <v>0</v>
      </c>
      <c r="I29" s="114" t="str">
        <f t="shared" si="2"/>
        <v/>
      </c>
      <c r="J29" s="114" t="str">
        <f t="shared" si="3"/>
        <v/>
      </c>
      <c r="K29" s="114" t="str">
        <f t="shared" si="4"/>
        <v/>
      </c>
      <c r="N29" s="113" t="str">
        <f t="shared" si="0"/>
        <v>* metastasis.identifier -&gt; ""</v>
      </c>
    </row>
    <row r="30" spans="1:14" x14ac:dyDescent="0.75">
      <c r="A30" s="115">
        <v>0</v>
      </c>
      <c r="B30" s="115">
        <f>'Diag-1'!A29</f>
        <v>23</v>
      </c>
      <c r="C30" s="115" t="str">
        <f>'Diag-1'!B29</f>
        <v>metastasis.site</v>
      </c>
      <c r="D30" s="25"/>
      <c r="H30" s="113" t="b">
        <f t="shared" si="1"/>
        <v>0</v>
      </c>
      <c r="I30" s="114" t="str">
        <f t="shared" si="2"/>
        <v/>
      </c>
      <c r="J30" s="114" t="str">
        <f t="shared" si="3"/>
        <v/>
      </c>
      <c r="K30" s="114" t="str">
        <f t="shared" si="4"/>
        <v/>
      </c>
      <c r="N30" s="113" t="str">
        <f t="shared" si="0"/>
        <v>* metastasis.site -&gt; ""</v>
      </c>
    </row>
    <row r="31" spans="1:14" x14ac:dyDescent="0.75">
      <c r="A31" s="115">
        <v>0</v>
      </c>
      <c r="B31" s="115">
        <f>'Diag-1'!A30</f>
        <v>24</v>
      </c>
      <c r="C31" s="115" t="str">
        <f>'Diag-1'!B30</f>
        <v>metastasis.site.code</v>
      </c>
      <c r="D31" s="115"/>
      <c r="H31" s="113" t="b">
        <f t="shared" si="1"/>
        <v>0</v>
      </c>
      <c r="I31" s="114" t="str">
        <f t="shared" si="2"/>
        <v/>
      </c>
      <c r="J31" s="114" t="str">
        <f t="shared" si="3"/>
        <v/>
      </c>
      <c r="K31" s="114" t="str">
        <f t="shared" si="4"/>
        <v/>
      </c>
      <c r="N31" s="113" t="str">
        <f t="shared" si="0"/>
        <v>* metastasis.site.code -&gt; ""</v>
      </c>
    </row>
    <row r="32" spans="1:14" x14ac:dyDescent="0.75">
      <c r="A32" s="115">
        <v>0</v>
      </c>
      <c r="B32" s="115">
        <f>'Diag-1'!A31</f>
        <v>25</v>
      </c>
      <c r="C32" s="115" t="str">
        <f>'Diag-1'!B31</f>
        <v>metastasis.site.description</v>
      </c>
      <c r="D32" s="115"/>
      <c r="H32" s="113" t="b">
        <f t="shared" si="1"/>
        <v>0</v>
      </c>
      <c r="I32" s="114" t="str">
        <f t="shared" si="2"/>
        <v/>
      </c>
      <c r="J32" s="114" t="str">
        <f t="shared" si="3"/>
        <v/>
      </c>
      <c r="K32" s="114" t="str">
        <f t="shared" si="4"/>
        <v/>
      </c>
      <c r="N32" s="113" t="str">
        <f t="shared" si="0"/>
        <v>* metastasis.site.description -&gt; ""</v>
      </c>
    </row>
    <row r="33" spans="1:14" x14ac:dyDescent="0.75">
      <c r="A33" s="115">
        <v>0</v>
      </c>
      <c r="B33" s="115">
        <f>'Diag-1'!A32</f>
        <v>26</v>
      </c>
      <c r="C33" s="115" t="str">
        <f>'Diag-1'!B32</f>
        <v>geneticMarkers</v>
      </c>
      <c r="D33" s="115"/>
      <c r="H33" s="113" t="b">
        <f t="shared" si="1"/>
        <v>0</v>
      </c>
      <c r="I33" s="114" t="str">
        <f t="shared" si="2"/>
        <v/>
      </c>
      <c r="J33" s="114" t="str">
        <f t="shared" si="3"/>
        <v/>
      </c>
      <c r="K33" s="114" t="str">
        <f t="shared" si="4"/>
        <v/>
      </c>
      <c r="N33" s="113" t="str">
        <f t="shared" si="0"/>
        <v>* geneticMarkers -&gt; ""</v>
      </c>
    </row>
    <row r="34" spans="1:14" x14ac:dyDescent="0.75">
      <c r="A34" s="115">
        <v>0</v>
      </c>
      <c r="B34" s="115">
        <f>'Diag-1'!A33</f>
        <v>27</v>
      </c>
      <c r="C34" s="115" t="str">
        <f>'Diag-1'!B33</f>
        <v>stage</v>
      </c>
      <c r="D34" s="115"/>
      <c r="H34" s="113" t="b">
        <f t="shared" si="1"/>
        <v>0</v>
      </c>
      <c r="I34" s="114" t="str">
        <f t="shared" si="2"/>
        <v/>
      </c>
      <c r="J34" s="114" t="str">
        <f t="shared" si="3"/>
        <v/>
      </c>
      <c r="K34" s="114" t="str">
        <f t="shared" si="4"/>
        <v/>
      </c>
      <c r="N34" s="113" t="str">
        <f t="shared" si="0"/>
        <v>* stage -&gt; ""</v>
      </c>
    </row>
    <row r="35" spans="1:14" x14ac:dyDescent="0.75">
      <c r="A35" s="115">
        <v>0</v>
      </c>
      <c r="B35" s="115">
        <f>'Diag-1'!A34</f>
        <v>28</v>
      </c>
      <c r="C35" s="115" t="str">
        <f>'Diag-1'!B34</f>
        <v>immunology</v>
      </c>
      <c r="D35" s="25"/>
      <c r="H35" s="113" t="b">
        <f t="shared" si="1"/>
        <v>0</v>
      </c>
      <c r="I35" s="114" t="str">
        <f t="shared" si="2"/>
        <v/>
      </c>
      <c r="J35" s="114" t="str">
        <f t="shared" si="3"/>
        <v/>
      </c>
      <c r="K35" s="114" t="str">
        <f t="shared" si="4"/>
        <v/>
      </c>
      <c r="N35" s="113" t="str">
        <f t="shared" si="0"/>
        <v>* immunology -&gt; ""</v>
      </c>
    </row>
    <row r="36" spans="1:14" x14ac:dyDescent="0.75">
      <c r="A36" s="115">
        <v>0</v>
      </c>
      <c r="B36" s="115">
        <f>'Diag-1'!A35</f>
        <v>29</v>
      </c>
      <c r="C36" s="115" t="str">
        <f>'Diag-1'!B35</f>
        <v>hereditaryPredisposition</v>
      </c>
      <c r="D36" s="115"/>
      <c r="H36" s="113" t="b">
        <f t="shared" si="1"/>
        <v>0</v>
      </c>
      <c r="I36" s="114" t="str">
        <f t="shared" si="2"/>
        <v/>
      </c>
      <c r="J36" s="114" t="str">
        <f t="shared" si="3"/>
        <v/>
      </c>
      <c r="K36" s="114" t="str">
        <f t="shared" si="4"/>
        <v/>
      </c>
      <c r="N36" s="113" t="str">
        <f t="shared" si="0"/>
        <v>* hereditaryPredisposition -&gt; ""</v>
      </c>
    </row>
    <row r="37" spans="1:14" x14ac:dyDescent="0.75">
      <c r="A37" s="115">
        <v>0</v>
      </c>
      <c r="B37" s="115">
        <f>'Diag-1'!A36</f>
        <v>30</v>
      </c>
      <c r="C37" s="115" t="str">
        <f>'Diag-1'!B36</f>
        <v>notes</v>
      </c>
      <c r="D37" s="115"/>
      <c r="H37" s="113" t="b">
        <f t="shared" si="1"/>
        <v>0</v>
      </c>
      <c r="I37" s="114" t="str">
        <f t="shared" si="2"/>
        <v/>
      </c>
      <c r="J37" s="114" t="str">
        <f t="shared" si="3"/>
        <v/>
      </c>
      <c r="K37" s="114" t="str">
        <f t="shared" si="4"/>
        <v/>
      </c>
      <c r="N37" s="113" t="str">
        <f t="shared" si="0"/>
        <v>* notes -&gt; ""</v>
      </c>
    </row>
    <row r="38" spans="1:14" x14ac:dyDescent="0.75">
      <c r="A38" s="115">
        <v>0</v>
      </c>
      <c r="B38" s="115"/>
      <c r="C38" s="115"/>
      <c r="D38" s="115"/>
      <c r="H38" s="113" t="b">
        <f t="shared" si="1"/>
        <v>0</v>
      </c>
      <c r="I38" s="114" t="str">
        <f t="shared" si="2"/>
        <v/>
      </c>
      <c r="J38" s="114" t="str">
        <f t="shared" si="3"/>
        <v/>
      </c>
      <c r="K38" s="114" t="str">
        <f t="shared" si="4"/>
        <v/>
      </c>
      <c r="N38" s="113" t="str">
        <f t="shared" si="0"/>
        <v>*  -&gt; ""</v>
      </c>
    </row>
    <row r="39" spans="1:14" x14ac:dyDescent="0.75">
      <c r="A39" s="115">
        <v>0</v>
      </c>
      <c r="B39" s="115"/>
      <c r="C39" s="115"/>
      <c r="D39" s="115"/>
      <c r="H39" s="113" t="b">
        <f t="shared" si="1"/>
        <v>0</v>
      </c>
      <c r="I39" s="114" t="str">
        <f t="shared" si="2"/>
        <v/>
      </c>
      <c r="J39" s="114" t="str">
        <f t="shared" si="3"/>
        <v/>
      </c>
      <c r="K39" s="114" t="str">
        <f t="shared" si="4"/>
        <v/>
      </c>
      <c r="N39" s="113" t="str">
        <f t="shared" si="0"/>
        <v>*  -&gt; ""</v>
      </c>
    </row>
    <row r="40" spans="1:14" x14ac:dyDescent="0.75">
      <c r="A40" s="115">
        <v>0</v>
      </c>
      <c r="B40" s="115"/>
      <c r="C40" s="115"/>
      <c r="D40" s="115"/>
      <c r="H40" s="113" t="b">
        <f t="shared" si="1"/>
        <v>0</v>
      </c>
      <c r="I40" s="114" t="str">
        <f t="shared" si="2"/>
        <v/>
      </c>
      <c r="J40" s="114" t="str">
        <f t="shared" si="3"/>
        <v/>
      </c>
      <c r="K40" s="114" t="str">
        <f t="shared" si="4"/>
        <v/>
      </c>
      <c r="N40" s="113" t="str">
        <f t="shared" si="0"/>
        <v>*  -&gt; ""</v>
      </c>
    </row>
    <row r="41" spans="1:14" x14ac:dyDescent="0.75">
      <c r="A41" s="115">
        <v>0</v>
      </c>
      <c r="B41" s="115"/>
      <c r="C41" s="115"/>
      <c r="D41" s="47"/>
      <c r="H41" s="113" t="b">
        <f t="shared" si="1"/>
        <v>0</v>
      </c>
      <c r="I41" s="114" t="str">
        <f t="shared" si="2"/>
        <v/>
      </c>
      <c r="J41" s="114" t="str">
        <f t="shared" si="3"/>
        <v/>
      </c>
      <c r="K41" s="114" t="str">
        <f t="shared" si="4"/>
        <v/>
      </c>
      <c r="N41" s="113" t="str">
        <f t="shared" si="0"/>
        <v>*  -&gt; ""</v>
      </c>
    </row>
    <row r="42" spans="1:14" x14ac:dyDescent="0.75">
      <c r="A42" s="115"/>
      <c r="B42" s="115"/>
      <c r="C42" s="115"/>
      <c r="D42" s="115"/>
      <c r="H42" s="113" t="b">
        <f>IF(D42&gt;"",TRUE,FALSE)</f>
        <v>0</v>
      </c>
      <c r="I42" s="114" t="str">
        <f t="shared" si="2"/>
        <v/>
      </c>
      <c r="J42" s="114" t="str">
        <f t="shared" si="3"/>
        <v/>
      </c>
      <c r="K42" s="114" t="str">
        <f t="shared" si="4"/>
        <v/>
      </c>
    </row>
    <row r="43" spans="1:14" x14ac:dyDescent="0.75">
      <c r="A43" s="115"/>
      <c r="B43" s="115"/>
      <c r="C43" s="115"/>
      <c r="D43" s="115"/>
      <c r="H43" s="113" t="b">
        <f t="shared" si="1"/>
        <v>0</v>
      </c>
      <c r="I43" s="114" t="str">
        <f t="shared" si="2"/>
        <v/>
      </c>
      <c r="J43" s="114" t="str">
        <f t="shared" si="3"/>
        <v/>
      </c>
      <c r="K43" s="114" t="str">
        <f t="shared" si="4"/>
        <v/>
      </c>
    </row>
    <row r="44" spans="1:14" x14ac:dyDescent="0.75">
      <c r="A44" s="115"/>
      <c r="B44" s="115"/>
      <c r="C44" s="115"/>
      <c r="D44" s="115"/>
      <c r="H44" s="113" t="b">
        <f t="shared" si="1"/>
        <v>0</v>
      </c>
      <c r="I44" s="114" t="str">
        <f t="shared" si="2"/>
        <v/>
      </c>
      <c r="J44" s="114" t="str">
        <f t="shared" si="3"/>
        <v/>
      </c>
      <c r="K44" s="114" t="str">
        <f t="shared" si="4"/>
        <v/>
      </c>
    </row>
    <row r="45" spans="1:14" x14ac:dyDescent="0.75">
      <c r="A45" s="115"/>
      <c r="B45" s="115"/>
      <c r="C45" s="115"/>
      <c r="D45" s="115"/>
      <c r="H45" s="113" t="b">
        <f t="shared" si="1"/>
        <v>0</v>
      </c>
      <c r="I45" s="114" t="str">
        <f t="shared" si="2"/>
        <v/>
      </c>
      <c r="J45" s="114" t="str">
        <f t="shared" si="3"/>
        <v/>
      </c>
      <c r="K45" s="114" t="str">
        <f t="shared" si="4"/>
        <v/>
      </c>
    </row>
    <row r="46" spans="1:14" x14ac:dyDescent="0.75">
      <c r="B46" s="113" t="e">
        <f>'Base-1'!#REF!</f>
        <v>#REF!</v>
      </c>
      <c r="H46" s="113" t="b">
        <f t="shared" si="1"/>
        <v>0</v>
      </c>
      <c r="I46" s="114" t="str">
        <f t="shared" si="2"/>
        <v/>
      </c>
      <c r="J46" s="114" t="str">
        <f t="shared" si="3"/>
        <v/>
      </c>
      <c r="K46" s="114" t="str">
        <f t="shared" si="4"/>
        <v/>
      </c>
    </row>
    <row r="47" spans="1:14" x14ac:dyDescent="0.75">
      <c r="B47" s="113" t="e">
        <f>'Base-1'!#REF!</f>
        <v>#REF!</v>
      </c>
      <c r="C47" s="113" t="str">
        <f>'Base-1'!C15</f>
        <v>Date of first elective end of treatment</v>
      </c>
      <c r="H47" s="113" t="b">
        <f t="shared" si="1"/>
        <v>0</v>
      </c>
      <c r="I47" s="114" t="str">
        <f t="shared" si="2"/>
        <v/>
      </c>
      <c r="J47" s="114" t="str">
        <f t="shared" si="3"/>
        <v/>
      </c>
      <c r="K47" s="114" t="str">
        <f t="shared" si="4"/>
        <v/>
      </c>
    </row>
    <row r="48" spans="1:14" x14ac:dyDescent="0.75">
      <c r="B48" s="113" t="e">
        <f>'Base-1'!#REF!</f>
        <v>#REF!</v>
      </c>
      <c r="C48" s="113" t="e">
        <f>'Base-1'!#REF!</f>
        <v>#REF!</v>
      </c>
      <c r="H48" s="113" t="b">
        <f t="shared" si="1"/>
        <v>0</v>
      </c>
      <c r="I48" s="114" t="str">
        <f t="shared" si="2"/>
        <v/>
      </c>
      <c r="J48" s="114" t="str">
        <f t="shared" si="3"/>
        <v/>
      </c>
      <c r="K48" s="114" t="str">
        <f t="shared" si="4"/>
        <v/>
      </c>
    </row>
    <row r="49" spans="2:11" x14ac:dyDescent="0.75">
      <c r="B49" s="113" t="e">
        <f>'Base-1'!#REF!</f>
        <v>#REF!</v>
      </c>
      <c r="C49" s="113" t="e">
        <f>'Base-1'!#REF!</f>
        <v>#REF!</v>
      </c>
      <c r="H49" s="113" t="b">
        <f t="shared" si="1"/>
        <v>0</v>
      </c>
      <c r="I49" s="114" t="str">
        <f t="shared" si="2"/>
        <v/>
      </c>
      <c r="J49" s="114" t="str">
        <f t="shared" si="3"/>
        <v/>
      </c>
      <c r="K49" s="114" t="str">
        <f t="shared" si="4"/>
        <v/>
      </c>
    </row>
    <row r="50" spans="2:11" x14ac:dyDescent="0.75">
      <c r="B50" s="113" t="e">
        <f>'Base-1'!#REF!</f>
        <v>#REF!</v>
      </c>
      <c r="C50" s="113" t="e">
        <f>'Base-1'!#REF!</f>
        <v>#REF!</v>
      </c>
      <c r="H50" s="113" t="b">
        <f t="shared" si="1"/>
        <v>0</v>
      </c>
      <c r="I50" s="114" t="str">
        <f t="shared" si="2"/>
        <v/>
      </c>
      <c r="J50" s="114" t="str">
        <f t="shared" si="3"/>
        <v/>
      </c>
      <c r="K50" s="114" t="str">
        <f t="shared" si="4"/>
        <v/>
      </c>
    </row>
    <row r="51" spans="2:11" x14ac:dyDescent="0.75">
      <c r="B51" s="113">
        <f>'Base-1'!A37</f>
        <v>0</v>
      </c>
      <c r="C51" s="113">
        <f>'Base-1'!B37</f>
        <v>0</v>
      </c>
    </row>
    <row r="52" spans="2:11" x14ac:dyDescent="0.75">
      <c r="B52" s="113">
        <f>'Base-1'!A38</f>
        <v>0</v>
      </c>
      <c r="C52" s="113">
        <f>'Base-1'!B38</f>
        <v>0</v>
      </c>
    </row>
    <row r="53" spans="2:11" x14ac:dyDescent="0.75">
      <c r="B53" s="113">
        <f>'Base-1'!A39</f>
        <v>0</v>
      </c>
      <c r="C53" s="113">
        <f>'Base-1'!B39</f>
        <v>0</v>
      </c>
    </row>
    <row r="54" spans="2:11" x14ac:dyDescent="0.75">
      <c r="B54" s="113">
        <f>'Base-1'!A40</f>
        <v>0</v>
      </c>
      <c r="C54" s="113">
        <f>'Base-1'!B40</f>
        <v>0</v>
      </c>
    </row>
    <row r="55" spans="2:11" x14ac:dyDescent="0.75">
      <c r="B55" s="113">
        <f>'Base-1'!A41</f>
        <v>0</v>
      </c>
      <c r="C55" s="113">
        <f>'Base-1'!B41</f>
        <v>0</v>
      </c>
    </row>
    <row r="56" spans="2:11" x14ac:dyDescent="0.75">
      <c r="B56" s="113">
        <f>'Base-1'!A42</f>
        <v>0</v>
      </c>
      <c r="C56" s="113">
        <f>'Base-1'!B42</f>
        <v>0</v>
      </c>
    </row>
    <row r="57" spans="2:11" x14ac:dyDescent="0.75">
      <c r="B57" s="113">
        <f>'Base-1'!A43</f>
        <v>0</v>
      </c>
      <c r="C57" s="113">
        <f>'Base-1'!B43</f>
        <v>0</v>
      </c>
    </row>
    <row r="58" spans="2:11" x14ac:dyDescent="0.75">
      <c r="B58" s="113">
        <f>'Base-1'!A44</f>
        <v>0</v>
      </c>
      <c r="C58" s="113">
        <f>'Base-1'!B44</f>
        <v>0</v>
      </c>
    </row>
    <row r="59" spans="2:11" x14ac:dyDescent="0.75">
      <c r="B59" s="113">
        <f>'Base-1'!A45</f>
        <v>0</v>
      </c>
      <c r="C59" s="113">
        <f>'Base-1'!B45</f>
        <v>0</v>
      </c>
    </row>
    <row r="60" spans="2:11" x14ac:dyDescent="0.75">
      <c r="B60" s="113">
        <f>'Base-1'!A46</f>
        <v>0</v>
      </c>
      <c r="C60" s="113">
        <f>'Base-1'!B46</f>
        <v>0</v>
      </c>
    </row>
    <row r="61" spans="2:11" x14ac:dyDescent="0.75">
      <c r="B61" s="113">
        <f>'Base-1'!A47</f>
        <v>0</v>
      </c>
      <c r="C61" s="113">
        <f>'Base-1'!B47</f>
        <v>0</v>
      </c>
    </row>
    <row r="62" spans="2:11" x14ac:dyDescent="0.75">
      <c r="B62" s="113">
        <f>'Base-1'!A48</f>
        <v>0</v>
      </c>
      <c r="C62" s="113">
        <f>'Base-1'!B48</f>
        <v>0</v>
      </c>
    </row>
    <row r="63" spans="2:11" x14ac:dyDescent="0.75">
      <c r="B63" s="113">
        <f>'Base-1'!A49</f>
        <v>0</v>
      </c>
      <c r="C63" s="113">
        <f>'Base-1'!B49</f>
        <v>0</v>
      </c>
    </row>
    <row r="64" spans="2:11" x14ac:dyDescent="0.75">
      <c r="B64" s="113">
        <f>'Base-1'!A50</f>
        <v>0</v>
      </c>
      <c r="C64" s="113">
        <f>'Base-1'!B50</f>
        <v>0</v>
      </c>
    </row>
    <row r="65" spans="2:3" x14ac:dyDescent="0.75">
      <c r="B65" s="113">
        <f>'Base-1'!A51</f>
        <v>0</v>
      </c>
      <c r="C65" s="113">
        <f>'Base-1'!B51</f>
        <v>0</v>
      </c>
    </row>
    <row r="66" spans="2:3" x14ac:dyDescent="0.75">
      <c r="B66" s="113">
        <f>'Base-1'!A52</f>
        <v>0</v>
      </c>
      <c r="C66" s="113">
        <f>'Base-1'!B52</f>
        <v>0</v>
      </c>
    </row>
    <row r="67" spans="2:3" x14ac:dyDescent="0.75">
      <c r="B67" s="113">
        <f>'Base-1'!A53</f>
        <v>0</v>
      </c>
      <c r="C67" s="113">
        <f>'Base-1'!B53</f>
        <v>0</v>
      </c>
    </row>
    <row r="68" spans="2:3" x14ac:dyDescent="0.75">
      <c r="B68" s="113">
        <f>'Base-1'!A54</f>
        <v>0</v>
      </c>
      <c r="C68" s="113">
        <f>'Base-1'!B54</f>
        <v>0</v>
      </c>
    </row>
    <row r="69" spans="2:3" x14ac:dyDescent="0.75">
      <c r="B69" s="113">
        <f>'Base-1'!A55</f>
        <v>0</v>
      </c>
      <c r="C69" s="113">
        <f>'Base-1'!B55</f>
        <v>0</v>
      </c>
    </row>
    <row r="70" spans="2:3" x14ac:dyDescent="0.75">
      <c r="B70" s="113">
        <f>'Base-1'!A56</f>
        <v>0</v>
      </c>
      <c r="C70" s="113">
        <f>'Base-1'!B56</f>
        <v>0</v>
      </c>
    </row>
    <row r="71" spans="2:3" x14ac:dyDescent="0.75">
      <c r="B71" s="113">
        <f>'Base-1'!A57</f>
        <v>0</v>
      </c>
      <c r="C71" s="113">
        <f>'Base-1'!B57</f>
        <v>0</v>
      </c>
    </row>
    <row r="72" spans="2:3" x14ac:dyDescent="0.75">
      <c r="B72" s="113">
        <f>'Base-1'!A58</f>
        <v>0</v>
      </c>
      <c r="C72" s="113">
        <f>'Base-1'!B58</f>
        <v>0</v>
      </c>
    </row>
    <row r="73" spans="2:3" x14ac:dyDescent="0.75">
      <c r="B73" s="113">
        <f>'Base-1'!A59</f>
        <v>0</v>
      </c>
      <c r="C73" s="113">
        <f>'Base-1'!B59</f>
        <v>0</v>
      </c>
    </row>
    <row r="74" spans="2:3" x14ac:dyDescent="0.75">
      <c r="B74" s="113">
        <f>'Base-1'!A60</f>
        <v>0</v>
      </c>
      <c r="C74" s="113">
        <f>'Base-1'!B60</f>
        <v>0</v>
      </c>
    </row>
    <row r="75" spans="2:3" x14ac:dyDescent="0.75">
      <c r="B75" s="113">
        <f>'Base-1'!A61</f>
        <v>0</v>
      </c>
      <c r="C75" s="113">
        <f>'Base-1'!B61</f>
        <v>0</v>
      </c>
    </row>
    <row r="76" spans="2:3" x14ac:dyDescent="0.75">
      <c r="B76" s="113">
        <f>'Base-1'!A62</f>
        <v>0</v>
      </c>
      <c r="C76" s="113">
        <f>'Base-1'!B62</f>
        <v>0</v>
      </c>
    </row>
    <row r="77" spans="2:3" x14ac:dyDescent="0.75">
      <c r="B77" s="113">
        <f>'Base-1'!A63</f>
        <v>0</v>
      </c>
      <c r="C77" s="113">
        <f>'Base-1'!B63</f>
        <v>0</v>
      </c>
    </row>
    <row r="78" spans="2:3" x14ac:dyDescent="0.75">
      <c r="B78" s="113">
        <f>'Base-1'!A64</f>
        <v>0</v>
      </c>
      <c r="C78" s="113">
        <f>'Base-1'!B64</f>
        <v>0</v>
      </c>
    </row>
    <row r="79" spans="2:3" x14ac:dyDescent="0.75">
      <c r="B79" s="113">
        <f>'Base-1'!A65</f>
        <v>0</v>
      </c>
      <c r="C79" s="113">
        <f>'Base-1'!B65</f>
        <v>0</v>
      </c>
    </row>
    <row r="80" spans="2:3" x14ac:dyDescent="0.75">
      <c r="B80" s="113">
        <f>'Base-1'!A66</f>
        <v>0</v>
      </c>
      <c r="C80" s="113">
        <f>'Base-1'!B66</f>
        <v>0</v>
      </c>
    </row>
    <row r="81" spans="2:3" x14ac:dyDescent="0.75">
      <c r="B81" s="113">
        <f>'Base-1'!A67</f>
        <v>0</v>
      </c>
      <c r="C81" s="113">
        <f>'Base-1'!B67</f>
        <v>0</v>
      </c>
    </row>
    <row r="82" spans="2:3" x14ac:dyDescent="0.75">
      <c r="B82" s="113">
        <f>'Base-1'!A68</f>
        <v>0</v>
      </c>
      <c r="C82" s="113">
        <f>'Base-1'!B68</f>
        <v>0</v>
      </c>
    </row>
    <row r="83" spans="2:3" x14ac:dyDescent="0.75">
      <c r="B83" s="113">
        <f>'Base-1'!A69</f>
        <v>0</v>
      </c>
      <c r="C83" s="113">
        <f>'Base-1'!B69</f>
        <v>0</v>
      </c>
    </row>
    <row r="84" spans="2:3" x14ac:dyDescent="0.75">
      <c r="B84" s="113">
        <f>'Base-1'!A70</f>
        <v>0</v>
      </c>
      <c r="C84" s="113">
        <f>'Base-1'!B70</f>
        <v>0</v>
      </c>
    </row>
    <row r="85" spans="2:3" x14ac:dyDescent="0.75">
      <c r="B85" s="113">
        <f>'Base-1'!A71</f>
        <v>0</v>
      </c>
      <c r="C85" s="113">
        <f>'Base-1'!B71</f>
        <v>0</v>
      </c>
    </row>
    <row r="86" spans="2:3" x14ac:dyDescent="0.75">
      <c r="B86" s="113">
        <f>'Base-1'!A72</f>
        <v>0</v>
      </c>
      <c r="C86" s="113">
        <f>'Base-1'!B72</f>
        <v>0</v>
      </c>
    </row>
    <row r="87" spans="2:3" x14ac:dyDescent="0.75">
      <c r="B87" s="113">
        <f>'Base-1'!A73</f>
        <v>0</v>
      </c>
      <c r="C87" s="113">
        <f>'Base-1'!B73</f>
        <v>0</v>
      </c>
    </row>
    <row r="88" spans="2:3" x14ac:dyDescent="0.75">
      <c r="B88" s="113">
        <f>'Base-1'!A74</f>
        <v>0</v>
      </c>
      <c r="C88" s="113">
        <f>'Base-1'!B74</f>
        <v>0</v>
      </c>
    </row>
    <row r="89" spans="2:3" x14ac:dyDescent="0.75">
      <c r="B89" s="113">
        <f>'Base-1'!A75</f>
        <v>0</v>
      </c>
      <c r="C89" s="113">
        <f>'Base-1'!B75</f>
        <v>0</v>
      </c>
    </row>
    <row r="90" spans="2:3" x14ac:dyDescent="0.75">
      <c r="B90" s="113">
        <f>'Base-1'!A76</f>
        <v>0</v>
      </c>
      <c r="C90" s="113">
        <f>'Base-1'!B76</f>
        <v>0</v>
      </c>
    </row>
    <row r="91" spans="2:3" x14ac:dyDescent="0.75">
      <c r="B91" s="113">
        <f>'Base-1'!A77</f>
        <v>0</v>
      </c>
      <c r="C91" s="113">
        <f>'Base-1'!B77</f>
        <v>0</v>
      </c>
    </row>
    <row r="92" spans="2:3" x14ac:dyDescent="0.75">
      <c r="B92" s="113">
        <f>'Base-1'!A78</f>
        <v>0</v>
      </c>
      <c r="C92" s="113">
        <f>'Base-1'!B78</f>
        <v>0</v>
      </c>
    </row>
    <row r="93" spans="2:3" x14ac:dyDescent="0.75">
      <c r="B93" s="113">
        <f>'Base-1'!A79</f>
        <v>0</v>
      </c>
      <c r="C93" s="113">
        <f>'Base-1'!B79</f>
        <v>0</v>
      </c>
    </row>
    <row r="94" spans="2:3" x14ac:dyDescent="0.75">
      <c r="B94" s="113">
        <f>'Base-1'!A80</f>
        <v>0</v>
      </c>
      <c r="C94" s="113">
        <f>'Base-1'!B80</f>
        <v>0</v>
      </c>
    </row>
    <row r="95" spans="2:3" x14ac:dyDescent="0.75">
      <c r="B95" s="113">
        <f>'Base-1'!A81</f>
        <v>0</v>
      </c>
      <c r="C95" s="113">
        <f>'Base-1'!B81</f>
        <v>0</v>
      </c>
    </row>
    <row r="96" spans="2:3" x14ac:dyDescent="0.75">
      <c r="B96" s="113">
        <f>'Base-1'!A82</f>
        <v>0</v>
      </c>
      <c r="C96" s="113">
        <f>'Base-1'!B82</f>
        <v>0</v>
      </c>
    </row>
    <row r="97" spans="2:3" x14ac:dyDescent="0.75">
      <c r="B97" s="113">
        <f>'Base-1'!A83</f>
        <v>0</v>
      </c>
      <c r="C97" s="113">
        <f>'Base-1'!B83</f>
        <v>0</v>
      </c>
    </row>
    <row r="98" spans="2:3" x14ac:dyDescent="0.75">
      <c r="B98" s="113">
        <f>'Base-1'!A84</f>
        <v>0</v>
      </c>
      <c r="C98" s="113">
        <f>'Base-1'!B84</f>
        <v>0</v>
      </c>
    </row>
    <row r="99" spans="2:3" x14ac:dyDescent="0.75">
      <c r="B99" s="113">
        <f>'Base-1'!A85</f>
        <v>0</v>
      </c>
      <c r="C99" s="113">
        <f>'Base-1'!B85</f>
        <v>0</v>
      </c>
    </row>
    <row r="100" spans="2:3" x14ac:dyDescent="0.75">
      <c r="B100" s="113">
        <f>'Base-1'!A86</f>
        <v>0</v>
      </c>
      <c r="C100" s="113">
        <f>'Base-1'!B86</f>
        <v>0</v>
      </c>
    </row>
    <row r="101" spans="2:3" x14ac:dyDescent="0.75">
      <c r="B101" s="113">
        <f>'Base-1'!A87</f>
        <v>0</v>
      </c>
      <c r="C101" s="113">
        <f>'Base-1'!B87</f>
        <v>0</v>
      </c>
    </row>
    <row r="102" spans="2:3" x14ac:dyDescent="0.75">
      <c r="B102" s="113">
        <f>'Base-1'!A88</f>
        <v>0</v>
      </c>
      <c r="C102" s="113">
        <f>'Base-1'!B88</f>
        <v>0</v>
      </c>
    </row>
    <row r="103" spans="2:3" x14ac:dyDescent="0.75">
      <c r="B103" s="113">
        <f>'Base-1'!A89</f>
        <v>0</v>
      </c>
      <c r="C103" s="113">
        <f>'Base-1'!B89</f>
        <v>0</v>
      </c>
    </row>
    <row r="104" spans="2:3" x14ac:dyDescent="0.75">
      <c r="B104" s="113">
        <f>'Base-1'!A90</f>
        <v>0</v>
      </c>
      <c r="C104" s="113">
        <f>'Base-1'!B90</f>
        <v>0</v>
      </c>
    </row>
    <row r="105" spans="2:3" x14ac:dyDescent="0.75">
      <c r="B105" s="113">
        <f>'Base-1'!A91</f>
        <v>0</v>
      </c>
      <c r="C105" s="113">
        <f>'Base-1'!B91</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1:5" x14ac:dyDescent="0.75">
      <c r="D2" s="8"/>
    </row>
    <row r="3" spans="1:5" x14ac:dyDescent="0.75">
      <c r="A3" s="115">
        <v>1</v>
      </c>
      <c r="B3" s="115">
        <f>IF(MOD(A3,3)=0,A3/3-1,INT(A3/3))</f>
        <v>0</v>
      </c>
      <c r="C3" s="115">
        <f>IF(MOD(A3,3)=0,3,MOD(A3,3))</f>
        <v>1</v>
      </c>
      <c r="D3" s="113" t="str" cm="1">
        <f t="array" ref="D3">INDEX('Diag-Map2-1'!$I$7:$K$100,1+B3,C3)</f>
        <v/>
      </c>
      <c r="E3" s="113" t="str">
        <f>INDEX('Diag-Map2-1'!$I$8:$K$17,1,1)</f>
        <v/>
      </c>
    </row>
    <row r="4" spans="1:5" x14ac:dyDescent="0.75">
      <c r="A4" s="115">
        <v>2</v>
      </c>
      <c r="B4" s="115">
        <f t="shared" ref="B4:B67" si="0">IF(MOD(A4,3)=0,A4/3-1,INT(A4/3))</f>
        <v>0</v>
      </c>
      <c r="C4" s="115">
        <f t="shared" ref="C4:C67" si="1">IF(MOD(A4,3)=0,3,MOD(A4,3))</f>
        <v>2</v>
      </c>
      <c r="D4" s="113" t="str" cm="1">
        <f t="array" ref="D4">INDEX('Diag-Map2-1'!$I$7:$K$100,1+B4,C4)</f>
        <v/>
      </c>
    </row>
    <row r="5" spans="1:5" x14ac:dyDescent="0.75">
      <c r="A5" s="115">
        <v>3</v>
      </c>
      <c r="B5" s="115">
        <f t="shared" si="0"/>
        <v>0</v>
      </c>
      <c r="C5" s="115">
        <f t="shared" si="1"/>
        <v>3</v>
      </c>
      <c r="D5" s="113" t="str" cm="1">
        <f t="array" ref="D5">INDEX('Diag-Map2-1'!$I$7:$K$100,1+B5,C5)</f>
        <v/>
      </c>
    </row>
    <row r="6" spans="1:5" x14ac:dyDescent="0.75">
      <c r="A6" s="115">
        <v>4</v>
      </c>
      <c r="B6" s="115">
        <f t="shared" si="0"/>
        <v>1</v>
      </c>
      <c r="C6" s="115">
        <f t="shared" si="1"/>
        <v>1</v>
      </c>
      <c r="D6" s="113" t="str" cm="1">
        <f t="array" ref="D6">INDEX('Diag-Map2-1'!$I$7:$K$100,1+B6,C6)</f>
        <v/>
      </c>
    </row>
    <row r="7" spans="1:5" x14ac:dyDescent="0.75">
      <c r="A7" s="115">
        <v>5</v>
      </c>
      <c r="B7" s="115">
        <f t="shared" si="0"/>
        <v>1</v>
      </c>
      <c r="C7" s="115">
        <f t="shared" si="1"/>
        <v>2</v>
      </c>
      <c r="D7" s="113" t="str" cm="1">
        <f t="array" ref="D7">INDEX('Diag-Map2-1'!$I$7:$K$100,1+B7,C7)</f>
        <v/>
      </c>
    </row>
    <row r="8" spans="1:5" x14ac:dyDescent="0.75">
      <c r="A8" s="115">
        <v>6</v>
      </c>
      <c r="B8" s="115">
        <f t="shared" si="0"/>
        <v>1</v>
      </c>
      <c r="C8" s="115">
        <f t="shared" si="1"/>
        <v>3</v>
      </c>
      <c r="D8" s="113" t="str" cm="1">
        <f t="array" ref="D8">INDEX('Diag-Map2-1'!$I$7:$K$100,1+B8,C8)</f>
        <v/>
      </c>
    </row>
    <row r="9" spans="1:5" x14ac:dyDescent="0.75">
      <c r="A9" s="115">
        <v>7</v>
      </c>
      <c r="B9" s="115">
        <f t="shared" si="0"/>
        <v>2</v>
      </c>
      <c r="C9" s="115">
        <f t="shared" si="1"/>
        <v>1</v>
      </c>
      <c r="D9" s="113" t="str" cm="1">
        <f t="array" ref="D9">INDEX('Diag-Map2-1'!$I$7:$K$100,1+B9,C9)</f>
        <v/>
      </c>
    </row>
    <row r="10" spans="1:5" x14ac:dyDescent="0.75">
      <c r="A10" s="115">
        <v>8</v>
      </c>
      <c r="B10" s="115">
        <f t="shared" si="0"/>
        <v>2</v>
      </c>
      <c r="C10" s="115">
        <f t="shared" si="1"/>
        <v>2</v>
      </c>
      <c r="D10" s="113" t="str" cm="1">
        <f t="array" ref="D10">INDEX('Diag-Map2-1'!$I$7:$K$100,1+B10,C10)</f>
        <v/>
      </c>
    </row>
    <row r="11" spans="1:5" x14ac:dyDescent="0.75">
      <c r="A11" s="115">
        <v>9</v>
      </c>
      <c r="B11" s="115">
        <f t="shared" si="0"/>
        <v>2</v>
      </c>
      <c r="C11" s="115">
        <f t="shared" si="1"/>
        <v>3</v>
      </c>
      <c r="D11" s="113" t="str" cm="1">
        <f t="array" ref="D11">INDEX('Diag-Map2-1'!$I$7:$K$100,1+B11,C11)</f>
        <v/>
      </c>
    </row>
    <row r="12" spans="1:5" x14ac:dyDescent="0.75">
      <c r="A12" s="115">
        <v>10</v>
      </c>
      <c r="B12" s="115">
        <f t="shared" si="0"/>
        <v>3</v>
      </c>
      <c r="C12" s="115">
        <f t="shared" si="1"/>
        <v>1</v>
      </c>
      <c r="D12" s="113" t="str" cm="1">
        <f t="array" ref="D12">INDEX('Diag-Map2-1'!$I$7:$K$100,1+B12,C12)</f>
        <v/>
      </c>
    </row>
    <row r="13" spans="1:5" x14ac:dyDescent="0.75">
      <c r="A13" s="115">
        <v>11</v>
      </c>
      <c r="B13" s="115">
        <f t="shared" si="0"/>
        <v>3</v>
      </c>
      <c r="C13" s="115">
        <f t="shared" si="1"/>
        <v>2</v>
      </c>
      <c r="D13" s="113" t="str" cm="1">
        <f t="array" ref="D13">INDEX('Diag-Map2-1'!$I$7:$K$100,1+B13,C13)</f>
        <v/>
      </c>
    </row>
    <row r="14" spans="1:5" x14ac:dyDescent="0.75">
      <c r="A14" s="115">
        <v>12</v>
      </c>
      <c r="B14" s="115">
        <f t="shared" si="0"/>
        <v>3</v>
      </c>
      <c r="C14" s="115">
        <f t="shared" si="1"/>
        <v>3</v>
      </c>
      <c r="D14" s="113" t="str" cm="1">
        <f t="array" ref="D14">INDEX('Diag-Map2-1'!$I$7:$K$100,1+B14,C14)</f>
        <v/>
      </c>
    </row>
    <row r="15" spans="1:5" x14ac:dyDescent="0.75">
      <c r="A15" s="115">
        <v>13</v>
      </c>
      <c r="B15" s="115">
        <f t="shared" si="0"/>
        <v>4</v>
      </c>
      <c r="C15" s="115">
        <f t="shared" si="1"/>
        <v>1</v>
      </c>
      <c r="D15" s="113" t="str" cm="1">
        <f t="array" ref="D15">INDEX('Diag-Map2-1'!$I$7:$K$100,1+B15,C15)</f>
        <v/>
      </c>
    </row>
    <row r="16" spans="1:5" x14ac:dyDescent="0.75">
      <c r="A16" s="115">
        <v>14</v>
      </c>
      <c r="B16" s="115">
        <f t="shared" si="0"/>
        <v>4</v>
      </c>
      <c r="C16" s="115">
        <f t="shared" si="1"/>
        <v>2</v>
      </c>
      <c r="D16" s="113" t="str" cm="1">
        <f t="array" ref="D16">INDEX('Diag-Map2-1'!$I$7:$K$100,1+B16,C16)</f>
        <v/>
      </c>
    </row>
    <row r="17" spans="1:4" x14ac:dyDescent="0.75">
      <c r="A17" s="115">
        <v>15</v>
      </c>
      <c r="B17" s="115">
        <f t="shared" si="0"/>
        <v>4</v>
      </c>
      <c r="C17" s="115">
        <f t="shared" si="1"/>
        <v>3</v>
      </c>
      <c r="D17" s="113" t="str" cm="1">
        <f t="array" ref="D17">INDEX('Diag-Map2-1'!$I$7:$K$100,1+B17,C17)</f>
        <v/>
      </c>
    </row>
    <row r="18" spans="1:4" x14ac:dyDescent="0.75">
      <c r="A18" s="115">
        <v>16</v>
      </c>
      <c r="B18" s="115">
        <f t="shared" si="0"/>
        <v>5</v>
      </c>
      <c r="C18" s="115">
        <f t="shared" si="1"/>
        <v>1</v>
      </c>
      <c r="D18" s="113" t="str" cm="1">
        <f t="array" ref="D18">INDEX('Diag-Map2-1'!$I$7:$K$100,1+B18,C18)</f>
        <v/>
      </c>
    </row>
    <row r="19" spans="1:4" x14ac:dyDescent="0.75">
      <c r="A19" s="115">
        <v>17</v>
      </c>
      <c r="B19" s="115">
        <f t="shared" si="0"/>
        <v>5</v>
      </c>
      <c r="C19" s="115">
        <f t="shared" si="1"/>
        <v>2</v>
      </c>
      <c r="D19" s="113" t="str" cm="1">
        <f t="array" ref="D19">INDEX('Diag-Map2-1'!$I$7:$K$100,1+B19,C19)</f>
        <v/>
      </c>
    </row>
    <row r="20" spans="1:4" x14ac:dyDescent="0.75">
      <c r="A20" s="115">
        <v>18</v>
      </c>
      <c r="B20" s="115">
        <f t="shared" si="0"/>
        <v>5</v>
      </c>
      <c r="C20" s="115">
        <f t="shared" si="1"/>
        <v>3</v>
      </c>
      <c r="D20" s="113" t="str" cm="1">
        <f t="array" ref="D20">INDEX('Diag-Map2-1'!$I$7:$K$100,1+B20,C20)</f>
        <v/>
      </c>
    </row>
    <row r="21" spans="1:4" x14ac:dyDescent="0.75">
      <c r="A21" s="115">
        <v>19</v>
      </c>
      <c r="B21" s="115">
        <f t="shared" si="0"/>
        <v>6</v>
      </c>
      <c r="C21" s="115">
        <f t="shared" si="1"/>
        <v>1</v>
      </c>
      <c r="D21" s="113" t="str" cm="1">
        <f t="array" ref="D21">INDEX('Diag-Map2-1'!$I$7:$K$100,1+B21,C21)</f>
        <v/>
      </c>
    </row>
    <row r="22" spans="1:4" x14ac:dyDescent="0.75">
      <c r="A22" s="115">
        <v>20</v>
      </c>
      <c r="B22" s="115">
        <f t="shared" si="0"/>
        <v>6</v>
      </c>
      <c r="C22" s="115">
        <f t="shared" si="1"/>
        <v>2</v>
      </c>
      <c r="D22" s="113" t="str" cm="1">
        <f t="array" ref="D22">INDEX('Diag-Map2-1'!$I$7:$K$100,1+B22,C22)</f>
        <v/>
      </c>
    </row>
    <row r="23" spans="1:4" x14ac:dyDescent="0.75">
      <c r="A23" s="115">
        <v>21</v>
      </c>
      <c r="B23" s="115">
        <f t="shared" si="0"/>
        <v>6</v>
      </c>
      <c r="C23" s="115">
        <f t="shared" si="1"/>
        <v>3</v>
      </c>
      <c r="D23" s="113" t="str" cm="1">
        <f t="array" ref="D23">INDEX('Diag-Map2-1'!$I$7:$K$100,1+B23,C23)</f>
        <v/>
      </c>
    </row>
    <row r="24" spans="1:4" x14ac:dyDescent="0.75">
      <c r="A24" s="115">
        <v>22</v>
      </c>
      <c r="B24" s="115">
        <f t="shared" si="0"/>
        <v>7</v>
      </c>
      <c r="C24" s="115">
        <f t="shared" si="1"/>
        <v>1</v>
      </c>
      <c r="D24" s="113" t="str" cm="1">
        <f t="array" ref="D24">INDEX('Diag-Map2-1'!$I$7:$K$100,1+B24,C24)</f>
        <v/>
      </c>
    </row>
    <row r="25" spans="1:4" x14ac:dyDescent="0.75">
      <c r="A25" s="115">
        <v>23</v>
      </c>
      <c r="B25" s="115">
        <f t="shared" si="0"/>
        <v>7</v>
      </c>
      <c r="C25" s="115">
        <f t="shared" si="1"/>
        <v>2</v>
      </c>
      <c r="D25" s="113" t="str" cm="1">
        <f t="array" ref="D25">INDEX('Diag-Map2-1'!$I$7:$K$100,1+B25,C25)</f>
        <v/>
      </c>
    </row>
    <row r="26" spans="1:4" x14ac:dyDescent="0.75">
      <c r="A26" s="115">
        <v>24</v>
      </c>
      <c r="B26" s="115">
        <f t="shared" si="0"/>
        <v>7</v>
      </c>
      <c r="C26" s="115">
        <f t="shared" si="1"/>
        <v>3</v>
      </c>
      <c r="D26" s="113" t="str" cm="1">
        <f t="array" ref="D26">INDEX('Diag-Map2-1'!$I$7:$K$100,1+B26,C26)</f>
        <v/>
      </c>
    </row>
    <row r="27" spans="1:4" x14ac:dyDescent="0.75">
      <c r="A27" s="115">
        <v>25</v>
      </c>
      <c r="B27" s="115">
        <f t="shared" si="0"/>
        <v>8</v>
      </c>
      <c r="C27" s="115">
        <f t="shared" si="1"/>
        <v>1</v>
      </c>
      <c r="D27" s="113" t="str" cm="1">
        <f t="array" ref="D27">INDEX('Diag-Map2-1'!$I$7:$K$100,1+B27,C27)</f>
        <v/>
      </c>
    </row>
    <row r="28" spans="1:4" x14ac:dyDescent="0.75">
      <c r="A28" s="115">
        <v>26</v>
      </c>
      <c r="B28" s="115">
        <f t="shared" si="0"/>
        <v>8</v>
      </c>
      <c r="C28" s="115">
        <f t="shared" si="1"/>
        <v>2</v>
      </c>
      <c r="D28" s="113" t="str" cm="1">
        <f t="array" ref="D28">INDEX('Diag-Map2-1'!$I$7:$K$100,1+B28,C28)</f>
        <v/>
      </c>
    </row>
    <row r="29" spans="1:4" x14ac:dyDescent="0.75">
      <c r="A29" s="115">
        <v>27</v>
      </c>
      <c r="B29" s="115">
        <f t="shared" si="0"/>
        <v>8</v>
      </c>
      <c r="C29" s="115">
        <f t="shared" si="1"/>
        <v>3</v>
      </c>
      <c r="D29" s="113" t="str" cm="1">
        <f t="array" ref="D29">INDEX('Diag-Map2-1'!$I$7:$K$100,1+B29,C29)</f>
        <v/>
      </c>
    </row>
    <row r="30" spans="1:4" x14ac:dyDescent="0.75">
      <c r="A30" s="115">
        <v>28</v>
      </c>
      <c r="B30" s="115">
        <f t="shared" si="0"/>
        <v>9</v>
      </c>
      <c r="C30" s="115">
        <f t="shared" si="1"/>
        <v>1</v>
      </c>
      <c r="D30" s="113" t="str" cm="1">
        <f t="array" ref="D30">INDEX('Diag-Map2-1'!$I$7:$K$100,1+B30,C30)</f>
        <v/>
      </c>
    </row>
    <row r="31" spans="1:4" x14ac:dyDescent="0.75">
      <c r="A31" s="115">
        <v>29</v>
      </c>
      <c r="B31" s="115">
        <f t="shared" si="0"/>
        <v>9</v>
      </c>
      <c r="C31" s="115">
        <f t="shared" si="1"/>
        <v>2</v>
      </c>
      <c r="D31" s="113" t="str" cm="1">
        <f t="array" ref="D31">INDEX('Diag-Map2-1'!$I$7:$K$100,1+B31,C31)</f>
        <v/>
      </c>
    </row>
    <row r="32" spans="1:4" x14ac:dyDescent="0.75">
      <c r="A32" s="115">
        <v>30</v>
      </c>
      <c r="B32" s="115">
        <f t="shared" si="0"/>
        <v>9</v>
      </c>
      <c r="C32" s="115">
        <f t="shared" si="1"/>
        <v>3</v>
      </c>
      <c r="D32" s="113" t="str" cm="1">
        <f t="array" ref="D32">INDEX('Diag-Map2-1'!$I$7:$K$100,1+B32,C32)</f>
        <v/>
      </c>
    </row>
    <row r="33" spans="1:4" x14ac:dyDescent="0.75">
      <c r="A33" s="115">
        <v>31</v>
      </c>
      <c r="B33" s="115">
        <f t="shared" si="0"/>
        <v>10</v>
      </c>
      <c r="C33" s="115">
        <f t="shared" si="1"/>
        <v>1</v>
      </c>
      <c r="D33" s="113" t="str" cm="1">
        <f t="array" ref="D33">INDEX('Diag-Map2-1'!$I$7:$K$100,1+B33,C33)</f>
        <v/>
      </c>
    </row>
    <row r="34" spans="1:4" x14ac:dyDescent="0.75">
      <c r="A34" s="115">
        <v>32</v>
      </c>
      <c r="B34" s="115">
        <f t="shared" si="0"/>
        <v>10</v>
      </c>
      <c r="C34" s="115">
        <f t="shared" si="1"/>
        <v>2</v>
      </c>
      <c r="D34" s="113" t="str" cm="1">
        <f t="array" ref="D34">INDEX('Diag-Map2-1'!$I$7:$K$100,1+B34,C34)</f>
        <v/>
      </c>
    </row>
    <row r="35" spans="1:4" x14ac:dyDescent="0.75">
      <c r="A35" s="115">
        <v>33</v>
      </c>
      <c r="B35" s="115">
        <f t="shared" si="0"/>
        <v>10</v>
      </c>
      <c r="C35" s="115">
        <f t="shared" si="1"/>
        <v>3</v>
      </c>
      <c r="D35" s="113" t="str" cm="1">
        <f t="array" ref="D35">INDEX('Diag-Map2-1'!$I$7:$K$100,1+B35,C35)</f>
        <v/>
      </c>
    </row>
    <row r="36" spans="1:4" x14ac:dyDescent="0.75">
      <c r="A36" s="115">
        <v>34</v>
      </c>
      <c r="B36" s="115">
        <f t="shared" si="0"/>
        <v>11</v>
      </c>
      <c r="C36" s="115">
        <f t="shared" si="1"/>
        <v>1</v>
      </c>
      <c r="D36" s="113" t="str" cm="1">
        <f t="array" ref="D36">INDEX('Diag-Map2-1'!$I$7:$K$100,1+B36,C36)</f>
        <v/>
      </c>
    </row>
    <row r="37" spans="1:4" x14ac:dyDescent="0.75">
      <c r="A37" s="115">
        <v>35</v>
      </c>
      <c r="B37" s="115">
        <f t="shared" si="0"/>
        <v>11</v>
      </c>
      <c r="C37" s="115">
        <f t="shared" si="1"/>
        <v>2</v>
      </c>
      <c r="D37" s="113" t="str" cm="1">
        <f t="array" ref="D37">INDEX('Diag-Map2-1'!$I$7:$K$100,1+B37,C37)</f>
        <v/>
      </c>
    </row>
    <row r="38" spans="1:4" x14ac:dyDescent="0.75">
      <c r="A38" s="115">
        <v>36</v>
      </c>
      <c r="B38" s="115">
        <f t="shared" si="0"/>
        <v>11</v>
      </c>
      <c r="C38" s="115">
        <f t="shared" si="1"/>
        <v>3</v>
      </c>
      <c r="D38" s="113" t="str" cm="1">
        <f t="array" ref="D38">INDEX('Diag-Map2-1'!$I$7:$K$100,1+B38,C38)</f>
        <v/>
      </c>
    </row>
    <row r="39" spans="1:4" x14ac:dyDescent="0.75">
      <c r="A39" s="115">
        <v>37</v>
      </c>
      <c r="B39" s="115">
        <f t="shared" si="0"/>
        <v>12</v>
      </c>
      <c r="C39" s="115">
        <f t="shared" si="1"/>
        <v>1</v>
      </c>
      <c r="D39" s="113" t="str" cm="1">
        <f t="array" ref="D39">INDEX('Diag-Map2-1'!$I$7:$K$100,1+B39,C39)</f>
        <v/>
      </c>
    </row>
    <row r="40" spans="1:4" x14ac:dyDescent="0.75">
      <c r="A40" s="115">
        <v>38</v>
      </c>
      <c r="B40" s="115">
        <f t="shared" si="0"/>
        <v>12</v>
      </c>
      <c r="C40" s="115">
        <f t="shared" si="1"/>
        <v>2</v>
      </c>
      <c r="D40" s="113" t="str" cm="1">
        <f t="array" ref="D40">INDEX('Diag-Map2-1'!$I$7:$K$100,1+B40,C40)</f>
        <v/>
      </c>
    </row>
    <row r="41" spans="1:4" x14ac:dyDescent="0.75">
      <c r="A41" s="115">
        <v>39</v>
      </c>
      <c r="B41" s="115">
        <f t="shared" si="0"/>
        <v>12</v>
      </c>
      <c r="C41" s="115">
        <f t="shared" si="1"/>
        <v>3</v>
      </c>
      <c r="D41" s="113" t="str" cm="1">
        <f t="array" ref="D41">INDEX('Diag-Map2-1'!$I$7:$K$100,1+B41,C41)</f>
        <v/>
      </c>
    </row>
    <row r="42" spans="1:4" x14ac:dyDescent="0.75">
      <c r="A42" s="115">
        <v>40</v>
      </c>
      <c r="B42" s="115">
        <f t="shared" si="0"/>
        <v>13</v>
      </c>
      <c r="C42" s="115">
        <f t="shared" si="1"/>
        <v>1</v>
      </c>
      <c r="D42" s="113" t="str" cm="1">
        <f t="array" ref="D42">INDEX('Diag-Map2-1'!$I$7:$K$100,1+B42,C42)</f>
        <v/>
      </c>
    </row>
    <row r="43" spans="1:4" x14ac:dyDescent="0.75">
      <c r="A43" s="115">
        <v>41</v>
      </c>
      <c r="B43" s="115">
        <f t="shared" si="0"/>
        <v>13</v>
      </c>
      <c r="C43" s="115">
        <f t="shared" si="1"/>
        <v>2</v>
      </c>
      <c r="D43" s="113" t="str" cm="1">
        <f t="array" ref="D43">INDEX('Diag-Map2-1'!$I$7:$K$100,1+B43,C43)</f>
        <v/>
      </c>
    </row>
    <row r="44" spans="1:4" x14ac:dyDescent="0.75">
      <c r="A44" s="115">
        <v>42</v>
      </c>
      <c r="B44" s="115">
        <f t="shared" si="0"/>
        <v>13</v>
      </c>
      <c r="C44" s="115">
        <f t="shared" si="1"/>
        <v>3</v>
      </c>
      <c r="D44" s="113" t="str" cm="1">
        <f t="array" ref="D44">INDEX('Diag-Map2-1'!$I$7:$K$100,1+B44,C44)</f>
        <v/>
      </c>
    </row>
    <row r="45" spans="1:4" x14ac:dyDescent="0.75">
      <c r="A45" s="115">
        <v>43</v>
      </c>
      <c r="B45" s="115">
        <f t="shared" si="0"/>
        <v>14</v>
      </c>
      <c r="C45" s="115">
        <f t="shared" si="1"/>
        <v>1</v>
      </c>
      <c r="D45" s="113" t="str" cm="1">
        <f t="array" ref="D45">INDEX('Diag-Map2-1'!$I$7:$K$100,1+B45,C45)</f>
        <v/>
      </c>
    </row>
    <row r="46" spans="1:4" x14ac:dyDescent="0.75">
      <c r="A46" s="115">
        <v>44</v>
      </c>
      <c r="B46" s="115">
        <f t="shared" si="0"/>
        <v>14</v>
      </c>
      <c r="C46" s="115">
        <f t="shared" si="1"/>
        <v>2</v>
      </c>
      <c r="D46" s="113" t="str" cm="1">
        <f t="array" ref="D46">INDEX('Diag-Map2-1'!$I$7:$K$100,1+B46,C46)</f>
        <v/>
      </c>
    </row>
    <row r="47" spans="1:4" x14ac:dyDescent="0.75">
      <c r="A47" s="115">
        <v>45</v>
      </c>
      <c r="B47" s="115">
        <f t="shared" si="0"/>
        <v>14</v>
      </c>
      <c r="C47" s="115">
        <f t="shared" si="1"/>
        <v>3</v>
      </c>
      <c r="D47" s="113" t="str" cm="1">
        <f t="array" ref="D47">INDEX('Diag-Map2-1'!$I$7:$K$100,1+B47,C47)</f>
        <v/>
      </c>
    </row>
    <row r="48" spans="1:4" x14ac:dyDescent="0.75">
      <c r="A48" s="115">
        <v>46</v>
      </c>
      <c r="B48" s="115">
        <f t="shared" si="0"/>
        <v>15</v>
      </c>
      <c r="C48" s="115">
        <f t="shared" si="1"/>
        <v>1</v>
      </c>
      <c r="D48" s="113" t="str" cm="1">
        <f t="array" ref="D48">INDEX('Diag-Map2-1'!$I$7:$K$100,1+B48,C48)</f>
        <v/>
      </c>
    </row>
    <row r="49" spans="1:7" x14ac:dyDescent="0.75">
      <c r="A49" s="115">
        <v>47</v>
      </c>
      <c r="B49" s="115">
        <f t="shared" si="0"/>
        <v>15</v>
      </c>
      <c r="C49" s="115">
        <f t="shared" si="1"/>
        <v>2</v>
      </c>
      <c r="D49" s="113" t="str" cm="1">
        <f t="array" ref="D49">INDEX('Diag-Map2-1'!$I$7:$K$100,1+B49,C49)</f>
        <v/>
      </c>
    </row>
    <row r="50" spans="1:7" x14ac:dyDescent="0.75">
      <c r="A50" s="115">
        <v>48</v>
      </c>
      <c r="B50" s="115">
        <f t="shared" si="0"/>
        <v>15</v>
      </c>
      <c r="C50" s="115">
        <f t="shared" si="1"/>
        <v>3</v>
      </c>
      <c r="D50" s="113" t="str" cm="1">
        <f t="array" ref="D50">INDEX('Diag-Map2-1'!$I$7:$K$100,1+B50,C50)</f>
        <v/>
      </c>
    </row>
    <row r="51" spans="1:7" x14ac:dyDescent="0.75">
      <c r="A51" s="115">
        <v>49</v>
      </c>
      <c r="B51" s="115">
        <f t="shared" si="0"/>
        <v>16</v>
      </c>
      <c r="C51" s="115">
        <f t="shared" si="1"/>
        <v>1</v>
      </c>
      <c r="D51" s="113" t="str" cm="1">
        <f t="array" ref="D51">INDEX('Diag-Map2-1'!$I$7:$K$100,1+B51,C51)</f>
        <v/>
      </c>
    </row>
    <row r="52" spans="1:7" x14ac:dyDescent="0.75">
      <c r="A52" s="115">
        <v>50</v>
      </c>
      <c r="B52" s="115">
        <f t="shared" si="0"/>
        <v>16</v>
      </c>
      <c r="C52" s="115">
        <f t="shared" si="1"/>
        <v>2</v>
      </c>
      <c r="D52" s="113" t="str" cm="1">
        <f t="array" ref="D52">INDEX('Diag-Map2-1'!$I$7:$K$100,1+B52,C52)</f>
        <v/>
      </c>
    </row>
    <row r="53" spans="1:7" x14ac:dyDescent="0.75">
      <c r="A53" s="115">
        <v>51</v>
      </c>
      <c r="B53" s="115">
        <f t="shared" si="0"/>
        <v>16</v>
      </c>
      <c r="C53" s="115">
        <f t="shared" si="1"/>
        <v>3</v>
      </c>
      <c r="D53" s="113" t="str" cm="1">
        <f t="array" ref="D53">INDEX('Diag-Map2-1'!$I$7:$K$100,1+B53,C53)</f>
        <v/>
      </c>
    </row>
    <row r="54" spans="1:7" x14ac:dyDescent="0.75">
      <c r="A54" s="115">
        <v>52</v>
      </c>
      <c r="B54" s="115">
        <f t="shared" si="0"/>
        <v>17</v>
      </c>
      <c r="C54" s="115">
        <f t="shared" si="1"/>
        <v>1</v>
      </c>
      <c r="D54" s="113" t="str" cm="1">
        <f t="array" ref="D54">INDEX('Diag-Map2-1'!$I$7:$K$100,1+B54,C54)</f>
        <v/>
      </c>
    </row>
    <row r="55" spans="1:7" x14ac:dyDescent="0.75">
      <c r="A55" s="115">
        <v>53</v>
      </c>
      <c r="B55" s="115">
        <f t="shared" si="0"/>
        <v>17</v>
      </c>
      <c r="C55" s="115">
        <f t="shared" si="1"/>
        <v>2</v>
      </c>
      <c r="D55" s="113" t="str" cm="1">
        <f t="array" ref="D55">INDEX('Diag-Map2-1'!$I$7:$K$100,1+B55,C55)</f>
        <v/>
      </c>
      <c r="G55" s="15"/>
    </row>
    <row r="56" spans="1:7" x14ac:dyDescent="0.75">
      <c r="A56" s="115">
        <v>54</v>
      </c>
      <c r="B56" s="115">
        <f t="shared" si="0"/>
        <v>17</v>
      </c>
      <c r="C56" s="115">
        <f t="shared" si="1"/>
        <v>3</v>
      </c>
      <c r="D56" s="113" t="str" cm="1">
        <f t="array" ref="D56">INDEX('Diag-Map2-1'!$I$7:$K$100,1+B56,C56)</f>
        <v/>
      </c>
    </row>
    <row r="57" spans="1:7" x14ac:dyDescent="0.75">
      <c r="A57" s="115">
        <v>55</v>
      </c>
      <c r="B57" s="115">
        <f t="shared" si="0"/>
        <v>18</v>
      </c>
      <c r="C57" s="115">
        <f t="shared" si="1"/>
        <v>1</v>
      </c>
      <c r="D57" s="113" t="str" cm="1">
        <f t="array" ref="D57">INDEX('Diag-Map2-1'!$I$7:$K$100,1+B57,C57)</f>
        <v/>
      </c>
    </row>
    <row r="58" spans="1:7" x14ac:dyDescent="0.75">
      <c r="A58" s="115">
        <v>56</v>
      </c>
      <c r="B58" s="115">
        <f t="shared" si="0"/>
        <v>18</v>
      </c>
      <c r="C58" s="115">
        <f t="shared" si="1"/>
        <v>2</v>
      </c>
      <c r="D58" s="113" t="str" cm="1">
        <f t="array" ref="D58">INDEX('Diag-Map2-1'!$I$7:$K$100,1+B58,C58)</f>
        <v/>
      </c>
    </row>
    <row r="59" spans="1:7" x14ac:dyDescent="0.75">
      <c r="A59" s="115">
        <v>57</v>
      </c>
      <c r="B59" s="115">
        <f t="shared" si="0"/>
        <v>18</v>
      </c>
      <c r="C59" s="115">
        <f t="shared" si="1"/>
        <v>3</v>
      </c>
      <c r="D59" s="113" t="str" cm="1">
        <f t="array" ref="D59">INDEX('Diag-Map2-1'!$I$7:$K$100,1+B59,C59)</f>
        <v/>
      </c>
    </row>
    <row r="60" spans="1:7" x14ac:dyDescent="0.75">
      <c r="A60" s="115">
        <v>58</v>
      </c>
      <c r="B60" s="115">
        <f t="shared" si="0"/>
        <v>19</v>
      </c>
      <c r="C60" s="115">
        <f t="shared" si="1"/>
        <v>1</v>
      </c>
      <c r="D60" s="113" t="str" cm="1">
        <f t="array" ref="D60">INDEX('Diag-Map2-1'!$I$7:$K$100,1+B60,C60)</f>
        <v/>
      </c>
    </row>
    <row r="61" spans="1:7" x14ac:dyDescent="0.75">
      <c r="A61" s="115">
        <v>59</v>
      </c>
      <c r="B61" s="115">
        <f t="shared" si="0"/>
        <v>19</v>
      </c>
      <c r="C61" s="115">
        <f t="shared" si="1"/>
        <v>2</v>
      </c>
      <c r="D61" s="113" t="str" cm="1">
        <f t="array" ref="D61">INDEX('Diag-Map2-1'!$I$7:$K$100,1+B61,C61)</f>
        <v/>
      </c>
    </row>
    <row r="62" spans="1:7" x14ac:dyDescent="0.75">
      <c r="A62" s="115">
        <v>60</v>
      </c>
      <c r="B62" s="115">
        <f t="shared" si="0"/>
        <v>19</v>
      </c>
      <c r="C62" s="115">
        <f t="shared" si="1"/>
        <v>3</v>
      </c>
      <c r="D62" s="113" t="str" cm="1">
        <f t="array" ref="D62">INDEX('Diag-Map2-1'!$I$7:$K$100,1+B62,C62)</f>
        <v/>
      </c>
    </row>
    <row r="63" spans="1:7" x14ac:dyDescent="0.75">
      <c r="A63" s="115">
        <v>61</v>
      </c>
      <c r="B63" s="115">
        <f t="shared" si="0"/>
        <v>20</v>
      </c>
      <c r="C63" s="115">
        <f t="shared" si="1"/>
        <v>1</v>
      </c>
      <c r="D63" s="113" t="str" cm="1">
        <f t="array" ref="D63">INDEX('Diag-Map2-1'!$I$7:$K$100,1+B63,C63)</f>
        <v/>
      </c>
    </row>
    <row r="64" spans="1:7" x14ac:dyDescent="0.75">
      <c r="A64" s="115">
        <v>62</v>
      </c>
      <c r="B64" s="115">
        <f t="shared" si="0"/>
        <v>20</v>
      </c>
      <c r="C64" s="115">
        <f t="shared" si="1"/>
        <v>2</v>
      </c>
      <c r="D64" s="113" t="str" cm="1">
        <f t="array" ref="D64">INDEX('Diag-Map2-1'!$I$7:$K$100,1+B64,C64)</f>
        <v/>
      </c>
    </row>
    <row r="65" spans="1:4" x14ac:dyDescent="0.75">
      <c r="A65" s="115">
        <v>63</v>
      </c>
      <c r="B65" s="115">
        <f t="shared" si="0"/>
        <v>20</v>
      </c>
      <c r="C65" s="115">
        <f t="shared" si="1"/>
        <v>3</v>
      </c>
      <c r="D65" s="113" t="str" cm="1">
        <f t="array" ref="D65">INDEX('Diag-Map2-1'!$I$7:$K$100,1+B65,C65)</f>
        <v/>
      </c>
    </row>
    <row r="66" spans="1:4" x14ac:dyDescent="0.75">
      <c r="A66" s="115">
        <v>64</v>
      </c>
      <c r="B66" s="115">
        <f t="shared" si="0"/>
        <v>21</v>
      </c>
      <c r="C66" s="115">
        <f t="shared" si="1"/>
        <v>1</v>
      </c>
      <c r="D66" s="113" t="str" cm="1">
        <f t="array" ref="D66">INDEX('Diag-Map2-1'!$I$7:$K$100,1+B66,C66)</f>
        <v/>
      </c>
    </row>
    <row r="67" spans="1:4" x14ac:dyDescent="0.75">
      <c r="A67" s="115">
        <v>65</v>
      </c>
      <c r="B67" s="115">
        <f t="shared" si="0"/>
        <v>21</v>
      </c>
      <c r="C67" s="115">
        <f t="shared" si="1"/>
        <v>2</v>
      </c>
      <c r="D67" s="113" t="str" cm="1">
        <f t="array" ref="D67">INDEX('Diag-Map2-1'!$I$7:$K$100,1+B67,C67)</f>
        <v/>
      </c>
    </row>
    <row r="68" spans="1:4" x14ac:dyDescent="0.75">
      <c r="A68" s="115">
        <v>66</v>
      </c>
      <c r="B68" s="115">
        <f t="shared" ref="B68:B131" si="2">IF(MOD(A68,3)=0,A68/3-1,INT(A68/3))</f>
        <v>21</v>
      </c>
      <c r="C68" s="115">
        <f t="shared" ref="C68:C131" si="3">IF(MOD(A68,3)=0,3,MOD(A68,3))</f>
        <v>3</v>
      </c>
      <c r="D68" s="113" t="str" cm="1">
        <f t="array" ref="D68">INDEX('Diag-Map2-1'!$I$7:$K$100,1+B68,C68)</f>
        <v/>
      </c>
    </row>
    <row r="69" spans="1:4" x14ac:dyDescent="0.75">
      <c r="A69" s="115">
        <v>67</v>
      </c>
      <c r="B69" s="115">
        <f t="shared" si="2"/>
        <v>22</v>
      </c>
      <c r="C69" s="115">
        <f t="shared" si="3"/>
        <v>1</v>
      </c>
      <c r="D69" s="113" t="str" cm="1">
        <f t="array" ref="D69">INDEX('Diag-Map2-1'!$I$7:$K$100,1+B69,C69)</f>
        <v/>
      </c>
    </row>
    <row r="70" spans="1:4" x14ac:dyDescent="0.75">
      <c r="A70" s="115">
        <v>68</v>
      </c>
      <c r="B70" s="115">
        <f t="shared" si="2"/>
        <v>22</v>
      </c>
      <c r="C70" s="115">
        <f t="shared" si="3"/>
        <v>2</v>
      </c>
      <c r="D70" s="113" t="str" cm="1">
        <f t="array" ref="D70">INDEX('Diag-Map2-1'!$I$7:$K$100,1+B70,C70)</f>
        <v/>
      </c>
    </row>
    <row r="71" spans="1:4" x14ac:dyDescent="0.75">
      <c r="A71" s="115">
        <v>69</v>
      </c>
      <c r="B71" s="115">
        <f t="shared" si="2"/>
        <v>22</v>
      </c>
      <c r="C71" s="115">
        <f t="shared" si="3"/>
        <v>3</v>
      </c>
      <c r="D71" s="113" t="str" cm="1">
        <f t="array" ref="D71">INDEX('Diag-Map2-1'!$I$7:$K$100,1+B71,C71)</f>
        <v/>
      </c>
    </row>
    <row r="72" spans="1:4" x14ac:dyDescent="0.75">
      <c r="A72" s="115">
        <v>70</v>
      </c>
      <c r="B72" s="115">
        <f t="shared" si="2"/>
        <v>23</v>
      </c>
      <c r="C72" s="115">
        <f t="shared" si="3"/>
        <v>1</v>
      </c>
      <c r="D72" s="113" t="str" cm="1">
        <f t="array" ref="D72">INDEX('Diag-Map2-1'!$I$7:$K$100,1+B72,C72)</f>
        <v/>
      </c>
    </row>
    <row r="73" spans="1:4" x14ac:dyDescent="0.75">
      <c r="A73" s="115">
        <v>71</v>
      </c>
      <c r="B73" s="115">
        <f t="shared" si="2"/>
        <v>23</v>
      </c>
      <c r="C73" s="115">
        <f t="shared" si="3"/>
        <v>2</v>
      </c>
      <c r="D73" s="113" t="str" cm="1">
        <f t="array" ref="D73">INDEX('Diag-Map2-1'!$I$7:$K$100,1+B73,C73)</f>
        <v/>
      </c>
    </row>
    <row r="74" spans="1:4" x14ac:dyDescent="0.75">
      <c r="A74" s="115">
        <v>72</v>
      </c>
      <c r="B74" s="115">
        <f t="shared" si="2"/>
        <v>23</v>
      </c>
      <c r="C74" s="115">
        <f t="shared" si="3"/>
        <v>3</v>
      </c>
      <c r="D74" s="113" t="str" cm="1">
        <f t="array" ref="D74">INDEX('Diag-Map2-1'!$I$7:$K$100,1+B74,C74)</f>
        <v/>
      </c>
    </row>
    <row r="75" spans="1:4" x14ac:dyDescent="0.75">
      <c r="A75" s="115">
        <v>73</v>
      </c>
      <c r="B75" s="115">
        <f t="shared" si="2"/>
        <v>24</v>
      </c>
      <c r="C75" s="115">
        <f t="shared" si="3"/>
        <v>1</v>
      </c>
      <c r="D75" s="113" t="str" cm="1">
        <f t="array" ref="D75">INDEX('Diag-Map2-1'!$I$7:$K$100,1+B75,C75)</f>
        <v/>
      </c>
    </row>
    <row r="76" spans="1:4" x14ac:dyDescent="0.75">
      <c r="A76" s="115">
        <v>74</v>
      </c>
      <c r="B76" s="115">
        <f t="shared" si="2"/>
        <v>24</v>
      </c>
      <c r="C76" s="115">
        <f t="shared" si="3"/>
        <v>2</v>
      </c>
      <c r="D76" s="113" t="str" cm="1">
        <f t="array" ref="D76">INDEX('Diag-Map2-1'!$I$7:$K$100,1+B76,C76)</f>
        <v/>
      </c>
    </row>
    <row r="77" spans="1:4" x14ac:dyDescent="0.75">
      <c r="A77" s="115">
        <v>75</v>
      </c>
      <c r="B77" s="115">
        <f t="shared" si="2"/>
        <v>24</v>
      </c>
      <c r="C77" s="115">
        <f t="shared" si="3"/>
        <v>3</v>
      </c>
      <c r="D77" s="113" t="str" cm="1">
        <f t="array" ref="D77">INDEX('Diag-Map2-1'!$I$7:$K$100,1+B77,C77)</f>
        <v/>
      </c>
    </row>
    <row r="78" spans="1:4" x14ac:dyDescent="0.75">
      <c r="A78" s="115">
        <v>76</v>
      </c>
      <c r="B78" s="115">
        <f t="shared" si="2"/>
        <v>25</v>
      </c>
      <c r="C78" s="115">
        <f t="shared" si="3"/>
        <v>1</v>
      </c>
      <c r="D78" s="113" t="str" cm="1">
        <f t="array" ref="D78">INDEX('Diag-Map2-1'!$I$7:$K$100,1+B78,C78)</f>
        <v/>
      </c>
    </row>
    <row r="79" spans="1:4" x14ac:dyDescent="0.75">
      <c r="A79" s="115">
        <v>77</v>
      </c>
      <c r="B79" s="115">
        <f t="shared" si="2"/>
        <v>25</v>
      </c>
      <c r="C79" s="115">
        <f t="shared" si="3"/>
        <v>2</v>
      </c>
      <c r="D79" s="113" t="str" cm="1">
        <f t="array" ref="D79">INDEX('Diag-Map2-1'!$I$7:$K$100,1+B79,C79)</f>
        <v/>
      </c>
    </row>
    <row r="80" spans="1:4" x14ac:dyDescent="0.75">
      <c r="A80" s="115">
        <v>78</v>
      </c>
      <c r="B80" s="115">
        <f t="shared" si="2"/>
        <v>25</v>
      </c>
      <c r="C80" s="115">
        <f t="shared" si="3"/>
        <v>3</v>
      </c>
      <c r="D80" s="113" t="str" cm="1">
        <f t="array" ref="D80">INDEX('Diag-Map2-1'!$I$7:$K$100,1+B80,C80)</f>
        <v/>
      </c>
    </row>
    <row r="81" spans="1:4" x14ac:dyDescent="0.75">
      <c r="A81" s="115">
        <v>79</v>
      </c>
      <c r="B81" s="115">
        <f t="shared" si="2"/>
        <v>26</v>
      </c>
      <c r="C81" s="115">
        <f t="shared" si="3"/>
        <v>1</v>
      </c>
      <c r="D81" s="113" t="str" cm="1">
        <f t="array" ref="D81">INDEX('Diag-Map2-1'!$I$7:$K$100,1+B81,C81)</f>
        <v/>
      </c>
    </row>
    <row r="82" spans="1:4" x14ac:dyDescent="0.75">
      <c r="A82" s="115">
        <v>80</v>
      </c>
      <c r="B82" s="115">
        <f t="shared" si="2"/>
        <v>26</v>
      </c>
      <c r="C82" s="115">
        <f t="shared" si="3"/>
        <v>2</v>
      </c>
      <c r="D82" s="113" t="str" cm="1">
        <f t="array" ref="D82">INDEX('Diag-Map2-1'!$I$7:$K$100,1+B82,C82)</f>
        <v/>
      </c>
    </row>
    <row r="83" spans="1:4" x14ac:dyDescent="0.75">
      <c r="A83" s="115">
        <v>81</v>
      </c>
      <c r="B83" s="115">
        <f t="shared" si="2"/>
        <v>26</v>
      </c>
      <c r="C83" s="115">
        <f t="shared" si="3"/>
        <v>3</v>
      </c>
      <c r="D83" s="113" t="str" cm="1">
        <f t="array" ref="D83">INDEX('Diag-Map2-1'!$I$7:$K$100,1+B83,C83)</f>
        <v/>
      </c>
    </row>
    <row r="84" spans="1:4" x14ac:dyDescent="0.75">
      <c r="A84" s="115">
        <v>82</v>
      </c>
      <c r="B84" s="115">
        <f t="shared" si="2"/>
        <v>27</v>
      </c>
      <c r="C84" s="115">
        <f t="shared" si="3"/>
        <v>1</v>
      </c>
      <c r="D84" s="113" t="str" cm="1">
        <f t="array" ref="D84">INDEX('Diag-Map2-1'!$I$7:$K$100,1+B84,C84)</f>
        <v/>
      </c>
    </row>
    <row r="85" spans="1:4" x14ac:dyDescent="0.75">
      <c r="A85" s="115">
        <v>83</v>
      </c>
      <c r="B85" s="115">
        <f t="shared" si="2"/>
        <v>27</v>
      </c>
      <c r="C85" s="115">
        <f t="shared" si="3"/>
        <v>2</v>
      </c>
      <c r="D85" s="113" t="str" cm="1">
        <f t="array" ref="D85">INDEX('Diag-Map2-1'!$I$7:$K$100,1+B85,C85)</f>
        <v/>
      </c>
    </row>
    <row r="86" spans="1:4" x14ac:dyDescent="0.75">
      <c r="A86" s="115">
        <v>84</v>
      </c>
      <c r="B86" s="115">
        <f t="shared" si="2"/>
        <v>27</v>
      </c>
      <c r="C86" s="115">
        <f t="shared" si="3"/>
        <v>3</v>
      </c>
      <c r="D86" s="113" t="str" cm="1">
        <f t="array" ref="D86">INDEX('Diag-Map2-1'!$I$7:$K$100,1+B86,C86)</f>
        <v/>
      </c>
    </row>
    <row r="87" spans="1:4" x14ac:dyDescent="0.75">
      <c r="A87" s="115">
        <v>85</v>
      </c>
      <c r="B87" s="115">
        <f t="shared" si="2"/>
        <v>28</v>
      </c>
      <c r="C87" s="115">
        <f t="shared" si="3"/>
        <v>1</v>
      </c>
      <c r="D87" s="113" t="str" cm="1">
        <f t="array" ref="D87">INDEX('Diag-Map2-1'!$I$7:$K$100,1+B87,C87)</f>
        <v/>
      </c>
    </row>
    <row r="88" spans="1:4" x14ac:dyDescent="0.75">
      <c r="A88" s="115">
        <v>86</v>
      </c>
      <c r="B88" s="115">
        <f t="shared" si="2"/>
        <v>28</v>
      </c>
      <c r="C88" s="115">
        <f t="shared" si="3"/>
        <v>2</v>
      </c>
      <c r="D88" s="113" t="str" cm="1">
        <f t="array" ref="D88">INDEX('Diag-Map2-1'!$I$7:$K$100,1+B88,C88)</f>
        <v/>
      </c>
    </row>
    <row r="89" spans="1:4" x14ac:dyDescent="0.75">
      <c r="A89" s="115">
        <v>87</v>
      </c>
      <c r="B89" s="115">
        <f t="shared" si="2"/>
        <v>28</v>
      </c>
      <c r="C89" s="115">
        <f t="shared" si="3"/>
        <v>3</v>
      </c>
      <c r="D89" s="113" t="str" cm="1">
        <f t="array" ref="D89">INDEX('Diag-Map2-1'!$I$7:$K$100,1+B89,C89)</f>
        <v/>
      </c>
    </row>
    <row r="90" spans="1:4" x14ac:dyDescent="0.75">
      <c r="A90" s="115">
        <v>88</v>
      </c>
      <c r="B90" s="115">
        <f t="shared" si="2"/>
        <v>29</v>
      </c>
      <c r="C90" s="115">
        <f t="shared" si="3"/>
        <v>1</v>
      </c>
      <c r="D90" s="113" t="str" cm="1">
        <f t="array" ref="D90">INDEX('Diag-Map2-1'!$I$7:$K$100,1+B90,C90)</f>
        <v/>
      </c>
    </row>
    <row r="91" spans="1:4" x14ac:dyDescent="0.75">
      <c r="A91" s="115">
        <v>89</v>
      </c>
      <c r="B91" s="115">
        <f t="shared" si="2"/>
        <v>29</v>
      </c>
      <c r="C91" s="115">
        <f t="shared" si="3"/>
        <v>2</v>
      </c>
      <c r="D91" s="113" t="str" cm="1">
        <f t="array" ref="D91">INDEX('Diag-Map2-1'!$I$7:$K$100,1+B91,C91)</f>
        <v/>
      </c>
    </row>
    <row r="92" spans="1:4" x14ac:dyDescent="0.75">
      <c r="A92" s="115">
        <v>90</v>
      </c>
      <c r="B92" s="115">
        <f t="shared" si="2"/>
        <v>29</v>
      </c>
      <c r="C92" s="115">
        <f t="shared" si="3"/>
        <v>3</v>
      </c>
      <c r="D92" s="113" t="str" cm="1">
        <f t="array" ref="D92">INDEX('Diag-Map2-1'!$I$7:$K$100,1+B92,C92)</f>
        <v/>
      </c>
    </row>
    <row r="93" spans="1:4" x14ac:dyDescent="0.75">
      <c r="A93" s="115">
        <v>91</v>
      </c>
      <c r="B93" s="115">
        <f t="shared" si="2"/>
        <v>30</v>
      </c>
      <c r="C93" s="115">
        <f t="shared" si="3"/>
        <v>1</v>
      </c>
      <c r="D93" s="113" t="str" cm="1">
        <f t="array" ref="D93">INDEX('Diag-Map2-1'!$I$7:$K$100,1+B93,C93)</f>
        <v/>
      </c>
    </row>
    <row r="94" spans="1:4" x14ac:dyDescent="0.75">
      <c r="A94" s="115">
        <v>92</v>
      </c>
      <c r="B94" s="115">
        <f t="shared" si="2"/>
        <v>30</v>
      </c>
      <c r="C94" s="115">
        <f t="shared" si="3"/>
        <v>2</v>
      </c>
      <c r="D94" s="113" t="str" cm="1">
        <f t="array" ref="D94">INDEX('Diag-Map2-1'!$I$7:$K$100,1+B94,C94)</f>
        <v/>
      </c>
    </row>
    <row r="95" spans="1:4" x14ac:dyDescent="0.75">
      <c r="A95" s="115">
        <v>93</v>
      </c>
      <c r="B95" s="115">
        <f t="shared" si="2"/>
        <v>30</v>
      </c>
      <c r="C95" s="115">
        <f t="shared" si="3"/>
        <v>3</v>
      </c>
      <c r="D95" s="113" t="str" cm="1">
        <f t="array" ref="D95">INDEX('Diag-Map2-1'!$I$7:$K$100,1+B95,C95)</f>
        <v/>
      </c>
    </row>
    <row r="96" spans="1:4" x14ac:dyDescent="0.75">
      <c r="A96" s="115">
        <v>94</v>
      </c>
      <c r="B96" s="115">
        <f t="shared" si="2"/>
        <v>31</v>
      </c>
      <c r="C96" s="115">
        <f t="shared" si="3"/>
        <v>1</v>
      </c>
      <c r="D96" s="113" t="str" cm="1">
        <f t="array" ref="D96">INDEX('Diag-Map2-1'!$I$7:$K$100,1+B96,C96)</f>
        <v/>
      </c>
    </row>
    <row r="97" spans="1:4" x14ac:dyDescent="0.75">
      <c r="A97" s="115">
        <v>95</v>
      </c>
      <c r="B97" s="115">
        <f t="shared" si="2"/>
        <v>31</v>
      </c>
      <c r="C97" s="115">
        <f t="shared" si="3"/>
        <v>2</v>
      </c>
      <c r="D97" s="113" t="str" cm="1">
        <f t="array" ref="D97">INDEX('Diag-Map2-1'!$I$7:$K$100,1+B97,C97)</f>
        <v/>
      </c>
    </row>
    <row r="98" spans="1:4" x14ac:dyDescent="0.75">
      <c r="A98" s="115">
        <v>96</v>
      </c>
      <c r="B98" s="115">
        <f t="shared" si="2"/>
        <v>31</v>
      </c>
      <c r="C98" s="115">
        <f t="shared" si="3"/>
        <v>3</v>
      </c>
      <c r="D98" s="113" t="str" cm="1">
        <f t="array" ref="D98">INDEX('Diag-Map2-1'!$I$7:$K$100,1+B98,C98)</f>
        <v/>
      </c>
    </row>
    <row r="99" spans="1:4" x14ac:dyDescent="0.75">
      <c r="A99" s="115">
        <v>97</v>
      </c>
      <c r="B99" s="115">
        <f t="shared" si="2"/>
        <v>32</v>
      </c>
      <c r="C99" s="115">
        <f t="shared" si="3"/>
        <v>1</v>
      </c>
      <c r="D99" s="113" t="str" cm="1">
        <f t="array" ref="D99">INDEX('Diag-Map2-1'!$I$7:$K$100,1+B99,C99)</f>
        <v/>
      </c>
    </row>
    <row r="100" spans="1:4" x14ac:dyDescent="0.75">
      <c r="A100" s="115">
        <v>98</v>
      </c>
      <c r="B100" s="115">
        <f t="shared" si="2"/>
        <v>32</v>
      </c>
      <c r="C100" s="115">
        <f t="shared" si="3"/>
        <v>2</v>
      </c>
      <c r="D100" s="113" t="str" cm="1">
        <f t="array" ref="D100">INDEX('Diag-Map2-1'!$I$7:$K$100,1+B100,C100)</f>
        <v/>
      </c>
    </row>
    <row r="101" spans="1:4" x14ac:dyDescent="0.75">
      <c r="A101" s="115">
        <v>99</v>
      </c>
      <c r="B101" s="115">
        <f t="shared" si="2"/>
        <v>32</v>
      </c>
      <c r="C101" s="115">
        <f t="shared" si="3"/>
        <v>3</v>
      </c>
      <c r="D101" s="113" t="str" cm="1">
        <f t="array" ref="D101">INDEX('Diag-Map2-1'!$I$7:$K$100,1+B101,C101)</f>
        <v/>
      </c>
    </row>
    <row r="102" spans="1:4" x14ac:dyDescent="0.75">
      <c r="A102" s="115">
        <v>100</v>
      </c>
      <c r="B102" s="115">
        <f t="shared" si="2"/>
        <v>33</v>
      </c>
      <c r="C102" s="115">
        <f t="shared" si="3"/>
        <v>1</v>
      </c>
      <c r="D102" s="113" t="str" cm="1">
        <f t="array" ref="D102">INDEX('Diag-Map2-1'!$I$7:$K$100,1+B102,C102)</f>
        <v/>
      </c>
    </row>
    <row r="103" spans="1:4" x14ac:dyDescent="0.75">
      <c r="A103" s="115">
        <v>101</v>
      </c>
      <c r="B103" s="115">
        <f t="shared" si="2"/>
        <v>33</v>
      </c>
      <c r="C103" s="115">
        <f t="shared" si="3"/>
        <v>2</v>
      </c>
      <c r="D103" s="113" t="str" cm="1">
        <f t="array" ref="D103">INDEX('Diag-Map2-1'!$I$7:$K$100,1+B103,C103)</f>
        <v/>
      </c>
    </row>
    <row r="104" spans="1:4" x14ac:dyDescent="0.75">
      <c r="A104" s="115">
        <v>102</v>
      </c>
      <c r="B104" s="115">
        <f t="shared" si="2"/>
        <v>33</v>
      </c>
      <c r="C104" s="115">
        <f t="shared" si="3"/>
        <v>3</v>
      </c>
      <c r="D104" s="113" t="str" cm="1">
        <f t="array" ref="D104">INDEX('Diag-Map2-1'!$I$7:$K$100,1+B104,C104)</f>
        <v/>
      </c>
    </row>
    <row r="105" spans="1:4" x14ac:dyDescent="0.75">
      <c r="A105" s="115">
        <v>103</v>
      </c>
      <c r="B105" s="115">
        <f t="shared" si="2"/>
        <v>34</v>
      </c>
      <c r="C105" s="115">
        <f t="shared" si="3"/>
        <v>1</v>
      </c>
      <c r="D105" s="113" t="str" cm="1">
        <f t="array" ref="D105">INDEX('Diag-Map2-1'!$I$7:$K$100,1+B105,C105)</f>
        <v/>
      </c>
    </row>
    <row r="106" spans="1:4" x14ac:dyDescent="0.75">
      <c r="A106" s="115">
        <v>104</v>
      </c>
      <c r="B106" s="115">
        <f t="shared" si="2"/>
        <v>34</v>
      </c>
      <c r="C106" s="115">
        <f t="shared" si="3"/>
        <v>2</v>
      </c>
      <c r="D106" s="113" t="str" cm="1">
        <f t="array" ref="D106">INDEX('Diag-Map2-1'!$I$7:$K$100,1+B106,C106)</f>
        <v/>
      </c>
    </row>
    <row r="107" spans="1:4" x14ac:dyDescent="0.75">
      <c r="A107" s="115">
        <v>105</v>
      </c>
      <c r="B107" s="115">
        <f t="shared" si="2"/>
        <v>34</v>
      </c>
      <c r="C107" s="115">
        <f t="shared" si="3"/>
        <v>3</v>
      </c>
      <c r="D107" s="113" t="str" cm="1">
        <f t="array" ref="D107">INDEX('Diag-Map2-1'!$I$7:$K$100,1+B107,C107)</f>
        <v/>
      </c>
    </row>
    <row r="108" spans="1:4" x14ac:dyDescent="0.75">
      <c r="A108" s="115">
        <v>106</v>
      </c>
      <c r="B108" s="115">
        <f t="shared" si="2"/>
        <v>35</v>
      </c>
      <c r="C108" s="115">
        <f t="shared" si="3"/>
        <v>1</v>
      </c>
      <c r="D108" s="113" t="str" cm="1">
        <f t="array" ref="D108">INDEX('Diag-Map2-1'!$I$7:$K$100,1+B108,C108)</f>
        <v/>
      </c>
    </row>
    <row r="109" spans="1:4" x14ac:dyDescent="0.75">
      <c r="A109" s="115">
        <v>107</v>
      </c>
      <c r="B109" s="115">
        <f t="shared" si="2"/>
        <v>35</v>
      </c>
      <c r="C109" s="115">
        <f t="shared" si="3"/>
        <v>2</v>
      </c>
      <c r="D109" s="113" t="str" cm="1">
        <f t="array" ref="D109">INDEX('Diag-Map2-1'!$I$7:$K$100,1+B109,C109)</f>
        <v/>
      </c>
    </row>
    <row r="110" spans="1:4" x14ac:dyDescent="0.75">
      <c r="A110" s="115">
        <v>108</v>
      </c>
      <c r="B110" s="115">
        <f t="shared" si="2"/>
        <v>35</v>
      </c>
      <c r="C110" s="115">
        <f t="shared" si="3"/>
        <v>3</v>
      </c>
      <c r="D110" s="113" t="str" cm="1">
        <f t="array" ref="D110">INDEX('Diag-Map2-1'!$I$7:$K$100,1+B110,C110)</f>
        <v/>
      </c>
    </row>
    <row r="111" spans="1:4" x14ac:dyDescent="0.75">
      <c r="A111" s="115">
        <v>109</v>
      </c>
      <c r="B111" s="115">
        <f t="shared" si="2"/>
        <v>36</v>
      </c>
      <c r="C111" s="115">
        <f t="shared" si="3"/>
        <v>1</v>
      </c>
      <c r="D111" s="113" t="str" cm="1">
        <f t="array" ref="D111">INDEX('Diag-Map2-1'!$I$7:$K$100,1+B111,C111)</f>
        <v/>
      </c>
    </row>
    <row r="112" spans="1:4" x14ac:dyDescent="0.75">
      <c r="A112" s="115">
        <v>110</v>
      </c>
      <c r="B112" s="115">
        <f t="shared" si="2"/>
        <v>36</v>
      </c>
      <c r="C112" s="115">
        <f t="shared" si="3"/>
        <v>2</v>
      </c>
      <c r="D112" s="113" t="str" cm="1">
        <f t="array" ref="D112">INDEX('Diag-Map2-1'!$I$7:$K$100,1+B112,C112)</f>
        <v/>
      </c>
    </row>
    <row r="113" spans="1:4" x14ac:dyDescent="0.75">
      <c r="A113" s="115">
        <v>111</v>
      </c>
      <c r="B113" s="115">
        <f t="shared" si="2"/>
        <v>36</v>
      </c>
      <c r="C113" s="115">
        <f t="shared" si="3"/>
        <v>3</v>
      </c>
      <c r="D113" s="113" t="str" cm="1">
        <f t="array" ref="D113">INDEX('Diag-Map2-1'!$I$7:$K$100,1+B113,C113)</f>
        <v/>
      </c>
    </row>
    <row r="114" spans="1:4" x14ac:dyDescent="0.75">
      <c r="A114" s="115">
        <v>112</v>
      </c>
      <c r="B114" s="115">
        <f t="shared" si="2"/>
        <v>37</v>
      </c>
      <c r="C114" s="115">
        <f t="shared" si="3"/>
        <v>1</v>
      </c>
      <c r="D114" s="113" t="str" cm="1">
        <f t="array" ref="D114">INDEX('Diag-Map2-1'!$I$7:$K$100,1+B114,C114)</f>
        <v/>
      </c>
    </row>
    <row r="115" spans="1:4" x14ac:dyDescent="0.75">
      <c r="A115" s="115">
        <v>113</v>
      </c>
      <c r="B115" s="115">
        <f t="shared" si="2"/>
        <v>37</v>
      </c>
      <c r="C115" s="115">
        <f t="shared" si="3"/>
        <v>2</v>
      </c>
      <c r="D115" s="113" t="str" cm="1">
        <f t="array" ref="D115">INDEX('Diag-Map2-1'!$I$7:$K$100,1+B115,C115)</f>
        <v/>
      </c>
    </row>
    <row r="116" spans="1:4" x14ac:dyDescent="0.75">
      <c r="A116" s="115">
        <v>114</v>
      </c>
      <c r="B116" s="115">
        <f t="shared" si="2"/>
        <v>37</v>
      </c>
      <c r="C116" s="115">
        <f t="shared" si="3"/>
        <v>3</v>
      </c>
      <c r="D116" s="113" t="str" cm="1">
        <f t="array" ref="D116">INDEX('Diag-Map2-1'!$I$7:$K$100,1+B116,C116)</f>
        <v/>
      </c>
    </row>
    <row r="117" spans="1:4" x14ac:dyDescent="0.75">
      <c r="A117" s="115">
        <v>115</v>
      </c>
      <c r="B117" s="115">
        <f t="shared" si="2"/>
        <v>38</v>
      </c>
      <c r="C117" s="115">
        <f t="shared" si="3"/>
        <v>1</v>
      </c>
      <c r="D117" s="113" t="str" cm="1">
        <f t="array" ref="D117">INDEX('Diag-Map2-1'!$I$7:$K$100,1+B117,C117)</f>
        <v/>
      </c>
    </row>
    <row r="118" spans="1:4" x14ac:dyDescent="0.75">
      <c r="A118" s="115">
        <v>116</v>
      </c>
      <c r="B118" s="115">
        <f t="shared" si="2"/>
        <v>38</v>
      </c>
      <c r="C118" s="115">
        <f t="shared" si="3"/>
        <v>2</v>
      </c>
      <c r="D118" s="113" t="str" cm="1">
        <f t="array" ref="D118">INDEX('Diag-Map2-1'!$I$7:$K$100,1+B118,C118)</f>
        <v/>
      </c>
    </row>
    <row r="119" spans="1:4" x14ac:dyDescent="0.75">
      <c r="A119" s="115">
        <v>117</v>
      </c>
      <c r="B119" s="115">
        <f t="shared" si="2"/>
        <v>38</v>
      </c>
      <c r="C119" s="115">
        <f t="shared" si="3"/>
        <v>3</v>
      </c>
      <c r="D119" s="113" t="str" cm="1">
        <f t="array" ref="D119">INDEX('Diag-Map2-1'!$I$7:$K$100,1+B119,C119)</f>
        <v/>
      </c>
    </row>
    <row r="120" spans="1:4" x14ac:dyDescent="0.75">
      <c r="A120" s="115">
        <v>118</v>
      </c>
      <c r="B120" s="115">
        <f t="shared" si="2"/>
        <v>39</v>
      </c>
      <c r="C120" s="115">
        <f t="shared" si="3"/>
        <v>1</v>
      </c>
      <c r="D120" s="113" t="str" cm="1">
        <f t="array" ref="D120">INDEX('Diag-Map2-1'!$I$7:$K$100,1+B120,C120)</f>
        <v/>
      </c>
    </row>
    <row r="121" spans="1:4" x14ac:dyDescent="0.75">
      <c r="A121" s="115">
        <v>119</v>
      </c>
      <c r="B121" s="115">
        <f t="shared" si="2"/>
        <v>39</v>
      </c>
      <c r="C121" s="115">
        <f t="shared" si="3"/>
        <v>2</v>
      </c>
      <c r="D121" s="113" t="str" cm="1">
        <f t="array" ref="D121">INDEX('Diag-Map2-1'!$I$7:$K$100,1+B121,C121)</f>
        <v/>
      </c>
    </row>
    <row r="122" spans="1:4" x14ac:dyDescent="0.75">
      <c r="A122" s="115">
        <v>120</v>
      </c>
      <c r="B122" s="115">
        <f t="shared" si="2"/>
        <v>39</v>
      </c>
      <c r="C122" s="115">
        <f t="shared" si="3"/>
        <v>3</v>
      </c>
      <c r="D122" s="113" t="str" cm="1">
        <f t="array" ref="D122">INDEX('Diag-Map2-1'!$I$7:$K$100,1+B122,C122)</f>
        <v/>
      </c>
    </row>
    <row r="123" spans="1:4" x14ac:dyDescent="0.75">
      <c r="A123" s="115">
        <v>121</v>
      </c>
      <c r="B123" s="115">
        <f t="shared" si="2"/>
        <v>40</v>
      </c>
      <c r="C123" s="115">
        <f t="shared" si="3"/>
        <v>1</v>
      </c>
      <c r="D123" s="113" t="str" cm="1">
        <f t="array" ref="D123">INDEX('Diag-Map2-1'!$I$7:$K$100,1+B123,C123)</f>
        <v/>
      </c>
    </row>
    <row r="124" spans="1:4" x14ac:dyDescent="0.75">
      <c r="A124" s="115">
        <v>122</v>
      </c>
      <c r="B124" s="115">
        <f t="shared" si="2"/>
        <v>40</v>
      </c>
      <c r="C124" s="115">
        <f t="shared" si="3"/>
        <v>2</v>
      </c>
      <c r="D124" s="113" t="str" cm="1">
        <f t="array" ref="D124">INDEX('Diag-Map2-1'!$I$7:$K$100,1+B124,C124)</f>
        <v/>
      </c>
    </row>
    <row r="125" spans="1:4" x14ac:dyDescent="0.75">
      <c r="A125" s="115">
        <v>123</v>
      </c>
      <c r="B125" s="115">
        <f t="shared" si="2"/>
        <v>40</v>
      </c>
      <c r="C125" s="115">
        <f t="shared" si="3"/>
        <v>3</v>
      </c>
      <c r="D125" s="113" t="str" cm="1">
        <f t="array" ref="D125">INDEX('Diag-Map2-1'!$I$7:$K$100,1+B125,C125)</f>
        <v/>
      </c>
    </row>
    <row r="126" spans="1:4" x14ac:dyDescent="0.75">
      <c r="A126" s="115">
        <v>124</v>
      </c>
      <c r="B126" s="115">
        <f t="shared" si="2"/>
        <v>41</v>
      </c>
      <c r="C126" s="115">
        <f t="shared" si="3"/>
        <v>1</v>
      </c>
      <c r="D126" s="113" t="str" cm="1">
        <f t="array" ref="D126">INDEX('Diag-Map2-1'!$I$7:$K$100,1+B126,C126)</f>
        <v/>
      </c>
    </row>
    <row r="127" spans="1:4" x14ac:dyDescent="0.75">
      <c r="A127" s="115">
        <v>125</v>
      </c>
      <c r="B127" s="115">
        <f t="shared" si="2"/>
        <v>41</v>
      </c>
      <c r="C127" s="115">
        <f t="shared" si="3"/>
        <v>2</v>
      </c>
      <c r="D127" s="113" t="str" cm="1">
        <f t="array" ref="D127">INDEX('Diag-Map2-1'!$I$7:$K$100,1+B127,C127)</f>
        <v/>
      </c>
    </row>
    <row r="128" spans="1:4" x14ac:dyDescent="0.75">
      <c r="A128" s="115">
        <v>126</v>
      </c>
      <c r="B128" s="115">
        <f t="shared" si="2"/>
        <v>41</v>
      </c>
      <c r="C128" s="115">
        <f t="shared" si="3"/>
        <v>3</v>
      </c>
      <c r="D128" s="113" t="str" cm="1">
        <f t="array" ref="D128">INDEX('Diag-Map2-1'!$I$7:$K$100,1+B128,C128)</f>
        <v/>
      </c>
    </row>
    <row r="129" spans="1:4" x14ac:dyDescent="0.75">
      <c r="A129" s="115">
        <v>127</v>
      </c>
      <c r="B129" s="115">
        <f t="shared" si="2"/>
        <v>42</v>
      </c>
      <c r="C129" s="115">
        <f t="shared" si="3"/>
        <v>1</v>
      </c>
      <c r="D129" s="113" t="str" cm="1">
        <f t="array" ref="D129">INDEX('Diag-Map2-1'!$I$7:$K$100,1+B129,C129)</f>
        <v/>
      </c>
    </row>
    <row r="130" spans="1:4" x14ac:dyDescent="0.75">
      <c r="A130" s="115">
        <v>128</v>
      </c>
      <c r="B130" s="115">
        <f t="shared" si="2"/>
        <v>42</v>
      </c>
      <c r="C130" s="115">
        <f t="shared" si="3"/>
        <v>2</v>
      </c>
      <c r="D130" s="113" t="str" cm="1">
        <f t="array" ref="D130">INDEX('Diag-Map2-1'!$I$7:$K$100,1+B130,C130)</f>
        <v/>
      </c>
    </row>
    <row r="131" spans="1:4" x14ac:dyDescent="0.75">
      <c r="A131" s="115">
        <v>129</v>
      </c>
      <c r="B131" s="115">
        <f t="shared" si="2"/>
        <v>42</v>
      </c>
      <c r="C131" s="115">
        <f t="shared" si="3"/>
        <v>3</v>
      </c>
      <c r="D131" s="113" t="str" cm="1">
        <f t="array" ref="D131">INDEX('Diag-Map2-1'!$I$7:$K$100,1+B131,C131)</f>
        <v/>
      </c>
    </row>
    <row r="132" spans="1:4" x14ac:dyDescent="0.75">
      <c r="A132" s="115">
        <v>130</v>
      </c>
      <c r="B132" s="115">
        <f t="shared" ref="B132:B195" si="4">IF(MOD(A132,3)=0,A132/3-1,INT(A132/3))</f>
        <v>43</v>
      </c>
      <c r="C132" s="115">
        <f t="shared" ref="C132:C195" si="5">IF(MOD(A132,3)=0,3,MOD(A132,3))</f>
        <v>1</v>
      </c>
      <c r="D132" s="113" t="str" cm="1">
        <f t="array" ref="D132">INDEX('Diag-Map2-1'!$I$7:$K$100,1+B132,C132)</f>
        <v/>
      </c>
    </row>
    <row r="133" spans="1:4" x14ac:dyDescent="0.75">
      <c r="A133" s="115">
        <v>131</v>
      </c>
      <c r="B133" s="115">
        <f t="shared" si="4"/>
        <v>43</v>
      </c>
      <c r="C133" s="115">
        <f t="shared" si="5"/>
        <v>2</v>
      </c>
      <c r="D133" s="113" t="str" cm="1">
        <f t="array" ref="D133">INDEX('Diag-Map2-1'!$I$7:$K$100,1+B133,C133)</f>
        <v/>
      </c>
    </row>
    <row r="134" spans="1:4" x14ac:dyDescent="0.75">
      <c r="A134" s="115">
        <v>132</v>
      </c>
      <c r="B134" s="115">
        <f t="shared" si="4"/>
        <v>43</v>
      </c>
      <c r="C134" s="115">
        <f t="shared" si="5"/>
        <v>3</v>
      </c>
      <c r="D134" s="113" t="str" cm="1">
        <f t="array" ref="D134">INDEX('Diag-Map2-1'!$I$7:$K$100,1+B134,C134)</f>
        <v/>
      </c>
    </row>
    <row r="135" spans="1:4" x14ac:dyDescent="0.75">
      <c r="A135" s="115">
        <v>133</v>
      </c>
      <c r="B135" s="115">
        <f t="shared" si="4"/>
        <v>44</v>
      </c>
      <c r="C135" s="115">
        <f t="shared" si="5"/>
        <v>1</v>
      </c>
      <c r="D135" s="113" cm="1">
        <f t="array" ref="D135">INDEX('Diag-Map2-1'!$I$7:$K$100,1+B135,C135)</f>
        <v>0</v>
      </c>
    </row>
    <row r="136" spans="1:4" x14ac:dyDescent="0.75">
      <c r="A136" s="115">
        <v>134</v>
      </c>
      <c r="B136" s="115">
        <f t="shared" si="4"/>
        <v>44</v>
      </c>
      <c r="C136" s="115">
        <f t="shared" si="5"/>
        <v>2</v>
      </c>
      <c r="D136" s="113" cm="1">
        <f t="array" ref="D136">INDEX('Diag-Map2-1'!$I$7:$K$100,1+B136,C136)</f>
        <v>0</v>
      </c>
    </row>
    <row r="137" spans="1:4" x14ac:dyDescent="0.75">
      <c r="A137" s="115">
        <v>135</v>
      </c>
      <c r="B137" s="115">
        <f t="shared" si="4"/>
        <v>44</v>
      </c>
      <c r="C137" s="115">
        <f t="shared" si="5"/>
        <v>3</v>
      </c>
      <c r="D137" s="113" cm="1">
        <f t="array" ref="D137">INDEX('Diag-Map2-1'!$I$7:$K$100,1+B137,C137)</f>
        <v>0</v>
      </c>
    </row>
    <row r="138" spans="1:4" x14ac:dyDescent="0.75">
      <c r="A138" s="115">
        <v>136</v>
      </c>
      <c r="B138" s="115">
        <f t="shared" si="4"/>
        <v>45</v>
      </c>
      <c r="C138" s="115">
        <f t="shared" si="5"/>
        <v>1</v>
      </c>
      <c r="D138" s="113" cm="1">
        <f t="array" ref="D138">INDEX('Diag-Map2-1'!$I$7:$K$100,1+B138,C138)</f>
        <v>0</v>
      </c>
    </row>
    <row r="139" spans="1:4" x14ac:dyDescent="0.75">
      <c r="A139" s="115">
        <v>137</v>
      </c>
      <c r="B139" s="115">
        <f t="shared" si="4"/>
        <v>45</v>
      </c>
      <c r="C139" s="115">
        <f t="shared" si="5"/>
        <v>2</v>
      </c>
      <c r="D139" s="113" cm="1">
        <f t="array" ref="D139">INDEX('Diag-Map2-1'!$I$7:$K$100,1+B139,C139)</f>
        <v>0</v>
      </c>
    </row>
    <row r="140" spans="1:4" x14ac:dyDescent="0.75">
      <c r="A140" s="115">
        <v>138</v>
      </c>
      <c r="B140" s="115">
        <f t="shared" si="4"/>
        <v>45</v>
      </c>
      <c r="C140" s="115">
        <f t="shared" si="5"/>
        <v>3</v>
      </c>
      <c r="D140" s="113" cm="1">
        <f t="array" ref="D140">INDEX('Diag-Map2-1'!$I$7:$K$100,1+B140,C140)</f>
        <v>0</v>
      </c>
    </row>
    <row r="141" spans="1:4" x14ac:dyDescent="0.75">
      <c r="A141" s="115">
        <v>139</v>
      </c>
      <c r="B141" s="115">
        <f t="shared" si="4"/>
        <v>46</v>
      </c>
      <c r="C141" s="115">
        <f t="shared" si="5"/>
        <v>1</v>
      </c>
      <c r="D141" s="113" cm="1">
        <f t="array" ref="D141">INDEX('Diag-Map2-1'!$I$7:$K$100,1+B141,C141)</f>
        <v>0</v>
      </c>
    </row>
    <row r="142" spans="1:4" x14ac:dyDescent="0.75">
      <c r="A142" s="115">
        <v>140</v>
      </c>
      <c r="B142" s="115">
        <f t="shared" si="4"/>
        <v>46</v>
      </c>
      <c r="C142" s="115">
        <f t="shared" si="5"/>
        <v>2</v>
      </c>
      <c r="D142" s="113" cm="1">
        <f t="array" ref="D142">INDEX('Diag-Map2-1'!$I$7:$K$100,1+B142,C142)</f>
        <v>0</v>
      </c>
    </row>
    <row r="143" spans="1:4" x14ac:dyDescent="0.75">
      <c r="A143" s="115">
        <v>141</v>
      </c>
      <c r="B143" s="115">
        <f t="shared" si="4"/>
        <v>46</v>
      </c>
      <c r="C143" s="115">
        <f t="shared" si="5"/>
        <v>3</v>
      </c>
      <c r="D143" s="113" cm="1">
        <f t="array" ref="D143">INDEX('Diag-Map2-1'!$I$7:$K$100,1+B143,C143)</f>
        <v>0</v>
      </c>
    </row>
    <row r="144" spans="1:4" x14ac:dyDescent="0.75">
      <c r="A144" s="115">
        <v>142</v>
      </c>
      <c r="B144" s="115">
        <f t="shared" si="4"/>
        <v>47</v>
      </c>
      <c r="C144" s="115">
        <f t="shared" si="5"/>
        <v>1</v>
      </c>
      <c r="D144" s="113" cm="1">
        <f t="array" ref="D144">INDEX('Diag-Map2-1'!$I$7:$K$100,1+B144,C144)</f>
        <v>0</v>
      </c>
    </row>
    <row r="145" spans="1:4" x14ac:dyDescent="0.75">
      <c r="A145" s="115">
        <v>143</v>
      </c>
      <c r="B145" s="115">
        <f t="shared" si="4"/>
        <v>47</v>
      </c>
      <c r="C145" s="115">
        <f t="shared" si="5"/>
        <v>2</v>
      </c>
      <c r="D145" s="113" cm="1">
        <f t="array" ref="D145">INDEX('Diag-Map2-1'!$I$7:$K$100,1+B145,C145)</f>
        <v>0</v>
      </c>
    </row>
    <row r="146" spans="1:4" x14ac:dyDescent="0.75">
      <c r="A146" s="115">
        <v>144</v>
      </c>
      <c r="B146" s="115">
        <f t="shared" si="4"/>
        <v>47</v>
      </c>
      <c r="C146" s="115">
        <f t="shared" si="5"/>
        <v>3</v>
      </c>
      <c r="D146" s="113" cm="1">
        <f t="array" ref="D146">INDEX('Diag-Map2-1'!$I$7:$K$100,1+B146,C146)</f>
        <v>0</v>
      </c>
    </row>
    <row r="147" spans="1:4" x14ac:dyDescent="0.75">
      <c r="A147" s="115">
        <v>145</v>
      </c>
      <c r="B147" s="115">
        <f t="shared" si="4"/>
        <v>48</v>
      </c>
      <c r="C147" s="115">
        <f t="shared" si="5"/>
        <v>1</v>
      </c>
      <c r="D147" s="113" cm="1">
        <f t="array" ref="D147">INDEX('Diag-Map2-1'!$I$7:$K$100,1+B147,C147)</f>
        <v>0</v>
      </c>
    </row>
    <row r="148" spans="1:4" x14ac:dyDescent="0.75">
      <c r="A148" s="115">
        <v>146</v>
      </c>
      <c r="B148" s="115">
        <f t="shared" si="4"/>
        <v>48</v>
      </c>
      <c r="C148" s="115">
        <f t="shared" si="5"/>
        <v>2</v>
      </c>
      <c r="D148" s="113" cm="1">
        <f t="array" ref="D148">INDEX('Diag-Map2-1'!$I$7:$K$100,1+B148,C148)</f>
        <v>0</v>
      </c>
    </row>
    <row r="149" spans="1:4" x14ac:dyDescent="0.75">
      <c r="A149" s="115">
        <v>147</v>
      </c>
      <c r="B149" s="115">
        <f t="shared" si="4"/>
        <v>48</v>
      </c>
      <c r="C149" s="115">
        <f t="shared" si="5"/>
        <v>3</v>
      </c>
      <c r="D149" s="113" cm="1">
        <f t="array" ref="D149">INDEX('Diag-Map2-1'!$I$7:$K$100,1+B149,C149)</f>
        <v>0</v>
      </c>
    </row>
    <row r="150" spans="1:4" x14ac:dyDescent="0.75">
      <c r="A150" s="115">
        <v>148</v>
      </c>
      <c r="B150" s="115">
        <f t="shared" si="4"/>
        <v>49</v>
      </c>
      <c r="C150" s="115">
        <f t="shared" si="5"/>
        <v>1</v>
      </c>
      <c r="D150" s="113" cm="1">
        <f t="array" ref="D150">INDEX('Diag-Map2-1'!$I$7:$K$100,1+B150,C150)</f>
        <v>0</v>
      </c>
    </row>
    <row r="151" spans="1:4" x14ac:dyDescent="0.75">
      <c r="A151" s="115">
        <v>149</v>
      </c>
      <c r="B151" s="115">
        <f t="shared" si="4"/>
        <v>49</v>
      </c>
      <c r="C151" s="115">
        <f t="shared" si="5"/>
        <v>2</v>
      </c>
      <c r="D151" s="113" cm="1">
        <f t="array" ref="D151">INDEX('Diag-Map2-1'!$I$7:$K$100,1+B151,C151)</f>
        <v>0</v>
      </c>
    </row>
    <row r="152" spans="1:4" x14ac:dyDescent="0.75">
      <c r="A152" s="115">
        <v>150</v>
      </c>
      <c r="B152" s="115">
        <f t="shared" si="4"/>
        <v>49</v>
      </c>
      <c r="C152" s="115">
        <f t="shared" si="5"/>
        <v>3</v>
      </c>
      <c r="D152" s="113" cm="1">
        <f t="array" ref="D152">INDEX('Diag-Map2-1'!$I$7:$K$100,1+B152,C152)</f>
        <v>0</v>
      </c>
    </row>
    <row r="153" spans="1:4" x14ac:dyDescent="0.75">
      <c r="A153" s="115">
        <v>151</v>
      </c>
      <c r="B153" s="115">
        <f t="shared" si="4"/>
        <v>50</v>
      </c>
      <c r="C153" s="115">
        <f t="shared" si="5"/>
        <v>1</v>
      </c>
      <c r="D153" s="113" cm="1">
        <f t="array" ref="D153">INDEX('Diag-Map2-1'!$I$7:$K$100,1+B153,C153)</f>
        <v>0</v>
      </c>
    </row>
    <row r="154" spans="1:4" x14ac:dyDescent="0.75">
      <c r="A154" s="115">
        <v>152</v>
      </c>
      <c r="B154" s="115">
        <f t="shared" si="4"/>
        <v>50</v>
      </c>
      <c r="C154" s="115">
        <f t="shared" si="5"/>
        <v>2</v>
      </c>
      <c r="D154" s="113" cm="1">
        <f t="array" ref="D154">INDEX('Diag-Map2-1'!$I$7:$K$100,1+B154,C154)</f>
        <v>0</v>
      </c>
    </row>
    <row r="155" spans="1:4" x14ac:dyDescent="0.75">
      <c r="A155" s="115">
        <v>153</v>
      </c>
      <c r="B155" s="115">
        <f t="shared" si="4"/>
        <v>50</v>
      </c>
      <c r="C155" s="115">
        <f t="shared" si="5"/>
        <v>3</v>
      </c>
      <c r="D155" s="113" cm="1">
        <f t="array" ref="D155">INDEX('Diag-Map2-1'!$I$7:$K$100,1+B155,C155)</f>
        <v>0</v>
      </c>
    </row>
    <row r="156" spans="1:4" x14ac:dyDescent="0.75">
      <c r="A156" s="115">
        <v>154</v>
      </c>
      <c r="B156" s="115">
        <f t="shared" si="4"/>
        <v>51</v>
      </c>
      <c r="C156" s="115">
        <f t="shared" si="5"/>
        <v>1</v>
      </c>
      <c r="D156" s="113" cm="1">
        <f t="array" ref="D156">INDEX('Diag-Map2-1'!$I$7:$K$100,1+B156,C156)</f>
        <v>0</v>
      </c>
    </row>
    <row r="157" spans="1:4" x14ac:dyDescent="0.75">
      <c r="A157" s="115">
        <v>155</v>
      </c>
      <c r="B157" s="115">
        <f t="shared" si="4"/>
        <v>51</v>
      </c>
      <c r="C157" s="115">
        <f t="shared" si="5"/>
        <v>2</v>
      </c>
      <c r="D157" s="113" cm="1">
        <f t="array" ref="D157">INDEX('Diag-Map2-1'!$I$7:$K$100,1+B157,C157)</f>
        <v>0</v>
      </c>
    </row>
    <row r="158" spans="1:4" x14ac:dyDescent="0.75">
      <c r="A158" s="115">
        <v>156</v>
      </c>
      <c r="B158" s="115">
        <f t="shared" si="4"/>
        <v>51</v>
      </c>
      <c r="C158" s="115">
        <f t="shared" si="5"/>
        <v>3</v>
      </c>
      <c r="D158" s="113" cm="1">
        <f t="array" ref="D158">INDEX('Diag-Map2-1'!$I$7:$K$100,1+B158,C158)</f>
        <v>0</v>
      </c>
    </row>
    <row r="159" spans="1:4" x14ac:dyDescent="0.75">
      <c r="A159" s="115">
        <v>157</v>
      </c>
      <c r="B159" s="115">
        <f t="shared" si="4"/>
        <v>52</v>
      </c>
      <c r="C159" s="115">
        <f t="shared" si="5"/>
        <v>1</v>
      </c>
      <c r="D159" s="113" cm="1">
        <f t="array" ref="D159">INDEX('Diag-Map2-1'!$I$7:$K$100,1+B159,C159)</f>
        <v>0</v>
      </c>
    </row>
    <row r="160" spans="1:4" x14ac:dyDescent="0.75">
      <c r="A160" s="115">
        <v>158</v>
      </c>
      <c r="B160" s="115">
        <f t="shared" si="4"/>
        <v>52</v>
      </c>
      <c r="C160" s="115">
        <f t="shared" si="5"/>
        <v>2</v>
      </c>
      <c r="D160" s="113" cm="1">
        <f t="array" ref="D160">INDEX('Diag-Map2-1'!$I$7:$K$100,1+B160,C160)</f>
        <v>0</v>
      </c>
    </row>
    <row r="161" spans="1:4" x14ac:dyDescent="0.75">
      <c r="A161" s="115">
        <v>159</v>
      </c>
      <c r="B161" s="115">
        <f t="shared" si="4"/>
        <v>52</v>
      </c>
      <c r="C161" s="115">
        <f t="shared" si="5"/>
        <v>3</v>
      </c>
      <c r="D161" s="113" cm="1">
        <f t="array" ref="D161">INDEX('Diag-Map2-1'!$I$7:$K$100,1+B161,C161)</f>
        <v>0</v>
      </c>
    </row>
    <row r="162" spans="1:4" x14ac:dyDescent="0.75">
      <c r="A162" s="115">
        <v>160</v>
      </c>
      <c r="B162" s="115">
        <f t="shared" si="4"/>
        <v>53</v>
      </c>
      <c r="C162" s="115">
        <f t="shared" si="5"/>
        <v>1</v>
      </c>
      <c r="D162" s="113" cm="1">
        <f t="array" ref="D162">INDEX('Diag-Map2-1'!$I$7:$K$100,1+B162,C162)</f>
        <v>0</v>
      </c>
    </row>
    <row r="163" spans="1:4" x14ac:dyDescent="0.75">
      <c r="A163" s="115">
        <v>161</v>
      </c>
      <c r="B163" s="115">
        <f t="shared" si="4"/>
        <v>53</v>
      </c>
      <c r="C163" s="115">
        <f t="shared" si="5"/>
        <v>2</v>
      </c>
      <c r="D163" s="113" cm="1">
        <f t="array" ref="D163">INDEX('Diag-Map2-1'!$I$7:$K$100,1+B163,C163)</f>
        <v>0</v>
      </c>
    </row>
    <row r="164" spans="1:4" x14ac:dyDescent="0.75">
      <c r="A164" s="115">
        <v>162</v>
      </c>
      <c r="B164" s="115">
        <f t="shared" si="4"/>
        <v>53</v>
      </c>
      <c r="C164" s="115">
        <f t="shared" si="5"/>
        <v>3</v>
      </c>
      <c r="D164" s="113" cm="1">
        <f t="array" ref="D164">INDEX('Diag-Map2-1'!$I$7:$K$100,1+B164,C164)</f>
        <v>0</v>
      </c>
    </row>
    <row r="165" spans="1:4" x14ac:dyDescent="0.75">
      <c r="A165" s="115">
        <v>163</v>
      </c>
      <c r="B165" s="115">
        <f t="shared" si="4"/>
        <v>54</v>
      </c>
      <c r="C165" s="115">
        <f t="shared" si="5"/>
        <v>1</v>
      </c>
      <c r="D165" s="113" cm="1">
        <f t="array" ref="D165">INDEX('Diag-Map2-1'!$I$7:$K$100,1+B165,C165)</f>
        <v>0</v>
      </c>
    </row>
    <row r="166" spans="1:4" x14ac:dyDescent="0.75">
      <c r="A166" s="115">
        <v>164</v>
      </c>
      <c r="B166" s="115">
        <f t="shared" si="4"/>
        <v>54</v>
      </c>
      <c r="C166" s="115">
        <f t="shared" si="5"/>
        <v>2</v>
      </c>
      <c r="D166" s="113" cm="1">
        <f t="array" ref="D166">INDEX('Diag-Map2-1'!$I$7:$K$100,1+B166,C166)</f>
        <v>0</v>
      </c>
    </row>
    <row r="167" spans="1:4" x14ac:dyDescent="0.75">
      <c r="A167" s="115">
        <v>165</v>
      </c>
      <c r="B167" s="115">
        <f t="shared" si="4"/>
        <v>54</v>
      </c>
      <c r="C167" s="115">
        <f t="shared" si="5"/>
        <v>3</v>
      </c>
      <c r="D167" s="113" cm="1">
        <f t="array" ref="D167">INDEX('Diag-Map2-1'!$I$7:$K$100,1+B167,C167)</f>
        <v>0</v>
      </c>
    </row>
    <row r="168" spans="1:4" x14ac:dyDescent="0.75">
      <c r="A168" s="115">
        <v>166</v>
      </c>
      <c r="B168" s="115">
        <f t="shared" si="4"/>
        <v>55</v>
      </c>
      <c r="C168" s="115">
        <f t="shared" si="5"/>
        <v>1</v>
      </c>
      <c r="D168" s="113" cm="1">
        <f t="array" ref="D168">INDEX('Diag-Map2-1'!$I$7:$K$100,1+B168,C168)</f>
        <v>0</v>
      </c>
    </row>
    <row r="169" spans="1:4" x14ac:dyDescent="0.75">
      <c r="A169" s="115">
        <v>167</v>
      </c>
      <c r="B169" s="115">
        <f t="shared" si="4"/>
        <v>55</v>
      </c>
      <c r="C169" s="115">
        <f t="shared" si="5"/>
        <v>2</v>
      </c>
      <c r="D169" s="113" cm="1">
        <f t="array" ref="D169">INDEX('Diag-Map2-1'!$I$7:$K$100,1+B169,C169)</f>
        <v>0</v>
      </c>
    </row>
    <row r="170" spans="1:4" x14ac:dyDescent="0.75">
      <c r="A170" s="115">
        <v>168</v>
      </c>
      <c r="B170" s="115">
        <f t="shared" si="4"/>
        <v>55</v>
      </c>
      <c r="C170" s="115">
        <f t="shared" si="5"/>
        <v>3</v>
      </c>
      <c r="D170" s="113" cm="1">
        <f t="array" ref="D170">INDEX('Diag-Map2-1'!$I$7:$K$100,1+B170,C170)</f>
        <v>0</v>
      </c>
    </row>
    <row r="171" spans="1:4" x14ac:dyDescent="0.75">
      <c r="A171" s="115">
        <v>169</v>
      </c>
      <c r="B171" s="115">
        <f t="shared" si="4"/>
        <v>56</v>
      </c>
      <c r="C171" s="115">
        <f t="shared" si="5"/>
        <v>1</v>
      </c>
      <c r="D171" s="113" cm="1">
        <f t="array" ref="D171">INDEX('Diag-Map2-1'!$I$7:$K$100,1+B171,C171)</f>
        <v>0</v>
      </c>
    </row>
    <row r="172" spans="1:4" x14ac:dyDescent="0.75">
      <c r="A172" s="115">
        <v>170</v>
      </c>
      <c r="B172" s="115">
        <f t="shared" si="4"/>
        <v>56</v>
      </c>
      <c r="C172" s="115">
        <f t="shared" si="5"/>
        <v>2</v>
      </c>
      <c r="D172" s="113" cm="1">
        <f t="array" ref="D172">INDEX('Diag-Map2-1'!$I$7:$K$100,1+B172,C172)</f>
        <v>0</v>
      </c>
    </row>
    <row r="173" spans="1:4" x14ac:dyDescent="0.75">
      <c r="A173" s="115">
        <v>171</v>
      </c>
      <c r="B173" s="115">
        <f t="shared" si="4"/>
        <v>56</v>
      </c>
      <c r="C173" s="115">
        <f t="shared" si="5"/>
        <v>3</v>
      </c>
      <c r="D173" s="113" cm="1">
        <f t="array" ref="D173">INDEX('Diag-Map2-1'!$I$7:$K$100,1+B173,C173)</f>
        <v>0</v>
      </c>
    </row>
    <row r="174" spans="1:4" x14ac:dyDescent="0.75">
      <c r="A174" s="115">
        <v>172</v>
      </c>
      <c r="B174" s="115">
        <f t="shared" si="4"/>
        <v>57</v>
      </c>
      <c r="C174" s="115">
        <f t="shared" si="5"/>
        <v>1</v>
      </c>
      <c r="D174" s="113" cm="1">
        <f t="array" ref="D174">INDEX('Diag-Map2-1'!$I$7:$K$100,1+B174,C174)</f>
        <v>0</v>
      </c>
    </row>
    <row r="175" spans="1:4" x14ac:dyDescent="0.75">
      <c r="A175" s="115">
        <v>173</v>
      </c>
      <c r="B175" s="115">
        <f t="shared" si="4"/>
        <v>57</v>
      </c>
      <c r="C175" s="115">
        <f t="shared" si="5"/>
        <v>2</v>
      </c>
      <c r="D175" s="113" cm="1">
        <f t="array" ref="D175">INDEX('Diag-Map2-1'!$I$7:$K$100,1+B175,C175)</f>
        <v>0</v>
      </c>
    </row>
    <row r="176" spans="1:4" x14ac:dyDescent="0.75">
      <c r="A176" s="115">
        <v>174</v>
      </c>
      <c r="B176" s="115">
        <f t="shared" si="4"/>
        <v>57</v>
      </c>
      <c r="C176" s="115">
        <f t="shared" si="5"/>
        <v>3</v>
      </c>
      <c r="D176" s="113" cm="1">
        <f t="array" ref="D176">INDEX('Diag-Map2-1'!$I$7:$K$100,1+B176,C176)</f>
        <v>0</v>
      </c>
    </row>
    <row r="177" spans="1:4" x14ac:dyDescent="0.75">
      <c r="A177" s="115">
        <v>175</v>
      </c>
      <c r="B177" s="115">
        <f t="shared" si="4"/>
        <v>58</v>
      </c>
      <c r="C177" s="115">
        <f t="shared" si="5"/>
        <v>1</v>
      </c>
      <c r="D177" s="113" cm="1">
        <f t="array" ref="D177">INDEX('Diag-Map2-1'!$I$7:$K$100,1+B177,C177)</f>
        <v>0</v>
      </c>
    </row>
    <row r="178" spans="1:4" x14ac:dyDescent="0.75">
      <c r="A178" s="115">
        <v>176</v>
      </c>
      <c r="B178" s="115">
        <f t="shared" si="4"/>
        <v>58</v>
      </c>
      <c r="C178" s="115">
        <f t="shared" si="5"/>
        <v>2</v>
      </c>
      <c r="D178" s="113" cm="1">
        <f t="array" ref="D178">INDEX('Diag-Map2-1'!$I$7:$K$100,1+B178,C178)</f>
        <v>0</v>
      </c>
    </row>
    <row r="179" spans="1:4" x14ac:dyDescent="0.75">
      <c r="A179" s="115">
        <v>177</v>
      </c>
      <c r="B179" s="115">
        <f t="shared" si="4"/>
        <v>58</v>
      </c>
      <c r="C179" s="115">
        <f t="shared" si="5"/>
        <v>3</v>
      </c>
      <c r="D179" s="113" cm="1">
        <f t="array" ref="D179">INDEX('Diag-Map2-1'!$I$7:$K$100,1+B179,C179)</f>
        <v>0</v>
      </c>
    </row>
    <row r="180" spans="1:4" x14ac:dyDescent="0.75">
      <c r="A180" s="115">
        <v>178</v>
      </c>
      <c r="B180" s="115">
        <f t="shared" si="4"/>
        <v>59</v>
      </c>
      <c r="C180" s="115">
        <f t="shared" si="5"/>
        <v>1</v>
      </c>
      <c r="D180" s="113" cm="1">
        <f t="array" ref="D180">INDEX('Diag-Map2-1'!$I$7:$K$100,1+B180,C180)</f>
        <v>0</v>
      </c>
    </row>
    <row r="181" spans="1:4" x14ac:dyDescent="0.75">
      <c r="A181" s="115">
        <v>179</v>
      </c>
      <c r="B181" s="115">
        <f t="shared" si="4"/>
        <v>59</v>
      </c>
      <c r="C181" s="115">
        <f t="shared" si="5"/>
        <v>2</v>
      </c>
      <c r="D181" s="113" cm="1">
        <f t="array" ref="D181">INDEX('Diag-Map2-1'!$I$7:$K$100,1+B181,C181)</f>
        <v>0</v>
      </c>
    </row>
    <row r="182" spans="1:4" x14ac:dyDescent="0.75">
      <c r="A182" s="115">
        <v>180</v>
      </c>
      <c r="B182" s="115">
        <f t="shared" si="4"/>
        <v>59</v>
      </c>
      <c r="C182" s="115">
        <f t="shared" si="5"/>
        <v>3</v>
      </c>
      <c r="D182" s="113" cm="1">
        <f t="array" ref="D182">INDEX('Diag-Map2-1'!$I$7:$K$100,1+B182,C182)</f>
        <v>0</v>
      </c>
    </row>
    <row r="183" spans="1:4" x14ac:dyDescent="0.75">
      <c r="A183" s="115">
        <v>181</v>
      </c>
      <c r="B183" s="115">
        <f t="shared" si="4"/>
        <v>60</v>
      </c>
      <c r="C183" s="115">
        <f t="shared" si="5"/>
        <v>1</v>
      </c>
      <c r="D183" s="113" cm="1">
        <f t="array" ref="D183">INDEX('Diag-Map2-1'!$I$7:$K$100,1+B183,C183)</f>
        <v>0</v>
      </c>
    </row>
    <row r="184" spans="1:4" x14ac:dyDescent="0.75">
      <c r="A184" s="115">
        <v>182</v>
      </c>
      <c r="B184" s="115">
        <f t="shared" si="4"/>
        <v>60</v>
      </c>
      <c r="C184" s="115">
        <f t="shared" si="5"/>
        <v>2</v>
      </c>
      <c r="D184" s="113" cm="1">
        <f t="array" ref="D184">INDEX('Diag-Map2-1'!$I$7:$K$100,1+B184,C184)</f>
        <v>0</v>
      </c>
    </row>
    <row r="185" spans="1:4" x14ac:dyDescent="0.75">
      <c r="A185" s="115">
        <v>183</v>
      </c>
      <c r="B185" s="115">
        <f t="shared" si="4"/>
        <v>60</v>
      </c>
      <c r="C185" s="115">
        <f t="shared" si="5"/>
        <v>3</v>
      </c>
      <c r="D185" s="113" cm="1">
        <f t="array" ref="D185">INDEX('Diag-Map2-1'!$I$7:$K$100,1+B185,C185)</f>
        <v>0</v>
      </c>
    </row>
    <row r="186" spans="1:4" x14ac:dyDescent="0.75">
      <c r="A186" s="115">
        <v>184</v>
      </c>
      <c r="B186" s="115">
        <f t="shared" si="4"/>
        <v>61</v>
      </c>
      <c r="C186" s="115">
        <f t="shared" si="5"/>
        <v>1</v>
      </c>
      <c r="D186" s="113" cm="1">
        <f t="array" ref="D186">INDEX('Diag-Map2-1'!$I$7:$K$100,1+B186,C186)</f>
        <v>0</v>
      </c>
    </row>
    <row r="187" spans="1:4" x14ac:dyDescent="0.75">
      <c r="A187" s="115">
        <v>185</v>
      </c>
      <c r="B187" s="115">
        <f t="shared" si="4"/>
        <v>61</v>
      </c>
      <c r="C187" s="115">
        <f t="shared" si="5"/>
        <v>2</v>
      </c>
      <c r="D187" s="113" cm="1">
        <f t="array" ref="D187">INDEX('Diag-Map2-1'!$I$7:$K$100,1+B187,C187)</f>
        <v>0</v>
      </c>
    </row>
    <row r="188" spans="1:4" x14ac:dyDescent="0.75">
      <c r="A188" s="115">
        <v>186</v>
      </c>
      <c r="B188" s="115">
        <f t="shared" si="4"/>
        <v>61</v>
      </c>
      <c r="C188" s="115">
        <f t="shared" si="5"/>
        <v>3</v>
      </c>
      <c r="D188" s="113" cm="1">
        <f t="array" ref="D188">INDEX('Diag-Map2-1'!$I$7:$K$100,1+B188,C188)</f>
        <v>0</v>
      </c>
    </row>
    <row r="189" spans="1:4" x14ac:dyDescent="0.75">
      <c r="A189" s="115">
        <v>187</v>
      </c>
      <c r="B189" s="115">
        <f t="shared" si="4"/>
        <v>62</v>
      </c>
      <c r="C189" s="115">
        <f t="shared" si="5"/>
        <v>1</v>
      </c>
      <c r="D189" s="113" cm="1">
        <f t="array" ref="D189">INDEX('Diag-Map2-1'!$I$7:$K$100,1+B189,C189)</f>
        <v>0</v>
      </c>
    </row>
    <row r="190" spans="1:4" x14ac:dyDescent="0.75">
      <c r="A190" s="115">
        <v>188</v>
      </c>
      <c r="B190" s="115">
        <f t="shared" si="4"/>
        <v>62</v>
      </c>
      <c r="C190" s="115">
        <f t="shared" si="5"/>
        <v>2</v>
      </c>
      <c r="D190" s="113" cm="1">
        <f t="array" ref="D190">INDEX('Diag-Map2-1'!$I$7:$K$100,1+B190,C190)</f>
        <v>0</v>
      </c>
    </row>
    <row r="191" spans="1:4" x14ac:dyDescent="0.75">
      <c r="A191" s="115">
        <v>189</v>
      </c>
      <c r="B191" s="115">
        <f t="shared" si="4"/>
        <v>62</v>
      </c>
      <c r="C191" s="115">
        <f t="shared" si="5"/>
        <v>3</v>
      </c>
      <c r="D191" s="113" cm="1">
        <f t="array" ref="D191">INDEX('Diag-Map2-1'!$I$7:$K$100,1+B191,C191)</f>
        <v>0</v>
      </c>
    </row>
    <row r="192" spans="1:4" x14ac:dyDescent="0.75">
      <c r="A192" s="115">
        <v>190</v>
      </c>
      <c r="B192" s="115">
        <f t="shared" si="4"/>
        <v>63</v>
      </c>
      <c r="C192" s="115">
        <f t="shared" si="5"/>
        <v>1</v>
      </c>
      <c r="D192" s="113" cm="1">
        <f t="array" ref="D192">INDEX('Diag-Map2-1'!$I$7:$K$100,1+B192,C192)</f>
        <v>0</v>
      </c>
    </row>
    <row r="193" spans="1:4" x14ac:dyDescent="0.75">
      <c r="A193" s="115">
        <v>191</v>
      </c>
      <c r="B193" s="115">
        <f t="shared" si="4"/>
        <v>63</v>
      </c>
      <c r="C193" s="115">
        <f t="shared" si="5"/>
        <v>2</v>
      </c>
      <c r="D193" s="113" cm="1">
        <f t="array" ref="D193">INDEX('Diag-Map2-1'!$I$7:$K$100,1+B193,C193)</f>
        <v>0</v>
      </c>
    </row>
    <row r="194" spans="1:4" x14ac:dyDescent="0.75">
      <c r="A194" s="115">
        <v>192</v>
      </c>
      <c r="B194" s="115">
        <f t="shared" si="4"/>
        <v>63</v>
      </c>
      <c r="C194" s="115">
        <f t="shared" si="5"/>
        <v>3</v>
      </c>
      <c r="D194" s="113" cm="1">
        <f t="array" ref="D194">INDEX('Diag-Map2-1'!$I$7:$K$100,1+B194,C194)</f>
        <v>0</v>
      </c>
    </row>
    <row r="195" spans="1:4" x14ac:dyDescent="0.75">
      <c r="A195" s="115">
        <v>193</v>
      </c>
      <c r="B195" s="115">
        <f t="shared" si="4"/>
        <v>64</v>
      </c>
      <c r="C195" s="115">
        <f t="shared" si="5"/>
        <v>1</v>
      </c>
      <c r="D195" s="113" cm="1">
        <f t="array" ref="D195">INDEX('Diag-Map2-1'!$I$7:$K$100,1+B195,C195)</f>
        <v>0</v>
      </c>
    </row>
    <row r="196" spans="1:4" x14ac:dyDescent="0.75">
      <c r="A196" s="115">
        <v>194</v>
      </c>
      <c r="B196" s="115">
        <f t="shared" ref="B196:B206" si="6">IF(MOD(A196,3)=0,A196/3-1,INT(A196/3))</f>
        <v>64</v>
      </c>
      <c r="C196" s="115">
        <f t="shared" ref="C196:C206" si="7">IF(MOD(A196,3)=0,3,MOD(A196,3))</f>
        <v>2</v>
      </c>
      <c r="D196" s="113" cm="1">
        <f t="array" ref="D196">INDEX('Diag-Map2-1'!$I$7:$K$100,1+B196,C196)</f>
        <v>0</v>
      </c>
    </row>
    <row r="197" spans="1:4" x14ac:dyDescent="0.75">
      <c r="A197" s="115">
        <v>195</v>
      </c>
      <c r="B197" s="115">
        <f t="shared" si="6"/>
        <v>64</v>
      </c>
      <c r="C197" s="115">
        <f t="shared" si="7"/>
        <v>3</v>
      </c>
      <c r="D197" s="113" cm="1">
        <f t="array" ref="D197">INDEX('Diag-Map2-1'!$I$7:$K$100,1+B197,C197)</f>
        <v>0</v>
      </c>
    </row>
    <row r="198" spans="1:4" x14ac:dyDescent="0.75">
      <c r="A198" s="115">
        <v>196</v>
      </c>
      <c r="B198" s="115">
        <f t="shared" si="6"/>
        <v>65</v>
      </c>
      <c r="C198" s="115">
        <f t="shared" si="7"/>
        <v>1</v>
      </c>
      <c r="D198" s="113" cm="1">
        <f t="array" ref="D198">INDEX('Diag-Map2-1'!$I$7:$K$100,1+B198,C198)</f>
        <v>0</v>
      </c>
    </row>
    <row r="199" spans="1:4" x14ac:dyDescent="0.75">
      <c r="A199" s="115">
        <v>197</v>
      </c>
      <c r="B199" s="115">
        <f t="shared" si="6"/>
        <v>65</v>
      </c>
      <c r="C199" s="115">
        <f t="shared" si="7"/>
        <v>2</v>
      </c>
      <c r="D199" s="113" cm="1">
        <f t="array" ref="D199">INDEX('Diag-Map2-1'!$I$7:$K$100,1+B199,C199)</f>
        <v>0</v>
      </c>
    </row>
    <row r="200" spans="1:4" x14ac:dyDescent="0.75">
      <c r="A200" s="115">
        <v>198</v>
      </c>
      <c r="B200" s="115">
        <f t="shared" si="6"/>
        <v>65</v>
      </c>
      <c r="C200" s="115">
        <f t="shared" si="7"/>
        <v>3</v>
      </c>
      <c r="D200" s="113" cm="1">
        <f t="array" ref="D200">INDEX('Diag-Map2-1'!$I$7:$K$100,1+B200,C200)</f>
        <v>0</v>
      </c>
    </row>
    <row r="201" spans="1:4" x14ac:dyDescent="0.75">
      <c r="A201" s="115">
        <v>199</v>
      </c>
      <c r="B201" s="115">
        <f t="shared" si="6"/>
        <v>66</v>
      </c>
      <c r="C201" s="115">
        <f t="shared" si="7"/>
        <v>1</v>
      </c>
      <c r="D201" s="113" cm="1">
        <f t="array" ref="D201">INDEX('Diag-Map2-1'!$I$7:$K$100,1+B201,C201)</f>
        <v>0</v>
      </c>
    </row>
    <row r="202" spans="1:4" x14ac:dyDescent="0.75">
      <c r="A202" s="115">
        <v>200</v>
      </c>
      <c r="B202" s="115">
        <f t="shared" si="6"/>
        <v>66</v>
      </c>
      <c r="C202" s="115">
        <f t="shared" si="7"/>
        <v>2</v>
      </c>
      <c r="D202" s="113" cm="1">
        <f t="array" ref="D202">INDEX('Diag-Map2-1'!$I$7:$K$100,1+B202,C202)</f>
        <v>0</v>
      </c>
    </row>
    <row r="203" spans="1:4" x14ac:dyDescent="0.75">
      <c r="A203" s="115">
        <v>201</v>
      </c>
      <c r="B203" s="115">
        <f t="shared" si="6"/>
        <v>66</v>
      </c>
      <c r="C203" s="115">
        <f t="shared" si="7"/>
        <v>3</v>
      </c>
      <c r="D203" s="113" cm="1">
        <f t="array" ref="D203">INDEX('Diag-Map2-1'!$I$7:$K$100,1+B203,C203)</f>
        <v>0</v>
      </c>
    </row>
    <row r="204" spans="1:4" x14ac:dyDescent="0.75">
      <c r="A204" s="115">
        <v>202</v>
      </c>
      <c r="B204" s="115">
        <f t="shared" si="6"/>
        <v>67</v>
      </c>
      <c r="C204" s="115">
        <f t="shared" si="7"/>
        <v>1</v>
      </c>
      <c r="D204" s="113" cm="1">
        <f t="array" ref="D204">INDEX('Diag-Map2-1'!$I$7:$K$100,1+B204,C204)</f>
        <v>0</v>
      </c>
    </row>
    <row r="205" spans="1:4" x14ac:dyDescent="0.75">
      <c r="A205" s="115">
        <v>203</v>
      </c>
      <c r="B205" s="115">
        <f t="shared" si="6"/>
        <v>67</v>
      </c>
      <c r="C205" s="115">
        <f t="shared" si="7"/>
        <v>2</v>
      </c>
      <c r="D205" s="113" cm="1">
        <f t="array" ref="D205">INDEX('Diag-Map2-1'!$I$7:$K$100,1+B205,C205)</f>
        <v>0</v>
      </c>
    </row>
    <row r="206" spans="1:4" x14ac:dyDescent="0.75">
      <c r="A206" s="115">
        <v>204</v>
      </c>
      <c r="B206" s="115">
        <f t="shared" si="6"/>
        <v>67</v>
      </c>
      <c r="C206" s="115">
        <f t="shared" si="7"/>
        <v>3</v>
      </c>
      <c r="D206" s="113" cm="1">
        <f t="array" ref="D206">INDEX('Diag-Map2-1'!$I$7:$K$100,1+B206,C206)</f>
        <v>0</v>
      </c>
    </row>
    <row r="207" spans="1:4" x14ac:dyDescent="0.75">
      <c r="A207" s="115"/>
      <c r="B207" s="115"/>
      <c r="C207" s="115"/>
    </row>
    <row r="208" spans="1:4" x14ac:dyDescent="0.75">
      <c r="A208" s="115"/>
      <c r="B208" s="115"/>
      <c r="C208" s="115"/>
    </row>
    <row r="209" spans="1:3" x14ac:dyDescent="0.75">
      <c r="A209" s="115"/>
      <c r="B209" s="115"/>
      <c r="C209" s="115"/>
    </row>
    <row r="210" spans="1:3" x14ac:dyDescent="0.75">
      <c r="A210" s="115"/>
      <c r="B210" s="115"/>
      <c r="C210" s="115"/>
    </row>
    <row r="211" spans="1:3" x14ac:dyDescent="0.75">
      <c r="A211" s="115"/>
      <c r="B211" s="115"/>
      <c r="C211" s="115"/>
    </row>
    <row r="212" spans="1:3" x14ac:dyDescent="0.75">
      <c r="A212" s="115"/>
      <c r="B212" s="115"/>
      <c r="C212" s="115"/>
    </row>
    <row r="213" spans="1:3" x14ac:dyDescent="0.75">
      <c r="A213" s="115"/>
      <c r="B213" s="115"/>
      <c r="C213" s="115"/>
    </row>
    <row r="214" spans="1:3" x14ac:dyDescent="0.75">
      <c r="A214" s="115"/>
      <c r="B214" s="115"/>
      <c r="C214" s="115"/>
    </row>
    <row r="215" spans="1:3" x14ac:dyDescent="0.75">
      <c r="A215" s="115"/>
      <c r="B215" s="115"/>
      <c r="C215" s="115"/>
    </row>
    <row r="216" spans="1:3" x14ac:dyDescent="0.75">
      <c r="A216" s="115"/>
      <c r="B216" s="115"/>
      <c r="C216" s="115"/>
    </row>
    <row r="217" spans="1:3" x14ac:dyDescent="0.75">
      <c r="A217" s="115"/>
      <c r="B217" s="115"/>
      <c r="C217" s="115"/>
    </row>
    <row r="218" spans="1:3" x14ac:dyDescent="0.75">
      <c r="A218" s="115"/>
      <c r="B218" s="115"/>
      <c r="C218" s="115"/>
    </row>
    <row r="219" spans="1:3" x14ac:dyDescent="0.75">
      <c r="A219" s="115"/>
      <c r="B219" s="115"/>
      <c r="C219" s="115"/>
    </row>
    <row r="220" spans="1:3" x14ac:dyDescent="0.75">
      <c r="A220" s="115"/>
      <c r="B220" s="115"/>
      <c r="C220" s="115"/>
    </row>
    <row r="221" spans="1:3" x14ac:dyDescent="0.75">
      <c r="A221" s="115"/>
      <c r="B221" s="115"/>
      <c r="C221" s="115"/>
    </row>
    <row r="222" spans="1:3" x14ac:dyDescent="0.75">
      <c r="A222" s="115"/>
      <c r="B222" s="115"/>
      <c r="C222" s="115"/>
    </row>
    <row r="223" spans="1:3" x14ac:dyDescent="0.75">
      <c r="A223" s="115"/>
      <c r="B223" s="115"/>
      <c r="C223" s="115"/>
    </row>
    <row r="224" spans="1:3" x14ac:dyDescent="0.75">
      <c r="A224" s="115"/>
      <c r="B224" s="115"/>
      <c r="C224" s="115"/>
    </row>
    <row r="225" spans="1:3" x14ac:dyDescent="0.75">
      <c r="A225" s="115"/>
      <c r="B225" s="115"/>
      <c r="C225" s="115"/>
    </row>
    <row r="226" spans="1:3" x14ac:dyDescent="0.75">
      <c r="A226" s="115"/>
      <c r="B226" s="115"/>
      <c r="C226" s="115"/>
    </row>
    <row r="227" spans="1:3" x14ac:dyDescent="0.75">
      <c r="A227" s="115"/>
      <c r="B227" s="115"/>
      <c r="C227" s="115"/>
    </row>
    <row r="228" spans="1:3" x14ac:dyDescent="0.75">
      <c r="A228" s="115"/>
      <c r="B228" s="115"/>
      <c r="C228" s="115"/>
    </row>
    <row r="229" spans="1:3" x14ac:dyDescent="0.75">
      <c r="A229" s="115"/>
      <c r="B229" s="115"/>
      <c r="C229" s="115"/>
    </row>
    <row r="230" spans="1:3" x14ac:dyDescent="0.75">
      <c r="A230" s="115"/>
      <c r="B230" s="115"/>
      <c r="C230" s="115"/>
    </row>
    <row r="231" spans="1:3" x14ac:dyDescent="0.75">
      <c r="A231" s="115"/>
      <c r="B231" s="115"/>
      <c r="C231" s="115"/>
    </row>
    <row r="232" spans="1:3" x14ac:dyDescent="0.75">
      <c r="A232" s="115"/>
      <c r="B232" s="115"/>
      <c r="C232" s="115"/>
    </row>
    <row r="233" spans="1:3" x14ac:dyDescent="0.75">
      <c r="A233" s="115"/>
      <c r="B233" s="115"/>
      <c r="C233" s="115"/>
    </row>
    <row r="234" spans="1:3" x14ac:dyDescent="0.75">
      <c r="A234" s="115"/>
      <c r="B234" s="115"/>
      <c r="C234" s="115"/>
    </row>
    <row r="235" spans="1:3" x14ac:dyDescent="0.75">
      <c r="A235" s="115"/>
      <c r="B235" s="115"/>
      <c r="C235" s="115"/>
    </row>
    <row r="236" spans="1:3" x14ac:dyDescent="0.75">
      <c r="A236" s="115"/>
      <c r="B236" s="115"/>
      <c r="C236" s="115"/>
    </row>
    <row r="237" spans="1:3" x14ac:dyDescent="0.75">
      <c r="A237" s="115"/>
      <c r="B237" s="115"/>
      <c r="C237" s="115"/>
    </row>
    <row r="238" spans="1:3" x14ac:dyDescent="0.75">
      <c r="A238" s="115"/>
      <c r="B238" s="115"/>
      <c r="C238" s="115"/>
    </row>
    <row r="239" spans="1:3" x14ac:dyDescent="0.75">
      <c r="A239" s="115"/>
      <c r="B239" s="115"/>
      <c r="C239" s="115"/>
    </row>
    <row r="240" spans="1:3" x14ac:dyDescent="0.75">
      <c r="A240" s="115"/>
      <c r="B240" s="115"/>
      <c r="C240" s="115"/>
    </row>
    <row r="241" spans="1:3" x14ac:dyDescent="0.75">
      <c r="A241" s="115"/>
      <c r="B241" s="115"/>
      <c r="C241" s="115"/>
    </row>
    <row r="242" spans="1:3" x14ac:dyDescent="0.75">
      <c r="A242" s="115"/>
      <c r="B242" s="115"/>
      <c r="C242" s="115"/>
    </row>
    <row r="243" spans="1:3" x14ac:dyDescent="0.75">
      <c r="A243" s="115"/>
      <c r="B243" s="115"/>
      <c r="C243" s="115"/>
    </row>
    <row r="244" spans="1:3" x14ac:dyDescent="0.75">
      <c r="A244" s="115"/>
      <c r="B244" s="115"/>
      <c r="C244" s="115"/>
    </row>
    <row r="245" spans="1:3" x14ac:dyDescent="0.75">
      <c r="A245" s="115"/>
      <c r="B245" s="115"/>
      <c r="C245" s="115"/>
    </row>
    <row r="246" spans="1:3" x14ac:dyDescent="0.75">
      <c r="A246" s="115"/>
      <c r="B246" s="115"/>
      <c r="C246" s="115"/>
    </row>
    <row r="247" spans="1:3" x14ac:dyDescent="0.75">
      <c r="A247" s="115"/>
      <c r="B247" s="115"/>
      <c r="C247" s="115"/>
    </row>
    <row r="248" spans="1:3" x14ac:dyDescent="0.75">
      <c r="A248" s="115"/>
      <c r="B248" s="115"/>
      <c r="C248" s="115"/>
    </row>
    <row r="249" spans="1:3" x14ac:dyDescent="0.75">
      <c r="A249" s="115"/>
      <c r="B249" s="115"/>
      <c r="C249" s="115"/>
    </row>
    <row r="250" spans="1:3" x14ac:dyDescent="0.75">
      <c r="A250" s="115"/>
      <c r="B250" s="115"/>
      <c r="C250" s="115"/>
    </row>
    <row r="251" spans="1:3" x14ac:dyDescent="0.75">
      <c r="A251" s="115"/>
      <c r="B251" s="115"/>
      <c r="C251" s="115"/>
    </row>
    <row r="252" spans="1:3" x14ac:dyDescent="0.75">
      <c r="A252" s="115"/>
      <c r="B252" s="115"/>
      <c r="C252" s="115"/>
    </row>
    <row r="253" spans="1:3" x14ac:dyDescent="0.75">
      <c r="A253" s="115"/>
      <c r="B253" s="115"/>
      <c r="C253" s="115"/>
    </row>
    <row r="254" spans="1:3" x14ac:dyDescent="0.75">
      <c r="A254" s="115"/>
      <c r="B254" s="115"/>
      <c r="C254" s="115"/>
    </row>
    <row r="255" spans="1:3" x14ac:dyDescent="0.75">
      <c r="A255" s="115"/>
      <c r="B255" s="115"/>
      <c r="C255" s="115"/>
    </row>
    <row r="256" spans="1:3" x14ac:dyDescent="0.75">
      <c r="A256" s="115"/>
      <c r="B256" s="115"/>
      <c r="C256" s="115"/>
    </row>
    <row r="257" spans="1:3" x14ac:dyDescent="0.75">
      <c r="A257" s="115"/>
      <c r="B257" s="115"/>
      <c r="C257" s="115"/>
    </row>
    <row r="258" spans="1:3" x14ac:dyDescent="0.75">
      <c r="A258" s="115"/>
      <c r="B258" s="115"/>
      <c r="C258" s="115"/>
    </row>
    <row r="259" spans="1:3" x14ac:dyDescent="0.75">
      <c r="A259" s="115"/>
      <c r="B259" s="115"/>
      <c r="C259" s="115"/>
    </row>
    <row r="260" spans="1:3" x14ac:dyDescent="0.75">
      <c r="A260" s="115"/>
      <c r="B260" s="115"/>
      <c r="C260" s="115"/>
    </row>
    <row r="261" spans="1:3" x14ac:dyDescent="0.75">
      <c r="A261" s="115"/>
      <c r="B261" s="115"/>
      <c r="C261" s="115"/>
    </row>
    <row r="262" spans="1:3" x14ac:dyDescent="0.75">
      <c r="A262" s="115"/>
      <c r="B262" s="115"/>
      <c r="C262" s="115"/>
    </row>
    <row r="263" spans="1:3" x14ac:dyDescent="0.75">
      <c r="A263" s="115"/>
      <c r="B263" s="115"/>
      <c r="C263" s="115"/>
    </row>
    <row r="264" spans="1:3" x14ac:dyDescent="0.75">
      <c r="A264" s="115"/>
      <c r="B264" s="115"/>
      <c r="C264" s="115"/>
    </row>
    <row r="265" spans="1:3" x14ac:dyDescent="0.75">
      <c r="A265" s="115"/>
      <c r="B265" s="115"/>
      <c r="C265" s="115"/>
    </row>
    <row r="266" spans="1:3" x14ac:dyDescent="0.75">
      <c r="A266" s="115"/>
      <c r="B266" s="115"/>
      <c r="C266" s="115"/>
    </row>
    <row r="267" spans="1:3" x14ac:dyDescent="0.75">
      <c r="A267" s="115"/>
      <c r="B267" s="115"/>
      <c r="C267" s="115"/>
    </row>
    <row r="268" spans="1:3" x14ac:dyDescent="0.75">
      <c r="A268" s="115"/>
      <c r="B268" s="115"/>
      <c r="C268" s="115"/>
    </row>
    <row r="269" spans="1:3" x14ac:dyDescent="0.75">
      <c r="A269" s="115"/>
      <c r="B269" s="115"/>
      <c r="C269" s="115"/>
    </row>
    <row r="270" spans="1:3" x14ac:dyDescent="0.75">
      <c r="A270" s="115"/>
      <c r="B270" s="115"/>
      <c r="C270" s="115"/>
    </row>
    <row r="271" spans="1:3" x14ac:dyDescent="0.75">
      <c r="A271" s="115"/>
      <c r="B271" s="115"/>
      <c r="C271" s="115"/>
    </row>
    <row r="272" spans="1:3" x14ac:dyDescent="0.75">
      <c r="A272" s="115"/>
      <c r="B272" s="115"/>
      <c r="C272" s="115"/>
    </row>
    <row r="273" spans="1:3" x14ac:dyDescent="0.75">
      <c r="A273" s="115"/>
      <c r="B273" s="115"/>
      <c r="C273" s="115"/>
    </row>
    <row r="274" spans="1:3" x14ac:dyDescent="0.75">
      <c r="A274" s="115"/>
      <c r="B274" s="115"/>
      <c r="C274" s="115"/>
    </row>
    <row r="275" spans="1:3" x14ac:dyDescent="0.75">
      <c r="A275" s="115"/>
      <c r="B275" s="115"/>
      <c r="C275" s="115"/>
    </row>
    <row r="276" spans="1:3" x14ac:dyDescent="0.75">
      <c r="A276" s="115"/>
      <c r="B276" s="115"/>
      <c r="C276" s="115"/>
    </row>
    <row r="277" spans="1:3" x14ac:dyDescent="0.75">
      <c r="A277" s="115"/>
      <c r="B277" s="115"/>
      <c r="C277" s="115"/>
    </row>
    <row r="278" spans="1:3" x14ac:dyDescent="0.75">
      <c r="A278" s="115"/>
      <c r="B278" s="115"/>
      <c r="C278" s="115"/>
    </row>
    <row r="279" spans="1:3" x14ac:dyDescent="0.75">
      <c r="A279" s="115"/>
      <c r="B279" s="115"/>
      <c r="C279" s="115"/>
    </row>
    <row r="280" spans="1:3" x14ac:dyDescent="0.75">
      <c r="A280" s="115"/>
      <c r="B280" s="115"/>
      <c r="C280" s="115"/>
    </row>
    <row r="281" spans="1:3" x14ac:dyDescent="0.75">
      <c r="A281" s="115"/>
      <c r="B281" s="115"/>
      <c r="C281" s="115"/>
    </row>
    <row r="282" spans="1:3" x14ac:dyDescent="0.75">
      <c r="A282" s="115"/>
      <c r="B282" s="115"/>
      <c r="C282" s="115"/>
    </row>
    <row r="283" spans="1:3" x14ac:dyDescent="0.75">
      <c r="A283" s="115"/>
      <c r="B283" s="115"/>
      <c r="C283" s="115"/>
    </row>
    <row r="284" spans="1:3" x14ac:dyDescent="0.75">
      <c r="A284" s="115"/>
      <c r="B284" s="115"/>
      <c r="C284" s="115"/>
    </row>
    <row r="285" spans="1:3" x14ac:dyDescent="0.75">
      <c r="A285" s="115"/>
      <c r="B285" s="115"/>
      <c r="C285" s="115"/>
    </row>
    <row r="286" spans="1:3" x14ac:dyDescent="0.75">
      <c r="A286" s="115"/>
      <c r="B286" s="115"/>
      <c r="C286" s="115"/>
    </row>
    <row r="287" spans="1:3" x14ac:dyDescent="0.75">
      <c r="A287" s="115"/>
      <c r="B287" s="115"/>
      <c r="C287" s="115"/>
    </row>
    <row r="288" spans="1:3" x14ac:dyDescent="0.75">
      <c r="A288" s="115"/>
      <c r="B288" s="115"/>
      <c r="C288" s="115"/>
    </row>
    <row r="289" spans="1:3" x14ac:dyDescent="0.75">
      <c r="A289" s="115"/>
      <c r="B289" s="115"/>
      <c r="C289" s="115"/>
    </row>
    <row r="290" spans="1:3" x14ac:dyDescent="0.75">
      <c r="A290" s="115"/>
      <c r="B290" s="115"/>
      <c r="C290" s="115"/>
    </row>
    <row r="291" spans="1:3" x14ac:dyDescent="0.75">
      <c r="A291" s="115"/>
      <c r="B291" s="115"/>
      <c r="C291" s="115"/>
    </row>
    <row r="292" spans="1:3" x14ac:dyDescent="0.75">
      <c r="A292" s="115"/>
      <c r="B292" s="115"/>
      <c r="C292" s="115"/>
    </row>
    <row r="293" spans="1:3" x14ac:dyDescent="0.75">
      <c r="A293" s="115"/>
      <c r="B293" s="115"/>
      <c r="C293" s="115"/>
    </row>
    <row r="294" spans="1:3" x14ac:dyDescent="0.75">
      <c r="A294" s="115"/>
      <c r="B294" s="115"/>
      <c r="C294" s="115"/>
    </row>
    <row r="295" spans="1:3" x14ac:dyDescent="0.75">
      <c r="A295" s="115"/>
      <c r="B295" s="115"/>
      <c r="C295" s="115"/>
    </row>
    <row r="296" spans="1:3" x14ac:dyDescent="0.75">
      <c r="A296" s="115"/>
      <c r="B296" s="115"/>
      <c r="C296" s="115"/>
    </row>
    <row r="297" spans="1:3" x14ac:dyDescent="0.75">
      <c r="A297" s="115"/>
      <c r="B297" s="115"/>
      <c r="C297" s="115"/>
    </row>
    <row r="298" spans="1:3" x14ac:dyDescent="0.75">
      <c r="A298" s="115"/>
      <c r="B298" s="115"/>
      <c r="C298" s="115"/>
    </row>
    <row r="299" spans="1:3" x14ac:dyDescent="0.75">
      <c r="A299" s="115"/>
      <c r="B299" s="115"/>
      <c r="C299" s="115"/>
    </row>
    <row r="300" spans="1:3" x14ac:dyDescent="0.75">
      <c r="A300" s="115"/>
      <c r="B300" s="115"/>
      <c r="C300" s="115"/>
    </row>
    <row r="301" spans="1:3" x14ac:dyDescent="0.75">
      <c r="A301" s="115"/>
      <c r="B301" s="115"/>
      <c r="C301" s="115"/>
    </row>
    <row r="302" spans="1:3" x14ac:dyDescent="0.75">
      <c r="A302" s="115"/>
      <c r="B302" s="115"/>
      <c r="C302" s="115"/>
    </row>
    <row r="303" spans="1:3" x14ac:dyDescent="0.75">
      <c r="A303" s="115"/>
      <c r="B303" s="115"/>
      <c r="C303" s="115"/>
    </row>
    <row r="304" spans="1:3" x14ac:dyDescent="0.75">
      <c r="A304" s="115"/>
      <c r="B304" s="115"/>
      <c r="C304" s="115"/>
    </row>
    <row r="305" spans="1:3" x14ac:dyDescent="0.75">
      <c r="A305" s="115"/>
      <c r="B305" s="115"/>
      <c r="C305" s="115"/>
    </row>
    <row r="306" spans="1:3" x14ac:dyDescent="0.75">
      <c r="A306" s="115"/>
      <c r="B306" s="115"/>
      <c r="C306" s="115"/>
    </row>
    <row r="307" spans="1:3" x14ac:dyDescent="0.75">
      <c r="A307" s="115"/>
      <c r="B307" s="115"/>
      <c r="C307" s="115"/>
    </row>
    <row r="308" spans="1:3" x14ac:dyDescent="0.75">
      <c r="A308" s="115"/>
      <c r="B308" s="115"/>
      <c r="C308" s="115"/>
    </row>
    <row r="309" spans="1:3" x14ac:dyDescent="0.75">
      <c r="A309" s="115"/>
      <c r="B309" s="115"/>
      <c r="C309" s="115"/>
    </row>
    <row r="310" spans="1:3" x14ac:dyDescent="0.75">
      <c r="A310" s="115"/>
      <c r="B310" s="115"/>
      <c r="C310" s="115"/>
    </row>
    <row r="311" spans="1:3" x14ac:dyDescent="0.75">
      <c r="A311" s="115"/>
      <c r="B311" s="115"/>
      <c r="C311" s="115"/>
    </row>
    <row r="312" spans="1:3" x14ac:dyDescent="0.75">
      <c r="A312" s="115"/>
      <c r="B312" s="115"/>
      <c r="C312" s="115"/>
    </row>
    <row r="313" spans="1:3" x14ac:dyDescent="0.75">
      <c r="A313" s="115"/>
      <c r="B313" s="115"/>
      <c r="C313" s="115"/>
    </row>
    <row r="314" spans="1:3" x14ac:dyDescent="0.75">
      <c r="A314" s="115"/>
      <c r="B314" s="115"/>
      <c r="C314" s="115"/>
    </row>
    <row r="315" spans="1:3" x14ac:dyDescent="0.75">
      <c r="A315" s="115"/>
      <c r="B315" s="115"/>
      <c r="C315" s="115"/>
    </row>
    <row r="316" spans="1:3" x14ac:dyDescent="0.75">
      <c r="A316" s="115"/>
      <c r="B316" s="115"/>
      <c r="C316" s="115"/>
    </row>
    <row r="317" spans="1:3" x14ac:dyDescent="0.75">
      <c r="A317" s="115"/>
      <c r="B317" s="115"/>
      <c r="C317" s="115"/>
    </row>
    <row r="318" spans="1:3" x14ac:dyDescent="0.75">
      <c r="A318" s="115"/>
      <c r="B318" s="115"/>
      <c r="C318" s="115"/>
    </row>
    <row r="319" spans="1:3" x14ac:dyDescent="0.75">
      <c r="A319" s="115"/>
      <c r="B319" s="115"/>
      <c r="C319" s="115"/>
    </row>
    <row r="320" spans="1:3" x14ac:dyDescent="0.75">
      <c r="A320" s="115"/>
      <c r="B320" s="115"/>
      <c r="C320" s="115"/>
    </row>
    <row r="321" spans="1:3" x14ac:dyDescent="0.75">
      <c r="A321" s="115"/>
      <c r="B321" s="115"/>
      <c r="C321" s="115"/>
    </row>
    <row r="322" spans="1:3" x14ac:dyDescent="0.75">
      <c r="A322" s="115"/>
      <c r="B322" s="115"/>
      <c r="C322" s="115"/>
    </row>
    <row r="323" spans="1:3" x14ac:dyDescent="0.75">
      <c r="A323" s="115"/>
      <c r="B323" s="115"/>
      <c r="C323" s="115"/>
    </row>
    <row r="324" spans="1:3" x14ac:dyDescent="0.75">
      <c r="A324" s="115"/>
      <c r="B324" s="115"/>
      <c r="C324" s="115"/>
    </row>
    <row r="325" spans="1:3" x14ac:dyDescent="0.75">
      <c r="A325" s="115"/>
      <c r="B325" s="115"/>
      <c r="C325" s="115"/>
    </row>
    <row r="326" spans="1:3" x14ac:dyDescent="0.75">
      <c r="A326" s="115"/>
      <c r="B326" s="115"/>
      <c r="C326" s="115"/>
    </row>
    <row r="327" spans="1:3" x14ac:dyDescent="0.75">
      <c r="A327" s="115"/>
      <c r="B327" s="115"/>
      <c r="C327" s="115"/>
    </row>
    <row r="328" spans="1:3" x14ac:dyDescent="0.75">
      <c r="A328" s="115"/>
      <c r="B328" s="115"/>
      <c r="C328" s="115"/>
    </row>
    <row r="329" spans="1:3" x14ac:dyDescent="0.75">
      <c r="A329" s="115"/>
      <c r="B329" s="115"/>
      <c r="C329" s="115"/>
    </row>
    <row r="330" spans="1:3" x14ac:dyDescent="0.75">
      <c r="A330" s="115"/>
      <c r="B330" s="115"/>
      <c r="C330" s="115"/>
    </row>
    <row r="331" spans="1:3" x14ac:dyDescent="0.75">
      <c r="A331" s="115"/>
      <c r="B331" s="115"/>
      <c r="C331" s="115"/>
    </row>
    <row r="332" spans="1:3" x14ac:dyDescent="0.75">
      <c r="A332" s="115"/>
      <c r="B332" s="115"/>
      <c r="C332" s="115"/>
    </row>
    <row r="333" spans="1:3" x14ac:dyDescent="0.75">
      <c r="A333" s="115"/>
      <c r="B333" s="115"/>
      <c r="C333" s="115"/>
    </row>
    <row r="334" spans="1:3" x14ac:dyDescent="0.75">
      <c r="A334" s="115"/>
      <c r="B334" s="115"/>
      <c r="C334" s="115"/>
    </row>
    <row r="335" spans="1:3" x14ac:dyDescent="0.75">
      <c r="A335" s="115"/>
      <c r="B335" s="115"/>
      <c r="C335" s="115"/>
    </row>
    <row r="336" spans="1:3" x14ac:dyDescent="0.75">
      <c r="A336" s="115"/>
      <c r="B336" s="115"/>
      <c r="C336" s="115"/>
    </row>
    <row r="337" spans="1:3" x14ac:dyDescent="0.75">
      <c r="A337" s="115"/>
      <c r="B337" s="115"/>
      <c r="C337" s="115"/>
    </row>
    <row r="338" spans="1:3" x14ac:dyDescent="0.75">
      <c r="A338" s="115"/>
      <c r="B338" s="115"/>
      <c r="C338" s="115"/>
    </row>
    <row r="339" spans="1:3" x14ac:dyDescent="0.75">
      <c r="A339" s="115"/>
      <c r="B339" s="115"/>
      <c r="C339" s="115"/>
    </row>
    <row r="340" spans="1:3" x14ac:dyDescent="0.75">
      <c r="A340" s="115"/>
      <c r="B340" s="115"/>
      <c r="C340" s="115"/>
    </row>
    <row r="341" spans="1:3" x14ac:dyDescent="0.75">
      <c r="A341" s="115"/>
      <c r="B341" s="115"/>
      <c r="C341" s="115"/>
    </row>
    <row r="342" spans="1:3" x14ac:dyDescent="0.75">
      <c r="A342" s="115"/>
      <c r="B342" s="115"/>
      <c r="C342" s="115"/>
    </row>
    <row r="343" spans="1:3" x14ac:dyDescent="0.75">
      <c r="A343" s="115"/>
      <c r="B343" s="115"/>
      <c r="C343" s="115"/>
    </row>
    <row r="344" spans="1:3" x14ac:dyDescent="0.75">
      <c r="A344" s="115"/>
      <c r="B344" s="115"/>
      <c r="C344" s="115"/>
    </row>
    <row r="345" spans="1:3" x14ac:dyDescent="0.75">
      <c r="A345" s="115"/>
      <c r="B345" s="115"/>
      <c r="C345" s="115"/>
    </row>
    <row r="346" spans="1:3" x14ac:dyDescent="0.75">
      <c r="A346" s="115"/>
      <c r="B346" s="115"/>
      <c r="C346" s="115"/>
    </row>
    <row r="347" spans="1:3" x14ac:dyDescent="0.75">
      <c r="A347" s="115"/>
      <c r="B347" s="115"/>
      <c r="C347" s="115"/>
    </row>
    <row r="348" spans="1:3" x14ac:dyDescent="0.75">
      <c r="A348" s="115"/>
      <c r="B348" s="115"/>
      <c r="C348" s="115"/>
    </row>
    <row r="349" spans="1:3" x14ac:dyDescent="0.75">
      <c r="A349" s="115"/>
      <c r="B349" s="115"/>
      <c r="C349" s="115"/>
    </row>
    <row r="350" spans="1:3" x14ac:dyDescent="0.75">
      <c r="A350" s="115"/>
      <c r="B350" s="115"/>
      <c r="C350" s="115"/>
    </row>
    <row r="351" spans="1:3" x14ac:dyDescent="0.75">
      <c r="A351" s="115"/>
      <c r="B351" s="115"/>
      <c r="C351" s="115"/>
    </row>
    <row r="352" spans="1:3" x14ac:dyDescent="0.75">
      <c r="A352" s="115"/>
      <c r="B352" s="115"/>
      <c r="C352" s="115"/>
    </row>
    <row r="353" spans="1:3" x14ac:dyDescent="0.75">
      <c r="A353" s="115"/>
      <c r="B353" s="115"/>
      <c r="C353" s="115"/>
    </row>
    <row r="354" spans="1:3" x14ac:dyDescent="0.75">
      <c r="A354" s="115"/>
      <c r="B354" s="115"/>
      <c r="C354" s="115"/>
    </row>
    <row r="355" spans="1:3" x14ac:dyDescent="0.75">
      <c r="A355" s="115"/>
      <c r="B355" s="115"/>
      <c r="C355" s="115"/>
    </row>
    <row r="356" spans="1:3" x14ac:dyDescent="0.75">
      <c r="A356" s="115"/>
      <c r="B356" s="115"/>
      <c r="C356" s="115"/>
    </row>
    <row r="357" spans="1:3" x14ac:dyDescent="0.75">
      <c r="A357" s="115"/>
      <c r="B357" s="115"/>
      <c r="C357" s="115"/>
    </row>
    <row r="358" spans="1:3" x14ac:dyDescent="0.75">
      <c r="A358" s="115"/>
      <c r="B358" s="115"/>
      <c r="C358" s="115"/>
    </row>
    <row r="359" spans="1:3" x14ac:dyDescent="0.75">
      <c r="A359" s="115"/>
      <c r="B359" s="115"/>
      <c r="C359" s="115"/>
    </row>
    <row r="360" spans="1:3" x14ac:dyDescent="0.75">
      <c r="A360" s="115"/>
      <c r="B360" s="115"/>
      <c r="C360" s="115"/>
    </row>
    <row r="361" spans="1:3" x14ac:dyDescent="0.75">
      <c r="A361" s="115"/>
      <c r="B361" s="115"/>
      <c r="C361" s="115"/>
    </row>
    <row r="362" spans="1:3" x14ac:dyDescent="0.75">
      <c r="A362" s="115"/>
      <c r="B362" s="115"/>
      <c r="C362" s="115"/>
    </row>
    <row r="363" spans="1:3" x14ac:dyDescent="0.75">
      <c r="A363" s="115"/>
      <c r="B363" s="115"/>
      <c r="C363" s="115"/>
    </row>
    <row r="364" spans="1:3" x14ac:dyDescent="0.75">
      <c r="A364" s="115"/>
      <c r="B364" s="115"/>
      <c r="C364" s="115"/>
    </row>
    <row r="365" spans="1:3" x14ac:dyDescent="0.75">
      <c r="A365" s="115"/>
      <c r="B365" s="115"/>
      <c r="C365" s="115"/>
    </row>
    <row r="366" spans="1:3" x14ac:dyDescent="0.75">
      <c r="A366" s="115"/>
      <c r="B366" s="115"/>
      <c r="C366" s="115"/>
    </row>
    <row r="367" spans="1:3" x14ac:dyDescent="0.75">
      <c r="A367" s="115"/>
      <c r="B367" s="115"/>
      <c r="C367" s="115"/>
    </row>
    <row r="368" spans="1:3" x14ac:dyDescent="0.75">
      <c r="A368" s="115"/>
      <c r="B368" s="115"/>
      <c r="C368" s="115"/>
    </row>
    <row r="369" spans="1:3" x14ac:dyDescent="0.75">
      <c r="A369" s="115"/>
      <c r="B369" s="115"/>
      <c r="C369" s="115"/>
    </row>
    <row r="370" spans="1:3" x14ac:dyDescent="0.75">
      <c r="A370" s="115"/>
      <c r="B370" s="115"/>
      <c r="C370" s="115"/>
    </row>
    <row r="371" spans="1:3" x14ac:dyDescent="0.75">
      <c r="A371" s="115"/>
      <c r="B371" s="115"/>
      <c r="C371" s="115"/>
    </row>
    <row r="372" spans="1:3" x14ac:dyDescent="0.75">
      <c r="A372" s="115"/>
      <c r="B372" s="115"/>
      <c r="C372" s="115"/>
    </row>
    <row r="373" spans="1:3" x14ac:dyDescent="0.75">
      <c r="A373" s="115"/>
      <c r="B373" s="115"/>
      <c r="C373" s="115"/>
    </row>
    <row r="374" spans="1:3" x14ac:dyDescent="0.75">
      <c r="A374" s="115"/>
      <c r="B374" s="115"/>
      <c r="C374" s="115"/>
    </row>
    <row r="375" spans="1:3" x14ac:dyDescent="0.75">
      <c r="A375" s="115"/>
      <c r="B375" s="115"/>
      <c r="C375" s="115"/>
    </row>
    <row r="376" spans="1:3" x14ac:dyDescent="0.75">
      <c r="A376" s="115"/>
      <c r="B376" s="115"/>
      <c r="C376" s="115"/>
    </row>
    <row r="377" spans="1:3" x14ac:dyDescent="0.75">
      <c r="A377" s="115"/>
      <c r="B377" s="115"/>
      <c r="C377" s="115"/>
    </row>
    <row r="378" spans="1:3" x14ac:dyDescent="0.75">
      <c r="A378" s="115"/>
      <c r="B378" s="115"/>
      <c r="C378" s="115"/>
    </row>
    <row r="379" spans="1:3" x14ac:dyDescent="0.75">
      <c r="A379" s="115"/>
      <c r="B379" s="115"/>
      <c r="C379" s="115"/>
    </row>
    <row r="380" spans="1:3" x14ac:dyDescent="0.75">
      <c r="A380" s="115"/>
      <c r="B380" s="115"/>
      <c r="C380" s="115"/>
    </row>
    <row r="381" spans="1:3" x14ac:dyDescent="0.75">
      <c r="A381" s="115"/>
      <c r="B381" s="115"/>
      <c r="C381" s="115"/>
    </row>
    <row r="382" spans="1:3" x14ac:dyDescent="0.75">
      <c r="A382" s="115"/>
      <c r="B382" s="115"/>
      <c r="C382" s="115"/>
    </row>
    <row r="383" spans="1:3" x14ac:dyDescent="0.75">
      <c r="A383" s="115"/>
      <c r="B383" s="115"/>
      <c r="C383" s="115"/>
    </row>
    <row r="384" spans="1:3" x14ac:dyDescent="0.75">
      <c r="A384" s="115"/>
      <c r="B384" s="115"/>
      <c r="C384" s="115"/>
    </row>
    <row r="385" spans="1:3" x14ac:dyDescent="0.75">
      <c r="A385" s="115"/>
      <c r="B385" s="115"/>
      <c r="C385" s="115"/>
    </row>
    <row r="386" spans="1:3" x14ac:dyDescent="0.75">
      <c r="A386" s="115"/>
      <c r="B386" s="115"/>
      <c r="C386" s="115"/>
    </row>
    <row r="387" spans="1:3" x14ac:dyDescent="0.75">
      <c r="A387" s="115"/>
      <c r="B387" s="115"/>
      <c r="C387" s="115"/>
    </row>
    <row r="388" spans="1:3" x14ac:dyDescent="0.75">
      <c r="A388" s="115"/>
      <c r="B388" s="115"/>
      <c r="C388" s="115"/>
    </row>
    <row r="389" spans="1:3" x14ac:dyDescent="0.75">
      <c r="A389" s="115"/>
      <c r="B389" s="115"/>
      <c r="C389" s="115"/>
    </row>
    <row r="390" spans="1:3" x14ac:dyDescent="0.75">
      <c r="A390" s="115"/>
      <c r="B390" s="115"/>
      <c r="C390" s="115"/>
    </row>
    <row r="391" spans="1:3" x14ac:dyDescent="0.75">
      <c r="A391" s="115"/>
      <c r="B391" s="115"/>
      <c r="C391" s="115"/>
    </row>
    <row r="392" spans="1:3" x14ac:dyDescent="0.75">
      <c r="A392" s="115"/>
      <c r="B392" s="115"/>
      <c r="C392" s="115"/>
    </row>
    <row r="393" spans="1:3" x14ac:dyDescent="0.75">
      <c r="A393" s="115"/>
      <c r="B393" s="115"/>
      <c r="C393" s="115"/>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workbookViewId="0">
      <selection activeCell="D9" sqref="D9"/>
    </sheetView>
  </sheetViews>
  <sheetFormatPr defaultRowHeight="14.75" x14ac:dyDescent="0.75"/>
  <cols>
    <col min="1" max="3" width="8.7265625" style="113"/>
    <col min="4" max="4" width="108.2265625" style="115" customWidth="1"/>
    <col min="5" max="16384" width="8.7265625" style="113"/>
  </cols>
  <sheetData>
    <row r="3" spans="4:4" x14ac:dyDescent="0.75">
      <c r="D3" s="115" t="str">
        <f>'Diag-Map-2'!D3</f>
        <v>* differential.element[0].mapping[0].identity = "fhir"</v>
      </c>
    </row>
    <row r="4" spans="4:4" x14ac:dyDescent="0.75">
      <c r="D4" s="115" t="str">
        <f>'Diag-Map-2'!D4</f>
        <v>* differential.element[0].mapping[0].map = "Condition"</v>
      </c>
    </row>
    <row r="5" spans="4:4" x14ac:dyDescent="0.75">
      <c r="D5" s="115" t="str">
        <f>'Diag-Map-2'!D5</f>
        <v/>
      </c>
    </row>
    <row r="6" spans="4:4" x14ac:dyDescent="0.75">
      <c r="D6" s="115" t="str">
        <f>'Diag-Map-2'!D6</f>
        <v>* differential.element[1].mapping[0].identity = "fhir"</v>
      </c>
    </row>
    <row r="7" spans="4:4" x14ac:dyDescent="0.75">
      <c r="D7" s="115" t="str">
        <f>'Diag-Map-2'!D7</f>
        <v>* differential.element[1].mapping[0].map = "Condition.identifier"</v>
      </c>
    </row>
    <row r="8" spans="4:4" x14ac:dyDescent="0.75">
      <c r="D8" s="115" t="str">
        <f>'Diag-Map-2'!D8</f>
        <v/>
      </c>
    </row>
    <row r="9" spans="4:4" x14ac:dyDescent="0.75">
      <c r="D9" s="115" t="str">
        <f>'Diag-Map-2'!D9</f>
        <v>* differential.element[2].mapping[0].identity = "fhir"</v>
      </c>
    </row>
    <row r="10" spans="4:4" x14ac:dyDescent="0.75">
      <c r="D10" s="115" t="str">
        <f>'Diag-Map-2'!D10</f>
        <v>* differential.element[2].mapping[0].map = "Condition.extension('condition-assertedDate').valueDateTime
Observation.effectiveDateTime"</v>
      </c>
    </row>
    <row r="11" spans="4:4" x14ac:dyDescent="0.75">
      <c r="D11" s="115" t="str">
        <f>'Diag-Map-2'!D11</f>
        <v/>
      </c>
    </row>
    <row r="12" spans="4:4" x14ac:dyDescent="0.75">
      <c r="D12" s="115" t="str">
        <f>'Diag-Map-2'!D12</f>
        <v>* differential.element[3].mapping[0].identity = "fhir"</v>
      </c>
    </row>
    <row r="13" spans="4:4" x14ac:dyDescent="0.75">
      <c r="D13" s="115" t="str">
        <f>'Diag-Map-2'!D13</f>
        <v>* differential.element[3].mapping[0].map = "Observation.performer"</v>
      </c>
    </row>
    <row r="14" spans="4:4" x14ac:dyDescent="0.75">
      <c r="D14" s="115" t="str">
        <f>'Diag-Map-2'!D14</f>
        <v/>
      </c>
    </row>
    <row r="15" spans="4:4" x14ac:dyDescent="0.75">
      <c r="D15" s="115" t="str">
        <f>'Diag-Map-2'!D15</f>
        <v>* differential.element[4].mapping[0].identity = "fhir"</v>
      </c>
    </row>
    <row r="16" spans="4:4" x14ac:dyDescent="0.75">
      <c r="D16" s="115" t="str">
        <f>'Diag-Map-2'!D16</f>
        <v>* differential.element[4].mapping[0].map = "Observation.performer.resolve().identifier
Observation.performer.identifier"</v>
      </c>
    </row>
    <row r="17" spans="4:4" x14ac:dyDescent="0.75">
      <c r="D17" s="115" t="str">
        <f>'Diag-Map-2'!D17</f>
        <v/>
      </c>
    </row>
    <row r="18" spans="4:4" x14ac:dyDescent="0.75">
      <c r="D18" s="115" t="str">
        <f>'Diag-Map-2'!D18</f>
        <v>* differential.element[5].mapping[0].identity = "fhir"</v>
      </c>
    </row>
    <row r="19" spans="4:4" x14ac:dyDescent="0.75">
      <c r="D19" s="115" t="str">
        <f>'Diag-Map-2'!D19</f>
        <v>* differential.element[5].mapping[0].map = "Observation.performer.resolve().name
Observation.performer.display"</v>
      </c>
    </row>
    <row r="20" spans="4:4" x14ac:dyDescent="0.75">
      <c r="D20" s="115" t="str">
        <f>'Diag-Map-2'!D20</f>
        <v/>
      </c>
    </row>
    <row r="21" spans="4:4" x14ac:dyDescent="0.75">
      <c r="D21" s="115" t="str">
        <f>'Diag-Map-2'!D21</f>
        <v>* differential.element[6].mapping[0].identity = "fhir"</v>
      </c>
    </row>
    <row r="22" spans="4:4" x14ac:dyDescent="0.75">
      <c r="D22" s="115" t="str">
        <f>'Diag-Map-2'!D22</f>
        <v>* differential.element[6].mapping[0].map = "Observation.performer.resolve().address.city"</v>
      </c>
    </row>
    <row r="23" spans="4:4" x14ac:dyDescent="0.75">
      <c r="D23" s="115" t="str">
        <f>'Diag-Map-2'!D23</f>
        <v/>
      </c>
    </row>
    <row r="24" spans="4:4" x14ac:dyDescent="0.75">
      <c r="D24" s="115" t="str">
        <f>'Diag-Map-2'!D24</f>
        <v>* differential.element[7].mapping[0].identity = "fhir"</v>
      </c>
    </row>
    <row r="25" spans="4:4" x14ac:dyDescent="0.75">
      <c r="D25" s="115" t="str">
        <f>'Diag-Map-2'!D25</f>
        <v>* differential.element[7].mapping[0].map = "Observation.performer.resolve().address.country"</v>
      </c>
    </row>
    <row r="26" spans="4:4" x14ac:dyDescent="0.75">
      <c r="D26" s="115" t="str">
        <f>'Diag-Map-2'!D26</f>
        <v/>
      </c>
    </row>
    <row r="27" spans="4:4" x14ac:dyDescent="0.75">
      <c r="D27" s="115" t="str">
        <f>'Diag-Map-2'!D27</f>
        <v>* differential.element[8].mapping[0].identity = "fhir"</v>
      </c>
    </row>
    <row r="28" spans="4:4" x14ac:dyDescent="0.75">
      <c r="D28" s="115" t="str">
        <f>'Diag-Map-2'!D28</f>
        <v>* differential.element[8].mapping[0].map = "Patient.generalPractitioner
Encounter.serviceProvider"</v>
      </c>
    </row>
    <row r="29" spans="4:4" x14ac:dyDescent="0.75">
      <c r="D29" s="115" t="str">
        <f>'Diag-Map-2'!D29</f>
        <v/>
      </c>
    </row>
    <row r="30" spans="4:4" x14ac:dyDescent="0.75">
      <c r="D30" s="115" t="str">
        <f>'Diag-Map-2'!D30</f>
        <v>* differential.element[9].mapping[0].identity = "fhir"</v>
      </c>
    </row>
    <row r="31" spans="4:4" x14ac:dyDescent="0.75">
      <c r="D31" s="115" t="str">
        <f>'Diag-Map-2'!D31</f>
        <v>* differential.element[9].mapping[0].map = "Patient.generalPractitioner.display
Patient.generalPractitioner.resolve().name
Encounter.serviceProvider.display
Encounter.serviceProvider.resolve().name"</v>
      </c>
    </row>
    <row r="32" spans="4:4" x14ac:dyDescent="0.75">
      <c r="D32" s="115" t="str">
        <f>'Diag-Map-2'!D32</f>
        <v/>
      </c>
    </row>
    <row r="33" spans="4:4" x14ac:dyDescent="0.75">
      <c r="D33" s="115" t="str">
        <f>'Diag-Map-2'!D33</f>
        <v>* differential.element[10].mapping[0].identity = "fhir"</v>
      </c>
    </row>
    <row r="34" spans="4:4" x14ac:dyDescent="0.75">
      <c r="D34" s="115" t="str">
        <f>'Diag-Map-2'!D34</f>
        <v>* differential.element[10].mapping[0].map = "Patient.generalPractitioner.resolve().address.city
Encounter.serviceProvider.resolve().address.city"</v>
      </c>
    </row>
    <row r="35" spans="4:4" x14ac:dyDescent="0.75">
      <c r="D35" s="115" t="str">
        <f>'Diag-Map-2'!D35</f>
        <v/>
      </c>
    </row>
    <row r="36" spans="4:4" x14ac:dyDescent="0.75">
      <c r="D36" s="115" t="str">
        <f>'Diag-Map-2'!D36</f>
        <v>* differential.element[11].mapping[0].identity = "fhir"</v>
      </c>
    </row>
    <row r="37" spans="4:4" x14ac:dyDescent="0.75">
      <c r="D37" s="115" t="str">
        <f>'Diag-Map-2'!D37</f>
        <v>* differential.element[11].mapping[0].map = "Patient.generalPractitioner.resolve().address.country
Encounter.serviceProvider.resolve().address.country"</v>
      </c>
    </row>
    <row r="38" spans="4:4" x14ac:dyDescent="0.75">
      <c r="D38" s="115" t="str">
        <f>'Diag-Map-2'!D38</f>
        <v/>
      </c>
    </row>
    <row r="39" spans="4:4" x14ac:dyDescent="0.75">
      <c r="D39" s="115" t="str">
        <f>'Diag-Map-2'!D39</f>
        <v>* differential.element[12].mapping[0].identity = "fhir"</v>
      </c>
    </row>
    <row r="40" spans="4:4" x14ac:dyDescent="0.75">
      <c r="D40" s="115" t="str">
        <f>'Diag-Map-2'!D40</f>
        <v>* differential.element[12].mapping[0].map = "Encounter.period.start"</v>
      </c>
    </row>
    <row r="41" spans="4:4" x14ac:dyDescent="0.75">
      <c r="D41" s="115" t="str">
        <f>'Diag-Map-2'!D41</f>
        <v/>
      </c>
    </row>
    <row r="42" spans="4:4" x14ac:dyDescent="0.75">
      <c r="D42" s="115" t="str">
        <f>'Diag-Map-2'!D42</f>
        <v>* differential.element[13].mapping[0].identity = "fhir"</v>
      </c>
    </row>
    <row r="43" spans="4:4" x14ac:dyDescent="0.75">
      <c r="D43" s="115" t="str">
        <f>'Diag-Map-2'!D43</f>
        <v>* differential.element[13].mapping[0].map = "Condition.code.coding"</v>
      </c>
    </row>
    <row r="44" spans="4:4" x14ac:dyDescent="0.75">
      <c r="D44" s="115" t="str">
        <f>'Diag-Map-2'!D44</f>
        <v/>
      </c>
    </row>
    <row r="45" spans="4:4" x14ac:dyDescent="0.75">
      <c r="D45" s="115" t="str">
        <f>'Diag-Map-2'!D45</f>
        <v>* differential.element[14].mapping[0].identity = "fhir"</v>
      </c>
    </row>
    <row r="46" spans="4:4" x14ac:dyDescent="0.75">
      <c r="D46" s="115" t="str">
        <f>'Diag-Map-2'!D46</f>
        <v>* differential.element[14].mapping[0].map = "Condition.extension('mcode-histology-morphology-behavior').valueCodeableConcept"</v>
      </c>
    </row>
    <row r="47" spans="4:4" x14ac:dyDescent="0.75">
      <c r="D47" s="115" t="str">
        <f>'Diag-Map-2'!D47</f>
        <v/>
      </c>
    </row>
    <row r="48" spans="4:4" x14ac:dyDescent="0.75">
      <c r="D48" s="115" t="str">
        <f>'Diag-Map-2'!D48</f>
        <v>* differential.element[15].mapping[0].identity = "fhir"</v>
      </c>
    </row>
    <row r="49" spans="4:4" x14ac:dyDescent="0.75">
      <c r="D49" s="115" t="str">
        <f>'Diag-Map-2'!D49</f>
        <v>* differential.element[15].mapping[0].map = "Condition.extension('mcode-histology-morphology-behavior').valueCodeableConcept"</v>
      </c>
    </row>
    <row r="50" spans="4:4" x14ac:dyDescent="0.75">
      <c r="D50" s="115" t="str">
        <f>'Diag-Map-2'!D50</f>
        <v/>
      </c>
    </row>
    <row r="51" spans="4:4" x14ac:dyDescent="0.75">
      <c r="D51" s="115" t="str">
        <f>'Diag-Map-2'!D51</f>
        <v>* differential.element[16].mapping[0].identity = "fhir"</v>
      </c>
    </row>
    <row r="52" spans="4:4" x14ac:dyDescent="0.75">
      <c r="D52" s="115" t="str">
        <f>'Diag-Map-2'!D52</f>
        <v>* differential.element[16].mapping[0].map = "Condition.text
Condition.code.text"</v>
      </c>
    </row>
    <row r="53" spans="4:4" x14ac:dyDescent="0.75">
      <c r="D53" s="115" t="str">
        <f>'Diag-Map-2'!D53</f>
        <v/>
      </c>
    </row>
    <row r="54" spans="4:4" x14ac:dyDescent="0.75">
      <c r="D54" s="115" t="str">
        <f>'Diag-Map-2'!D54</f>
        <v>* differential.element[17].mapping[0].identity = "fhir"</v>
      </c>
    </row>
    <row r="55" spans="4:4" x14ac:dyDescent="0.75">
      <c r="D55" s="115" t="str">
        <f>'Diag-Map-2'!D55</f>
        <v>* differential.element[17].mapping[0].map = "Condition.bodySite"</v>
      </c>
    </row>
    <row r="56" spans="4:4" x14ac:dyDescent="0.75">
      <c r="D56" s="115" t="str">
        <f>'Diag-Map-2'!D56</f>
        <v/>
      </c>
    </row>
    <row r="57" spans="4:4" x14ac:dyDescent="0.75">
      <c r="D57" s="115" t="str">
        <f>'Diag-Map-2'!D57</f>
        <v>* differential.element[18].mapping[0].identity = "fhir"</v>
      </c>
    </row>
    <row r="58" spans="4:4" x14ac:dyDescent="0.75">
      <c r="D58" s="115" t="str">
        <f>'Diag-Map-2'!D58</f>
        <v>* differential.element[18].mapping[0].map = "Condition.bodySite.coding"</v>
      </c>
    </row>
    <row r="59" spans="4:4" x14ac:dyDescent="0.75">
      <c r="D59" s="115" t="str">
        <f>'Diag-Map-2'!D59</f>
        <v/>
      </c>
    </row>
    <row r="60" spans="4:4" x14ac:dyDescent="0.75">
      <c r="D60" s="115" t="str">
        <f>'Diag-Map-2'!D60</f>
        <v>* differential.element[19].mapping[0].identity = "fhir"</v>
      </c>
    </row>
    <row r="61" spans="4:4" x14ac:dyDescent="0.75">
      <c r="D61" s="115" t="str">
        <f>'Diag-Map-2'!D61</f>
        <v>* differential.element[19].mapping[0].map = "Condition.bodySite.text"</v>
      </c>
    </row>
    <row r="62" spans="4:4" x14ac:dyDescent="0.75">
      <c r="D62" s="115" t="str">
        <f>'Diag-Map-2'!D62</f>
        <v/>
      </c>
    </row>
    <row r="63" spans="4:4" x14ac:dyDescent="0.75">
      <c r="D63" s="115" t="str">
        <f>'Diag-Map-2'!D63</f>
        <v>* differential.element[20].mapping[0].identity = "fhir"</v>
      </c>
    </row>
    <row r="64" spans="4:4" x14ac:dyDescent="0.75">
      <c r="D64" s="115" t="str">
        <f>'Diag-Map-2'!D64</f>
        <v>* differential.element[20].mapping[0].map = "Condition.bodySite.extension('mcode-laterality-qualifier').valueCodeableConcept"</v>
      </c>
    </row>
    <row r="65" spans="4:4" x14ac:dyDescent="0.75">
      <c r="D65" s="115" t="str">
        <f>'Diag-Map-2'!D65</f>
        <v/>
      </c>
    </row>
    <row r="66" spans="4:4" x14ac:dyDescent="0.75">
      <c r="D66" s="115" t="str">
        <f>'Diag-Map-2'!D66</f>
        <v>* differential.element[21].mapping[0].identity = "fhir"</v>
      </c>
    </row>
    <row r="67" spans="4:4" x14ac:dyDescent="0.75">
      <c r="D67" s="115" t="str">
        <f>'Diag-Map-2'!D67</f>
        <v>* differential.element[21].mapping[0].map = "Condition.conformsTo('ConditionSecondaryCancerPcsp')"</v>
      </c>
    </row>
    <row r="68" spans="4:4" x14ac:dyDescent="0.75">
      <c r="D68" s="115" t="str">
        <f>'Diag-Map-2'!D68</f>
        <v/>
      </c>
    </row>
    <row r="69" spans="4:4" x14ac:dyDescent="0.75">
      <c r="D69" s="115" t="str">
        <f>'Diag-Map-2'!D69</f>
        <v>* differential.element[22].mapping[0].identity = "fhir"</v>
      </c>
    </row>
    <row r="70" spans="4:4" x14ac:dyDescent="0.75">
      <c r="D70" s="115" t="str">
        <f>'Diag-Map-2'!D70</f>
        <v>* differential.element[22].mapping[0].map = "Condition.conformsTo('ConditionSecondaryCancerPcsp').identifier"</v>
      </c>
    </row>
    <row r="71" spans="4:4" x14ac:dyDescent="0.75">
      <c r="D71" s="115" t="str">
        <f>'Diag-Map-2'!D71</f>
        <v/>
      </c>
    </row>
    <row r="72" spans="4:4" x14ac:dyDescent="0.75">
      <c r="D72" s="115" t="str">
        <f>'Diag-Map-2'!D72</f>
        <v>* differential.element[23].mapping[0].identity = "fhir"</v>
      </c>
    </row>
    <row r="73" spans="4:4" x14ac:dyDescent="0.75">
      <c r="D73" s="115" t="str">
        <f>'Diag-Map-2'!D73</f>
        <v>* differential.element[23].mapping[0].map = "Condition.conformsTo('ConditionSecondaryCancerPcsp')bodySite"</v>
      </c>
    </row>
    <row r="74" spans="4:4" x14ac:dyDescent="0.75">
      <c r="D74" s="115" t="str">
        <f>'Diag-Map-2'!D74</f>
        <v/>
      </c>
    </row>
    <row r="75" spans="4:4" x14ac:dyDescent="0.75">
      <c r="D75" s="115" t="str">
        <f>'Diag-Map-2'!D75</f>
        <v>* differential.element[24].mapping[0].identity = "fhir"</v>
      </c>
    </row>
    <row r="76" spans="4:4" x14ac:dyDescent="0.75">
      <c r="D76" s="115" t="str">
        <f>'Diag-Map-2'!D76</f>
        <v>* differential.element[24].mapping[0].map = "Condition.conformsTo('ConditionSecondaryCancerPcsp').bodySite.coding"</v>
      </c>
    </row>
    <row r="77" spans="4:4" x14ac:dyDescent="0.75">
      <c r="D77" s="115" t="str">
        <f>'Diag-Map-2'!D77</f>
        <v/>
      </c>
    </row>
    <row r="78" spans="4:4" x14ac:dyDescent="0.75">
      <c r="D78" s="115" t="str">
        <f>'Diag-Map-2'!D78</f>
        <v>* differential.element[25].mapping[0].identity = "fhir"</v>
      </c>
    </row>
    <row r="79" spans="4:4" x14ac:dyDescent="0.75">
      <c r="D79" s="115" t="str">
        <f>'Diag-Map-2'!D79</f>
        <v>* differential.element[25].mapping[0].map = "Condition.conformsTo('ConditionSecondaryCancerPcsp').bodySite.text"</v>
      </c>
    </row>
    <row r="80" spans="4:4" x14ac:dyDescent="0.75">
      <c r="D80" s="115" t="str">
        <f>'Diag-Map-2'!D80</f>
        <v/>
      </c>
    </row>
    <row r="81" spans="4:4" x14ac:dyDescent="0.75">
      <c r="D81" s="115" t="str">
        <f>'Diag-Map-2'!D81</f>
        <v>* differential.element[26].mapping[0].identity = "fhir"</v>
      </c>
    </row>
    <row r="82" spans="4:4" x14ac:dyDescent="0.75">
      <c r="D82" s="115" t="str">
        <f>'Diag-Map-2'!D82</f>
        <v>* differential.element[26].mapping[0].map = "Condition.evidence:geneticMarker"</v>
      </c>
    </row>
    <row r="83" spans="4:4" x14ac:dyDescent="0.75">
      <c r="D83" s="115" t="str">
        <f>'Diag-Map-2'!D83</f>
        <v/>
      </c>
    </row>
    <row r="84" spans="4:4" x14ac:dyDescent="0.75">
      <c r="D84" s="115" t="str">
        <f>'Diag-Map-2'!D84</f>
        <v>* differential.element[27].mapping[0].identity = "fhir"</v>
      </c>
    </row>
    <row r="85" spans="4:4" x14ac:dyDescent="0.75">
      <c r="D85" s="115" t="str">
        <f>'Diag-Map-2'!D85</f>
        <v>* differential.element[27].mapping[0].map = "Condition.stage"</v>
      </c>
    </row>
    <row r="86" spans="4:4" x14ac:dyDescent="0.75">
      <c r="D86" s="115" t="str">
        <f>'Diag-Map-2'!D86</f>
        <v/>
      </c>
    </row>
    <row r="87" spans="4:4" x14ac:dyDescent="0.75">
      <c r="D87" s="115" t="str">
        <f>'Diag-Map-2'!D87</f>
        <v>* differential.element[28].mapping[0].identity = "fhir"</v>
      </c>
    </row>
    <row r="88" spans="4:4" x14ac:dyDescent="0.75">
      <c r="D88" s="115" t="str">
        <f>'Diag-Map-2'!D88</f>
        <v>* differential.element[28].mapping[0].map = "Condition.evidence:immunology"</v>
      </c>
    </row>
    <row r="89" spans="4:4" x14ac:dyDescent="0.75">
      <c r="D89" s="115" t="str">
        <f>'Diag-Map-2'!D89</f>
        <v/>
      </c>
    </row>
    <row r="90" spans="4:4" x14ac:dyDescent="0.75">
      <c r="D90" s="115" t="str">
        <f>'Diag-Map-2'!D90</f>
        <v>* differential.element[29].mapping[0].identity = "fhir"</v>
      </c>
    </row>
    <row r="91" spans="4:4" x14ac:dyDescent="0.75">
      <c r="D91" s="115" t="str">
        <f>'Diag-Map-2'!D91</f>
        <v>* differential.element[29].mapping[0].map = "Condition.evidence:predisposition"</v>
      </c>
    </row>
    <row r="92" spans="4:4" x14ac:dyDescent="0.75">
      <c r="D92" s="115" t="str">
        <f>'Diag-Map-2'!D92</f>
        <v/>
      </c>
    </row>
    <row r="93" spans="4:4" x14ac:dyDescent="0.75">
      <c r="D93" s="115" t="str">
        <f>'Diag-Map-2'!D93</f>
        <v>* differential.element[30].mapping[0].identity = "fhir"</v>
      </c>
    </row>
    <row r="94" spans="4:4" x14ac:dyDescent="0.75">
      <c r="D94" s="115" t="str">
        <f>'Diag-Map-2'!D94</f>
        <v>* differential.element[30].mapping[0].map = "Condition.note"</v>
      </c>
    </row>
    <row r="95" spans="4:4" x14ac:dyDescent="0.75">
      <c r="D95" s="115" t="str">
        <f>'Diag-Map-2'!D95</f>
        <v/>
      </c>
    </row>
    <row r="96" spans="4:4" x14ac:dyDescent="0.75">
      <c r="D96" s="115" t="str">
        <f>'Diag-Map-2'!D96</f>
        <v/>
      </c>
    </row>
    <row r="97" spans="4:4" x14ac:dyDescent="0.75">
      <c r="D97" s="115" t="str">
        <f>'Diag-Map-2'!D97</f>
        <v/>
      </c>
    </row>
    <row r="98" spans="4:4" x14ac:dyDescent="0.75">
      <c r="D98" s="115" t="str">
        <f>'Diag-Map-2'!D98</f>
        <v/>
      </c>
    </row>
    <row r="99" spans="4:4" x14ac:dyDescent="0.75">
      <c r="D99" s="115" t="str">
        <f>'Diag-Map-2'!D99</f>
        <v/>
      </c>
    </row>
    <row r="100" spans="4:4" x14ac:dyDescent="0.75">
      <c r="D100" s="115" t="str">
        <f>'Diag-Map-2'!D100</f>
        <v/>
      </c>
    </row>
    <row r="101" spans="4:4" x14ac:dyDescent="0.75">
      <c r="D101" s="115" t="str">
        <f>'Diag-Map-2'!D101</f>
        <v/>
      </c>
    </row>
    <row r="102" spans="4:4" x14ac:dyDescent="0.75">
      <c r="D102" s="115" t="str">
        <f>'Diag-Map-2'!D102</f>
        <v/>
      </c>
    </row>
    <row r="103" spans="4:4" x14ac:dyDescent="0.75">
      <c r="D103" s="115" t="str">
        <f>'Diag-Map-2'!D103</f>
        <v/>
      </c>
    </row>
    <row r="104" spans="4:4" x14ac:dyDescent="0.75">
      <c r="D104" s="115" t="str">
        <f>'Diag-Map-2'!D104</f>
        <v/>
      </c>
    </row>
    <row r="105" spans="4:4" x14ac:dyDescent="0.75">
      <c r="D105" s="115" t="str">
        <f>'Diag-Map-2'!D105</f>
        <v/>
      </c>
    </row>
    <row r="106" spans="4:4" x14ac:dyDescent="0.75">
      <c r="D106" s="115" t="str">
        <f>'Diag-Map-2'!D106</f>
        <v/>
      </c>
    </row>
    <row r="107" spans="4:4" x14ac:dyDescent="0.75">
      <c r="D107" s="115" t="str">
        <f>'Diag-Map-2'!D107</f>
        <v/>
      </c>
    </row>
    <row r="108" spans="4:4" x14ac:dyDescent="0.75">
      <c r="D108" s="110"/>
    </row>
    <row r="110" spans="4:4" x14ac:dyDescent="0.75">
      <c r="D110" s="115" t="str">
        <f>'Diag-Map2-2'!D3</f>
        <v/>
      </c>
    </row>
    <row r="111" spans="4:4" x14ac:dyDescent="0.75">
      <c r="D111" s="115" t="str">
        <f>'Diag-Map2-2'!D4</f>
        <v/>
      </c>
    </row>
    <row r="112" spans="4:4" x14ac:dyDescent="0.75">
      <c r="D112" s="115" t="str">
        <f>'Diag-Map2-2'!D5</f>
        <v/>
      </c>
    </row>
    <row r="113" spans="4:4" x14ac:dyDescent="0.75">
      <c r="D113" s="115" t="str">
        <f>'Diag-Map2-2'!D6</f>
        <v/>
      </c>
    </row>
    <row r="114" spans="4:4" x14ac:dyDescent="0.75">
      <c r="D114" s="115" t="str">
        <f>'Diag-Map2-2'!D7</f>
        <v/>
      </c>
    </row>
    <row r="115" spans="4:4" x14ac:dyDescent="0.75">
      <c r="D115" s="115" t="str">
        <f>'Diag-Map2-2'!D8</f>
        <v/>
      </c>
    </row>
    <row r="116" spans="4:4" x14ac:dyDescent="0.75">
      <c r="D116" s="115" t="str">
        <f>'Diag-Map2-2'!D9</f>
        <v/>
      </c>
    </row>
    <row r="117" spans="4:4" x14ac:dyDescent="0.75">
      <c r="D117" s="115" t="str">
        <f>'Diag-Map2-2'!D10</f>
        <v/>
      </c>
    </row>
    <row r="118" spans="4:4" x14ac:dyDescent="0.75">
      <c r="D118" s="115" t="str">
        <f>'Diag-Map2-2'!D11</f>
        <v/>
      </c>
    </row>
    <row r="119" spans="4:4" x14ac:dyDescent="0.75">
      <c r="D119" s="115" t="str">
        <f>'Diag-Map2-2'!D12</f>
        <v/>
      </c>
    </row>
    <row r="120" spans="4:4" x14ac:dyDescent="0.75">
      <c r="D120" s="115" t="str">
        <f>'Diag-Map2-2'!D13</f>
        <v/>
      </c>
    </row>
    <row r="121" spans="4:4" x14ac:dyDescent="0.75">
      <c r="D121" s="115" t="str">
        <f>'Diag-Map2-2'!D14</f>
        <v/>
      </c>
    </row>
    <row r="122" spans="4:4" x14ac:dyDescent="0.75">
      <c r="D122" s="115" t="str">
        <f>'Diag-Map2-2'!D15</f>
        <v/>
      </c>
    </row>
    <row r="123" spans="4:4" x14ac:dyDescent="0.75">
      <c r="D123" s="115" t="str">
        <f>'Diag-Map2-2'!D16</f>
        <v/>
      </c>
    </row>
    <row r="124" spans="4:4" x14ac:dyDescent="0.75">
      <c r="D124" s="115" t="str">
        <f>'Diag-Map2-2'!D17</f>
        <v/>
      </c>
    </row>
    <row r="125" spans="4:4" x14ac:dyDescent="0.75">
      <c r="D125" s="115" t="str">
        <f>'Diag-Map2-2'!D18</f>
        <v/>
      </c>
    </row>
    <row r="126" spans="4:4" x14ac:dyDescent="0.75">
      <c r="D126" s="115" t="str">
        <f>'Diag-Map2-2'!D19</f>
        <v/>
      </c>
    </row>
    <row r="127" spans="4:4" x14ac:dyDescent="0.75">
      <c r="D127" s="115" t="str">
        <f>'Diag-Map2-2'!D20</f>
        <v/>
      </c>
    </row>
    <row r="128" spans="4:4" x14ac:dyDescent="0.75">
      <c r="D128" s="115" t="str">
        <f>'Diag-Map2-2'!D21</f>
        <v/>
      </c>
    </row>
    <row r="129" spans="4:4" x14ac:dyDescent="0.75">
      <c r="D129" s="115" t="str">
        <f>'Diag-Map2-2'!D22</f>
        <v/>
      </c>
    </row>
    <row r="130" spans="4:4" x14ac:dyDescent="0.75">
      <c r="D130" s="115" t="str">
        <f>'Diag-Map2-2'!D23</f>
        <v/>
      </c>
    </row>
    <row r="131" spans="4:4" x14ac:dyDescent="0.75">
      <c r="D131" s="115" t="str">
        <f>'Diag-Map2-2'!D24</f>
        <v/>
      </c>
    </row>
    <row r="132" spans="4:4" x14ac:dyDescent="0.75">
      <c r="D132" s="115" t="str">
        <f>'Diag-Map2-2'!D25</f>
        <v/>
      </c>
    </row>
    <row r="133" spans="4:4" x14ac:dyDescent="0.75">
      <c r="D133" s="115" t="str">
        <f>'Diag-Map2-2'!D26</f>
        <v/>
      </c>
    </row>
    <row r="134" spans="4:4" x14ac:dyDescent="0.75">
      <c r="D134" s="115" t="str">
        <f>'Diag-Map2-2'!D27</f>
        <v/>
      </c>
    </row>
    <row r="135" spans="4:4" x14ac:dyDescent="0.75">
      <c r="D135" s="115" t="str">
        <f>'Diag-Map2-2'!D28</f>
        <v/>
      </c>
    </row>
    <row r="136" spans="4:4" x14ac:dyDescent="0.75">
      <c r="D136" s="115" t="str">
        <f>'Diag-Map2-2'!D29</f>
        <v/>
      </c>
    </row>
    <row r="137" spans="4:4" x14ac:dyDescent="0.75">
      <c r="D137" s="115" t="str">
        <f>'Diag-Map2-2'!D30</f>
        <v/>
      </c>
    </row>
    <row r="138" spans="4:4" x14ac:dyDescent="0.75">
      <c r="D138" s="115" t="str">
        <f>'Diag-Map2-2'!D31</f>
        <v/>
      </c>
    </row>
    <row r="139" spans="4:4" x14ac:dyDescent="0.75">
      <c r="D139" s="115" t="str">
        <f>'Diag-Map2-2'!D32</f>
        <v/>
      </c>
    </row>
    <row r="140" spans="4:4" x14ac:dyDescent="0.75">
      <c r="D140" s="115" t="str">
        <f>'Diag-Map2-2'!D33</f>
        <v/>
      </c>
    </row>
    <row r="141" spans="4:4" x14ac:dyDescent="0.75">
      <c r="D141" s="115" t="str">
        <f>'Diag-Map2-2'!D34</f>
        <v/>
      </c>
    </row>
    <row r="142" spans="4:4" x14ac:dyDescent="0.75">
      <c r="D142" s="115" t="str">
        <f>'Diag-Map2-2'!D35</f>
        <v/>
      </c>
    </row>
    <row r="143" spans="4:4" x14ac:dyDescent="0.75">
      <c r="D143" s="115" t="str">
        <f>'Diag-Map2-2'!D36</f>
        <v/>
      </c>
    </row>
    <row r="144" spans="4:4" x14ac:dyDescent="0.75">
      <c r="D144" s="115" t="str">
        <f>'Diag-Map2-2'!D37</f>
        <v/>
      </c>
    </row>
    <row r="145" spans="4:4" x14ac:dyDescent="0.75">
      <c r="D145" s="115" t="str">
        <f>'Diag-Map2-2'!D38</f>
        <v/>
      </c>
    </row>
    <row r="146" spans="4:4" x14ac:dyDescent="0.75">
      <c r="D146" s="115" t="str">
        <f>'Diag-Map2-2'!D39</f>
        <v/>
      </c>
    </row>
    <row r="147" spans="4:4" x14ac:dyDescent="0.75">
      <c r="D147" s="115" t="str">
        <f>'Diag-Map2-2'!D40</f>
        <v/>
      </c>
    </row>
    <row r="148" spans="4:4" x14ac:dyDescent="0.75">
      <c r="D148" s="115" t="str">
        <f>'Diag-Map2-2'!D41</f>
        <v/>
      </c>
    </row>
    <row r="149" spans="4:4" x14ac:dyDescent="0.75">
      <c r="D149" s="115" t="str">
        <f>'Diag-Map2-2'!D42</f>
        <v/>
      </c>
    </row>
    <row r="150" spans="4:4" x14ac:dyDescent="0.75">
      <c r="D150" s="115" t="str">
        <f>'Diag-Map2-2'!D43</f>
        <v/>
      </c>
    </row>
    <row r="151" spans="4:4" x14ac:dyDescent="0.75">
      <c r="D151" s="115" t="str">
        <f>'Diag-Map2-2'!D44</f>
        <v/>
      </c>
    </row>
    <row r="152" spans="4:4" x14ac:dyDescent="0.75">
      <c r="D152" s="115" t="str">
        <f>'Diag-Map2-2'!D45</f>
        <v/>
      </c>
    </row>
    <row r="153" spans="4:4" x14ac:dyDescent="0.75">
      <c r="D153" s="115" t="str">
        <f>'Diag-Map2-2'!D46</f>
        <v/>
      </c>
    </row>
    <row r="154" spans="4:4" x14ac:dyDescent="0.75">
      <c r="D154" s="115" t="str">
        <f>'Diag-Map2-2'!D47</f>
        <v/>
      </c>
    </row>
    <row r="155" spans="4:4" x14ac:dyDescent="0.75">
      <c r="D155" s="115" t="str">
        <f>'Diag-Map2-2'!D48</f>
        <v/>
      </c>
    </row>
    <row r="156" spans="4:4" x14ac:dyDescent="0.75">
      <c r="D156" s="115" t="str">
        <f>'Diag-Map2-2'!D49</f>
        <v/>
      </c>
    </row>
    <row r="157" spans="4:4" x14ac:dyDescent="0.75">
      <c r="D157" s="115" t="str">
        <f>'Diag-Map2-2'!D50</f>
        <v/>
      </c>
    </row>
    <row r="158" spans="4:4" x14ac:dyDescent="0.75">
      <c r="D158" s="115" t="str">
        <f>'Diag-Map2-2'!D51</f>
        <v/>
      </c>
    </row>
    <row r="159" spans="4:4" x14ac:dyDescent="0.75">
      <c r="D159" s="115" t="str">
        <f>'Diag-Map2-2'!D52</f>
        <v/>
      </c>
    </row>
    <row r="160" spans="4:4" x14ac:dyDescent="0.75">
      <c r="D160" s="115" t="str">
        <f>'Diag-Map2-2'!D53</f>
        <v/>
      </c>
    </row>
    <row r="161" spans="4:4" x14ac:dyDescent="0.75">
      <c r="D161" s="115" t="str">
        <f>'Diag-Map2-2'!D54</f>
        <v/>
      </c>
    </row>
    <row r="162" spans="4:4" x14ac:dyDescent="0.75">
      <c r="D162" s="115" t="str">
        <f>'Diag-Map2-2'!D55</f>
        <v/>
      </c>
    </row>
    <row r="163" spans="4:4" x14ac:dyDescent="0.75">
      <c r="D163" s="115" t="str">
        <f>'Diag-Map2-2'!D56</f>
        <v/>
      </c>
    </row>
    <row r="164" spans="4:4" x14ac:dyDescent="0.75">
      <c r="D164" s="115" t="str">
        <f>'Diag-Map2-2'!D57</f>
        <v/>
      </c>
    </row>
    <row r="165" spans="4:4" x14ac:dyDescent="0.75">
      <c r="D165" s="115" t="str">
        <f>'Diag-Map2-2'!D58</f>
        <v/>
      </c>
    </row>
    <row r="166" spans="4:4" x14ac:dyDescent="0.75">
      <c r="D166" s="115" t="str">
        <f>'Diag-Map2-2'!D59</f>
        <v/>
      </c>
    </row>
    <row r="167" spans="4:4" x14ac:dyDescent="0.75">
      <c r="D167" s="115" t="str">
        <f>'Diag-Map2-2'!D60</f>
        <v/>
      </c>
    </row>
    <row r="168" spans="4:4" x14ac:dyDescent="0.75">
      <c r="D168" s="115" t="str">
        <f>'Diag-Map2-2'!D61</f>
        <v/>
      </c>
    </row>
    <row r="169" spans="4:4" x14ac:dyDescent="0.75">
      <c r="D169" s="115" t="str">
        <f>'Diag-Map2-2'!D62</f>
        <v/>
      </c>
    </row>
    <row r="170" spans="4:4" x14ac:dyDescent="0.75">
      <c r="D170" s="115" t="str">
        <f>'Diag-Map2-2'!D63</f>
        <v/>
      </c>
    </row>
    <row r="171" spans="4:4" x14ac:dyDescent="0.75">
      <c r="D171" s="115" t="str">
        <f>'Diag-Map2-2'!D64</f>
        <v/>
      </c>
    </row>
    <row r="172" spans="4:4" x14ac:dyDescent="0.75">
      <c r="D172" s="115" t="str">
        <f>'Diag-Map2-2'!D65</f>
        <v/>
      </c>
    </row>
    <row r="173" spans="4:4" x14ac:dyDescent="0.75">
      <c r="D173" s="115" t="str">
        <f>'Diag-Map2-2'!D66</f>
        <v/>
      </c>
    </row>
    <row r="174" spans="4:4" x14ac:dyDescent="0.75">
      <c r="D174" s="115" t="str">
        <f>'Diag-Map2-2'!D67</f>
        <v/>
      </c>
    </row>
    <row r="175" spans="4:4" x14ac:dyDescent="0.75">
      <c r="D175" s="115" t="str">
        <f>'Diag-Map2-2'!D68</f>
        <v/>
      </c>
    </row>
    <row r="176" spans="4:4" x14ac:dyDescent="0.75">
      <c r="D176" s="115" t="str">
        <f>'Diag-Map2-2'!D69</f>
        <v/>
      </c>
    </row>
    <row r="177" spans="4:4" x14ac:dyDescent="0.75">
      <c r="D177" s="115" t="str">
        <f>'Diag-Map2-2'!D70</f>
        <v/>
      </c>
    </row>
    <row r="178" spans="4:4" x14ac:dyDescent="0.75">
      <c r="D178" s="115" t="str">
        <f>'Diag-Map2-2'!D71</f>
        <v/>
      </c>
    </row>
    <row r="179" spans="4:4" x14ac:dyDescent="0.75">
      <c r="D179" s="115" t="str">
        <f>'Diag-Map2-2'!D72</f>
        <v/>
      </c>
    </row>
    <row r="180" spans="4:4" x14ac:dyDescent="0.75">
      <c r="D180" s="115" t="str">
        <f>'Diag-Map2-2'!D73</f>
        <v/>
      </c>
    </row>
    <row r="181" spans="4:4" x14ac:dyDescent="0.75">
      <c r="D181" s="115" t="str">
        <f>'Diag-Map2-2'!D74</f>
        <v/>
      </c>
    </row>
    <row r="182" spans="4:4" x14ac:dyDescent="0.75">
      <c r="D182" s="115" t="str">
        <f>'Diag-Map2-2'!D75</f>
        <v/>
      </c>
    </row>
    <row r="183" spans="4:4" x14ac:dyDescent="0.75">
      <c r="D183" s="115" t="str">
        <f>'Diag-Map2-2'!D76</f>
        <v/>
      </c>
    </row>
    <row r="184" spans="4:4" x14ac:dyDescent="0.75">
      <c r="D184" s="115" t="str">
        <f>'Diag-Map2-2'!D77</f>
        <v/>
      </c>
    </row>
    <row r="185" spans="4:4" x14ac:dyDescent="0.75">
      <c r="D185" s="115" t="str">
        <f>'Diag-Map2-2'!D78</f>
        <v/>
      </c>
    </row>
    <row r="186" spans="4:4" x14ac:dyDescent="0.75">
      <c r="D186" s="115" t="str">
        <f>'Diag-Map2-2'!D79</f>
        <v/>
      </c>
    </row>
    <row r="187" spans="4:4" x14ac:dyDescent="0.75">
      <c r="D187" s="115" t="str">
        <f>'Diag-Map2-2'!D80</f>
        <v/>
      </c>
    </row>
    <row r="188" spans="4:4" x14ac:dyDescent="0.75">
      <c r="D188" s="115" t="str">
        <f>'Diag-Map2-2'!D81</f>
        <v/>
      </c>
    </row>
    <row r="189" spans="4:4" x14ac:dyDescent="0.75">
      <c r="D189" s="115" t="str">
        <f>'Diag-Map2-2'!D82</f>
        <v/>
      </c>
    </row>
    <row r="190" spans="4:4" x14ac:dyDescent="0.75">
      <c r="D190" s="115" t="str">
        <f>'Diag-Map2-2'!D83</f>
        <v/>
      </c>
    </row>
    <row r="191" spans="4:4" x14ac:dyDescent="0.75">
      <c r="D191" s="115" t="str">
        <f>'Diag-Map2-2'!D84</f>
        <v/>
      </c>
    </row>
    <row r="192" spans="4:4" x14ac:dyDescent="0.75">
      <c r="D192" s="115" t="str">
        <f>'Diag-Map2-2'!D85</f>
        <v/>
      </c>
    </row>
    <row r="193" spans="4:4" x14ac:dyDescent="0.75">
      <c r="D193" s="115" t="str">
        <f>'Diag-Map2-2'!D86</f>
        <v/>
      </c>
    </row>
    <row r="194" spans="4:4" x14ac:dyDescent="0.75">
      <c r="D194" s="115" t="str">
        <f>'Diag-Map2-2'!D87</f>
        <v/>
      </c>
    </row>
    <row r="195" spans="4:4" x14ac:dyDescent="0.75">
      <c r="D195" s="115" t="str">
        <f>'Diag-Map2-2'!D88</f>
        <v/>
      </c>
    </row>
    <row r="196" spans="4:4" x14ac:dyDescent="0.75">
      <c r="D196" s="115" t="str">
        <f>'Diag-Map2-2'!D89</f>
        <v/>
      </c>
    </row>
    <row r="197" spans="4:4" x14ac:dyDescent="0.75">
      <c r="D197" s="115" t="str">
        <f>'Diag-Map2-2'!D90</f>
        <v/>
      </c>
    </row>
    <row r="198" spans="4:4" x14ac:dyDescent="0.75">
      <c r="D198" s="115" t="str">
        <f>'Diag-Map2-2'!D91</f>
        <v/>
      </c>
    </row>
    <row r="199" spans="4:4" x14ac:dyDescent="0.75">
      <c r="D199" s="115" t="str">
        <f>'Diag-Map2-2'!D92</f>
        <v/>
      </c>
    </row>
    <row r="200" spans="4:4" x14ac:dyDescent="0.75">
      <c r="D200" s="115" t="str">
        <f>'Diag-Map2-2'!D93</f>
        <v/>
      </c>
    </row>
    <row r="201" spans="4:4" x14ac:dyDescent="0.75">
      <c r="D201" s="115" t="str">
        <f>'Diag-Map2-2'!D94</f>
        <v/>
      </c>
    </row>
    <row r="202" spans="4:4" x14ac:dyDescent="0.75">
      <c r="D202" s="115" t="str">
        <f>'Diag-Map2-2'!D95</f>
        <v/>
      </c>
    </row>
    <row r="203" spans="4:4" x14ac:dyDescent="0.75">
      <c r="D203" s="115" t="str">
        <f>'Diag-Map2-2'!D96</f>
        <v/>
      </c>
    </row>
    <row r="204" spans="4:4" x14ac:dyDescent="0.75">
      <c r="D204" s="115" t="str">
        <f>'Diag-Map2-2'!D97</f>
        <v/>
      </c>
    </row>
    <row r="205" spans="4:4" x14ac:dyDescent="0.75">
      <c r="D205" s="115" t="str">
        <f>'Diag-Map2-2'!D98</f>
        <v/>
      </c>
    </row>
    <row r="206" spans="4:4" x14ac:dyDescent="0.75">
      <c r="D206" s="115" t="str">
        <f>'Diag-Map2-2'!D99</f>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I37"/>
  <sheetViews>
    <sheetView workbookViewId="0">
      <selection activeCell="A16" sqref="A16:XFD16"/>
    </sheetView>
  </sheetViews>
  <sheetFormatPr defaultRowHeight="14.75" x14ac:dyDescent="0.75"/>
  <cols>
    <col min="2" max="2" width="41.953125" bestFit="1" customWidth="1"/>
    <col min="3" max="3" width="44.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8" t="s">
        <v>34</v>
      </c>
      <c r="C1" s="56" t="s">
        <v>33</v>
      </c>
      <c r="D1" s="57" t="s">
        <v>6</v>
      </c>
      <c r="E1" s="26"/>
      <c r="F1" s="26"/>
      <c r="G1" s="26"/>
    </row>
    <row r="2" spans="1:9" x14ac:dyDescent="0.75">
      <c r="B2" s="58" t="s">
        <v>69</v>
      </c>
      <c r="C2" s="34" t="s">
        <v>36</v>
      </c>
      <c r="D2" s="34" t="s">
        <v>36</v>
      </c>
      <c r="E2" s="26"/>
      <c r="F2" s="26"/>
      <c r="G2" s="26"/>
    </row>
    <row r="3" spans="1:9" x14ac:dyDescent="0.75">
      <c r="B3" s="21" t="s">
        <v>35</v>
      </c>
      <c r="C3" s="26"/>
      <c r="D3" s="59"/>
      <c r="E3" s="26"/>
      <c r="F3" s="26"/>
      <c r="G3" s="26"/>
    </row>
    <row r="4" spans="1:9" ht="15.5" thickBot="1" x14ac:dyDescent="0.9">
      <c r="B4" s="23" t="s">
        <v>70</v>
      </c>
      <c r="C4" s="24" t="s">
        <v>22</v>
      </c>
      <c r="D4" s="60"/>
      <c r="E4" s="26"/>
      <c r="F4" s="26"/>
      <c r="G4" s="26"/>
    </row>
    <row r="5" spans="1:9" x14ac:dyDescent="0.75">
      <c r="B5" s="26"/>
      <c r="C5" s="54" t="s">
        <v>7</v>
      </c>
      <c r="D5" s="4" t="s">
        <v>8</v>
      </c>
      <c r="E5" s="12" t="s">
        <v>17</v>
      </c>
      <c r="F5" s="12" t="s">
        <v>18</v>
      </c>
      <c r="G5" s="12" t="s">
        <v>19</v>
      </c>
    </row>
    <row r="6" spans="1:9" x14ac:dyDescent="0.75">
      <c r="A6">
        <v>0</v>
      </c>
      <c r="B6" s="34" t="s">
        <v>22</v>
      </c>
      <c r="C6" s="34" t="s">
        <v>36</v>
      </c>
      <c r="D6" s="34" t="s">
        <v>36</v>
      </c>
      <c r="E6" s="35">
        <v>1</v>
      </c>
      <c r="F6" s="35">
        <v>1</v>
      </c>
      <c r="G6" s="35" t="s">
        <v>21</v>
      </c>
    </row>
    <row r="7" spans="1:9" x14ac:dyDescent="0.75">
      <c r="A7" s="2">
        <v>1</v>
      </c>
      <c r="B7" s="27" t="s">
        <v>37</v>
      </c>
      <c r="C7" s="27" t="s">
        <v>23</v>
      </c>
      <c r="D7" s="27" t="s">
        <v>23</v>
      </c>
      <c r="E7" s="27">
        <v>1</v>
      </c>
      <c r="F7" s="27" t="s">
        <v>20</v>
      </c>
      <c r="G7" s="27" t="s">
        <v>0</v>
      </c>
      <c r="H7" s="2"/>
      <c r="I7" s="2"/>
    </row>
    <row r="8" spans="1:9" x14ac:dyDescent="0.75">
      <c r="A8" s="26">
        <v>2</v>
      </c>
      <c r="B8" s="27" t="s">
        <v>39</v>
      </c>
      <c r="C8" s="27" t="s">
        <v>71</v>
      </c>
      <c r="D8" s="27" t="s">
        <v>71</v>
      </c>
      <c r="E8" s="27">
        <v>1</v>
      </c>
      <c r="F8" s="27" t="s">
        <v>20</v>
      </c>
      <c r="G8" s="27" t="s">
        <v>5</v>
      </c>
      <c r="H8" s="2"/>
      <c r="I8" s="2"/>
    </row>
    <row r="9" spans="1:9" x14ac:dyDescent="0.75">
      <c r="A9" s="27">
        <v>3</v>
      </c>
      <c r="B9" s="27" t="s">
        <v>40</v>
      </c>
      <c r="C9" s="27" t="s">
        <v>45</v>
      </c>
      <c r="D9" s="27" t="s">
        <v>45</v>
      </c>
      <c r="E9" s="27">
        <v>1</v>
      </c>
      <c r="F9" s="27" t="s">
        <v>20</v>
      </c>
      <c r="G9" s="27" t="s">
        <v>3</v>
      </c>
      <c r="H9" s="2"/>
      <c r="I9" s="2"/>
    </row>
    <row r="10" spans="1:9" x14ac:dyDescent="0.75">
      <c r="A10" s="26">
        <v>4</v>
      </c>
      <c r="B10" s="27" t="s">
        <v>73</v>
      </c>
      <c r="C10" s="27" t="s">
        <v>936</v>
      </c>
      <c r="D10" s="27" t="s">
        <v>936</v>
      </c>
      <c r="E10" s="27">
        <v>0</v>
      </c>
      <c r="F10" s="27" t="s">
        <v>20</v>
      </c>
      <c r="G10" s="27" t="s">
        <v>3</v>
      </c>
      <c r="H10" s="2"/>
      <c r="I10" s="2"/>
    </row>
    <row r="11" spans="1:9" x14ac:dyDescent="0.75">
      <c r="A11" s="27">
        <v>5</v>
      </c>
      <c r="B11" s="27" t="s">
        <v>41</v>
      </c>
      <c r="C11" s="27" t="s">
        <v>44</v>
      </c>
      <c r="D11" s="27" t="s">
        <v>44</v>
      </c>
      <c r="E11" s="27">
        <v>1</v>
      </c>
      <c r="F11" s="27" t="s">
        <v>20</v>
      </c>
      <c r="G11" s="27" t="s">
        <v>3</v>
      </c>
      <c r="H11" s="2"/>
      <c r="I11" s="2"/>
    </row>
    <row r="12" spans="1:9" x14ac:dyDescent="0.75">
      <c r="A12" s="26">
        <v>6</v>
      </c>
      <c r="B12" s="27" t="s">
        <v>76</v>
      </c>
      <c r="C12" s="27" t="s">
        <v>937</v>
      </c>
      <c r="D12" s="27" t="s">
        <v>937</v>
      </c>
      <c r="E12" s="27">
        <v>0</v>
      </c>
      <c r="F12" s="27" t="s">
        <v>20</v>
      </c>
      <c r="G12" s="27" t="s">
        <v>3</v>
      </c>
      <c r="H12" s="2"/>
      <c r="I12" s="2"/>
    </row>
    <row r="13" spans="1:9" x14ac:dyDescent="0.75">
      <c r="A13" s="27">
        <v>7</v>
      </c>
      <c r="B13" s="27" t="s">
        <v>38</v>
      </c>
      <c r="C13" s="27" t="s">
        <v>78</v>
      </c>
      <c r="D13" s="27" t="s">
        <v>78</v>
      </c>
      <c r="E13" s="27">
        <v>1</v>
      </c>
      <c r="F13" s="27" t="s">
        <v>20</v>
      </c>
      <c r="G13" s="27" t="s">
        <v>1</v>
      </c>
      <c r="H13" s="2"/>
      <c r="I13" s="2"/>
    </row>
    <row r="14" spans="1:9" x14ac:dyDescent="0.75">
      <c r="A14" s="26">
        <v>8</v>
      </c>
      <c r="B14" s="27" t="s">
        <v>42</v>
      </c>
      <c r="C14" s="27" t="s">
        <v>938</v>
      </c>
      <c r="D14" s="27" t="s">
        <v>938</v>
      </c>
      <c r="E14" s="27">
        <v>0</v>
      </c>
      <c r="F14" s="27" t="s">
        <v>20</v>
      </c>
      <c r="G14" s="27" t="s">
        <v>2</v>
      </c>
      <c r="H14" s="2"/>
      <c r="I14" s="2"/>
    </row>
    <row r="15" spans="1:9" x14ac:dyDescent="0.75">
      <c r="A15" s="27">
        <v>9</v>
      </c>
      <c r="B15" s="27" t="s">
        <v>80</v>
      </c>
      <c r="C15" s="27" t="s">
        <v>935</v>
      </c>
      <c r="D15" s="27" t="s">
        <v>935</v>
      </c>
      <c r="E15" s="27">
        <v>0</v>
      </c>
      <c r="F15" s="27" t="s">
        <v>20</v>
      </c>
      <c r="G15" s="27" t="s">
        <v>82</v>
      </c>
      <c r="H15" s="2"/>
      <c r="I15" s="2"/>
    </row>
    <row r="16" spans="1:9" x14ac:dyDescent="0.75">
      <c r="A16" s="26">
        <v>10</v>
      </c>
      <c r="B16" s="27" t="s">
        <v>83</v>
      </c>
      <c r="C16" s="27" t="s">
        <v>1105</v>
      </c>
      <c r="D16" s="115" t="s">
        <v>1105</v>
      </c>
      <c r="E16" s="27">
        <v>0</v>
      </c>
      <c r="F16" s="27" t="s">
        <v>20</v>
      </c>
      <c r="G16" s="27" t="s">
        <v>5</v>
      </c>
      <c r="H16" s="2"/>
      <c r="I16" s="2"/>
    </row>
    <row r="17" spans="1:9" x14ac:dyDescent="0.75">
      <c r="A17" s="27">
        <v>11</v>
      </c>
      <c r="B17" s="27" t="s">
        <v>84</v>
      </c>
      <c r="C17" s="27" t="s">
        <v>939</v>
      </c>
      <c r="D17" s="27" t="s">
        <v>939</v>
      </c>
      <c r="E17" s="27">
        <v>0</v>
      </c>
      <c r="F17" s="27" t="s">
        <v>20</v>
      </c>
      <c r="G17" s="27" t="s">
        <v>86</v>
      </c>
      <c r="H17" s="2"/>
      <c r="I17" s="2"/>
    </row>
    <row r="18" spans="1:9" x14ac:dyDescent="0.75">
      <c r="A18" s="26">
        <v>12</v>
      </c>
      <c r="B18" s="27" t="s">
        <v>87</v>
      </c>
      <c r="C18" s="27" t="s">
        <v>940</v>
      </c>
      <c r="D18" s="27" t="s">
        <v>940</v>
      </c>
      <c r="E18" s="27">
        <v>0</v>
      </c>
      <c r="F18" s="27" t="s">
        <v>20</v>
      </c>
      <c r="G18" s="27" t="s">
        <v>86</v>
      </c>
      <c r="H18" s="2"/>
      <c r="I18" s="2"/>
    </row>
    <row r="19" spans="1:9" x14ac:dyDescent="0.75">
      <c r="A19" s="115">
        <v>13</v>
      </c>
      <c r="B19" s="115" t="s">
        <v>1106</v>
      </c>
      <c r="C19" s="27" t="s">
        <v>1107</v>
      </c>
      <c r="D19" s="115" t="s">
        <v>1107</v>
      </c>
      <c r="E19" s="33">
        <v>0</v>
      </c>
      <c r="F19" s="2">
        <v>1</v>
      </c>
      <c r="G19" s="115" t="s">
        <v>1</v>
      </c>
    </row>
    <row r="20" spans="1:9" x14ac:dyDescent="0.75">
      <c r="A20" s="2"/>
      <c r="B20" s="27"/>
      <c r="C20" s="27"/>
      <c r="D20" s="27"/>
      <c r="E20" s="33"/>
      <c r="F20" s="2"/>
      <c r="G20" s="2"/>
    </row>
    <row r="21" spans="1:9" x14ac:dyDescent="0.75">
      <c r="A21" s="2"/>
      <c r="B21" s="27"/>
      <c r="C21" s="27"/>
      <c r="D21" s="27"/>
      <c r="E21" s="33"/>
      <c r="F21" s="2"/>
      <c r="G21" s="2"/>
    </row>
    <row r="22" spans="1:9" x14ac:dyDescent="0.75">
      <c r="A22" s="2"/>
      <c r="B22" s="27"/>
      <c r="C22" s="27"/>
      <c r="D22" s="27"/>
      <c r="E22" s="33"/>
      <c r="F22" s="2"/>
      <c r="G22" s="2"/>
    </row>
    <row r="23" spans="1:9" x14ac:dyDescent="0.75">
      <c r="A23" s="2"/>
      <c r="B23" s="27"/>
      <c r="C23" s="27"/>
      <c r="D23" s="27"/>
      <c r="E23" s="33"/>
      <c r="F23" s="2"/>
      <c r="G23" s="2"/>
    </row>
    <row r="24" spans="1:9" x14ac:dyDescent="0.75">
      <c r="A24" s="2"/>
      <c r="B24" s="27"/>
      <c r="C24" s="27"/>
      <c r="D24" s="27"/>
      <c r="E24" s="33"/>
      <c r="F24" s="2"/>
      <c r="G24" s="2"/>
    </row>
    <row r="25" spans="1:9" x14ac:dyDescent="0.75">
      <c r="A25" s="2"/>
      <c r="B25" s="27"/>
      <c r="C25" s="27"/>
      <c r="D25" s="27"/>
      <c r="E25" s="33"/>
      <c r="F25" s="2"/>
      <c r="G25" s="2"/>
    </row>
    <row r="26" spans="1:9" x14ac:dyDescent="0.75">
      <c r="A26" s="2"/>
      <c r="B26" s="2"/>
      <c r="C26" s="7"/>
      <c r="D26" s="6"/>
      <c r="E26" s="11"/>
      <c r="F26" s="11"/>
      <c r="G26" s="2"/>
    </row>
    <row r="27" spans="1:9" x14ac:dyDescent="0.75">
      <c r="A27" s="2"/>
      <c r="B27" s="2"/>
      <c r="C27" s="7"/>
      <c r="D27" s="7"/>
      <c r="E27" s="11"/>
      <c r="F27" s="11"/>
      <c r="G27" s="2"/>
    </row>
    <row r="28" spans="1:9" x14ac:dyDescent="0.75">
      <c r="A28" s="2"/>
      <c r="B28" s="2"/>
      <c r="C28" s="7"/>
      <c r="D28" s="6"/>
      <c r="E28" s="11"/>
      <c r="F28" s="11"/>
      <c r="G28" s="2"/>
    </row>
    <row r="29" spans="1:9" x14ac:dyDescent="0.75">
      <c r="A29" s="2"/>
      <c r="B29" s="2"/>
      <c r="C29" s="7"/>
      <c r="D29" s="7"/>
      <c r="E29" s="11"/>
      <c r="F29" s="11"/>
      <c r="G29" s="2"/>
    </row>
    <row r="30" spans="1:9" x14ac:dyDescent="0.75">
      <c r="A30" s="2"/>
      <c r="B30" s="2"/>
      <c r="C30" s="7"/>
      <c r="D30" s="7"/>
      <c r="E30" s="11"/>
      <c r="F30" s="11"/>
      <c r="G30" s="2"/>
    </row>
    <row r="31" spans="1:9" x14ac:dyDescent="0.75">
      <c r="A31" s="2"/>
      <c r="B31" s="2"/>
      <c r="C31" s="5"/>
      <c r="D31" s="6"/>
      <c r="E31" s="11"/>
      <c r="F31" s="11"/>
      <c r="G31" s="2"/>
    </row>
    <row r="32" spans="1:9" x14ac:dyDescent="0.75">
      <c r="A32" s="2"/>
      <c r="B32" s="2"/>
      <c r="C32" s="6"/>
      <c r="D32" s="6"/>
      <c r="E32" s="11"/>
      <c r="F32" s="11"/>
      <c r="G32" s="2"/>
    </row>
    <row r="33" spans="1:7" x14ac:dyDescent="0.75">
      <c r="A33" s="2"/>
      <c r="B33" s="2"/>
      <c r="C33" s="7"/>
      <c r="D33" s="6"/>
      <c r="E33" s="11"/>
      <c r="F33" s="11"/>
      <c r="G33" s="2"/>
    </row>
    <row r="34" spans="1:7" x14ac:dyDescent="0.75">
      <c r="A34" s="2"/>
      <c r="B34" s="2"/>
      <c r="C34" s="7"/>
      <c r="D34" s="6"/>
      <c r="E34" s="11"/>
      <c r="F34" s="11"/>
      <c r="G34" s="2"/>
    </row>
    <row r="35" spans="1:7" x14ac:dyDescent="0.75">
      <c r="A35" s="2"/>
      <c r="B35" s="2"/>
      <c r="C35" s="7"/>
      <c r="D35" s="6"/>
      <c r="E35" s="11"/>
      <c r="F35" s="11"/>
      <c r="G35" s="2"/>
    </row>
    <row r="36" spans="1:7" x14ac:dyDescent="0.75">
      <c r="A36" s="2"/>
      <c r="B36" s="2"/>
      <c r="C36" s="7"/>
      <c r="D36" s="6"/>
      <c r="E36" s="11"/>
      <c r="F36" s="11"/>
      <c r="G36" s="2"/>
    </row>
    <row r="37" spans="1:7" x14ac:dyDescent="0.75">
      <c r="A37" s="2"/>
      <c r="B37" s="2"/>
      <c r="C37" s="7"/>
      <c r="D37" s="6"/>
      <c r="E37" s="11"/>
      <c r="F37" s="11"/>
      <c r="G37" s="2"/>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4" zoomScale="85" zoomScaleNormal="85" workbookViewId="0">
      <selection activeCell="B15" sqref="B15:H17"/>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4" t="str">
        <f>CONCATENATE("* differential.element[",'Subj-1'!A6,"].id = """,'Subj-1'!B6,"""")</f>
        <v>* differential.element[0].id = "Subject"</v>
      </c>
      <c r="C1" s="14" t="str">
        <f>CONCATENATE("* differential.element[",'Subj-1'!A6,"].path = """,'Subj-1'!$B$6,"""")</f>
        <v>* differential.element[0].path = "Subject"</v>
      </c>
      <c r="D1" s="14" t="str">
        <f>CONCATENATE("* differential.element[",'Subj-1'!A6,"].short = """,'Subj-1'!C6,"""")</f>
        <v>* differential.element[0].short = "Subject of care"</v>
      </c>
      <c r="E1" s="14" t="str">
        <f>CONCATENATE("* differential.element[",'Subj-1'!A6,"].definition = """,'Subj-1'!D6,"""")</f>
        <v>* differential.element[0].definition = "Subject of care"</v>
      </c>
      <c r="F1" s="14" t="str">
        <f>CONCATENATE("* differential.element[",'Subj-1'!A6,"].min = ",'Subj-1'!E6,"")</f>
        <v>* differential.element[0].min = 1</v>
      </c>
      <c r="G1" s="14" t="str">
        <f>CONCATENATE("* differential.element[",'Subj-1'!A6,"].max = """,'Subj-1'!F6,"""")</f>
        <v>* differential.element[0].max = "1"</v>
      </c>
      <c r="H1" s="14"/>
    </row>
    <row r="2" spans="2:10" ht="44.25" x14ac:dyDescent="0.75">
      <c r="B2" s="32" t="str">
        <f>CONCATENATE("* differential.element[",'Subj-1'!$A7,"].id = """,'Subj-1'!$B$6,".",'Subj-1'!B7,"""")</f>
        <v>* differential.element[1].id = "Subject.identifier"</v>
      </c>
      <c r="C2" s="32" t="str">
        <f>CONCATENATE("* differential.element[",'Subj-1'!$A7,"].path = """,'Subj-1'!$B$6,".",'Subj-1'!B7,"""")</f>
        <v>* differential.element[1].path = "Subject.identifier"</v>
      </c>
      <c r="D2" s="32" t="str">
        <f>CONCATENATE("* differential.element[",'Subj-1'!A7,"].short = """,'Subj-1'!C7,"""")</f>
        <v>* differential.element[1].short = "ID"</v>
      </c>
      <c r="E2" s="32" t="str">
        <f>CONCATENATE("* differential.element[",'Subj-1'!A7,"].definition = """,'Subj-1'!D7,"""")</f>
        <v>* differential.element[1].definition = "ID"</v>
      </c>
      <c r="F2" s="32" t="str">
        <f>CONCATENATE("* differential.element[",'Subj-1'!A7,"].min = ",'Subj-1'!E7,"")</f>
        <v>* differential.element[1].min = 1</v>
      </c>
      <c r="G2" s="32" t="str">
        <f>CONCATENATE("* differential.element[",'Subj-1'!A7,"].max = """,'Subj-1'!F7,"""")</f>
        <v>* differential.element[1].max = "*"</v>
      </c>
      <c r="H2" s="32" t="str">
        <f>CONCATENATE("* differential.element[",'Subj-1'!A7,"].type.code = #",'Subj-1'!G7,"")</f>
        <v>* differential.element[1].type.code = #Identifier</v>
      </c>
      <c r="I2" s="10"/>
      <c r="J2" t="s">
        <v>9</v>
      </c>
    </row>
    <row r="3" spans="2:10" ht="44.25" x14ac:dyDescent="0.75">
      <c r="B3" s="116" t="str">
        <f>CONCATENATE("* differential.element[",'Subj-1'!$A8,"].id = """,'Subj-1'!$B$6,".",'Subj-1'!B8,"""")</f>
        <v>* differential.element[2].id = "Subject.name"</v>
      </c>
      <c r="C3" s="116" t="str">
        <f>CONCATENATE("* differential.element[",'Subj-1'!$A8,"].path = """,'Subj-1'!$B$6,".",'Subj-1'!B8,"""")</f>
        <v>* differential.element[2].path = "Subject.name"</v>
      </c>
      <c r="D3" s="116" t="str">
        <f>CONCATENATE("* differential.element[",'Subj-1'!A8,"].short = """,'Subj-1'!C8,"""")</f>
        <v>* differential.element[2].short = "Subject Name"</v>
      </c>
      <c r="E3" s="116" t="str">
        <f>CONCATENATE("* differential.element[",'Subj-1'!A8,"].definition = """,'Subj-1'!D8,"""")</f>
        <v>* differential.element[2].definition = "Subject Name"</v>
      </c>
      <c r="F3" s="116" t="str">
        <f>CONCATENATE("* differential.element[",'Subj-1'!A8,"].min = ",'Subj-1'!E8,"")</f>
        <v>* differential.element[2].min = 1</v>
      </c>
      <c r="G3" s="116" t="str">
        <f>CONCATENATE("* differential.element[",'Subj-1'!A8,"].max = """,'Subj-1'!F8,"""")</f>
        <v>* differential.element[2].max = "*"</v>
      </c>
      <c r="H3" s="116" t="str">
        <f>CONCATENATE("* differential.element[",'Subj-1'!A8,"].type.code = #",'Subj-1'!G8,"")</f>
        <v>* differential.element[2].type.code = #BackboneElement</v>
      </c>
      <c r="I3" s="10"/>
      <c r="J3" t="s">
        <v>10</v>
      </c>
    </row>
    <row r="4" spans="2:10" ht="44.25" x14ac:dyDescent="0.75">
      <c r="B4" s="116" t="str">
        <f>CONCATENATE("* differential.element[",'Subj-1'!$A9,"].id = """,'Subj-1'!$B$6,".",'Subj-1'!B9,"""")</f>
        <v>* differential.element[3].id = "Subject.name.lastname"</v>
      </c>
      <c r="C4" s="116" t="str">
        <f>CONCATENATE("* differential.element[",'Subj-1'!$A9,"].path = """,'Subj-1'!$B$6,".",'Subj-1'!B9,"""")</f>
        <v>* differential.element[3].path = "Subject.name.lastname"</v>
      </c>
      <c r="D4" s="116" t="str">
        <f>CONCATENATE("* differential.element[",'Subj-1'!A9,"].short = """,'Subj-1'!C9,"""")</f>
        <v>* differential.element[3].short = "Lastname"</v>
      </c>
      <c r="E4" s="116" t="str">
        <f>CONCATENATE("* differential.element[",'Subj-1'!A9,"].definition = """,'Subj-1'!D9,"""")</f>
        <v>* differential.element[3].definition = "Lastname"</v>
      </c>
      <c r="F4" s="116" t="str">
        <f>CONCATENATE("* differential.element[",'Subj-1'!A9,"].min = ",'Subj-1'!E9,"")</f>
        <v>* differential.element[3].min = 1</v>
      </c>
      <c r="G4" s="116" t="str">
        <f>CONCATENATE("* differential.element[",'Subj-1'!A9,"].max = """,'Subj-1'!F9,"""")</f>
        <v>* differential.element[3].max = "*"</v>
      </c>
      <c r="H4" s="116" t="str">
        <f>CONCATENATE("* differential.element[",'Subj-1'!A9,"].type.code = #",'Subj-1'!G9,"")</f>
        <v>* differential.element[3].type.code = #string</v>
      </c>
      <c r="I4" s="10"/>
      <c r="J4" t="s">
        <v>11</v>
      </c>
    </row>
    <row r="5" spans="2:10" ht="44.25" x14ac:dyDescent="0.75">
      <c r="B5" s="116" t="str">
        <f>CONCATENATE("* differential.element[",'Subj-1'!$A10,"].id = """,'Subj-1'!$B$6,".",'Subj-1'!B10,"""")</f>
        <v>* differential.element[4].id = "Subject.name.middleName"</v>
      </c>
      <c r="C5" s="116" t="str">
        <f>CONCATENATE("* differential.element[",'Subj-1'!$A10,"].path = """,'Subj-1'!$B$6,".",'Subj-1'!B10,"""")</f>
        <v>* differential.element[4].path = "Subject.name.middleName"</v>
      </c>
      <c r="D5" s="116" t="str">
        <f>CONCATENATE("* differential.element[",'Subj-1'!A10,"].short = """,'Subj-1'!C10,"""")</f>
        <v>* differential.element[4].short = "Middlename"</v>
      </c>
      <c r="E5" s="116" t="str">
        <f>CONCATENATE("* differential.element[",'Subj-1'!A10,"].definition = """,'Subj-1'!D10,"""")</f>
        <v>* differential.element[4].definition = "Middlename"</v>
      </c>
      <c r="F5" s="116" t="str">
        <f>CONCATENATE("* differential.element[",'Subj-1'!A10,"].min = ",'Subj-1'!E10,"")</f>
        <v>* differential.element[4].min = 0</v>
      </c>
      <c r="G5" s="116" t="str">
        <f>CONCATENATE("* differential.element[",'Subj-1'!A10,"].max = """,'Subj-1'!F10,"""")</f>
        <v>* differential.element[4].max = "*"</v>
      </c>
      <c r="H5" s="116" t="str">
        <f>CONCATENATE("* differential.element[",'Subj-1'!A10,"].type.code = #",'Subj-1'!G10,"")</f>
        <v>* differential.element[4].type.code = #string</v>
      </c>
      <c r="I5" s="10"/>
      <c r="J5" t="s">
        <v>12</v>
      </c>
    </row>
    <row r="6" spans="2:10" ht="44.25" x14ac:dyDescent="0.75">
      <c r="B6" s="116" t="str">
        <f>CONCATENATE("* differential.element[",'Subj-1'!$A11,"].id = """,'Subj-1'!$B$6,".",'Subj-1'!B11,"""")</f>
        <v>* differential.element[5].id = "Subject.name.firstName"</v>
      </c>
      <c r="C6" s="116" t="str">
        <f>CONCATENATE("* differential.element[",'Subj-1'!$A11,"].path = """,'Subj-1'!$B$6,".",'Subj-1'!B11,"""")</f>
        <v>* differential.element[5].path = "Subject.name.firstName"</v>
      </c>
      <c r="D6" s="116" t="str">
        <f>CONCATENATE("* differential.element[",'Subj-1'!A11,"].short = """,'Subj-1'!C11,"""")</f>
        <v>* differential.element[5].short = "Firstname"</v>
      </c>
      <c r="E6" s="116" t="str">
        <f>CONCATENATE("* differential.element[",'Subj-1'!A11,"].definition = """,'Subj-1'!D11,"""")</f>
        <v>* differential.element[5].definition = "Firstname"</v>
      </c>
      <c r="F6" s="116" t="str">
        <f>CONCATENATE("* differential.element[",'Subj-1'!A11,"].min = ",'Subj-1'!E11,"")</f>
        <v>* differential.element[5].min = 1</v>
      </c>
      <c r="G6" s="116" t="str">
        <f>CONCATENATE("* differential.element[",'Subj-1'!A11,"].max = """,'Subj-1'!F11,"""")</f>
        <v>* differential.element[5].max = "*"</v>
      </c>
      <c r="H6" s="116" t="str">
        <f>CONCATENATE("* differential.element[",'Subj-1'!A11,"].type.code = #",'Subj-1'!G11,"")</f>
        <v>* differential.element[5].type.code = #string</v>
      </c>
      <c r="I6" s="10"/>
      <c r="J6" t="s">
        <v>13</v>
      </c>
    </row>
    <row r="7" spans="2:10" ht="44.25" x14ac:dyDescent="0.75">
      <c r="B7" s="116" t="str">
        <f>CONCATENATE("* differential.element[",'Subj-1'!$A12,"].id = """,'Subj-1'!$B$6,".",'Subj-1'!B12,"""")</f>
        <v>* differential.element[6].id = "Subject.lastnameAtDiagnosis"</v>
      </c>
      <c r="C7" s="116" t="str">
        <f>CONCATENATE("* differential.element[",'Subj-1'!$A12,"].path = """,'Subj-1'!$B$6,".",'Subj-1'!B12,"""")</f>
        <v>* differential.element[6].path = "Subject.lastnameAtDiagnosis"</v>
      </c>
      <c r="D7" s="116" t="str">
        <f>CONCATENATE("* differential.element[",'Subj-1'!A12,"].short = """,'Subj-1'!C12,"""")</f>
        <v>* differential.element[6].short = "Lastname at diagnosis (if different from the actual one)"</v>
      </c>
      <c r="E7" s="116" t="str">
        <f>CONCATENATE("* differential.element[",'Subj-1'!A12,"].definition = """,'Subj-1'!D12,"""")</f>
        <v>* differential.element[6].definition = "Lastname at diagnosis (if different from the actual one)"</v>
      </c>
      <c r="F7" s="116" t="str">
        <f>CONCATENATE("* differential.element[",'Subj-1'!A12,"].min = ",'Subj-1'!E12,"")</f>
        <v>* differential.element[6].min = 0</v>
      </c>
      <c r="G7" s="116" t="str">
        <f>CONCATENATE("* differential.element[",'Subj-1'!A12,"].max = """,'Subj-1'!F12,"""")</f>
        <v>* differential.element[6].max = "*"</v>
      </c>
      <c r="H7" s="116" t="str">
        <f>CONCATENATE("* differential.element[",'Subj-1'!A12,"].type.code = #",'Subj-1'!G12,"")</f>
        <v>* differential.element[6].type.code = #string</v>
      </c>
      <c r="I7" s="10"/>
      <c r="J7" t="s">
        <v>14</v>
      </c>
    </row>
    <row r="8" spans="2:10" ht="44.25" x14ac:dyDescent="0.75">
      <c r="B8" s="116" t="str">
        <f>CONCATENATE("* differential.element[",'Subj-1'!$A13,"].id = """,'Subj-1'!$B$6,".",'Subj-1'!B13,"""")</f>
        <v>* differential.element[7].id = "Subject.gender"</v>
      </c>
      <c r="C8" s="116" t="str">
        <f>CONCATENATE("* differential.element[",'Subj-1'!$A13,"].path = """,'Subj-1'!$B$6,".",'Subj-1'!B13,"""")</f>
        <v>* differential.element[7].path = "Subject.gender"</v>
      </c>
      <c r="D8" s="116" t="str">
        <f>CONCATENATE("* differential.element[",'Subj-1'!A13,"].short = """,'Subj-1'!C13,"""")</f>
        <v>* differential.element[7].short = "Gender/Sex"</v>
      </c>
      <c r="E8" s="116" t="str">
        <f>CONCATENATE("* differential.element[",'Subj-1'!A13,"].definition = """,'Subj-1'!D13,"""")</f>
        <v>* differential.element[7].definition = "Gender/Sex"</v>
      </c>
      <c r="F8" s="116" t="str">
        <f>CONCATENATE("* differential.element[",'Subj-1'!A13,"].min = ",'Subj-1'!E13,"")</f>
        <v>* differential.element[7].min = 1</v>
      </c>
      <c r="G8" s="116" t="str">
        <f>CONCATENATE("* differential.element[",'Subj-1'!A13,"].max = """,'Subj-1'!F13,"""")</f>
        <v>* differential.element[7].max = "*"</v>
      </c>
      <c r="H8" s="116" t="str">
        <f>CONCATENATE("* differential.element[",'Subj-1'!A13,"].type.code = #",'Subj-1'!G13,"")</f>
        <v>* differential.element[7].type.code = #CodeableConcept</v>
      </c>
      <c r="I8" s="10"/>
      <c r="J8" t="s">
        <v>15</v>
      </c>
    </row>
    <row r="9" spans="2:10" ht="44.25" x14ac:dyDescent="0.75">
      <c r="B9" s="116" t="str">
        <f>CONCATENATE("* differential.element[",'Subj-1'!$A14,"].id = """,'Subj-1'!$B$6,".",'Subj-1'!B14,"""")</f>
        <v>* differential.element[8].id = "Subject.dateOfBirth"</v>
      </c>
      <c r="C9" s="116" t="str">
        <f>CONCATENATE("* differential.element[",'Subj-1'!$A14,"].path = """,'Subj-1'!$B$6,".",'Subj-1'!B14,"""")</f>
        <v>* differential.element[8].path = "Subject.dateOfBirth"</v>
      </c>
      <c r="D9" s="116" t="str">
        <f>CONCATENATE("* differential.element[",'Subj-1'!A14,"].short = """,'Subj-1'!C14,"""")</f>
        <v>* differential.element[8].short = "Date of birth"</v>
      </c>
      <c r="E9" s="116" t="str">
        <f>CONCATENATE("* differential.element[",'Subj-1'!A14,"].definition = """,'Subj-1'!D14,"""")</f>
        <v>* differential.element[8].definition = "Date of birth"</v>
      </c>
      <c r="F9" s="116" t="str">
        <f>CONCATENATE("* differential.element[",'Subj-1'!A14,"].min = ",'Subj-1'!E14,"")</f>
        <v>* differential.element[8].min = 0</v>
      </c>
      <c r="G9" s="116" t="str">
        <f>CONCATENATE("* differential.element[",'Subj-1'!A14,"].max = """,'Subj-1'!F14,"""")</f>
        <v>* differential.element[8].max = "*"</v>
      </c>
      <c r="H9" s="116" t="str">
        <f>CONCATENATE("* differential.element[",'Subj-1'!A14,"].type.code = #",'Subj-1'!G14,"")</f>
        <v>* differential.element[8].type.code = #dateTime</v>
      </c>
      <c r="I9" s="10"/>
    </row>
    <row r="10" spans="2:10" ht="44.25" x14ac:dyDescent="0.75">
      <c r="B10" s="116" t="str">
        <f>CONCATENATE("* differential.element[",'Subj-1'!$A15,"].id = """,'Subj-1'!$B$6,".",'Subj-1'!B15,"""")</f>
        <v>* differential.element[9].id = "Subject.placeOfBirth"</v>
      </c>
      <c r="C10" s="116" t="str">
        <f>CONCATENATE("* differential.element[",'Subj-1'!$A15,"].path = """,'Subj-1'!$B$6,".",'Subj-1'!B15,"""")</f>
        <v>* differential.element[9].path = "Subject.placeOfBirth"</v>
      </c>
      <c r="D10" s="116" t="str">
        <f>CONCATENATE("* differential.element[",'Subj-1'!A15,"].short = """,'Subj-1'!C15,"""")</f>
        <v>* differential.element[9].short = "Place of birth"</v>
      </c>
      <c r="E10" s="116" t="str">
        <f>CONCATENATE("* differential.element[",'Subj-1'!A15,"].definition = """,'Subj-1'!D15,"""")</f>
        <v>* differential.element[9].definition = "Place of birth"</v>
      </c>
      <c r="F10" s="116" t="str">
        <f>CONCATENATE("* differential.element[",'Subj-1'!A15,"].min = ",'Subj-1'!E15,"")</f>
        <v>* differential.element[9].min = 0</v>
      </c>
      <c r="G10" s="116" t="str">
        <f>CONCATENATE("* differential.element[",'Subj-1'!A15,"].max = """,'Subj-1'!F15,"""")</f>
        <v>* differential.element[9].max = "*"</v>
      </c>
      <c r="H10" s="116" t="str">
        <f>CONCATENATE("* differential.element[",'Subj-1'!A15,"].type.code = #",'Subj-1'!G15,"")</f>
        <v>* differential.element[9].type.code = #Address</v>
      </c>
      <c r="I10" s="10"/>
    </row>
    <row r="11" spans="2:10" ht="44.25" x14ac:dyDescent="0.75">
      <c r="B11" s="116" t="str">
        <f>CONCATENATE("* differential.element[",'Subj-1'!$A16,"].id = """,'Subj-1'!$B$6,".",'Subj-1'!B16,"""")</f>
        <v>* differential.element[10].id = "Subject.contact"</v>
      </c>
      <c r="C11" s="116" t="str">
        <f>CONCATENATE("* differential.element[",'Subj-1'!$A16,"].path = """,'Subj-1'!$B$6,".",'Subj-1'!B16,"""")</f>
        <v>* differential.element[10].path = "Subject.contact"</v>
      </c>
      <c r="D11" s="116" t="str">
        <f>CONCATENATE("* differential.element[",'Subj-1'!A16,"].short = """,'Subj-1'!C16,"""")</f>
        <v>* differential.element[10].short = "Contact - receiver of the passport"</v>
      </c>
      <c r="E11" s="116" t="str">
        <f>CONCATENATE("* differential.element[",'Subj-1'!A16,"].definition = """,'Subj-1'!D16,"""")</f>
        <v>* differential.element[10].definition = "Contact - receiver of the passport"</v>
      </c>
      <c r="F11" s="116" t="str">
        <f>CONCATENATE("* differential.element[",'Subj-1'!A16,"].min = ",'Subj-1'!E16,"")</f>
        <v>* differential.element[10].min = 0</v>
      </c>
      <c r="G11" s="116" t="str">
        <f>CONCATENATE("* differential.element[",'Subj-1'!A16,"].max = """,'Subj-1'!F16,"""")</f>
        <v>* differential.element[10].max = "*"</v>
      </c>
      <c r="H11" s="116" t="str">
        <f>CONCATENATE("* differential.element[",'Subj-1'!A16,"].type.code = #",'Subj-1'!G16,"")</f>
        <v>* differential.element[10].type.code = #BackboneElement</v>
      </c>
      <c r="I11" s="10"/>
    </row>
    <row r="12" spans="2:10" ht="44.25" x14ac:dyDescent="0.75">
      <c r="B12" s="116" t="str">
        <f>CONCATENATE("* differential.element[",'Subj-1'!$A17,"].id = """,'Subj-1'!$B$6,".",'Subj-1'!B17,"""")</f>
        <v>* differential.element[11].id = "Subject.contact.email"</v>
      </c>
      <c r="C12" s="116" t="str">
        <f>CONCATENATE("* differential.element[",'Subj-1'!$A17,"].path = """,'Subj-1'!$B$6,".",'Subj-1'!B17,"""")</f>
        <v>* differential.element[11].path = "Subject.contact.email"</v>
      </c>
      <c r="D12" s="116" t="str">
        <f>CONCATENATE("* differential.element[",'Subj-1'!A17,"].short = """,'Subj-1'!C17,"""")</f>
        <v>* differential.element[11].short = "E-mail"</v>
      </c>
      <c r="E12" s="116" t="str">
        <f>CONCATENATE("* differential.element[",'Subj-1'!A17,"].definition = """,'Subj-1'!D17,"""")</f>
        <v>* differential.element[11].definition = "E-mail"</v>
      </c>
      <c r="F12" s="116" t="str">
        <f>CONCATENATE("* differential.element[",'Subj-1'!A17,"].min = ",'Subj-1'!E17,"")</f>
        <v>* differential.element[11].min = 0</v>
      </c>
      <c r="G12" s="116" t="str">
        <f>CONCATENATE("* differential.element[",'Subj-1'!A17,"].max = """,'Subj-1'!F17,"""")</f>
        <v>* differential.element[11].max = "*"</v>
      </c>
      <c r="H12" s="116" t="str">
        <f>CONCATENATE("* differential.element[",'Subj-1'!A17,"].type.code = #",'Subj-1'!G17,"")</f>
        <v>* differential.element[11].type.code = #uri</v>
      </c>
      <c r="I12" s="10"/>
    </row>
    <row r="13" spans="2:10" ht="44.25" x14ac:dyDescent="0.75">
      <c r="B13" s="116" t="str">
        <f>CONCATENATE("* differential.element[",'Subj-1'!$A18,"].id = """,'Subj-1'!$B$6,".",'Subj-1'!B18,"""")</f>
        <v>* differential.element[12].id = "Subject.contact.mobile"</v>
      </c>
      <c r="C13" s="116" t="str">
        <f>CONCATENATE("* differential.element[",'Subj-1'!$A18,"].path = """,'Subj-1'!$B$6,".",'Subj-1'!B18,"""")</f>
        <v>* differential.element[12].path = "Subject.contact.mobile"</v>
      </c>
      <c r="D13" s="116" t="str">
        <f>CONCATENATE("* differential.element[",'Subj-1'!A18,"].short = """,'Subj-1'!C18,"""")</f>
        <v>* differential.element[12].short = "Mobile phone"</v>
      </c>
      <c r="E13" s="116" t="str">
        <f>CONCATENATE("* differential.element[",'Subj-1'!A18,"].definition = """,'Subj-1'!D18,"""")</f>
        <v>* differential.element[12].definition = "Mobile phone"</v>
      </c>
      <c r="F13" s="116" t="str">
        <f>CONCATENATE("* differential.element[",'Subj-1'!A18,"].min = ",'Subj-1'!E18,"")</f>
        <v>* differential.element[12].min = 0</v>
      </c>
      <c r="G13" s="116" t="str">
        <f>CONCATENATE("* differential.element[",'Subj-1'!A18,"].max = """,'Subj-1'!F18,"""")</f>
        <v>* differential.element[12].max = "*"</v>
      </c>
      <c r="H13" s="116" t="str">
        <f>CONCATENATE("* differential.element[",'Subj-1'!A18,"].type.code = #",'Subj-1'!G18,"")</f>
        <v>* differential.element[12].type.code = #uri</v>
      </c>
      <c r="I13" s="10"/>
    </row>
    <row r="14" spans="2:10" ht="44.25" x14ac:dyDescent="0.75">
      <c r="B14" s="116" t="str">
        <f>CONCATENATE("* differential.element[",'Subj-1'!$A19,"].id = """,'Subj-1'!$B$6,".",'Subj-1'!B19,"""")</f>
        <v>* differential.element[13].id = "Subject.contact.relationship"</v>
      </c>
      <c r="C14" s="116" t="str">
        <f>CONCATENATE("* differential.element[",'Subj-1'!$A19,"].path = """,'Subj-1'!$B$6,".",'Subj-1'!B19,"""")</f>
        <v>* differential.element[13].path = "Subject.contact.relationship"</v>
      </c>
      <c r="D14" s="116" t="str">
        <f>CONCATENATE("* differential.element[",'Subj-1'!A19,"].short = """,'Subj-1'!C19,"""")</f>
        <v>* differential.element[13].short = "Relationship with the subject"</v>
      </c>
      <c r="E14" s="116" t="str">
        <f>CONCATENATE("* differential.element[",'Subj-1'!A19,"].definition = """,'Subj-1'!D19,"""")</f>
        <v>* differential.element[13].definition = "Relationship with the subject"</v>
      </c>
      <c r="F14" s="116" t="str">
        <f>CONCATENATE("* differential.element[",'Subj-1'!A19,"].min = ",'Subj-1'!E19,"")</f>
        <v>* differential.element[13].min = 0</v>
      </c>
      <c r="G14" s="116" t="str">
        <f>CONCATENATE("* differential.element[",'Subj-1'!A19,"].max = """,'Subj-1'!F19,"""")</f>
        <v>* differential.element[13].max = "1"</v>
      </c>
      <c r="H14" s="116" t="str">
        <f>CONCATENATE("* differential.element[",'Subj-1'!A19,"].type.code = #",'Subj-1'!G19,"")</f>
        <v>* differential.element[13].type.code = #CodeableConcept</v>
      </c>
      <c r="I14" s="10"/>
    </row>
    <row r="15" spans="2:10" x14ac:dyDescent="0.75">
      <c r="B15" s="116"/>
      <c r="C15" s="116"/>
      <c r="D15" s="116"/>
      <c r="E15" s="116"/>
      <c r="F15" s="116"/>
      <c r="G15" s="116"/>
      <c r="H15" s="116"/>
      <c r="I15" s="10"/>
    </row>
    <row r="16" spans="2:10" x14ac:dyDescent="0.75">
      <c r="B16" s="116"/>
      <c r="C16" s="116"/>
      <c r="D16" s="116"/>
      <c r="E16" s="116"/>
      <c r="F16" s="116"/>
      <c r="G16" s="116"/>
      <c r="H16" s="116"/>
      <c r="I16" s="10"/>
    </row>
    <row r="17" spans="2:9" x14ac:dyDescent="0.75">
      <c r="B17" s="116"/>
      <c r="C17" s="116"/>
      <c r="D17" s="116"/>
      <c r="E17" s="116"/>
      <c r="F17" s="116"/>
      <c r="G17" s="116"/>
      <c r="H17" s="116"/>
      <c r="I17" s="10"/>
    </row>
    <row r="18" spans="2:9" x14ac:dyDescent="0.75">
      <c r="B18" s="32"/>
      <c r="C18" s="32"/>
      <c r="D18" s="32"/>
      <c r="E18" s="32"/>
      <c r="F18" s="32"/>
      <c r="G18" s="32"/>
      <c r="H18" s="32"/>
      <c r="I18" s="10"/>
    </row>
    <row r="19" spans="2:9" x14ac:dyDescent="0.75">
      <c r="B19" s="32"/>
      <c r="C19" s="32"/>
      <c r="D19" s="32"/>
      <c r="E19" s="32"/>
      <c r="F19" s="32"/>
      <c r="G19" s="32"/>
      <c r="H19" s="32"/>
      <c r="I19" s="10"/>
    </row>
    <row r="20" spans="2:9" x14ac:dyDescent="0.75">
      <c r="B20" s="32"/>
      <c r="C20" s="32"/>
      <c r="D20" s="32"/>
      <c r="E20" s="32"/>
      <c r="F20" s="32"/>
      <c r="G20" s="32"/>
      <c r="H20" s="32"/>
      <c r="I20" s="10"/>
    </row>
    <row r="21" spans="2:9" x14ac:dyDescent="0.75">
      <c r="B21" s="32"/>
      <c r="C21" s="32"/>
      <c r="D21" s="32"/>
      <c r="E21" s="32"/>
      <c r="F21" s="32"/>
      <c r="G21" s="32"/>
      <c r="H21" s="32"/>
      <c r="I21" s="10"/>
    </row>
    <row r="22" spans="2:9" x14ac:dyDescent="0.75">
      <c r="B22" s="32"/>
      <c r="C22" s="32"/>
      <c r="D22" s="32"/>
      <c r="E22" s="32"/>
      <c r="F22" s="32"/>
      <c r="G22" s="32"/>
      <c r="H22" s="32"/>
      <c r="I22" s="10"/>
    </row>
    <row r="23" spans="2:9" x14ac:dyDescent="0.75">
      <c r="B23" s="9"/>
      <c r="C23" s="9"/>
      <c r="D23" s="9"/>
      <c r="E23" s="9"/>
      <c r="F23" s="9"/>
      <c r="G23" s="9"/>
      <c r="H23" s="9"/>
      <c r="I23" s="10"/>
    </row>
    <row r="24" spans="2:9" x14ac:dyDescent="0.75">
      <c r="B24" s="9"/>
      <c r="C24" s="9"/>
      <c r="D24" s="9"/>
      <c r="E24" s="9"/>
      <c r="F24" s="9"/>
      <c r="G24" s="9"/>
      <c r="H24" s="9"/>
      <c r="I24" s="10"/>
    </row>
    <row r="25" spans="2:9" x14ac:dyDescent="0.75">
      <c r="B25" s="9"/>
      <c r="C25" s="9"/>
      <c r="D25" s="9"/>
      <c r="E25" s="9"/>
      <c r="F25" s="9"/>
      <c r="G25" s="9"/>
      <c r="H25" s="9"/>
      <c r="I25" s="10"/>
    </row>
    <row r="26" spans="2:9" x14ac:dyDescent="0.75">
      <c r="B26" s="9"/>
      <c r="C26" s="9"/>
      <c r="D26" s="9"/>
      <c r="E26" s="9"/>
      <c r="F26" s="9"/>
      <c r="G26" s="9"/>
      <c r="H26" s="9"/>
    </row>
    <row r="27" spans="2:9" x14ac:dyDescent="0.75">
      <c r="B27" s="9"/>
      <c r="C27" s="9"/>
      <c r="D27" s="9"/>
      <c r="E27" s="9"/>
      <c r="F27" s="9"/>
      <c r="G27" s="9"/>
      <c r="H27" s="9"/>
    </row>
    <row r="28" spans="2:9" x14ac:dyDescent="0.75">
      <c r="B28" s="9"/>
      <c r="C28" s="9"/>
      <c r="D28" s="9"/>
      <c r="E28" s="9"/>
      <c r="F28" s="9"/>
      <c r="G28" s="9"/>
      <c r="H28" s="9"/>
    </row>
    <row r="29" spans="2:9" x14ac:dyDescent="0.75">
      <c r="B29" s="9"/>
      <c r="C29" s="9"/>
      <c r="D29" s="9"/>
      <c r="E29" s="9"/>
      <c r="F29" s="9"/>
      <c r="G29" s="9"/>
      <c r="H29" s="9"/>
    </row>
    <row r="30" spans="2:9" x14ac:dyDescent="0.75">
      <c r="B30" s="9"/>
      <c r="C30" s="9"/>
      <c r="D30" s="9"/>
      <c r="E30" s="9"/>
      <c r="F30" s="9"/>
      <c r="G30" s="9"/>
      <c r="H30" s="9"/>
    </row>
    <row r="31" spans="2:9" x14ac:dyDescent="0.75">
      <c r="B31" s="9"/>
      <c r="C31" s="9"/>
      <c r="D31" s="9"/>
      <c r="E31" s="9"/>
      <c r="F31" s="9"/>
      <c r="G31" s="9"/>
      <c r="H31" s="9"/>
    </row>
    <row r="32" spans="2:9" x14ac:dyDescent="0.75">
      <c r="B32" s="9"/>
      <c r="C32" s="9"/>
      <c r="D32" s="9"/>
      <c r="E32" s="9"/>
      <c r="F32" s="9"/>
      <c r="G32" s="9"/>
      <c r="H32" s="9"/>
    </row>
    <row r="33" spans="2:8" x14ac:dyDescent="0.75">
      <c r="B33" s="9"/>
      <c r="C33" s="9"/>
      <c r="D33" s="9"/>
      <c r="E33" s="9"/>
      <c r="F33" s="9"/>
      <c r="G33" s="9"/>
      <c r="H33" s="9"/>
    </row>
    <row r="34" spans="2:8" x14ac:dyDescent="0.75">
      <c r="B34" s="9"/>
      <c r="C34" s="9"/>
      <c r="D34" s="9"/>
      <c r="E34" s="9"/>
      <c r="F34" s="9"/>
      <c r="G34" s="9"/>
      <c r="H34" s="9"/>
    </row>
    <row r="35" spans="2:8" x14ac:dyDescent="0.75">
      <c r="B35" s="9"/>
      <c r="C35" s="9"/>
      <c r="D35" s="9"/>
      <c r="E35" s="9"/>
      <c r="F35" s="9"/>
      <c r="G35" s="9"/>
      <c r="H35" s="9"/>
    </row>
    <row r="36" spans="2:8" x14ac:dyDescent="0.75">
      <c r="B36" s="9"/>
      <c r="C36" s="9"/>
      <c r="D36" s="9"/>
      <c r="E36" s="9"/>
      <c r="F36" s="9"/>
      <c r="G36" s="9"/>
      <c r="H36" s="9"/>
    </row>
    <row r="37" spans="2:8" x14ac:dyDescent="0.75">
      <c r="B37" s="9"/>
      <c r="C37" s="9"/>
      <c r="D37" s="9"/>
      <c r="E37" s="9"/>
      <c r="F37" s="9"/>
      <c r="G37" s="9"/>
      <c r="H37" s="9"/>
    </row>
    <row r="38" spans="2:8" x14ac:dyDescent="0.75">
      <c r="B38" s="9"/>
      <c r="C38" s="9"/>
      <c r="D38" s="9"/>
      <c r="E38" s="9"/>
      <c r="F38" s="9"/>
      <c r="G38" s="9"/>
      <c r="H38" s="9"/>
    </row>
    <row r="39" spans="2:8" x14ac:dyDescent="0.75">
      <c r="B39" s="9"/>
      <c r="C39" s="9"/>
      <c r="D39" s="9"/>
      <c r="E39" s="9"/>
      <c r="F39" s="9"/>
      <c r="G39" s="9"/>
      <c r="H39" s="9"/>
    </row>
    <row r="40" spans="2:8" x14ac:dyDescent="0.75">
      <c r="B40" s="9"/>
      <c r="C40" s="9"/>
      <c r="D40" s="9"/>
      <c r="E40" s="9"/>
      <c r="F40" s="9"/>
      <c r="G40" s="9"/>
      <c r="H40" s="9"/>
    </row>
    <row r="41" spans="2:8" x14ac:dyDescent="0.75">
      <c r="B41" s="9"/>
      <c r="C41" s="9"/>
      <c r="D41" s="9"/>
      <c r="E41" s="9"/>
      <c r="F41" s="9"/>
      <c r="G41" s="9"/>
      <c r="H41" s="9"/>
    </row>
    <row r="42" spans="2:8" x14ac:dyDescent="0.75">
      <c r="B42" s="9"/>
      <c r="C42" s="9"/>
      <c r="D42" s="9"/>
      <c r="E42" s="9"/>
      <c r="F42" s="9"/>
      <c r="G42" s="9"/>
      <c r="H42" s="9"/>
    </row>
    <row r="43" spans="2:8" x14ac:dyDescent="0.75">
      <c r="B43" s="9"/>
      <c r="C43" s="9"/>
      <c r="D43" s="9"/>
      <c r="E43" s="9"/>
      <c r="F43" s="9"/>
      <c r="G43" s="9"/>
      <c r="H43" s="9"/>
    </row>
    <row r="44" spans="2:8" x14ac:dyDescent="0.75">
      <c r="B44" s="9"/>
      <c r="C44" s="9"/>
      <c r="D44" s="9"/>
      <c r="E44" s="9"/>
      <c r="F44" s="9"/>
      <c r="G44" s="9"/>
      <c r="H44" s="9"/>
    </row>
    <row r="45" spans="2:8" x14ac:dyDescent="0.75">
      <c r="B45" s="9"/>
      <c r="C45" s="9"/>
      <c r="D45" s="9"/>
      <c r="E45" s="9"/>
      <c r="F45" s="9"/>
      <c r="G45" s="9"/>
      <c r="H45" s="9"/>
    </row>
    <row r="46" spans="2:8" x14ac:dyDescent="0.75">
      <c r="B46" s="9"/>
      <c r="C46" s="9"/>
      <c r="D46" s="9"/>
      <c r="E46" s="9"/>
      <c r="F46" s="9"/>
      <c r="G46" s="9"/>
      <c r="H46" s="9"/>
    </row>
    <row r="47" spans="2:8" x14ac:dyDescent="0.75">
      <c r="B47" s="9"/>
      <c r="C47" s="9"/>
      <c r="D47" s="9"/>
      <c r="E47" s="9"/>
      <c r="F47" s="9"/>
      <c r="G47" s="9"/>
      <c r="H47" s="9"/>
    </row>
    <row r="48" spans="2:8" x14ac:dyDescent="0.75">
      <c r="B48" s="9"/>
      <c r="C48" s="9"/>
      <c r="D48" s="9"/>
      <c r="E48" s="9"/>
      <c r="F48" s="9"/>
      <c r="G48" s="9"/>
      <c r="H48" s="9"/>
    </row>
    <row r="49" spans="2:8" x14ac:dyDescent="0.75">
      <c r="B49" s="9"/>
      <c r="C49" s="9"/>
      <c r="D49" s="9"/>
      <c r="E49" s="9"/>
      <c r="F49" s="9"/>
      <c r="G49" s="9"/>
      <c r="H49" s="9"/>
    </row>
    <row r="50" spans="2:8" x14ac:dyDescent="0.75">
      <c r="B50" s="9"/>
      <c r="C50" s="9"/>
      <c r="D50" s="9"/>
      <c r="E50" s="9"/>
      <c r="F50" s="9"/>
      <c r="G50" s="9"/>
      <c r="H50" s="9"/>
    </row>
    <row r="51" spans="2:8" x14ac:dyDescent="0.75">
      <c r="B51" s="9"/>
      <c r="C51" s="9"/>
      <c r="D51" s="9"/>
      <c r="E51" s="9"/>
      <c r="F51" s="9"/>
      <c r="G51" s="9"/>
      <c r="H51" s="9"/>
    </row>
    <row r="52" spans="2:8" x14ac:dyDescent="0.75">
      <c r="B52" s="9"/>
      <c r="C52" s="9"/>
      <c r="D52" s="9"/>
      <c r="E52" s="9"/>
      <c r="F52" s="9"/>
      <c r="G52" s="9"/>
      <c r="H52" s="9"/>
    </row>
    <row r="53" spans="2:8" x14ac:dyDescent="0.75">
      <c r="B53" s="9"/>
      <c r="C53" s="9"/>
      <c r="D53" s="9"/>
      <c r="E53" s="9"/>
      <c r="F53" s="9"/>
      <c r="G53" s="9"/>
      <c r="H53" s="9"/>
    </row>
    <row r="54" spans="2:8" x14ac:dyDescent="0.75">
      <c r="B54" s="9"/>
      <c r="C54" s="9"/>
      <c r="D54" s="9"/>
      <c r="E54" s="9"/>
      <c r="F54" s="9"/>
      <c r="G54" s="9"/>
      <c r="H54" s="9"/>
    </row>
    <row r="55" spans="2:8" x14ac:dyDescent="0.75">
      <c r="B55" s="9"/>
      <c r="C55" s="9"/>
      <c r="D55" s="9"/>
      <c r="E55" s="9"/>
      <c r="F55" s="9"/>
      <c r="G55" s="9"/>
      <c r="H55" s="9"/>
    </row>
    <row r="56" spans="2:8" x14ac:dyDescent="0.75">
      <c r="B56" s="9"/>
      <c r="C56" s="9"/>
      <c r="D56" s="9"/>
      <c r="E56" s="9"/>
      <c r="F56" s="9"/>
      <c r="G56" s="9"/>
      <c r="H56" s="9"/>
    </row>
    <row r="57" spans="2:8" x14ac:dyDescent="0.75">
      <c r="B57" s="9"/>
      <c r="C57" s="9"/>
      <c r="D57" s="9"/>
      <c r="E57" s="9"/>
      <c r="F57" s="9"/>
      <c r="G57" s="9"/>
      <c r="H57" s="9"/>
    </row>
    <row r="58" spans="2:8" x14ac:dyDescent="0.75">
      <c r="B58" s="9"/>
      <c r="C58" s="9"/>
      <c r="D58" s="9"/>
      <c r="E58" s="9"/>
      <c r="F58" s="9"/>
      <c r="G58" s="9"/>
      <c r="H58" s="9"/>
    </row>
    <row r="59" spans="2:8" x14ac:dyDescent="0.75">
      <c r="B59" s="9"/>
      <c r="C59" s="9"/>
      <c r="D59" s="9"/>
      <c r="E59" s="9"/>
      <c r="F59" s="9"/>
      <c r="G59" s="9"/>
      <c r="H59" s="9"/>
    </row>
    <row r="60" spans="2:8" x14ac:dyDescent="0.75">
      <c r="B60" s="9"/>
      <c r="C60" s="9"/>
      <c r="D60" s="9"/>
      <c r="E60" s="9"/>
      <c r="F60" s="9"/>
      <c r="G60" s="9"/>
      <c r="H60" s="9"/>
    </row>
    <row r="61" spans="2:8" x14ac:dyDescent="0.75">
      <c r="B61" s="9"/>
      <c r="C61" s="9"/>
      <c r="D61" s="9"/>
      <c r="E61" s="9"/>
      <c r="F61" s="9"/>
      <c r="G61" s="9"/>
      <c r="H61" s="9"/>
    </row>
    <row r="62" spans="2:8" x14ac:dyDescent="0.75">
      <c r="B62" s="9"/>
      <c r="C62" s="9"/>
      <c r="D62" s="9"/>
      <c r="E62" s="9"/>
      <c r="F62" s="9"/>
      <c r="G62" s="9"/>
      <c r="H62" s="9"/>
    </row>
    <row r="63" spans="2:8" x14ac:dyDescent="0.75">
      <c r="B63" s="9"/>
      <c r="C63" s="9"/>
      <c r="D63" s="9"/>
      <c r="E63" s="9"/>
      <c r="F63" s="9"/>
      <c r="G63" s="9"/>
      <c r="H63" s="9"/>
    </row>
    <row r="64" spans="2:8" x14ac:dyDescent="0.75">
      <c r="B64" s="9"/>
      <c r="C64" s="9"/>
      <c r="D64" s="9"/>
      <c r="E64" s="9"/>
      <c r="F64" s="9"/>
      <c r="G64" s="9"/>
      <c r="H64" s="9"/>
    </row>
    <row r="65" spans="2:8" x14ac:dyDescent="0.75">
      <c r="B65" s="9"/>
      <c r="C65" s="9"/>
      <c r="D65" s="9"/>
      <c r="E65" s="9"/>
      <c r="F65" s="9"/>
      <c r="G65" s="9"/>
      <c r="H65" s="9"/>
    </row>
    <row r="66" spans="2:8" x14ac:dyDescent="0.75">
      <c r="B66" s="9"/>
      <c r="C66" s="9"/>
      <c r="D66" s="9"/>
      <c r="E66" s="9"/>
      <c r="F66" s="9"/>
      <c r="G66" s="9"/>
      <c r="H66" s="9"/>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row r="83" spans="2:8" x14ac:dyDescent="0.75">
      <c r="B83" s="9"/>
      <c r="C83" s="9"/>
      <c r="D83" s="9"/>
      <c r="E83" s="9"/>
      <c r="F83" s="9"/>
      <c r="G83" s="9"/>
      <c r="H83" s="9"/>
    </row>
    <row r="84" spans="2:8" x14ac:dyDescent="0.75">
      <c r="B84" s="9"/>
      <c r="C84" s="9"/>
      <c r="D84" s="9"/>
      <c r="E84" s="9"/>
      <c r="F84" s="9"/>
      <c r="G84" s="9"/>
      <c r="H84" s="9"/>
    </row>
    <row r="85" spans="2:8" x14ac:dyDescent="0.75">
      <c r="B85" s="9"/>
      <c r="C85" s="9"/>
      <c r="D85" s="9"/>
      <c r="E85" s="9"/>
      <c r="F85" s="9"/>
      <c r="G85" s="9"/>
      <c r="H85" s="9"/>
    </row>
    <row r="86" spans="2:8" x14ac:dyDescent="0.75">
      <c r="B86" s="9"/>
      <c r="C86" s="9"/>
      <c r="D86" s="9"/>
      <c r="E86" s="9"/>
      <c r="F86" s="9"/>
      <c r="G86" s="9"/>
      <c r="H86" s="9"/>
    </row>
    <row r="87" spans="2:8" x14ac:dyDescent="0.75">
      <c r="B87" s="9"/>
      <c r="C87" s="9"/>
      <c r="D87" s="9"/>
      <c r="E87" s="9"/>
      <c r="F87" s="9"/>
      <c r="G87" s="9"/>
      <c r="H87" s="9"/>
    </row>
    <row r="88" spans="2:8" x14ac:dyDescent="0.75">
      <c r="B88" s="9"/>
      <c r="C88" s="9"/>
      <c r="D88" s="9"/>
      <c r="E88" s="9"/>
      <c r="F88" s="9"/>
      <c r="G88" s="9"/>
      <c r="H88" s="9"/>
    </row>
    <row r="89" spans="2:8" x14ac:dyDescent="0.75">
      <c r="B89" s="9"/>
      <c r="C89" s="9"/>
      <c r="D89" s="9"/>
      <c r="E89" s="9"/>
      <c r="F89" s="9"/>
      <c r="G89" s="9"/>
      <c r="H89" s="9"/>
    </row>
    <row r="90" spans="2:8" x14ac:dyDescent="0.75">
      <c r="B90" s="9"/>
      <c r="C90" s="9"/>
      <c r="D90" s="9"/>
      <c r="E90" s="9"/>
      <c r="F90" s="9"/>
      <c r="G90" s="9"/>
      <c r="H90" s="9"/>
    </row>
    <row r="91" spans="2:8" x14ac:dyDescent="0.75">
      <c r="B91" s="9"/>
      <c r="C91" s="9"/>
      <c r="D91" s="9"/>
      <c r="E91" s="9"/>
      <c r="F91" s="9"/>
      <c r="G91" s="9"/>
      <c r="H91" s="9"/>
    </row>
    <row r="92" spans="2:8" x14ac:dyDescent="0.75">
      <c r="B92" s="9"/>
      <c r="C92" s="9"/>
      <c r="D92" s="9"/>
      <c r="E92" s="9"/>
      <c r="F92" s="9"/>
      <c r="G92" s="9"/>
      <c r="H92" s="9"/>
    </row>
    <row r="93" spans="2:8" x14ac:dyDescent="0.75">
      <c r="B93" s="9"/>
      <c r="C93" s="9"/>
      <c r="D93" s="9"/>
      <c r="E93" s="9"/>
      <c r="F93" s="9"/>
      <c r="G93" s="9"/>
      <c r="H93" s="9"/>
    </row>
    <row r="94" spans="2:8" x14ac:dyDescent="0.75">
      <c r="B94" s="9"/>
      <c r="C94" s="9"/>
      <c r="D94" s="9"/>
      <c r="E94" s="9"/>
      <c r="F94" s="9"/>
      <c r="G94" s="9"/>
      <c r="H94" s="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1"/>
  <sheetViews>
    <sheetView workbookViewId="0">
      <selection activeCell="D23" sqref="D23"/>
    </sheetView>
  </sheetViews>
  <sheetFormatPr defaultRowHeight="14.75" x14ac:dyDescent="0.75"/>
  <cols>
    <col min="4" max="4" width="130.81640625" customWidth="1"/>
    <col min="5" max="5" width="19.86328125" customWidth="1"/>
    <col min="7" max="7" width="69.36328125" customWidth="1"/>
  </cols>
  <sheetData>
    <row r="2" spans="4:5" x14ac:dyDescent="0.75">
      <c r="D2" s="16" t="str">
        <f>CONCATENATE("Instance: ",'Subj-1'!B6)</f>
        <v>Instance: Subject</v>
      </c>
    </row>
    <row r="3" spans="4:5" x14ac:dyDescent="0.75">
      <c r="D3" s="16" t="s">
        <v>25</v>
      </c>
    </row>
    <row r="4" spans="4:5" x14ac:dyDescent="0.75">
      <c r="D4" s="16" t="str">
        <f>CONCATENATE("Description: """,'Subj-1'!D2,"""")</f>
        <v>Description: "Subject of care"</v>
      </c>
      <c r="E4" s="16"/>
    </row>
    <row r="5" spans="4:5" x14ac:dyDescent="0.75">
      <c r="D5" s="16" t="str">
        <f>CONCATENATE("Title: """,'Subj-1'!C2,"""")</f>
        <v>Title: "Subject of care"</v>
      </c>
      <c r="E5" s="16"/>
    </row>
    <row r="6" spans="4:5" x14ac:dyDescent="0.75">
      <c r="D6" s="16" t="s">
        <v>26</v>
      </c>
      <c r="E6" s="16"/>
    </row>
    <row r="7" spans="4:5" x14ac:dyDescent="0.75">
      <c r="D7" s="16"/>
      <c r="E7" s="16"/>
    </row>
    <row r="8" spans="4:5" x14ac:dyDescent="0.75">
      <c r="D8" s="16" t="str">
        <f>CONCATENATE("* publisher = """,'Subj-1'!B4,"""")</f>
        <v>* publisher = "PanCareSurPass project"</v>
      </c>
      <c r="E8" s="16"/>
    </row>
    <row r="9" spans="4:5" x14ac:dyDescent="0.75">
      <c r="D9" s="16" t="s">
        <v>27</v>
      </c>
      <c r="E9" s="16"/>
    </row>
    <row r="10" spans="4:5" x14ac:dyDescent="0.75">
      <c r="D10" s="16" t="str">
        <f>CONCATENATE("* url = """,'Subj-1'!B2,"/StructureDefinition/",'Subj-1'!B6,"""")</f>
        <v>* url = "http://hl7.eu/fhir/ig/pcsp/StructureDefinition/Subject"</v>
      </c>
      <c r="E10" s="16"/>
    </row>
    <row r="11" spans="4:5" x14ac:dyDescent="0.75">
      <c r="D11" s="16" t="str">
        <f>CONCATENATE("* name = """,'Subj-1'!C4,"""")</f>
        <v>* name = "Subject"</v>
      </c>
      <c r="E11" s="16"/>
    </row>
    <row r="12" spans="4:5" x14ac:dyDescent="0.75">
      <c r="D12" s="16" t="str">
        <f>CONCATENATE("* title = """,'Subj-1'!C2,"""")</f>
        <v>* title = "Subject of care"</v>
      </c>
      <c r="E12" s="16"/>
    </row>
    <row r="13" spans="4:5" x14ac:dyDescent="0.75">
      <c r="D13" s="16" t="s">
        <v>27</v>
      </c>
      <c r="E13" s="16"/>
    </row>
    <row r="14" spans="4:5" x14ac:dyDescent="0.75">
      <c r="D14" s="16" t="s">
        <v>28</v>
      </c>
      <c r="E14" s="16"/>
    </row>
    <row r="15" spans="4:5" x14ac:dyDescent="0.75">
      <c r="D15" s="16" t="str">
        <f>CONCATENATE("* description = """,'Subj-1'!D2,"""")</f>
        <v>* description = "Subject of care"</v>
      </c>
      <c r="E15" s="16"/>
    </row>
    <row r="16" spans="4:5" x14ac:dyDescent="0.75">
      <c r="D16" s="16" t="s">
        <v>29</v>
      </c>
      <c r="E16" s="16"/>
    </row>
    <row r="17" spans="2:7" s="26" customFormat="1" x14ac:dyDescent="0.75"/>
    <row r="18" spans="2:7" s="26" customFormat="1" x14ac:dyDescent="0.75">
      <c r="C18" s="26">
        <v>0</v>
      </c>
      <c r="D18" s="48" t="str">
        <f>CONCATENATE("* mapping[",C18,"].identity = """,'Subj-Map-1'!G1,"""")</f>
        <v>* mapping[0].identity = "fhir"</v>
      </c>
      <c r="G18" s="1" t="s">
        <v>53</v>
      </c>
    </row>
    <row r="19" spans="2:7" s="26" customFormat="1" x14ac:dyDescent="0.75">
      <c r="B19" s="49" t="s">
        <v>55</v>
      </c>
      <c r="C19" s="26">
        <v>0</v>
      </c>
      <c r="D19" s="48" t="str">
        <f>CONCATENATE("* mapping[",C19,"].uri = """,'Subj-Map-1'!G2,"""")</f>
        <v>* mapping[0].uri = "hl7.org/fhir/r4"</v>
      </c>
      <c r="G19" s="1" t="s">
        <v>54</v>
      </c>
    </row>
    <row r="20" spans="2:7" s="26" customFormat="1" x14ac:dyDescent="0.75">
      <c r="C20" s="26">
        <v>0</v>
      </c>
      <c r="D20" s="48" t="str">
        <f>CONCATENATE("* mapping[",C20,"].name = """,'Subj-Map-1'!G3,"""")</f>
        <v>* mapping[0].name = "FHIR"</v>
      </c>
      <c r="G20" s="1" t="s">
        <v>56</v>
      </c>
    </row>
    <row r="21" spans="2:7" s="113" customFormat="1" x14ac:dyDescent="0.75">
      <c r="C21" s="113">
        <v>1</v>
      </c>
      <c r="D21" s="48" t="str">
        <f>CONCATENATE("* mapping[",C21,"].identity = """,'Subj-Map2-1'!G1,"""")</f>
        <v>* mapping[1].identity = "cda"</v>
      </c>
      <c r="G21" s="114" t="s">
        <v>53</v>
      </c>
    </row>
    <row r="22" spans="2:7" s="113" customFormat="1" x14ac:dyDescent="0.75">
      <c r="B22" s="49" t="s">
        <v>55</v>
      </c>
      <c r="C22" s="113">
        <v>1</v>
      </c>
      <c r="D22" s="48" t="str">
        <f>CONCATENATE("* mapping[",C22,"].uri = """,'Subj-Map2-1'!G2,"""")</f>
        <v>* mapping[1].uri = "http://hl7.org/v3/cda"</v>
      </c>
      <c r="G22" s="114" t="s">
        <v>54</v>
      </c>
    </row>
    <row r="23" spans="2:7" s="113" customFormat="1" x14ac:dyDescent="0.75">
      <c r="C23" s="113">
        <v>1</v>
      </c>
      <c r="D23" s="48" t="str">
        <f>CONCATENATE("* mapping[",C23,"].name = """,'Subj-Map2-1'!G3,"""")</f>
        <v>* mapping[1].name = "CDA (R2)"</v>
      </c>
      <c r="G23" s="114" t="s">
        <v>56</v>
      </c>
    </row>
    <row r="24" spans="2:7" s="26" customFormat="1" x14ac:dyDescent="0.75"/>
    <row r="25" spans="2:7" x14ac:dyDescent="0.75">
      <c r="D25" s="16" t="s">
        <v>30</v>
      </c>
      <c r="E25" s="16"/>
    </row>
    <row r="26" spans="2:7" x14ac:dyDescent="0.75">
      <c r="D26" s="16" t="s">
        <v>67</v>
      </c>
      <c r="E26" s="16"/>
    </row>
    <row r="27" spans="2:7" x14ac:dyDescent="0.75">
      <c r="D27" s="16" t="str">
        <f>CONCATENATE("* type = """,'Subj-1'!B6,"""")</f>
        <v>* type = "Subject"</v>
      </c>
      <c r="E27" s="16"/>
    </row>
    <row r="28" spans="2:7" x14ac:dyDescent="0.75">
      <c r="D28" s="16" t="s">
        <v>31</v>
      </c>
    </row>
    <row r="29" spans="2:7" x14ac:dyDescent="0.75">
      <c r="D29" s="16" t="s">
        <v>32</v>
      </c>
    </row>
    <row r="31" spans="2:7" x14ac:dyDescent="0.75">
      <c r="D31" s="13" t="str">
        <f>'Subj-2'!B1</f>
        <v>* differential.element[0].id = "Subject"</v>
      </c>
    </row>
    <row r="32" spans="2:7" x14ac:dyDescent="0.75">
      <c r="D32" s="13" t="str">
        <f>'Subj-2'!C1</f>
        <v>* differential.element[0].path = "Subject"</v>
      </c>
    </row>
    <row r="33" spans="1:4" x14ac:dyDescent="0.75">
      <c r="D33" s="13" t="str">
        <f>'Subj-2'!D1</f>
        <v>* differential.element[0].short = "Subject of care"</v>
      </c>
    </row>
    <row r="34" spans="1:4" x14ac:dyDescent="0.75">
      <c r="D34" s="13" t="str">
        <f>'Subj-2'!E1</f>
        <v>* differential.element[0].definition = "Subject of care"</v>
      </c>
    </row>
    <row r="35" spans="1:4" x14ac:dyDescent="0.75">
      <c r="D35" s="13" t="str">
        <f>'Subj-2'!F1</f>
        <v>* differential.element[0].min = 1</v>
      </c>
    </row>
    <row r="36" spans="1:4" x14ac:dyDescent="0.75">
      <c r="D36" s="13" t="str">
        <f>'Subj-2'!G1</f>
        <v>* differential.element[0].max = "1"</v>
      </c>
    </row>
    <row r="37" spans="1:4" x14ac:dyDescent="0.75">
      <c r="D37" s="8"/>
    </row>
    <row r="38" spans="1:4" x14ac:dyDescent="0.75">
      <c r="A38" s="2">
        <v>1</v>
      </c>
      <c r="B38" s="2">
        <f>IF(MOD(A38,7)=0,A38/7-1,INT(A38/7))</f>
        <v>0</v>
      </c>
      <c r="C38" s="2">
        <f>IF(MOD(A38,7)=0,7,MOD(A38,7))</f>
        <v>1</v>
      </c>
      <c r="D38" s="9" t="str" cm="1">
        <f t="array" ref="D38">INDEX('Subj-2'!$B$2:$H$41,1+B38,C38)</f>
        <v>* differential.element[1].id = "Subject.identifier"</v>
      </c>
    </row>
    <row r="39" spans="1:4" x14ac:dyDescent="0.75">
      <c r="A39" s="2">
        <v>2</v>
      </c>
      <c r="B39" s="2">
        <f t="shared" ref="B39:B102" si="0">IF(MOD(A39,7)=0,A39/7-1,INT(A39/7))</f>
        <v>0</v>
      </c>
      <c r="C39" s="2">
        <f t="shared" ref="C39:C102" si="1">IF(MOD(A39,7)=0,7,MOD(A39,7))</f>
        <v>2</v>
      </c>
      <c r="D39" s="116" t="str" cm="1">
        <f t="array" ref="D39">INDEX('Subj-2'!$B$2:$H$41,1+B39,C39)</f>
        <v>* differential.element[1].path = "Subject.identifier"</v>
      </c>
    </row>
    <row r="40" spans="1:4" x14ac:dyDescent="0.75">
      <c r="A40" s="2">
        <v>3</v>
      </c>
      <c r="B40" s="2">
        <f t="shared" si="0"/>
        <v>0</v>
      </c>
      <c r="C40" s="2">
        <f t="shared" si="1"/>
        <v>3</v>
      </c>
      <c r="D40" s="116" t="str" cm="1">
        <f t="array" ref="D40">INDEX('Subj-2'!$B$2:$H$41,1+B40,C40)</f>
        <v>* differential.element[1].short = "ID"</v>
      </c>
    </row>
    <row r="41" spans="1:4" x14ac:dyDescent="0.75">
      <c r="A41" s="2">
        <v>4</v>
      </c>
      <c r="B41" s="2">
        <f t="shared" si="0"/>
        <v>0</v>
      </c>
      <c r="C41" s="2">
        <f t="shared" si="1"/>
        <v>4</v>
      </c>
      <c r="D41" s="116" t="str" cm="1">
        <f t="array" ref="D41">INDEX('Subj-2'!$B$2:$H$41,1+B41,C41)</f>
        <v>* differential.element[1].definition = "ID"</v>
      </c>
    </row>
    <row r="42" spans="1:4" x14ac:dyDescent="0.75">
      <c r="A42" s="2">
        <v>5</v>
      </c>
      <c r="B42" s="2">
        <f t="shared" si="0"/>
        <v>0</v>
      </c>
      <c r="C42" s="2">
        <f t="shared" si="1"/>
        <v>5</v>
      </c>
      <c r="D42" s="116" t="str" cm="1">
        <f t="array" ref="D42">INDEX('Subj-2'!$B$2:$H$41,1+B42,C42)</f>
        <v>* differential.element[1].min = 1</v>
      </c>
    </row>
    <row r="43" spans="1:4" x14ac:dyDescent="0.75">
      <c r="A43" s="2">
        <v>6</v>
      </c>
      <c r="B43" s="2">
        <f t="shared" si="0"/>
        <v>0</v>
      </c>
      <c r="C43" s="2">
        <f t="shared" si="1"/>
        <v>6</v>
      </c>
      <c r="D43" s="116" t="str" cm="1">
        <f t="array" ref="D43">INDEX('Subj-2'!$B$2:$H$41,1+B43,C43)</f>
        <v>* differential.element[1].max = "*"</v>
      </c>
    </row>
    <row r="44" spans="1:4" x14ac:dyDescent="0.75">
      <c r="A44" s="2">
        <v>7</v>
      </c>
      <c r="B44" s="2">
        <f t="shared" si="0"/>
        <v>0</v>
      </c>
      <c r="C44" s="2">
        <f t="shared" si="1"/>
        <v>7</v>
      </c>
      <c r="D44" s="116" t="str" cm="1">
        <f t="array" ref="D44">INDEX('Subj-2'!$B$2:$H$41,1+B44,C44)</f>
        <v>* differential.element[1].type.code = #Identifier</v>
      </c>
    </row>
    <row r="45" spans="1:4" x14ac:dyDescent="0.75">
      <c r="A45" s="2">
        <v>8</v>
      </c>
      <c r="B45" s="2">
        <f t="shared" si="0"/>
        <v>1</v>
      </c>
      <c r="C45" s="2">
        <f t="shared" si="1"/>
        <v>1</v>
      </c>
      <c r="D45" s="116" t="str" cm="1">
        <f t="array" ref="D45">INDEX('Subj-2'!$B$2:$H$41,1+B45,C45)</f>
        <v>* differential.element[2].id = "Subject.name"</v>
      </c>
    </row>
    <row r="46" spans="1:4" x14ac:dyDescent="0.75">
      <c r="A46" s="2">
        <v>9</v>
      </c>
      <c r="B46" s="2">
        <f t="shared" si="0"/>
        <v>1</v>
      </c>
      <c r="C46" s="2">
        <f t="shared" si="1"/>
        <v>2</v>
      </c>
      <c r="D46" s="116" t="str" cm="1">
        <f t="array" ref="D46">INDEX('Subj-2'!$B$2:$H$41,1+B46,C46)</f>
        <v>* differential.element[2].path = "Subject.name"</v>
      </c>
    </row>
    <row r="47" spans="1:4" x14ac:dyDescent="0.75">
      <c r="A47" s="2">
        <v>10</v>
      </c>
      <c r="B47" s="2">
        <f t="shared" si="0"/>
        <v>1</v>
      </c>
      <c r="C47" s="2">
        <f t="shared" si="1"/>
        <v>3</v>
      </c>
      <c r="D47" s="116" t="str" cm="1">
        <f t="array" ref="D47">INDEX('Subj-2'!$B$2:$H$41,1+B47,C47)</f>
        <v>* differential.element[2].short = "Subject Name"</v>
      </c>
    </row>
    <row r="48" spans="1:4" x14ac:dyDescent="0.75">
      <c r="A48" s="2">
        <v>11</v>
      </c>
      <c r="B48" s="2">
        <f t="shared" si="0"/>
        <v>1</v>
      </c>
      <c r="C48" s="2">
        <f t="shared" si="1"/>
        <v>4</v>
      </c>
      <c r="D48" s="116" t="str" cm="1">
        <f t="array" ref="D48">INDEX('Subj-2'!$B$2:$H$41,1+B48,C48)</f>
        <v>* differential.element[2].definition = "Subject Name"</v>
      </c>
    </row>
    <row r="49" spans="1:4" x14ac:dyDescent="0.75">
      <c r="A49" s="2">
        <v>12</v>
      </c>
      <c r="B49" s="2">
        <f t="shared" si="0"/>
        <v>1</v>
      </c>
      <c r="C49" s="2">
        <f t="shared" si="1"/>
        <v>5</v>
      </c>
      <c r="D49" s="116" t="str" cm="1">
        <f t="array" ref="D49">INDEX('Subj-2'!$B$2:$H$41,1+B49,C49)</f>
        <v>* differential.element[2].min = 1</v>
      </c>
    </row>
    <row r="50" spans="1:4" x14ac:dyDescent="0.75">
      <c r="A50" s="2">
        <v>13</v>
      </c>
      <c r="B50" s="2">
        <f t="shared" si="0"/>
        <v>1</v>
      </c>
      <c r="C50" s="2">
        <f t="shared" si="1"/>
        <v>6</v>
      </c>
      <c r="D50" s="116" t="str" cm="1">
        <f t="array" ref="D50">INDEX('Subj-2'!$B$2:$H$41,1+B50,C50)</f>
        <v>* differential.element[2].max = "*"</v>
      </c>
    </row>
    <row r="51" spans="1:4" x14ac:dyDescent="0.75">
      <c r="A51" s="2">
        <v>14</v>
      </c>
      <c r="B51" s="2">
        <f t="shared" si="0"/>
        <v>1</v>
      </c>
      <c r="C51" s="2">
        <f t="shared" si="1"/>
        <v>7</v>
      </c>
      <c r="D51" s="116" t="str" cm="1">
        <f t="array" ref="D51">INDEX('Subj-2'!$B$2:$H$41,1+B51,C51)</f>
        <v>* differential.element[2].type.code = #BackboneElement</v>
      </c>
    </row>
    <row r="52" spans="1:4" x14ac:dyDescent="0.75">
      <c r="A52" s="2">
        <v>15</v>
      </c>
      <c r="B52" s="2">
        <f t="shared" si="0"/>
        <v>2</v>
      </c>
      <c r="C52" s="2">
        <f t="shared" si="1"/>
        <v>1</v>
      </c>
      <c r="D52" s="116" t="str" cm="1">
        <f t="array" ref="D52">INDEX('Subj-2'!$B$2:$H$41,1+B52,C52)</f>
        <v>* differential.element[3].id = "Subject.name.lastname"</v>
      </c>
    </row>
    <row r="53" spans="1:4" x14ac:dyDescent="0.75">
      <c r="A53" s="2">
        <v>16</v>
      </c>
      <c r="B53" s="2">
        <f t="shared" si="0"/>
        <v>2</v>
      </c>
      <c r="C53" s="2">
        <f t="shared" si="1"/>
        <v>2</v>
      </c>
      <c r="D53" s="116" t="str" cm="1">
        <f t="array" ref="D53">INDEX('Subj-2'!$B$2:$H$41,1+B53,C53)</f>
        <v>* differential.element[3].path = "Subject.name.lastname"</v>
      </c>
    </row>
    <row r="54" spans="1:4" x14ac:dyDescent="0.75">
      <c r="A54" s="2">
        <v>17</v>
      </c>
      <c r="B54" s="2">
        <f t="shared" si="0"/>
        <v>2</v>
      </c>
      <c r="C54" s="2">
        <f t="shared" si="1"/>
        <v>3</v>
      </c>
      <c r="D54" s="116" t="str" cm="1">
        <f t="array" ref="D54">INDEX('Subj-2'!$B$2:$H$41,1+B54,C54)</f>
        <v>* differential.element[3].short = "Lastname"</v>
      </c>
    </row>
    <row r="55" spans="1:4" x14ac:dyDescent="0.75">
      <c r="A55" s="2">
        <v>18</v>
      </c>
      <c r="B55" s="2">
        <f t="shared" si="0"/>
        <v>2</v>
      </c>
      <c r="C55" s="2">
        <f t="shared" si="1"/>
        <v>4</v>
      </c>
      <c r="D55" s="116" t="str" cm="1">
        <f t="array" ref="D55">INDEX('Subj-2'!$B$2:$H$41,1+B55,C55)</f>
        <v>* differential.element[3].definition = "Lastname"</v>
      </c>
    </row>
    <row r="56" spans="1:4" x14ac:dyDescent="0.75">
      <c r="A56" s="2">
        <v>19</v>
      </c>
      <c r="B56" s="2">
        <f t="shared" si="0"/>
        <v>2</v>
      </c>
      <c r="C56" s="2">
        <f t="shared" si="1"/>
        <v>5</v>
      </c>
      <c r="D56" s="116" t="str" cm="1">
        <f t="array" ref="D56">INDEX('Subj-2'!$B$2:$H$41,1+B56,C56)</f>
        <v>* differential.element[3].min = 1</v>
      </c>
    </row>
    <row r="57" spans="1:4" x14ac:dyDescent="0.75">
      <c r="A57" s="2">
        <v>20</v>
      </c>
      <c r="B57" s="2">
        <f t="shared" si="0"/>
        <v>2</v>
      </c>
      <c r="C57" s="2">
        <f t="shared" si="1"/>
        <v>6</v>
      </c>
      <c r="D57" s="116" t="str" cm="1">
        <f t="array" ref="D57">INDEX('Subj-2'!$B$2:$H$41,1+B57,C57)</f>
        <v>* differential.element[3].max = "*"</v>
      </c>
    </row>
    <row r="58" spans="1:4" x14ac:dyDescent="0.75">
      <c r="A58" s="2">
        <v>21</v>
      </c>
      <c r="B58" s="2">
        <f t="shared" si="0"/>
        <v>2</v>
      </c>
      <c r="C58" s="2">
        <f t="shared" si="1"/>
        <v>7</v>
      </c>
      <c r="D58" s="116" t="str" cm="1">
        <f t="array" ref="D58">INDEX('Subj-2'!$B$2:$H$41,1+B58,C58)</f>
        <v>* differential.element[3].type.code = #string</v>
      </c>
    </row>
    <row r="59" spans="1:4" x14ac:dyDescent="0.75">
      <c r="A59" s="2">
        <v>22</v>
      </c>
      <c r="B59" s="2">
        <f t="shared" si="0"/>
        <v>3</v>
      </c>
      <c r="C59" s="2">
        <f t="shared" si="1"/>
        <v>1</v>
      </c>
      <c r="D59" s="116" t="str" cm="1">
        <f t="array" ref="D59">INDEX('Subj-2'!$B$2:$H$41,1+B59,C59)</f>
        <v>* differential.element[4].id = "Subject.name.middleName"</v>
      </c>
    </row>
    <row r="60" spans="1:4" x14ac:dyDescent="0.75">
      <c r="A60" s="2">
        <v>23</v>
      </c>
      <c r="B60" s="2">
        <f t="shared" si="0"/>
        <v>3</v>
      </c>
      <c r="C60" s="2">
        <f t="shared" si="1"/>
        <v>2</v>
      </c>
      <c r="D60" s="116" t="str" cm="1">
        <f t="array" ref="D60">INDEX('Subj-2'!$B$2:$H$41,1+B60,C60)</f>
        <v>* differential.element[4].path = "Subject.name.middleName"</v>
      </c>
    </row>
    <row r="61" spans="1:4" x14ac:dyDescent="0.75">
      <c r="A61" s="2">
        <v>24</v>
      </c>
      <c r="B61" s="2">
        <f t="shared" si="0"/>
        <v>3</v>
      </c>
      <c r="C61" s="2">
        <f t="shared" si="1"/>
        <v>3</v>
      </c>
      <c r="D61" s="116" t="str" cm="1">
        <f t="array" ref="D61">INDEX('Subj-2'!$B$2:$H$41,1+B61,C61)</f>
        <v>* differential.element[4].short = "Middlename"</v>
      </c>
    </row>
    <row r="62" spans="1:4" x14ac:dyDescent="0.75">
      <c r="A62" s="2">
        <v>25</v>
      </c>
      <c r="B62" s="2">
        <f t="shared" si="0"/>
        <v>3</v>
      </c>
      <c r="C62" s="2">
        <f t="shared" si="1"/>
        <v>4</v>
      </c>
      <c r="D62" s="116" t="str" cm="1">
        <f t="array" ref="D62">INDEX('Subj-2'!$B$2:$H$41,1+B62,C62)</f>
        <v>* differential.element[4].definition = "Middlename"</v>
      </c>
    </row>
    <row r="63" spans="1:4" x14ac:dyDescent="0.75">
      <c r="A63" s="2">
        <v>26</v>
      </c>
      <c r="B63" s="2">
        <f t="shared" si="0"/>
        <v>3</v>
      </c>
      <c r="C63" s="2">
        <f t="shared" si="1"/>
        <v>5</v>
      </c>
      <c r="D63" s="116" t="str" cm="1">
        <f t="array" ref="D63">INDEX('Subj-2'!$B$2:$H$41,1+B63,C63)</f>
        <v>* differential.element[4].min = 0</v>
      </c>
    </row>
    <row r="64" spans="1:4" x14ac:dyDescent="0.75">
      <c r="A64" s="2">
        <v>27</v>
      </c>
      <c r="B64" s="2">
        <f t="shared" si="0"/>
        <v>3</v>
      </c>
      <c r="C64" s="2">
        <f t="shared" si="1"/>
        <v>6</v>
      </c>
      <c r="D64" s="116" t="str" cm="1">
        <f t="array" ref="D64">INDEX('Subj-2'!$B$2:$H$41,1+B64,C64)</f>
        <v>* differential.element[4].max = "*"</v>
      </c>
    </row>
    <row r="65" spans="1:4" x14ac:dyDescent="0.75">
      <c r="A65" s="2">
        <v>28</v>
      </c>
      <c r="B65" s="2">
        <f t="shared" si="0"/>
        <v>3</v>
      </c>
      <c r="C65" s="2">
        <f t="shared" si="1"/>
        <v>7</v>
      </c>
      <c r="D65" s="116" t="str" cm="1">
        <f t="array" ref="D65">INDEX('Subj-2'!$B$2:$H$41,1+B65,C65)</f>
        <v>* differential.element[4].type.code = #string</v>
      </c>
    </row>
    <row r="66" spans="1:4" x14ac:dyDescent="0.75">
      <c r="A66" s="2">
        <v>29</v>
      </c>
      <c r="B66" s="2">
        <f t="shared" si="0"/>
        <v>4</v>
      </c>
      <c r="C66" s="2">
        <f t="shared" si="1"/>
        <v>1</v>
      </c>
      <c r="D66" s="116" t="str" cm="1">
        <f t="array" ref="D66">INDEX('Subj-2'!$B$2:$H$41,1+B66,C66)</f>
        <v>* differential.element[5].id = "Subject.name.firstName"</v>
      </c>
    </row>
    <row r="67" spans="1:4" x14ac:dyDescent="0.75">
      <c r="A67" s="2">
        <v>30</v>
      </c>
      <c r="B67" s="2">
        <f t="shared" si="0"/>
        <v>4</v>
      </c>
      <c r="C67" s="2">
        <f t="shared" si="1"/>
        <v>2</v>
      </c>
      <c r="D67" s="116" t="str" cm="1">
        <f t="array" ref="D67">INDEX('Subj-2'!$B$2:$H$41,1+B67,C67)</f>
        <v>* differential.element[5].path = "Subject.name.firstName"</v>
      </c>
    </row>
    <row r="68" spans="1:4" x14ac:dyDescent="0.75">
      <c r="A68" s="2">
        <v>31</v>
      </c>
      <c r="B68" s="2">
        <f t="shared" si="0"/>
        <v>4</v>
      </c>
      <c r="C68" s="2">
        <f t="shared" si="1"/>
        <v>3</v>
      </c>
      <c r="D68" s="116" t="str" cm="1">
        <f t="array" ref="D68">INDEX('Subj-2'!$B$2:$H$41,1+B68,C68)</f>
        <v>* differential.element[5].short = "Firstname"</v>
      </c>
    </row>
    <row r="69" spans="1:4" x14ac:dyDescent="0.75">
      <c r="A69" s="2">
        <v>32</v>
      </c>
      <c r="B69" s="2">
        <f t="shared" si="0"/>
        <v>4</v>
      </c>
      <c r="C69" s="2">
        <f t="shared" si="1"/>
        <v>4</v>
      </c>
      <c r="D69" s="116" t="str" cm="1">
        <f t="array" ref="D69">INDEX('Subj-2'!$B$2:$H$41,1+B69,C69)</f>
        <v>* differential.element[5].definition = "Firstname"</v>
      </c>
    </row>
    <row r="70" spans="1:4" x14ac:dyDescent="0.75">
      <c r="A70" s="2">
        <v>33</v>
      </c>
      <c r="B70" s="2">
        <f t="shared" si="0"/>
        <v>4</v>
      </c>
      <c r="C70" s="2">
        <f t="shared" si="1"/>
        <v>5</v>
      </c>
      <c r="D70" s="116" t="str" cm="1">
        <f t="array" ref="D70">INDEX('Subj-2'!$B$2:$H$41,1+B70,C70)</f>
        <v>* differential.element[5].min = 1</v>
      </c>
    </row>
    <row r="71" spans="1:4" x14ac:dyDescent="0.75">
      <c r="A71" s="2">
        <v>34</v>
      </c>
      <c r="B71" s="2">
        <f t="shared" si="0"/>
        <v>4</v>
      </c>
      <c r="C71" s="2">
        <f t="shared" si="1"/>
        <v>6</v>
      </c>
      <c r="D71" s="116" t="str" cm="1">
        <f t="array" ref="D71">INDEX('Subj-2'!$B$2:$H$41,1+B71,C71)</f>
        <v>* differential.element[5].max = "*"</v>
      </c>
    </row>
    <row r="72" spans="1:4" x14ac:dyDescent="0.75">
      <c r="A72" s="2">
        <v>35</v>
      </c>
      <c r="B72" s="2">
        <f t="shared" si="0"/>
        <v>4</v>
      </c>
      <c r="C72" s="2">
        <f t="shared" si="1"/>
        <v>7</v>
      </c>
      <c r="D72" s="116" t="str" cm="1">
        <f t="array" ref="D72">INDEX('Subj-2'!$B$2:$H$41,1+B72,C72)</f>
        <v>* differential.element[5].type.code = #string</v>
      </c>
    </row>
    <row r="73" spans="1:4" x14ac:dyDescent="0.75">
      <c r="A73" s="2">
        <v>36</v>
      </c>
      <c r="B73" s="2">
        <f t="shared" si="0"/>
        <v>5</v>
      </c>
      <c r="C73" s="2">
        <f t="shared" si="1"/>
        <v>1</v>
      </c>
      <c r="D73" s="116" t="str" cm="1">
        <f t="array" ref="D73">INDEX('Subj-2'!$B$2:$H$41,1+B73,C73)</f>
        <v>* differential.element[6].id = "Subject.lastnameAtDiagnosis"</v>
      </c>
    </row>
    <row r="74" spans="1:4" x14ac:dyDescent="0.75">
      <c r="A74" s="2">
        <v>37</v>
      </c>
      <c r="B74" s="2">
        <f t="shared" si="0"/>
        <v>5</v>
      </c>
      <c r="C74" s="2">
        <f t="shared" si="1"/>
        <v>2</v>
      </c>
      <c r="D74" s="116" t="str" cm="1">
        <f t="array" ref="D74">INDEX('Subj-2'!$B$2:$H$41,1+B74,C74)</f>
        <v>* differential.element[6].path = "Subject.lastnameAtDiagnosis"</v>
      </c>
    </row>
    <row r="75" spans="1:4" x14ac:dyDescent="0.75">
      <c r="A75" s="2">
        <v>38</v>
      </c>
      <c r="B75" s="2">
        <f t="shared" si="0"/>
        <v>5</v>
      </c>
      <c r="C75" s="2">
        <f t="shared" si="1"/>
        <v>3</v>
      </c>
      <c r="D75" s="116" t="str" cm="1">
        <f t="array" ref="D75">INDEX('Subj-2'!$B$2:$H$41,1+B75,C75)</f>
        <v>* differential.element[6].short = "Lastname at diagnosis (if different from the actual one)"</v>
      </c>
    </row>
    <row r="76" spans="1:4" x14ac:dyDescent="0.75">
      <c r="A76" s="2">
        <v>39</v>
      </c>
      <c r="B76" s="2">
        <f t="shared" si="0"/>
        <v>5</v>
      </c>
      <c r="C76" s="2">
        <f t="shared" si="1"/>
        <v>4</v>
      </c>
      <c r="D76" s="116" t="str" cm="1">
        <f t="array" ref="D76">INDEX('Subj-2'!$B$2:$H$41,1+B76,C76)</f>
        <v>* differential.element[6].definition = "Lastname at diagnosis (if different from the actual one)"</v>
      </c>
    </row>
    <row r="77" spans="1:4" x14ac:dyDescent="0.75">
      <c r="A77" s="2">
        <v>40</v>
      </c>
      <c r="B77" s="2">
        <f t="shared" si="0"/>
        <v>5</v>
      </c>
      <c r="C77" s="2">
        <f t="shared" si="1"/>
        <v>5</v>
      </c>
      <c r="D77" s="116" t="str" cm="1">
        <f t="array" ref="D77">INDEX('Subj-2'!$B$2:$H$41,1+B77,C77)</f>
        <v>* differential.element[6].min = 0</v>
      </c>
    </row>
    <row r="78" spans="1:4" x14ac:dyDescent="0.75">
      <c r="A78" s="2">
        <v>41</v>
      </c>
      <c r="B78" s="2">
        <f t="shared" si="0"/>
        <v>5</v>
      </c>
      <c r="C78" s="2">
        <f t="shared" si="1"/>
        <v>6</v>
      </c>
      <c r="D78" s="116" t="str" cm="1">
        <f t="array" ref="D78">INDEX('Subj-2'!$B$2:$H$41,1+B78,C78)</f>
        <v>* differential.element[6].max = "*"</v>
      </c>
    </row>
    <row r="79" spans="1:4" x14ac:dyDescent="0.75">
      <c r="A79" s="2">
        <v>42</v>
      </c>
      <c r="B79" s="2">
        <f t="shared" si="0"/>
        <v>5</v>
      </c>
      <c r="C79" s="2">
        <f t="shared" si="1"/>
        <v>7</v>
      </c>
      <c r="D79" s="116" t="str" cm="1">
        <f t="array" ref="D79">INDEX('Subj-2'!$B$2:$H$41,1+B79,C79)</f>
        <v>* differential.element[6].type.code = #string</v>
      </c>
    </row>
    <row r="80" spans="1:4" x14ac:dyDescent="0.75">
      <c r="A80" s="2">
        <v>43</v>
      </c>
      <c r="B80" s="2">
        <f t="shared" si="0"/>
        <v>6</v>
      </c>
      <c r="C80" s="2">
        <f t="shared" si="1"/>
        <v>1</v>
      </c>
      <c r="D80" s="116" t="str" cm="1">
        <f t="array" ref="D80">INDEX('Subj-2'!$B$2:$H$41,1+B80,C80)</f>
        <v>* differential.element[7].id = "Subject.gender"</v>
      </c>
    </row>
    <row r="81" spans="1:7" x14ac:dyDescent="0.75">
      <c r="A81" s="2">
        <v>44</v>
      </c>
      <c r="B81" s="2">
        <f t="shared" si="0"/>
        <v>6</v>
      </c>
      <c r="C81" s="2">
        <f t="shared" si="1"/>
        <v>2</v>
      </c>
      <c r="D81" s="116" t="str" cm="1">
        <f t="array" ref="D81">INDEX('Subj-2'!$B$2:$H$41,1+B81,C81)</f>
        <v>* differential.element[7].path = "Subject.gender"</v>
      </c>
    </row>
    <row r="82" spans="1:7" x14ac:dyDescent="0.75">
      <c r="A82" s="2">
        <v>45</v>
      </c>
      <c r="B82" s="2">
        <f t="shared" si="0"/>
        <v>6</v>
      </c>
      <c r="C82" s="2">
        <f t="shared" si="1"/>
        <v>3</v>
      </c>
      <c r="D82" s="116" t="str" cm="1">
        <f t="array" ref="D82">INDEX('Subj-2'!$B$2:$H$41,1+B82,C82)</f>
        <v>* differential.element[7].short = "Gender/Sex"</v>
      </c>
    </row>
    <row r="83" spans="1:7" x14ac:dyDescent="0.75">
      <c r="A83" s="2">
        <v>46</v>
      </c>
      <c r="B83" s="2">
        <f t="shared" si="0"/>
        <v>6</v>
      </c>
      <c r="C83" s="2">
        <f t="shared" si="1"/>
        <v>4</v>
      </c>
      <c r="D83" s="116" t="str" cm="1">
        <f t="array" ref="D83">INDEX('Subj-2'!$B$2:$H$41,1+B83,C83)</f>
        <v>* differential.element[7].definition = "Gender/Sex"</v>
      </c>
    </row>
    <row r="84" spans="1:7" x14ac:dyDescent="0.75">
      <c r="A84" s="2">
        <v>47</v>
      </c>
      <c r="B84" s="2">
        <f t="shared" si="0"/>
        <v>6</v>
      </c>
      <c r="C84" s="2">
        <f t="shared" si="1"/>
        <v>5</v>
      </c>
      <c r="D84" s="116" t="str" cm="1">
        <f t="array" ref="D84">INDEX('Subj-2'!$B$2:$H$41,1+B84,C84)</f>
        <v>* differential.element[7].min = 1</v>
      </c>
    </row>
    <row r="85" spans="1:7" x14ac:dyDescent="0.75">
      <c r="A85" s="2">
        <v>48</v>
      </c>
      <c r="B85" s="2">
        <f t="shared" si="0"/>
        <v>6</v>
      </c>
      <c r="C85" s="2">
        <f t="shared" si="1"/>
        <v>6</v>
      </c>
      <c r="D85" s="116" t="str" cm="1">
        <f t="array" ref="D85">INDEX('Subj-2'!$B$2:$H$41,1+B85,C85)</f>
        <v>* differential.element[7].max = "*"</v>
      </c>
    </row>
    <row r="86" spans="1:7" x14ac:dyDescent="0.75">
      <c r="A86" s="2">
        <v>49</v>
      </c>
      <c r="B86" s="2">
        <f t="shared" si="0"/>
        <v>6</v>
      </c>
      <c r="C86" s="2">
        <f t="shared" si="1"/>
        <v>7</v>
      </c>
      <c r="D86" s="116" t="str" cm="1">
        <f t="array" ref="D86">INDEX('Subj-2'!$B$2:$H$41,1+B86,C86)</f>
        <v>* differential.element[7].type.code = #CodeableConcept</v>
      </c>
    </row>
    <row r="87" spans="1:7" x14ac:dyDescent="0.75">
      <c r="A87" s="2">
        <v>50</v>
      </c>
      <c r="B87" s="2">
        <f t="shared" si="0"/>
        <v>7</v>
      </c>
      <c r="C87" s="2">
        <f t="shared" si="1"/>
        <v>1</v>
      </c>
      <c r="D87" s="116" t="str" cm="1">
        <f t="array" ref="D87">INDEX('Subj-2'!$B$2:$H$41,1+B87,C87)</f>
        <v>* differential.element[8].id = "Subject.dateOfBirth"</v>
      </c>
    </row>
    <row r="88" spans="1:7" x14ac:dyDescent="0.75">
      <c r="A88" s="2">
        <v>51</v>
      </c>
      <c r="B88" s="2">
        <f t="shared" si="0"/>
        <v>7</v>
      </c>
      <c r="C88" s="2">
        <f t="shared" si="1"/>
        <v>2</v>
      </c>
      <c r="D88" s="116" t="str" cm="1">
        <f t="array" ref="D88">INDEX('Subj-2'!$B$2:$H$41,1+B88,C88)</f>
        <v>* differential.element[8].path = "Subject.dateOfBirth"</v>
      </c>
    </row>
    <row r="89" spans="1:7" x14ac:dyDescent="0.75">
      <c r="A89" s="2">
        <v>52</v>
      </c>
      <c r="B89" s="2">
        <f t="shared" si="0"/>
        <v>7</v>
      </c>
      <c r="C89" s="2">
        <f t="shared" si="1"/>
        <v>3</v>
      </c>
      <c r="D89" s="116" t="str" cm="1">
        <f t="array" ref="D89">INDEX('Subj-2'!$B$2:$H$41,1+B89,C89)</f>
        <v>* differential.element[8].short = "Date of birth"</v>
      </c>
    </row>
    <row r="90" spans="1:7" x14ac:dyDescent="0.75">
      <c r="A90" s="2">
        <v>53</v>
      </c>
      <c r="B90" s="2">
        <f t="shared" si="0"/>
        <v>7</v>
      </c>
      <c r="C90" s="2">
        <f t="shared" si="1"/>
        <v>4</v>
      </c>
      <c r="D90" s="116" t="str" cm="1">
        <f t="array" ref="D90">INDEX('Subj-2'!$B$2:$H$41,1+B90,C90)</f>
        <v>* differential.element[8].definition = "Date of birth"</v>
      </c>
      <c r="G90" s="15"/>
    </row>
    <row r="91" spans="1:7" x14ac:dyDescent="0.75">
      <c r="A91" s="2">
        <v>54</v>
      </c>
      <c r="B91" s="2">
        <f t="shared" si="0"/>
        <v>7</v>
      </c>
      <c r="C91" s="2">
        <f t="shared" si="1"/>
        <v>5</v>
      </c>
      <c r="D91" s="116" t="str" cm="1">
        <f t="array" ref="D91">INDEX('Subj-2'!$B$2:$H$41,1+B91,C91)</f>
        <v>* differential.element[8].min = 0</v>
      </c>
    </row>
    <row r="92" spans="1:7" x14ac:dyDescent="0.75">
      <c r="A92" s="2">
        <v>55</v>
      </c>
      <c r="B92" s="2">
        <f t="shared" si="0"/>
        <v>7</v>
      </c>
      <c r="C92" s="2">
        <f t="shared" si="1"/>
        <v>6</v>
      </c>
      <c r="D92" s="116" t="str" cm="1">
        <f t="array" ref="D92">INDEX('Subj-2'!$B$2:$H$41,1+B92,C92)</f>
        <v>* differential.element[8].max = "*"</v>
      </c>
    </row>
    <row r="93" spans="1:7" x14ac:dyDescent="0.75">
      <c r="A93" s="2">
        <v>56</v>
      </c>
      <c r="B93" s="2">
        <f t="shared" si="0"/>
        <v>7</v>
      </c>
      <c r="C93" s="2">
        <f t="shared" si="1"/>
        <v>7</v>
      </c>
      <c r="D93" s="116" t="str" cm="1">
        <f t="array" ref="D93">INDEX('Subj-2'!$B$2:$H$41,1+B93,C93)</f>
        <v>* differential.element[8].type.code = #dateTime</v>
      </c>
    </row>
    <row r="94" spans="1:7" x14ac:dyDescent="0.75">
      <c r="A94" s="2">
        <v>57</v>
      </c>
      <c r="B94" s="2">
        <f t="shared" si="0"/>
        <v>8</v>
      </c>
      <c r="C94" s="2">
        <f t="shared" si="1"/>
        <v>1</v>
      </c>
      <c r="D94" s="116" t="str" cm="1">
        <f t="array" ref="D94">INDEX('Subj-2'!$B$2:$H$41,1+B94,C94)</f>
        <v>* differential.element[9].id = "Subject.placeOfBirth"</v>
      </c>
    </row>
    <row r="95" spans="1:7" x14ac:dyDescent="0.75">
      <c r="A95" s="2">
        <v>58</v>
      </c>
      <c r="B95" s="2">
        <f t="shared" si="0"/>
        <v>8</v>
      </c>
      <c r="C95" s="2">
        <f t="shared" si="1"/>
        <v>2</v>
      </c>
      <c r="D95" s="116" t="str" cm="1">
        <f t="array" ref="D95">INDEX('Subj-2'!$B$2:$H$41,1+B95,C95)</f>
        <v>* differential.element[9].path = "Subject.placeOfBirth"</v>
      </c>
    </row>
    <row r="96" spans="1:7" x14ac:dyDescent="0.75">
      <c r="A96" s="2">
        <v>59</v>
      </c>
      <c r="B96" s="2">
        <f t="shared" si="0"/>
        <v>8</v>
      </c>
      <c r="C96" s="2">
        <f t="shared" si="1"/>
        <v>3</v>
      </c>
      <c r="D96" s="116" t="str" cm="1">
        <f t="array" ref="D96">INDEX('Subj-2'!$B$2:$H$41,1+B96,C96)</f>
        <v>* differential.element[9].short = "Place of birth"</v>
      </c>
    </row>
    <row r="97" spans="1:4" x14ac:dyDescent="0.75">
      <c r="A97" s="2">
        <v>60</v>
      </c>
      <c r="B97" s="2">
        <f t="shared" si="0"/>
        <v>8</v>
      </c>
      <c r="C97" s="2">
        <f t="shared" si="1"/>
        <v>4</v>
      </c>
      <c r="D97" s="116" t="str" cm="1">
        <f t="array" ref="D97">INDEX('Subj-2'!$B$2:$H$41,1+B97,C97)</f>
        <v>* differential.element[9].definition = "Place of birth"</v>
      </c>
    </row>
    <row r="98" spans="1:4" x14ac:dyDescent="0.75">
      <c r="A98" s="2">
        <v>61</v>
      </c>
      <c r="B98" s="2">
        <f t="shared" si="0"/>
        <v>8</v>
      </c>
      <c r="C98" s="2">
        <f t="shared" si="1"/>
        <v>5</v>
      </c>
      <c r="D98" s="116" t="str" cm="1">
        <f t="array" ref="D98">INDEX('Subj-2'!$B$2:$H$41,1+B98,C98)</f>
        <v>* differential.element[9].min = 0</v>
      </c>
    </row>
    <row r="99" spans="1:4" x14ac:dyDescent="0.75">
      <c r="A99" s="2">
        <v>62</v>
      </c>
      <c r="B99" s="2">
        <f t="shared" si="0"/>
        <v>8</v>
      </c>
      <c r="C99" s="2">
        <f t="shared" si="1"/>
        <v>6</v>
      </c>
      <c r="D99" s="116" t="str" cm="1">
        <f t="array" ref="D99">INDEX('Subj-2'!$B$2:$H$41,1+B99,C99)</f>
        <v>* differential.element[9].max = "*"</v>
      </c>
    </row>
    <row r="100" spans="1:4" x14ac:dyDescent="0.75">
      <c r="A100" s="2">
        <v>63</v>
      </c>
      <c r="B100" s="2">
        <f t="shared" si="0"/>
        <v>8</v>
      </c>
      <c r="C100" s="2">
        <f t="shared" si="1"/>
        <v>7</v>
      </c>
      <c r="D100" s="116" t="str" cm="1">
        <f t="array" ref="D100">INDEX('Subj-2'!$B$2:$H$41,1+B100,C100)</f>
        <v>* differential.element[9].type.code = #Address</v>
      </c>
    </row>
    <row r="101" spans="1:4" x14ac:dyDescent="0.75">
      <c r="A101" s="2">
        <v>64</v>
      </c>
      <c r="B101" s="2">
        <f t="shared" si="0"/>
        <v>9</v>
      </c>
      <c r="C101" s="2">
        <f t="shared" si="1"/>
        <v>1</v>
      </c>
      <c r="D101" s="116" t="str" cm="1">
        <f t="array" ref="D101">INDEX('Subj-2'!$B$2:$H$41,1+B101,C101)</f>
        <v>* differential.element[10].id = "Subject.contact"</v>
      </c>
    </row>
    <row r="102" spans="1:4" x14ac:dyDescent="0.75">
      <c r="A102" s="2">
        <v>65</v>
      </c>
      <c r="B102" s="2">
        <f t="shared" si="0"/>
        <v>9</v>
      </c>
      <c r="C102" s="2">
        <f t="shared" si="1"/>
        <v>2</v>
      </c>
      <c r="D102" s="116" t="str" cm="1">
        <f t="array" ref="D102">INDEX('Subj-2'!$B$2:$H$41,1+B102,C102)</f>
        <v>* differential.element[10].path = "Subject.contact"</v>
      </c>
    </row>
    <row r="103" spans="1:4" x14ac:dyDescent="0.75">
      <c r="A103" s="2">
        <v>66</v>
      </c>
      <c r="B103" s="2">
        <f t="shared" ref="B103:B163" si="2">IF(MOD(A103,7)=0,A103/7-1,INT(A103/7))</f>
        <v>9</v>
      </c>
      <c r="C103" s="2">
        <f t="shared" ref="C103:C163" si="3">IF(MOD(A103,7)=0,7,MOD(A103,7))</f>
        <v>3</v>
      </c>
      <c r="D103" s="116" t="str" cm="1">
        <f t="array" ref="D103">INDEX('Subj-2'!$B$2:$H$41,1+B103,C103)</f>
        <v>* differential.element[10].short = "Contact - receiver of the passport"</v>
      </c>
    </row>
    <row r="104" spans="1:4" x14ac:dyDescent="0.75">
      <c r="A104" s="2">
        <v>67</v>
      </c>
      <c r="B104" s="2">
        <f t="shared" si="2"/>
        <v>9</v>
      </c>
      <c r="C104" s="2">
        <f t="shared" si="3"/>
        <v>4</v>
      </c>
      <c r="D104" s="116" t="str" cm="1">
        <f t="array" ref="D104">INDEX('Subj-2'!$B$2:$H$41,1+B104,C104)</f>
        <v>* differential.element[10].definition = "Contact - receiver of the passport"</v>
      </c>
    </row>
    <row r="105" spans="1:4" x14ac:dyDescent="0.75">
      <c r="A105" s="2">
        <v>68</v>
      </c>
      <c r="B105" s="2">
        <f t="shared" si="2"/>
        <v>9</v>
      </c>
      <c r="C105" s="2">
        <f t="shared" si="3"/>
        <v>5</v>
      </c>
      <c r="D105" s="116" t="str" cm="1">
        <f t="array" ref="D105">INDEX('Subj-2'!$B$2:$H$41,1+B105,C105)</f>
        <v>* differential.element[10].min = 0</v>
      </c>
    </row>
    <row r="106" spans="1:4" x14ac:dyDescent="0.75">
      <c r="A106" s="2">
        <v>69</v>
      </c>
      <c r="B106" s="2">
        <f t="shared" si="2"/>
        <v>9</v>
      </c>
      <c r="C106" s="2">
        <f t="shared" si="3"/>
        <v>6</v>
      </c>
      <c r="D106" s="116" t="str" cm="1">
        <f t="array" ref="D106">INDEX('Subj-2'!$B$2:$H$41,1+B106,C106)</f>
        <v>* differential.element[10].max = "*"</v>
      </c>
    </row>
    <row r="107" spans="1:4" x14ac:dyDescent="0.75">
      <c r="A107" s="2">
        <v>70</v>
      </c>
      <c r="B107" s="2">
        <f t="shared" si="2"/>
        <v>9</v>
      </c>
      <c r="C107" s="2">
        <f t="shared" si="3"/>
        <v>7</v>
      </c>
      <c r="D107" s="116" t="str" cm="1">
        <f t="array" ref="D107">INDEX('Subj-2'!$B$2:$H$41,1+B107,C107)</f>
        <v>* differential.element[10].type.code = #BackboneElement</v>
      </c>
    </row>
    <row r="108" spans="1:4" x14ac:dyDescent="0.75">
      <c r="A108" s="2">
        <v>71</v>
      </c>
      <c r="B108" s="2">
        <f t="shared" si="2"/>
        <v>10</v>
      </c>
      <c r="C108" s="2">
        <f t="shared" si="3"/>
        <v>1</v>
      </c>
      <c r="D108" s="116" t="str" cm="1">
        <f t="array" ref="D108">INDEX('Subj-2'!$B$2:$H$41,1+B108,C108)</f>
        <v>* differential.element[11].id = "Subject.contact.email"</v>
      </c>
    </row>
    <row r="109" spans="1:4" x14ac:dyDescent="0.75">
      <c r="A109" s="2">
        <v>72</v>
      </c>
      <c r="B109" s="2">
        <f t="shared" si="2"/>
        <v>10</v>
      </c>
      <c r="C109" s="2">
        <f t="shared" si="3"/>
        <v>2</v>
      </c>
      <c r="D109" s="116" t="str" cm="1">
        <f t="array" ref="D109">INDEX('Subj-2'!$B$2:$H$41,1+B109,C109)</f>
        <v>* differential.element[11].path = "Subject.contact.email"</v>
      </c>
    </row>
    <row r="110" spans="1:4" x14ac:dyDescent="0.75">
      <c r="A110" s="2">
        <v>73</v>
      </c>
      <c r="B110" s="2">
        <f t="shared" si="2"/>
        <v>10</v>
      </c>
      <c r="C110" s="2">
        <f t="shared" si="3"/>
        <v>3</v>
      </c>
      <c r="D110" s="116" t="str" cm="1">
        <f t="array" ref="D110">INDEX('Subj-2'!$B$2:$H$41,1+B110,C110)</f>
        <v>* differential.element[11].short = "E-mail"</v>
      </c>
    </row>
    <row r="111" spans="1:4" x14ac:dyDescent="0.75">
      <c r="A111" s="2">
        <v>74</v>
      </c>
      <c r="B111" s="2">
        <f t="shared" si="2"/>
        <v>10</v>
      </c>
      <c r="C111" s="2">
        <f t="shared" si="3"/>
        <v>4</v>
      </c>
      <c r="D111" s="116" t="str" cm="1">
        <f t="array" ref="D111">INDEX('Subj-2'!$B$2:$H$41,1+B111,C111)</f>
        <v>* differential.element[11].definition = "E-mail"</v>
      </c>
    </row>
    <row r="112" spans="1:4" x14ac:dyDescent="0.75">
      <c r="A112" s="2">
        <v>75</v>
      </c>
      <c r="B112" s="2">
        <f t="shared" si="2"/>
        <v>10</v>
      </c>
      <c r="C112" s="2">
        <f t="shared" si="3"/>
        <v>5</v>
      </c>
      <c r="D112" s="116" t="str" cm="1">
        <f t="array" ref="D112">INDEX('Subj-2'!$B$2:$H$41,1+B112,C112)</f>
        <v>* differential.element[11].min = 0</v>
      </c>
    </row>
    <row r="113" spans="1:4" x14ac:dyDescent="0.75">
      <c r="A113" s="2">
        <v>76</v>
      </c>
      <c r="B113" s="2">
        <f t="shared" si="2"/>
        <v>10</v>
      </c>
      <c r="C113" s="2">
        <f t="shared" si="3"/>
        <v>6</v>
      </c>
      <c r="D113" s="116" t="str" cm="1">
        <f t="array" ref="D113">INDEX('Subj-2'!$B$2:$H$41,1+B113,C113)</f>
        <v>* differential.element[11].max = "*"</v>
      </c>
    </row>
    <row r="114" spans="1:4" x14ac:dyDescent="0.75">
      <c r="A114" s="2">
        <v>77</v>
      </c>
      <c r="B114" s="2">
        <f t="shared" si="2"/>
        <v>10</v>
      </c>
      <c r="C114" s="2">
        <f t="shared" si="3"/>
        <v>7</v>
      </c>
      <c r="D114" s="116" t="str" cm="1">
        <f t="array" ref="D114">INDEX('Subj-2'!$B$2:$H$41,1+B114,C114)</f>
        <v>* differential.element[11].type.code = #uri</v>
      </c>
    </row>
    <row r="115" spans="1:4" x14ac:dyDescent="0.75">
      <c r="A115" s="2">
        <v>78</v>
      </c>
      <c r="B115" s="2">
        <f t="shared" si="2"/>
        <v>11</v>
      </c>
      <c r="C115" s="2">
        <f t="shared" si="3"/>
        <v>1</v>
      </c>
      <c r="D115" s="116" t="str" cm="1">
        <f t="array" ref="D115">INDEX('Subj-2'!$B$2:$H$41,1+B115,C115)</f>
        <v>* differential.element[12].id = "Subject.contact.mobile"</v>
      </c>
    </row>
    <row r="116" spans="1:4" x14ac:dyDescent="0.75">
      <c r="A116" s="2">
        <v>79</v>
      </c>
      <c r="B116" s="2">
        <f t="shared" si="2"/>
        <v>11</v>
      </c>
      <c r="C116" s="2">
        <f t="shared" si="3"/>
        <v>2</v>
      </c>
      <c r="D116" s="116" t="str" cm="1">
        <f t="array" ref="D116">INDEX('Subj-2'!$B$2:$H$41,1+B116,C116)</f>
        <v>* differential.element[12].path = "Subject.contact.mobile"</v>
      </c>
    </row>
    <row r="117" spans="1:4" x14ac:dyDescent="0.75">
      <c r="A117" s="2">
        <v>80</v>
      </c>
      <c r="B117" s="2">
        <f t="shared" si="2"/>
        <v>11</v>
      </c>
      <c r="C117" s="2">
        <f t="shared" si="3"/>
        <v>3</v>
      </c>
      <c r="D117" s="116" t="str" cm="1">
        <f t="array" ref="D117">INDEX('Subj-2'!$B$2:$H$41,1+B117,C117)</f>
        <v>* differential.element[12].short = "Mobile phone"</v>
      </c>
    </row>
    <row r="118" spans="1:4" x14ac:dyDescent="0.75">
      <c r="A118" s="2">
        <v>81</v>
      </c>
      <c r="B118" s="2">
        <f t="shared" si="2"/>
        <v>11</v>
      </c>
      <c r="C118" s="2">
        <f t="shared" si="3"/>
        <v>4</v>
      </c>
      <c r="D118" s="116" t="str" cm="1">
        <f t="array" ref="D118">INDEX('Subj-2'!$B$2:$H$41,1+B118,C118)</f>
        <v>* differential.element[12].definition = "Mobile phone"</v>
      </c>
    </row>
    <row r="119" spans="1:4" x14ac:dyDescent="0.75">
      <c r="A119" s="2">
        <v>82</v>
      </c>
      <c r="B119" s="2">
        <f t="shared" si="2"/>
        <v>11</v>
      </c>
      <c r="C119" s="2">
        <f t="shared" si="3"/>
        <v>5</v>
      </c>
      <c r="D119" s="116" t="str" cm="1">
        <f t="array" ref="D119">INDEX('Subj-2'!$B$2:$H$41,1+B119,C119)</f>
        <v>* differential.element[12].min = 0</v>
      </c>
    </row>
    <row r="120" spans="1:4" x14ac:dyDescent="0.75">
      <c r="A120" s="2">
        <v>83</v>
      </c>
      <c r="B120" s="2">
        <f t="shared" si="2"/>
        <v>11</v>
      </c>
      <c r="C120" s="2">
        <f t="shared" si="3"/>
        <v>6</v>
      </c>
      <c r="D120" s="116" t="str" cm="1">
        <f t="array" ref="D120">INDEX('Subj-2'!$B$2:$H$41,1+B120,C120)</f>
        <v>* differential.element[12].max = "*"</v>
      </c>
    </row>
    <row r="121" spans="1:4" x14ac:dyDescent="0.75">
      <c r="A121" s="2">
        <v>84</v>
      </c>
      <c r="B121" s="2">
        <f t="shared" si="2"/>
        <v>11</v>
      </c>
      <c r="C121" s="2">
        <f t="shared" si="3"/>
        <v>7</v>
      </c>
      <c r="D121" s="116" t="str" cm="1">
        <f t="array" ref="D121">INDEX('Subj-2'!$B$2:$H$41,1+B121,C121)</f>
        <v>* differential.element[12].type.code = #uri</v>
      </c>
    </row>
    <row r="122" spans="1:4" x14ac:dyDescent="0.75">
      <c r="A122" s="2">
        <v>85</v>
      </c>
      <c r="B122" s="2">
        <f t="shared" si="2"/>
        <v>12</v>
      </c>
      <c r="C122" s="2">
        <f t="shared" si="3"/>
        <v>1</v>
      </c>
      <c r="D122" s="116" t="str" cm="1">
        <f t="array" ref="D122">INDEX('Subj-2'!$B$2:$H$41,1+B122,C122)</f>
        <v>* differential.element[13].id = "Subject.contact.relationship"</v>
      </c>
    </row>
    <row r="123" spans="1:4" x14ac:dyDescent="0.75">
      <c r="A123" s="2">
        <v>86</v>
      </c>
      <c r="B123" s="2">
        <f t="shared" si="2"/>
        <v>12</v>
      </c>
      <c r="C123" s="2">
        <f t="shared" si="3"/>
        <v>2</v>
      </c>
      <c r="D123" s="116" t="str" cm="1">
        <f t="array" ref="D123">INDEX('Subj-2'!$B$2:$H$41,1+B123,C123)</f>
        <v>* differential.element[13].path = "Subject.contact.relationship"</v>
      </c>
    </row>
    <row r="124" spans="1:4" x14ac:dyDescent="0.75">
      <c r="A124" s="2">
        <v>87</v>
      </c>
      <c r="B124" s="2">
        <f t="shared" si="2"/>
        <v>12</v>
      </c>
      <c r="C124" s="2">
        <f t="shared" si="3"/>
        <v>3</v>
      </c>
      <c r="D124" s="116" t="str" cm="1">
        <f t="array" ref="D124">INDEX('Subj-2'!$B$2:$H$41,1+B124,C124)</f>
        <v>* differential.element[13].short = "Relationship with the subject"</v>
      </c>
    </row>
    <row r="125" spans="1:4" x14ac:dyDescent="0.75">
      <c r="A125" s="2">
        <v>88</v>
      </c>
      <c r="B125" s="2">
        <f t="shared" si="2"/>
        <v>12</v>
      </c>
      <c r="C125" s="2">
        <f t="shared" si="3"/>
        <v>4</v>
      </c>
      <c r="D125" s="116" t="str" cm="1">
        <f t="array" ref="D125">INDEX('Subj-2'!$B$2:$H$41,1+B125,C125)</f>
        <v>* differential.element[13].definition = "Relationship with the subject"</v>
      </c>
    </row>
    <row r="126" spans="1:4" x14ac:dyDescent="0.75">
      <c r="A126" s="2">
        <v>89</v>
      </c>
      <c r="B126" s="2">
        <f t="shared" si="2"/>
        <v>12</v>
      </c>
      <c r="C126" s="2">
        <f t="shared" si="3"/>
        <v>5</v>
      </c>
      <c r="D126" s="116" t="str" cm="1">
        <f t="array" ref="D126">INDEX('Subj-2'!$B$2:$H$41,1+B126,C126)</f>
        <v>* differential.element[13].min = 0</v>
      </c>
    </row>
    <row r="127" spans="1:4" x14ac:dyDescent="0.75">
      <c r="A127" s="2">
        <v>90</v>
      </c>
      <c r="B127" s="2">
        <f t="shared" si="2"/>
        <v>12</v>
      </c>
      <c r="C127" s="2">
        <f t="shared" si="3"/>
        <v>6</v>
      </c>
      <c r="D127" s="116" t="str" cm="1">
        <f t="array" ref="D127">INDEX('Subj-2'!$B$2:$H$41,1+B127,C127)</f>
        <v>* differential.element[13].max = "1"</v>
      </c>
    </row>
    <row r="128" spans="1:4" x14ac:dyDescent="0.75">
      <c r="A128" s="2">
        <v>91</v>
      </c>
      <c r="B128" s="2">
        <f t="shared" si="2"/>
        <v>12</v>
      </c>
      <c r="C128" s="2">
        <f t="shared" si="3"/>
        <v>7</v>
      </c>
      <c r="D128" s="116" t="str" cm="1">
        <f t="array" ref="D128">INDEX('Subj-2'!$B$2:$H$41,1+B128,C128)</f>
        <v>* differential.element[13].type.code = #CodeableConcept</v>
      </c>
    </row>
    <row r="129" spans="1:4" x14ac:dyDescent="0.75">
      <c r="A129" s="2">
        <v>92</v>
      </c>
      <c r="B129" s="2">
        <f t="shared" si="2"/>
        <v>13</v>
      </c>
      <c r="C129" s="2">
        <f t="shared" si="3"/>
        <v>1</v>
      </c>
      <c r="D129" s="116" cm="1">
        <f t="array" ref="D129">INDEX('Subj-2'!$B$2:$H$41,1+B129,C129)</f>
        <v>0</v>
      </c>
    </row>
    <row r="130" spans="1:4" x14ac:dyDescent="0.75">
      <c r="A130" s="2">
        <v>93</v>
      </c>
      <c r="B130" s="2">
        <f t="shared" si="2"/>
        <v>13</v>
      </c>
      <c r="C130" s="2">
        <f t="shared" si="3"/>
        <v>2</v>
      </c>
      <c r="D130" s="116" cm="1">
        <f t="array" ref="D130">INDEX('Subj-2'!$B$2:$H$41,1+B130,C130)</f>
        <v>0</v>
      </c>
    </row>
    <row r="131" spans="1:4" x14ac:dyDescent="0.75">
      <c r="A131" s="2">
        <v>94</v>
      </c>
      <c r="B131" s="2">
        <f t="shared" si="2"/>
        <v>13</v>
      </c>
      <c r="C131" s="2">
        <f t="shared" si="3"/>
        <v>3</v>
      </c>
      <c r="D131" s="116" cm="1">
        <f t="array" ref="D131">INDEX('Subj-2'!$B$2:$H$41,1+B131,C131)</f>
        <v>0</v>
      </c>
    </row>
    <row r="132" spans="1:4" x14ac:dyDescent="0.75">
      <c r="A132" s="2">
        <v>95</v>
      </c>
      <c r="B132" s="2">
        <f t="shared" si="2"/>
        <v>13</v>
      </c>
      <c r="C132" s="2">
        <f t="shared" si="3"/>
        <v>4</v>
      </c>
      <c r="D132" s="116" cm="1">
        <f t="array" ref="D132">INDEX('Subj-2'!$B$2:$H$41,1+B132,C132)</f>
        <v>0</v>
      </c>
    </row>
    <row r="133" spans="1:4" x14ac:dyDescent="0.75">
      <c r="A133" s="2">
        <v>96</v>
      </c>
      <c r="B133" s="2">
        <f t="shared" si="2"/>
        <v>13</v>
      </c>
      <c r="C133" s="2">
        <f t="shared" si="3"/>
        <v>5</v>
      </c>
      <c r="D133" s="116" cm="1">
        <f t="array" ref="D133">INDEX('Subj-2'!$B$2:$H$41,1+B133,C133)</f>
        <v>0</v>
      </c>
    </row>
    <row r="134" spans="1:4" x14ac:dyDescent="0.75">
      <c r="A134" s="2">
        <v>97</v>
      </c>
      <c r="B134" s="2">
        <f t="shared" si="2"/>
        <v>13</v>
      </c>
      <c r="C134" s="2">
        <f t="shared" si="3"/>
        <v>6</v>
      </c>
      <c r="D134" s="116" cm="1">
        <f t="array" ref="D134">INDEX('Subj-2'!$B$2:$H$41,1+B134,C134)</f>
        <v>0</v>
      </c>
    </row>
    <row r="135" spans="1:4" x14ac:dyDescent="0.75">
      <c r="A135" s="2">
        <v>98</v>
      </c>
      <c r="B135" s="2">
        <f t="shared" si="2"/>
        <v>13</v>
      </c>
      <c r="C135" s="2">
        <f t="shared" si="3"/>
        <v>7</v>
      </c>
      <c r="D135" s="116" cm="1">
        <f t="array" ref="D135">INDEX('Subj-2'!$B$2:$H$41,1+B135,C135)</f>
        <v>0</v>
      </c>
    </row>
    <row r="136" spans="1:4" x14ac:dyDescent="0.75">
      <c r="A136" s="2">
        <v>99</v>
      </c>
      <c r="B136" s="2">
        <f t="shared" si="2"/>
        <v>14</v>
      </c>
      <c r="C136" s="2">
        <f t="shared" si="3"/>
        <v>1</v>
      </c>
      <c r="D136" s="116" cm="1">
        <f t="array" ref="D136">INDEX('Subj-2'!$B$2:$H$41,1+B136,C136)</f>
        <v>0</v>
      </c>
    </row>
    <row r="137" spans="1:4" x14ac:dyDescent="0.75">
      <c r="A137" s="2">
        <v>100</v>
      </c>
      <c r="B137" s="2">
        <f t="shared" si="2"/>
        <v>14</v>
      </c>
      <c r="C137" s="2">
        <f t="shared" si="3"/>
        <v>2</v>
      </c>
      <c r="D137" s="116" cm="1">
        <f t="array" ref="D137">INDEX('Subj-2'!$B$2:$H$41,1+B137,C137)</f>
        <v>0</v>
      </c>
    </row>
    <row r="138" spans="1:4" x14ac:dyDescent="0.75">
      <c r="A138" s="2">
        <v>101</v>
      </c>
      <c r="B138" s="2">
        <f t="shared" si="2"/>
        <v>14</v>
      </c>
      <c r="C138" s="2">
        <f t="shared" si="3"/>
        <v>3</v>
      </c>
      <c r="D138" s="116" cm="1">
        <f t="array" ref="D138">INDEX('Subj-2'!$B$2:$H$41,1+B138,C138)</f>
        <v>0</v>
      </c>
    </row>
    <row r="139" spans="1:4" x14ac:dyDescent="0.75">
      <c r="A139" s="2">
        <v>102</v>
      </c>
      <c r="B139" s="2">
        <f t="shared" si="2"/>
        <v>14</v>
      </c>
      <c r="C139" s="2">
        <f t="shared" si="3"/>
        <v>4</v>
      </c>
      <c r="D139" s="116" cm="1">
        <f t="array" ref="D139">INDEX('Subj-2'!$B$2:$H$41,1+B139,C139)</f>
        <v>0</v>
      </c>
    </row>
    <row r="140" spans="1:4" x14ac:dyDescent="0.75">
      <c r="A140" s="2">
        <v>103</v>
      </c>
      <c r="B140" s="2">
        <f t="shared" si="2"/>
        <v>14</v>
      </c>
      <c r="C140" s="2">
        <f t="shared" si="3"/>
        <v>5</v>
      </c>
      <c r="D140" s="116" cm="1">
        <f t="array" ref="D140">INDEX('Subj-2'!$B$2:$H$41,1+B140,C140)</f>
        <v>0</v>
      </c>
    </row>
    <row r="141" spans="1:4" x14ac:dyDescent="0.75">
      <c r="A141" s="2">
        <v>104</v>
      </c>
      <c r="B141" s="2">
        <f t="shared" si="2"/>
        <v>14</v>
      </c>
      <c r="C141" s="2">
        <f t="shared" si="3"/>
        <v>6</v>
      </c>
      <c r="D141" s="116" cm="1">
        <f t="array" ref="D141">INDEX('Subj-2'!$B$2:$H$41,1+B141,C141)</f>
        <v>0</v>
      </c>
    </row>
    <row r="142" spans="1:4" x14ac:dyDescent="0.75">
      <c r="A142" s="2">
        <v>105</v>
      </c>
      <c r="B142" s="2">
        <f t="shared" si="2"/>
        <v>14</v>
      </c>
      <c r="C142" s="2">
        <f t="shared" si="3"/>
        <v>7</v>
      </c>
      <c r="D142" s="116" cm="1">
        <f t="array" ref="D142">INDEX('Subj-2'!$B$2:$H$41,1+B142,C142)</f>
        <v>0</v>
      </c>
    </row>
    <row r="143" spans="1:4" x14ac:dyDescent="0.75">
      <c r="A143" s="2">
        <v>106</v>
      </c>
      <c r="B143" s="2">
        <f t="shared" si="2"/>
        <v>15</v>
      </c>
      <c r="C143" s="2">
        <f t="shared" si="3"/>
        <v>1</v>
      </c>
      <c r="D143" s="116" cm="1">
        <f t="array" ref="D143">INDEX('Subj-2'!$B$2:$H$41,1+B143,C143)</f>
        <v>0</v>
      </c>
    </row>
    <row r="144" spans="1:4" x14ac:dyDescent="0.75">
      <c r="A144" s="2">
        <v>107</v>
      </c>
      <c r="B144" s="2">
        <f t="shared" si="2"/>
        <v>15</v>
      </c>
      <c r="C144" s="2">
        <f t="shared" si="3"/>
        <v>2</v>
      </c>
      <c r="D144" s="116" cm="1">
        <f t="array" ref="D144">INDEX('Subj-2'!$B$2:$H$41,1+B144,C144)</f>
        <v>0</v>
      </c>
    </row>
    <row r="145" spans="1:5" x14ac:dyDescent="0.75">
      <c r="A145" s="2">
        <v>108</v>
      </c>
      <c r="B145" s="2">
        <f t="shared" si="2"/>
        <v>15</v>
      </c>
      <c r="C145" s="2">
        <f t="shared" si="3"/>
        <v>3</v>
      </c>
      <c r="D145" s="116" cm="1">
        <f t="array" ref="D145">INDEX('Subj-2'!$B$2:$H$41,1+B145,C145)</f>
        <v>0</v>
      </c>
    </row>
    <row r="146" spans="1:5" x14ac:dyDescent="0.75">
      <c r="A146" s="2">
        <v>109</v>
      </c>
      <c r="B146" s="2">
        <f t="shared" si="2"/>
        <v>15</v>
      </c>
      <c r="C146" s="2">
        <f t="shared" si="3"/>
        <v>4</v>
      </c>
      <c r="D146" s="116" cm="1">
        <f t="array" ref="D146">INDEX('Subj-2'!$B$2:$H$41,1+B146,C146)</f>
        <v>0</v>
      </c>
    </row>
    <row r="147" spans="1:5" x14ac:dyDescent="0.75">
      <c r="A147" s="2">
        <v>110</v>
      </c>
      <c r="B147" s="2">
        <f t="shared" si="2"/>
        <v>15</v>
      </c>
      <c r="C147" s="2">
        <f t="shared" si="3"/>
        <v>5</v>
      </c>
      <c r="D147" s="116" cm="1">
        <f t="array" ref="D147">INDEX('Subj-2'!$B$2:$H$41,1+B147,C147)</f>
        <v>0</v>
      </c>
    </row>
    <row r="148" spans="1:5" x14ac:dyDescent="0.75">
      <c r="A148" s="2">
        <v>111</v>
      </c>
      <c r="B148" s="2">
        <f t="shared" si="2"/>
        <v>15</v>
      </c>
      <c r="C148" s="2">
        <f t="shared" si="3"/>
        <v>6</v>
      </c>
      <c r="D148" s="116" cm="1">
        <f t="array" ref="D148">INDEX('Subj-2'!$B$2:$H$41,1+B148,C148)</f>
        <v>0</v>
      </c>
    </row>
    <row r="149" spans="1:5" x14ac:dyDescent="0.75">
      <c r="A149" s="2">
        <v>112</v>
      </c>
      <c r="B149" s="2">
        <f t="shared" si="2"/>
        <v>15</v>
      </c>
      <c r="C149" s="2">
        <f t="shared" si="3"/>
        <v>7</v>
      </c>
      <c r="D149" s="116" cm="1">
        <f t="array" ref="D149">INDEX('Subj-2'!$B$2:$H$41,1+B149,C149)</f>
        <v>0</v>
      </c>
    </row>
    <row r="150" spans="1:5" x14ac:dyDescent="0.75">
      <c r="A150" s="2">
        <v>113</v>
      </c>
      <c r="B150" s="2">
        <f t="shared" ref="B150:B160" si="4">IF(MOD(A150,7)=0,A150/7-1,INT(A150/7))</f>
        <v>16</v>
      </c>
      <c r="C150" s="2">
        <f t="shared" ref="C150:C160" si="5">IF(MOD(A150,7)=0,7,MOD(A150,7))</f>
        <v>1</v>
      </c>
      <c r="D150" s="116" cm="1">
        <f t="array" ref="D150">INDEX('Subj-2'!$B$2:$H$41,1+B150,C150)</f>
        <v>0</v>
      </c>
    </row>
    <row r="151" spans="1:5" x14ac:dyDescent="0.75">
      <c r="A151" s="2">
        <v>114</v>
      </c>
      <c r="B151" s="2">
        <f t="shared" si="4"/>
        <v>16</v>
      </c>
      <c r="C151" s="2">
        <f t="shared" si="5"/>
        <v>2</v>
      </c>
      <c r="D151" s="116" cm="1">
        <f t="array" ref="D151">INDEX('Subj-2'!$B$2:$H$41,1+B151,C151)</f>
        <v>0</v>
      </c>
    </row>
    <row r="152" spans="1:5" x14ac:dyDescent="0.75">
      <c r="A152" s="2">
        <v>115</v>
      </c>
      <c r="B152" s="2">
        <f t="shared" si="4"/>
        <v>16</v>
      </c>
      <c r="C152" s="2">
        <f t="shared" si="5"/>
        <v>3</v>
      </c>
      <c r="D152" s="116" cm="1">
        <f t="array" ref="D152">INDEX('Subj-2'!$B$2:$H$41,1+B152,C152)</f>
        <v>0</v>
      </c>
      <c r="E152" s="43"/>
    </row>
    <row r="153" spans="1:5" x14ac:dyDescent="0.75">
      <c r="A153" s="2">
        <v>116</v>
      </c>
      <c r="B153" s="2">
        <f t="shared" si="4"/>
        <v>16</v>
      </c>
      <c r="C153" s="2">
        <f t="shared" si="5"/>
        <v>4</v>
      </c>
      <c r="D153" s="116" cm="1">
        <f t="array" ref="D153">INDEX('Subj-2'!$B$2:$H$41,1+B153,C153)</f>
        <v>0</v>
      </c>
    </row>
    <row r="154" spans="1:5" x14ac:dyDescent="0.75">
      <c r="A154" s="2">
        <v>117</v>
      </c>
      <c r="B154" s="2">
        <f t="shared" si="4"/>
        <v>16</v>
      </c>
      <c r="C154" s="2">
        <f t="shared" si="5"/>
        <v>5</v>
      </c>
      <c r="D154" s="116" cm="1">
        <f t="array" ref="D154">INDEX('Subj-2'!$B$2:$H$41,1+B154,C154)</f>
        <v>0</v>
      </c>
    </row>
    <row r="155" spans="1:5" x14ac:dyDescent="0.75">
      <c r="A155" s="2">
        <v>118</v>
      </c>
      <c r="B155" s="2">
        <f t="shared" si="4"/>
        <v>16</v>
      </c>
      <c r="C155" s="2">
        <f t="shared" si="5"/>
        <v>6</v>
      </c>
      <c r="D155" s="116" cm="1">
        <f t="array" ref="D155">INDEX('Subj-2'!$B$2:$H$41,1+B155,C155)</f>
        <v>0</v>
      </c>
    </row>
    <row r="156" spans="1:5" x14ac:dyDescent="0.75">
      <c r="A156" s="2">
        <v>119</v>
      </c>
      <c r="B156" s="2">
        <f t="shared" si="4"/>
        <v>16</v>
      </c>
      <c r="C156" s="2">
        <f t="shared" si="5"/>
        <v>7</v>
      </c>
      <c r="D156" s="116" cm="1">
        <f t="array" ref="D156">INDEX('Subj-2'!$B$2:$H$41,1+B156,C156)</f>
        <v>0</v>
      </c>
    </row>
    <row r="157" spans="1:5" x14ac:dyDescent="0.75">
      <c r="A157" s="2">
        <v>120</v>
      </c>
      <c r="B157" s="2">
        <f t="shared" si="4"/>
        <v>17</v>
      </c>
      <c r="C157" s="2">
        <f t="shared" si="5"/>
        <v>1</v>
      </c>
      <c r="D157" s="32"/>
    </row>
    <row r="158" spans="1:5" x14ac:dyDescent="0.75">
      <c r="A158" s="2">
        <v>121</v>
      </c>
      <c r="B158" s="2">
        <f t="shared" si="4"/>
        <v>17</v>
      </c>
      <c r="C158" s="2">
        <f t="shared" si="5"/>
        <v>2</v>
      </c>
      <c r="D158" s="32"/>
    </row>
    <row r="159" spans="1:5" x14ac:dyDescent="0.75">
      <c r="A159" s="2">
        <v>122</v>
      </c>
      <c r="B159" s="2">
        <f t="shared" si="4"/>
        <v>17</v>
      </c>
      <c r="C159" s="2">
        <f t="shared" si="5"/>
        <v>3</v>
      </c>
      <c r="D159" s="32"/>
    </row>
    <row r="160" spans="1:5" x14ac:dyDescent="0.75">
      <c r="A160" s="2">
        <v>123</v>
      </c>
      <c r="B160" s="2">
        <f t="shared" si="4"/>
        <v>17</v>
      </c>
      <c r="C160" s="2">
        <f t="shared" si="5"/>
        <v>4</v>
      </c>
      <c r="D160" s="32"/>
    </row>
    <row r="161" spans="1:4" x14ac:dyDescent="0.75">
      <c r="A161" s="2">
        <v>124</v>
      </c>
      <c r="B161" s="2">
        <f t="shared" si="2"/>
        <v>17</v>
      </c>
      <c r="C161" s="2">
        <f t="shared" si="3"/>
        <v>5</v>
      </c>
      <c r="D161" s="32"/>
    </row>
    <row r="162" spans="1:4" x14ac:dyDescent="0.75">
      <c r="A162" s="2">
        <v>125</v>
      </c>
      <c r="B162" s="2">
        <f t="shared" si="2"/>
        <v>17</v>
      </c>
      <c r="C162" s="2">
        <f t="shared" si="3"/>
        <v>6</v>
      </c>
      <c r="D162" s="32"/>
    </row>
    <row r="163" spans="1:4" x14ac:dyDescent="0.75">
      <c r="A163" s="2">
        <v>126</v>
      </c>
      <c r="B163" s="2">
        <f t="shared" si="2"/>
        <v>17</v>
      </c>
      <c r="C163" s="2">
        <f t="shared" si="3"/>
        <v>7</v>
      </c>
      <c r="D163" s="32"/>
    </row>
    <row r="164" spans="1:4" x14ac:dyDescent="0.75">
      <c r="A164" s="2">
        <v>127</v>
      </c>
      <c r="B164" s="2">
        <f t="shared" ref="B164:B191" si="6">IF(MOD(A164,7)=0,A164/7-1,INT(A164/7))</f>
        <v>18</v>
      </c>
      <c r="C164" s="2">
        <f t="shared" ref="C164:C191" si="7">IF(MOD(A164,7)=0,7,MOD(A164,7))</f>
        <v>1</v>
      </c>
      <c r="D164" s="32"/>
    </row>
    <row r="165" spans="1:4" x14ac:dyDescent="0.75">
      <c r="A165" s="2">
        <v>128</v>
      </c>
      <c r="B165" s="2">
        <f t="shared" si="6"/>
        <v>18</v>
      </c>
      <c r="C165" s="2">
        <f t="shared" si="7"/>
        <v>2</v>
      </c>
      <c r="D165" s="32"/>
    </row>
    <row r="166" spans="1:4" x14ac:dyDescent="0.75">
      <c r="A166" s="2">
        <v>129</v>
      </c>
      <c r="B166" s="2">
        <f t="shared" si="6"/>
        <v>18</v>
      </c>
      <c r="C166" s="2">
        <f t="shared" si="7"/>
        <v>3</v>
      </c>
      <c r="D166" s="32"/>
    </row>
    <row r="167" spans="1:4" x14ac:dyDescent="0.75">
      <c r="A167" s="2">
        <v>130</v>
      </c>
      <c r="B167" s="2">
        <f t="shared" si="6"/>
        <v>18</v>
      </c>
      <c r="C167" s="2">
        <f t="shared" si="7"/>
        <v>4</v>
      </c>
      <c r="D167" s="32"/>
    </row>
    <row r="168" spans="1:4" x14ac:dyDescent="0.75">
      <c r="A168" s="2">
        <v>131</v>
      </c>
      <c r="B168" s="2">
        <f t="shared" si="6"/>
        <v>18</v>
      </c>
      <c r="C168" s="2">
        <f t="shared" si="7"/>
        <v>5</v>
      </c>
      <c r="D168" s="32"/>
    </row>
    <row r="169" spans="1:4" x14ac:dyDescent="0.75">
      <c r="A169" s="2">
        <v>132</v>
      </c>
      <c r="B169" s="2">
        <f t="shared" si="6"/>
        <v>18</v>
      </c>
      <c r="C169" s="2">
        <f t="shared" si="7"/>
        <v>6</v>
      </c>
      <c r="D169" s="32"/>
    </row>
    <row r="170" spans="1:4" x14ac:dyDescent="0.75">
      <c r="A170" s="2">
        <v>133</v>
      </c>
      <c r="B170" s="2">
        <f t="shared" si="6"/>
        <v>18</v>
      </c>
      <c r="C170" s="2">
        <f t="shared" si="7"/>
        <v>7</v>
      </c>
      <c r="D170" s="32"/>
    </row>
    <row r="171" spans="1:4" x14ac:dyDescent="0.75">
      <c r="A171" s="2">
        <v>134</v>
      </c>
      <c r="B171" s="2">
        <f t="shared" si="6"/>
        <v>19</v>
      </c>
      <c r="C171" s="2">
        <f t="shared" si="7"/>
        <v>1</v>
      </c>
      <c r="D171" s="32"/>
    </row>
    <row r="172" spans="1:4" x14ac:dyDescent="0.75">
      <c r="A172" s="2">
        <v>135</v>
      </c>
      <c r="B172" s="2">
        <f t="shared" si="6"/>
        <v>19</v>
      </c>
      <c r="C172" s="2">
        <f t="shared" si="7"/>
        <v>2</v>
      </c>
      <c r="D172" s="32"/>
    </row>
    <row r="173" spans="1:4" x14ac:dyDescent="0.75">
      <c r="A173" s="2">
        <v>136</v>
      </c>
      <c r="B173" s="2">
        <f t="shared" si="6"/>
        <v>19</v>
      </c>
      <c r="C173" s="2">
        <f t="shared" si="7"/>
        <v>3</v>
      </c>
      <c r="D173" s="32"/>
    </row>
    <row r="174" spans="1:4" x14ac:dyDescent="0.75">
      <c r="A174" s="2">
        <v>137</v>
      </c>
      <c r="B174" s="2">
        <f t="shared" si="6"/>
        <v>19</v>
      </c>
      <c r="C174" s="2">
        <f t="shared" si="7"/>
        <v>4</v>
      </c>
      <c r="D174" s="32"/>
    </row>
    <row r="175" spans="1:4" x14ac:dyDescent="0.75">
      <c r="A175" s="2">
        <v>138</v>
      </c>
      <c r="B175" s="2">
        <f t="shared" si="6"/>
        <v>19</v>
      </c>
      <c r="C175" s="2">
        <f t="shared" si="7"/>
        <v>5</v>
      </c>
      <c r="D175" s="32"/>
    </row>
    <row r="176" spans="1:4" x14ac:dyDescent="0.75">
      <c r="A176" s="2">
        <v>139</v>
      </c>
      <c r="B176" s="2">
        <f t="shared" si="6"/>
        <v>19</v>
      </c>
      <c r="C176" s="2">
        <f t="shared" si="7"/>
        <v>6</v>
      </c>
      <c r="D176" s="32"/>
    </row>
    <row r="177" spans="1:4" x14ac:dyDescent="0.75">
      <c r="A177" s="2">
        <v>140</v>
      </c>
      <c r="B177" s="2">
        <f t="shared" si="6"/>
        <v>19</v>
      </c>
      <c r="C177" s="2">
        <f t="shared" si="7"/>
        <v>7</v>
      </c>
      <c r="D177" s="32"/>
    </row>
    <row r="178" spans="1:4" x14ac:dyDescent="0.75">
      <c r="A178" s="2">
        <v>141</v>
      </c>
      <c r="B178" s="2">
        <f t="shared" si="6"/>
        <v>20</v>
      </c>
      <c r="C178" s="2">
        <f t="shared" si="7"/>
        <v>1</v>
      </c>
      <c r="D178" s="32"/>
    </row>
    <row r="179" spans="1:4" x14ac:dyDescent="0.75">
      <c r="A179" s="2">
        <v>142</v>
      </c>
      <c r="B179" s="2">
        <f t="shared" si="6"/>
        <v>20</v>
      </c>
      <c r="C179" s="2">
        <f t="shared" si="7"/>
        <v>2</v>
      </c>
      <c r="D179" s="32"/>
    </row>
    <row r="180" spans="1:4" x14ac:dyDescent="0.75">
      <c r="A180" s="2">
        <v>143</v>
      </c>
      <c r="B180" s="2">
        <f t="shared" si="6"/>
        <v>20</v>
      </c>
      <c r="C180" s="2">
        <f t="shared" si="7"/>
        <v>3</v>
      </c>
      <c r="D180" s="32"/>
    </row>
    <row r="181" spans="1:4" x14ac:dyDescent="0.75">
      <c r="A181" s="2">
        <v>144</v>
      </c>
      <c r="B181" s="2">
        <f t="shared" si="6"/>
        <v>20</v>
      </c>
      <c r="C181" s="2">
        <f t="shared" si="7"/>
        <v>4</v>
      </c>
      <c r="D181" s="32"/>
    </row>
    <row r="182" spans="1:4" x14ac:dyDescent="0.75">
      <c r="A182" s="2">
        <v>145</v>
      </c>
      <c r="B182" s="2">
        <f t="shared" si="6"/>
        <v>20</v>
      </c>
      <c r="C182" s="2">
        <f t="shared" si="7"/>
        <v>5</v>
      </c>
      <c r="D182" s="32"/>
    </row>
    <row r="183" spans="1:4" x14ac:dyDescent="0.75">
      <c r="A183" s="2">
        <v>146</v>
      </c>
      <c r="B183" s="2">
        <f t="shared" si="6"/>
        <v>20</v>
      </c>
      <c r="C183" s="2">
        <f t="shared" si="7"/>
        <v>6</v>
      </c>
      <c r="D183" s="32"/>
    </row>
    <row r="184" spans="1:4" x14ac:dyDescent="0.75">
      <c r="A184" s="2">
        <v>147</v>
      </c>
      <c r="B184" s="2">
        <f t="shared" si="6"/>
        <v>20</v>
      </c>
      <c r="C184" s="2">
        <f t="shared" si="7"/>
        <v>7</v>
      </c>
      <c r="D184" s="32"/>
    </row>
    <row r="185" spans="1:4" x14ac:dyDescent="0.75">
      <c r="A185" s="2">
        <v>148</v>
      </c>
      <c r="B185" s="2">
        <f t="shared" si="6"/>
        <v>21</v>
      </c>
      <c r="C185" s="2">
        <f t="shared" si="7"/>
        <v>1</v>
      </c>
      <c r="D185" s="32"/>
    </row>
    <row r="186" spans="1:4" x14ac:dyDescent="0.75">
      <c r="A186" s="2">
        <v>149</v>
      </c>
      <c r="B186" s="2">
        <f t="shared" si="6"/>
        <v>21</v>
      </c>
      <c r="C186" s="2">
        <f t="shared" si="7"/>
        <v>2</v>
      </c>
      <c r="D186" s="32"/>
    </row>
    <row r="187" spans="1:4" x14ac:dyDescent="0.75">
      <c r="A187" s="2">
        <v>150</v>
      </c>
      <c r="B187" s="2">
        <f t="shared" si="6"/>
        <v>21</v>
      </c>
      <c r="C187" s="2">
        <f t="shared" si="7"/>
        <v>3</v>
      </c>
      <c r="D187" s="32"/>
    </row>
    <row r="188" spans="1:4" x14ac:dyDescent="0.75">
      <c r="A188" s="2">
        <v>151</v>
      </c>
      <c r="B188" s="2">
        <f t="shared" si="6"/>
        <v>21</v>
      </c>
      <c r="C188" s="2">
        <f t="shared" si="7"/>
        <v>4</v>
      </c>
      <c r="D188" s="32"/>
    </row>
    <row r="189" spans="1:4" x14ac:dyDescent="0.75">
      <c r="A189" s="2">
        <v>152</v>
      </c>
      <c r="B189" s="2">
        <f t="shared" si="6"/>
        <v>21</v>
      </c>
      <c r="C189" s="2">
        <f t="shared" si="7"/>
        <v>5</v>
      </c>
      <c r="D189" s="32"/>
    </row>
    <row r="190" spans="1:4" x14ac:dyDescent="0.75">
      <c r="A190" s="2">
        <v>153</v>
      </c>
      <c r="B190" s="2">
        <f t="shared" si="6"/>
        <v>21</v>
      </c>
      <c r="C190" s="2">
        <f t="shared" si="7"/>
        <v>6</v>
      </c>
      <c r="D190" s="32"/>
    </row>
    <row r="191" spans="1:4" x14ac:dyDescent="0.75">
      <c r="A191" s="2">
        <v>154</v>
      </c>
      <c r="B191" s="2">
        <f t="shared" si="6"/>
        <v>21</v>
      </c>
      <c r="C191" s="2">
        <f t="shared" si="7"/>
        <v>7</v>
      </c>
      <c r="D191" s="32"/>
    </row>
    <row r="192" spans="1:4" x14ac:dyDescent="0.75">
      <c r="A192" s="2">
        <v>155</v>
      </c>
      <c r="B192" s="2">
        <f t="shared" ref="B192:B230" si="8">IF(MOD(A192,7)=0,A192/7-1,INT(A192/7))</f>
        <v>22</v>
      </c>
      <c r="C192" s="2">
        <f t="shared" ref="C192:C230" si="9">IF(MOD(A192,7)=0,7,MOD(A192,7))</f>
        <v>1</v>
      </c>
      <c r="D192" s="32"/>
    </row>
    <row r="193" spans="1:4" x14ac:dyDescent="0.75">
      <c r="A193" s="2">
        <v>156</v>
      </c>
      <c r="B193" s="2">
        <f t="shared" si="8"/>
        <v>22</v>
      </c>
      <c r="C193" s="2">
        <f t="shared" si="9"/>
        <v>2</v>
      </c>
      <c r="D193" s="32"/>
    </row>
    <row r="194" spans="1:4" x14ac:dyDescent="0.75">
      <c r="A194" s="2">
        <v>157</v>
      </c>
      <c r="B194" s="2">
        <f t="shared" si="8"/>
        <v>22</v>
      </c>
      <c r="C194" s="2">
        <f t="shared" si="9"/>
        <v>3</v>
      </c>
      <c r="D194" s="32"/>
    </row>
    <row r="195" spans="1:4" x14ac:dyDescent="0.75">
      <c r="A195" s="2">
        <v>158</v>
      </c>
      <c r="B195" s="2">
        <f t="shared" si="8"/>
        <v>22</v>
      </c>
      <c r="C195" s="2">
        <f t="shared" si="9"/>
        <v>4</v>
      </c>
      <c r="D195" s="32"/>
    </row>
    <row r="196" spans="1:4" x14ac:dyDescent="0.75">
      <c r="A196" s="2">
        <v>159</v>
      </c>
      <c r="B196" s="2">
        <f t="shared" si="8"/>
        <v>22</v>
      </c>
      <c r="C196" s="2">
        <f t="shared" si="9"/>
        <v>5</v>
      </c>
      <c r="D196" s="32"/>
    </row>
    <row r="197" spans="1:4" x14ac:dyDescent="0.75">
      <c r="A197" s="2">
        <v>160</v>
      </c>
      <c r="B197" s="2">
        <f t="shared" si="8"/>
        <v>22</v>
      </c>
      <c r="C197" s="2">
        <f t="shared" si="9"/>
        <v>6</v>
      </c>
      <c r="D197" s="32"/>
    </row>
    <row r="198" spans="1:4" x14ac:dyDescent="0.75">
      <c r="A198" s="2">
        <v>161</v>
      </c>
      <c r="B198" s="2">
        <f t="shared" si="8"/>
        <v>22</v>
      </c>
      <c r="C198" s="2">
        <f t="shared" si="9"/>
        <v>7</v>
      </c>
      <c r="D198" s="32"/>
    </row>
    <row r="199" spans="1:4" x14ac:dyDescent="0.75">
      <c r="A199" s="2">
        <v>162</v>
      </c>
      <c r="B199" s="2">
        <f t="shared" si="8"/>
        <v>23</v>
      </c>
      <c r="C199" s="2">
        <f t="shared" si="9"/>
        <v>1</v>
      </c>
      <c r="D199" s="32"/>
    </row>
    <row r="200" spans="1:4" x14ac:dyDescent="0.75">
      <c r="A200" s="2">
        <v>163</v>
      </c>
      <c r="B200" s="2">
        <f t="shared" si="8"/>
        <v>23</v>
      </c>
      <c r="C200" s="2">
        <f t="shared" si="9"/>
        <v>2</v>
      </c>
      <c r="D200" s="32"/>
    </row>
    <row r="201" spans="1:4" x14ac:dyDescent="0.75">
      <c r="A201" s="2">
        <v>164</v>
      </c>
      <c r="B201" s="2">
        <f t="shared" si="8"/>
        <v>23</v>
      </c>
      <c r="C201" s="2">
        <f t="shared" si="9"/>
        <v>3</v>
      </c>
      <c r="D201" s="32"/>
    </row>
    <row r="202" spans="1:4" x14ac:dyDescent="0.75">
      <c r="A202" s="2">
        <v>165</v>
      </c>
      <c r="B202" s="2">
        <f t="shared" si="8"/>
        <v>23</v>
      </c>
      <c r="C202" s="2">
        <f t="shared" si="9"/>
        <v>4</v>
      </c>
      <c r="D202" s="32"/>
    </row>
    <row r="203" spans="1:4" x14ac:dyDescent="0.75">
      <c r="A203" s="2">
        <v>166</v>
      </c>
      <c r="B203" s="2">
        <f t="shared" si="8"/>
        <v>23</v>
      </c>
      <c r="C203" s="2">
        <f t="shared" si="9"/>
        <v>5</v>
      </c>
      <c r="D203" s="32"/>
    </row>
    <row r="204" spans="1:4" x14ac:dyDescent="0.75">
      <c r="A204" s="2">
        <v>167</v>
      </c>
      <c r="B204" s="2">
        <f t="shared" si="8"/>
        <v>23</v>
      </c>
      <c r="C204" s="2">
        <f t="shared" si="9"/>
        <v>6</v>
      </c>
      <c r="D204" s="32"/>
    </row>
    <row r="205" spans="1:4" x14ac:dyDescent="0.75">
      <c r="A205" s="2">
        <v>168</v>
      </c>
      <c r="B205" s="2">
        <f t="shared" si="8"/>
        <v>23</v>
      </c>
      <c r="C205" s="2">
        <f t="shared" si="9"/>
        <v>7</v>
      </c>
      <c r="D205" s="32"/>
    </row>
    <row r="206" spans="1:4" x14ac:dyDescent="0.75">
      <c r="A206" s="2">
        <v>169</v>
      </c>
      <c r="B206" s="2">
        <f t="shared" si="8"/>
        <v>24</v>
      </c>
      <c r="C206" s="2">
        <f t="shared" si="9"/>
        <v>1</v>
      </c>
      <c r="D206" s="32"/>
    </row>
    <row r="207" spans="1:4" x14ac:dyDescent="0.75">
      <c r="A207" s="2">
        <v>170</v>
      </c>
      <c r="B207" s="2">
        <f t="shared" si="8"/>
        <v>24</v>
      </c>
      <c r="C207" s="2">
        <f t="shared" si="9"/>
        <v>2</v>
      </c>
      <c r="D207" s="32"/>
    </row>
    <row r="208" spans="1:4" x14ac:dyDescent="0.75">
      <c r="A208" s="2">
        <v>171</v>
      </c>
      <c r="B208" s="2">
        <f t="shared" si="8"/>
        <v>24</v>
      </c>
      <c r="C208" s="2">
        <f t="shared" si="9"/>
        <v>3</v>
      </c>
      <c r="D208" s="32"/>
    </row>
    <row r="209" spans="1:4" x14ac:dyDescent="0.75">
      <c r="A209" s="2">
        <v>172</v>
      </c>
      <c r="B209" s="2">
        <f t="shared" si="8"/>
        <v>24</v>
      </c>
      <c r="C209" s="2">
        <f t="shared" si="9"/>
        <v>4</v>
      </c>
      <c r="D209" s="32"/>
    </row>
    <row r="210" spans="1:4" x14ac:dyDescent="0.75">
      <c r="A210" s="2">
        <v>173</v>
      </c>
      <c r="B210" s="2">
        <f t="shared" si="8"/>
        <v>24</v>
      </c>
      <c r="C210" s="2">
        <f t="shared" si="9"/>
        <v>5</v>
      </c>
      <c r="D210" s="32"/>
    </row>
    <row r="211" spans="1:4" x14ac:dyDescent="0.75">
      <c r="A211" s="2">
        <v>174</v>
      </c>
      <c r="B211" s="2">
        <f t="shared" si="8"/>
        <v>24</v>
      </c>
      <c r="C211" s="2">
        <f t="shared" si="9"/>
        <v>6</v>
      </c>
      <c r="D211" s="32"/>
    </row>
    <row r="212" spans="1:4" x14ac:dyDescent="0.75">
      <c r="A212" s="2">
        <v>175</v>
      </c>
      <c r="B212" s="2">
        <f t="shared" si="8"/>
        <v>24</v>
      </c>
      <c r="C212" s="2">
        <f t="shared" si="9"/>
        <v>7</v>
      </c>
      <c r="D212" s="32"/>
    </row>
    <row r="213" spans="1:4" x14ac:dyDescent="0.75">
      <c r="A213" s="2">
        <v>176</v>
      </c>
      <c r="B213" s="2">
        <f t="shared" si="8"/>
        <v>25</v>
      </c>
      <c r="C213" s="2">
        <f t="shared" si="9"/>
        <v>1</v>
      </c>
      <c r="D213" s="32"/>
    </row>
    <row r="214" spans="1:4" x14ac:dyDescent="0.75">
      <c r="A214" s="2">
        <v>177</v>
      </c>
      <c r="B214" s="2">
        <f t="shared" si="8"/>
        <v>25</v>
      </c>
      <c r="C214" s="2">
        <f t="shared" si="9"/>
        <v>2</v>
      </c>
      <c r="D214" s="32"/>
    </row>
    <row r="215" spans="1:4" x14ac:dyDescent="0.75">
      <c r="A215" s="2">
        <v>178</v>
      </c>
      <c r="B215" s="2">
        <f t="shared" si="8"/>
        <v>25</v>
      </c>
      <c r="C215" s="2">
        <f t="shared" si="9"/>
        <v>3</v>
      </c>
      <c r="D215" s="32"/>
    </row>
    <row r="216" spans="1:4" x14ac:dyDescent="0.75">
      <c r="A216" s="2">
        <v>179</v>
      </c>
      <c r="B216" s="2">
        <f t="shared" si="8"/>
        <v>25</v>
      </c>
      <c r="C216" s="2">
        <f t="shared" si="9"/>
        <v>4</v>
      </c>
      <c r="D216" s="32"/>
    </row>
    <row r="217" spans="1:4" x14ac:dyDescent="0.75">
      <c r="A217" s="2">
        <v>180</v>
      </c>
      <c r="B217" s="2">
        <f t="shared" si="8"/>
        <v>25</v>
      </c>
      <c r="C217" s="2">
        <f t="shared" si="9"/>
        <v>5</v>
      </c>
      <c r="D217" s="32"/>
    </row>
    <row r="218" spans="1:4" x14ac:dyDescent="0.75">
      <c r="A218" s="2">
        <v>181</v>
      </c>
      <c r="B218" s="2">
        <f t="shared" si="8"/>
        <v>25</v>
      </c>
      <c r="C218" s="2">
        <f t="shared" si="9"/>
        <v>6</v>
      </c>
      <c r="D218" s="32"/>
    </row>
    <row r="219" spans="1:4" x14ac:dyDescent="0.75">
      <c r="A219" s="2">
        <v>182</v>
      </c>
      <c r="B219" s="2">
        <f t="shared" si="8"/>
        <v>25</v>
      </c>
      <c r="C219" s="2">
        <f t="shared" si="9"/>
        <v>7</v>
      </c>
      <c r="D219" s="32"/>
    </row>
    <row r="220" spans="1:4" x14ac:dyDescent="0.75">
      <c r="A220" s="2">
        <v>183</v>
      </c>
      <c r="B220" s="2">
        <f t="shared" si="8"/>
        <v>26</v>
      </c>
      <c r="C220" s="2">
        <f t="shared" si="9"/>
        <v>1</v>
      </c>
      <c r="D220" s="32"/>
    </row>
    <row r="221" spans="1:4" x14ac:dyDescent="0.75">
      <c r="A221" s="2">
        <v>184</v>
      </c>
      <c r="B221" s="2">
        <f t="shared" si="8"/>
        <v>26</v>
      </c>
      <c r="C221" s="2">
        <f t="shared" si="9"/>
        <v>2</v>
      </c>
      <c r="D221" s="32"/>
    </row>
    <row r="222" spans="1:4" x14ac:dyDescent="0.75">
      <c r="A222" s="2">
        <v>185</v>
      </c>
      <c r="B222" s="2">
        <f t="shared" si="8"/>
        <v>26</v>
      </c>
      <c r="C222" s="2">
        <f t="shared" si="9"/>
        <v>3</v>
      </c>
      <c r="D222" s="32"/>
    </row>
    <row r="223" spans="1:4" x14ac:dyDescent="0.75">
      <c r="A223" s="2">
        <v>186</v>
      </c>
      <c r="B223" s="2">
        <f t="shared" si="8"/>
        <v>26</v>
      </c>
      <c r="C223" s="2">
        <f t="shared" si="9"/>
        <v>4</v>
      </c>
      <c r="D223" s="32"/>
    </row>
    <row r="224" spans="1:4" x14ac:dyDescent="0.75">
      <c r="A224" s="2">
        <v>187</v>
      </c>
      <c r="B224" s="2">
        <f t="shared" si="8"/>
        <v>26</v>
      </c>
      <c r="C224" s="2">
        <f t="shared" si="9"/>
        <v>5</v>
      </c>
      <c r="D224" s="32"/>
    </row>
    <row r="225" spans="1:4" x14ac:dyDescent="0.75">
      <c r="A225" s="2">
        <v>188</v>
      </c>
      <c r="B225" s="2">
        <f t="shared" si="8"/>
        <v>26</v>
      </c>
      <c r="C225" s="2">
        <f t="shared" si="9"/>
        <v>6</v>
      </c>
      <c r="D225" s="32"/>
    </row>
    <row r="226" spans="1:4" x14ac:dyDescent="0.75">
      <c r="A226" s="2">
        <v>189</v>
      </c>
      <c r="B226" s="2">
        <f t="shared" si="8"/>
        <v>26</v>
      </c>
      <c r="C226" s="2">
        <f t="shared" si="9"/>
        <v>7</v>
      </c>
      <c r="D226" s="32"/>
    </row>
    <row r="227" spans="1:4" x14ac:dyDescent="0.75">
      <c r="A227" s="2">
        <v>190</v>
      </c>
      <c r="B227" s="2">
        <f t="shared" si="8"/>
        <v>27</v>
      </c>
      <c r="C227" s="2">
        <f t="shared" si="9"/>
        <v>1</v>
      </c>
      <c r="D227" s="32"/>
    </row>
    <row r="228" spans="1:4" x14ac:dyDescent="0.75">
      <c r="A228" s="2">
        <v>191</v>
      </c>
      <c r="B228" s="2">
        <f t="shared" si="8"/>
        <v>27</v>
      </c>
      <c r="C228" s="2">
        <f t="shared" si="9"/>
        <v>2</v>
      </c>
      <c r="D228" s="32"/>
    </row>
    <row r="229" spans="1:4" x14ac:dyDescent="0.75">
      <c r="A229" s="2">
        <v>192</v>
      </c>
      <c r="B229" s="2">
        <f t="shared" si="8"/>
        <v>27</v>
      </c>
      <c r="C229" s="2">
        <f t="shared" si="9"/>
        <v>3</v>
      </c>
      <c r="D229" s="32"/>
    </row>
    <row r="230" spans="1:4" x14ac:dyDescent="0.75">
      <c r="A230" s="2">
        <v>193</v>
      </c>
      <c r="B230" s="2">
        <f t="shared" si="8"/>
        <v>27</v>
      </c>
      <c r="C230" s="2">
        <f t="shared" si="9"/>
        <v>4</v>
      </c>
      <c r="D230" s="32"/>
    </row>
    <row r="231" spans="1:4" x14ac:dyDescent="0.75">
      <c r="A231" s="2">
        <v>194</v>
      </c>
      <c r="B231" s="2">
        <f t="shared" ref="B231:B254" si="10">IF(MOD(A231,7)=0,A231/7-1,INT(A231/7))</f>
        <v>27</v>
      </c>
      <c r="C231" s="2">
        <f t="shared" ref="C231:C254" si="11">IF(MOD(A231,7)=0,7,MOD(A231,7))</f>
        <v>5</v>
      </c>
      <c r="D231" s="32"/>
    </row>
    <row r="232" spans="1:4" x14ac:dyDescent="0.75">
      <c r="A232" s="2">
        <v>195</v>
      </c>
      <c r="B232" s="2">
        <f t="shared" si="10"/>
        <v>27</v>
      </c>
      <c r="C232" s="2">
        <f t="shared" si="11"/>
        <v>6</v>
      </c>
      <c r="D232" s="32"/>
    </row>
    <row r="233" spans="1:4" x14ac:dyDescent="0.75">
      <c r="A233" s="2">
        <v>196</v>
      </c>
      <c r="B233" s="2">
        <f t="shared" si="10"/>
        <v>27</v>
      </c>
      <c r="C233" s="2">
        <f t="shared" si="11"/>
        <v>7</v>
      </c>
      <c r="D233" s="32"/>
    </row>
    <row r="234" spans="1:4" x14ac:dyDescent="0.75">
      <c r="A234" s="2">
        <v>197</v>
      </c>
      <c r="B234" s="2">
        <f t="shared" si="10"/>
        <v>28</v>
      </c>
      <c r="C234" s="2">
        <f t="shared" si="11"/>
        <v>1</v>
      </c>
      <c r="D234" s="32"/>
    </row>
    <row r="235" spans="1:4" x14ac:dyDescent="0.75">
      <c r="A235" s="2">
        <v>198</v>
      </c>
      <c r="B235" s="2">
        <f t="shared" si="10"/>
        <v>28</v>
      </c>
      <c r="C235" s="2">
        <f t="shared" si="11"/>
        <v>2</v>
      </c>
      <c r="D235" s="32"/>
    </row>
    <row r="236" spans="1:4" x14ac:dyDescent="0.75">
      <c r="A236" s="2">
        <v>199</v>
      </c>
      <c r="B236" s="2">
        <f t="shared" si="10"/>
        <v>28</v>
      </c>
      <c r="C236" s="2">
        <f t="shared" si="11"/>
        <v>3</v>
      </c>
      <c r="D236" s="32"/>
    </row>
    <row r="237" spans="1:4" x14ac:dyDescent="0.75">
      <c r="A237" s="2">
        <v>200</v>
      </c>
      <c r="B237" s="2">
        <f t="shared" si="10"/>
        <v>28</v>
      </c>
      <c r="C237" s="2">
        <f t="shared" si="11"/>
        <v>4</v>
      </c>
      <c r="D237" s="32"/>
    </row>
    <row r="238" spans="1:4" x14ac:dyDescent="0.75">
      <c r="A238" s="2">
        <v>201</v>
      </c>
      <c r="B238" s="2">
        <f t="shared" si="10"/>
        <v>28</v>
      </c>
      <c r="C238" s="2">
        <f t="shared" si="11"/>
        <v>5</v>
      </c>
      <c r="D238" s="32"/>
    </row>
    <row r="239" spans="1:4" x14ac:dyDescent="0.75">
      <c r="A239" s="2">
        <v>202</v>
      </c>
      <c r="B239" s="2">
        <f t="shared" si="10"/>
        <v>28</v>
      </c>
      <c r="C239" s="2">
        <f t="shared" si="11"/>
        <v>6</v>
      </c>
      <c r="D239" s="32"/>
    </row>
    <row r="240" spans="1:4" x14ac:dyDescent="0.75">
      <c r="A240" s="2">
        <v>203</v>
      </c>
      <c r="B240" s="2">
        <f t="shared" si="10"/>
        <v>28</v>
      </c>
      <c r="C240" s="2">
        <f t="shared" si="11"/>
        <v>7</v>
      </c>
      <c r="D240" s="32"/>
    </row>
    <row r="241" spans="1:4" x14ac:dyDescent="0.75">
      <c r="A241" s="2">
        <v>204</v>
      </c>
      <c r="B241" s="2">
        <f t="shared" si="10"/>
        <v>29</v>
      </c>
      <c r="C241" s="2">
        <f t="shared" si="11"/>
        <v>1</v>
      </c>
      <c r="D241" s="32"/>
    </row>
    <row r="242" spans="1:4" x14ac:dyDescent="0.75">
      <c r="A242" s="2">
        <v>205</v>
      </c>
      <c r="B242" s="2">
        <f t="shared" si="10"/>
        <v>29</v>
      </c>
      <c r="C242" s="2">
        <f t="shared" si="11"/>
        <v>2</v>
      </c>
      <c r="D242" s="32"/>
    </row>
    <row r="243" spans="1:4" x14ac:dyDescent="0.75">
      <c r="A243" s="2">
        <v>206</v>
      </c>
      <c r="B243" s="2">
        <f t="shared" si="10"/>
        <v>29</v>
      </c>
      <c r="C243" s="2">
        <f t="shared" si="11"/>
        <v>3</v>
      </c>
      <c r="D243" s="32"/>
    </row>
    <row r="244" spans="1:4" x14ac:dyDescent="0.75">
      <c r="A244" s="2">
        <v>207</v>
      </c>
      <c r="B244" s="2">
        <f t="shared" si="10"/>
        <v>29</v>
      </c>
      <c r="C244" s="2">
        <f t="shared" si="11"/>
        <v>4</v>
      </c>
      <c r="D244" s="32"/>
    </row>
    <row r="245" spans="1:4" x14ac:dyDescent="0.75">
      <c r="A245" s="2">
        <v>208</v>
      </c>
      <c r="B245" s="2">
        <f t="shared" si="10"/>
        <v>29</v>
      </c>
      <c r="C245" s="2">
        <f t="shared" si="11"/>
        <v>5</v>
      </c>
      <c r="D245" s="32"/>
    </row>
    <row r="246" spans="1:4" x14ac:dyDescent="0.75">
      <c r="A246" s="2">
        <v>209</v>
      </c>
      <c r="B246" s="2">
        <f t="shared" si="10"/>
        <v>29</v>
      </c>
      <c r="C246" s="2">
        <f t="shared" si="11"/>
        <v>6</v>
      </c>
      <c r="D246" s="32"/>
    </row>
    <row r="247" spans="1:4" x14ac:dyDescent="0.75">
      <c r="A247" s="2">
        <v>210</v>
      </c>
      <c r="B247" s="2">
        <f t="shared" si="10"/>
        <v>29</v>
      </c>
      <c r="C247" s="2">
        <f t="shared" si="11"/>
        <v>7</v>
      </c>
      <c r="D247" s="32"/>
    </row>
    <row r="248" spans="1:4" x14ac:dyDescent="0.75">
      <c r="A248" s="2">
        <v>211</v>
      </c>
      <c r="B248" s="2">
        <f t="shared" si="10"/>
        <v>30</v>
      </c>
      <c r="C248" s="2">
        <f t="shared" si="11"/>
        <v>1</v>
      </c>
      <c r="D248" s="32"/>
    </row>
    <row r="249" spans="1:4" x14ac:dyDescent="0.75">
      <c r="A249" s="2">
        <v>212</v>
      </c>
      <c r="B249" s="2">
        <f t="shared" si="10"/>
        <v>30</v>
      </c>
      <c r="C249" s="2">
        <f t="shared" si="11"/>
        <v>2</v>
      </c>
      <c r="D249" s="32"/>
    </row>
    <row r="250" spans="1:4" x14ac:dyDescent="0.75">
      <c r="A250" s="2">
        <v>213</v>
      </c>
      <c r="B250" s="2">
        <f t="shared" si="10"/>
        <v>30</v>
      </c>
      <c r="C250" s="2">
        <f t="shared" si="11"/>
        <v>3</v>
      </c>
      <c r="D250" s="32"/>
    </row>
    <row r="251" spans="1:4" x14ac:dyDescent="0.75">
      <c r="A251" s="2">
        <v>214</v>
      </c>
      <c r="B251" s="2">
        <f t="shared" si="10"/>
        <v>30</v>
      </c>
      <c r="C251" s="2">
        <f t="shared" si="11"/>
        <v>4</v>
      </c>
      <c r="D251" s="32"/>
    </row>
    <row r="252" spans="1:4" x14ac:dyDescent="0.75">
      <c r="A252" s="2">
        <v>215</v>
      </c>
      <c r="B252" s="2">
        <f t="shared" si="10"/>
        <v>30</v>
      </c>
      <c r="C252" s="2">
        <f t="shared" si="11"/>
        <v>5</v>
      </c>
      <c r="D252" s="32"/>
    </row>
    <row r="253" spans="1:4" x14ac:dyDescent="0.75">
      <c r="A253" s="2">
        <v>216</v>
      </c>
      <c r="B253" s="2">
        <f t="shared" si="10"/>
        <v>30</v>
      </c>
      <c r="C253" s="2">
        <f t="shared" si="11"/>
        <v>6</v>
      </c>
      <c r="D253" s="32"/>
    </row>
    <row r="254" spans="1:4" x14ac:dyDescent="0.75">
      <c r="A254" s="2">
        <v>217</v>
      </c>
      <c r="B254" s="2">
        <f t="shared" si="10"/>
        <v>30</v>
      </c>
      <c r="C254" s="2">
        <f t="shared" si="11"/>
        <v>7</v>
      </c>
      <c r="D254" s="32"/>
    </row>
    <row r="255" spans="1:4" x14ac:dyDescent="0.75">
      <c r="A255" s="2">
        <v>218</v>
      </c>
      <c r="B255" s="2">
        <f>IF(MOD(A255,7)=0,A255/7-1,INT(A255/7))</f>
        <v>31</v>
      </c>
      <c r="C255" s="2">
        <f>IF(MOD(A255,7)=0,7,MOD(A255,7))</f>
        <v>1</v>
      </c>
      <c r="D255" s="32"/>
    </row>
    <row r="256" spans="1:4" x14ac:dyDescent="0.75">
      <c r="A256" s="2">
        <v>219</v>
      </c>
      <c r="B256" s="2">
        <f t="shared" ref="B256:B259" si="12">IF(MOD(A256,7)=0,A256/7-1,INT(A256/7))</f>
        <v>31</v>
      </c>
      <c r="C256" s="2">
        <f t="shared" ref="C256:C259" si="13">IF(MOD(A256,7)=0,7,MOD(A256,7))</f>
        <v>2</v>
      </c>
      <c r="D256" s="32"/>
    </row>
    <row r="257" spans="1:4" x14ac:dyDescent="0.75">
      <c r="A257" s="2">
        <v>220</v>
      </c>
      <c r="B257" s="2">
        <f t="shared" si="12"/>
        <v>31</v>
      </c>
      <c r="C257" s="2">
        <f t="shared" si="13"/>
        <v>3</v>
      </c>
      <c r="D257" s="32"/>
    </row>
    <row r="258" spans="1:4" x14ac:dyDescent="0.75">
      <c r="A258" s="2">
        <v>221</v>
      </c>
      <c r="B258" s="2">
        <f t="shared" si="12"/>
        <v>31</v>
      </c>
      <c r="C258" s="2">
        <f t="shared" si="13"/>
        <v>4</v>
      </c>
      <c r="D258" s="32"/>
    </row>
    <row r="259" spans="1:4" x14ac:dyDescent="0.75">
      <c r="A259" s="2">
        <v>222</v>
      </c>
      <c r="B259" s="2">
        <f t="shared" si="12"/>
        <v>31</v>
      </c>
      <c r="C259" s="2">
        <f t="shared" si="13"/>
        <v>5</v>
      </c>
      <c r="D259" s="32"/>
    </row>
    <row r="260" spans="1:4" x14ac:dyDescent="0.75">
      <c r="A260" s="2">
        <v>223</v>
      </c>
      <c r="B260" s="2">
        <f>IF(MOD(A260,7)=0,A260/7-1,INT(A260/7))</f>
        <v>31</v>
      </c>
      <c r="C260" s="2">
        <f>IF(MOD(A260,7)=0,7,MOD(A260,7))</f>
        <v>6</v>
      </c>
      <c r="D260" s="32"/>
    </row>
    <row r="261" spans="1:4" x14ac:dyDescent="0.75">
      <c r="A261" s="2">
        <v>224</v>
      </c>
      <c r="B261" s="2">
        <f t="shared" ref="B261:B267" si="14">IF(MOD(A261,7)=0,A261/7-1,INT(A261/7))</f>
        <v>31</v>
      </c>
      <c r="C261" s="2">
        <f t="shared" ref="C261:C267" si="15">IF(MOD(A261,7)=0,7,MOD(A261,7))</f>
        <v>7</v>
      </c>
      <c r="D261" s="32"/>
    </row>
    <row r="262" spans="1:4" x14ac:dyDescent="0.75">
      <c r="A262" s="2">
        <v>225</v>
      </c>
      <c r="B262" s="2">
        <f t="shared" si="14"/>
        <v>32</v>
      </c>
      <c r="C262" s="2">
        <f t="shared" si="15"/>
        <v>1</v>
      </c>
      <c r="D262" s="32"/>
    </row>
    <row r="263" spans="1:4" x14ac:dyDescent="0.75">
      <c r="A263" s="2">
        <v>226</v>
      </c>
      <c r="B263" s="2">
        <f t="shared" si="14"/>
        <v>32</v>
      </c>
      <c r="C263" s="2">
        <f t="shared" si="15"/>
        <v>2</v>
      </c>
      <c r="D263" s="32"/>
    </row>
    <row r="264" spans="1:4" x14ac:dyDescent="0.75">
      <c r="A264" s="2">
        <v>227</v>
      </c>
      <c r="B264" s="2">
        <f t="shared" si="14"/>
        <v>32</v>
      </c>
      <c r="C264" s="2">
        <f t="shared" si="15"/>
        <v>3</v>
      </c>
      <c r="D264" s="32"/>
    </row>
    <row r="265" spans="1:4" x14ac:dyDescent="0.75">
      <c r="A265" s="2">
        <v>228</v>
      </c>
      <c r="B265" s="2">
        <f t="shared" si="14"/>
        <v>32</v>
      </c>
      <c r="C265" s="2">
        <f t="shared" si="15"/>
        <v>4</v>
      </c>
      <c r="D265" s="32"/>
    </row>
    <row r="266" spans="1:4" x14ac:dyDescent="0.75">
      <c r="A266" s="2">
        <v>229</v>
      </c>
      <c r="B266" s="2">
        <f t="shared" si="14"/>
        <v>32</v>
      </c>
      <c r="C266" s="2">
        <f t="shared" si="15"/>
        <v>5</v>
      </c>
      <c r="D266" s="32"/>
    </row>
    <row r="267" spans="1:4" x14ac:dyDescent="0.75">
      <c r="A267" s="2">
        <v>230</v>
      </c>
      <c r="B267" s="2">
        <f t="shared" si="14"/>
        <v>32</v>
      </c>
      <c r="C267" s="2">
        <f t="shared" si="15"/>
        <v>6</v>
      </c>
      <c r="D267" s="32"/>
    </row>
    <row r="268" spans="1:4" x14ac:dyDescent="0.75">
      <c r="A268" s="2">
        <v>231</v>
      </c>
      <c r="B268" s="2">
        <f>IF(MOD(A268,7)=0,A268/7-1,INT(A268/7))</f>
        <v>32</v>
      </c>
      <c r="C268" s="2">
        <f>IF(MOD(A268,7)=0,7,MOD(A268,7))</f>
        <v>7</v>
      </c>
      <c r="D268" s="32"/>
    </row>
    <row r="269" spans="1:4" x14ac:dyDescent="0.75">
      <c r="A269" s="2">
        <v>232</v>
      </c>
      <c r="B269" s="2">
        <f t="shared" ref="B269:B271" si="16">IF(MOD(A269,7)=0,A269/7-1,INT(A269/7))</f>
        <v>33</v>
      </c>
      <c r="C269" s="2">
        <f t="shared" ref="C269:C271" si="17">IF(MOD(A269,7)=0,7,MOD(A269,7))</f>
        <v>1</v>
      </c>
      <c r="D269" s="32"/>
    </row>
    <row r="270" spans="1:4" x14ac:dyDescent="0.75">
      <c r="A270" s="2">
        <v>233</v>
      </c>
      <c r="B270" s="2">
        <f t="shared" si="16"/>
        <v>33</v>
      </c>
      <c r="C270" s="2">
        <f t="shared" si="17"/>
        <v>2</v>
      </c>
      <c r="D270" s="32"/>
    </row>
    <row r="271" spans="1:4" x14ac:dyDescent="0.75">
      <c r="A271" s="2">
        <v>234</v>
      </c>
      <c r="B271" s="2">
        <f t="shared" si="16"/>
        <v>33</v>
      </c>
      <c r="C271" s="2">
        <f t="shared" si="17"/>
        <v>3</v>
      </c>
      <c r="D271" s="3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workbookViewId="0">
      <selection activeCell="D16" sqref="D16"/>
    </sheetView>
  </sheetViews>
  <sheetFormatPr defaultRowHeight="14.75" x14ac:dyDescent="0.75"/>
  <cols>
    <col min="1" max="2" width="8.7265625" style="26"/>
    <col min="3" max="3" width="31.6796875" style="26" bestFit="1" customWidth="1"/>
    <col min="4" max="4" width="72.1328125" style="26" customWidth="1"/>
    <col min="5" max="5" width="24.81640625" style="26" customWidth="1"/>
    <col min="6" max="6" width="15.5" style="26" customWidth="1"/>
    <col min="7" max="7" width="16.1328125" style="26" customWidth="1"/>
    <col min="8" max="8" width="10.76953125" style="26" customWidth="1"/>
    <col min="9" max="9" width="45.26953125" style="26" customWidth="1"/>
    <col min="10" max="10" width="40.1328125" style="1" customWidth="1"/>
    <col min="11" max="11" width="26.6328125" style="1" customWidth="1"/>
    <col min="12" max="12" width="48.54296875" style="1" customWidth="1"/>
    <col min="13" max="13" width="53.36328125" style="26" customWidth="1"/>
    <col min="14" max="14" width="51.5" style="26" customWidth="1"/>
    <col min="15" max="16384" width="8.7265625" style="26"/>
  </cols>
  <sheetData>
    <row r="1" spans="1:14" x14ac:dyDescent="0.75">
      <c r="C1" s="107" t="str">
        <f>'Subj-1'!B1</f>
        <v>canonical</v>
      </c>
      <c r="D1" s="19" t="s">
        <v>33</v>
      </c>
      <c r="E1" s="20"/>
      <c r="G1" s="44" t="s">
        <v>51</v>
      </c>
      <c r="N1" s="26" t="s">
        <v>49</v>
      </c>
    </row>
    <row r="2" spans="1:14" ht="15.5" thickBot="1" x14ac:dyDescent="0.9">
      <c r="C2" s="109" t="str">
        <f>'Subj-1'!B2</f>
        <v>http://hl7.eu/fhir/ig/pcsp</v>
      </c>
      <c r="D2" s="17" t="s">
        <v>57</v>
      </c>
      <c r="E2" s="37"/>
      <c r="G2" s="26" t="s">
        <v>48</v>
      </c>
      <c r="M2" s="46"/>
      <c r="N2" s="26" t="str">
        <f>CONCATENATE("Mapping: ",E2)</f>
        <v xml:space="preserve">Mapping: </v>
      </c>
    </row>
    <row r="3" spans="1:14" x14ac:dyDescent="0.75">
      <c r="C3" s="107" t="str">
        <f>'Subj-1'!B3</f>
        <v>Publisher</v>
      </c>
      <c r="D3" s="42"/>
      <c r="E3" s="38"/>
      <c r="G3" s="26" t="s">
        <v>57</v>
      </c>
      <c r="M3" s="46"/>
      <c r="N3" s="26" t="str">
        <f>CONCATENATE("Id: ",E2)</f>
        <v xml:space="preserve">Id: </v>
      </c>
    </row>
    <row r="4" spans="1:14" ht="15.5" thickBot="1" x14ac:dyDescent="0.9">
      <c r="C4" s="109" t="str">
        <f>'Subj-1'!B4</f>
        <v>PanCareSurPass project</v>
      </c>
      <c r="D4" s="45"/>
      <c r="E4" s="39"/>
      <c r="M4" s="46"/>
      <c r="N4" s="26" t="str">
        <f>CONCATENATE("Title: """,D2,"""")</f>
        <v>Title: "FHIR"</v>
      </c>
    </row>
    <row r="5" spans="1:14" x14ac:dyDescent="0.75">
      <c r="M5" s="46"/>
      <c r="N5" s="26" t="str">
        <f>CONCATENATE("Source: ",C2,"/",C7)</f>
        <v>Source: http://hl7.eu/fhir/ig/pcsp/Subject</v>
      </c>
    </row>
    <row r="6" spans="1:14" x14ac:dyDescent="0.75">
      <c r="D6" s="26" t="s">
        <v>47</v>
      </c>
      <c r="M6" s="46"/>
      <c r="N6" s="26" t="str">
        <f>CONCATENATE("Target: """,D4,"""")</f>
        <v>Target: ""</v>
      </c>
    </row>
    <row r="7" spans="1:14" ht="29.5" x14ac:dyDescent="0.75">
      <c r="A7" s="27">
        <v>0</v>
      </c>
      <c r="B7" s="27">
        <f>'Subj-1'!A6</f>
        <v>0</v>
      </c>
      <c r="C7" s="27" t="str">
        <f>'Subj-1'!B6</f>
        <v>Subject</v>
      </c>
      <c r="D7" s="25" t="s">
        <v>58</v>
      </c>
      <c r="H7" s="26" t="b">
        <f>IF(D7&gt;"",TRUE,FALSE)</f>
        <v>1</v>
      </c>
      <c r="I7" s="1" t="str">
        <f>IF(H7,CONCATENATE("* differential.element[",$B7,"].mapping[",$A7,"].identity = """,$G$1,""""),"")</f>
        <v>* differential.element[0].mapping[0].identity = "fhir"</v>
      </c>
      <c r="J7" s="1" t="str">
        <f>IF(H7,CONCATENATE("* differential.element[",$B7,"].mapping[",$A7,"].map = """,D7,""""),"")</f>
        <v>* differential.element[0].mapping[0].map = "Patient"</v>
      </c>
      <c r="K7" s="1" t="str">
        <f>IF(E7&gt;"",CONCATENATE("* differential.element[",$B7,"].mapping[",$A7,"].comment = """,E7,""""),"")</f>
        <v/>
      </c>
      <c r="M7" s="26" t="s">
        <v>50</v>
      </c>
      <c r="N7" s="26" t="s">
        <v>49</v>
      </c>
    </row>
    <row r="8" spans="1:14" ht="29.5" x14ac:dyDescent="0.75">
      <c r="A8" s="27">
        <v>0</v>
      </c>
      <c r="B8" s="27">
        <f>'Subj-1'!A7</f>
        <v>1</v>
      </c>
      <c r="C8" s="115" t="str">
        <f>'Subj-1'!B7</f>
        <v>identifier</v>
      </c>
      <c r="D8" s="50" t="s">
        <v>59</v>
      </c>
      <c r="H8" s="26" t="b">
        <f>IF(D8&gt;"",TRUE,FALSE)</f>
        <v>1</v>
      </c>
      <c r="I8" s="1" t="str">
        <f>IF(H8,CONCATENATE("* differential.element[",$B8,"].mapping[",$A8,"].identity = """,$G$1,""""),"")</f>
        <v>* differential.element[1].mapping[0].identity = "fhir"</v>
      </c>
      <c r="J8" s="1" t="str">
        <f>IF(H8,CONCATENATE("* differential.element[",$B8,"].mapping[",$A8,"].map = """,D8,""""),"")</f>
        <v>* differential.element[1].mapping[0].map = "Patient.identifier"</v>
      </c>
      <c r="K8" s="1" t="str">
        <f>IF(E8&gt;"",CONCATENATE("* differential.element[",$B8,"].mapping[",$A8,"].comment = """,E8,""""),"")</f>
        <v/>
      </c>
      <c r="M8" s="46"/>
      <c r="N8" s="26" t="str">
        <f t="shared" ref="N8:N41" si="0">CONCATENATE("* ",C8," -&gt; """,D8,"""")</f>
        <v>* identifier -&gt; "Patient.identifier"</v>
      </c>
    </row>
    <row r="9" spans="1:14" ht="29.5" x14ac:dyDescent="0.75">
      <c r="A9" s="27">
        <v>0</v>
      </c>
      <c r="B9" s="115">
        <f>'Subj-1'!A8</f>
        <v>2</v>
      </c>
      <c r="C9" s="115" t="str">
        <f>'Subj-1'!B8</f>
        <v>name</v>
      </c>
      <c r="D9" s="50" t="s">
        <v>60</v>
      </c>
      <c r="H9" s="26"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"Patient.name"</v>
      </c>
      <c r="K9" s="1" t="str">
        <f t="shared" ref="K9:K50" si="4">IF(E9&gt;"",CONCATENATE("* differential.element[",$B9,"].mapping[",$A9,"].comment = """,E9,""""),"")</f>
        <v/>
      </c>
      <c r="M9" s="46"/>
      <c r="N9" s="26" t="str">
        <f t="shared" si="0"/>
        <v>* name -&gt; "Patient.name"</v>
      </c>
    </row>
    <row r="10" spans="1:14" ht="29.5" x14ac:dyDescent="0.75">
      <c r="A10" s="27">
        <v>0</v>
      </c>
      <c r="B10" s="115">
        <f>'Subj-1'!A9</f>
        <v>3</v>
      </c>
      <c r="C10" s="115" t="str">
        <f>'Subj-1'!B9</f>
        <v>name.lastname</v>
      </c>
      <c r="D10" s="50" t="s">
        <v>61</v>
      </c>
      <c r="H10" s="26" t="b">
        <f t="shared" si="1"/>
        <v>1</v>
      </c>
      <c r="I10" s="1" t="str">
        <f t="shared" si="2"/>
        <v>* differential.element[3].mapping[0].identity = "fhir"</v>
      </c>
      <c r="J10" s="1" t="str">
        <f t="shared" si="3"/>
        <v>* differential.element[3].mapping[0].map = "Patient.name.given"</v>
      </c>
      <c r="K10" s="1" t="str">
        <f t="shared" si="4"/>
        <v/>
      </c>
      <c r="M10" s="46"/>
      <c r="N10" s="26" t="str">
        <f t="shared" si="0"/>
        <v>* name.lastname -&gt; "Patient.name.given"</v>
      </c>
    </row>
    <row r="11" spans="1:14" ht="29.5" x14ac:dyDescent="0.75">
      <c r="A11" s="27">
        <v>0</v>
      </c>
      <c r="B11" s="115">
        <f>'Subj-1'!A10</f>
        <v>4</v>
      </c>
      <c r="C11" s="115" t="str">
        <f>'Subj-1'!B10</f>
        <v>name.middleName</v>
      </c>
      <c r="D11" s="50" t="s">
        <v>61</v>
      </c>
      <c r="H11" s="26" t="b">
        <f t="shared" si="1"/>
        <v>1</v>
      </c>
      <c r="I11" s="1" t="str">
        <f t="shared" si="2"/>
        <v>* differential.element[4].mapping[0].identity = "fhir"</v>
      </c>
      <c r="J11" s="1" t="str">
        <f t="shared" si="3"/>
        <v>* differential.element[4].mapping[0].map = "Patient.name.given"</v>
      </c>
      <c r="K11" s="1" t="str">
        <f t="shared" si="4"/>
        <v/>
      </c>
      <c r="M11" s="46"/>
      <c r="N11" s="26" t="str">
        <f t="shared" si="0"/>
        <v>* name.middleName -&gt; "Patient.name.given"</v>
      </c>
    </row>
    <row r="12" spans="1:14" ht="29.5" x14ac:dyDescent="0.75">
      <c r="A12" s="27">
        <v>0</v>
      </c>
      <c r="B12" s="115">
        <f>'Subj-1'!A11</f>
        <v>5</v>
      </c>
      <c r="C12" s="115" t="str">
        <f>'Subj-1'!B11</f>
        <v>name.firstName</v>
      </c>
      <c r="D12" s="50" t="s">
        <v>62</v>
      </c>
      <c r="H12" s="26" t="b">
        <f t="shared" si="1"/>
        <v>1</v>
      </c>
      <c r="I12" s="1" t="str">
        <f t="shared" si="2"/>
        <v>* differential.element[5].mapping[0].identity = "fhir"</v>
      </c>
      <c r="J12" s="1" t="str">
        <f t="shared" si="3"/>
        <v>* differential.element[5].mapping[0].map = "Patient.name.family"</v>
      </c>
      <c r="K12" s="1" t="str">
        <f t="shared" si="4"/>
        <v/>
      </c>
      <c r="M12" s="46"/>
      <c r="N12" s="26" t="str">
        <f t="shared" si="0"/>
        <v>* name.firstName -&gt; "Patient.name.family"</v>
      </c>
    </row>
    <row r="13" spans="1:14" ht="29.5" x14ac:dyDescent="0.75">
      <c r="A13" s="27">
        <v>0</v>
      </c>
      <c r="B13" s="115">
        <f>'Subj-1'!A12</f>
        <v>6</v>
      </c>
      <c r="C13" s="115" t="str">
        <f>'Subj-1'!B12</f>
        <v>lastnameAtDiagnosis</v>
      </c>
      <c r="D13" s="50" t="s">
        <v>62</v>
      </c>
      <c r="H13" s="26" t="b">
        <f t="shared" si="1"/>
        <v>1</v>
      </c>
      <c r="I13" s="1" t="str">
        <f t="shared" si="2"/>
        <v>* differential.element[6].mapping[0].identity = "fhir"</v>
      </c>
      <c r="J13" s="1" t="str">
        <f t="shared" si="3"/>
        <v>* differential.element[6].mapping[0].map = "Patient.name.family"</v>
      </c>
      <c r="K13" s="1" t="str">
        <f t="shared" si="4"/>
        <v/>
      </c>
      <c r="M13" s="46"/>
      <c r="N13" s="26" t="str">
        <f t="shared" si="0"/>
        <v>* lastnameAtDiagnosis -&gt; "Patient.name.family"</v>
      </c>
    </row>
    <row r="14" spans="1:14" ht="29.5" x14ac:dyDescent="0.75">
      <c r="A14" s="27">
        <v>0</v>
      </c>
      <c r="B14" s="115">
        <f>'Subj-1'!A13</f>
        <v>7</v>
      </c>
      <c r="C14" s="115" t="str">
        <f>'Subj-1'!B13</f>
        <v>gender</v>
      </c>
      <c r="D14" s="27" t="s">
        <v>63</v>
      </c>
      <c r="H14" s="26" t="b">
        <f t="shared" si="1"/>
        <v>1</v>
      </c>
      <c r="I14" s="1" t="str">
        <f t="shared" si="2"/>
        <v>* differential.element[7].mapping[0].identity = "fhir"</v>
      </c>
      <c r="J14" s="1" t="str">
        <f t="shared" si="3"/>
        <v>* differential.element[7].mapping[0].map = "Patient.gender"</v>
      </c>
      <c r="K14" s="1" t="str">
        <f t="shared" si="4"/>
        <v/>
      </c>
      <c r="M14" s="46"/>
      <c r="N14" s="26" t="str">
        <f t="shared" si="0"/>
        <v>* gender -&gt; "Patient.gender"</v>
      </c>
    </row>
    <row r="15" spans="1:14" ht="29.5" x14ac:dyDescent="0.75">
      <c r="A15" s="27">
        <v>0</v>
      </c>
      <c r="B15" s="115">
        <f>'Subj-1'!A14</f>
        <v>8</v>
      </c>
      <c r="C15" s="115" t="str">
        <f>'Subj-1'!B14</f>
        <v>dateOfBirth</v>
      </c>
      <c r="D15" s="27" t="s">
        <v>64</v>
      </c>
      <c r="H15" s="26" t="b">
        <f t="shared" si="1"/>
        <v>1</v>
      </c>
      <c r="I15" s="1" t="str">
        <f t="shared" si="2"/>
        <v>* differential.element[8].mapping[0].identity = "fhir"</v>
      </c>
      <c r="J15" s="1" t="str">
        <f t="shared" si="3"/>
        <v>* differential.element[8].mapping[0].map = "Patient.birthDate"</v>
      </c>
      <c r="K15" s="1" t="str">
        <f t="shared" si="4"/>
        <v/>
      </c>
      <c r="N15" s="26" t="str">
        <f t="shared" si="0"/>
        <v>* dateOfBirth -&gt; "Patient.birthDate"</v>
      </c>
    </row>
    <row r="16" spans="1:14" ht="44.25" x14ac:dyDescent="0.75">
      <c r="A16" s="27">
        <v>0</v>
      </c>
      <c r="B16" s="115">
        <f>'Subj-1'!A15</f>
        <v>9</v>
      </c>
      <c r="C16" s="115" t="str">
        <f>'Subj-1'!B15</f>
        <v>placeOfBirth</v>
      </c>
      <c r="D16" s="27" t="s">
        <v>878</v>
      </c>
      <c r="H16" s="26" t="b">
        <f t="shared" si="1"/>
        <v>1</v>
      </c>
      <c r="I16" s="1" t="str">
        <f t="shared" si="2"/>
        <v>* differential.element[9].mapping[0].identity = "fhir"</v>
      </c>
      <c r="J16" s="1" t="str">
        <f t="shared" si="3"/>
        <v>* differential.element[9].mapping[0].map = "Patient.extension(http://hl7.org/fhir/StructureDefinition/patient-birthPlace')"</v>
      </c>
      <c r="K16" s="1" t="str">
        <f t="shared" si="4"/>
        <v/>
      </c>
      <c r="N16" s="26" t="str">
        <f t="shared" si="0"/>
        <v>* placeOfBirth -&gt; "Patient.extension(http://hl7.org/fhir/StructureDefinition/patient-birthPlace')"</v>
      </c>
    </row>
    <row r="17" spans="1:14" ht="73.75" x14ac:dyDescent="0.75">
      <c r="A17" s="27">
        <v>0</v>
      </c>
      <c r="B17" s="115">
        <f>'Subj-1'!A16</f>
        <v>10</v>
      </c>
      <c r="C17" s="115" t="str">
        <f>'Subj-1'!B16</f>
        <v>contact</v>
      </c>
      <c r="D17" s="116" t="s">
        <v>1112</v>
      </c>
      <c r="H17" s="26" t="b">
        <f t="shared" si="1"/>
        <v>1</v>
      </c>
      <c r="I17" s="1" t="str">
        <f t="shared" si="2"/>
        <v>* differential.element[10].mapping[0].identity = "fhir"</v>
      </c>
      <c r="J17" s="1" t="str">
        <f t="shared" si="3"/>
        <v>* differential.element[10].mapping[0].map = "Patient.contact (if not the patient)
Patient.telecom (if the patient)
DocumentManifest.recipient (if intended recipient)"</v>
      </c>
      <c r="K17" s="1" t="str">
        <f t="shared" si="4"/>
        <v/>
      </c>
      <c r="N17" s="26" t="str">
        <f t="shared" si="0"/>
        <v>* contact -&gt; "Patient.contact (if not the patient)
Patient.telecom (if the patient)
DocumentManifest.recipient (if intended recipient)"</v>
      </c>
    </row>
    <row r="18" spans="1:14" ht="73.75" x14ac:dyDescent="0.75">
      <c r="A18" s="27">
        <v>0</v>
      </c>
      <c r="B18" s="115">
        <f>'Subj-1'!A17</f>
        <v>11</v>
      </c>
      <c r="C18" s="115" t="str">
        <f>'Subj-1'!B17</f>
        <v>contact.email</v>
      </c>
      <c r="D18" s="116" t="s">
        <v>1113</v>
      </c>
      <c r="H18" s="26" t="b">
        <f t="shared" si="1"/>
        <v>1</v>
      </c>
      <c r="I18" s="1" t="str">
        <f t="shared" si="2"/>
        <v>* differential.element[11].mapping[0].identity = "fhir"</v>
      </c>
      <c r="J18" s="1" t="str">
        <f t="shared" si="3"/>
        <v>* differential.element[11].mapping[0].map = "Patient.contact.telecom (if not the patient)
Patient.telecom (if the patient)
DocumentManifest.recipient.resolve().telecom (if intended recipient)"</v>
      </c>
      <c r="K18" s="1" t="str">
        <f t="shared" si="4"/>
        <v/>
      </c>
      <c r="N18" s="26" t="str">
        <f t="shared" si="0"/>
        <v>* contact.email -&gt; "Patient.contact.telecom (if not the patient)
Patient.telecom (if the patient)
DocumentManifest.recipient.resolve().telecom (if intended recipient)"</v>
      </c>
    </row>
    <row r="19" spans="1:14" ht="73.75" x14ac:dyDescent="0.75">
      <c r="A19" s="27">
        <v>0</v>
      </c>
      <c r="B19" s="115">
        <f>'Subj-1'!A18</f>
        <v>12</v>
      </c>
      <c r="C19" s="115" t="str">
        <f>'Subj-1'!B18</f>
        <v>contact.mobile</v>
      </c>
      <c r="D19" s="116" t="s">
        <v>1113</v>
      </c>
      <c r="H19" s="26" t="b">
        <f t="shared" si="1"/>
        <v>1</v>
      </c>
      <c r="I19" s="1" t="str">
        <f t="shared" si="2"/>
        <v>* differential.element[12].mapping[0].identity = "fhir"</v>
      </c>
      <c r="J19" s="1" t="str">
        <f t="shared" si="3"/>
        <v>* differential.element[12].mapping[0].map = "Patient.contact.telecom (if not the patient)
Patient.telecom (if the patient)
DocumentManifest.recipient.resolve().telecom (if intended recipient)"</v>
      </c>
      <c r="K19" s="1" t="str">
        <f t="shared" si="4"/>
        <v/>
      </c>
      <c r="N19" s="26" t="str">
        <f t="shared" si="0"/>
        <v>* contact.mobile -&gt; "Patient.contact.telecom (if not the patient)
Patient.telecom (if the patient)
DocumentManifest.recipient.resolve().telecom (if intended recipient)"</v>
      </c>
    </row>
    <row r="20" spans="1:14" ht="88.5" x14ac:dyDescent="0.75">
      <c r="A20" s="27">
        <v>0</v>
      </c>
      <c r="B20" s="115">
        <f>'Subj-1'!A19</f>
        <v>13</v>
      </c>
      <c r="C20" s="115" t="str">
        <f>'Subj-1'!B19</f>
        <v>contact.relationship</v>
      </c>
      <c r="D20" s="116" t="s">
        <v>1114</v>
      </c>
      <c r="H20" s="26" t="b">
        <f t="shared" si="1"/>
        <v>1</v>
      </c>
      <c r="I20" s="1" t="str">
        <f t="shared" si="2"/>
        <v>* differential.element[13].mapping[0].identity = "fhir"</v>
      </c>
      <c r="J20" s="1" t="str">
        <f t="shared" si="3"/>
        <v>* differential.element[13].mapping[0].map = "Patient.contact.relationship (if not the patient)
N/A (if the patient)
DocumentManifest.recipient.resolve().relationship (if intended recipient - not patient)"</v>
      </c>
      <c r="K20" s="1" t="str">
        <f t="shared" si="4"/>
        <v/>
      </c>
      <c r="N20" s="26" t="str">
        <f t="shared" si="0"/>
        <v>* contact.relationship -&gt; "Patient.contact.relationship (if not the patient)
N/A (if the patient)
DocumentManifest.recipient.resolve().relationship (if intended recipient - not patient)"</v>
      </c>
    </row>
    <row r="21" spans="1:14" x14ac:dyDescent="0.75">
      <c r="A21" s="27">
        <v>0</v>
      </c>
      <c r="B21" s="115">
        <f>'Subj-1'!A20</f>
        <v>0</v>
      </c>
      <c r="C21" s="115">
        <f>'Subj-1'!B20</f>
        <v>0</v>
      </c>
      <c r="D21" s="115"/>
      <c r="H21" s="26" t="b">
        <f t="shared" si="1"/>
        <v>0</v>
      </c>
      <c r="I21" s="1" t="str">
        <f t="shared" si="2"/>
        <v/>
      </c>
      <c r="J21" s="1" t="str">
        <f t="shared" si="3"/>
        <v/>
      </c>
      <c r="K21" s="1" t="str">
        <f t="shared" si="4"/>
        <v/>
      </c>
      <c r="N21" s="26" t="str">
        <f t="shared" si="0"/>
        <v>* 0 -&gt; ""</v>
      </c>
    </row>
    <row r="22" spans="1:14" x14ac:dyDescent="0.75">
      <c r="A22" s="27">
        <v>0</v>
      </c>
      <c r="B22" s="115">
        <f>'Subj-1'!A21</f>
        <v>0</v>
      </c>
      <c r="C22" s="115">
        <f>'Subj-1'!B21</f>
        <v>0</v>
      </c>
      <c r="D22" s="115"/>
      <c r="H22" s="26" t="b">
        <f t="shared" si="1"/>
        <v>0</v>
      </c>
      <c r="I22" s="1" t="str">
        <f t="shared" si="2"/>
        <v/>
      </c>
      <c r="J22" s="1" t="str">
        <f t="shared" si="3"/>
        <v/>
      </c>
      <c r="K22" s="1" t="str">
        <f t="shared" si="4"/>
        <v/>
      </c>
      <c r="N22" s="26" t="str">
        <f t="shared" si="0"/>
        <v>* 0 -&gt; ""</v>
      </c>
    </row>
    <row r="23" spans="1:14" x14ac:dyDescent="0.75">
      <c r="A23" s="27">
        <v>0</v>
      </c>
      <c r="B23" s="115">
        <f>'Subj-1'!A22</f>
        <v>0</v>
      </c>
      <c r="C23" s="115">
        <f>'Subj-1'!B22</f>
        <v>0</v>
      </c>
      <c r="D23" s="115"/>
      <c r="H23" s="26" t="b">
        <f t="shared" si="1"/>
        <v>0</v>
      </c>
      <c r="I23" s="1" t="str">
        <f t="shared" si="2"/>
        <v/>
      </c>
      <c r="J23" s="1" t="str">
        <f t="shared" si="3"/>
        <v/>
      </c>
      <c r="K23" s="1" t="str">
        <f t="shared" si="4"/>
        <v/>
      </c>
      <c r="N23" s="26" t="str">
        <f t="shared" si="0"/>
        <v>* 0 -&gt; ""</v>
      </c>
    </row>
    <row r="24" spans="1:14" x14ac:dyDescent="0.75">
      <c r="A24" s="27">
        <v>0</v>
      </c>
      <c r="B24" s="115">
        <f>'Subj-1'!A23</f>
        <v>0</v>
      </c>
      <c r="C24" s="115">
        <f>'Subj-1'!B23</f>
        <v>0</v>
      </c>
      <c r="D24" s="27"/>
      <c r="H24" s="26" t="b">
        <f t="shared" si="1"/>
        <v>0</v>
      </c>
      <c r="I24" s="1" t="str">
        <f t="shared" si="2"/>
        <v/>
      </c>
      <c r="J24" s="1" t="str">
        <f t="shared" si="3"/>
        <v/>
      </c>
      <c r="K24" s="1" t="str">
        <f t="shared" si="4"/>
        <v/>
      </c>
      <c r="N24" s="26" t="str">
        <f t="shared" si="0"/>
        <v>* 0 -&gt; ""</v>
      </c>
    </row>
    <row r="25" spans="1:14" x14ac:dyDescent="0.75">
      <c r="A25" s="27">
        <v>0</v>
      </c>
      <c r="B25" s="115">
        <f>'Subj-1'!A24</f>
        <v>0</v>
      </c>
      <c r="C25" s="115">
        <f>'Subj-1'!B24</f>
        <v>0</v>
      </c>
      <c r="D25" s="27"/>
      <c r="H25" s="26" t="b">
        <f t="shared" si="1"/>
        <v>0</v>
      </c>
      <c r="I25" s="1" t="str">
        <f t="shared" si="2"/>
        <v/>
      </c>
      <c r="J25" s="1" t="str">
        <f t="shared" si="3"/>
        <v/>
      </c>
      <c r="K25" s="1" t="str">
        <f t="shared" si="4"/>
        <v/>
      </c>
      <c r="N25" s="26" t="str">
        <f t="shared" si="0"/>
        <v>* 0 -&gt; ""</v>
      </c>
    </row>
    <row r="26" spans="1:14" x14ac:dyDescent="0.75">
      <c r="A26" s="27">
        <v>0</v>
      </c>
      <c r="B26" s="115">
        <f>'Subj-1'!A25</f>
        <v>0</v>
      </c>
      <c r="C26" s="115">
        <f>'Subj-1'!B25</f>
        <v>0</v>
      </c>
      <c r="D26" s="27"/>
      <c r="H26" s="26" t="b">
        <f t="shared" si="1"/>
        <v>0</v>
      </c>
      <c r="I26" s="1" t="str">
        <f t="shared" si="2"/>
        <v/>
      </c>
      <c r="J26" s="1" t="str">
        <f t="shared" si="3"/>
        <v/>
      </c>
      <c r="K26" s="1" t="str">
        <f t="shared" si="4"/>
        <v/>
      </c>
      <c r="N26" s="26" t="str">
        <f t="shared" si="0"/>
        <v>* 0 -&gt; ""</v>
      </c>
    </row>
    <row r="27" spans="1:14" x14ac:dyDescent="0.75">
      <c r="A27" s="27">
        <v>0</v>
      </c>
      <c r="B27" s="115">
        <f>'Subj-1'!A26</f>
        <v>0</v>
      </c>
      <c r="C27" s="115">
        <f>'Subj-1'!B26</f>
        <v>0</v>
      </c>
      <c r="D27" s="27"/>
      <c r="H27" s="26" t="b">
        <f t="shared" si="1"/>
        <v>0</v>
      </c>
      <c r="I27" s="1" t="str">
        <f t="shared" si="2"/>
        <v/>
      </c>
      <c r="J27" s="1" t="str">
        <f t="shared" si="3"/>
        <v/>
      </c>
      <c r="K27" s="1" t="str">
        <f t="shared" si="4"/>
        <v/>
      </c>
      <c r="N27" s="26" t="str">
        <f t="shared" si="0"/>
        <v>* 0 -&gt; ""</v>
      </c>
    </row>
    <row r="28" spans="1:14" x14ac:dyDescent="0.75">
      <c r="A28" s="27">
        <v>0</v>
      </c>
      <c r="B28" s="115">
        <f>'Subj-1'!A27</f>
        <v>0</v>
      </c>
      <c r="C28" s="115">
        <f>'Subj-1'!B27</f>
        <v>0</v>
      </c>
      <c r="D28" s="27"/>
      <c r="H28" s="26" t="b">
        <f t="shared" si="1"/>
        <v>0</v>
      </c>
      <c r="I28" s="1" t="str">
        <f t="shared" si="2"/>
        <v/>
      </c>
      <c r="J28" s="1" t="str">
        <f t="shared" si="3"/>
        <v/>
      </c>
      <c r="K28" s="1" t="str">
        <f t="shared" si="4"/>
        <v/>
      </c>
      <c r="N28" s="26" t="str">
        <f t="shared" si="0"/>
        <v>* 0 -&gt; ""</v>
      </c>
    </row>
    <row r="29" spans="1:14" x14ac:dyDescent="0.75">
      <c r="A29" s="27">
        <v>0</v>
      </c>
      <c r="B29" s="115">
        <f>'Subj-1'!A28</f>
        <v>0</v>
      </c>
      <c r="C29" s="115">
        <f>'Subj-1'!B28</f>
        <v>0</v>
      </c>
      <c r="D29" s="27"/>
      <c r="H29" s="26" t="b">
        <f t="shared" si="1"/>
        <v>0</v>
      </c>
      <c r="I29" s="1" t="str">
        <f t="shared" si="2"/>
        <v/>
      </c>
      <c r="J29" s="1" t="str">
        <f t="shared" si="3"/>
        <v/>
      </c>
      <c r="K29" s="1" t="str">
        <f t="shared" si="4"/>
        <v/>
      </c>
      <c r="N29" s="26" t="str">
        <f t="shared" si="0"/>
        <v>* 0 -&gt; ""</v>
      </c>
    </row>
    <row r="30" spans="1:14" x14ac:dyDescent="0.75">
      <c r="A30" s="27">
        <v>0</v>
      </c>
      <c r="B30" s="115">
        <f>'Subj-1'!A29</f>
        <v>0</v>
      </c>
      <c r="C30" s="115">
        <f>'Subj-1'!B29</f>
        <v>0</v>
      </c>
      <c r="D30" s="25"/>
      <c r="H30" s="26" t="b">
        <f t="shared" si="1"/>
        <v>0</v>
      </c>
      <c r="I30" s="1" t="str">
        <f t="shared" si="2"/>
        <v/>
      </c>
      <c r="J30" s="1" t="str">
        <f t="shared" si="3"/>
        <v/>
      </c>
      <c r="K30" s="1" t="str">
        <f t="shared" si="4"/>
        <v/>
      </c>
      <c r="N30" s="26" t="str">
        <f t="shared" si="0"/>
        <v>* 0 -&gt; ""</v>
      </c>
    </row>
    <row r="31" spans="1:14" x14ac:dyDescent="0.75">
      <c r="A31" s="27">
        <v>0</v>
      </c>
      <c r="B31" s="115">
        <f>'Subj-1'!A30</f>
        <v>0</v>
      </c>
      <c r="C31" s="115">
        <f>'Subj-1'!B30</f>
        <v>0</v>
      </c>
      <c r="D31" s="27"/>
      <c r="H31" s="26" t="b">
        <f t="shared" si="1"/>
        <v>0</v>
      </c>
      <c r="I31" s="1" t="str">
        <f t="shared" si="2"/>
        <v/>
      </c>
      <c r="J31" s="1" t="str">
        <f t="shared" si="3"/>
        <v/>
      </c>
      <c r="K31" s="1" t="str">
        <f t="shared" si="4"/>
        <v/>
      </c>
      <c r="N31" s="26" t="str">
        <f t="shared" si="0"/>
        <v>* 0 -&gt; ""</v>
      </c>
    </row>
    <row r="32" spans="1:14" x14ac:dyDescent="0.75">
      <c r="A32" s="27">
        <v>0</v>
      </c>
      <c r="B32" s="115">
        <f>'Subj-1'!A31</f>
        <v>0</v>
      </c>
      <c r="C32" s="115">
        <f>'Subj-1'!B31</f>
        <v>0</v>
      </c>
      <c r="D32" s="27"/>
      <c r="H32" s="26" t="b">
        <f t="shared" si="1"/>
        <v>0</v>
      </c>
      <c r="I32" s="1" t="str">
        <f t="shared" si="2"/>
        <v/>
      </c>
      <c r="J32" s="1" t="str">
        <f t="shared" si="3"/>
        <v/>
      </c>
      <c r="K32" s="1" t="str">
        <f t="shared" si="4"/>
        <v/>
      </c>
      <c r="N32" s="26" t="str">
        <f t="shared" si="0"/>
        <v>* 0 -&gt; ""</v>
      </c>
    </row>
    <row r="33" spans="1:14" x14ac:dyDescent="0.75">
      <c r="A33" s="27">
        <v>0</v>
      </c>
      <c r="B33" s="27"/>
      <c r="C33" s="27"/>
      <c r="D33" s="27"/>
      <c r="H33" s="26" t="b">
        <f t="shared" si="1"/>
        <v>0</v>
      </c>
      <c r="I33" s="1" t="str">
        <f t="shared" si="2"/>
        <v/>
      </c>
      <c r="J33" s="1" t="str">
        <f t="shared" si="3"/>
        <v/>
      </c>
      <c r="K33" s="1" t="str">
        <f t="shared" si="4"/>
        <v/>
      </c>
      <c r="N33" s="26" t="str">
        <f t="shared" si="0"/>
        <v>*  -&gt; ""</v>
      </c>
    </row>
    <row r="34" spans="1:14" x14ac:dyDescent="0.75">
      <c r="A34" s="27">
        <v>0</v>
      </c>
      <c r="B34" s="27"/>
      <c r="C34" s="27"/>
      <c r="D34" s="27"/>
      <c r="H34" s="26" t="b">
        <f t="shared" si="1"/>
        <v>0</v>
      </c>
      <c r="I34" s="1" t="str">
        <f t="shared" si="2"/>
        <v/>
      </c>
      <c r="J34" s="1" t="str">
        <f t="shared" si="3"/>
        <v/>
      </c>
      <c r="K34" s="1" t="str">
        <f t="shared" si="4"/>
        <v/>
      </c>
      <c r="N34" s="26" t="str">
        <f t="shared" si="0"/>
        <v>*  -&gt; ""</v>
      </c>
    </row>
    <row r="35" spans="1:14" x14ac:dyDescent="0.75">
      <c r="A35" s="27">
        <v>0</v>
      </c>
      <c r="B35" s="27"/>
      <c r="C35" s="27"/>
      <c r="D35" s="25"/>
      <c r="H35" s="26" t="b">
        <f t="shared" si="1"/>
        <v>0</v>
      </c>
      <c r="I35" s="1" t="str">
        <f t="shared" si="2"/>
        <v/>
      </c>
      <c r="J35" s="1" t="str">
        <f t="shared" si="3"/>
        <v/>
      </c>
      <c r="K35" s="1" t="str">
        <f t="shared" si="4"/>
        <v/>
      </c>
      <c r="N35" s="26" t="str">
        <f t="shared" si="0"/>
        <v>*  -&gt; ""</v>
      </c>
    </row>
    <row r="36" spans="1:14" x14ac:dyDescent="0.75">
      <c r="A36" s="27">
        <v>0</v>
      </c>
      <c r="B36" s="27"/>
      <c r="C36" s="27"/>
      <c r="D36" s="27"/>
      <c r="H36" s="26" t="b">
        <f t="shared" si="1"/>
        <v>0</v>
      </c>
      <c r="I36" s="1" t="str">
        <f t="shared" si="2"/>
        <v/>
      </c>
      <c r="J36" s="1" t="str">
        <f t="shared" si="3"/>
        <v/>
      </c>
      <c r="K36" s="1" t="str">
        <f t="shared" si="4"/>
        <v/>
      </c>
      <c r="N36" s="26" t="str">
        <f t="shared" si="0"/>
        <v>*  -&gt; ""</v>
      </c>
    </row>
    <row r="37" spans="1:14" x14ac:dyDescent="0.75">
      <c r="A37" s="27">
        <v>0</v>
      </c>
      <c r="B37" s="27"/>
      <c r="C37" s="27"/>
      <c r="D37" s="27"/>
      <c r="H37" s="26" t="b">
        <f t="shared" si="1"/>
        <v>0</v>
      </c>
      <c r="I37" s="1" t="str">
        <f t="shared" si="2"/>
        <v/>
      </c>
      <c r="J37" s="1" t="str">
        <f t="shared" si="3"/>
        <v/>
      </c>
      <c r="K37" s="1" t="str">
        <f t="shared" si="4"/>
        <v/>
      </c>
      <c r="N37" s="26" t="str">
        <f t="shared" si="0"/>
        <v>*  -&gt; ""</v>
      </c>
    </row>
    <row r="38" spans="1:14" x14ac:dyDescent="0.75">
      <c r="A38" s="27">
        <v>0</v>
      </c>
      <c r="B38" s="27"/>
      <c r="C38" s="27"/>
      <c r="D38" s="27"/>
      <c r="H38" s="26" t="b">
        <f t="shared" si="1"/>
        <v>0</v>
      </c>
      <c r="I38" s="1" t="str">
        <f t="shared" si="2"/>
        <v/>
      </c>
      <c r="J38" s="1" t="str">
        <f t="shared" si="3"/>
        <v/>
      </c>
      <c r="K38" s="1" t="str">
        <f t="shared" si="4"/>
        <v/>
      </c>
      <c r="N38" s="26" t="str">
        <f t="shared" si="0"/>
        <v>*  -&gt; ""</v>
      </c>
    </row>
    <row r="39" spans="1:14" x14ac:dyDescent="0.75">
      <c r="A39" s="27">
        <v>0</v>
      </c>
      <c r="B39" s="27"/>
      <c r="C39" s="27"/>
      <c r="D39" s="27"/>
      <c r="H39" s="26" t="b">
        <f t="shared" si="1"/>
        <v>0</v>
      </c>
      <c r="I39" s="1" t="str">
        <f t="shared" si="2"/>
        <v/>
      </c>
      <c r="J39" s="1" t="str">
        <f t="shared" si="3"/>
        <v/>
      </c>
      <c r="K39" s="1" t="str">
        <f t="shared" si="4"/>
        <v/>
      </c>
      <c r="N39" s="26" t="str">
        <f t="shared" si="0"/>
        <v>*  -&gt; ""</v>
      </c>
    </row>
    <row r="40" spans="1:14" x14ac:dyDescent="0.75">
      <c r="A40" s="27">
        <v>0</v>
      </c>
      <c r="B40" s="27"/>
      <c r="C40" s="27"/>
      <c r="D40" s="27"/>
      <c r="H40" s="26" t="b">
        <f t="shared" si="1"/>
        <v>0</v>
      </c>
      <c r="I40" s="1" t="str">
        <f t="shared" si="2"/>
        <v/>
      </c>
      <c r="J40" s="1" t="str">
        <f t="shared" si="3"/>
        <v/>
      </c>
      <c r="K40" s="1" t="str">
        <f t="shared" si="4"/>
        <v/>
      </c>
      <c r="N40" s="26" t="str">
        <f t="shared" si="0"/>
        <v>*  -&gt; ""</v>
      </c>
    </row>
    <row r="41" spans="1:14" x14ac:dyDescent="0.75">
      <c r="A41" s="27">
        <v>0</v>
      </c>
      <c r="B41" s="27"/>
      <c r="C41" s="27"/>
      <c r="D41" s="47"/>
      <c r="H41" s="26" t="b">
        <f t="shared" si="1"/>
        <v>0</v>
      </c>
      <c r="I41" s="1" t="str">
        <f t="shared" si="2"/>
        <v/>
      </c>
      <c r="J41" s="1" t="str">
        <f t="shared" si="3"/>
        <v/>
      </c>
      <c r="K41" s="1" t="str">
        <f t="shared" si="4"/>
        <v/>
      </c>
      <c r="N41" s="26" t="str">
        <f t="shared" si="0"/>
        <v>*  -&gt; ""</v>
      </c>
    </row>
    <row r="42" spans="1:14" x14ac:dyDescent="0.75">
      <c r="A42" s="27"/>
      <c r="B42" s="27"/>
      <c r="C42" s="27"/>
      <c r="D42" s="27"/>
      <c r="H42" s="26" t="b">
        <f>IF(D42&gt;"",TRUE,FALSE)</f>
        <v>0</v>
      </c>
      <c r="I42" s="1" t="str">
        <f t="shared" si="2"/>
        <v/>
      </c>
      <c r="J42" s="1" t="str">
        <f t="shared" si="3"/>
        <v/>
      </c>
      <c r="K42" s="1" t="str">
        <f t="shared" si="4"/>
        <v/>
      </c>
    </row>
    <row r="43" spans="1:14" x14ac:dyDescent="0.75">
      <c r="A43" s="27"/>
      <c r="B43" s="27"/>
      <c r="C43" s="27"/>
      <c r="D43" s="27"/>
      <c r="H43" s="26" t="b">
        <f t="shared" si="1"/>
        <v>0</v>
      </c>
      <c r="I43" s="1" t="str">
        <f t="shared" si="2"/>
        <v/>
      </c>
      <c r="J43" s="1" t="str">
        <f t="shared" si="3"/>
        <v/>
      </c>
      <c r="K43" s="1" t="str">
        <f t="shared" si="4"/>
        <v/>
      </c>
    </row>
    <row r="44" spans="1:14" x14ac:dyDescent="0.75">
      <c r="A44" s="27"/>
      <c r="B44" s="27"/>
      <c r="C44" s="27"/>
      <c r="D44" s="27"/>
      <c r="H44" s="26" t="b">
        <f t="shared" si="1"/>
        <v>0</v>
      </c>
      <c r="I44" s="1" t="str">
        <f t="shared" si="2"/>
        <v/>
      </c>
      <c r="J44" s="1" t="str">
        <f t="shared" si="3"/>
        <v/>
      </c>
      <c r="K44" s="1" t="str">
        <f t="shared" si="4"/>
        <v/>
      </c>
    </row>
    <row r="45" spans="1:14" x14ac:dyDescent="0.75">
      <c r="A45" s="27"/>
      <c r="B45" s="27"/>
      <c r="C45" s="27"/>
      <c r="D45" s="27"/>
      <c r="H45" s="26" t="b">
        <f t="shared" si="1"/>
        <v>0</v>
      </c>
      <c r="I45" s="1" t="str">
        <f t="shared" si="2"/>
        <v/>
      </c>
      <c r="J45" s="1" t="str">
        <f t="shared" si="3"/>
        <v/>
      </c>
      <c r="K45" s="1" t="str">
        <f t="shared" si="4"/>
        <v/>
      </c>
    </row>
    <row r="46" spans="1:14" x14ac:dyDescent="0.75">
      <c r="B46" s="26" t="e">
        <f>'Base-1'!#REF!</f>
        <v>#REF!</v>
      </c>
      <c r="H46" s="26" t="b">
        <f t="shared" si="1"/>
        <v>0</v>
      </c>
      <c r="I46" s="1" t="str">
        <f t="shared" si="2"/>
        <v/>
      </c>
      <c r="J46" s="1" t="str">
        <f t="shared" si="3"/>
        <v/>
      </c>
      <c r="K46" s="1" t="str">
        <f t="shared" si="4"/>
        <v/>
      </c>
    </row>
    <row r="47" spans="1:14" x14ac:dyDescent="0.75">
      <c r="B47" s="26" t="e">
        <f>'Base-1'!#REF!</f>
        <v>#REF!</v>
      </c>
      <c r="C47" s="26" t="str">
        <f>'Base-1'!C15</f>
        <v>Date of first elective end of treatment</v>
      </c>
      <c r="H47" s="26" t="b">
        <f t="shared" si="1"/>
        <v>0</v>
      </c>
      <c r="I47" s="1" t="str">
        <f t="shared" si="2"/>
        <v/>
      </c>
      <c r="J47" s="1" t="str">
        <f t="shared" si="3"/>
        <v/>
      </c>
      <c r="K47" s="1" t="str">
        <f t="shared" si="4"/>
        <v/>
      </c>
    </row>
    <row r="48" spans="1:14" x14ac:dyDescent="0.75">
      <c r="B48" s="26" t="e">
        <f>'Base-1'!#REF!</f>
        <v>#REF!</v>
      </c>
      <c r="C48" s="26" t="e">
        <f>'Base-1'!#REF!</f>
        <v>#REF!</v>
      </c>
      <c r="H48" s="26" t="b">
        <f t="shared" si="1"/>
        <v>0</v>
      </c>
      <c r="I48" s="1" t="str">
        <f t="shared" si="2"/>
        <v/>
      </c>
      <c r="J48" s="1" t="str">
        <f t="shared" si="3"/>
        <v/>
      </c>
      <c r="K48" s="1" t="str">
        <f t="shared" si="4"/>
        <v/>
      </c>
    </row>
    <row r="49" spans="2:11" x14ac:dyDescent="0.75">
      <c r="B49" s="26" t="e">
        <f>'Base-1'!#REF!</f>
        <v>#REF!</v>
      </c>
      <c r="C49" s="26" t="e">
        <f>'Base-1'!#REF!</f>
        <v>#REF!</v>
      </c>
      <c r="H49" s="26" t="b">
        <f t="shared" si="1"/>
        <v>0</v>
      </c>
      <c r="I49" s="1" t="str">
        <f t="shared" si="2"/>
        <v/>
      </c>
      <c r="J49" s="1" t="str">
        <f t="shared" si="3"/>
        <v/>
      </c>
      <c r="K49" s="1" t="str">
        <f t="shared" si="4"/>
        <v/>
      </c>
    </row>
    <row r="50" spans="2:11" x14ac:dyDescent="0.75">
      <c r="B50" s="26" t="e">
        <f>'Base-1'!#REF!</f>
        <v>#REF!</v>
      </c>
      <c r="C50" s="26" t="e">
        <f>'Base-1'!#REF!</f>
        <v>#REF!</v>
      </c>
      <c r="H50" s="26" t="b">
        <f t="shared" si="1"/>
        <v>0</v>
      </c>
      <c r="I50" s="1" t="str">
        <f t="shared" si="2"/>
        <v/>
      </c>
      <c r="J50" s="1" t="str">
        <f t="shared" si="3"/>
        <v/>
      </c>
      <c r="K50" s="1" t="str">
        <f t="shared" si="4"/>
        <v/>
      </c>
    </row>
    <row r="51" spans="2:11" x14ac:dyDescent="0.75">
      <c r="B51" s="26">
        <f>'Base-1'!A37</f>
        <v>0</v>
      </c>
      <c r="C51" s="26">
        <f>'Base-1'!B37</f>
        <v>0</v>
      </c>
    </row>
    <row r="52" spans="2:11" x14ac:dyDescent="0.75">
      <c r="B52" s="26">
        <f>'Base-1'!A38</f>
        <v>0</v>
      </c>
      <c r="C52" s="26">
        <f>'Base-1'!B38</f>
        <v>0</v>
      </c>
    </row>
    <row r="53" spans="2:11" x14ac:dyDescent="0.75">
      <c r="B53" s="26">
        <f>'Base-1'!A39</f>
        <v>0</v>
      </c>
      <c r="C53" s="26">
        <f>'Base-1'!B39</f>
        <v>0</v>
      </c>
    </row>
    <row r="54" spans="2:11" x14ac:dyDescent="0.75">
      <c r="B54" s="26">
        <f>'Base-1'!A40</f>
        <v>0</v>
      </c>
      <c r="C54" s="26">
        <f>'Base-1'!B40</f>
        <v>0</v>
      </c>
    </row>
    <row r="55" spans="2:11" x14ac:dyDescent="0.75">
      <c r="B55" s="26">
        <f>'Base-1'!A41</f>
        <v>0</v>
      </c>
      <c r="C55" s="26">
        <f>'Base-1'!B41</f>
        <v>0</v>
      </c>
    </row>
    <row r="56" spans="2:11" x14ac:dyDescent="0.75">
      <c r="B56" s="26">
        <f>'Base-1'!A42</f>
        <v>0</v>
      </c>
      <c r="C56" s="26">
        <f>'Base-1'!B42</f>
        <v>0</v>
      </c>
    </row>
    <row r="57" spans="2:11" x14ac:dyDescent="0.75">
      <c r="B57" s="26">
        <f>'Base-1'!A43</f>
        <v>0</v>
      </c>
      <c r="C57" s="26">
        <f>'Base-1'!B43</f>
        <v>0</v>
      </c>
    </row>
    <row r="58" spans="2:11" x14ac:dyDescent="0.75">
      <c r="B58" s="26">
        <f>'Base-1'!A44</f>
        <v>0</v>
      </c>
      <c r="C58" s="26">
        <f>'Base-1'!B44</f>
        <v>0</v>
      </c>
    </row>
    <row r="59" spans="2:11" x14ac:dyDescent="0.75">
      <c r="B59" s="26">
        <f>'Base-1'!A45</f>
        <v>0</v>
      </c>
      <c r="C59" s="26">
        <f>'Base-1'!B45</f>
        <v>0</v>
      </c>
    </row>
    <row r="60" spans="2:11" x14ac:dyDescent="0.75">
      <c r="B60" s="26">
        <f>'Base-1'!A46</f>
        <v>0</v>
      </c>
      <c r="C60" s="26">
        <f>'Base-1'!B46</f>
        <v>0</v>
      </c>
    </row>
    <row r="61" spans="2:11" x14ac:dyDescent="0.75">
      <c r="B61" s="26">
        <f>'Base-1'!A47</f>
        <v>0</v>
      </c>
      <c r="C61" s="26">
        <f>'Base-1'!B47</f>
        <v>0</v>
      </c>
    </row>
    <row r="62" spans="2:11" x14ac:dyDescent="0.75">
      <c r="B62" s="26">
        <f>'Base-1'!A48</f>
        <v>0</v>
      </c>
      <c r="C62" s="26">
        <f>'Base-1'!B48</f>
        <v>0</v>
      </c>
    </row>
    <row r="63" spans="2:11" x14ac:dyDescent="0.75">
      <c r="B63" s="26">
        <f>'Base-1'!A49</f>
        <v>0</v>
      </c>
      <c r="C63" s="26">
        <f>'Base-1'!B49</f>
        <v>0</v>
      </c>
    </row>
    <row r="64" spans="2:11" x14ac:dyDescent="0.75">
      <c r="B64" s="26">
        <f>'Base-1'!A50</f>
        <v>0</v>
      </c>
      <c r="C64" s="26">
        <f>'Base-1'!B50</f>
        <v>0</v>
      </c>
    </row>
    <row r="65" spans="2:3" x14ac:dyDescent="0.75">
      <c r="B65" s="26">
        <f>'Base-1'!A51</f>
        <v>0</v>
      </c>
      <c r="C65" s="26">
        <f>'Base-1'!B51</f>
        <v>0</v>
      </c>
    </row>
    <row r="66" spans="2:3" x14ac:dyDescent="0.75">
      <c r="B66" s="26">
        <f>'Base-1'!A52</f>
        <v>0</v>
      </c>
      <c r="C66" s="26">
        <f>'Base-1'!B52</f>
        <v>0</v>
      </c>
    </row>
    <row r="67" spans="2:3" x14ac:dyDescent="0.75">
      <c r="B67" s="26">
        <f>'Base-1'!A53</f>
        <v>0</v>
      </c>
      <c r="C67" s="26">
        <f>'Base-1'!B53</f>
        <v>0</v>
      </c>
    </row>
    <row r="68" spans="2:3" x14ac:dyDescent="0.75">
      <c r="B68" s="26">
        <f>'Base-1'!A54</f>
        <v>0</v>
      </c>
      <c r="C68" s="26">
        <f>'Base-1'!B54</f>
        <v>0</v>
      </c>
    </row>
    <row r="69" spans="2:3" x14ac:dyDescent="0.75">
      <c r="B69" s="26">
        <f>'Base-1'!A55</f>
        <v>0</v>
      </c>
      <c r="C69" s="26">
        <f>'Base-1'!B55</f>
        <v>0</v>
      </c>
    </row>
    <row r="70" spans="2:3" x14ac:dyDescent="0.75">
      <c r="B70" s="26">
        <f>'Base-1'!A56</f>
        <v>0</v>
      </c>
      <c r="C70" s="26">
        <f>'Base-1'!B56</f>
        <v>0</v>
      </c>
    </row>
    <row r="71" spans="2:3" x14ac:dyDescent="0.75">
      <c r="B71" s="26">
        <f>'Base-1'!A57</f>
        <v>0</v>
      </c>
      <c r="C71" s="26">
        <f>'Base-1'!B57</f>
        <v>0</v>
      </c>
    </row>
    <row r="72" spans="2:3" x14ac:dyDescent="0.75">
      <c r="B72" s="26">
        <f>'Base-1'!A58</f>
        <v>0</v>
      </c>
      <c r="C72" s="26">
        <f>'Base-1'!B58</f>
        <v>0</v>
      </c>
    </row>
    <row r="73" spans="2:3" x14ac:dyDescent="0.75">
      <c r="B73" s="26">
        <f>'Base-1'!A59</f>
        <v>0</v>
      </c>
      <c r="C73" s="26">
        <f>'Base-1'!B59</f>
        <v>0</v>
      </c>
    </row>
    <row r="74" spans="2:3" x14ac:dyDescent="0.75">
      <c r="B74" s="26">
        <f>'Base-1'!A60</f>
        <v>0</v>
      </c>
      <c r="C74" s="26">
        <f>'Base-1'!B60</f>
        <v>0</v>
      </c>
    </row>
    <row r="75" spans="2:3" x14ac:dyDescent="0.75">
      <c r="B75" s="26">
        <f>'Base-1'!A61</f>
        <v>0</v>
      </c>
      <c r="C75" s="26">
        <f>'Base-1'!B61</f>
        <v>0</v>
      </c>
    </row>
    <row r="76" spans="2:3" x14ac:dyDescent="0.75">
      <c r="B76" s="26">
        <f>'Base-1'!A62</f>
        <v>0</v>
      </c>
      <c r="C76" s="26">
        <f>'Base-1'!B62</f>
        <v>0</v>
      </c>
    </row>
    <row r="77" spans="2:3" x14ac:dyDescent="0.75">
      <c r="B77" s="26">
        <f>'Base-1'!A63</f>
        <v>0</v>
      </c>
      <c r="C77" s="26">
        <f>'Base-1'!B63</f>
        <v>0</v>
      </c>
    </row>
    <row r="78" spans="2:3" x14ac:dyDescent="0.75">
      <c r="B78" s="26">
        <f>'Base-1'!A64</f>
        <v>0</v>
      </c>
      <c r="C78" s="26">
        <f>'Base-1'!B64</f>
        <v>0</v>
      </c>
    </row>
    <row r="79" spans="2:3" x14ac:dyDescent="0.75">
      <c r="B79" s="26">
        <f>'Base-1'!A65</f>
        <v>0</v>
      </c>
      <c r="C79" s="26">
        <f>'Base-1'!B65</f>
        <v>0</v>
      </c>
    </row>
    <row r="80" spans="2:3" x14ac:dyDescent="0.75">
      <c r="B80" s="26">
        <f>'Base-1'!A66</f>
        <v>0</v>
      </c>
      <c r="C80" s="26">
        <f>'Base-1'!B66</f>
        <v>0</v>
      </c>
    </row>
    <row r="81" spans="2:3" x14ac:dyDescent="0.75">
      <c r="B81" s="26">
        <f>'Base-1'!A67</f>
        <v>0</v>
      </c>
      <c r="C81" s="26">
        <f>'Base-1'!B67</f>
        <v>0</v>
      </c>
    </row>
    <row r="82" spans="2:3" x14ac:dyDescent="0.75">
      <c r="B82" s="26">
        <f>'Base-1'!A68</f>
        <v>0</v>
      </c>
      <c r="C82" s="26">
        <f>'Base-1'!B68</f>
        <v>0</v>
      </c>
    </row>
    <row r="83" spans="2:3" x14ac:dyDescent="0.75">
      <c r="B83" s="26">
        <f>'Base-1'!A69</f>
        <v>0</v>
      </c>
      <c r="C83" s="26">
        <f>'Base-1'!B69</f>
        <v>0</v>
      </c>
    </row>
    <row r="84" spans="2:3" x14ac:dyDescent="0.75">
      <c r="B84" s="26">
        <f>'Base-1'!A70</f>
        <v>0</v>
      </c>
      <c r="C84" s="26">
        <f>'Base-1'!B70</f>
        <v>0</v>
      </c>
    </row>
    <row r="85" spans="2:3" x14ac:dyDescent="0.75">
      <c r="B85" s="26">
        <f>'Base-1'!A71</f>
        <v>0</v>
      </c>
      <c r="C85" s="26">
        <f>'Base-1'!B71</f>
        <v>0</v>
      </c>
    </row>
    <row r="86" spans="2:3" x14ac:dyDescent="0.75">
      <c r="B86" s="26">
        <f>'Base-1'!A72</f>
        <v>0</v>
      </c>
      <c r="C86" s="26">
        <f>'Base-1'!B72</f>
        <v>0</v>
      </c>
    </row>
    <row r="87" spans="2:3" x14ac:dyDescent="0.75">
      <c r="B87" s="26">
        <f>'Base-1'!A73</f>
        <v>0</v>
      </c>
      <c r="C87" s="26">
        <f>'Base-1'!B73</f>
        <v>0</v>
      </c>
    </row>
    <row r="88" spans="2:3" x14ac:dyDescent="0.75">
      <c r="B88" s="26">
        <f>'Base-1'!A74</f>
        <v>0</v>
      </c>
      <c r="C88" s="26">
        <f>'Base-1'!B74</f>
        <v>0</v>
      </c>
    </row>
    <row r="89" spans="2:3" x14ac:dyDescent="0.75">
      <c r="B89" s="26">
        <f>'Base-1'!A75</f>
        <v>0</v>
      </c>
      <c r="C89" s="26">
        <f>'Base-1'!B75</f>
        <v>0</v>
      </c>
    </row>
    <row r="90" spans="2:3" x14ac:dyDescent="0.75">
      <c r="B90" s="26">
        <f>'Base-1'!A76</f>
        <v>0</v>
      </c>
      <c r="C90" s="26">
        <f>'Base-1'!B76</f>
        <v>0</v>
      </c>
    </row>
    <row r="91" spans="2:3" x14ac:dyDescent="0.75">
      <c r="B91" s="26">
        <f>'Base-1'!A77</f>
        <v>0</v>
      </c>
      <c r="C91" s="26">
        <f>'Base-1'!B77</f>
        <v>0</v>
      </c>
    </row>
    <row r="92" spans="2:3" x14ac:dyDescent="0.75">
      <c r="B92" s="26">
        <f>'Base-1'!A78</f>
        <v>0</v>
      </c>
      <c r="C92" s="26">
        <f>'Base-1'!B78</f>
        <v>0</v>
      </c>
    </row>
    <row r="93" spans="2:3" x14ac:dyDescent="0.75">
      <c r="B93" s="26">
        <f>'Base-1'!A79</f>
        <v>0</v>
      </c>
      <c r="C93" s="26">
        <f>'Base-1'!B79</f>
        <v>0</v>
      </c>
    </row>
    <row r="94" spans="2:3" x14ac:dyDescent="0.75">
      <c r="B94" s="26">
        <f>'Base-1'!A80</f>
        <v>0</v>
      </c>
      <c r="C94" s="26">
        <f>'Base-1'!B80</f>
        <v>0</v>
      </c>
    </row>
    <row r="95" spans="2:3" x14ac:dyDescent="0.75">
      <c r="B95" s="26">
        <f>'Base-1'!A81</f>
        <v>0</v>
      </c>
      <c r="C95" s="26">
        <f>'Base-1'!B81</f>
        <v>0</v>
      </c>
    </row>
    <row r="96" spans="2:3" x14ac:dyDescent="0.75">
      <c r="B96" s="26">
        <f>'Base-1'!A82</f>
        <v>0</v>
      </c>
      <c r="C96" s="26">
        <f>'Base-1'!B82</f>
        <v>0</v>
      </c>
    </row>
    <row r="97" spans="2:3" x14ac:dyDescent="0.75">
      <c r="B97" s="26">
        <f>'Base-1'!A83</f>
        <v>0</v>
      </c>
      <c r="C97" s="26">
        <f>'Base-1'!B83</f>
        <v>0</v>
      </c>
    </row>
    <row r="98" spans="2:3" x14ac:dyDescent="0.75">
      <c r="B98" s="26">
        <f>'Base-1'!A84</f>
        <v>0</v>
      </c>
      <c r="C98" s="26">
        <f>'Base-1'!B84</f>
        <v>0</v>
      </c>
    </row>
    <row r="99" spans="2:3" x14ac:dyDescent="0.75">
      <c r="B99" s="26">
        <f>'Base-1'!A85</f>
        <v>0</v>
      </c>
      <c r="C99" s="26">
        <f>'Base-1'!B85</f>
        <v>0</v>
      </c>
    </row>
    <row r="100" spans="2:3" x14ac:dyDescent="0.75">
      <c r="B100" s="26">
        <f>'Base-1'!A86</f>
        <v>0</v>
      </c>
      <c r="C100" s="26">
        <f>'Base-1'!B86</f>
        <v>0</v>
      </c>
    </row>
    <row r="101" spans="2:3" x14ac:dyDescent="0.75">
      <c r="B101" s="26">
        <f>'Base-1'!A87</f>
        <v>0</v>
      </c>
      <c r="C101" s="26">
        <f>'Base-1'!B87</f>
        <v>0</v>
      </c>
    </row>
    <row r="102" spans="2:3" x14ac:dyDescent="0.75">
      <c r="B102" s="26">
        <f>'Base-1'!A88</f>
        <v>0</v>
      </c>
      <c r="C102" s="26">
        <f>'Base-1'!B88</f>
        <v>0</v>
      </c>
    </row>
    <row r="103" spans="2:3" x14ac:dyDescent="0.75">
      <c r="B103" s="26">
        <f>'Base-1'!A89</f>
        <v>0</v>
      </c>
      <c r="C103" s="26">
        <f>'Base-1'!B89</f>
        <v>0</v>
      </c>
    </row>
    <row r="104" spans="2:3" x14ac:dyDescent="0.75">
      <c r="B104" s="26">
        <f>'Base-1'!A90</f>
        <v>0</v>
      </c>
      <c r="C104" s="26">
        <f>'Base-1'!B90</f>
        <v>0</v>
      </c>
    </row>
    <row r="105" spans="2:3" x14ac:dyDescent="0.75">
      <c r="B105" s="26">
        <f>'Base-1'!A91</f>
        <v>0</v>
      </c>
      <c r="C105" s="26">
        <f>'Base-1'!B91</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workbookViewId="0">
      <selection activeCell="D3" sqref="D3"/>
    </sheetView>
  </sheetViews>
  <sheetFormatPr defaultRowHeight="14.75" x14ac:dyDescent="0.75"/>
  <cols>
    <col min="1" max="3" width="8.7265625" style="26"/>
    <col min="4" max="4" width="130.81640625" style="26" customWidth="1"/>
    <col min="5" max="5" width="19.86328125" style="26" customWidth="1"/>
    <col min="6" max="6" width="8.7265625" style="26"/>
    <col min="7" max="7" width="69.36328125" style="26" customWidth="1"/>
    <col min="8" max="16384" width="8.7265625" style="26"/>
  </cols>
  <sheetData>
    <row r="2" spans="1:5" x14ac:dyDescent="0.75">
      <c r="D2" s="8"/>
    </row>
    <row r="3" spans="1:5" x14ac:dyDescent="0.75">
      <c r="A3" s="27">
        <v>1</v>
      </c>
      <c r="B3" s="27">
        <f>IF(MOD(A3,3)=0,A3/3-1,INT(A3/3))</f>
        <v>0</v>
      </c>
      <c r="C3" s="27">
        <f>IF(MOD(A3,3)=0,3,MOD(A3,3))</f>
        <v>1</v>
      </c>
      <c r="D3" s="26" t="str" cm="1">
        <f t="array" ref="D3">INDEX('Subj-Map-1'!$I$7:$K$100,1+B3,C3)</f>
        <v>* differential.element[0].mapping[0].identity = "fhir"</v>
      </c>
      <c r="E3" s="26" t="str">
        <f>INDEX('Subj-Map-1'!$I$8:$K$17,1,1)</f>
        <v>* differential.element[1].mapping[0].identity = "fhir"</v>
      </c>
    </row>
    <row r="4" spans="1:5" x14ac:dyDescent="0.75">
      <c r="A4" s="27">
        <v>2</v>
      </c>
      <c r="B4" s="27">
        <f t="shared" ref="B4:B67" si="0">IF(MOD(A4,3)=0,A4/3-1,INT(A4/3))</f>
        <v>0</v>
      </c>
      <c r="C4" s="27">
        <f t="shared" ref="C4:C40" si="1">IF(MOD(A4,3)=0,3,MOD(A4,3))</f>
        <v>2</v>
      </c>
      <c r="D4" s="113" t="str" cm="1">
        <f t="array" ref="D4">INDEX('Subj-Map-1'!$I$7:$K$100,1+B4,C4)</f>
        <v>* differential.element[0].mapping[0].map = "Patient"</v>
      </c>
    </row>
    <row r="5" spans="1:5" x14ac:dyDescent="0.75">
      <c r="A5" s="27">
        <v>3</v>
      </c>
      <c r="B5" s="27">
        <f t="shared" si="0"/>
        <v>0</v>
      </c>
      <c r="C5" s="27">
        <f t="shared" si="1"/>
        <v>3</v>
      </c>
      <c r="D5" s="113" t="str" cm="1">
        <f t="array" ref="D5">INDEX('Subj-Map-1'!$I$7:$K$100,1+B5,C5)</f>
        <v/>
      </c>
    </row>
    <row r="6" spans="1:5" x14ac:dyDescent="0.75">
      <c r="A6" s="27">
        <v>4</v>
      </c>
      <c r="B6" s="27">
        <f t="shared" si="0"/>
        <v>1</v>
      </c>
      <c r="C6" s="27">
        <f t="shared" si="1"/>
        <v>1</v>
      </c>
      <c r="D6" s="113" t="str" cm="1">
        <f t="array" ref="D6">INDEX('Subj-Map-1'!$I$7:$K$100,1+B6,C6)</f>
        <v>* differential.element[1].mapping[0].identity = "fhir"</v>
      </c>
    </row>
    <row r="7" spans="1:5" x14ac:dyDescent="0.75">
      <c r="A7" s="27">
        <v>5</v>
      </c>
      <c r="B7" s="27">
        <f t="shared" si="0"/>
        <v>1</v>
      </c>
      <c r="C7" s="27">
        <f t="shared" si="1"/>
        <v>2</v>
      </c>
      <c r="D7" s="113" t="str" cm="1">
        <f t="array" ref="D7">INDEX('Subj-Map-1'!$I$7:$K$100,1+B7,C7)</f>
        <v>* differential.element[1].mapping[0].map = "Patient.identifier"</v>
      </c>
    </row>
    <row r="8" spans="1:5" x14ac:dyDescent="0.75">
      <c r="A8" s="27">
        <v>6</v>
      </c>
      <c r="B8" s="27">
        <f t="shared" si="0"/>
        <v>1</v>
      </c>
      <c r="C8" s="27">
        <f t="shared" si="1"/>
        <v>3</v>
      </c>
      <c r="D8" s="113" t="str" cm="1">
        <f t="array" ref="D8">INDEX('Subj-Map-1'!$I$7:$K$100,1+B8,C8)</f>
        <v/>
      </c>
    </row>
    <row r="9" spans="1:5" x14ac:dyDescent="0.75">
      <c r="A9" s="27">
        <v>7</v>
      </c>
      <c r="B9" s="27">
        <f t="shared" si="0"/>
        <v>2</v>
      </c>
      <c r="C9" s="27">
        <f t="shared" si="1"/>
        <v>1</v>
      </c>
      <c r="D9" s="113" t="str" cm="1">
        <f t="array" ref="D9">INDEX('Subj-Map-1'!$I$7:$K$100,1+B9,C9)</f>
        <v>* differential.element[2].mapping[0].identity = "fhir"</v>
      </c>
    </row>
    <row r="10" spans="1:5" x14ac:dyDescent="0.75">
      <c r="A10" s="27">
        <v>8</v>
      </c>
      <c r="B10" s="27">
        <f t="shared" si="0"/>
        <v>2</v>
      </c>
      <c r="C10" s="27">
        <f t="shared" si="1"/>
        <v>2</v>
      </c>
      <c r="D10" s="113" t="str" cm="1">
        <f t="array" ref="D10">INDEX('Subj-Map-1'!$I$7:$K$100,1+B10,C10)</f>
        <v>* differential.element[2].mapping[0].map = "Patient.name"</v>
      </c>
    </row>
    <row r="11" spans="1:5" x14ac:dyDescent="0.75">
      <c r="A11" s="27">
        <v>9</v>
      </c>
      <c r="B11" s="27">
        <f t="shared" si="0"/>
        <v>2</v>
      </c>
      <c r="C11" s="27">
        <f t="shared" si="1"/>
        <v>3</v>
      </c>
      <c r="D11" s="113" t="str" cm="1">
        <f t="array" ref="D11">INDEX('Subj-Map-1'!$I$7:$K$100,1+B11,C11)</f>
        <v/>
      </c>
    </row>
    <row r="12" spans="1:5" x14ac:dyDescent="0.75">
      <c r="A12" s="27">
        <v>10</v>
      </c>
      <c r="B12" s="27">
        <f t="shared" si="0"/>
        <v>3</v>
      </c>
      <c r="C12" s="27">
        <f t="shared" si="1"/>
        <v>1</v>
      </c>
      <c r="D12" s="113" t="str" cm="1">
        <f t="array" ref="D12">INDEX('Subj-Map-1'!$I$7:$K$100,1+B12,C12)</f>
        <v>* differential.element[3].mapping[0].identity = "fhir"</v>
      </c>
    </row>
    <row r="13" spans="1:5" x14ac:dyDescent="0.75">
      <c r="A13" s="27">
        <v>11</v>
      </c>
      <c r="B13" s="27">
        <f t="shared" si="0"/>
        <v>3</v>
      </c>
      <c r="C13" s="27">
        <f t="shared" si="1"/>
        <v>2</v>
      </c>
      <c r="D13" s="113" t="str" cm="1">
        <f t="array" ref="D13">INDEX('Subj-Map-1'!$I$7:$K$100,1+B13,C13)</f>
        <v>* differential.element[3].mapping[0].map = "Patient.name.given"</v>
      </c>
    </row>
    <row r="14" spans="1:5" x14ac:dyDescent="0.75">
      <c r="A14" s="27">
        <v>12</v>
      </c>
      <c r="B14" s="27">
        <f t="shared" si="0"/>
        <v>3</v>
      </c>
      <c r="C14" s="27">
        <f t="shared" si="1"/>
        <v>3</v>
      </c>
      <c r="D14" s="113" t="str" cm="1">
        <f t="array" ref="D14">INDEX('Subj-Map-1'!$I$7:$K$100,1+B14,C14)</f>
        <v/>
      </c>
    </row>
    <row r="15" spans="1:5" x14ac:dyDescent="0.75">
      <c r="A15" s="27">
        <v>13</v>
      </c>
      <c r="B15" s="27">
        <f t="shared" si="0"/>
        <v>4</v>
      </c>
      <c r="C15" s="27">
        <f t="shared" si="1"/>
        <v>1</v>
      </c>
      <c r="D15" s="113" t="str" cm="1">
        <f t="array" ref="D15">INDEX('Subj-Map-1'!$I$7:$K$100,1+B15,C15)</f>
        <v>* differential.element[4].mapping[0].identity = "fhir"</v>
      </c>
    </row>
    <row r="16" spans="1:5" x14ac:dyDescent="0.75">
      <c r="A16" s="27">
        <v>14</v>
      </c>
      <c r="B16" s="27">
        <f t="shared" si="0"/>
        <v>4</v>
      </c>
      <c r="C16" s="27">
        <f t="shared" si="1"/>
        <v>2</v>
      </c>
      <c r="D16" s="113" t="str" cm="1">
        <f t="array" ref="D16">INDEX('Subj-Map-1'!$I$7:$K$100,1+B16,C16)</f>
        <v>* differential.element[4].mapping[0].map = "Patient.name.given"</v>
      </c>
    </row>
    <row r="17" spans="1:4" x14ac:dyDescent="0.75">
      <c r="A17" s="27">
        <v>15</v>
      </c>
      <c r="B17" s="27">
        <f t="shared" si="0"/>
        <v>4</v>
      </c>
      <c r="C17" s="27">
        <f t="shared" si="1"/>
        <v>3</v>
      </c>
      <c r="D17" s="113" t="str" cm="1">
        <f t="array" ref="D17">INDEX('Subj-Map-1'!$I$7:$K$100,1+B17,C17)</f>
        <v/>
      </c>
    </row>
    <row r="18" spans="1:4" x14ac:dyDescent="0.75">
      <c r="A18" s="27">
        <v>16</v>
      </c>
      <c r="B18" s="27">
        <f t="shared" si="0"/>
        <v>5</v>
      </c>
      <c r="C18" s="27">
        <f t="shared" si="1"/>
        <v>1</v>
      </c>
      <c r="D18" s="113" t="str" cm="1">
        <f t="array" ref="D18">INDEX('Subj-Map-1'!$I$7:$K$100,1+B18,C18)</f>
        <v>* differential.element[5].mapping[0].identity = "fhir"</v>
      </c>
    </row>
    <row r="19" spans="1:4" x14ac:dyDescent="0.75">
      <c r="A19" s="27">
        <v>17</v>
      </c>
      <c r="B19" s="27">
        <f t="shared" si="0"/>
        <v>5</v>
      </c>
      <c r="C19" s="27">
        <f t="shared" si="1"/>
        <v>2</v>
      </c>
      <c r="D19" s="113" t="str" cm="1">
        <f t="array" ref="D19">INDEX('Subj-Map-1'!$I$7:$K$100,1+B19,C19)</f>
        <v>* differential.element[5].mapping[0].map = "Patient.name.family"</v>
      </c>
    </row>
    <row r="20" spans="1:4" x14ac:dyDescent="0.75">
      <c r="A20" s="27">
        <v>18</v>
      </c>
      <c r="B20" s="27">
        <f t="shared" si="0"/>
        <v>5</v>
      </c>
      <c r="C20" s="27">
        <f t="shared" si="1"/>
        <v>3</v>
      </c>
      <c r="D20" s="113" t="str" cm="1">
        <f t="array" ref="D20">INDEX('Subj-Map-1'!$I$7:$K$100,1+B20,C20)</f>
        <v/>
      </c>
    </row>
    <row r="21" spans="1:4" x14ac:dyDescent="0.75">
      <c r="A21" s="27">
        <v>19</v>
      </c>
      <c r="B21" s="27">
        <f t="shared" si="0"/>
        <v>6</v>
      </c>
      <c r="C21" s="27">
        <f t="shared" si="1"/>
        <v>1</v>
      </c>
      <c r="D21" s="113" t="str" cm="1">
        <f t="array" ref="D21">INDEX('Subj-Map-1'!$I$7:$K$100,1+B21,C21)</f>
        <v>* differential.element[6].mapping[0].identity = "fhir"</v>
      </c>
    </row>
    <row r="22" spans="1:4" x14ac:dyDescent="0.75">
      <c r="A22" s="27">
        <v>20</v>
      </c>
      <c r="B22" s="27">
        <f t="shared" si="0"/>
        <v>6</v>
      </c>
      <c r="C22" s="27">
        <f t="shared" si="1"/>
        <v>2</v>
      </c>
      <c r="D22" s="113" t="str" cm="1">
        <f t="array" ref="D22">INDEX('Subj-Map-1'!$I$7:$K$100,1+B22,C22)</f>
        <v>* differential.element[6].mapping[0].map = "Patient.name.family"</v>
      </c>
    </row>
    <row r="23" spans="1:4" x14ac:dyDescent="0.75">
      <c r="A23" s="27">
        <v>21</v>
      </c>
      <c r="B23" s="27">
        <f t="shared" si="0"/>
        <v>6</v>
      </c>
      <c r="C23" s="27">
        <f t="shared" si="1"/>
        <v>3</v>
      </c>
      <c r="D23" s="113" t="str" cm="1">
        <f t="array" ref="D23">INDEX('Subj-Map-1'!$I$7:$K$100,1+B23,C23)</f>
        <v/>
      </c>
    </row>
    <row r="24" spans="1:4" x14ac:dyDescent="0.75">
      <c r="A24" s="27">
        <v>22</v>
      </c>
      <c r="B24" s="27">
        <f t="shared" si="0"/>
        <v>7</v>
      </c>
      <c r="C24" s="27">
        <f t="shared" si="1"/>
        <v>1</v>
      </c>
      <c r="D24" s="113" t="str" cm="1">
        <f t="array" ref="D24">INDEX('Subj-Map-1'!$I$7:$K$100,1+B24,C24)</f>
        <v>* differential.element[7].mapping[0].identity = "fhir"</v>
      </c>
    </row>
    <row r="25" spans="1:4" x14ac:dyDescent="0.75">
      <c r="A25" s="27">
        <v>23</v>
      </c>
      <c r="B25" s="27">
        <f t="shared" si="0"/>
        <v>7</v>
      </c>
      <c r="C25" s="27">
        <f t="shared" si="1"/>
        <v>2</v>
      </c>
      <c r="D25" s="113" t="str" cm="1">
        <f t="array" ref="D25">INDEX('Subj-Map-1'!$I$7:$K$100,1+B25,C25)</f>
        <v>* differential.element[7].mapping[0].map = "Patient.gender"</v>
      </c>
    </row>
    <row r="26" spans="1:4" x14ac:dyDescent="0.75">
      <c r="A26" s="27">
        <v>24</v>
      </c>
      <c r="B26" s="27">
        <f t="shared" si="0"/>
        <v>7</v>
      </c>
      <c r="C26" s="27">
        <f t="shared" si="1"/>
        <v>3</v>
      </c>
      <c r="D26" s="113" t="str" cm="1">
        <f t="array" ref="D26">INDEX('Subj-Map-1'!$I$7:$K$100,1+B26,C26)</f>
        <v/>
      </c>
    </row>
    <row r="27" spans="1:4" x14ac:dyDescent="0.75">
      <c r="A27" s="27">
        <v>25</v>
      </c>
      <c r="B27" s="27">
        <f t="shared" si="0"/>
        <v>8</v>
      </c>
      <c r="C27" s="27">
        <f t="shared" si="1"/>
        <v>1</v>
      </c>
      <c r="D27" s="113" t="str" cm="1">
        <f t="array" ref="D27">INDEX('Subj-Map-1'!$I$7:$K$100,1+B27,C27)</f>
        <v>* differential.element[8].mapping[0].identity = "fhir"</v>
      </c>
    </row>
    <row r="28" spans="1:4" x14ac:dyDescent="0.75">
      <c r="A28" s="27">
        <v>26</v>
      </c>
      <c r="B28" s="27">
        <f t="shared" si="0"/>
        <v>8</v>
      </c>
      <c r="C28" s="27">
        <f t="shared" si="1"/>
        <v>2</v>
      </c>
      <c r="D28" s="113" t="str" cm="1">
        <f t="array" ref="D28">INDEX('Subj-Map-1'!$I$7:$K$100,1+B28,C28)</f>
        <v>* differential.element[8].mapping[0].map = "Patient.birthDate"</v>
      </c>
    </row>
    <row r="29" spans="1:4" x14ac:dyDescent="0.75">
      <c r="A29" s="27">
        <v>27</v>
      </c>
      <c r="B29" s="27">
        <f t="shared" si="0"/>
        <v>8</v>
      </c>
      <c r="C29" s="27">
        <f t="shared" si="1"/>
        <v>3</v>
      </c>
      <c r="D29" s="113" t="str" cm="1">
        <f t="array" ref="D29">INDEX('Subj-Map-1'!$I$7:$K$100,1+B29,C29)</f>
        <v/>
      </c>
    </row>
    <row r="30" spans="1:4" x14ac:dyDescent="0.75">
      <c r="A30" s="27">
        <v>28</v>
      </c>
      <c r="B30" s="27">
        <f t="shared" si="0"/>
        <v>9</v>
      </c>
      <c r="C30" s="27">
        <f t="shared" si="1"/>
        <v>1</v>
      </c>
      <c r="D30" s="113" t="str" cm="1">
        <f t="array" ref="D30">INDEX('Subj-Map-1'!$I$7:$K$100,1+B30,C30)</f>
        <v>* differential.element[9].mapping[0].identity = "fhir"</v>
      </c>
    </row>
    <row r="31" spans="1:4" x14ac:dyDescent="0.75">
      <c r="A31" s="27">
        <v>29</v>
      </c>
      <c r="B31" s="27">
        <f t="shared" si="0"/>
        <v>9</v>
      </c>
      <c r="C31" s="27">
        <f t="shared" si="1"/>
        <v>2</v>
      </c>
      <c r="D31" s="113" t="str" cm="1">
        <f t="array" ref="D31">INDEX('Subj-Map-1'!$I$7:$K$100,1+B31,C31)</f>
        <v>* differential.element[9].mapping[0].map = "Patient.extension(http://hl7.org/fhir/StructureDefinition/patient-birthPlace')"</v>
      </c>
    </row>
    <row r="32" spans="1:4" x14ac:dyDescent="0.75">
      <c r="A32" s="27">
        <v>30</v>
      </c>
      <c r="B32" s="27">
        <f t="shared" si="0"/>
        <v>9</v>
      </c>
      <c r="C32" s="27">
        <f t="shared" si="1"/>
        <v>3</v>
      </c>
      <c r="D32" s="113" t="str" cm="1">
        <f t="array" ref="D32">INDEX('Subj-Map-1'!$I$7:$K$100,1+B32,C32)</f>
        <v/>
      </c>
    </row>
    <row r="33" spans="1:4" x14ac:dyDescent="0.75">
      <c r="A33" s="27">
        <v>31</v>
      </c>
      <c r="B33" s="27">
        <f t="shared" si="0"/>
        <v>10</v>
      </c>
      <c r="C33" s="27">
        <f t="shared" si="1"/>
        <v>1</v>
      </c>
      <c r="D33" s="113" t="str" cm="1">
        <f t="array" ref="D33">INDEX('Subj-Map-1'!$I$7:$K$100,1+B33,C33)</f>
        <v>* differential.element[10].mapping[0].identity = "fhir"</v>
      </c>
    </row>
    <row r="34" spans="1:4" x14ac:dyDescent="0.75">
      <c r="A34" s="27">
        <v>32</v>
      </c>
      <c r="B34" s="27">
        <f t="shared" si="0"/>
        <v>10</v>
      </c>
      <c r="C34" s="27">
        <f t="shared" si="1"/>
        <v>2</v>
      </c>
      <c r="D34" s="113" t="str" cm="1">
        <f t="array" ref="D34">INDEX('Subj-Map-1'!$I$7:$K$100,1+B34,C34)</f>
        <v>* differential.element[10].mapping[0].map = "Patient.contact (if not the patient)
Patient.telecom (if the patient)
DocumentManifest.recipient (if intended recipient)"</v>
      </c>
    </row>
    <row r="35" spans="1:4" x14ac:dyDescent="0.75">
      <c r="A35" s="27">
        <v>33</v>
      </c>
      <c r="B35" s="27">
        <f t="shared" si="0"/>
        <v>10</v>
      </c>
      <c r="C35" s="27">
        <f t="shared" si="1"/>
        <v>3</v>
      </c>
      <c r="D35" s="113" t="str" cm="1">
        <f t="array" ref="D35">INDEX('Subj-Map-1'!$I$7:$K$100,1+B35,C35)</f>
        <v/>
      </c>
    </row>
    <row r="36" spans="1:4" x14ac:dyDescent="0.75">
      <c r="A36" s="27">
        <v>34</v>
      </c>
      <c r="B36" s="27">
        <f t="shared" si="0"/>
        <v>11</v>
      </c>
      <c r="C36" s="27">
        <f t="shared" si="1"/>
        <v>1</v>
      </c>
      <c r="D36" s="113" t="str" cm="1">
        <f t="array" ref="D36">INDEX('Subj-Map-1'!$I$7:$K$100,1+B36,C36)</f>
        <v>* differential.element[11].mapping[0].identity = "fhir"</v>
      </c>
    </row>
    <row r="37" spans="1:4" x14ac:dyDescent="0.75">
      <c r="A37" s="27">
        <v>35</v>
      </c>
      <c r="B37" s="27">
        <f t="shared" si="0"/>
        <v>11</v>
      </c>
      <c r="C37" s="27">
        <f t="shared" si="1"/>
        <v>2</v>
      </c>
      <c r="D37" s="113" t="str" cm="1">
        <f t="array" ref="D37">INDEX('Subj-Map-1'!$I$7:$K$100,1+B37,C37)</f>
        <v>* differential.element[11].mapping[0].map = "Patient.contact.telecom (if not the patient)
Patient.telecom (if the patient)
DocumentManifest.recipient.resolve().telecom (if intended recipient)"</v>
      </c>
    </row>
    <row r="38" spans="1:4" x14ac:dyDescent="0.75">
      <c r="A38" s="27">
        <v>36</v>
      </c>
      <c r="B38" s="27">
        <f t="shared" si="0"/>
        <v>11</v>
      </c>
      <c r="C38" s="27">
        <f t="shared" si="1"/>
        <v>3</v>
      </c>
      <c r="D38" s="113" t="str" cm="1">
        <f t="array" ref="D38">INDEX('Subj-Map-1'!$I$7:$K$100,1+B38,C38)</f>
        <v/>
      </c>
    </row>
    <row r="39" spans="1:4" x14ac:dyDescent="0.75">
      <c r="A39" s="27">
        <v>37</v>
      </c>
      <c r="B39" s="27">
        <f t="shared" si="0"/>
        <v>12</v>
      </c>
      <c r="C39" s="27">
        <f t="shared" si="1"/>
        <v>1</v>
      </c>
      <c r="D39" s="113" t="str" cm="1">
        <f t="array" ref="D39">INDEX('Subj-Map-1'!$I$7:$K$100,1+B39,C39)</f>
        <v>* differential.element[12].mapping[0].identity = "fhir"</v>
      </c>
    </row>
    <row r="40" spans="1:4" x14ac:dyDescent="0.75">
      <c r="A40" s="27">
        <v>38</v>
      </c>
      <c r="B40" s="27">
        <f t="shared" si="0"/>
        <v>12</v>
      </c>
      <c r="C40" s="27">
        <f t="shared" si="1"/>
        <v>2</v>
      </c>
      <c r="D40" s="113" t="str" cm="1">
        <f t="array" ref="D40">INDEX('Subj-Map-1'!$I$7:$K$100,1+B40,C40)</f>
        <v>* differential.element[12].mapping[0].map = "Patient.contact.telecom (if not the patient)
Patient.telecom (if the patient)
DocumentManifest.recipient.resolve().telecom (if intended recipient)"</v>
      </c>
    </row>
    <row r="41" spans="1:4" x14ac:dyDescent="0.75">
      <c r="A41" s="27">
        <v>39</v>
      </c>
      <c r="B41" s="27">
        <f t="shared" si="0"/>
        <v>12</v>
      </c>
      <c r="C41" s="27">
        <f t="shared" ref="C41:C104" si="2">IF(MOD(A41,3)=0,3,MOD(A41,3))</f>
        <v>3</v>
      </c>
      <c r="D41" s="113" t="str" cm="1">
        <f t="array" ref="D41">INDEX('Subj-Map-1'!$I$7:$K$100,1+B41,C41)</f>
        <v/>
      </c>
    </row>
    <row r="42" spans="1:4" x14ac:dyDescent="0.75">
      <c r="A42" s="27">
        <v>40</v>
      </c>
      <c r="B42" s="27">
        <f t="shared" si="0"/>
        <v>13</v>
      </c>
      <c r="C42" s="27">
        <f t="shared" si="2"/>
        <v>1</v>
      </c>
      <c r="D42" s="113" t="str" cm="1">
        <f t="array" ref="D42">INDEX('Subj-Map-1'!$I$7:$K$100,1+B42,C42)</f>
        <v>* differential.element[13].mapping[0].identity = "fhir"</v>
      </c>
    </row>
    <row r="43" spans="1:4" x14ac:dyDescent="0.75">
      <c r="A43" s="27">
        <v>41</v>
      </c>
      <c r="B43" s="27">
        <f t="shared" si="0"/>
        <v>13</v>
      </c>
      <c r="C43" s="27">
        <f t="shared" si="2"/>
        <v>2</v>
      </c>
      <c r="D43" s="113" t="str" cm="1">
        <f t="array" ref="D43">INDEX('Subj-Map-1'!$I$7:$K$100,1+B43,C43)</f>
        <v>* differential.element[13].mapping[0].map = "Patient.contact.relationship (if not the patient)
N/A (if the patient)
DocumentManifest.recipient.resolve().relationship (if intended recipient - not patient)"</v>
      </c>
    </row>
    <row r="44" spans="1:4" x14ac:dyDescent="0.75">
      <c r="A44" s="27">
        <v>42</v>
      </c>
      <c r="B44" s="27">
        <f t="shared" si="0"/>
        <v>13</v>
      </c>
      <c r="C44" s="27">
        <f t="shared" si="2"/>
        <v>3</v>
      </c>
      <c r="D44" s="113" t="str" cm="1">
        <f t="array" ref="D44">INDEX('Subj-Map-1'!$I$7:$K$100,1+B44,C44)</f>
        <v/>
      </c>
    </row>
    <row r="45" spans="1:4" x14ac:dyDescent="0.75">
      <c r="A45" s="27">
        <v>43</v>
      </c>
      <c r="B45" s="27">
        <f t="shared" si="0"/>
        <v>14</v>
      </c>
      <c r="C45" s="27">
        <f t="shared" si="2"/>
        <v>1</v>
      </c>
      <c r="D45" s="113" t="str" cm="1">
        <f t="array" ref="D45">INDEX('Subj-Map-1'!$I$7:$K$100,1+B45,C45)</f>
        <v/>
      </c>
    </row>
    <row r="46" spans="1:4" x14ac:dyDescent="0.75">
      <c r="A46" s="27">
        <v>44</v>
      </c>
      <c r="B46" s="27">
        <f t="shared" si="0"/>
        <v>14</v>
      </c>
      <c r="C46" s="27">
        <f t="shared" si="2"/>
        <v>2</v>
      </c>
      <c r="D46" s="113" t="str" cm="1">
        <f t="array" ref="D46">INDEX('Subj-Map-1'!$I$7:$K$100,1+B46,C46)</f>
        <v/>
      </c>
    </row>
    <row r="47" spans="1:4" x14ac:dyDescent="0.75">
      <c r="A47" s="27">
        <v>45</v>
      </c>
      <c r="B47" s="27">
        <f t="shared" si="0"/>
        <v>14</v>
      </c>
      <c r="C47" s="27">
        <f t="shared" si="2"/>
        <v>3</v>
      </c>
      <c r="D47" s="113" t="str" cm="1">
        <f t="array" ref="D47">INDEX('Subj-Map-1'!$I$7:$K$100,1+B47,C47)</f>
        <v/>
      </c>
    </row>
    <row r="48" spans="1:4" x14ac:dyDescent="0.75">
      <c r="A48" s="27">
        <v>46</v>
      </c>
      <c r="B48" s="27">
        <f t="shared" si="0"/>
        <v>15</v>
      </c>
      <c r="C48" s="27">
        <f t="shared" si="2"/>
        <v>1</v>
      </c>
      <c r="D48" s="113" t="str" cm="1">
        <f t="array" ref="D48">INDEX('Subj-Map-1'!$I$7:$K$100,1+B48,C48)</f>
        <v/>
      </c>
    </row>
    <row r="49" spans="1:7" x14ac:dyDescent="0.75">
      <c r="A49" s="27">
        <v>47</v>
      </c>
      <c r="B49" s="27">
        <f t="shared" si="0"/>
        <v>15</v>
      </c>
      <c r="C49" s="27">
        <f t="shared" si="2"/>
        <v>2</v>
      </c>
      <c r="D49" s="113" t="str" cm="1">
        <f t="array" ref="D49">INDEX('Subj-Map-1'!$I$7:$K$100,1+B49,C49)</f>
        <v/>
      </c>
    </row>
    <row r="50" spans="1:7" x14ac:dyDescent="0.75">
      <c r="A50" s="27">
        <v>48</v>
      </c>
      <c r="B50" s="27">
        <f t="shared" si="0"/>
        <v>15</v>
      </c>
      <c r="C50" s="27">
        <f t="shared" si="2"/>
        <v>3</v>
      </c>
      <c r="D50" s="113" t="str" cm="1">
        <f t="array" ref="D50">INDEX('Subj-Map-1'!$I$7:$K$100,1+B50,C50)</f>
        <v/>
      </c>
    </row>
    <row r="51" spans="1:7" x14ac:dyDescent="0.75">
      <c r="A51" s="27">
        <v>49</v>
      </c>
      <c r="B51" s="27">
        <f t="shared" si="0"/>
        <v>16</v>
      </c>
      <c r="C51" s="27">
        <f t="shared" si="2"/>
        <v>1</v>
      </c>
      <c r="D51" s="113" t="str" cm="1">
        <f t="array" ref="D51">INDEX('Subj-Map-1'!$I$7:$K$100,1+B51,C51)</f>
        <v/>
      </c>
    </row>
    <row r="52" spans="1:7" x14ac:dyDescent="0.75">
      <c r="A52" s="27">
        <v>50</v>
      </c>
      <c r="B52" s="27">
        <f t="shared" si="0"/>
        <v>16</v>
      </c>
      <c r="C52" s="27">
        <f t="shared" si="2"/>
        <v>2</v>
      </c>
      <c r="D52" s="113" t="str" cm="1">
        <f t="array" ref="D52">INDEX('Subj-Map-1'!$I$7:$K$100,1+B52,C52)</f>
        <v/>
      </c>
    </row>
    <row r="53" spans="1:7" x14ac:dyDescent="0.75">
      <c r="A53" s="27">
        <v>51</v>
      </c>
      <c r="B53" s="27">
        <f t="shared" si="0"/>
        <v>16</v>
      </c>
      <c r="C53" s="27">
        <f t="shared" si="2"/>
        <v>3</v>
      </c>
      <c r="D53" s="113" t="str" cm="1">
        <f t="array" ref="D53">INDEX('Subj-Map-1'!$I$7:$K$100,1+B53,C53)</f>
        <v/>
      </c>
    </row>
    <row r="54" spans="1:7" x14ac:dyDescent="0.75">
      <c r="A54" s="27">
        <v>52</v>
      </c>
      <c r="B54" s="27">
        <f t="shared" si="0"/>
        <v>17</v>
      </c>
      <c r="C54" s="27">
        <f t="shared" si="2"/>
        <v>1</v>
      </c>
      <c r="D54" s="113" t="str" cm="1">
        <f t="array" ref="D54">INDEX('Subj-Map-1'!$I$7:$K$100,1+B54,C54)</f>
        <v/>
      </c>
    </row>
    <row r="55" spans="1:7" x14ac:dyDescent="0.75">
      <c r="A55" s="27">
        <v>53</v>
      </c>
      <c r="B55" s="27">
        <f t="shared" si="0"/>
        <v>17</v>
      </c>
      <c r="C55" s="27">
        <f t="shared" si="2"/>
        <v>2</v>
      </c>
      <c r="D55" s="113" t="str" cm="1">
        <f t="array" ref="D55">INDEX('Subj-Map-1'!$I$7:$K$100,1+B55,C55)</f>
        <v/>
      </c>
      <c r="G55" s="15"/>
    </row>
    <row r="56" spans="1:7" x14ac:dyDescent="0.75">
      <c r="A56" s="27">
        <v>54</v>
      </c>
      <c r="B56" s="27">
        <f t="shared" si="0"/>
        <v>17</v>
      </c>
      <c r="C56" s="27">
        <f t="shared" si="2"/>
        <v>3</v>
      </c>
      <c r="D56" s="113" t="str" cm="1">
        <f t="array" ref="D56">INDEX('Subj-Map-1'!$I$7:$K$100,1+B56,C56)</f>
        <v/>
      </c>
    </row>
    <row r="57" spans="1:7" x14ac:dyDescent="0.75">
      <c r="A57" s="27">
        <v>55</v>
      </c>
      <c r="B57" s="27">
        <f t="shared" si="0"/>
        <v>18</v>
      </c>
      <c r="C57" s="27">
        <f t="shared" si="2"/>
        <v>1</v>
      </c>
      <c r="D57" s="113" t="str" cm="1">
        <f t="array" ref="D57">INDEX('Subj-Map-1'!$I$7:$K$100,1+B57,C57)</f>
        <v/>
      </c>
    </row>
    <row r="58" spans="1:7" x14ac:dyDescent="0.75">
      <c r="A58" s="27">
        <v>56</v>
      </c>
      <c r="B58" s="27">
        <f t="shared" si="0"/>
        <v>18</v>
      </c>
      <c r="C58" s="27">
        <f t="shared" si="2"/>
        <v>2</v>
      </c>
      <c r="D58" s="113" t="str" cm="1">
        <f t="array" ref="D58">INDEX('Subj-Map-1'!$I$7:$K$100,1+B58,C58)</f>
        <v/>
      </c>
    </row>
    <row r="59" spans="1:7" x14ac:dyDescent="0.75">
      <c r="A59" s="27">
        <v>57</v>
      </c>
      <c r="B59" s="27">
        <f t="shared" si="0"/>
        <v>18</v>
      </c>
      <c r="C59" s="27">
        <f t="shared" si="2"/>
        <v>3</v>
      </c>
      <c r="D59" s="113" t="str" cm="1">
        <f t="array" ref="D59">INDEX('Subj-Map-1'!$I$7:$K$100,1+B59,C59)</f>
        <v/>
      </c>
    </row>
    <row r="60" spans="1:7" x14ac:dyDescent="0.75">
      <c r="A60" s="27">
        <v>58</v>
      </c>
      <c r="B60" s="27">
        <f t="shared" si="0"/>
        <v>19</v>
      </c>
      <c r="C60" s="27">
        <f t="shared" si="2"/>
        <v>1</v>
      </c>
      <c r="D60" s="113" t="str" cm="1">
        <f t="array" ref="D60">INDEX('Subj-Map-1'!$I$7:$K$100,1+B60,C60)</f>
        <v/>
      </c>
    </row>
    <row r="61" spans="1:7" x14ac:dyDescent="0.75">
      <c r="A61" s="27">
        <v>59</v>
      </c>
      <c r="B61" s="27">
        <f t="shared" si="0"/>
        <v>19</v>
      </c>
      <c r="C61" s="27">
        <f t="shared" si="2"/>
        <v>2</v>
      </c>
      <c r="D61" s="113" t="str" cm="1">
        <f t="array" ref="D61">INDEX('Subj-Map-1'!$I$7:$K$100,1+B61,C61)</f>
        <v/>
      </c>
    </row>
    <row r="62" spans="1:7" x14ac:dyDescent="0.75">
      <c r="A62" s="27">
        <v>60</v>
      </c>
      <c r="B62" s="27">
        <f t="shared" si="0"/>
        <v>19</v>
      </c>
      <c r="C62" s="27">
        <f t="shared" si="2"/>
        <v>3</v>
      </c>
      <c r="D62" s="113" t="str" cm="1">
        <f t="array" ref="D62">INDEX('Subj-Map-1'!$I$7:$K$100,1+B62,C62)</f>
        <v/>
      </c>
    </row>
    <row r="63" spans="1:7" x14ac:dyDescent="0.75">
      <c r="A63" s="27">
        <v>61</v>
      </c>
      <c r="B63" s="27">
        <f t="shared" si="0"/>
        <v>20</v>
      </c>
      <c r="C63" s="27">
        <f t="shared" si="2"/>
        <v>1</v>
      </c>
      <c r="D63" s="113" t="str" cm="1">
        <f t="array" ref="D63">INDEX('Subj-Map-1'!$I$7:$K$100,1+B63,C63)</f>
        <v/>
      </c>
    </row>
    <row r="64" spans="1:7" x14ac:dyDescent="0.75">
      <c r="A64" s="27">
        <v>62</v>
      </c>
      <c r="B64" s="27">
        <f t="shared" si="0"/>
        <v>20</v>
      </c>
      <c r="C64" s="27">
        <f t="shared" si="2"/>
        <v>2</v>
      </c>
      <c r="D64" s="113" t="str" cm="1">
        <f t="array" ref="D64">INDEX('Subj-Map-1'!$I$7:$K$100,1+B64,C64)</f>
        <v/>
      </c>
    </row>
    <row r="65" spans="1:4" x14ac:dyDescent="0.75">
      <c r="A65" s="27">
        <v>63</v>
      </c>
      <c r="B65" s="27">
        <f t="shared" si="0"/>
        <v>20</v>
      </c>
      <c r="C65" s="27">
        <f t="shared" si="2"/>
        <v>3</v>
      </c>
      <c r="D65" s="113" t="str" cm="1">
        <f t="array" ref="D65">INDEX('Subj-Map-1'!$I$7:$K$100,1+B65,C65)</f>
        <v/>
      </c>
    </row>
    <row r="66" spans="1:4" x14ac:dyDescent="0.75">
      <c r="A66" s="27">
        <v>64</v>
      </c>
      <c r="B66" s="27">
        <f t="shared" si="0"/>
        <v>21</v>
      </c>
      <c r="C66" s="27">
        <f t="shared" si="2"/>
        <v>1</v>
      </c>
      <c r="D66" s="113" t="str" cm="1">
        <f t="array" ref="D66">INDEX('Subj-Map-1'!$I$7:$K$100,1+B66,C66)</f>
        <v/>
      </c>
    </row>
    <row r="67" spans="1:4" x14ac:dyDescent="0.75">
      <c r="A67" s="27">
        <v>65</v>
      </c>
      <c r="B67" s="27">
        <f t="shared" si="0"/>
        <v>21</v>
      </c>
      <c r="C67" s="27">
        <f t="shared" si="2"/>
        <v>2</v>
      </c>
      <c r="D67" s="113" t="str" cm="1">
        <f t="array" ref="D67">INDEX('Subj-Map-1'!$I$7:$K$100,1+B67,C67)</f>
        <v/>
      </c>
    </row>
    <row r="68" spans="1:4" x14ac:dyDescent="0.75">
      <c r="A68" s="27">
        <v>66</v>
      </c>
      <c r="B68" s="27">
        <f t="shared" ref="B68:B131" si="3">IF(MOD(A68,3)=0,A68/3-1,INT(A68/3))</f>
        <v>21</v>
      </c>
      <c r="C68" s="27">
        <f t="shared" si="2"/>
        <v>3</v>
      </c>
      <c r="D68" s="113" t="str" cm="1">
        <f t="array" ref="D68">INDEX('Subj-Map-1'!$I$7:$K$100,1+B68,C68)</f>
        <v/>
      </c>
    </row>
    <row r="69" spans="1:4" x14ac:dyDescent="0.75">
      <c r="A69" s="27">
        <v>67</v>
      </c>
      <c r="B69" s="27">
        <f t="shared" si="3"/>
        <v>22</v>
      </c>
      <c r="C69" s="27">
        <f t="shared" si="2"/>
        <v>1</v>
      </c>
      <c r="D69" s="113" t="str" cm="1">
        <f t="array" ref="D69">INDEX('Subj-Map-1'!$I$7:$K$100,1+B69,C69)</f>
        <v/>
      </c>
    </row>
    <row r="70" spans="1:4" x14ac:dyDescent="0.75">
      <c r="A70" s="27">
        <v>68</v>
      </c>
      <c r="B70" s="27">
        <f t="shared" si="3"/>
        <v>22</v>
      </c>
      <c r="C70" s="27">
        <f t="shared" si="2"/>
        <v>2</v>
      </c>
      <c r="D70" s="113" t="str" cm="1">
        <f t="array" ref="D70">INDEX('Subj-Map-1'!$I$7:$K$100,1+B70,C70)</f>
        <v/>
      </c>
    </row>
    <row r="71" spans="1:4" x14ac:dyDescent="0.75">
      <c r="A71" s="27">
        <v>69</v>
      </c>
      <c r="B71" s="27">
        <f t="shared" si="3"/>
        <v>22</v>
      </c>
      <c r="C71" s="27">
        <f t="shared" si="2"/>
        <v>3</v>
      </c>
      <c r="D71" s="113" t="str" cm="1">
        <f t="array" ref="D71">INDEX('Subj-Map-1'!$I$7:$K$100,1+B71,C71)</f>
        <v/>
      </c>
    </row>
    <row r="72" spans="1:4" x14ac:dyDescent="0.75">
      <c r="A72" s="27">
        <v>70</v>
      </c>
      <c r="B72" s="27">
        <f t="shared" si="3"/>
        <v>23</v>
      </c>
      <c r="C72" s="27">
        <f t="shared" si="2"/>
        <v>1</v>
      </c>
      <c r="D72" s="113" t="str" cm="1">
        <f t="array" ref="D72">INDEX('Subj-Map-1'!$I$7:$K$100,1+B72,C72)</f>
        <v/>
      </c>
    </row>
    <row r="73" spans="1:4" x14ac:dyDescent="0.75">
      <c r="A73" s="27">
        <v>71</v>
      </c>
      <c r="B73" s="27">
        <f t="shared" si="3"/>
        <v>23</v>
      </c>
      <c r="C73" s="27">
        <f t="shared" si="2"/>
        <v>2</v>
      </c>
      <c r="D73" s="113" t="str" cm="1">
        <f t="array" ref="D73">INDEX('Subj-Map-1'!$I$7:$K$100,1+B73,C73)</f>
        <v/>
      </c>
    </row>
    <row r="74" spans="1:4" x14ac:dyDescent="0.75">
      <c r="A74" s="27">
        <v>72</v>
      </c>
      <c r="B74" s="27">
        <f t="shared" si="3"/>
        <v>23</v>
      </c>
      <c r="C74" s="27">
        <f t="shared" si="2"/>
        <v>3</v>
      </c>
      <c r="D74" s="113" t="str" cm="1">
        <f t="array" ref="D74">INDEX('Subj-Map-1'!$I$7:$K$100,1+B74,C74)</f>
        <v/>
      </c>
    </row>
    <row r="75" spans="1:4" x14ac:dyDescent="0.75">
      <c r="A75" s="27">
        <v>73</v>
      </c>
      <c r="B75" s="27">
        <f t="shared" si="3"/>
        <v>24</v>
      </c>
      <c r="C75" s="27">
        <f t="shared" si="2"/>
        <v>1</v>
      </c>
      <c r="D75" s="113" t="str" cm="1">
        <f t="array" ref="D75">INDEX('Subj-Map-1'!$I$7:$K$100,1+B75,C75)</f>
        <v/>
      </c>
    </row>
    <row r="76" spans="1:4" x14ac:dyDescent="0.75">
      <c r="A76" s="27">
        <v>74</v>
      </c>
      <c r="B76" s="27">
        <f t="shared" si="3"/>
        <v>24</v>
      </c>
      <c r="C76" s="27">
        <f t="shared" si="2"/>
        <v>2</v>
      </c>
      <c r="D76" s="113" t="str" cm="1">
        <f t="array" ref="D76">INDEX('Subj-Map-1'!$I$7:$K$100,1+B76,C76)</f>
        <v/>
      </c>
    </row>
    <row r="77" spans="1:4" x14ac:dyDescent="0.75">
      <c r="A77" s="27">
        <v>75</v>
      </c>
      <c r="B77" s="27">
        <f t="shared" si="3"/>
        <v>24</v>
      </c>
      <c r="C77" s="27">
        <f t="shared" si="2"/>
        <v>3</v>
      </c>
      <c r="D77" s="113" t="str" cm="1">
        <f t="array" ref="D77">INDEX('Subj-Map-1'!$I$7:$K$100,1+B77,C77)</f>
        <v/>
      </c>
    </row>
    <row r="78" spans="1:4" x14ac:dyDescent="0.75">
      <c r="A78" s="27">
        <v>76</v>
      </c>
      <c r="B78" s="27">
        <f t="shared" si="3"/>
        <v>25</v>
      </c>
      <c r="C78" s="27">
        <f t="shared" si="2"/>
        <v>1</v>
      </c>
      <c r="D78" s="113" t="str" cm="1">
        <f t="array" ref="D78">INDEX('Subj-Map-1'!$I$7:$K$100,1+B78,C78)</f>
        <v/>
      </c>
    </row>
    <row r="79" spans="1:4" x14ac:dyDescent="0.75">
      <c r="A79" s="27">
        <v>77</v>
      </c>
      <c r="B79" s="27">
        <f t="shared" si="3"/>
        <v>25</v>
      </c>
      <c r="C79" s="27">
        <f t="shared" si="2"/>
        <v>2</v>
      </c>
      <c r="D79" s="113" t="str" cm="1">
        <f t="array" ref="D79">INDEX('Subj-Map-1'!$I$7:$K$100,1+B79,C79)</f>
        <v/>
      </c>
    </row>
    <row r="80" spans="1:4" x14ac:dyDescent="0.75">
      <c r="A80" s="27">
        <v>78</v>
      </c>
      <c r="B80" s="27">
        <f t="shared" si="3"/>
        <v>25</v>
      </c>
      <c r="C80" s="27">
        <f t="shared" si="2"/>
        <v>3</v>
      </c>
      <c r="D80" s="113" t="str" cm="1">
        <f t="array" ref="D80">INDEX('Subj-Map-1'!$I$7:$K$100,1+B80,C80)</f>
        <v/>
      </c>
    </row>
    <row r="81" spans="1:4" x14ac:dyDescent="0.75">
      <c r="A81" s="27">
        <v>79</v>
      </c>
      <c r="B81" s="27">
        <f t="shared" si="3"/>
        <v>26</v>
      </c>
      <c r="C81" s="27">
        <f t="shared" si="2"/>
        <v>1</v>
      </c>
      <c r="D81" s="113" t="str" cm="1">
        <f t="array" ref="D81">INDEX('Subj-Map-1'!$I$7:$K$100,1+B81,C81)</f>
        <v/>
      </c>
    </row>
    <row r="82" spans="1:4" x14ac:dyDescent="0.75">
      <c r="A82" s="27">
        <v>80</v>
      </c>
      <c r="B82" s="27">
        <f t="shared" si="3"/>
        <v>26</v>
      </c>
      <c r="C82" s="27">
        <f t="shared" si="2"/>
        <v>2</v>
      </c>
      <c r="D82" s="113" t="str" cm="1">
        <f t="array" ref="D82">INDEX('Subj-Map-1'!$I$7:$K$100,1+B82,C82)</f>
        <v/>
      </c>
    </row>
    <row r="83" spans="1:4" x14ac:dyDescent="0.75">
      <c r="A83" s="27">
        <v>81</v>
      </c>
      <c r="B83" s="27">
        <f t="shared" si="3"/>
        <v>26</v>
      </c>
      <c r="C83" s="27">
        <f t="shared" si="2"/>
        <v>3</v>
      </c>
      <c r="D83" s="113" t="str" cm="1">
        <f t="array" ref="D83">INDEX('Subj-Map-1'!$I$7:$K$100,1+B83,C83)</f>
        <v/>
      </c>
    </row>
    <row r="84" spans="1:4" x14ac:dyDescent="0.75">
      <c r="A84" s="27">
        <v>82</v>
      </c>
      <c r="B84" s="27">
        <f t="shared" si="3"/>
        <v>27</v>
      </c>
      <c r="C84" s="27">
        <f t="shared" si="2"/>
        <v>1</v>
      </c>
      <c r="D84" s="113" t="str" cm="1">
        <f t="array" ref="D84">INDEX('Subj-Map-1'!$I$7:$K$100,1+B84,C84)</f>
        <v/>
      </c>
    </row>
    <row r="85" spans="1:4" x14ac:dyDescent="0.75">
      <c r="A85" s="27">
        <v>83</v>
      </c>
      <c r="B85" s="27">
        <f t="shared" si="3"/>
        <v>27</v>
      </c>
      <c r="C85" s="27">
        <f t="shared" si="2"/>
        <v>2</v>
      </c>
      <c r="D85" s="113" t="str" cm="1">
        <f t="array" ref="D85">INDEX('Subj-Map-1'!$I$7:$K$100,1+B85,C85)</f>
        <v/>
      </c>
    </row>
    <row r="86" spans="1:4" x14ac:dyDescent="0.75">
      <c r="A86" s="27">
        <v>84</v>
      </c>
      <c r="B86" s="27">
        <f t="shared" si="3"/>
        <v>27</v>
      </c>
      <c r="C86" s="27">
        <f t="shared" si="2"/>
        <v>3</v>
      </c>
      <c r="D86" s="113" t="str" cm="1">
        <f t="array" ref="D86">INDEX('Subj-Map-1'!$I$7:$K$100,1+B86,C86)</f>
        <v/>
      </c>
    </row>
    <row r="87" spans="1:4" x14ac:dyDescent="0.75">
      <c r="A87" s="27">
        <v>85</v>
      </c>
      <c r="B87" s="27">
        <f t="shared" si="3"/>
        <v>28</v>
      </c>
      <c r="C87" s="27">
        <f t="shared" si="2"/>
        <v>1</v>
      </c>
      <c r="D87" s="113" t="str" cm="1">
        <f t="array" ref="D87">INDEX('Subj-Map-1'!$I$7:$K$100,1+B87,C87)</f>
        <v/>
      </c>
    </row>
    <row r="88" spans="1:4" x14ac:dyDescent="0.75">
      <c r="A88" s="27">
        <v>86</v>
      </c>
      <c r="B88" s="27">
        <f t="shared" si="3"/>
        <v>28</v>
      </c>
      <c r="C88" s="27">
        <f t="shared" si="2"/>
        <v>2</v>
      </c>
      <c r="D88" s="113" t="str" cm="1">
        <f t="array" ref="D88">INDEX('Subj-Map-1'!$I$7:$K$100,1+B88,C88)</f>
        <v/>
      </c>
    </row>
    <row r="89" spans="1:4" x14ac:dyDescent="0.75">
      <c r="A89" s="27">
        <v>87</v>
      </c>
      <c r="B89" s="27">
        <f t="shared" si="3"/>
        <v>28</v>
      </c>
      <c r="C89" s="27">
        <f t="shared" si="2"/>
        <v>3</v>
      </c>
      <c r="D89" s="113" t="str" cm="1">
        <f t="array" ref="D89">INDEX('Subj-Map-1'!$I$7:$K$100,1+B89,C89)</f>
        <v/>
      </c>
    </row>
    <row r="90" spans="1:4" x14ac:dyDescent="0.75">
      <c r="A90" s="27">
        <v>88</v>
      </c>
      <c r="B90" s="27">
        <f t="shared" si="3"/>
        <v>29</v>
      </c>
      <c r="C90" s="27">
        <f t="shared" si="2"/>
        <v>1</v>
      </c>
      <c r="D90" s="113" t="str" cm="1">
        <f t="array" ref="D90">INDEX('Subj-Map-1'!$I$7:$K$100,1+B90,C90)</f>
        <v/>
      </c>
    </row>
    <row r="91" spans="1:4" x14ac:dyDescent="0.75">
      <c r="A91" s="27">
        <v>89</v>
      </c>
      <c r="B91" s="27">
        <f t="shared" si="3"/>
        <v>29</v>
      </c>
      <c r="C91" s="27">
        <f t="shared" si="2"/>
        <v>2</v>
      </c>
      <c r="D91" s="113" t="str" cm="1">
        <f t="array" ref="D91">INDEX('Subj-Map-1'!$I$7:$K$100,1+B91,C91)</f>
        <v/>
      </c>
    </row>
    <row r="92" spans="1:4" x14ac:dyDescent="0.75">
      <c r="A92" s="27">
        <v>90</v>
      </c>
      <c r="B92" s="27">
        <f t="shared" si="3"/>
        <v>29</v>
      </c>
      <c r="C92" s="27">
        <f t="shared" si="2"/>
        <v>3</v>
      </c>
      <c r="D92" s="113" t="str" cm="1">
        <f t="array" ref="D92">INDEX('Subj-Map-1'!$I$7:$K$100,1+B92,C92)</f>
        <v/>
      </c>
    </row>
    <row r="93" spans="1:4" x14ac:dyDescent="0.75">
      <c r="A93" s="27">
        <v>91</v>
      </c>
      <c r="B93" s="27">
        <f t="shared" si="3"/>
        <v>30</v>
      </c>
      <c r="C93" s="27">
        <f t="shared" si="2"/>
        <v>1</v>
      </c>
      <c r="D93" s="113" t="str" cm="1">
        <f t="array" ref="D93">INDEX('Subj-Map-1'!$I$7:$K$100,1+B93,C93)</f>
        <v/>
      </c>
    </row>
    <row r="94" spans="1:4" x14ac:dyDescent="0.75">
      <c r="A94" s="27">
        <v>92</v>
      </c>
      <c r="B94" s="27">
        <f t="shared" si="3"/>
        <v>30</v>
      </c>
      <c r="C94" s="27">
        <f t="shared" si="2"/>
        <v>2</v>
      </c>
      <c r="D94" s="113" t="str" cm="1">
        <f t="array" ref="D94">INDEX('Subj-Map-1'!$I$7:$K$100,1+B94,C94)</f>
        <v/>
      </c>
    </row>
    <row r="95" spans="1:4" x14ac:dyDescent="0.75">
      <c r="A95" s="27">
        <v>93</v>
      </c>
      <c r="B95" s="27">
        <f t="shared" si="3"/>
        <v>30</v>
      </c>
      <c r="C95" s="27">
        <f t="shared" si="2"/>
        <v>3</v>
      </c>
      <c r="D95" s="113" t="str" cm="1">
        <f t="array" ref="D95">INDEX('Subj-Map-1'!$I$7:$K$100,1+B95,C95)</f>
        <v/>
      </c>
    </row>
    <row r="96" spans="1:4" x14ac:dyDescent="0.75">
      <c r="A96" s="27">
        <v>94</v>
      </c>
      <c r="B96" s="27">
        <f t="shared" si="3"/>
        <v>31</v>
      </c>
      <c r="C96" s="27">
        <f t="shared" si="2"/>
        <v>1</v>
      </c>
      <c r="D96" s="113" t="str" cm="1">
        <f t="array" ref="D96">INDEX('Subj-Map-1'!$I$7:$K$100,1+B96,C96)</f>
        <v/>
      </c>
    </row>
    <row r="97" spans="1:4" x14ac:dyDescent="0.75">
      <c r="A97" s="27">
        <v>95</v>
      </c>
      <c r="B97" s="27">
        <f t="shared" si="3"/>
        <v>31</v>
      </c>
      <c r="C97" s="27">
        <f t="shared" si="2"/>
        <v>2</v>
      </c>
      <c r="D97" s="113" t="str" cm="1">
        <f t="array" ref="D97">INDEX('Subj-Map-1'!$I$7:$K$100,1+B97,C97)</f>
        <v/>
      </c>
    </row>
    <row r="98" spans="1:4" x14ac:dyDescent="0.75">
      <c r="A98" s="27">
        <v>96</v>
      </c>
      <c r="B98" s="27">
        <f t="shared" si="3"/>
        <v>31</v>
      </c>
      <c r="C98" s="27">
        <f t="shared" si="2"/>
        <v>3</v>
      </c>
      <c r="D98" s="113" t="str" cm="1">
        <f t="array" ref="D98">INDEX('Subj-Map-1'!$I$7:$K$100,1+B98,C98)</f>
        <v/>
      </c>
    </row>
    <row r="99" spans="1:4" x14ac:dyDescent="0.75">
      <c r="A99" s="27">
        <v>97</v>
      </c>
      <c r="B99" s="27">
        <f t="shared" si="3"/>
        <v>32</v>
      </c>
      <c r="C99" s="27">
        <f t="shared" si="2"/>
        <v>1</v>
      </c>
      <c r="D99" s="113" t="str" cm="1">
        <f t="array" ref="D99">INDEX('Subj-Map-1'!$I$7:$K$100,1+B99,C99)</f>
        <v/>
      </c>
    </row>
    <row r="100" spans="1:4" x14ac:dyDescent="0.75">
      <c r="A100" s="27">
        <v>98</v>
      </c>
      <c r="B100" s="27">
        <f t="shared" si="3"/>
        <v>32</v>
      </c>
      <c r="C100" s="27">
        <f t="shared" si="2"/>
        <v>2</v>
      </c>
      <c r="D100" s="113" t="str" cm="1">
        <f t="array" ref="D100">INDEX('Subj-Map-1'!$I$7:$K$100,1+B100,C100)</f>
        <v/>
      </c>
    </row>
    <row r="101" spans="1:4" x14ac:dyDescent="0.75">
      <c r="A101" s="27">
        <v>99</v>
      </c>
      <c r="B101" s="27">
        <f t="shared" si="3"/>
        <v>32</v>
      </c>
      <c r="C101" s="27">
        <f t="shared" si="2"/>
        <v>3</v>
      </c>
      <c r="D101" s="113" t="str" cm="1">
        <f t="array" ref="D101">INDEX('Subj-Map-1'!$I$7:$K$100,1+B101,C101)</f>
        <v/>
      </c>
    </row>
    <row r="102" spans="1:4" x14ac:dyDescent="0.75">
      <c r="A102" s="27">
        <v>100</v>
      </c>
      <c r="B102" s="27">
        <f t="shared" si="3"/>
        <v>33</v>
      </c>
      <c r="C102" s="27">
        <f t="shared" si="2"/>
        <v>1</v>
      </c>
      <c r="D102" s="113" t="str" cm="1">
        <f t="array" ref="D102">INDEX('Subj-Map-1'!$I$7:$K$100,1+B102,C102)</f>
        <v/>
      </c>
    </row>
    <row r="103" spans="1:4" x14ac:dyDescent="0.75">
      <c r="A103" s="27">
        <v>101</v>
      </c>
      <c r="B103" s="27">
        <f t="shared" si="3"/>
        <v>33</v>
      </c>
      <c r="C103" s="27">
        <f t="shared" si="2"/>
        <v>2</v>
      </c>
      <c r="D103" s="113" t="str" cm="1">
        <f t="array" ref="D103">INDEX('Subj-Map-1'!$I$7:$K$100,1+B103,C103)</f>
        <v/>
      </c>
    </row>
    <row r="104" spans="1:4" x14ac:dyDescent="0.75">
      <c r="A104" s="27">
        <v>102</v>
      </c>
      <c r="B104" s="27">
        <f t="shared" si="3"/>
        <v>33</v>
      </c>
      <c r="C104" s="27">
        <f t="shared" si="2"/>
        <v>3</v>
      </c>
      <c r="D104" s="113" t="str" cm="1">
        <f t="array" ref="D104">INDEX('Subj-Map-1'!$I$7:$K$100,1+B104,C104)</f>
        <v/>
      </c>
    </row>
    <row r="105" spans="1:4" x14ac:dyDescent="0.75">
      <c r="A105" s="27">
        <v>103</v>
      </c>
      <c r="B105" s="27">
        <f t="shared" si="3"/>
        <v>34</v>
      </c>
      <c r="C105" s="27">
        <f t="shared" ref="C105:C168" si="4">IF(MOD(A105,3)=0,3,MOD(A105,3))</f>
        <v>1</v>
      </c>
      <c r="D105" s="113" t="str" cm="1">
        <f t="array" ref="D105">INDEX('Subj-Map-1'!$I$7:$K$100,1+B105,C105)</f>
        <v/>
      </c>
    </row>
    <row r="106" spans="1:4" x14ac:dyDescent="0.75">
      <c r="A106" s="27">
        <v>104</v>
      </c>
      <c r="B106" s="27">
        <f t="shared" si="3"/>
        <v>34</v>
      </c>
      <c r="C106" s="27">
        <f t="shared" si="4"/>
        <v>2</v>
      </c>
      <c r="D106" s="113" t="str" cm="1">
        <f t="array" ref="D106">INDEX('Subj-Map-1'!$I$7:$K$100,1+B106,C106)</f>
        <v/>
      </c>
    </row>
    <row r="107" spans="1:4" x14ac:dyDescent="0.75">
      <c r="A107" s="27">
        <v>105</v>
      </c>
      <c r="B107" s="27">
        <f t="shared" si="3"/>
        <v>34</v>
      </c>
      <c r="C107" s="27">
        <f t="shared" si="4"/>
        <v>3</v>
      </c>
      <c r="D107" s="113" t="str" cm="1">
        <f t="array" ref="D107">INDEX('Subj-Map-1'!$I$7:$K$100,1+B107,C107)</f>
        <v/>
      </c>
    </row>
    <row r="108" spans="1:4" x14ac:dyDescent="0.75">
      <c r="A108" s="27">
        <v>106</v>
      </c>
      <c r="B108" s="27">
        <f t="shared" si="3"/>
        <v>35</v>
      </c>
      <c r="C108" s="27">
        <f t="shared" si="4"/>
        <v>1</v>
      </c>
      <c r="D108" s="113" t="str" cm="1">
        <f t="array" ref="D108">INDEX('Subj-Map-1'!$I$7:$K$100,1+B108,C108)</f>
        <v/>
      </c>
    </row>
    <row r="109" spans="1:4" x14ac:dyDescent="0.75">
      <c r="A109" s="27">
        <v>107</v>
      </c>
      <c r="B109" s="27">
        <f t="shared" si="3"/>
        <v>35</v>
      </c>
      <c r="C109" s="27">
        <f t="shared" si="4"/>
        <v>2</v>
      </c>
      <c r="D109" s="113" t="str" cm="1">
        <f t="array" ref="D109">INDEX('Subj-Map-1'!$I$7:$K$100,1+B109,C109)</f>
        <v/>
      </c>
    </row>
    <row r="110" spans="1:4" x14ac:dyDescent="0.75">
      <c r="A110" s="27">
        <v>108</v>
      </c>
      <c r="B110" s="27">
        <f t="shared" si="3"/>
        <v>35</v>
      </c>
      <c r="C110" s="27">
        <f t="shared" si="4"/>
        <v>3</v>
      </c>
      <c r="D110" s="113" t="str" cm="1">
        <f t="array" ref="D110">INDEX('Subj-Map-1'!$I$7:$K$100,1+B110,C110)</f>
        <v/>
      </c>
    </row>
    <row r="111" spans="1:4" x14ac:dyDescent="0.75">
      <c r="A111" s="27">
        <v>109</v>
      </c>
      <c r="B111" s="27">
        <f t="shared" si="3"/>
        <v>36</v>
      </c>
      <c r="C111" s="27">
        <f t="shared" si="4"/>
        <v>1</v>
      </c>
      <c r="D111" s="113" t="str" cm="1">
        <f t="array" ref="D111">INDEX('Subj-Map-1'!$I$7:$K$100,1+B111,C111)</f>
        <v/>
      </c>
    </row>
    <row r="112" spans="1:4" x14ac:dyDescent="0.75">
      <c r="A112" s="27">
        <v>110</v>
      </c>
      <c r="B112" s="27">
        <f t="shared" si="3"/>
        <v>36</v>
      </c>
      <c r="C112" s="27">
        <f t="shared" si="4"/>
        <v>2</v>
      </c>
      <c r="D112" s="113" t="str" cm="1">
        <f t="array" ref="D112">INDEX('Subj-Map-1'!$I$7:$K$100,1+B112,C112)</f>
        <v/>
      </c>
    </row>
    <row r="113" spans="1:4" x14ac:dyDescent="0.75">
      <c r="A113" s="27">
        <v>111</v>
      </c>
      <c r="B113" s="27">
        <f t="shared" si="3"/>
        <v>36</v>
      </c>
      <c r="C113" s="27">
        <f t="shared" si="4"/>
        <v>3</v>
      </c>
      <c r="D113" s="113" t="str" cm="1">
        <f t="array" ref="D113">INDEX('Subj-Map-1'!$I$7:$K$100,1+B113,C113)</f>
        <v/>
      </c>
    </row>
    <row r="114" spans="1:4" x14ac:dyDescent="0.75">
      <c r="A114" s="27">
        <v>112</v>
      </c>
      <c r="B114" s="27">
        <f t="shared" si="3"/>
        <v>37</v>
      </c>
      <c r="C114" s="27">
        <f t="shared" si="4"/>
        <v>1</v>
      </c>
      <c r="D114" s="113" t="str" cm="1">
        <f t="array" ref="D114">INDEX('Subj-Map-1'!$I$7:$K$100,1+B114,C114)</f>
        <v/>
      </c>
    </row>
    <row r="115" spans="1:4" x14ac:dyDescent="0.75">
      <c r="A115" s="27">
        <v>113</v>
      </c>
      <c r="B115" s="27">
        <f t="shared" si="3"/>
        <v>37</v>
      </c>
      <c r="C115" s="27">
        <f t="shared" si="4"/>
        <v>2</v>
      </c>
      <c r="D115" s="113" t="str" cm="1">
        <f t="array" ref="D115">INDEX('Subj-Map-1'!$I$7:$K$100,1+B115,C115)</f>
        <v/>
      </c>
    </row>
    <row r="116" spans="1:4" x14ac:dyDescent="0.75">
      <c r="A116" s="27">
        <v>114</v>
      </c>
      <c r="B116" s="27">
        <f t="shared" si="3"/>
        <v>37</v>
      </c>
      <c r="C116" s="27">
        <f t="shared" si="4"/>
        <v>3</v>
      </c>
      <c r="D116" s="113" t="str" cm="1">
        <f t="array" ref="D116">INDEX('Subj-Map-1'!$I$7:$K$100,1+B116,C116)</f>
        <v/>
      </c>
    </row>
    <row r="117" spans="1:4" x14ac:dyDescent="0.75">
      <c r="A117" s="27">
        <v>115</v>
      </c>
      <c r="B117" s="27">
        <f t="shared" si="3"/>
        <v>38</v>
      </c>
      <c r="C117" s="27">
        <f t="shared" si="4"/>
        <v>1</v>
      </c>
      <c r="D117" s="113" t="str" cm="1">
        <f t="array" ref="D117">INDEX('Subj-Map-1'!$I$7:$K$100,1+B117,C117)</f>
        <v/>
      </c>
    </row>
    <row r="118" spans="1:4" x14ac:dyDescent="0.75">
      <c r="A118" s="27">
        <v>116</v>
      </c>
      <c r="B118" s="27">
        <f t="shared" si="3"/>
        <v>38</v>
      </c>
      <c r="C118" s="27">
        <f t="shared" si="4"/>
        <v>2</v>
      </c>
      <c r="D118" s="113" t="str" cm="1">
        <f t="array" ref="D118">INDEX('Subj-Map-1'!$I$7:$K$100,1+B118,C118)</f>
        <v/>
      </c>
    </row>
    <row r="119" spans="1:4" x14ac:dyDescent="0.75">
      <c r="A119" s="27">
        <v>117</v>
      </c>
      <c r="B119" s="27">
        <f t="shared" si="3"/>
        <v>38</v>
      </c>
      <c r="C119" s="27">
        <f t="shared" si="4"/>
        <v>3</v>
      </c>
      <c r="D119" s="113" t="str" cm="1">
        <f t="array" ref="D119">INDEX('Subj-Map-1'!$I$7:$K$100,1+B119,C119)</f>
        <v/>
      </c>
    </row>
    <row r="120" spans="1:4" x14ac:dyDescent="0.75">
      <c r="A120" s="27">
        <v>118</v>
      </c>
      <c r="B120" s="27">
        <f t="shared" si="3"/>
        <v>39</v>
      </c>
      <c r="C120" s="27">
        <f t="shared" si="4"/>
        <v>1</v>
      </c>
      <c r="D120" s="113" t="str" cm="1">
        <f t="array" ref="D120">INDEX('Subj-Map-1'!$I$7:$K$100,1+B120,C120)</f>
        <v/>
      </c>
    </row>
    <row r="121" spans="1:4" x14ac:dyDescent="0.75">
      <c r="A121" s="27">
        <v>119</v>
      </c>
      <c r="B121" s="27">
        <f t="shared" si="3"/>
        <v>39</v>
      </c>
      <c r="C121" s="27">
        <f t="shared" si="4"/>
        <v>2</v>
      </c>
      <c r="D121" s="113" t="str" cm="1">
        <f t="array" ref="D121">INDEX('Subj-Map-1'!$I$7:$K$100,1+B121,C121)</f>
        <v/>
      </c>
    </row>
    <row r="122" spans="1:4" x14ac:dyDescent="0.75">
      <c r="A122" s="27">
        <v>120</v>
      </c>
      <c r="B122" s="27">
        <f t="shared" si="3"/>
        <v>39</v>
      </c>
      <c r="C122" s="27">
        <f t="shared" si="4"/>
        <v>3</v>
      </c>
      <c r="D122" s="113" t="str" cm="1">
        <f t="array" ref="D122">INDEX('Subj-Map-1'!$I$7:$K$100,1+B122,C122)</f>
        <v/>
      </c>
    </row>
    <row r="123" spans="1:4" x14ac:dyDescent="0.75">
      <c r="A123" s="27">
        <v>121</v>
      </c>
      <c r="B123" s="27">
        <f t="shared" si="3"/>
        <v>40</v>
      </c>
      <c r="C123" s="27">
        <f t="shared" si="4"/>
        <v>1</v>
      </c>
      <c r="D123" s="113" t="str" cm="1">
        <f t="array" ref="D123">INDEX('Subj-Map-1'!$I$7:$K$100,1+B123,C123)</f>
        <v/>
      </c>
    </row>
    <row r="124" spans="1:4" x14ac:dyDescent="0.75">
      <c r="A124" s="27">
        <v>122</v>
      </c>
      <c r="B124" s="27">
        <f t="shared" si="3"/>
        <v>40</v>
      </c>
      <c r="C124" s="27">
        <f t="shared" si="4"/>
        <v>2</v>
      </c>
      <c r="D124" s="113" t="str" cm="1">
        <f t="array" ref="D124">INDEX('Subj-Map-1'!$I$7:$K$100,1+B124,C124)</f>
        <v/>
      </c>
    </row>
    <row r="125" spans="1:4" x14ac:dyDescent="0.75">
      <c r="A125" s="27">
        <v>123</v>
      </c>
      <c r="B125" s="27">
        <f t="shared" si="3"/>
        <v>40</v>
      </c>
      <c r="C125" s="27">
        <f t="shared" si="4"/>
        <v>3</v>
      </c>
      <c r="D125" s="113" t="str" cm="1">
        <f t="array" ref="D125">INDEX('Subj-Map-1'!$I$7:$K$100,1+B125,C125)</f>
        <v/>
      </c>
    </row>
    <row r="126" spans="1:4" x14ac:dyDescent="0.75">
      <c r="A126" s="27">
        <v>124</v>
      </c>
      <c r="B126" s="27">
        <f t="shared" si="3"/>
        <v>41</v>
      </c>
      <c r="C126" s="27">
        <f t="shared" si="4"/>
        <v>1</v>
      </c>
      <c r="D126" s="113" t="str" cm="1">
        <f t="array" ref="D126">INDEX('Subj-Map-1'!$I$7:$K$100,1+B126,C126)</f>
        <v/>
      </c>
    </row>
    <row r="127" spans="1:4" x14ac:dyDescent="0.75">
      <c r="A127" s="27">
        <v>125</v>
      </c>
      <c r="B127" s="27">
        <f t="shared" si="3"/>
        <v>41</v>
      </c>
      <c r="C127" s="27">
        <f t="shared" si="4"/>
        <v>2</v>
      </c>
      <c r="D127" s="113" t="str" cm="1">
        <f t="array" ref="D127">INDEX('Subj-Map-1'!$I$7:$K$100,1+B127,C127)</f>
        <v/>
      </c>
    </row>
    <row r="128" spans="1:4" x14ac:dyDescent="0.75">
      <c r="A128" s="27">
        <v>126</v>
      </c>
      <c r="B128" s="27">
        <f t="shared" si="3"/>
        <v>41</v>
      </c>
      <c r="C128" s="27">
        <f t="shared" si="4"/>
        <v>3</v>
      </c>
      <c r="D128" s="113" t="str" cm="1">
        <f t="array" ref="D128">INDEX('Subj-Map-1'!$I$7:$K$100,1+B128,C128)</f>
        <v/>
      </c>
    </row>
    <row r="129" spans="1:4" x14ac:dyDescent="0.75">
      <c r="A129" s="27">
        <v>127</v>
      </c>
      <c r="B129" s="27">
        <f t="shared" si="3"/>
        <v>42</v>
      </c>
      <c r="C129" s="27">
        <f t="shared" si="4"/>
        <v>1</v>
      </c>
      <c r="D129" s="113" t="str" cm="1">
        <f t="array" ref="D129">INDEX('Subj-Map-1'!$I$7:$K$100,1+B129,C129)</f>
        <v/>
      </c>
    </row>
    <row r="130" spans="1:4" x14ac:dyDescent="0.75">
      <c r="A130" s="27">
        <v>128</v>
      </c>
      <c r="B130" s="27">
        <f t="shared" si="3"/>
        <v>42</v>
      </c>
      <c r="C130" s="27">
        <f t="shared" si="4"/>
        <v>2</v>
      </c>
      <c r="D130" s="113" t="str" cm="1">
        <f t="array" ref="D130">INDEX('Subj-Map-1'!$I$7:$K$100,1+B130,C130)</f>
        <v/>
      </c>
    </row>
    <row r="131" spans="1:4" x14ac:dyDescent="0.75">
      <c r="A131" s="27">
        <v>129</v>
      </c>
      <c r="B131" s="27">
        <f t="shared" si="3"/>
        <v>42</v>
      </c>
      <c r="C131" s="27">
        <f t="shared" si="4"/>
        <v>3</v>
      </c>
      <c r="D131" s="113" t="str" cm="1">
        <f t="array" ref="D131">INDEX('Subj-Map-1'!$I$7:$K$100,1+B131,C131)</f>
        <v/>
      </c>
    </row>
    <row r="132" spans="1:4" x14ac:dyDescent="0.75">
      <c r="A132" s="27">
        <v>130</v>
      </c>
      <c r="B132" s="27">
        <f t="shared" ref="B132:B195" si="5">IF(MOD(A132,3)=0,A132/3-1,INT(A132/3))</f>
        <v>43</v>
      </c>
      <c r="C132" s="27">
        <f t="shared" si="4"/>
        <v>1</v>
      </c>
      <c r="D132" s="113" t="str" cm="1">
        <f t="array" ref="D132">INDEX('Subj-Map-1'!$I$7:$K$100,1+B132,C132)</f>
        <v/>
      </c>
    </row>
    <row r="133" spans="1:4" x14ac:dyDescent="0.75">
      <c r="A133" s="27">
        <v>131</v>
      </c>
      <c r="B133" s="27">
        <f t="shared" si="5"/>
        <v>43</v>
      </c>
      <c r="C133" s="27">
        <f t="shared" si="4"/>
        <v>2</v>
      </c>
      <c r="D133" s="113" t="str" cm="1">
        <f t="array" ref="D133">INDEX('Subj-Map-1'!$I$7:$K$100,1+B133,C133)</f>
        <v/>
      </c>
    </row>
    <row r="134" spans="1:4" x14ac:dyDescent="0.75">
      <c r="A134" s="27">
        <v>132</v>
      </c>
      <c r="B134" s="27">
        <f t="shared" si="5"/>
        <v>43</v>
      </c>
      <c r="C134" s="27">
        <f t="shared" si="4"/>
        <v>3</v>
      </c>
      <c r="D134" s="113" t="str" cm="1">
        <f t="array" ref="D134">INDEX('Subj-Map-1'!$I$7:$K$100,1+B134,C134)</f>
        <v/>
      </c>
    </row>
    <row r="135" spans="1:4" x14ac:dyDescent="0.75">
      <c r="A135" s="27">
        <v>133</v>
      </c>
      <c r="B135" s="27">
        <f t="shared" si="5"/>
        <v>44</v>
      </c>
      <c r="C135" s="27">
        <f t="shared" si="4"/>
        <v>1</v>
      </c>
      <c r="D135" s="113" cm="1">
        <f t="array" ref="D135">INDEX('Subj-Map-1'!$I$7:$K$100,1+B135,C135)</f>
        <v>0</v>
      </c>
    </row>
    <row r="136" spans="1:4" x14ac:dyDescent="0.75">
      <c r="A136" s="27">
        <v>134</v>
      </c>
      <c r="B136" s="27">
        <f t="shared" si="5"/>
        <v>44</v>
      </c>
      <c r="C136" s="27">
        <f t="shared" si="4"/>
        <v>2</v>
      </c>
      <c r="D136" s="113" cm="1">
        <f t="array" ref="D136">INDEX('Subj-Map-1'!$I$7:$K$100,1+B136,C136)</f>
        <v>0</v>
      </c>
    </row>
    <row r="137" spans="1:4" x14ac:dyDescent="0.75">
      <c r="A137" s="27">
        <v>135</v>
      </c>
      <c r="B137" s="27">
        <f t="shared" si="5"/>
        <v>44</v>
      </c>
      <c r="C137" s="27">
        <f t="shared" si="4"/>
        <v>3</v>
      </c>
      <c r="D137" s="113" cm="1">
        <f t="array" ref="D137">INDEX('Subj-Map-1'!$I$7:$K$100,1+B137,C137)</f>
        <v>0</v>
      </c>
    </row>
    <row r="138" spans="1:4" x14ac:dyDescent="0.75">
      <c r="A138" s="27">
        <v>136</v>
      </c>
      <c r="B138" s="27">
        <f t="shared" si="5"/>
        <v>45</v>
      </c>
      <c r="C138" s="27">
        <f t="shared" si="4"/>
        <v>1</v>
      </c>
      <c r="D138" s="113" cm="1">
        <f t="array" ref="D138">INDEX('Subj-Map-1'!$I$7:$K$100,1+B138,C138)</f>
        <v>0</v>
      </c>
    </row>
    <row r="139" spans="1:4" x14ac:dyDescent="0.75">
      <c r="A139" s="27">
        <v>137</v>
      </c>
      <c r="B139" s="27">
        <f t="shared" si="5"/>
        <v>45</v>
      </c>
      <c r="C139" s="27">
        <f t="shared" si="4"/>
        <v>2</v>
      </c>
      <c r="D139" s="113" cm="1">
        <f t="array" ref="D139">INDEX('Subj-Map-1'!$I$7:$K$100,1+B139,C139)</f>
        <v>0</v>
      </c>
    </row>
    <row r="140" spans="1:4" x14ac:dyDescent="0.75">
      <c r="A140" s="27">
        <v>138</v>
      </c>
      <c r="B140" s="27">
        <f t="shared" si="5"/>
        <v>45</v>
      </c>
      <c r="C140" s="27">
        <f t="shared" si="4"/>
        <v>3</v>
      </c>
      <c r="D140" s="113" cm="1">
        <f t="array" ref="D140">INDEX('Subj-Map-1'!$I$7:$K$100,1+B140,C140)</f>
        <v>0</v>
      </c>
    </row>
    <row r="141" spans="1:4" x14ac:dyDescent="0.75">
      <c r="A141" s="27">
        <v>139</v>
      </c>
      <c r="B141" s="27">
        <f t="shared" si="5"/>
        <v>46</v>
      </c>
      <c r="C141" s="27">
        <f t="shared" si="4"/>
        <v>1</v>
      </c>
      <c r="D141" s="113" cm="1">
        <f t="array" ref="D141">INDEX('Subj-Map-1'!$I$7:$K$100,1+B141,C141)</f>
        <v>0</v>
      </c>
    </row>
    <row r="142" spans="1:4" x14ac:dyDescent="0.75">
      <c r="A142" s="27">
        <v>140</v>
      </c>
      <c r="B142" s="27">
        <f t="shared" si="5"/>
        <v>46</v>
      </c>
      <c r="C142" s="27">
        <f t="shared" si="4"/>
        <v>2</v>
      </c>
      <c r="D142" s="113" cm="1">
        <f t="array" ref="D142">INDEX('Subj-Map-1'!$I$7:$K$100,1+B142,C142)</f>
        <v>0</v>
      </c>
    </row>
    <row r="143" spans="1:4" x14ac:dyDescent="0.75">
      <c r="A143" s="27">
        <v>141</v>
      </c>
      <c r="B143" s="27">
        <f t="shared" si="5"/>
        <v>46</v>
      </c>
      <c r="C143" s="27">
        <f t="shared" si="4"/>
        <v>3</v>
      </c>
      <c r="D143" s="113" cm="1">
        <f t="array" ref="D143">INDEX('Subj-Map-1'!$I$7:$K$100,1+B143,C143)</f>
        <v>0</v>
      </c>
    </row>
    <row r="144" spans="1:4" x14ac:dyDescent="0.75">
      <c r="A144" s="27">
        <v>142</v>
      </c>
      <c r="B144" s="27">
        <f t="shared" si="5"/>
        <v>47</v>
      </c>
      <c r="C144" s="27">
        <f t="shared" si="4"/>
        <v>1</v>
      </c>
      <c r="D144" s="113" cm="1">
        <f t="array" ref="D144">INDEX('Subj-Map-1'!$I$7:$K$100,1+B144,C144)</f>
        <v>0</v>
      </c>
    </row>
    <row r="145" spans="1:4" x14ac:dyDescent="0.75">
      <c r="A145" s="27">
        <v>143</v>
      </c>
      <c r="B145" s="27">
        <f t="shared" si="5"/>
        <v>47</v>
      </c>
      <c r="C145" s="27">
        <f t="shared" si="4"/>
        <v>2</v>
      </c>
      <c r="D145" s="113" cm="1">
        <f t="array" ref="D145">INDEX('Subj-Map-1'!$I$7:$K$100,1+B145,C145)</f>
        <v>0</v>
      </c>
    </row>
    <row r="146" spans="1:4" x14ac:dyDescent="0.75">
      <c r="A146" s="27">
        <v>144</v>
      </c>
      <c r="B146" s="27">
        <f t="shared" si="5"/>
        <v>47</v>
      </c>
      <c r="C146" s="27">
        <f t="shared" si="4"/>
        <v>3</v>
      </c>
      <c r="D146" s="113" cm="1">
        <f t="array" ref="D146">INDEX('Subj-Map-1'!$I$7:$K$100,1+B146,C146)</f>
        <v>0</v>
      </c>
    </row>
    <row r="147" spans="1:4" x14ac:dyDescent="0.75">
      <c r="A147" s="27">
        <v>145</v>
      </c>
      <c r="B147" s="27">
        <f t="shared" si="5"/>
        <v>48</v>
      </c>
      <c r="C147" s="27">
        <f t="shared" si="4"/>
        <v>1</v>
      </c>
      <c r="D147" s="113" cm="1">
        <f t="array" ref="D147">INDEX('Subj-Map-1'!$I$7:$K$100,1+B147,C147)</f>
        <v>0</v>
      </c>
    </row>
    <row r="148" spans="1:4" x14ac:dyDescent="0.75">
      <c r="A148" s="27">
        <v>146</v>
      </c>
      <c r="B148" s="27">
        <f t="shared" si="5"/>
        <v>48</v>
      </c>
      <c r="C148" s="27">
        <f t="shared" si="4"/>
        <v>2</v>
      </c>
      <c r="D148" s="113" cm="1">
        <f t="array" ref="D148">INDEX('Subj-Map-1'!$I$7:$K$100,1+B148,C148)</f>
        <v>0</v>
      </c>
    </row>
    <row r="149" spans="1:4" x14ac:dyDescent="0.75">
      <c r="A149" s="27">
        <v>147</v>
      </c>
      <c r="B149" s="27">
        <f t="shared" si="5"/>
        <v>48</v>
      </c>
      <c r="C149" s="27">
        <f t="shared" si="4"/>
        <v>3</v>
      </c>
      <c r="D149" s="113" cm="1">
        <f t="array" ref="D149">INDEX('Subj-Map-1'!$I$7:$K$100,1+B149,C149)</f>
        <v>0</v>
      </c>
    </row>
    <row r="150" spans="1:4" x14ac:dyDescent="0.75">
      <c r="A150" s="27">
        <v>148</v>
      </c>
      <c r="B150" s="27">
        <f t="shared" si="5"/>
        <v>49</v>
      </c>
      <c r="C150" s="27">
        <f t="shared" si="4"/>
        <v>1</v>
      </c>
      <c r="D150" s="113" cm="1">
        <f t="array" ref="D150">INDEX('Subj-Map-1'!$I$7:$K$100,1+B150,C150)</f>
        <v>0</v>
      </c>
    </row>
    <row r="151" spans="1:4" x14ac:dyDescent="0.75">
      <c r="A151" s="27">
        <v>149</v>
      </c>
      <c r="B151" s="27">
        <f t="shared" si="5"/>
        <v>49</v>
      </c>
      <c r="C151" s="27">
        <f t="shared" si="4"/>
        <v>2</v>
      </c>
      <c r="D151" s="113" cm="1">
        <f t="array" ref="D151">INDEX('Subj-Map-1'!$I$7:$K$100,1+B151,C151)</f>
        <v>0</v>
      </c>
    </row>
    <row r="152" spans="1:4" x14ac:dyDescent="0.75">
      <c r="A152" s="27">
        <v>150</v>
      </c>
      <c r="B152" s="27">
        <f t="shared" si="5"/>
        <v>49</v>
      </c>
      <c r="C152" s="27">
        <f t="shared" si="4"/>
        <v>3</v>
      </c>
      <c r="D152" s="113" cm="1">
        <f t="array" ref="D152">INDEX('Subj-Map-1'!$I$7:$K$100,1+B152,C152)</f>
        <v>0</v>
      </c>
    </row>
    <row r="153" spans="1:4" x14ac:dyDescent="0.75">
      <c r="A153" s="27">
        <v>151</v>
      </c>
      <c r="B153" s="27">
        <f t="shared" si="5"/>
        <v>50</v>
      </c>
      <c r="C153" s="27">
        <f t="shared" si="4"/>
        <v>1</v>
      </c>
      <c r="D153" s="113" cm="1">
        <f t="array" ref="D153">INDEX('Subj-Map-1'!$I$7:$K$100,1+B153,C153)</f>
        <v>0</v>
      </c>
    </row>
    <row r="154" spans="1:4" x14ac:dyDescent="0.75">
      <c r="A154" s="27">
        <v>152</v>
      </c>
      <c r="B154" s="27">
        <f t="shared" si="5"/>
        <v>50</v>
      </c>
      <c r="C154" s="27">
        <f t="shared" si="4"/>
        <v>2</v>
      </c>
      <c r="D154" s="113" cm="1">
        <f t="array" ref="D154">INDEX('Subj-Map-1'!$I$7:$K$100,1+B154,C154)</f>
        <v>0</v>
      </c>
    </row>
    <row r="155" spans="1:4" x14ac:dyDescent="0.75">
      <c r="A155" s="27">
        <v>153</v>
      </c>
      <c r="B155" s="27">
        <f t="shared" si="5"/>
        <v>50</v>
      </c>
      <c r="C155" s="27">
        <f t="shared" si="4"/>
        <v>3</v>
      </c>
      <c r="D155" s="113" cm="1">
        <f t="array" ref="D155">INDEX('Subj-Map-1'!$I$7:$K$100,1+B155,C155)</f>
        <v>0</v>
      </c>
    </row>
    <row r="156" spans="1:4" x14ac:dyDescent="0.75">
      <c r="A156" s="27">
        <v>154</v>
      </c>
      <c r="B156" s="27">
        <f t="shared" si="5"/>
        <v>51</v>
      </c>
      <c r="C156" s="27">
        <f t="shared" si="4"/>
        <v>1</v>
      </c>
      <c r="D156" s="113" cm="1">
        <f t="array" ref="D156">INDEX('Subj-Map-1'!$I$7:$K$100,1+B156,C156)</f>
        <v>0</v>
      </c>
    </row>
    <row r="157" spans="1:4" x14ac:dyDescent="0.75">
      <c r="A157" s="27">
        <v>155</v>
      </c>
      <c r="B157" s="27">
        <f t="shared" si="5"/>
        <v>51</v>
      </c>
      <c r="C157" s="27">
        <f t="shared" si="4"/>
        <v>2</v>
      </c>
      <c r="D157" s="113" cm="1">
        <f t="array" ref="D157">INDEX('Subj-Map-1'!$I$7:$K$100,1+B157,C157)</f>
        <v>0</v>
      </c>
    </row>
    <row r="158" spans="1:4" x14ac:dyDescent="0.75">
      <c r="A158" s="27">
        <v>156</v>
      </c>
      <c r="B158" s="27">
        <f t="shared" si="5"/>
        <v>51</v>
      </c>
      <c r="C158" s="27">
        <f t="shared" si="4"/>
        <v>3</v>
      </c>
      <c r="D158" s="113" cm="1">
        <f t="array" ref="D158">INDEX('Subj-Map-1'!$I$7:$K$100,1+B158,C158)</f>
        <v>0</v>
      </c>
    </row>
    <row r="159" spans="1:4" x14ac:dyDescent="0.75">
      <c r="A159" s="27">
        <v>157</v>
      </c>
      <c r="B159" s="27">
        <f t="shared" si="5"/>
        <v>52</v>
      </c>
      <c r="C159" s="27">
        <f t="shared" si="4"/>
        <v>1</v>
      </c>
      <c r="D159" s="113" cm="1">
        <f t="array" ref="D159">INDEX('Subj-Map-1'!$I$7:$K$100,1+B159,C159)</f>
        <v>0</v>
      </c>
    </row>
    <row r="160" spans="1:4" x14ac:dyDescent="0.75">
      <c r="A160" s="27">
        <v>158</v>
      </c>
      <c r="B160" s="27">
        <f t="shared" si="5"/>
        <v>52</v>
      </c>
      <c r="C160" s="27">
        <f t="shared" si="4"/>
        <v>2</v>
      </c>
      <c r="D160" s="113" cm="1">
        <f t="array" ref="D160">INDEX('Subj-Map-1'!$I$7:$K$100,1+B160,C160)</f>
        <v>0</v>
      </c>
    </row>
    <row r="161" spans="1:4" x14ac:dyDescent="0.75">
      <c r="A161" s="27">
        <v>159</v>
      </c>
      <c r="B161" s="27">
        <f t="shared" si="5"/>
        <v>52</v>
      </c>
      <c r="C161" s="27">
        <f t="shared" si="4"/>
        <v>3</v>
      </c>
      <c r="D161" s="113" cm="1">
        <f t="array" ref="D161">INDEX('Subj-Map-1'!$I$7:$K$100,1+B161,C161)</f>
        <v>0</v>
      </c>
    </row>
    <row r="162" spans="1:4" x14ac:dyDescent="0.75">
      <c r="A162" s="27">
        <v>160</v>
      </c>
      <c r="B162" s="27">
        <f t="shared" si="5"/>
        <v>53</v>
      </c>
      <c r="C162" s="27">
        <f t="shared" si="4"/>
        <v>1</v>
      </c>
      <c r="D162" s="113" cm="1">
        <f t="array" ref="D162">INDEX('Subj-Map-1'!$I$7:$K$100,1+B162,C162)</f>
        <v>0</v>
      </c>
    </row>
    <row r="163" spans="1:4" x14ac:dyDescent="0.75">
      <c r="A163" s="27">
        <v>161</v>
      </c>
      <c r="B163" s="27">
        <f t="shared" si="5"/>
        <v>53</v>
      </c>
      <c r="C163" s="27">
        <f t="shared" si="4"/>
        <v>2</v>
      </c>
      <c r="D163" s="113" cm="1">
        <f t="array" ref="D163">INDEX('Subj-Map-1'!$I$7:$K$100,1+B163,C163)</f>
        <v>0</v>
      </c>
    </row>
    <row r="164" spans="1:4" x14ac:dyDescent="0.75">
      <c r="A164" s="27">
        <v>162</v>
      </c>
      <c r="B164" s="27">
        <f t="shared" si="5"/>
        <v>53</v>
      </c>
      <c r="C164" s="27">
        <f t="shared" si="4"/>
        <v>3</v>
      </c>
      <c r="D164" s="113" cm="1">
        <f t="array" ref="D164">INDEX('Subj-Map-1'!$I$7:$K$100,1+B164,C164)</f>
        <v>0</v>
      </c>
    </row>
    <row r="165" spans="1:4" x14ac:dyDescent="0.75">
      <c r="A165" s="27">
        <v>163</v>
      </c>
      <c r="B165" s="27">
        <f t="shared" si="5"/>
        <v>54</v>
      </c>
      <c r="C165" s="27">
        <f t="shared" si="4"/>
        <v>1</v>
      </c>
      <c r="D165" s="113" cm="1">
        <f t="array" ref="D165">INDEX('Subj-Map-1'!$I$7:$K$100,1+B165,C165)</f>
        <v>0</v>
      </c>
    </row>
    <row r="166" spans="1:4" x14ac:dyDescent="0.75">
      <c r="A166" s="27">
        <v>164</v>
      </c>
      <c r="B166" s="27">
        <f t="shared" si="5"/>
        <v>54</v>
      </c>
      <c r="C166" s="27">
        <f t="shared" si="4"/>
        <v>2</v>
      </c>
      <c r="D166" s="113" cm="1">
        <f t="array" ref="D166">INDEX('Subj-Map-1'!$I$7:$K$100,1+B166,C166)</f>
        <v>0</v>
      </c>
    </row>
    <row r="167" spans="1:4" x14ac:dyDescent="0.75">
      <c r="A167" s="27">
        <v>165</v>
      </c>
      <c r="B167" s="27">
        <f t="shared" si="5"/>
        <v>54</v>
      </c>
      <c r="C167" s="27">
        <f t="shared" si="4"/>
        <v>3</v>
      </c>
      <c r="D167" s="113" cm="1">
        <f t="array" ref="D167">INDEX('Subj-Map-1'!$I$7:$K$100,1+B167,C167)</f>
        <v>0</v>
      </c>
    </row>
    <row r="168" spans="1:4" x14ac:dyDescent="0.75">
      <c r="A168" s="27">
        <v>166</v>
      </c>
      <c r="B168" s="27">
        <f t="shared" si="5"/>
        <v>55</v>
      </c>
      <c r="C168" s="27">
        <f t="shared" si="4"/>
        <v>1</v>
      </c>
      <c r="D168" s="113" cm="1">
        <f t="array" ref="D168">INDEX('Subj-Map-1'!$I$7:$K$100,1+B168,C168)</f>
        <v>0</v>
      </c>
    </row>
    <row r="169" spans="1:4" x14ac:dyDescent="0.75">
      <c r="A169" s="27">
        <v>167</v>
      </c>
      <c r="B169" s="27">
        <f t="shared" si="5"/>
        <v>55</v>
      </c>
      <c r="C169" s="27">
        <f t="shared" ref="C169:C206" si="6">IF(MOD(A169,3)=0,3,MOD(A169,3))</f>
        <v>2</v>
      </c>
      <c r="D169" s="113" cm="1">
        <f t="array" ref="D169">INDEX('Subj-Map-1'!$I$7:$K$100,1+B169,C169)</f>
        <v>0</v>
      </c>
    </row>
    <row r="170" spans="1:4" x14ac:dyDescent="0.75">
      <c r="A170" s="27">
        <v>168</v>
      </c>
      <c r="B170" s="27">
        <f t="shared" si="5"/>
        <v>55</v>
      </c>
      <c r="C170" s="27">
        <f t="shared" si="6"/>
        <v>3</v>
      </c>
      <c r="D170" s="113" cm="1">
        <f t="array" ref="D170">INDEX('Subj-Map-1'!$I$7:$K$100,1+B170,C170)</f>
        <v>0</v>
      </c>
    </row>
    <row r="171" spans="1:4" x14ac:dyDescent="0.75">
      <c r="A171" s="27">
        <v>169</v>
      </c>
      <c r="B171" s="27">
        <f t="shared" si="5"/>
        <v>56</v>
      </c>
      <c r="C171" s="27">
        <f t="shared" si="6"/>
        <v>1</v>
      </c>
      <c r="D171" s="113" cm="1">
        <f t="array" ref="D171">INDEX('Subj-Map-1'!$I$7:$K$100,1+B171,C171)</f>
        <v>0</v>
      </c>
    </row>
    <row r="172" spans="1:4" x14ac:dyDescent="0.75">
      <c r="A172" s="27">
        <v>170</v>
      </c>
      <c r="B172" s="27">
        <f t="shared" si="5"/>
        <v>56</v>
      </c>
      <c r="C172" s="27">
        <f t="shared" si="6"/>
        <v>2</v>
      </c>
      <c r="D172" s="113" cm="1">
        <f t="array" ref="D172">INDEX('Subj-Map-1'!$I$7:$K$100,1+B172,C172)</f>
        <v>0</v>
      </c>
    </row>
    <row r="173" spans="1:4" x14ac:dyDescent="0.75">
      <c r="A173" s="27">
        <v>171</v>
      </c>
      <c r="B173" s="27">
        <f t="shared" si="5"/>
        <v>56</v>
      </c>
      <c r="C173" s="27">
        <f t="shared" si="6"/>
        <v>3</v>
      </c>
      <c r="D173" s="113" cm="1">
        <f t="array" ref="D173">INDEX('Subj-Map-1'!$I$7:$K$100,1+B173,C173)</f>
        <v>0</v>
      </c>
    </row>
    <row r="174" spans="1:4" x14ac:dyDescent="0.75">
      <c r="A174" s="27">
        <v>172</v>
      </c>
      <c r="B174" s="27">
        <f t="shared" si="5"/>
        <v>57</v>
      </c>
      <c r="C174" s="27">
        <f t="shared" si="6"/>
        <v>1</v>
      </c>
      <c r="D174" s="113" cm="1">
        <f t="array" ref="D174">INDEX('Subj-Map-1'!$I$7:$K$100,1+B174,C174)</f>
        <v>0</v>
      </c>
    </row>
    <row r="175" spans="1:4" x14ac:dyDescent="0.75">
      <c r="A175" s="27">
        <v>173</v>
      </c>
      <c r="B175" s="27">
        <f t="shared" si="5"/>
        <v>57</v>
      </c>
      <c r="C175" s="27">
        <f t="shared" si="6"/>
        <v>2</v>
      </c>
      <c r="D175" s="113" cm="1">
        <f t="array" ref="D175">INDEX('Subj-Map-1'!$I$7:$K$100,1+B175,C175)</f>
        <v>0</v>
      </c>
    </row>
    <row r="176" spans="1:4" x14ac:dyDescent="0.75">
      <c r="A176" s="27">
        <v>174</v>
      </c>
      <c r="B176" s="27">
        <f t="shared" si="5"/>
        <v>57</v>
      </c>
      <c r="C176" s="27">
        <f t="shared" si="6"/>
        <v>3</v>
      </c>
      <c r="D176" s="113" cm="1">
        <f t="array" ref="D176">INDEX('Subj-Map-1'!$I$7:$K$100,1+B176,C176)</f>
        <v>0</v>
      </c>
    </row>
    <row r="177" spans="1:4" x14ac:dyDescent="0.75">
      <c r="A177" s="27">
        <v>175</v>
      </c>
      <c r="B177" s="27">
        <f t="shared" si="5"/>
        <v>58</v>
      </c>
      <c r="C177" s="27">
        <f t="shared" si="6"/>
        <v>1</v>
      </c>
      <c r="D177" s="113" cm="1">
        <f t="array" ref="D177">INDEX('Subj-Map-1'!$I$7:$K$100,1+B177,C177)</f>
        <v>0</v>
      </c>
    </row>
    <row r="178" spans="1:4" x14ac:dyDescent="0.75">
      <c r="A178" s="27">
        <v>176</v>
      </c>
      <c r="B178" s="27">
        <f t="shared" si="5"/>
        <v>58</v>
      </c>
      <c r="C178" s="27">
        <f t="shared" si="6"/>
        <v>2</v>
      </c>
      <c r="D178" s="113" cm="1">
        <f t="array" ref="D178">INDEX('Subj-Map-1'!$I$7:$K$100,1+B178,C178)</f>
        <v>0</v>
      </c>
    </row>
    <row r="179" spans="1:4" x14ac:dyDescent="0.75">
      <c r="A179" s="27">
        <v>177</v>
      </c>
      <c r="B179" s="27">
        <f t="shared" si="5"/>
        <v>58</v>
      </c>
      <c r="C179" s="27">
        <f t="shared" si="6"/>
        <v>3</v>
      </c>
      <c r="D179" s="113" cm="1">
        <f t="array" ref="D179">INDEX('Subj-Map-1'!$I$7:$K$100,1+B179,C179)</f>
        <v>0</v>
      </c>
    </row>
    <row r="180" spans="1:4" x14ac:dyDescent="0.75">
      <c r="A180" s="27">
        <v>178</v>
      </c>
      <c r="B180" s="27">
        <f t="shared" si="5"/>
        <v>59</v>
      </c>
      <c r="C180" s="27">
        <f t="shared" si="6"/>
        <v>1</v>
      </c>
      <c r="D180" s="113" cm="1">
        <f t="array" ref="D180">INDEX('Subj-Map-1'!$I$7:$K$100,1+B180,C180)</f>
        <v>0</v>
      </c>
    </row>
    <row r="181" spans="1:4" x14ac:dyDescent="0.75">
      <c r="A181" s="27">
        <v>179</v>
      </c>
      <c r="B181" s="27">
        <f t="shared" si="5"/>
        <v>59</v>
      </c>
      <c r="C181" s="27">
        <f t="shared" si="6"/>
        <v>2</v>
      </c>
      <c r="D181" s="113" cm="1">
        <f t="array" ref="D181">INDEX('Subj-Map-1'!$I$7:$K$100,1+B181,C181)</f>
        <v>0</v>
      </c>
    </row>
    <row r="182" spans="1:4" x14ac:dyDescent="0.75">
      <c r="A182" s="27">
        <v>180</v>
      </c>
      <c r="B182" s="27">
        <f t="shared" si="5"/>
        <v>59</v>
      </c>
      <c r="C182" s="27">
        <f t="shared" si="6"/>
        <v>3</v>
      </c>
      <c r="D182" s="113" cm="1">
        <f t="array" ref="D182">INDEX('Subj-Map-1'!$I$7:$K$100,1+B182,C182)</f>
        <v>0</v>
      </c>
    </row>
    <row r="183" spans="1:4" x14ac:dyDescent="0.75">
      <c r="A183" s="27">
        <v>181</v>
      </c>
      <c r="B183" s="27">
        <f t="shared" si="5"/>
        <v>60</v>
      </c>
      <c r="C183" s="27">
        <f t="shared" si="6"/>
        <v>1</v>
      </c>
      <c r="D183" s="113" cm="1">
        <f t="array" ref="D183">INDEX('Subj-Map-1'!$I$7:$K$100,1+B183,C183)</f>
        <v>0</v>
      </c>
    </row>
    <row r="184" spans="1:4" x14ac:dyDescent="0.75">
      <c r="A184" s="27">
        <v>182</v>
      </c>
      <c r="B184" s="27">
        <f t="shared" si="5"/>
        <v>60</v>
      </c>
      <c r="C184" s="27">
        <f t="shared" si="6"/>
        <v>2</v>
      </c>
      <c r="D184" s="113" cm="1">
        <f t="array" ref="D184">INDEX('Subj-Map-1'!$I$7:$K$100,1+B184,C184)</f>
        <v>0</v>
      </c>
    </row>
    <row r="185" spans="1:4" x14ac:dyDescent="0.75">
      <c r="A185" s="27">
        <v>183</v>
      </c>
      <c r="B185" s="27">
        <f t="shared" si="5"/>
        <v>60</v>
      </c>
      <c r="C185" s="27">
        <f t="shared" si="6"/>
        <v>3</v>
      </c>
      <c r="D185" s="113" cm="1">
        <f t="array" ref="D185">INDEX('Subj-Map-1'!$I$7:$K$100,1+B185,C185)</f>
        <v>0</v>
      </c>
    </row>
    <row r="186" spans="1:4" x14ac:dyDescent="0.75">
      <c r="A186" s="27">
        <v>184</v>
      </c>
      <c r="B186" s="27">
        <f t="shared" si="5"/>
        <v>61</v>
      </c>
      <c r="C186" s="27">
        <f t="shared" si="6"/>
        <v>1</v>
      </c>
      <c r="D186" s="113" cm="1">
        <f t="array" ref="D186">INDEX('Subj-Map-1'!$I$7:$K$100,1+B186,C186)</f>
        <v>0</v>
      </c>
    </row>
    <row r="187" spans="1:4" x14ac:dyDescent="0.75">
      <c r="A187" s="27">
        <v>185</v>
      </c>
      <c r="B187" s="27">
        <f t="shared" si="5"/>
        <v>61</v>
      </c>
      <c r="C187" s="27">
        <f t="shared" si="6"/>
        <v>2</v>
      </c>
      <c r="D187" s="113" cm="1">
        <f t="array" ref="D187">INDEX('Subj-Map-1'!$I$7:$K$100,1+B187,C187)</f>
        <v>0</v>
      </c>
    </row>
    <row r="188" spans="1:4" x14ac:dyDescent="0.75">
      <c r="A188" s="27">
        <v>186</v>
      </c>
      <c r="B188" s="27">
        <f t="shared" si="5"/>
        <v>61</v>
      </c>
      <c r="C188" s="27">
        <f t="shared" si="6"/>
        <v>3</v>
      </c>
      <c r="D188" s="113" cm="1">
        <f t="array" ref="D188">INDEX('Subj-Map-1'!$I$7:$K$100,1+B188,C188)</f>
        <v>0</v>
      </c>
    </row>
    <row r="189" spans="1:4" x14ac:dyDescent="0.75">
      <c r="A189" s="27">
        <v>187</v>
      </c>
      <c r="B189" s="27">
        <f t="shared" si="5"/>
        <v>62</v>
      </c>
      <c r="C189" s="27">
        <f t="shared" si="6"/>
        <v>1</v>
      </c>
      <c r="D189" s="113" cm="1">
        <f t="array" ref="D189">INDEX('Subj-Map-1'!$I$7:$K$100,1+B189,C189)</f>
        <v>0</v>
      </c>
    </row>
    <row r="190" spans="1:4" x14ac:dyDescent="0.75">
      <c r="A190" s="27">
        <v>188</v>
      </c>
      <c r="B190" s="27">
        <f t="shared" si="5"/>
        <v>62</v>
      </c>
      <c r="C190" s="27">
        <f t="shared" si="6"/>
        <v>2</v>
      </c>
      <c r="D190" s="113" cm="1">
        <f t="array" ref="D190">INDEX('Subj-Map-1'!$I$7:$K$100,1+B190,C190)</f>
        <v>0</v>
      </c>
    </row>
    <row r="191" spans="1:4" x14ac:dyDescent="0.75">
      <c r="A191" s="27">
        <v>189</v>
      </c>
      <c r="B191" s="27">
        <f t="shared" si="5"/>
        <v>62</v>
      </c>
      <c r="C191" s="27">
        <f t="shared" si="6"/>
        <v>3</v>
      </c>
      <c r="D191" s="113" cm="1">
        <f t="array" ref="D191">INDEX('Subj-Map-1'!$I$7:$K$100,1+B191,C191)</f>
        <v>0</v>
      </c>
    </row>
    <row r="192" spans="1:4" x14ac:dyDescent="0.75">
      <c r="A192" s="27">
        <v>190</v>
      </c>
      <c r="B192" s="27">
        <f t="shared" si="5"/>
        <v>63</v>
      </c>
      <c r="C192" s="27">
        <f t="shared" si="6"/>
        <v>1</v>
      </c>
      <c r="D192" s="113" cm="1">
        <f t="array" ref="D192">INDEX('Subj-Map-1'!$I$7:$K$100,1+B192,C192)</f>
        <v>0</v>
      </c>
    </row>
    <row r="193" spans="1:4" x14ac:dyDescent="0.75">
      <c r="A193" s="27">
        <v>191</v>
      </c>
      <c r="B193" s="27">
        <f t="shared" si="5"/>
        <v>63</v>
      </c>
      <c r="C193" s="27">
        <f t="shared" si="6"/>
        <v>2</v>
      </c>
      <c r="D193" s="113" cm="1">
        <f t="array" ref="D193">INDEX('Subj-Map-1'!$I$7:$K$100,1+B193,C193)</f>
        <v>0</v>
      </c>
    </row>
    <row r="194" spans="1:4" x14ac:dyDescent="0.75">
      <c r="A194" s="27">
        <v>192</v>
      </c>
      <c r="B194" s="27">
        <f t="shared" si="5"/>
        <v>63</v>
      </c>
      <c r="C194" s="27">
        <f t="shared" si="6"/>
        <v>3</v>
      </c>
      <c r="D194" s="113" cm="1">
        <f t="array" ref="D194">INDEX('Subj-Map-1'!$I$7:$K$100,1+B194,C194)</f>
        <v>0</v>
      </c>
    </row>
    <row r="195" spans="1:4" x14ac:dyDescent="0.75">
      <c r="A195" s="27">
        <v>193</v>
      </c>
      <c r="B195" s="27">
        <f t="shared" si="5"/>
        <v>64</v>
      </c>
      <c r="C195" s="27">
        <f t="shared" si="6"/>
        <v>1</v>
      </c>
      <c r="D195" s="113" cm="1">
        <f t="array" ref="D195">INDEX('Subj-Map-1'!$I$7:$K$100,1+B195,C195)</f>
        <v>0</v>
      </c>
    </row>
    <row r="196" spans="1:4" x14ac:dyDescent="0.75">
      <c r="A196" s="27">
        <v>194</v>
      </c>
      <c r="B196" s="27">
        <f t="shared" ref="B196:B206" si="7">IF(MOD(A196,3)=0,A196/3-1,INT(A196/3))</f>
        <v>64</v>
      </c>
      <c r="C196" s="27">
        <f t="shared" si="6"/>
        <v>2</v>
      </c>
      <c r="D196" s="113" cm="1">
        <f t="array" ref="D196">INDEX('Subj-Map-1'!$I$7:$K$100,1+B196,C196)</f>
        <v>0</v>
      </c>
    </row>
    <row r="197" spans="1:4" x14ac:dyDescent="0.75">
      <c r="A197" s="27">
        <v>195</v>
      </c>
      <c r="B197" s="27">
        <f t="shared" si="7"/>
        <v>64</v>
      </c>
      <c r="C197" s="27">
        <f t="shared" si="6"/>
        <v>3</v>
      </c>
      <c r="D197" s="113" cm="1">
        <f t="array" ref="D197">INDEX('Subj-Map-1'!$I$7:$K$100,1+B197,C197)</f>
        <v>0</v>
      </c>
    </row>
    <row r="198" spans="1:4" x14ac:dyDescent="0.75">
      <c r="A198" s="27">
        <v>196</v>
      </c>
      <c r="B198" s="27">
        <f t="shared" si="7"/>
        <v>65</v>
      </c>
      <c r="C198" s="27">
        <f t="shared" si="6"/>
        <v>1</v>
      </c>
      <c r="D198" s="113" cm="1">
        <f t="array" ref="D198">INDEX('Subj-Map-1'!$I$7:$K$100,1+B198,C198)</f>
        <v>0</v>
      </c>
    </row>
    <row r="199" spans="1:4" x14ac:dyDescent="0.75">
      <c r="A199" s="27">
        <v>197</v>
      </c>
      <c r="B199" s="27">
        <f t="shared" si="7"/>
        <v>65</v>
      </c>
      <c r="C199" s="27">
        <f t="shared" si="6"/>
        <v>2</v>
      </c>
      <c r="D199" s="113" cm="1">
        <f t="array" ref="D199">INDEX('Subj-Map-1'!$I$7:$K$100,1+B199,C199)</f>
        <v>0</v>
      </c>
    </row>
    <row r="200" spans="1:4" x14ac:dyDescent="0.75">
      <c r="A200" s="27">
        <v>198</v>
      </c>
      <c r="B200" s="27">
        <f t="shared" si="7"/>
        <v>65</v>
      </c>
      <c r="C200" s="27">
        <f t="shared" si="6"/>
        <v>3</v>
      </c>
      <c r="D200" s="113" cm="1">
        <f t="array" ref="D200">INDEX('Subj-Map-1'!$I$7:$K$100,1+B200,C200)</f>
        <v>0</v>
      </c>
    </row>
    <row r="201" spans="1:4" x14ac:dyDescent="0.75">
      <c r="A201" s="27">
        <v>199</v>
      </c>
      <c r="B201" s="27">
        <f t="shared" si="7"/>
        <v>66</v>
      </c>
      <c r="C201" s="27">
        <f t="shared" si="6"/>
        <v>1</v>
      </c>
      <c r="D201" s="113" cm="1">
        <f t="array" ref="D201">INDEX('Subj-Map-1'!$I$7:$K$100,1+B201,C201)</f>
        <v>0</v>
      </c>
    </row>
    <row r="202" spans="1:4" x14ac:dyDescent="0.75">
      <c r="A202" s="27">
        <v>200</v>
      </c>
      <c r="B202" s="27">
        <f t="shared" si="7"/>
        <v>66</v>
      </c>
      <c r="C202" s="27">
        <f t="shared" si="6"/>
        <v>2</v>
      </c>
      <c r="D202" s="113" cm="1">
        <f t="array" ref="D202">INDEX('Subj-Map-1'!$I$7:$K$100,1+B202,C202)</f>
        <v>0</v>
      </c>
    </row>
    <row r="203" spans="1:4" x14ac:dyDescent="0.75">
      <c r="A203" s="27">
        <v>201</v>
      </c>
      <c r="B203" s="27">
        <f t="shared" si="7"/>
        <v>66</v>
      </c>
      <c r="C203" s="27">
        <f t="shared" si="6"/>
        <v>3</v>
      </c>
      <c r="D203" s="113" cm="1">
        <f t="array" ref="D203">INDEX('Subj-Map-1'!$I$7:$K$100,1+B203,C203)</f>
        <v>0</v>
      </c>
    </row>
    <row r="204" spans="1:4" x14ac:dyDescent="0.75">
      <c r="A204" s="27">
        <v>202</v>
      </c>
      <c r="B204" s="27">
        <f t="shared" si="7"/>
        <v>67</v>
      </c>
      <c r="C204" s="27">
        <f t="shared" si="6"/>
        <v>1</v>
      </c>
      <c r="D204" s="113" cm="1">
        <f t="array" ref="D204">INDEX('Subj-Map-1'!$I$7:$K$100,1+B204,C204)</f>
        <v>0</v>
      </c>
    </row>
    <row r="205" spans="1:4" x14ac:dyDescent="0.75">
      <c r="A205" s="27">
        <v>203</v>
      </c>
      <c r="B205" s="27">
        <f t="shared" si="7"/>
        <v>67</v>
      </c>
      <c r="C205" s="27">
        <f t="shared" si="6"/>
        <v>2</v>
      </c>
      <c r="D205" s="113" cm="1">
        <f t="array" ref="D205">INDEX('Subj-Map-1'!$I$7:$K$100,1+B205,C205)</f>
        <v>0</v>
      </c>
    </row>
    <row r="206" spans="1:4" x14ac:dyDescent="0.75">
      <c r="A206" s="27">
        <v>204</v>
      </c>
      <c r="B206" s="27">
        <f t="shared" si="7"/>
        <v>67</v>
      </c>
      <c r="C206" s="27">
        <f t="shared" si="6"/>
        <v>3</v>
      </c>
      <c r="D206" s="113" cm="1">
        <f t="array" ref="D206">INDEX('Subj-Map-1'!$I$7:$K$100,1+B206,C206)</f>
        <v>0</v>
      </c>
    </row>
    <row r="207" spans="1:4" x14ac:dyDescent="0.75">
      <c r="A207" s="27"/>
      <c r="B207" s="27"/>
      <c r="C207" s="27"/>
    </row>
    <row r="208" spans="1:4" x14ac:dyDescent="0.75">
      <c r="A208" s="27"/>
      <c r="B208" s="27"/>
      <c r="C208" s="27"/>
    </row>
    <row r="209" spans="1:3" x14ac:dyDescent="0.75">
      <c r="A209" s="27"/>
      <c r="B209" s="27"/>
      <c r="C209" s="27"/>
    </row>
    <row r="210" spans="1:3" x14ac:dyDescent="0.75">
      <c r="A210" s="27"/>
      <c r="B210" s="27"/>
      <c r="C210" s="27"/>
    </row>
    <row r="211" spans="1:3" x14ac:dyDescent="0.75">
      <c r="A211" s="27"/>
      <c r="B211" s="27"/>
      <c r="C211" s="27"/>
    </row>
    <row r="212" spans="1:3" x14ac:dyDescent="0.75">
      <c r="A212" s="27"/>
      <c r="B212" s="27"/>
      <c r="C212" s="27"/>
    </row>
    <row r="213" spans="1:3" x14ac:dyDescent="0.75">
      <c r="A213" s="27"/>
      <c r="B213" s="27"/>
      <c r="C213" s="27"/>
    </row>
    <row r="214" spans="1:3" x14ac:dyDescent="0.75">
      <c r="A214" s="27"/>
      <c r="B214" s="27"/>
      <c r="C214" s="27"/>
    </row>
    <row r="215" spans="1:3" x14ac:dyDescent="0.75">
      <c r="A215" s="27"/>
      <c r="B215" s="27"/>
      <c r="C215" s="27"/>
    </row>
    <row r="216" spans="1:3" x14ac:dyDescent="0.75">
      <c r="A216" s="27"/>
      <c r="B216" s="27"/>
      <c r="C216" s="27"/>
    </row>
    <row r="217" spans="1:3" x14ac:dyDescent="0.75">
      <c r="A217" s="27"/>
      <c r="B217" s="27"/>
      <c r="C217" s="27"/>
    </row>
    <row r="218" spans="1:3" x14ac:dyDescent="0.75">
      <c r="A218" s="27"/>
      <c r="B218" s="27"/>
      <c r="C218" s="27"/>
    </row>
    <row r="219" spans="1:3" x14ac:dyDescent="0.75">
      <c r="A219" s="27"/>
      <c r="B219" s="27"/>
      <c r="C219" s="27"/>
    </row>
    <row r="220" spans="1:3" x14ac:dyDescent="0.75">
      <c r="A220" s="27"/>
      <c r="B220" s="27"/>
      <c r="C220" s="27"/>
    </row>
    <row r="221" spans="1:3" x14ac:dyDescent="0.75">
      <c r="A221" s="27"/>
      <c r="B221" s="27"/>
      <c r="C221" s="27"/>
    </row>
    <row r="222" spans="1:3" x14ac:dyDescent="0.75">
      <c r="A222" s="27"/>
      <c r="B222" s="27"/>
      <c r="C222" s="27"/>
    </row>
    <row r="223" spans="1:3" x14ac:dyDescent="0.75">
      <c r="A223" s="27"/>
      <c r="B223" s="27"/>
      <c r="C223" s="27"/>
    </row>
    <row r="224" spans="1:3" x14ac:dyDescent="0.75">
      <c r="A224" s="27"/>
      <c r="B224" s="27"/>
      <c r="C224" s="27"/>
    </row>
    <row r="225" spans="1:3" x14ac:dyDescent="0.75">
      <c r="A225" s="27"/>
      <c r="B225" s="27"/>
      <c r="C225" s="27"/>
    </row>
    <row r="226" spans="1:3" x14ac:dyDescent="0.75">
      <c r="A226" s="27"/>
      <c r="B226" s="27"/>
      <c r="C226" s="27"/>
    </row>
    <row r="227" spans="1:3" x14ac:dyDescent="0.75">
      <c r="A227" s="27"/>
      <c r="B227" s="27"/>
      <c r="C227" s="27"/>
    </row>
    <row r="228" spans="1:3" x14ac:dyDescent="0.75">
      <c r="A228" s="27"/>
      <c r="B228" s="27"/>
      <c r="C228" s="27"/>
    </row>
    <row r="229" spans="1:3" x14ac:dyDescent="0.75">
      <c r="A229" s="27"/>
      <c r="B229" s="27"/>
      <c r="C229" s="27"/>
    </row>
    <row r="230" spans="1:3" x14ac:dyDescent="0.75">
      <c r="A230" s="27"/>
      <c r="B230" s="27"/>
      <c r="C230" s="27"/>
    </row>
    <row r="231" spans="1:3" x14ac:dyDescent="0.75">
      <c r="A231" s="27"/>
      <c r="B231" s="27"/>
      <c r="C231" s="27"/>
    </row>
    <row r="232" spans="1:3" x14ac:dyDescent="0.75">
      <c r="A232" s="27"/>
      <c r="B232" s="27"/>
      <c r="C232" s="27"/>
    </row>
    <row r="233" spans="1:3" x14ac:dyDescent="0.75">
      <c r="A233" s="27"/>
      <c r="B233" s="27"/>
      <c r="C233" s="27"/>
    </row>
    <row r="234" spans="1:3" x14ac:dyDescent="0.75">
      <c r="A234" s="27"/>
      <c r="B234" s="27"/>
      <c r="C234" s="27"/>
    </row>
    <row r="235" spans="1:3" x14ac:dyDescent="0.75">
      <c r="A235" s="27"/>
      <c r="B235" s="27"/>
      <c r="C235" s="27"/>
    </row>
    <row r="236" spans="1:3" x14ac:dyDescent="0.75">
      <c r="A236" s="27"/>
      <c r="B236" s="27"/>
      <c r="C236" s="27"/>
    </row>
    <row r="237" spans="1:3" x14ac:dyDescent="0.75">
      <c r="A237" s="27"/>
      <c r="B237" s="27"/>
      <c r="C237" s="27"/>
    </row>
    <row r="238" spans="1:3" x14ac:dyDescent="0.75">
      <c r="A238" s="27"/>
      <c r="B238" s="27"/>
      <c r="C238" s="27"/>
    </row>
    <row r="239" spans="1:3" x14ac:dyDescent="0.75">
      <c r="A239" s="27"/>
      <c r="B239" s="27"/>
      <c r="C239" s="27"/>
    </row>
    <row r="240" spans="1:3" x14ac:dyDescent="0.75">
      <c r="A240" s="27"/>
      <c r="B240" s="27"/>
      <c r="C240" s="27"/>
    </row>
    <row r="241" spans="1:3" x14ac:dyDescent="0.75">
      <c r="A241" s="27"/>
      <c r="B241" s="27"/>
      <c r="C241" s="27"/>
    </row>
    <row r="242" spans="1:3" x14ac:dyDescent="0.75">
      <c r="A242" s="27"/>
      <c r="B242" s="27"/>
      <c r="C242" s="27"/>
    </row>
    <row r="243" spans="1:3" x14ac:dyDescent="0.75">
      <c r="A243" s="27"/>
      <c r="B243" s="27"/>
      <c r="C243" s="27"/>
    </row>
    <row r="244" spans="1:3" x14ac:dyDescent="0.75">
      <c r="A244" s="27"/>
      <c r="B244" s="27"/>
      <c r="C244" s="27"/>
    </row>
    <row r="245" spans="1:3" x14ac:dyDescent="0.75">
      <c r="A245" s="27"/>
      <c r="B245" s="27"/>
      <c r="C245" s="27"/>
    </row>
    <row r="246" spans="1:3" x14ac:dyDescent="0.75">
      <c r="A246" s="27"/>
      <c r="B246" s="27"/>
      <c r="C246" s="27"/>
    </row>
    <row r="247" spans="1:3" x14ac:dyDescent="0.75">
      <c r="A247" s="27"/>
      <c r="B247" s="27"/>
      <c r="C247" s="27"/>
    </row>
    <row r="248" spans="1:3" x14ac:dyDescent="0.75">
      <c r="A248" s="27"/>
      <c r="B248" s="27"/>
      <c r="C248" s="27"/>
    </row>
    <row r="249" spans="1:3" x14ac:dyDescent="0.75">
      <c r="A249" s="27"/>
      <c r="B249" s="27"/>
      <c r="C249" s="27"/>
    </row>
    <row r="250" spans="1:3" x14ac:dyDescent="0.75">
      <c r="A250" s="27"/>
      <c r="B250" s="27"/>
      <c r="C250" s="27"/>
    </row>
    <row r="251" spans="1:3" x14ac:dyDescent="0.75">
      <c r="A251" s="27"/>
      <c r="B251" s="27"/>
      <c r="C251" s="27"/>
    </row>
    <row r="252" spans="1:3" x14ac:dyDescent="0.75">
      <c r="A252" s="27"/>
      <c r="B252" s="27"/>
      <c r="C252" s="27"/>
    </row>
    <row r="253" spans="1:3" x14ac:dyDescent="0.75">
      <c r="A253" s="27"/>
      <c r="B253" s="27"/>
      <c r="C253" s="27"/>
    </row>
    <row r="254" spans="1:3" x14ac:dyDescent="0.75">
      <c r="A254" s="27"/>
      <c r="B254" s="27"/>
      <c r="C254" s="27"/>
    </row>
    <row r="255" spans="1:3" x14ac:dyDescent="0.75">
      <c r="A255" s="27"/>
      <c r="B255" s="27"/>
      <c r="C255" s="27"/>
    </row>
    <row r="256" spans="1:3" x14ac:dyDescent="0.75">
      <c r="A256" s="27"/>
      <c r="B256" s="27"/>
      <c r="C256" s="27"/>
    </row>
    <row r="257" spans="1:3" x14ac:dyDescent="0.75">
      <c r="A257" s="27"/>
      <c r="B257" s="27"/>
      <c r="C257" s="27"/>
    </row>
    <row r="258" spans="1:3" x14ac:dyDescent="0.75">
      <c r="A258" s="27"/>
      <c r="B258" s="27"/>
      <c r="C258" s="27"/>
    </row>
    <row r="259" spans="1:3" x14ac:dyDescent="0.75">
      <c r="A259" s="27"/>
      <c r="B259" s="27"/>
      <c r="C259" s="27"/>
    </row>
    <row r="260" spans="1:3" x14ac:dyDescent="0.75">
      <c r="A260" s="27"/>
      <c r="B260" s="27"/>
      <c r="C260" s="27"/>
    </row>
    <row r="261" spans="1:3" x14ac:dyDescent="0.75">
      <c r="A261" s="27"/>
      <c r="B261" s="27"/>
      <c r="C261" s="27"/>
    </row>
    <row r="262" spans="1:3" x14ac:dyDescent="0.75">
      <c r="A262" s="27"/>
      <c r="B262" s="27"/>
      <c r="C262" s="27"/>
    </row>
    <row r="263" spans="1:3" x14ac:dyDescent="0.75">
      <c r="A263" s="27"/>
      <c r="B263" s="27"/>
      <c r="C263" s="27"/>
    </row>
    <row r="264" spans="1:3" x14ac:dyDescent="0.75">
      <c r="A264" s="27"/>
      <c r="B264" s="27"/>
      <c r="C264" s="27"/>
    </row>
    <row r="265" spans="1:3" x14ac:dyDescent="0.75">
      <c r="A265" s="27"/>
      <c r="B265" s="27"/>
      <c r="C265" s="27"/>
    </row>
    <row r="266" spans="1:3" x14ac:dyDescent="0.75">
      <c r="A266" s="27"/>
      <c r="B266" s="27"/>
      <c r="C266" s="27"/>
    </row>
    <row r="267" spans="1:3" x14ac:dyDescent="0.75">
      <c r="A267" s="27"/>
      <c r="B267" s="27"/>
      <c r="C267" s="27"/>
    </row>
    <row r="268" spans="1:3" x14ac:dyDescent="0.75">
      <c r="A268" s="27"/>
      <c r="B268" s="27"/>
      <c r="C268" s="27"/>
    </row>
    <row r="269" spans="1:3" x14ac:dyDescent="0.75">
      <c r="A269" s="27"/>
      <c r="B269" s="27"/>
      <c r="C269" s="27"/>
    </row>
    <row r="270" spans="1:3" x14ac:dyDescent="0.75">
      <c r="A270" s="27"/>
      <c r="B270" s="27"/>
      <c r="C270" s="27"/>
    </row>
    <row r="271" spans="1:3" x14ac:dyDescent="0.75">
      <c r="A271" s="27"/>
      <c r="B271" s="27"/>
      <c r="C271" s="27"/>
    </row>
    <row r="272" spans="1:3" x14ac:dyDescent="0.75">
      <c r="A272" s="27"/>
      <c r="B272" s="27"/>
      <c r="C272" s="27"/>
    </row>
    <row r="273" spans="1:3" x14ac:dyDescent="0.75">
      <c r="A273" s="27"/>
      <c r="B273" s="27"/>
      <c r="C273" s="27"/>
    </row>
    <row r="274" spans="1:3" x14ac:dyDescent="0.75">
      <c r="A274" s="27"/>
      <c r="B274" s="27"/>
      <c r="C274" s="27"/>
    </row>
    <row r="275" spans="1:3" x14ac:dyDescent="0.75">
      <c r="A275" s="27"/>
      <c r="B275" s="27"/>
      <c r="C275" s="27"/>
    </row>
    <row r="276" spans="1:3" x14ac:dyDescent="0.75">
      <c r="A276" s="27"/>
      <c r="B276" s="27"/>
      <c r="C276" s="27"/>
    </row>
    <row r="277" spans="1:3" x14ac:dyDescent="0.75">
      <c r="A277" s="27"/>
      <c r="B277" s="27"/>
      <c r="C277" s="27"/>
    </row>
    <row r="278" spans="1:3" x14ac:dyDescent="0.75">
      <c r="A278" s="27"/>
      <c r="B278" s="27"/>
      <c r="C278" s="27"/>
    </row>
    <row r="279" spans="1:3" x14ac:dyDescent="0.75">
      <c r="A279" s="27"/>
      <c r="B279" s="27"/>
      <c r="C279" s="27"/>
    </row>
    <row r="280" spans="1:3" x14ac:dyDescent="0.75">
      <c r="A280" s="27"/>
      <c r="B280" s="27"/>
      <c r="C280" s="27"/>
    </row>
    <row r="281" spans="1:3" x14ac:dyDescent="0.75">
      <c r="A281" s="27"/>
      <c r="B281" s="27"/>
      <c r="C281" s="27"/>
    </row>
    <row r="282" spans="1:3" x14ac:dyDescent="0.75">
      <c r="A282" s="27"/>
      <c r="B282" s="27"/>
      <c r="C282" s="27"/>
    </row>
    <row r="283" spans="1:3" x14ac:dyDescent="0.75">
      <c r="A283" s="27"/>
      <c r="B283" s="27"/>
      <c r="C283" s="27"/>
    </row>
    <row r="284" spans="1:3" x14ac:dyDescent="0.75">
      <c r="A284" s="27"/>
      <c r="B284" s="27"/>
      <c r="C284" s="27"/>
    </row>
    <row r="285" spans="1:3" x14ac:dyDescent="0.75">
      <c r="A285" s="27"/>
      <c r="B285" s="27"/>
      <c r="C285" s="27"/>
    </row>
    <row r="286" spans="1:3" x14ac:dyDescent="0.75">
      <c r="A286" s="27"/>
      <c r="B286" s="27"/>
      <c r="C286" s="27"/>
    </row>
    <row r="287" spans="1:3" x14ac:dyDescent="0.75">
      <c r="A287" s="27"/>
      <c r="B287" s="27"/>
      <c r="C287" s="27"/>
    </row>
    <row r="288" spans="1:3" x14ac:dyDescent="0.75">
      <c r="A288" s="27"/>
      <c r="B288" s="27"/>
      <c r="C288" s="27"/>
    </row>
    <row r="289" spans="1:3" x14ac:dyDescent="0.75">
      <c r="A289" s="27"/>
      <c r="B289" s="27"/>
      <c r="C289" s="27"/>
    </row>
    <row r="290" spans="1:3" x14ac:dyDescent="0.75">
      <c r="A290" s="27"/>
      <c r="B290" s="27"/>
      <c r="C290" s="27"/>
    </row>
    <row r="291" spans="1:3" x14ac:dyDescent="0.75">
      <c r="A291" s="27"/>
      <c r="B291" s="27"/>
      <c r="C291" s="27"/>
    </row>
    <row r="292" spans="1:3" x14ac:dyDescent="0.75">
      <c r="A292" s="27"/>
      <c r="B292" s="27"/>
      <c r="C292" s="27"/>
    </row>
    <row r="293" spans="1:3" x14ac:dyDescent="0.75">
      <c r="A293" s="27"/>
      <c r="B293" s="27"/>
      <c r="C293" s="27"/>
    </row>
    <row r="294" spans="1:3" x14ac:dyDescent="0.75">
      <c r="A294" s="27"/>
      <c r="B294" s="27"/>
      <c r="C294" s="27"/>
    </row>
    <row r="295" spans="1:3" x14ac:dyDescent="0.75">
      <c r="A295" s="27"/>
      <c r="B295" s="27"/>
      <c r="C295" s="27"/>
    </row>
    <row r="296" spans="1:3" x14ac:dyDescent="0.75">
      <c r="A296" s="27"/>
      <c r="B296" s="27"/>
      <c r="C296" s="27"/>
    </row>
    <row r="297" spans="1:3" x14ac:dyDescent="0.75">
      <c r="A297" s="27"/>
      <c r="B297" s="27"/>
      <c r="C297" s="27"/>
    </row>
    <row r="298" spans="1:3" x14ac:dyDescent="0.75">
      <c r="A298" s="27"/>
      <c r="B298" s="27"/>
      <c r="C298" s="27"/>
    </row>
    <row r="299" spans="1:3" x14ac:dyDescent="0.75">
      <c r="A299" s="27"/>
      <c r="B299" s="27"/>
      <c r="C299" s="27"/>
    </row>
    <row r="300" spans="1:3" x14ac:dyDescent="0.75">
      <c r="A300" s="27"/>
      <c r="B300" s="27"/>
      <c r="C300" s="27"/>
    </row>
    <row r="301" spans="1:3" x14ac:dyDescent="0.75">
      <c r="A301" s="27"/>
      <c r="B301" s="27"/>
      <c r="C301" s="27"/>
    </row>
    <row r="302" spans="1:3" x14ac:dyDescent="0.75">
      <c r="A302" s="27"/>
      <c r="B302" s="27"/>
      <c r="C302" s="27"/>
    </row>
    <row r="303" spans="1:3" x14ac:dyDescent="0.75">
      <c r="A303" s="27"/>
      <c r="B303" s="27"/>
      <c r="C303" s="27"/>
    </row>
    <row r="304" spans="1:3" x14ac:dyDescent="0.75">
      <c r="A304" s="27"/>
      <c r="B304" s="27"/>
      <c r="C304" s="27"/>
    </row>
    <row r="305" spans="1:3" x14ac:dyDescent="0.75">
      <c r="A305" s="27"/>
      <c r="B305" s="27"/>
      <c r="C305" s="27"/>
    </row>
    <row r="306" spans="1:3" x14ac:dyDescent="0.75">
      <c r="A306" s="27"/>
      <c r="B306" s="27"/>
      <c r="C306" s="27"/>
    </row>
    <row r="307" spans="1:3" x14ac:dyDescent="0.75">
      <c r="A307" s="27"/>
      <c r="B307" s="27"/>
      <c r="C307" s="27"/>
    </row>
    <row r="308" spans="1:3" x14ac:dyDescent="0.75">
      <c r="A308" s="27"/>
      <c r="B308" s="27"/>
      <c r="C308" s="27"/>
    </row>
    <row r="309" spans="1:3" x14ac:dyDescent="0.75">
      <c r="A309" s="27"/>
      <c r="B309" s="27"/>
      <c r="C309" s="27"/>
    </row>
    <row r="310" spans="1:3" x14ac:dyDescent="0.75">
      <c r="A310" s="27"/>
      <c r="B310" s="27"/>
      <c r="C310" s="27"/>
    </row>
    <row r="311" spans="1:3" x14ac:dyDescent="0.75">
      <c r="A311" s="27"/>
      <c r="B311" s="27"/>
      <c r="C311" s="27"/>
    </row>
    <row r="312" spans="1:3" x14ac:dyDescent="0.75">
      <c r="A312" s="27"/>
      <c r="B312" s="27"/>
      <c r="C312" s="27"/>
    </row>
    <row r="313" spans="1:3" x14ac:dyDescent="0.75">
      <c r="A313" s="27"/>
      <c r="B313" s="27"/>
      <c r="C313" s="27"/>
    </row>
    <row r="314" spans="1:3" x14ac:dyDescent="0.75">
      <c r="A314" s="27"/>
      <c r="B314" s="27"/>
      <c r="C314" s="27"/>
    </row>
    <row r="315" spans="1:3" x14ac:dyDescent="0.75">
      <c r="A315" s="27"/>
      <c r="B315" s="27"/>
      <c r="C315" s="27"/>
    </row>
    <row r="316" spans="1:3" x14ac:dyDescent="0.75">
      <c r="A316" s="27"/>
      <c r="B316" s="27"/>
      <c r="C316" s="27"/>
    </row>
    <row r="317" spans="1:3" x14ac:dyDescent="0.75">
      <c r="A317" s="27"/>
      <c r="B317" s="27"/>
      <c r="C317" s="27"/>
    </row>
    <row r="318" spans="1:3" x14ac:dyDescent="0.75">
      <c r="A318" s="27"/>
      <c r="B318" s="27"/>
      <c r="C318" s="27"/>
    </row>
    <row r="319" spans="1:3" x14ac:dyDescent="0.75">
      <c r="A319" s="27"/>
      <c r="B319" s="27"/>
      <c r="C319" s="27"/>
    </row>
    <row r="320" spans="1:3" x14ac:dyDescent="0.75">
      <c r="A320" s="27"/>
      <c r="B320" s="27"/>
      <c r="C320" s="27"/>
    </row>
    <row r="321" spans="1:3" x14ac:dyDescent="0.75">
      <c r="A321" s="27"/>
      <c r="B321" s="27"/>
      <c r="C321" s="27"/>
    </row>
    <row r="322" spans="1:3" x14ac:dyDescent="0.75">
      <c r="A322" s="27"/>
      <c r="B322" s="27"/>
      <c r="C322" s="27"/>
    </row>
    <row r="323" spans="1:3" x14ac:dyDescent="0.75">
      <c r="A323" s="27"/>
      <c r="B323" s="27"/>
      <c r="C323" s="27"/>
    </row>
    <row r="324" spans="1:3" x14ac:dyDescent="0.75">
      <c r="A324" s="27"/>
      <c r="B324" s="27"/>
      <c r="C324" s="27"/>
    </row>
    <row r="325" spans="1:3" x14ac:dyDescent="0.75">
      <c r="A325" s="27"/>
      <c r="B325" s="27"/>
      <c r="C325" s="27"/>
    </row>
    <row r="326" spans="1:3" x14ac:dyDescent="0.75">
      <c r="A326" s="27"/>
      <c r="B326" s="27"/>
      <c r="C326" s="27"/>
    </row>
    <row r="327" spans="1:3" x14ac:dyDescent="0.75">
      <c r="A327" s="27"/>
      <c r="B327" s="27"/>
      <c r="C327" s="27"/>
    </row>
    <row r="328" spans="1:3" x14ac:dyDescent="0.75">
      <c r="A328" s="27"/>
      <c r="B328" s="27"/>
      <c r="C328" s="27"/>
    </row>
    <row r="329" spans="1:3" x14ac:dyDescent="0.75">
      <c r="A329" s="27"/>
      <c r="B329" s="27"/>
      <c r="C329" s="27"/>
    </row>
    <row r="330" spans="1:3" x14ac:dyDescent="0.75">
      <c r="A330" s="27"/>
      <c r="B330" s="27"/>
      <c r="C330" s="27"/>
    </row>
    <row r="331" spans="1:3" x14ac:dyDescent="0.75">
      <c r="A331" s="27"/>
      <c r="B331" s="27"/>
      <c r="C331" s="27"/>
    </row>
    <row r="332" spans="1:3" x14ac:dyDescent="0.75">
      <c r="A332" s="27"/>
      <c r="B332" s="27"/>
      <c r="C332" s="27"/>
    </row>
    <row r="333" spans="1:3" x14ac:dyDescent="0.75">
      <c r="A333" s="27"/>
      <c r="B333" s="27"/>
      <c r="C333" s="27"/>
    </row>
    <row r="334" spans="1:3" x14ac:dyDescent="0.75">
      <c r="A334" s="27"/>
      <c r="B334" s="27"/>
      <c r="C334" s="27"/>
    </row>
    <row r="335" spans="1:3" x14ac:dyDescent="0.75">
      <c r="A335" s="27"/>
      <c r="B335" s="27"/>
      <c r="C335" s="27"/>
    </row>
    <row r="336" spans="1:3" x14ac:dyDescent="0.75">
      <c r="A336" s="27"/>
      <c r="B336" s="27"/>
      <c r="C336" s="27"/>
    </row>
    <row r="337" spans="1:3" x14ac:dyDescent="0.75">
      <c r="A337" s="27"/>
      <c r="B337" s="27"/>
      <c r="C337" s="27"/>
    </row>
    <row r="338" spans="1:3" x14ac:dyDescent="0.75">
      <c r="A338" s="27"/>
      <c r="B338" s="27"/>
      <c r="C338" s="27"/>
    </row>
    <row r="339" spans="1:3" x14ac:dyDescent="0.75">
      <c r="A339" s="27"/>
      <c r="B339" s="27"/>
      <c r="C339" s="27"/>
    </row>
    <row r="340" spans="1:3" x14ac:dyDescent="0.75">
      <c r="A340" s="27"/>
      <c r="B340" s="27"/>
      <c r="C340" s="27"/>
    </row>
    <row r="341" spans="1:3" x14ac:dyDescent="0.75">
      <c r="A341" s="27"/>
      <c r="B341" s="27"/>
      <c r="C341" s="27"/>
    </row>
    <row r="342" spans="1:3" x14ac:dyDescent="0.75">
      <c r="A342" s="27"/>
      <c r="B342" s="27"/>
      <c r="C342" s="27"/>
    </row>
    <row r="343" spans="1:3" x14ac:dyDescent="0.75">
      <c r="A343" s="27"/>
      <c r="B343" s="27"/>
      <c r="C343" s="27"/>
    </row>
    <row r="344" spans="1:3" x14ac:dyDescent="0.75">
      <c r="A344" s="27"/>
      <c r="B344" s="27"/>
      <c r="C344" s="27"/>
    </row>
    <row r="345" spans="1:3" x14ac:dyDescent="0.75">
      <c r="A345" s="27"/>
      <c r="B345" s="27"/>
      <c r="C345" s="27"/>
    </row>
    <row r="346" spans="1:3" x14ac:dyDescent="0.75">
      <c r="A346" s="27"/>
      <c r="B346" s="27"/>
      <c r="C346" s="27"/>
    </row>
    <row r="347" spans="1:3" x14ac:dyDescent="0.75">
      <c r="A347" s="27"/>
      <c r="B347" s="27"/>
      <c r="C347" s="27"/>
    </row>
    <row r="348" spans="1:3" x14ac:dyDescent="0.75">
      <c r="A348" s="27"/>
      <c r="B348" s="27"/>
      <c r="C348" s="27"/>
    </row>
    <row r="349" spans="1:3" x14ac:dyDescent="0.75">
      <c r="A349" s="27"/>
      <c r="B349" s="27"/>
      <c r="C349" s="27"/>
    </row>
    <row r="350" spans="1:3" x14ac:dyDescent="0.75">
      <c r="A350" s="27"/>
      <c r="B350" s="27"/>
      <c r="C350" s="27"/>
    </row>
    <row r="351" spans="1:3" x14ac:dyDescent="0.75">
      <c r="A351" s="27"/>
      <c r="B351" s="27"/>
      <c r="C351" s="27"/>
    </row>
    <row r="352" spans="1:3" x14ac:dyDescent="0.75">
      <c r="A352" s="27"/>
      <c r="B352" s="27"/>
      <c r="C352" s="27"/>
    </row>
    <row r="353" spans="1:3" x14ac:dyDescent="0.75">
      <c r="A353" s="27"/>
      <c r="B353" s="27"/>
      <c r="C353" s="27"/>
    </row>
    <row r="354" spans="1:3" x14ac:dyDescent="0.75">
      <c r="A354" s="27"/>
      <c r="B354" s="27"/>
      <c r="C354" s="27"/>
    </row>
    <row r="355" spans="1:3" x14ac:dyDescent="0.75">
      <c r="A355" s="27"/>
      <c r="B355" s="27"/>
      <c r="C355" s="27"/>
    </row>
    <row r="356" spans="1:3" x14ac:dyDescent="0.75">
      <c r="A356" s="27"/>
      <c r="B356" s="27"/>
      <c r="C356" s="27"/>
    </row>
    <row r="357" spans="1:3" x14ac:dyDescent="0.75">
      <c r="A357" s="27"/>
      <c r="B357" s="27"/>
      <c r="C357" s="27"/>
    </row>
    <row r="358" spans="1:3" x14ac:dyDescent="0.75">
      <c r="A358" s="27"/>
      <c r="B358" s="27"/>
      <c r="C358" s="27"/>
    </row>
    <row r="359" spans="1:3" x14ac:dyDescent="0.75">
      <c r="A359" s="27"/>
      <c r="B359" s="27"/>
      <c r="C359" s="27"/>
    </row>
    <row r="360" spans="1:3" x14ac:dyDescent="0.75">
      <c r="A360" s="27"/>
      <c r="B360" s="27"/>
      <c r="C360" s="27"/>
    </row>
    <row r="361" spans="1:3" x14ac:dyDescent="0.75">
      <c r="A361" s="27"/>
      <c r="B361" s="27"/>
      <c r="C361" s="27"/>
    </row>
    <row r="362" spans="1:3" x14ac:dyDescent="0.75">
      <c r="A362" s="27"/>
      <c r="B362" s="27"/>
      <c r="C362" s="27"/>
    </row>
    <row r="363" spans="1:3" x14ac:dyDescent="0.75">
      <c r="A363" s="27"/>
      <c r="B363" s="27"/>
      <c r="C363" s="27"/>
    </row>
    <row r="364" spans="1:3" x14ac:dyDescent="0.75">
      <c r="A364" s="27"/>
      <c r="B364" s="27"/>
      <c r="C364" s="27"/>
    </row>
    <row r="365" spans="1:3" x14ac:dyDescent="0.75">
      <c r="A365" s="27"/>
      <c r="B365" s="27"/>
      <c r="C365" s="27"/>
    </row>
    <row r="366" spans="1:3" x14ac:dyDescent="0.75">
      <c r="A366" s="27"/>
      <c r="B366" s="27"/>
      <c r="C366" s="27"/>
    </row>
    <row r="367" spans="1:3" x14ac:dyDescent="0.75">
      <c r="A367" s="27"/>
      <c r="B367" s="27"/>
      <c r="C367" s="27"/>
    </row>
    <row r="368" spans="1:3" x14ac:dyDescent="0.75">
      <c r="A368" s="27"/>
      <c r="B368" s="27"/>
      <c r="C368" s="27"/>
    </row>
    <row r="369" spans="1:3" x14ac:dyDescent="0.75">
      <c r="A369" s="27"/>
      <c r="B369" s="27"/>
      <c r="C369" s="27"/>
    </row>
    <row r="370" spans="1:3" x14ac:dyDescent="0.75">
      <c r="A370" s="27"/>
      <c r="B370" s="27"/>
      <c r="C370" s="27"/>
    </row>
    <row r="371" spans="1:3" x14ac:dyDescent="0.75">
      <c r="A371" s="27"/>
      <c r="B371" s="27"/>
      <c r="C371" s="27"/>
    </row>
    <row r="372" spans="1:3" x14ac:dyDescent="0.75">
      <c r="A372" s="27"/>
      <c r="B372" s="27"/>
      <c r="C372" s="27"/>
    </row>
    <row r="373" spans="1:3" x14ac:dyDescent="0.75">
      <c r="A373" s="27"/>
      <c r="B373" s="27"/>
      <c r="C373" s="27"/>
    </row>
    <row r="374" spans="1:3" x14ac:dyDescent="0.75">
      <c r="A374" s="27"/>
      <c r="B374" s="27"/>
      <c r="C374" s="27"/>
    </row>
    <row r="375" spans="1:3" x14ac:dyDescent="0.75">
      <c r="A375" s="27"/>
      <c r="B375" s="27"/>
      <c r="C375" s="27"/>
    </row>
    <row r="376" spans="1:3" x14ac:dyDescent="0.75">
      <c r="A376" s="27"/>
      <c r="B376" s="27"/>
      <c r="C376" s="27"/>
    </row>
    <row r="377" spans="1:3" x14ac:dyDescent="0.75">
      <c r="A377" s="27"/>
      <c r="B377" s="27"/>
      <c r="C377" s="27"/>
    </row>
    <row r="378" spans="1:3" x14ac:dyDescent="0.75">
      <c r="A378" s="27"/>
      <c r="B378" s="27"/>
      <c r="C378" s="27"/>
    </row>
    <row r="379" spans="1:3" x14ac:dyDescent="0.75">
      <c r="A379" s="27"/>
      <c r="B379" s="27"/>
      <c r="C379" s="27"/>
    </row>
    <row r="380" spans="1:3" x14ac:dyDescent="0.75">
      <c r="A380" s="27"/>
      <c r="B380" s="27"/>
      <c r="C380" s="27"/>
    </row>
    <row r="381" spans="1:3" x14ac:dyDescent="0.75">
      <c r="A381" s="27"/>
      <c r="B381" s="27"/>
      <c r="C381" s="27"/>
    </row>
    <row r="382" spans="1:3" x14ac:dyDescent="0.75">
      <c r="A382" s="27"/>
      <c r="B382" s="27"/>
      <c r="C382" s="27"/>
    </row>
    <row r="383" spans="1:3" x14ac:dyDescent="0.75">
      <c r="A383" s="27"/>
      <c r="B383" s="27"/>
      <c r="C383" s="27"/>
    </row>
    <row r="384" spans="1:3" x14ac:dyDescent="0.75">
      <c r="A384" s="27"/>
      <c r="B384" s="27"/>
      <c r="C384" s="27"/>
    </row>
    <row r="385" spans="1:3" x14ac:dyDescent="0.75">
      <c r="A385" s="27"/>
      <c r="B385" s="27"/>
      <c r="C385" s="27"/>
    </row>
    <row r="386" spans="1:3" x14ac:dyDescent="0.75">
      <c r="A386" s="27"/>
      <c r="B386" s="27"/>
      <c r="C386" s="27"/>
    </row>
    <row r="387" spans="1:3" x14ac:dyDescent="0.75">
      <c r="A387" s="27"/>
      <c r="B387" s="27"/>
      <c r="C387" s="27"/>
    </row>
    <row r="388" spans="1:3" x14ac:dyDescent="0.75">
      <c r="A388" s="27"/>
      <c r="B388" s="27"/>
      <c r="C388" s="27"/>
    </row>
    <row r="389" spans="1:3" x14ac:dyDescent="0.75">
      <c r="A389" s="27"/>
      <c r="B389" s="27"/>
      <c r="C389" s="27"/>
    </row>
    <row r="390" spans="1:3" x14ac:dyDescent="0.75">
      <c r="A390" s="27"/>
      <c r="B390" s="27"/>
      <c r="C390" s="27"/>
    </row>
    <row r="391" spans="1:3" x14ac:dyDescent="0.75">
      <c r="A391" s="27"/>
      <c r="B391" s="27"/>
      <c r="C391" s="27"/>
    </row>
    <row r="392" spans="1:3" x14ac:dyDescent="0.75">
      <c r="A392" s="27"/>
      <c r="B392" s="27"/>
      <c r="C392" s="27"/>
    </row>
    <row r="393" spans="1:3" x14ac:dyDescent="0.75">
      <c r="A393" s="27"/>
      <c r="B393" s="27"/>
      <c r="C393" s="27"/>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6"/>
    <col min="3" max="3" width="31.6796875" style="26" bestFit="1" customWidth="1"/>
    <col min="4" max="4" width="72.1328125" style="26" customWidth="1"/>
    <col min="5" max="5" width="24.81640625" style="26" customWidth="1"/>
    <col min="6" max="6" width="15.5" style="26" customWidth="1"/>
    <col min="7" max="7" width="16.1328125" style="26" customWidth="1"/>
    <col min="8" max="8" width="10.76953125" style="26" customWidth="1"/>
    <col min="9" max="9" width="45.26953125" style="26" customWidth="1"/>
    <col min="10" max="10" width="40.1328125" style="1" customWidth="1"/>
    <col min="11" max="11" width="26.6328125" style="1" customWidth="1"/>
    <col min="12" max="12" width="48.54296875" style="1" customWidth="1"/>
    <col min="13" max="13" width="53.36328125" style="26" customWidth="1"/>
    <col min="14" max="14" width="51.5" style="26" customWidth="1"/>
    <col min="15" max="16384" width="8.7265625" style="26"/>
  </cols>
  <sheetData>
    <row r="1" spans="1:14" x14ac:dyDescent="0.75">
      <c r="C1" s="107" t="str">
        <f>'Subj-1'!B1</f>
        <v>canonical</v>
      </c>
      <c r="D1" s="19" t="s">
        <v>33</v>
      </c>
      <c r="E1" s="20"/>
      <c r="G1" s="44" t="s">
        <v>888</v>
      </c>
      <c r="N1" s="26" t="s">
        <v>49</v>
      </c>
    </row>
    <row r="2" spans="1:14" ht="30.25" thickBot="1" x14ac:dyDescent="0.9">
      <c r="C2" s="109" t="str">
        <f>'Subj-1'!B2</f>
        <v>http://hl7.eu/fhir/ig/pcsp</v>
      </c>
      <c r="D2" s="17" t="s">
        <v>879</v>
      </c>
      <c r="E2" s="37"/>
      <c r="G2" s="145" t="s">
        <v>1109</v>
      </c>
      <c r="M2" s="46"/>
      <c r="N2" s="26" t="str">
        <f>CONCATENATE("Mapping: ",E2)</f>
        <v xml:space="preserve">Mapping: </v>
      </c>
    </row>
    <row r="3" spans="1:14" x14ac:dyDescent="0.75">
      <c r="C3" s="107" t="str">
        <f>'Subj-1'!B3</f>
        <v>Publisher</v>
      </c>
      <c r="D3" s="42"/>
      <c r="E3" s="38"/>
      <c r="G3" s="26" t="s">
        <v>1110</v>
      </c>
      <c r="M3" s="46"/>
      <c r="N3" s="26" t="str">
        <f>CONCATENATE("Id: ",E2)</f>
        <v xml:space="preserve">Id: </v>
      </c>
    </row>
    <row r="4" spans="1:14" ht="15.5" thickBot="1" x14ac:dyDescent="0.9">
      <c r="C4" s="109" t="str">
        <f>'Subj-1'!B4</f>
        <v>PanCareSurPass project</v>
      </c>
      <c r="D4" s="45"/>
      <c r="E4" s="39"/>
      <c r="M4" s="46"/>
      <c r="N4" s="26" t="str">
        <f>CONCATENATE("Title: """,D2,"""")</f>
        <v>Title: "CDA"</v>
      </c>
    </row>
    <row r="5" spans="1:14" x14ac:dyDescent="0.75">
      <c r="M5" s="46"/>
      <c r="N5" s="26" t="str">
        <f>CONCATENATE("Source: ",C2,"/",C7)</f>
        <v>Source: http://hl7.eu/fhir/ig/pcsp/Subject</v>
      </c>
    </row>
    <row r="6" spans="1:14" x14ac:dyDescent="0.75">
      <c r="D6" s="26" t="s">
        <v>47</v>
      </c>
      <c r="M6" s="46"/>
      <c r="N6" s="26" t="str">
        <f>CONCATENATE("Target: """,D4,"""")</f>
        <v>Target: ""</v>
      </c>
    </row>
    <row r="7" spans="1:14" ht="14.75" customHeight="1" x14ac:dyDescent="0.75">
      <c r="A7" s="27">
        <v>1</v>
      </c>
      <c r="B7" s="27">
        <f>'Subj-1'!A6</f>
        <v>0</v>
      </c>
      <c r="C7" s="27" t="str">
        <f>'Subj-1'!B6</f>
        <v>Subject</v>
      </c>
      <c r="D7" s="27" t="s">
        <v>880</v>
      </c>
      <c r="H7" s="26"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6" t="s">
        <v>50</v>
      </c>
      <c r="N7" s="26" t="s">
        <v>49</v>
      </c>
    </row>
    <row r="8" spans="1:14" ht="29.5" x14ac:dyDescent="0.75">
      <c r="A8" s="115">
        <v>1</v>
      </c>
      <c r="B8" s="27">
        <f>'Subj-1'!A7</f>
        <v>1</v>
      </c>
      <c r="C8" s="27" t="str">
        <f>'Subj-1'!B7</f>
        <v>identifier</v>
      </c>
      <c r="D8" s="27" t="s">
        <v>881</v>
      </c>
      <c r="H8" s="26"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6"/>
      <c r="N8" s="26" t="str">
        <f t="shared" ref="N8:N41" si="0">CONCATENATE("* ",C8," -&gt; """,D8,"""")</f>
        <v>* identifier -&gt; ".id"</v>
      </c>
    </row>
    <row r="9" spans="1:14" ht="29.5" x14ac:dyDescent="0.75">
      <c r="A9" s="115">
        <v>1</v>
      </c>
      <c r="B9" s="27">
        <f>'Subj-1'!A8</f>
        <v>2</v>
      </c>
      <c r="C9" s="115" t="str">
        <f>'Subj-1'!B8</f>
        <v>name</v>
      </c>
      <c r="D9" s="33" t="s">
        <v>883</v>
      </c>
      <c r="H9" s="26"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6"/>
      <c r="N9" s="26" t="str">
        <f t="shared" si="0"/>
        <v>* name -&gt; ".patient.name"</v>
      </c>
    </row>
    <row r="10" spans="1:14" ht="29.5" customHeight="1" x14ac:dyDescent="0.75">
      <c r="A10" s="115">
        <v>1</v>
      </c>
      <c r="B10" s="115">
        <f>'Subj-1'!A9</f>
        <v>3</v>
      </c>
      <c r="C10" s="115" t="str">
        <f>'Subj-1'!B9</f>
        <v>name.lastname</v>
      </c>
      <c r="D10" s="33" t="s">
        <v>884</v>
      </c>
      <c r="H10" s="26" t="b">
        <f t="shared" si="1"/>
        <v>1</v>
      </c>
      <c r="I10" s="1" t="str">
        <f t="shared" si="2"/>
        <v>* differential.element[3].mapping[1].identity = "cda"</v>
      </c>
      <c r="J10" s="1" t="str">
        <f t="shared" si="3"/>
        <v>* differential.element[3].mapping[1].map = ".patient.name.family"</v>
      </c>
      <c r="K10" s="1" t="str">
        <f t="shared" si="4"/>
        <v/>
      </c>
      <c r="M10" s="46"/>
      <c r="N10" s="26" t="str">
        <f t="shared" si="0"/>
        <v>* name.lastname -&gt; ".patient.name.family"</v>
      </c>
    </row>
    <row r="11" spans="1:14" ht="29.5" x14ac:dyDescent="0.75">
      <c r="A11" s="115">
        <v>1</v>
      </c>
      <c r="B11" s="115">
        <f>'Subj-1'!A10</f>
        <v>4</v>
      </c>
      <c r="C11" s="115" t="str">
        <f>'Subj-1'!B10</f>
        <v>name.middleName</v>
      </c>
      <c r="D11" s="33" t="s">
        <v>884</v>
      </c>
      <c r="H11" s="26" t="b">
        <f t="shared" si="1"/>
        <v>1</v>
      </c>
      <c r="I11" s="1" t="str">
        <f t="shared" si="2"/>
        <v>* differential.element[4].mapping[1].identity = "cda"</v>
      </c>
      <c r="J11" s="1" t="str">
        <f t="shared" si="3"/>
        <v>* differential.element[4].mapping[1].map = ".patient.name.family"</v>
      </c>
      <c r="K11" s="1" t="str">
        <f t="shared" si="4"/>
        <v/>
      </c>
      <c r="M11" s="46"/>
      <c r="N11" s="26" t="str">
        <f t="shared" si="0"/>
        <v>* name.middleName -&gt; ".patient.name.family"</v>
      </c>
    </row>
    <row r="12" spans="1:14" ht="29.5" x14ac:dyDescent="0.75">
      <c r="A12" s="115">
        <v>1</v>
      </c>
      <c r="B12" s="115">
        <f>'Subj-1'!A11</f>
        <v>5</v>
      </c>
      <c r="C12" s="115" t="str">
        <f>'Subj-1'!B11</f>
        <v>name.firstName</v>
      </c>
      <c r="D12" s="33" t="s">
        <v>885</v>
      </c>
      <c r="H12" s="26" t="b">
        <f t="shared" si="1"/>
        <v>1</v>
      </c>
      <c r="I12" s="1" t="str">
        <f t="shared" si="2"/>
        <v>* differential.element[5].mapping[1].identity = "cda"</v>
      </c>
      <c r="J12" s="1" t="str">
        <f t="shared" si="3"/>
        <v>* differential.element[5].mapping[1].map = ".patient.name.given"</v>
      </c>
      <c r="K12" s="1" t="str">
        <f t="shared" si="4"/>
        <v/>
      </c>
      <c r="M12" s="46"/>
      <c r="N12" s="26" t="str">
        <f t="shared" si="0"/>
        <v>* name.firstName -&gt; ".patient.name.given"</v>
      </c>
    </row>
    <row r="13" spans="1:14" ht="29.5" x14ac:dyDescent="0.75">
      <c r="A13" s="115">
        <v>1</v>
      </c>
      <c r="B13" s="115">
        <f>'Subj-1'!A12</f>
        <v>6</v>
      </c>
      <c r="C13" s="115" t="str">
        <f>'Subj-1'!B12</f>
        <v>lastnameAtDiagnosis</v>
      </c>
      <c r="D13" s="117" t="s">
        <v>884</v>
      </c>
      <c r="H13" s="26" t="b">
        <f t="shared" si="1"/>
        <v>1</v>
      </c>
      <c r="I13" s="1" t="str">
        <f t="shared" si="2"/>
        <v>* differential.element[6].mapping[1].identity = "cda"</v>
      </c>
      <c r="J13" s="1" t="str">
        <f t="shared" si="3"/>
        <v>* differential.element[6].mapping[1].map = ".patient.name.family"</v>
      </c>
      <c r="K13" s="1" t="str">
        <f t="shared" si="4"/>
        <v/>
      </c>
      <c r="M13" s="46"/>
      <c r="N13" s="26" t="str">
        <f t="shared" si="0"/>
        <v>* lastnameAtDiagnosis -&gt; ".patient.name.family"</v>
      </c>
    </row>
    <row r="14" spans="1:14" ht="29.5" x14ac:dyDescent="0.75">
      <c r="A14" s="115">
        <v>1</v>
      </c>
      <c r="B14" s="115">
        <f>'Subj-1'!A13</f>
        <v>7</v>
      </c>
      <c r="C14" s="115" t="str">
        <f>'Subj-1'!B13</f>
        <v>gender</v>
      </c>
      <c r="D14" s="27" t="s">
        <v>882</v>
      </c>
      <c r="H14" s="26" t="b">
        <f t="shared" si="1"/>
        <v>1</v>
      </c>
      <c r="I14" s="1" t="str">
        <f t="shared" si="2"/>
        <v>* differential.element[7].mapping[1].identity = "cda"</v>
      </c>
      <c r="J14" s="1" t="str">
        <f t="shared" si="3"/>
        <v>* differential.element[7].mapping[1].map = ".patient.administrativeGenderCode"</v>
      </c>
      <c r="K14" s="1" t="str">
        <f t="shared" si="4"/>
        <v/>
      </c>
      <c r="M14" s="46"/>
      <c r="N14" s="26" t="str">
        <f t="shared" si="0"/>
        <v>* gender -&gt; ".patient.administrativeGenderCode"</v>
      </c>
    </row>
    <row r="15" spans="1:14" ht="29.5" x14ac:dyDescent="0.75">
      <c r="A15" s="115">
        <v>1</v>
      </c>
      <c r="B15" s="115">
        <f>'Subj-1'!A14</f>
        <v>8</v>
      </c>
      <c r="C15" s="115" t="str">
        <f>'Subj-1'!B14</f>
        <v>dateOfBirth</v>
      </c>
      <c r="D15" s="27" t="s">
        <v>886</v>
      </c>
      <c r="H15" s="26" t="b">
        <f t="shared" si="1"/>
        <v>1</v>
      </c>
      <c r="I15" s="1" t="str">
        <f t="shared" si="2"/>
        <v>* differential.element[8].mapping[1].identity = "cda"</v>
      </c>
      <c r="J15" s="1" t="str">
        <f t="shared" si="3"/>
        <v>* differential.element[8].mapping[1].map = ".patient.birthTime"</v>
      </c>
      <c r="K15" s="1" t="str">
        <f t="shared" si="4"/>
        <v/>
      </c>
      <c r="N15" s="26" t="str">
        <f t="shared" si="0"/>
        <v>* dateOfBirth -&gt; ".patient.birthTime"</v>
      </c>
    </row>
    <row r="16" spans="1:14" ht="29.5" x14ac:dyDescent="0.75">
      <c r="A16" s="115">
        <v>1</v>
      </c>
      <c r="B16" s="115">
        <f>'Subj-1'!A15</f>
        <v>9</v>
      </c>
      <c r="C16" s="115" t="str">
        <f>'Subj-1'!B15</f>
        <v>placeOfBirth</v>
      </c>
      <c r="D16" s="27" t="s">
        <v>887</v>
      </c>
      <c r="H16" s="26" t="b">
        <f t="shared" si="1"/>
        <v>1</v>
      </c>
      <c r="I16" s="1" t="str">
        <f t="shared" si="2"/>
        <v>* differential.element[9].mapping[1].identity = "cda"</v>
      </c>
      <c r="J16" s="1" t="str">
        <f t="shared" si="3"/>
        <v>* differential.element[9].mapping[1].map = ".patient.birthplace"</v>
      </c>
      <c r="K16" s="1" t="str">
        <f t="shared" si="4"/>
        <v/>
      </c>
      <c r="N16" s="26" t="str">
        <f t="shared" si="0"/>
        <v>* placeOfBirth -&gt; ".patient.birthplace"</v>
      </c>
    </row>
    <row r="17" spans="1:14" ht="29.5" x14ac:dyDescent="0.75">
      <c r="A17" s="115">
        <v>1</v>
      </c>
      <c r="B17" s="115">
        <f>'Subj-1'!A16</f>
        <v>10</v>
      </c>
      <c r="C17" s="115" t="str">
        <f>'Subj-1'!B16</f>
        <v>contact</v>
      </c>
      <c r="D17" s="27" t="s">
        <v>1108</v>
      </c>
      <c r="H17" s="26" t="b">
        <f t="shared" si="1"/>
        <v>1</v>
      </c>
      <c r="I17" s="1" t="str">
        <f t="shared" si="2"/>
        <v>* differential.element[10].mapping[1].identity = "cda"</v>
      </c>
      <c r="J17" s="1" t="str">
        <f t="shared" si="3"/>
        <v>* differential.element[10].mapping[1].map = "ClinicalDocument.participant"</v>
      </c>
      <c r="K17" s="1" t="str">
        <f t="shared" si="4"/>
        <v/>
      </c>
      <c r="N17" s="26" t="str">
        <f t="shared" si="0"/>
        <v>* contact -&gt; "ClinicalDocument.participant"</v>
      </c>
    </row>
    <row r="18" spans="1:14" ht="29.5" x14ac:dyDescent="0.75">
      <c r="A18" s="115">
        <v>1</v>
      </c>
      <c r="B18" s="115">
        <f>'Subj-1'!A17</f>
        <v>11</v>
      </c>
      <c r="C18" s="115" t="str">
        <f>'Subj-1'!B17</f>
        <v>contact.email</v>
      </c>
      <c r="D18" s="27" t="s">
        <v>1111</v>
      </c>
      <c r="H18" s="26" t="b">
        <f t="shared" si="1"/>
        <v>1</v>
      </c>
      <c r="I18" s="1" t="str">
        <f t="shared" si="2"/>
        <v>* differential.element[11].mapping[1].identity = "cda"</v>
      </c>
      <c r="J18" s="1" t="str">
        <f t="shared" si="3"/>
        <v>* differential.element[11].mapping[1].map = ".associatedEntity.telecom"</v>
      </c>
      <c r="K18" s="1" t="str">
        <f t="shared" si="4"/>
        <v/>
      </c>
      <c r="N18" s="26" t="str">
        <f t="shared" si="0"/>
        <v>* contact.email -&gt; ".associatedEntity.telecom"</v>
      </c>
    </row>
    <row r="19" spans="1:14" ht="29.5" x14ac:dyDescent="0.75">
      <c r="A19" s="115">
        <v>1</v>
      </c>
      <c r="B19" s="115">
        <f>'Subj-1'!A18</f>
        <v>12</v>
      </c>
      <c r="C19" s="115" t="str">
        <f>'Subj-1'!B18</f>
        <v>contact.mobile</v>
      </c>
      <c r="D19" s="27" t="s">
        <v>1111</v>
      </c>
      <c r="H19" s="26" t="b">
        <f t="shared" si="1"/>
        <v>1</v>
      </c>
      <c r="I19" s="1" t="str">
        <f t="shared" si="2"/>
        <v>* differential.element[12].mapping[1].identity = "cda"</v>
      </c>
      <c r="J19" s="1" t="str">
        <f t="shared" si="3"/>
        <v>* differential.element[12].mapping[1].map = ".associatedEntity.telecom"</v>
      </c>
      <c r="K19" s="1" t="str">
        <f t="shared" si="4"/>
        <v/>
      </c>
      <c r="N19" s="26" t="str">
        <f t="shared" si="0"/>
        <v>* contact.mobile -&gt; ".associatedEntity.telecom"</v>
      </c>
    </row>
    <row r="20" spans="1:14" x14ac:dyDescent="0.75">
      <c r="A20" s="115">
        <v>1</v>
      </c>
      <c r="B20" s="115">
        <f>'Subj-1'!A19</f>
        <v>13</v>
      </c>
      <c r="C20" s="115" t="str">
        <f>'Subj-1'!B19</f>
        <v>contact.relationship</v>
      </c>
      <c r="D20" s="27"/>
      <c r="H20" s="26" t="b">
        <f t="shared" si="1"/>
        <v>0</v>
      </c>
      <c r="I20" s="1" t="str">
        <f t="shared" si="2"/>
        <v/>
      </c>
      <c r="J20" s="1" t="str">
        <f t="shared" si="3"/>
        <v/>
      </c>
      <c r="K20" s="1" t="str">
        <f t="shared" si="4"/>
        <v/>
      </c>
      <c r="N20" s="26" t="str">
        <f t="shared" si="0"/>
        <v>* contact.relationship -&gt; ""</v>
      </c>
    </row>
    <row r="21" spans="1:14" x14ac:dyDescent="0.75">
      <c r="A21" s="115">
        <v>1</v>
      </c>
      <c r="B21" s="115">
        <f>'Subj-1'!A20</f>
        <v>0</v>
      </c>
      <c r="C21" s="115">
        <f>'Subj-1'!B20</f>
        <v>0</v>
      </c>
      <c r="D21" s="27"/>
      <c r="H21" s="26" t="b">
        <f t="shared" si="1"/>
        <v>0</v>
      </c>
      <c r="I21" s="1" t="str">
        <f t="shared" si="2"/>
        <v/>
      </c>
      <c r="J21" s="1" t="str">
        <f t="shared" si="3"/>
        <v/>
      </c>
      <c r="K21" s="1" t="str">
        <f t="shared" si="4"/>
        <v/>
      </c>
      <c r="N21" s="26" t="str">
        <f t="shared" si="0"/>
        <v>* 0 -&gt; ""</v>
      </c>
    </row>
    <row r="22" spans="1:14" x14ac:dyDescent="0.75">
      <c r="A22" s="115">
        <v>1</v>
      </c>
      <c r="B22" s="115">
        <f>'Subj-1'!A21</f>
        <v>0</v>
      </c>
      <c r="C22" s="115">
        <f>'Subj-1'!B21</f>
        <v>0</v>
      </c>
      <c r="D22" s="115"/>
      <c r="H22" s="26" t="b">
        <f t="shared" si="1"/>
        <v>0</v>
      </c>
      <c r="I22" s="1" t="str">
        <f t="shared" si="2"/>
        <v/>
      </c>
      <c r="J22" s="1" t="str">
        <f t="shared" si="3"/>
        <v/>
      </c>
      <c r="K22" s="1" t="str">
        <f t="shared" si="4"/>
        <v/>
      </c>
      <c r="N22" s="26" t="str">
        <f t="shared" si="0"/>
        <v>* 0 -&gt; ""</v>
      </c>
    </row>
    <row r="23" spans="1:14" x14ac:dyDescent="0.75">
      <c r="A23" s="115">
        <v>1</v>
      </c>
      <c r="B23" s="115">
        <f>'Subj-1'!A22</f>
        <v>0</v>
      </c>
      <c r="C23" s="115">
        <f>'Subj-1'!B22</f>
        <v>0</v>
      </c>
      <c r="D23" s="115"/>
      <c r="H23" s="26" t="b">
        <f t="shared" si="1"/>
        <v>0</v>
      </c>
      <c r="I23" s="1" t="str">
        <f t="shared" si="2"/>
        <v/>
      </c>
      <c r="J23" s="1" t="str">
        <f t="shared" si="3"/>
        <v/>
      </c>
      <c r="K23" s="1" t="str">
        <f t="shared" si="4"/>
        <v/>
      </c>
      <c r="N23" s="26" t="str">
        <f t="shared" si="0"/>
        <v>* 0 -&gt; ""</v>
      </c>
    </row>
    <row r="24" spans="1:14" x14ac:dyDescent="0.75">
      <c r="A24" s="115">
        <v>1</v>
      </c>
      <c r="B24" s="115">
        <f>'Subj-1'!A23</f>
        <v>0</v>
      </c>
      <c r="C24" s="115">
        <f>'Subj-1'!B23</f>
        <v>0</v>
      </c>
      <c r="D24" s="115"/>
      <c r="H24" s="26" t="b">
        <f t="shared" si="1"/>
        <v>0</v>
      </c>
      <c r="I24" s="1" t="str">
        <f t="shared" si="2"/>
        <v/>
      </c>
      <c r="J24" s="1" t="str">
        <f t="shared" si="3"/>
        <v/>
      </c>
      <c r="K24" s="1" t="str">
        <f t="shared" si="4"/>
        <v/>
      </c>
      <c r="N24" s="26" t="str">
        <f t="shared" si="0"/>
        <v>* 0 -&gt; ""</v>
      </c>
    </row>
    <row r="25" spans="1:14" x14ac:dyDescent="0.75">
      <c r="A25" s="115">
        <v>1</v>
      </c>
      <c r="B25" s="115">
        <f>'Subj-1'!A24</f>
        <v>0</v>
      </c>
      <c r="C25" s="115">
        <f>'Subj-1'!B24</f>
        <v>0</v>
      </c>
      <c r="D25" s="27"/>
      <c r="H25" s="26" t="b">
        <f t="shared" si="1"/>
        <v>0</v>
      </c>
      <c r="I25" s="1" t="str">
        <f t="shared" si="2"/>
        <v/>
      </c>
      <c r="J25" s="1" t="str">
        <f t="shared" si="3"/>
        <v/>
      </c>
      <c r="K25" s="1" t="str">
        <f t="shared" si="4"/>
        <v/>
      </c>
      <c r="N25" s="26" t="str">
        <f t="shared" si="0"/>
        <v>* 0 -&gt; ""</v>
      </c>
    </row>
    <row r="26" spans="1:14" x14ac:dyDescent="0.75">
      <c r="A26" s="115">
        <v>1</v>
      </c>
      <c r="B26" s="115">
        <f>'Subj-1'!A25</f>
        <v>0</v>
      </c>
      <c r="C26" s="115">
        <f>'Subj-1'!B25</f>
        <v>0</v>
      </c>
      <c r="D26" s="27"/>
      <c r="H26" s="26" t="b">
        <f t="shared" si="1"/>
        <v>0</v>
      </c>
      <c r="I26" s="1" t="str">
        <f t="shared" si="2"/>
        <v/>
      </c>
      <c r="J26" s="1" t="str">
        <f t="shared" si="3"/>
        <v/>
      </c>
      <c r="K26" s="1" t="str">
        <f t="shared" si="4"/>
        <v/>
      </c>
      <c r="N26" s="26" t="str">
        <f t="shared" si="0"/>
        <v>* 0 -&gt; ""</v>
      </c>
    </row>
    <row r="27" spans="1:14" x14ac:dyDescent="0.75">
      <c r="A27" s="115">
        <v>1</v>
      </c>
      <c r="B27" s="115">
        <f>'Subj-1'!A26</f>
        <v>0</v>
      </c>
      <c r="C27" s="115">
        <f>'Subj-1'!B26</f>
        <v>0</v>
      </c>
      <c r="D27" s="27"/>
      <c r="H27" s="26" t="b">
        <f t="shared" si="1"/>
        <v>0</v>
      </c>
      <c r="I27" s="1" t="str">
        <f t="shared" si="2"/>
        <v/>
      </c>
      <c r="J27" s="1" t="str">
        <f t="shared" si="3"/>
        <v/>
      </c>
      <c r="K27" s="1" t="str">
        <f t="shared" si="4"/>
        <v/>
      </c>
      <c r="N27" s="26" t="str">
        <f t="shared" si="0"/>
        <v>* 0 -&gt; ""</v>
      </c>
    </row>
    <row r="28" spans="1:14" x14ac:dyDescent="0.75">
      <c r="A28" s="115">
        <v>1</v>
      </c>
      <c r="B28" s="115">
        <f>'Subj-1'!A27</f>
        <v>0</v>
      </c>
      <c r="C28" s="115">
        <f>'Subj-1'!B27</f>
        <v>0</v>
      </c>
      <c r="D28" s="27"/>
      <c r="H28" s="26" t="b">
        <f t="shared" si="1"/>
        <v>0</v>
      </c>
      <c r="I28" s="1" t="str">
        <f t="shared" si="2"/>
        <v/>
      </c>
      <c r="J28" s="1" t="str">
        <f t="shared" si="3"/>
        <v/>
      </c>
      <c r="K28" s="1" t="str">
        <f t="shared" si="4"/>
        <v/>
      </c>
      <c r="N28" s="26" t="str">
        <f t="shared" si="0"/>
        <v>* 0 -&gt; ""</v>
      </c>
    </row>
    <row r="29" spans="1:14" x14ac:dyDescent="0.75">
      <c r="A29" s="115">
        <v>1</v>
      </c>
      <c r="B29" s="115">
        <f>'Subj-1'!A28</f>
        <v>0</v>
      </c>
      <c r="C29" s="115">
        <f>'Subj-1'!B28</f>
        <v>0</v>
      </c>
      <c r="D29" s="27"/>
      <c r="H29" s="26" t="b">
        <f t="shared" si="1"/>
        <v>0</v>
      </c>
      <c r="I29" s="1" t="str">
        <f t="shared" si="2"/>
        <v/>
      </c>
      <c r="J29" s="1" t="str">
        <f t="shared" si="3"/>
        <v/>
      </c>
      <c r="K29" s="1" t="str">
        <f t="shared" si="4"/>
        <v/>
      </c>
      <c r="N29" s="26" t="str">
        <f t="shared" si="0"/>
        <v>* 0 -&gt; ""</v>
      </c>
    </row>
    <row r="30" spans="1:14" x14ac:dyDescent="0.75">
      <c r="A30" s="115">
        <v>1</v>
      </c>
      <c r="B30" s="115">
        <f>'Subj-1'!A29</f>
        <v>0</v>
      </c>
      <c r="C30" s="115">
        <f>'Subj-1'!B29</f>
        <v>0</v>
      </c>
      <c r="D30" s="25"/>
      <c r="H30" s="26" t="b">
        <f t="shared" si="1"/>
        <v>0</v>
      </c>
      <c r="I30" s="1" t="str">
        <f t="shared" si="2"/>
        <v/>
      </c>
      <c r="J30" s="1" t="str">
        <f t="shared" si="3"/>
        <v/>
      </c>
      <c r="K30" s="1" t="str">
        <f t="shared" si="4"/>
        <v/>
      </c>
      <c r="N30" s="26" t="str">
        <f t="shared" si="0"/>
        <v>* 0 -&gt; ""</v>
      </c>
    </row>
    <row r="31" spans="1:14" x14ac:dyDescent="0.75">
      <c r="A31" s="115">
        <v>1</v>
      </c>
      <c r="B31" s="115">
        <f>'Subj-1'!A30</f>
        <v>0</v>
      </c>
      <c r="C31" s="115">
        <f>'Subj-1'!B30</f>
        <v>0</v>
      </c>
      <c r="D31" s="27"/>
      <c r="H31" s="26" t="b">
        <f t="shared" si="1"/>
        <v>0</v>
      </c>
      <c r="I31" s="1" t="str">
        <f t="shared" si="2"/>
        <v/>
      </c>
      <c r="J31" s="1" t="str">
        <f t="shared" si="3"/>
        <v/>
      </c>
      <c r="K31" s="1" t="str">
        <f t="shared" si="4"/>
        <v/>
      </c>
      <c r="N31" s="26" t="str">
        <f t="shared" si="0"/>
        <v>* 0 -&gt; ""</v>
      </c>
    </row>
    <row r="32" spans="1:14" x14ac:dyDescent="0.75">
      <c r="A32" s="115">
        <v>1</v>
      </c>
      <c r="B32" s="115">
        <f>'Subj-1'!A31</f>
        <v>0</v>
      </c>
      <c r="C32" s="115">
        <f>'Subj-1'!B31</f>
        <v>0</v>
      </c>
      <c r="D32" s="27"/>
      <c r="H32" s="26" t="b">
        <f t="shared" si="1"/>
        <v>0</v>
      </c>
      <c r="I32" s="1" t="str">
        <f t="shared" si="2"/>
        <v/>
      </c>
      <c r="J32" s="1" t="str">
        <f t="shared" si="3"/>
        <v/>
      </c>
      <c r="K32" s="1" t="str">
        <f t="shared" si="4"/>
        <v/>
      </c>
      <c r="N32" s="26" t="str">
        <f t="shared" si="0"/>
        <v>* 0 -&gt; ""</v>
      </c>
    </row>
    <row r="33" spans="1:14" x14ac:dyDescent="0.75">
      <c r="A33" s="115">
        <v>1</v>
      </c>
      <c r="B33" s="27"/>
      <c r="C33" s="27"/>
      <c r="D33" s="27"/>
      <c r="H33" s="26" t="b">
        <f t="shared" si="1"/>
        <v>0</v>
      </c>
      <c r="I33" s="1" t="str">
        <f t="shared" si="2"/>
        <v/>
      </c>
      <c r="J33" s="1" t="str">
        <f t="shared" si="3"/>
        <v/>
      </c>
      <c r="K33" s="1" t="str">
        <f t="shared" si="4"/>
        <v/>
      </c>
      <c r="N33" s="26" t="str">
        <f t="shared" si="0"/>
        <v>*  -&gt; ""</v>
      </c>
    </row>
    <row r="34" spans="1:14" x14ac:dyDescent="0.75">
      <c r="A34" s="115">
        <v>1</v>
      </c>
      <c r="B34" s="27"/>
      <c r="C34" s="27"/>
      <c r="D34" s="27"/>
      <c r="H34" s="26" t="b">
        <f t="shared" si="1"/>
        <v>0</v>
      </c>
      <c r="I34" s="1" t="str">
        <f t="shared" si="2"/>
        <v/>
      </c>
      <c r="J34" s="1" t="str">
        <f t="shared" si="3"/>
        <v/>
      </c>
      <c r="K34" s="1" t="str">
        <f t="shared" si="4"/>
        <v/>
      </c>
      <c r="N34" s="26" t="str">
        <f t="shared" si="0"/>
        <v>*  -&gt; ""</v>
      </c>
    </row>
    <row r="35" spans="1:14" x14ac:dyDescent="0.75">
      <c r="A35" s="115">
        <v>1</v>
      </c>
      <c r="B35" s="27"/>
      <c r="C35" s="27"/>
      <c r="D35" s="25"/>
      <c r="H35" s="26" t="b">
        <f t="shared" si="1"/>
        <v>0</v>
      </c>
      <c r="I35" s="1" t="str">
        <f t="shared" si="2"/>
        <v/>
      </c>
      <c r="J35" s="1" t="str">
        <f t="shared" si="3"/>
        <v/>
      </c>
      <c r="K35" s="1" t="str">
        <f t="shared" si="4"/>
        <v/>
      </c>
      <c r="N35" s="26" t="str">
        <f t="shared" si="0"/>
        <v>*  -&gt; ""</v>
      </c>
    </row>
    <row r="36" spans="1:14" x14ac:dyDescent="0.75">
      <c r="A36" s="115">
        <v>1</v>
      </c>
      <c r="B36" s="27"/>
      <c r="C36" s="27"/>
      <c r="D36" s="27"/>
      <c r="H36" s="26" t="b">
        <f t="shared" si="1"/>
        <v>0</v>
      </c>
      <c r="I36" s="1" t="str">
        <f t="shared" si="2"/>
        <v/>
      </c>
      <c r="J36" s="1" t="str">
        <f t="shared" si="3"/>
        <v/>
      </c>
      <c r="K36" s="1" t="str">
        <f t="shared" si="4"/>
        <v/>
      </c>
      <c r="N36" s="26" t="str">
        <f t="shared" si="0"/>
        <v>*  -&gt; ""</v>
      </c>
    </row>
    <row r="37" spans="1:14" x14ac:dyDescent="0.75">
      <c r="A37" s="115">
        <v>1</v>
      </c>
      <c r="B37" s="27"/>
      <c r="C37" s="27"/>
      <c r="D37" s="27"/>
      <c r="H37" s="26" t="b">
        <f t="shared" si="1"/>
        <v>0</v>
      </c>
      <c r="I37" s="1" t="str">
        <f t="shared" si="2"/>
        <v/>
      </c>
      <c r="J37" s="1" t="str">
        <f t="shared" si="3"/>
        <v/>
      </c>
      <c r="K37" s="1" t="str">
        <f t="shared" si="4"/>
        <v/>
      </c>
      <c r="N37" s="26" t="str">
        <f t="shared" si="0"/>
        <v>*  -&gt; ""</v>
      </c>
    </row>
    <row r="38" spans="1:14" x14ac:dyDescent="0.75">
      <c r="A38" s="115">
        <v>1</v>
      </c>
      <c r="B38" s="27"/>
      <c r="C38" s="27"/>
      <c r="D38" s="27"/>
      <c r="H38" s="26" t="b">
        <f t="shared" si="1"/>
        <v>0</v>
      </c>
      <c r="I38" s="1" t="str">
        <f t="shared" si="2"/>
        <v/>
      </c>
      <c r="J38" s="1" t="str">
        <f t="shared" si="3"/>
        <v/>
      </c>
      <c r="K38" s="1" t="str">
        <f t="shared" si="4"/>
        <v/>
      </c>
      <c r="N38" s="26" t="str">
        <f t="shared" si="0"/>
        <v>*  -&gt; ""</v>
      </c>
    </row>
    <row r="39" spans="1:14" x14ac:dyDescent="0.75">
      <c r="A39" s="115">
        <v>1</v>
      </c>
      <c r="B39" s="27"/>
      <c r="C39" s="27"/>
      <c r="D39" s="27"/>
      <c r="H39" s="26" t="b">
        <f t="shared" si="1"/>
        <v>0</v>
      </c>
      <c r="I39" s="1" t="str">
        <f t="shared" si="2"/>
        <v/>
      </c>
      <c r="J39" s="1" t="str">
        <f t="shared" si="3"/>
        <v/>
      </c>
      <c r="K39" s="1" t="str">
        <f t="shared" si="4"/>
        <v/>
      </c>
      <c r="N39" s="26" t="str">
        <f t="shared" si="0"/>
        <v>*  -&gt; ""</v>
      </c>
    </row>
    <row r="40" spans="1:14" x14ac:dyDescent="0.75">
      <c r="A40" s="115">
        <v>1</v>
      </c>
      <c r="B40" s="27"/>
      <c r="C40" s="27"/>
      <c r="D40" s="27"/>
      <c r="H40" s="26" t="b">
        <f t="shared" si="1"/>
        <v>0</v>
      </c>
      <c r="I40" s="1" t="str">
        <f t="shared" si="2"/>
        <v/>
      </c>
      <c r="J40" s="1" t="str">
        <f t="shared" si="3"/>
        <v/>
      </c>
      <c r="K40" s="1" t="str">
        <f t="shared" si="4"/>
        <v/>
      </c>
      <c r="N40" s="26" t="str">
        <f t="shared" si="0"/>
        <v>*  -&gt; ""</v>
      </c>
    </row>
    <row r="41" spans="1:14" x14ac:dyDescent="0.75">
      <c r="A41" s="115">
        <v>1</v>
      </c>
      <c r="B41" s="27"/>
      <c r="C41" s="27"/>
      <c r="D41" s="47"/>
      <c r="H41" s="26" t="b">
        <f t="shared" si="1"/>
        <v>0</v>
      </c>
      <c r="I41" s="1" t="str">
        <f t="shared" si="2"/>
        <v/>
      </c>
      <c r="J41" s="1" t="str">
        <f t="shared" si="3"/>
        <v/>
      </c>
      <c r="K41" s="1" t="str">
        <f t="shared" si="4"/>
        <v/>
      </c>
      <c r="N41" s="26" t="str">
        <f t="shared" si="0"/>
        <v>*  -&gt; ""</v>
      </c>
    </row>
    <row r="42" spans="1:14" x14ac:dyDescent="0.75">
      <c r="A42" s="27"/>
      <c r="B42" s="27"/>
      <c r="C42" s="27"/>
      <c r="D42" s="27"/>
      <c r="H42" s="26" t="b">
        <f>IF(D42&gt;"",TRUE,FALSE)</f>
        <v>0</v>
      </c>
      <c r="I42" s="1" t="str">
        <f t="shared" si="2"/>
        <v/>
      </c>
      <c r="J42" s="1" t="str">
        <f t="shared" si="3"/>
        <v/>
      </c>
      <c r="K42" s="1" t="str">
        <f t="shared" si="4"/>
        <v/>
      </c>
    </row>
    <row r="43" spans="1:14" x14ac:dyDescent="0.75">
      <c r="A43" s="27"/>
      <c r="B43" s="27"/>
      <c r="C43" s="27"/>
      <c r="D43" s="27"/>
      <c r="H43" s="26" t="b">
        <f t="shared" si="1"/>
        <v>0</v>
      </c>
      <c r="I43" s="1" t="str">
        <f t="shared" si="2"/>
        <v/>
      </c>
      <c r="J43" s="1" t="str">
        <f t="shared" si="3"/>
        <v/>
      </c>
      <c r="K43" s="1" t="str">
        <f t="shared" si="4"/>
        <v/>
      </c>
    </row>
    <row r="44" spans="1:14" x14ac:dyDescent="0.75">
      <c r="A44" s="27"/>
      <c r="B44" s="27"/>
      <c r="C44" s="27"/>
      <c r="D44" s="27"/>
      <c r="H44" s="26" t="b">
        <f t="shared" si="1"/>
        <v>0</v>
      </c>
      <c r="I44" s="1" t="str">
        <f t="shared" si="2"/>
        <v/>
      </c>
      <c r="J44" s="1" t="str">
        <f t="shared" si="3"/>
        <v/>
      </c>
      <c r="K44" s="1" t="str">
        <f t="shared" si="4"/>
        <v/>
      </c>
    </row>
    <row r="45" spans="1:14" x14ac:dyDescent="0.75">
      <c r="A45" s="27"/>
      <c r="B45" s="27"/>
      <c r="C45" s="27"/>
      <c r="D45" s="27"/>
      <c r="H45" s="26" t="b">
        <f t="shared" si="1"/>
        <v>0</v>
      </c>
      <c r="I45" s="1" t="str">
        <f t="shared" si="2"/>
        <v/>
      </c>
      <c r="J45" s="1" t="str">
        <f t="shared" si="3"/>
        <v/>
      </c>
      <c r="K45" s="1" t="str">
        <f t="shared" si="4"/>
        <v/>
      </c>
    </row>
    <row r="46" spans="1:14" x14ac:dyDescent="0.75">
      <c r="B46" s="26" t="e">
        <f>'Base-1'!#REF!</f>
        <v>#REF!</v>
      </c>
      <c r="H46" s="26" t="b">
        <f t="shared" si="1"/>
        <v>0</v>
      </c>
      <c r="I46" s="1" t="str">
        <f t="shared" si="2"/>
        <v/>
      </c>
      <c r="J46" s="1" t="str">
        <f t="shared" si="3"/>
        <v/>
      </c>
      <c r="K46" s="1" t="str">
        <f t="shared" si="4"/>
        <v/>
      </c>
    </row>
    <row r="47" spans="1:14" x14ac:dyDescent="0.75">
      <c r="B47" s="26" t="e">
        <f>'Base-1'!#REF!</f>
        <v>#REF!</v>
      </c>
      <c r="C47" s="26" t="str">
        <f>'Base-1'!C15</f>
        <v>Date of first elective end of treatment</v>
      </c>
      <c r="H47" s="26" t="b">
        <f t="shared" si="1"/>
        <v>0</v>
      </c>
      <c r="I47" s="1" t="str">
        <f t="shared" si="2"/>
        <v/>
      </c>
      <c r="J47" s="1" t="str">
        <f t="shared" si="3"/>
        <v/>
      </c>
      <c r="K47" s="1" t="str">
        <f t="shared" si="4"/>
        <v/>
      </c>
    </row>
    <row r="48" spans="1:14" x14ac:dyDescent="0.75">
      <c r="B48" s="26" t="e">
        <f>'Base-1'!#REF!</f>
        <v>#REF!</v>
      </c>
      <c r="C48" s="26" t="e">
        <f>'Base-1'!#REF!</f>
        <v>#REF!</v>
      </c>
      <c r="H48" s="26" t="b">
        <f t="shared" si="1"/>
        <v>0</v>
      </c>
      <c r="I48" s="1" t="str">
        <f t="shared" si="2"/>
        <v/>
      </c>
      <c r="J48" s="1" t="str">
        <f t="shared" si="3"/>
        <v/>
      </c>
      <c r="K48" s="1" t="str">
        <f t="shared" si="4"/>
        <v/>
      </c>
    </row>
    <row r="49" spans="2:11" x14ac:dyDescent="0.75">
      <c r="B49" s="26" t="e">
        <f>'Base-1'!#REF!</f>
        <v>#REF!</v>
      </c>
      <c r="C49" s="26" t="e">
        <f>'Base-1'!#REF!</f>
        <v>#REF!</v>
      </c>
      <c r="H49" s="26" t="b">
        <f t="shared" si="1"/>
        <v>0</v>
      </c>
      <c r="I49" s="1" t="str">
        <f t="shared" si="2"/>
        <v/>
      </c>
      <c r="J49" s="1" t="str">
        <f t="shared" si="3"/>
        <v/>
      </c>
      <c r="K49" s="1" t="str">
        <f t="shared" si="4"/>
        <v/>
      </c>
    </row>
    <row r="50" spans="2:11" x14ac:dyDescent="0.75">
      <c r="B50" s="26" t="e">
        <f>'Base-1'!#REF!</f>
        <v>#REF!</v>
      </c>
      <c r="C50" s="26" t="e">
        <f>'Base-1'!#REF!</f>
        <v>#REF!</v>
      </c>
      <c r="H50" s="26" t="b">
        <f t="shared" si="1"/>
        <v>0</v>
      </c>
      <c r="I50" s="1" t="str">
        <f t="shared" si="2"/>
        <v/>
      </c>
      <c r="J50" s="1" t="str">
        <f t="shared" si="3"/>
        <v/>
      </c>
      <c r="K50" s="1" t="str">
        <f t="shared" si="4"/>
        <v/>
      </c>
    </row>
    <row r="51" spans="2:11" x14ac:dyDescent="0.75">
      <c r="B51" s="26">
        <f>'Base-1'!A37</f>
        <v>0</v>
      </c>
      <c r="C51" s="26">
        <f>'Base-1'!B37</f>
        <v>0</v>
      </c>
    </row>
    <row r="52" spans="2:11" x14ac:dyDescent="0.75">
      <c r="B52" s="26">
        <f>'Base-1'!A38</f>
        <v>0</v>
      </c>
      <c r="C52" s="26">
        <f>'Base-1'!B38</f>
        <v>0</v>
      </c>
    </row>
    <row r="53" spans="2:11" x14ac:dyDescent="0.75">
      <c r="B53" s="26">
        <f>'Base-1'!A39</f>
        <v>0</v>
      </c>
      <c r="C53" s="26">
        <f>'Base-1'!B39</f>
        <v>0</v>
      </c>
    </row>
    <row r="54" spans="2:11" x14ac:dyDescent="0.75">
      <c r="B54" s="26">
        <f>'Base-1'!A40</f>
        <v>0</v>
      </c>
      <c r="C54" s="26">
        <f>'Base-1'!B40</f>
        <v>0</v>
      </c>
    </row>
    <row r="55" spans="2:11" x14ac:dyDescent="0.75">
      <c r="B55" s="26">
        <f>'Base-1'!A41</f>
        <v>0</v>
      </c>
      <c r="C55" s="26">
        <f>'Base-1'!B41</f>
        <v>0</v>
      </c>
    </row>
    <row r="56" spans="2:11" x14ac:dyDescent="0.75">
      <c r="B56" s="26">
        <f>'Base-1'!A42</f>
        <v>0</v>
      </c>
      <c r="C56" s="26">
        <f>'Base-1'!B42</f>
        <v>0</v>
      </c>
    </row>
    <row r="57" spans="2:11" x14ac:dyDescent="0.75">
      <c r="B57" s="26">
        <f>'Base-1'!A43</f>
        <v>0</v>
      </c>
      <c r="C57" s="26">
        <f>'Base-1'!B43</f>
        <v>0</v>
      </c>
    </row>
    <row r="58" spans="2:11" x14ac:dyDescent="0.75">
      <c r="B58" s="26">
        <f>'Base-1'!A44</f>
        <v>0</v>
      </c>
      <c r="C58" s="26">
        <f>'Base-1'!B44</f>
        <v>0</v>
      </c>
    </row>
    <row r="59" spans="2:11" x14ac:dyDescent="0.75">
      <c r="B59" s="26">
        <f>'Base-1'!A45</f>
        <v>0</v>
      </c>
      <c r="C59" s="26">
        <f>'Base-1'!B45</f>
        <v>0</v>
      </c>
    </row>
    <row r="60" spans="2:11" x14ac:dyDescent="0.75">
      <c r="B60" s="26">
        <f>'Base-1'!A46</f>
        <v>0</v>
      </c>
      <c r="C60" s="26">
        <f>'Base-1'!B46</f>
        <v>0</v>
      </c>
    </row>
    <row r="61" spans="2:11" x14ac:dyDescent="0.75">
      <c r="B61" s="26">
        <f>'Base-1'!A47</f>
        <v>0</v>
      </c>
      <c r="C61" s="26">
        <f>'Base-1'!B47</f>
        <v>0</v>
      </c>
    </row>
    <row r="62" spans="2:11" x14ac:dyDescent="0.75">
      <c r="B62" s="26">
        <f>'Base-1'!A48</f>
        <v>0</v>
      </c>
      <c r="C62" s="26">
        <f>'Base-1'!B48</f>
        <v>0</v>
      </c>
    </row>
    <row r="63" spans="2:11" x14ac:dyDescent="0.75">
      <c r="B63" s="26">
        <f>'Base-1'!A49</f>
        <v>0</v>
      </c>
      <c r="C63" s="26">
        <f>'Base-1'!B49</f>
        <v>0</v>
      </c>
    </row>
    <row r="64" spans="2:11" x14ac:dyDescent="0.75">
      <c r="B64" s="26">
        <f>'Base-1'!A50</f>
        <v>0</v>
      </c>
      <c r="C64" s="26">
        <f>'Base-1'!B50</f>
        <v>0</v>
      </c>
    </row>
    <row r="65" spans="2:3" x14ac:dyDescent="0.75">
      <c r="B65" s="26">
        <f>'Base-1'!A51</f>
        <v>0</v>
      </c>
      <c r="C65" s="26">
        <f>'Base-1'!B51</f>
        <v>0</v>
      </c>
    </row>
    <row r="66" spans="2:3" x14ac:dyDescent="0.75">
      <c r="B66" s="26">
        <f>'Base-1'!A52</f>
        <v>0</v>
      </c>
      <c r="C66" s="26">
        <f>'Base-1'!B52</f>
        <v>0</v>
      </c>
    </row>
    <row r="67" spans="2:3" x14ac:dyDescent="0.75">
      <c r="B67" s="26">
        <f>'Base-1'!A53</f>
        <v>0</v>
      </c>
      <c r="C67" s="26">
        <f>'Base-1'!B53</f>
        <v>0</v>
      </c>
    </row>
    <row r="68" spans="2:3" x14ac:dyDescent="0.75">
      <c r="B68" s="26">
        <f>'Base-1'!A54</f>
        <v>0</v>
      </c>
      <c r="C68" s="26">
        <f>'Base-1'!B54</f>
        <v>0</v>
      </c>
    </row>
    <row r="69" spans="2:3" x14ac:dyDescent="0.75">
      <c r="B69" s="26">
        <f>'Base-1'!A55</f>
        <v>0</v>
      </c>
      <c r="C69" s="26">
        <f>'Base-1'!B55</f>
        <v>0</v>
      </c>
    </row>
    <row r="70" spans="2:3" x14ac:dyDescent="0.75">
      <c r="B70" s="26">
        <f>'Base-1'!A56</f>
        <v>0</v>
      </c>
      <c r="C70" s="26">
        <f>'Base-1'!B56</f>
        <v>0</v>
      </c>
    </row>
    <row r="71" spans="2:3" x14ac:dyDescent="0.75">
      <c r="B71" s="26">
        <f>'Base-1'!A57</f>
        <v>0</v>
      </c>
      <c r="C71" s="26">
        <f>'Base-1'!B57</f>
        <v>0</v>
      </c>
    </row>
    <row r="72" spans="2:3" x14ac:dyDescent="0.75">
      <c r="B72" s="26">
        <f>'Base-1'!A58</f>
        <v>0</v>
      </c>
      <c r="C72" s="26">
        <f>'Base-1'!B58</f>
        <v>0</v>
      </c>
    </row>
    <row r="73" spans="2:3" x14ac:dyDescent="0.75">
      <c r="B73" s="26">
        <f>'Base-1'!A59</f>
        <v>0</v>
      </c>
      <c r="C73" s="26">
        <f>'Base-1'!B59</f>
        <v>0</v>
      </c>
    </row>
    <row r="74" spans="2:3" x14ac:dyDescent="0.75">
      <c r="B74" s="26">
        <f>'Base-1'!A60</f>
        <v>0</v>
      </c>
      <c r="C74" s="26">
        <f>'Base-1'!B60</f>
        <v>0</v>
      </c>
    </row>
    <row r="75" spans="2:3" x14ac:dyDescent="0.75">
      <c r="B75" s="26">
        <f>'Base-1'!A61</f>
        <v>0</v>
      </c>
      <c r="C75" s="26">
        <f>'Base-1'!B61</f>
        <v>0</v>
      </c>
    </row>
    <row r="76" spans="2:3" x14ac:dyDescent="0.75">
      <c r="B76" s="26">
        <f>'Base-1'!A62</f>
        <v>0</v>
      </c>
      <c r="C76" s="26">
        <f>'Base-1'!B62</f>
        <v>0</v>
      </c>
    </row>
    <row r="77" spans="2:3" x14ac:dyDescent="0.75">
      <c r="B77" s="26">
        <f>'Base-1'!A63</f>
        <v>0</v>
      </c>
      <c r="C77" s="26">
        <f>'Base-1'!B63</f>
        <v>0</v>
      </c>
    </row>
    <row r="78" spans="2:3" x14ac:dyDescent="0.75">
      <c r="B78" s="26">
        <f>'Base-1'!A64</f>
        <v>0</v>
      </c>
      <c r="C78" s="26">
        <f>'Base-1'!B64</f>
        <v>0</v>
      </c>
    </row>
    <row r="79" spans="2:3" x14ac:dyDescent="0.75">
      <c r="B79" s="26">
        <f>'Base-1'!A65</f>
        <v>0</v>
      </c>
      <c r="C79" s="26">
        <f>'Base-1'!B65</f>
        <v>0</v>
      </c>
    </row>
    <row r="80" spans="2:3" x14ac:dyDescent="0.75">
      <c r="B80" s="26">
        <f>'Base-1'!A66</f>
        <v>0</v>
      </c>
      <c r="C80" s="26">
        <f>'Base-1'!B66</f>
        <v>0</v>
      </c>
    </row>
    <row r="81" spans="2:3" x14ac:dyDescent="0.75">
      <c r="B81" s="26">
        <f>'Base-1'!A67</f>
        <v>0</v>
      </c>
      <c r="C81" s="26">
        <f>'Base-1'!B67</f>
        <v>0</v>
      </c>
    </row>
    <row r="82" spans="2:3" x14ac:dyDescent="0.75">
      <c r="B82" s="26">
        <f>'Base-1'!A68</f>
        <v>0</v>
      </c>
      <c r="C82" s="26">
        <f>'Base-1'!B68</f>
        <v>0</v>
      </c>
    </row>
    <row r="83" spans="2:3" x14ac:dyDescent="0.75">
      <c r="B83" s="26">
        <f>'Base-1'!A69</f>
        <v>0</v>
      </c>
      <c r="C83" s="26">
        <f>'Base-1'!B69</f>
        <v>0</v>
      </c>
    </row>
    <row r="84" spans="2:3" x14ac:dyDescent="0.75">
      <c r="B84" s="26">
        <f>'Base-1'!A70</f>
        <v>0</v>
      </c>
      <c r="C84" s="26">
        <f>'Base-1'!B70</f>
        <v>0</v>
      </c>
    </row>
    <row r="85" spans="2:3" x14ac:dyDescent="0.75">
      <c r="B85" s="26">
        <f>'Base-1'!A71</f>
        <v>0</v>
      </c>
      <c r="C85" s="26">
        <f>'Base-1'!B71</f>
        <v>0</v>
      </c>
    </row>
    <row r="86" spans="2:3" x14ac:dyDescent="0.75">
      <c r="B86" s="26">
        <f>'Base-1'!A72</f>
        <v>0</v>
      </c>
      <c r="C86" s="26">
        <f>'Base-1'!B72</f>
        <v>0</v>
      </c>
    </row>
    <row r="87" spans="2:3" x14ac:dyDescent="0.75">
      <c r="B87" s="26">
        <f>'Base-1'!A73</f>
        <v>0</v>
      </c>
      <c r="C87" s="26">
        <f>'Base-1'!B73</f>
        <v>0</v>
      </c>
    </row>
    <row r="88" spans="2:3" x14ac:dyDescent="0.75">
      <c r="B88" s="26">
        <f>'Base-1'!A74</f>
        <v>0</v>
      </c>
      <c r="C88" s="26">
        <f>'Base-1'!B74</f>
        <v>0</v>
      </c>
    </row>
    <row r="89" spans="2:3" x14ac:dyDescent="0.75">
      <c r="B89" s="26">
        <f>'Base-1'!A75</f>
        <v>0</v>
      </c>
      <c r="C89" s="26">
        <f>'Base-1'!B75</f>
        <v>0</v>
      </c>
    </row>
    <row r="90" spans="2:3" x14ac:dyDescent="0.75">
      <c r="B90" s="26">
        <f>'Base-1'!A76</f>
        <v>0</v>
      </c>
      <c r="C90" s="26">
        <f>'Base-1'!B76</f>
        <v>0</v>
      </c>
    </row>
    <row r="91" spans="2:3" x14ac:dyDescent="0.75">
      <c r="B91" s="26">
        <f>'Base-1'!A77</f>
        <v>0</v>
      </c>
      <c r="C91" s="26">
        <f>'Base-1'!B77</f>
        <v>0</v>
      </c>
    </row>
    <row r="92" spans="2:3" x14ac:dyDescent="0.75">
      <c r="B92" s="26">
        <f>'Base-1'!A78</f>
        <v>0</v>
      </c>
      <c r="C92" s="26">
        <f>'Base-1'!B78</f>
        <v>0</v>
      </c>
    </row>
    <row r="93" spans="2:3" x14ac:dyDescent="0.75">
      <c r="B93" s="26">
        <f>'Base-1'!A79</f>
        <v>0</v>
      </c>
      <c r="C93" s="26">
        <f>'Base-1'!B79</f>
        <v>0</v>
      </c>
    </row>
    <row r="94" spans="2:3" x14ac:dyDescent="0.75">
      <c r="B94" s="26">
        <f>'Base-1'!A80</f>
        <v>0</v>
      </c>
      <c r="C94" s="26">
        <f>'Base-1'!B80</f>
        <v>0</v>
      </c>
    </row>
    <row r="95" spans="2:3" x14ac:dyDescent="0.75">
      <c r="B95" s="26">
        <f>'Base-1'!A81</f>
        <v>0</v>
      </c>
      <c r="C95" s="26">
        <f>'Base-1'!B81</f>
        <v>0</v>
      </c>
    </row>
    <row r="96" spans="2:3" x14ac:dyDescent="0.75">
      <c r="B96" s="26">
        <f>'Base-1'!A82</f>
        <v>0</v>
      </c>
      <c r="C96" s="26">
        <f>'Base-1'!B82</f>
        <v>0</v>
      </c>
    </row>
    <row r="97" spans="2:3" x14ac:dyDescent="0.75">
      <c r="B97" s="26">
        <f>'Base-1'!A83</f>
        <v>0</v>
      </c>
      <c r="C97" s="26">
        <f>'Base-1'!B83</f>
        <v>0</v>
      </c>
    </row>
    <row r="98" spans="2:3" x14ac:dyDescent="0.75">
      <c r="B98" s="26">
        <f>'Base-1'!A84</f>
        <v>0</v>
      </c>
      <c r="C98" s="26">
        <f>'Base-1'!B84</f>
        <v>0</v>
      </c>
    </row>
    <row r="99" spans="2:3" x14ac:dyDescent="0.75">
      <c r="B99" s="26">
        <f>'Base-1'!A85</f>
        <v>0</v>
      </c>
      <c r="C99" s="26">
        <f>'Base-1'!B85</f>
        <v>0</v>
      </c>
    </row>
    <row r="100" spans="2:3" x14ac:dyDescent="0.75">
      <c r="B100" s="26">
        <f>'Base-1'!A86</f>
        <v>0</v>
      </c>
      <c r="C100" s="26">
        <f>'Base-1'!B86</f>
        <v>0</v>
      </c>
    </row>
    <row r="101" spans="2:3" x14ac:dyDescent="0.75">
      <c r="B101" s="26">
        <f>'Base-1'!A87</f>
        <v>0</v>
      </c>
      <c r="C101" s="26">
        <f>'Base-1'!B87</f>
        <v>0</v>
      </c>
    </row>
    <row r="102" spans="2:3" x14ac:dyDescent="0.75">
      <c r="B102" s="26">
        <f>'Base-1'!A88</f>
        <v>0</v>
      </c>
      <c r="C102" s="26">
        <f>'Base-1'!B88</f>
        <v>0</v>
      </c>
    </row>
    <row r="103" spans="2:3" x14ac:dyDescent="0.75">
      <c r="B103" s="26">
        <f>'Base-1'!A89</f>
        <v>0</v>
      </c>
      <c r="C103" s="26">
        <f>'Base-1'!B89</f>
        <v>0</v>
      </c>
    </row>
    <row r="104" spans="2:3" x14ac:dyDescent="0.75">
      <c r="B104" s="26">
        <f>'Base-1'!A90</f>
        <v>0</v>
      </c>
      <c r="C104" s="26">
        <f>'Base-1'!B90</f>
        <v>0</v>
      </c>
    </row>
    <row r="105" spans="2:3" x14ac:dyDescent="0.75">
      <c r="B105" s="26">
        <f>'Base-1'!A91</f>
        <v>0</v>
      </c>
      <c r="C105" s="26">
        <f>'Base-1'!B91</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6"/>
    <col min="4" max="4" width="130.81640625" style="26" customWidth="1"/>
    <col min="5" max="5" width="19.86328125" style="26" customWidth="1"/>
    <col min="6" max="6" width="8.7265625" style="26"/>
    <col min="7" max="7" width="69.36328125" style="26" customWidth="1"/>
    <col min="8" max="16384" width="8.7265625" style="26"/>
  </cols>
  <sheetData>
    <row r="2" spans="1:5" x14ac:dyDescent="0.75">
      <c r="D2" s="8"/>
    </row>
    <row r="3" spans="1:5" x14ac:dyDescent="0.75">
      <c r="A3" s="27">
        <v>1</v>
      </c>
      <c r="B3" s="27">
        <f>IF(MOD(A3,3)=0,A3/3-1,INT(A3/3))</f>
        <v>0</v>
      </c>
      <c r="C3" s="27">
        <f>IF(MOD(A3,3)=0,3,MOD(A3,3))</f>
        <v>1</v>
      </c>
      <c r="D3" s="26" t="str" cm="1">
        <f t="array" ref="D3">INDEX('Subj-Map2-1'!$I$7:$K$100,1+B3,C3)</f>
        <v>* differential.element[0].mapping[1].identity = "cda"</v>
      </c>
      <c r="E3" s="26" t="str">
        <f>INDEX('Subj-Map2-1'!$I$8:$K$17,1,1)</f>
        <v>* differential.element[1].mapping[1].identity = "cda"</v>
      </c>
    </row>
    <row r="4" spans="1:5" x14ac:dyDescent="0.75">
      <c r="A4" s="27">
        <v>2</v>
      </c>
      <c r="B4" s="27">
        <f t="shared" ref="B4:B67" si="0">IF(MOD(A4,3)=0,A4/3-1,INT(A4/3))</f>
        <v>0</v>
      </c>
      <c r="C4" s="27">
        <f t="shared" ref="C4:C67" si="1">IF(MOD(A4,3)=0,3,MOD(A4,3))</f>
        <v>2</v>
      </c>
      <c r="D4" s="26" t="str" cm="1">
        <f t="array" ref="D4">INDEX('Subj-Map2-1'!$I$7:$K$100,1+B4,C4)</f>
        <v>* differential.element[0].mapping[1].map = "ClinicalDocument.recordTarget.patientRole"</v>
      </c>
    </row>
    <row r="5" spans="1:5" x14ac:dyDescent="0.75">
      <c r="A5" s="27">
        <v>3</v>
      </c>
      <c r="B5" s="27">
        <f t="shared" si="0"/>
        <v>0</v>
      </c>
      <c r="C5" s="27">
        <f t="shared" si="1"/>
        <v>3</v>
      </c>
      <c r="D5" s="26" t="str" cm="1">
        <f t="array" ref="D5">INDEX('Subj-Map2-1'!$I$7:$K$100,1+B5,C5)</f>
        <v/>
      </c>
    </row>
    <row r="6" spans="1:5" x14ac:dyDescent="0.75">
      <c r="A6" s="27">
        <v>4</v>
      </c>
      <c r="B6" s="27">
        <f t="shared" si="0"/>
        <v>1</v>
      </c>
      <c r="C6" s="27">
        <f t="shared" si="1"/>
        <v>1</v>
      </c>
      <c r="D6" s="26" t="str" cm="1">
        <f t="array" ref="D6">INDEX('Subj-Map2-1'!$I$7:$K$100,1+B6,C6)</f>
        <v>* differential.element[1].mapping[1].identity = "cda"</v>
      </c>
    </row>
    <row r="7" spans="1:5" x14ac:dyDescent="0.75">
      <c r="A7" s="27">
        <v>5</v>
      </c>
      <c r="B7" s="27">
        <f t="shared" si="0"/>
        <v>1</v>
      </c>
      <c r="C7" s="27">
        <f t="shared" si="1"/>
        <v>2</v>
      </c>
      <c r="D7" s="26" t="str" cm="1">
        <f t="array" ref="D7">INDEX('Subj-Map2-1'!$I$7:$K$100,1+B7,C7)</f>
        <v>* differential.element[1].mapping[1].map = ".id"</v>
      </c>
    </row>
    <row r="8" spans="1:5" x14ac:dyDescent="0.75">
      <c r="A8" s="27">
        <v>6</v>
      </c>
      <c r="B8" s="27">
        <f t="shared" si="0"/>
        <v>1</v>
      </c>
      <c r="C8" s="27">
        <f t="shared" si="1"/>
        <v>3</v>
      </c>
      <c r="D8" s="26" t="str" cm="1">
        <f t="array" ref="D8">INDEX('Subj-Map2-1'!$I$7:$K$100,1+B8,C8)</f>
        <v/>
      </c>
    </row>
    <row r="9" spans="1:5" x14ac:dyDescent="0.75">
      <c r="A9" s="27">
        <v>7</v>
      </c>
      <c r="B9" s="27">
        <f t="shared" si="0"/>
        <v>2</v>
      </c>
      <c r="C9" s="27">
        <f t="shared" si="1"/>
        <v>1</v>
      </c>
      <c r="D9" s="26" t="str" cm="1">
        <f t="array" ref="D9">INDEX('Subj-Map2-1'!$I$7:$K$100,1+B9,C9)</f>
        <v>* differential.element[2].mapping[1].identity = "cda"</v>
      </c>
    </row>
    <row r="10" spans="1:5" x14ac:dyDescent="0.75">
      <c r="A10" s="27">
        <v>8</v>
      </c>
      <c r="B10" s="27">
        <f t="shared" si="0"/>
        <v>2</v>
      </c>
      <c r="C10" s="27">
        <f t="shared" si="1"/>
        <v>2</v>
      </c>
      <c r="D10" s="26" t="str" cm="1">
        <f t="array" ref="D10">INDEX('Subj-Map2-1'!$I$7:$K$100,1+B10,C10)</f>
        <v>* differential.element[2].mapping[1].map = ".patient.name"</v>
      </c>
    </row>
    <row r="11" spans="1:5" x14ac:dyDescent="0.75">
      <c r="A11" s="27">
        <v>9</v>
      </c>
      <c r="B11" s="27">
        <f t="shared" si="0"/>
        <v>2</v>
      </c>
      <c r="C11" s="27">
        <f t="shared" si="1"/>
        <v>3</v>
      </c>
      <c r="D11" s="26" t="str" cm="1">
        <f t="array" ref="D11">INDEX('Subj-Map2-1'!$I$7:$K$100,1+B11,C11)</f>
        <v/>
      </c>
    </row>
    <row r="12" spans="1:5" x14ac:dyDescent="0.75">
      <c r="A12" s="27">
        <v>10</v>
      </c>
      <c r="B12" s="27">
        <f t="shared" si="0"/>
        <v>3</v>
      </c>
      <c r="C12" s="27">
        <f t="shared" si="1"/>
        <v>1</v>
      </c>
      <c r="D12" s="26" t="str" cm="1">
        <f t="array" ref="D12">INDEX('Subj-Map2-1'!$I$7:$K$100,1+B12,C12)</f>
        <v>* differential.element[3].mapping[1].identity = "cda"</v>
      </c>
    </row>
    <row r="13" spans="1:5" x14ac:dyDescent="0.75">
      <c r="A13" s="27">
        <v>11</v>
      </c>
      <c r="B13" s="27">
        <f t="shared" si="0"/>
        <v>3</v>
      </c>
      <c r="C13" s="27">
        <f t="shared" si="1"/>
        <v>2</v>
      </c>
      <c r="D13" s="26" t="str" cm="1">
        <f t="array" ref="D13">INDEX('Subj-Map2-1'!$I$7:$K$100,1+B13,C13)</f>
        <v>* differential.element[3].mapping[1].map = ".patient.name.family"</v>
      </c>
    </row>
    <row r="14" spans="1:5" x14ac:dyDescent="0.75">
      <c r="A14" s="27">
        <v>12</v>
      </c>
      <c r="B14" s="27">
        <f t="shared" si="0"/>
        <v>3</v>
      </c>
      <c r="C14" s="27">
        <f t="shared" si="1"/>
        <v>3</v>
      </c>
      <c r="D14" s="26" t="str" cm="1">
        <f t="array" ref="D14">INDEX('Subj-Map2-1'!$I$7:$K$100,1+B14,C14)</f>
        <v/>
      </c>
    </row>
    <row r="15" spans="1:5" x14ac:dyDescent="0.75">
      <c r="A15" s="27">
        <v>13</v>
      </c>
      <c r="B15" s="27">
        <f t="shared" si="0"/>
        <v>4</v>
      </c>
      <c r="C15" s="27">
        <f t="shared" si="1"/>
        <v>1</v>
      </c>
      <c r="D15" s="26" t="str" cm="1">
        <f t="array" ref="D15">INDEX('Subj-Map2-1'!$I$7:$K$100,1+B15,C15)</f>
        <v>* differential.element[4].mapping[1].identity = "cda"</v>
      </c>
    </row>
    <row r="16" spans="1:5" x14ac:dyDescent="0.75">
      <c r="A16" s="27">
        <v>14</v>
      </c>
      <c r="B16" s="27">
        <f t="shared" si="0"/>
        <v>4</v>
      </c>
      <c r="C16" s="27">
        <f t="shared" si="1"/>
        <v>2</v>
      </c>
      <c r="D16" s="26" t="str" cm="1">
        <f t="array" ref="D16">INDEX('Subj-Map2-1'!$I$7:$K$100,1+B16,C16)</f>
        <v>* differential.element[4].mapping[1].map = ".patient.name.family"</v>
      </c>
    </row>
    <row r="17" spans="1:4" x14ac:dyDescent="0.75">
      <c r="A17" s="27">
        <v>15</v>
      </c>
      <c r="B17" s="27">
        <f t="shared" si="0"/>
        <v>4</v>
      </c>
      <c r="C17" s="27">
        <f t="shared" si="1"/>
        <v>3</v>
      </c>
      <c r="D17" s="26" t="str" cm="1">
        <f t="array" ref="D17">INDEX('Subj-Map2-1'!$I$7:$K$100,1+B17,C17)</f>
        <v/>
      </c>
    </row>
    <row r="18" spans="1:4" x14ac:dyDescent="0.75">
      <c r="A18" s="27">
        <v>16</v>
      </c>
      <c r="B18" s="27">
        <f t="shared" si="0"/>
        <v>5</v>
      </c>
      <c r="C18" s="27">
        <f t="shared" si="1"/>
        <v>1</v>
      </c>
      <c r="D18" s="26" t="str" cm="1">
        <f t="array" ref="D18">INDEX('Subj-Map2-1'!$I$7:$K$100,1+B18,C18)</f>
        <v>* differential.element[5].mapping[1].identity = "cda"</v>
      </c>
    </row>
    <row r="19" spans="1:4" x14ac:dyDescent="0.75">
      <c r="A19" s="27">
        <v>17</v>
      </c>
      <c r="B19" s="27">
        <f t="shared" si="0"/>
        <v>5</v>
      </c>
      <c r="C19" s="27">
        <f t="shared" si="1"/>
        <v>2</v>
      </c>
      <c r="D19" s="26" t="str" cm="1">
        <f t="array" ref="D19">INDEX('Subj-Map2-1'!$I$7:$K$100,1+B19,C19)</f>
        <v>* differential.element[5].mapping[1].map = ".patient.name.given"</v>
      </c>
    </row>
    <row r="20" spans="1:4" x14ac:dyDescent="0.75">
      <c r="A20" s="27">
        <v>18</v>
      </c>
      <c r="B20" s="27">
        <f t="shared" si="0"/>
        <v>5</v>
      </c>
      <c r="C20" s="27">
        <f t="shared" si="1"/>
        <v>3</v>
      </c>
      <c r="D20" s="26" t="str" cm="1">
        <f t="array" ref="D20">INDEX('Subj-Map2-1'!$I$7:$K$100,1+B20,C20)</f>
        <v/>
      </c>
    </row>
    <row r="21" spans="1:4" x14ac:dyDescent="0.75">
      <c r="A21" s="27">
        <v>19</v>
      </c>
      <c r="B21" s="27">
        <f t="shared" si="0"/>
        <v>6</v>
      </c>
      <c r="C21" s="27">
        <f t="shared" si="1"/>
        <v>1</v>
      </c>
      <c r="D21" s="26" t="str" cm="1">
        <f t="array" ref="D21">INDEX('Subj-Map2-1'!$I$7:$K$100,1+B21,C21)</f>
        <v>* differential.element[6].mapping[1].identity = "cda"</v>
      </c>
    </row>
    <row r="22" spans="1:4" x14ac:dyDescent="0.75">
      <c r="A22" s="27">
        <v>20</v>
      </c>
      <c r="B22" s="27">
        <f t="shared" si="0"/>
        <v>6</v>
      </c>
      <c r="C22" s="27">
        <f t="shared" si="1"/>
        <v>2</v>
      </c>
      <c r="D22" s="26" t="str" cm="1">
        <f t="array" ref="D22">INDEX('Subj-Map2-1'!$I$7:$K$100,1+B22,C22)</f>
        <v>* differential.element[6].mapping[1].map = ".patient.name.family"</v>
      </c>
    </row>
    <row r="23" spans="1:4" x14ac:dyDescent="0.75">
      <c r="A23" s="27">
        <v>21</v>
      </c>
      <c r="B23" s="27">
        <f t="shared" si="0"/>
        <v>6</v>
      </c>
      <c r="C23" s="27">
        <f t="shared" si="1"/>
        <v>3</v>
      </c>
      <c r="D23" s="26" t="str" cm="1">
        <f t="array" ref="D23">INDEX('Subj-Map2-1'!$I$7:$K$100,1+B23,C23)</f>
        <v/>
      </c>
    </row>
    <row r="24" spans="1:4" x14ac:dyDescent="0.75">
      <c r="A24" s="27">
        <v>22</v>
      </c>
      <c r="B24" s="27">
        <f t="shared" si="0"/>
        <v>7</v>
      </c>
      <c r="C24" s="27">
        <f t="shared" si="1"/>
        <v>1</v>
      </c>
      <c r="D24" s="26" t="str" cm="1">
        <f t="array" ref="D24">INDEX('Subj-Map2-1'!$I$7:$K$100,1+B24,C24)</f>
        <v>* differential.element[7].mapping[1].identity = "cda"</v>
      </c>
    </row>
    <row r="25" spans="1:4" x14ac:dyDescent="0.75">
      <c r="A25" s="27">
        <v>23</v>
      </c>
      <c r="B25" s="27">
        <f t="shared" si="0"/>
        <v>7</v>
      </c>
      <c r="C25" s="27">
        <f t="shared" si="1"/>
        <v>2</v>
      </c>
      <c r="D25" s="26" t="str" cm="1">
        <f t="array" ref="D25">INDEX('Subj-Map2-1'!$I$7:$K$100,1+B25,C25)</f>
        <v>* differential.element[7].mapping[1].map = ".patient.administrativeGenderCode"</v>
      </c>
    </row>
    <row r="26" spans="1:4" x14ac:dyDescent="0.75">
      <c r="A26" s="27">
        <v>24</v>
      </c>
      <c r="B26" s="27">
        <f t="shared" si="0"/>
        <v>7</v>
      </c>
      <c r="C26" s="27">
        <f t="shared" si="1"/>
        <v>3</v>
      </c>
      <c r="D26" s="26" t="str" cm="1">
        <f t="array" ref="D26">INDEX('Subj-Map2-1'!$I$7:$K$100,1+B26,C26)</f>
        <v/>
      </c>
    </row>
    <row r="27" spans="1:4" x14ac:dyDescent="0.75">
      <c r="A27" s="27">
        <v>25</v>
      </c>
      <c r="B27" s="27">
        <f t="shared" si="0"/>
        <v>8</v>
      </c>
      <c r="C27" s="27">
        <f t="shared" si="1"/>
        <v>1</v>
      </c>
      <c r="D27" s="26" t="str" cm="1">
        <f t="array" ref="D27">INDEX('Subj-Map2-1'!$I$7:$K$100,1+B27,C27)</f>
        <v>* differential.element[8].mapping[1].identity = "cda"</v>
      </c>
    </row>
    <row r="28" spans="1:4" x14ac:dyDescent="0.75">
      <c r="A28" s="27">
        <v>26</v>
      </c>
      <c r="B28" s="27">
        <f t="shared" si="0"/>
        <v>8</v>
      </c>
      <c r="C28" s="27">
        <f t="shared" si="1"/>
        <v>2</v>
      </c>
      <c r="D28" s="26" t="str" cm="1">
        <f t="array" ref="D28">INDEX('Subj-Map2-1'!$I$7:$K$100,1+B28,C28)</f>
        <v>* differential.element[8].mapping[1].map = ".patient.birthTime"</v>
      </c>
    </row>
    <row r="29" spans="1:4" x14ac:dyDescent="0.75">
      <c r="A29" s="27">
        <v>27</v>
      </c>
      <c r="B29" s="27">
        <f t="shared" si="0"/>
        <v>8</v>
      </c>
      <c r="C29" s="27">
        <f t="shared" si="1"/>
        <v>3</v>
      </c>
      <c r="D29" s="26" t="str" cm="1">
        <f t="array" ref="D29">INDEX('Subj-Map2-1'!$I$7:$K$100,1+B29,C29)</f>
        <v/>
      </c>
    </row>
    <row r="30" spans="1:4" x14ac:dyDescent="0.75">
      <c r="A30" s="27">
        <v>28</v>
      </c>
      <c r="B30" s="27">
        <f t="shared" si="0"/>
        <v>9</v>
      </c>
      <c r="C30" s="27">
        <f t="shared" si="1"/>
        <v>1</v>
      </c>
      <c r="D30" s="26" t="str" cm="1">
        <f t="array" ref="D30">INDEX('Subj-Map2-1'!$I$7:$K$100,1+B30,C30)</f>
        <v>* differential.element[9].mapping[1].identity = "cda"</v>
      </c>
    </row>
    <row r="31" spans="1:4" x14ac:dyDescent="0.75">
      <c r="A31" s="27">
        <v>29</v>
      </c>
      <c r="B31" s="27">
        <f t="shared" si="0"/>
        <v>9</v>
      </c>
      <c r="C31" s="27">
        <f t="shared" si="1"/>
        <v>2</v>
      </c>
      <c r="D31" s="26" t="str" cm="1">
        <f t="array" ref="D31">INDEX('Subj-Map2-1'!$I$7:$K$100,1+B31,C31)</f>
        <v>* differential.element[9].mapping[1].map = ".patient.birthplace"</v>
      </c>
    </row>
    <row r="32" spans="1:4" x14ac:dyDescent="0.75">
      <c r="A32" s="27">
        <v>30</v>
      </c>
      <c r="B32" s="27">
        <f t="shared" si="0"/>
        <v>9</v>
      </c>
      <c r="C32" s="27">
        <f t="shared" si="1"/>
        <v>3</v>
      </c>
      <c r="D32" s="26" t="str" cm="1">
        <f t="array" ref="D32">INDEX('Subj-Map2-1'!$I$7:$K$100,1+B32,C32)</f>
        <v/>
      </c>
    </row>
    <row r="33" spans="1:4" x14ac:dyDescent="0.75">
      <c r="A33" s="27">
        <v>31</v>
      </c>
      <c r="B33" s="27">
        <f t="shared" si="0"/>
        <v>10</v>
      </c>
      <c r="C33" s="27">
        <f t="shared" si="1"/>
        <v>1</v>
      </c>
      <c r="D33" s="26" t="str" cm="1">
        <f t="array" ref="D33">INDEX('Subj-Map2-1'!$I$7:$K$100,1+B33,C33)</f>
        <v>* differential.element[10].mapping[1].identity = "cda"</v>
      </c>
    </row>
    <row r="34" spans="1:4" x14ac:dyDescent="0.75">
      <c r="A34" s="27">
        <v>32</v>
      </c>
      <c r="B34" s="27">
        <f t="shared" si="0"/>
        <v>10</v>
      </c>
      <c r="C34" s="27">
        <f t="shared" si="1"/>
        <v>2</v>
      </c>
      <c r="D34" s="26" t="str" cm="1">
        <f t="array" ref="D34">INDEX('Subj-Map2-1'!$I$7:$K$100,1+B34,C34)</f>
        <v>* differential.element[10].mapping[1].map = "ClinicalDocument.participant"</v>
      </c>
    </row>
    <row r="35" spans="1:4" x14ac:dyDescent="0.75">
      <c r="A35" s="27">
        <v>33</v>
      </c>
      <c r="B35" s="27">
        <f t="shared" si="0"/>
        <v>10</v>
      </c>
      <c r="C35" s="27">
        <f t="shared" si="1"/>
        <v>3</v>
      </c>
      <c r="D35" s="26" t="str" cm="1">
        <f t="array" ref="D35">INDEX('Subj-Map2-1'!$I$7:$K$100,1+B35,C35)</f>
        <v/>
      </c>
    </row>
    <row r="36" spans="1:4" x14ac:dyDescent="0.75">
      <c r="A36" s="27">
        <v>34</v>
      </c>
      <c r="B36" s="27">
        <f t="shared" si="0"/>
        <v>11</v>
      </c>
      <c r="C36" s="27">
        <f t="shared" si="1"/>
        <v>1</v>
      </c>
      <c r="D36" s="26" t="str" cm="1">
        <f t="array" ref="D36">INDEX('Subj-Map2-1'!$I$7:$K$100,1+B36,C36)</f>
        <v>* differential.element[11].mapping[1].identity = "cda"</v>
      </c>
    </row>
    <row r="37" spans="1:4" x14ac:dyDescent="0.75">
      <c r="A37" s="27">
        <v>35</v>
      </c>
      <c r="B37" s="27">
        <f t="shared" si="0"/>
        <v>11</v>
      </c>
      <c r="C37" s="27">
        <f t="shared" si="1"/>
        <v>2</v>
      </c>
      <c r="D37" s="26" t="str" cm="1">
        <f t="array" ref="D37">INDEX('Subj-Map2-1'!$I$7:$K$100,1+B37,C37)</f>
        <v>* differential.element[11].mapping[1].map = ".associatedEntity.telecom"</v>
      </c>
    </row>
    <row r="38" spans="1:4" x14ac:dyDescent="0.75">
      <c r="A38" s="27">
        <v>36</v>
      </c>
      <c r="B38" s="27">
        <f t="shared" si="0"/>
        <v>11</v>
      </c>
      <c r="C38" s="27">
        <f t="shared" si="1"/>
        <v>3</v>
      </c>
      <c r="D38" s="26" t="str" cm="1">
        <f t="array" ref="D38">INDEX('Subj-Map2-1'!$I$7:$K$100,1+B38,C38)</f>
        <v/>
      </c>
    </row>
    <row r="39" spans="1:4" x14ac:dyDescent="0.75">
      <c r="A39" s="27">
        <v>37</v>
      </c>
      <c r="B39" s="27">
        <f t="shared" si="0"/>
        <v>12</v>
      </c>
      <c r="C39" s="27">
        <f t="shared" si="1"/>
        <v>1</v>
      </c>
      <c r="D39" s="26" t="str" cm="1">
        <f t="array" ref="D39">INDEX('Subj-Map2-1'!$I$7:$K$100,1+B39,C39)</f>
        <v>* differential.element[12].mapping[1].identity = "cda"</v>
      </c>
    </row>
    <row r="40" spans="1:4" x14ac:dyDescent="0.75">
      <c r="A40" s="27">
        <v>38</v>
      </c>
      <c r="B40" s="27">
        <f t="shared" si="0"/>
        <v>12</v>
      </c>
      <c r="C40" s="27">
        <f t="shared" si="1"/>
        <v>2</v>
      </c>
      <c r="D40" s="26" t="str" cm="1">
        <f t="array" ref="D40">INDEX('Subj-Map2-1'!$I$7:$K$100,1+B40,C40)</f>
        <v>* differential.element[12].mapping[1].map = ".associatedEntity.telecom"</v>
      </c>
    </row>
    <row r="41" spans="1:4" x14ac:dyDescent="0.75">
      <c r="A41" s="27">
        <v>39</v>
      </c>
      <c r="B41" s="27">
        <f t="shared" si="0"/>
        <v>12</v>
      </c>
      <c r="C41" s="27">
        <f t="shared" si="1"/>
        <v>3</v>
      </c>
      <c r="D41" s="26" t="str" cm="1">
        <f t="array" ref="D41">INDEX('Subj-Map2-1'!$I$7:$K$100,1+B41,C41)</f>
        <v/>
      </c>
    </row>
    <row r="42" spans="1:4" x14ac:dyDescent="0.75">
      <c r="A42" s="27">
        <v>40</v>
      </c>
      <c r="B42" s="27">
        <f t="shared" si="0"/>
        <v>13</v>
      </c>
      <c r="C42" s="27">
        <f t="shared" si="1"/>
        <v>1</v>
      </c>
      <c r="D42" s="26" t="str" cm="1">
        <f t="array" ref="D42">INDEX('Subj-Map2-1'!$I$7:$K$100,1+B42,C42)</f>
        <v/>
      </c>
    </row>
    <row r="43" spans="1:4" x14ac:dyDescent="0.75">
      <c r="A43" s="27">
        <v>41</v>
      </c>
      <c r="B43" s="27">
        <f t="shared" si="0"/>
        <v>13</v>
      </c>
      <c r="C43" s="27">
        <f t="shared" si="1"/>
        <v>2</v>
      </c>
      <c r="D43" s="26" t="str" cm="1">
        <f t="array" ref="D43">INDEX('Subj-Map2-1'!$I$7:$K$100,1+B43,C43)</f>
        <v/>
      </c>
    </row>
    <row r="44" spans="1:4" x14ac:dyDescent="0.75">
      <c r="A44" s="27">
        <v>42</v>
      </c>
      <c r="B44" s="27">
        <f t="shared" si="0"/>
        <v>13</v>
      </c>
      <c r="C44" s="27">
        <f t="shared" si="1"/>
        <v>3</v>
      </c>
      <c r="D44" s="26" t="str" cm="1">
        <f t="array" ref="D44">INDEX('Subj-Map2-1'!$I$7:$K$100,1+B44,C44)</f>
        <v/>
      </c>
    </row>
    <row r="45" spans="1:4" x14ac:dyDescent="0.75">
      <c r="A45" s="27">
        <v>43</v>
      </c>
      <c r="B45" s="27">
        <f t="shared" si="0"/>
        <v>14</v>
      </c>
      <c r="C45" s="27">
        <f t="shared" si="1"/>
        <v>1</v>
      </c>
      <c r="D45" s="26" t="str" cm="1">
        <f t="array" ref="D45">INDEX('Subj-Map2-1'!$I$7:$K$100,1+B45,C45)</f>
        <v/>
      </c>
    </row>
    <row r="46" spans="1:4" x14ac:dyDescent="0.75">
      <c r="A46" s="27">
        <v>44</v>
      </c>
      <c r="B46" s="27">
        <f t="shared" si="0"/>
        <v>14</v>
      </c>
      <c r="C46" s="27">
        <f t="shared" si="1"/>
        <v>2</v>
      </c>
      <c r="D46" s="26" t="str" cm="1">
        <f t="array" ref="D46">INDEX('Subj-Map2-1'!$I$7:$K$100,1+B46,C46)</f>
        <v/>
      </c>
    </row>
    <row r="47" spans="1:4" x14ac:dyDescent="0.75">
      <c r="A47" s="27">
        <v>45</v>
      </c>
      <c r="B47" s="27">
        <f t="shared" si="0"/>
        <v>14</v>
      </c>
      <c r="C47" s="27">
        <f t="shared" si="1"/>
        <v>3</v>
      </c>
      <c r="D47" s="26" t="str" cm="1">
        <f t="array" ref="D47">INDEX('Subj-Map2-1'!$I$7:$K$100,1+B47,C47)</f>
        <v/>
      </c>
    </row>
    <row r="48" spans="1:4" x14ac:dyDescent="0.75">
      <c r="A48" s="27">
        <v>46</v>
      </c>
      <c r="B48" s="27">
        <f t="shared" si="0"/>
        <v>15</v>
      </c>
      <c r="C48" s="27">
        <f t="shared" si="1"/>
        <v>1</v>
      </c>
      <c r="D48" s="26" t="str" cm="1">
        <f t="array" ref="D48">INDEX('Subj-Map2-1'!$I$7:$K$100,1+B48,C48)</f>
        <v/>
      </c>
    </row>
    <row r="49" spans="1:7" x14ac:dyDescent="0.75">
      <c r="A49" s="27">
        <v>47</v>
      </c>
      <c r="B49" s="27">
        <f t="shared" si="0"/>
        <v>15</v>
      </c>
      <c r="C49" s="27">
        <f t="shared" si="1"/>
        <v>2</v>
      </c>
      <c r="D49" s="26" t="str" cm="1">
        <f t="array" ref="D49">INDEX('Subj-Map2-1'!$I$7:$K$100,1+B49,C49)</f>
        <v/>
      </c>
    </row>
    <row r="50" spans="1:7" x14ac:dyDescent="0.75">
      <c r="A50" s="27">
        <v>48</v>
      </c>
      <c r="B50" s="27">
        <f t="shared" si="0"/>
        <v>15</v>
      </c>
      <c r="C50" s="27">
        <f t="shared" si="1"/>
        <v>3</v>
      </c>
      <c r="D50" s="26" t="str" cm="1">
        <f t="array" ref="D50">INDEX('Subj-Map2-1'!$I$7:$K$100,1+B50,C50)</f>
        <v/>
      </c>
    </row>
    <row r="51" spans="1:7" x14ac:dyDescent="0.75">
      <c r="A51" s="27">
        <v>49</v>
      </c>
      <c r="B51" s="27">
        <f t="shared" si="0"/>
        <v>16</v>
      </c>
      <c r="C51" s="27">
        <f t="shared" si="1"/>
        <v>1</v>
      </c>
      <c r="D51" s="26" t="str" cm="1">
        <f t="array" ref="D51">INDEX('Subj-Map2-1'!$I$7:$K$100,1+B51,C51)</f>
        <v/>
      </c>
    </row>
    <row r="52" spans="1:7" x14ac:dyDescent="0.75">
      <c r="A52" s="27">
        <v>50</v>
      </c>
      <c r="B52" s="27">
        <f t="shared" si="0"/>
        <v>16</v>
      </c>
      <c r="C52" s="27">
        <f t="shared" si="1"/>
        <v>2</v>
      </c>
      <c r="D52" s="26" t="str" cm="1">
        <f t="array" ref="D52">INDEX('Subj-Map2-1'!$I$7:$K$100,1+B52,C52)</f>
        <v/>
      </c>
    </row>
    <row r="53" spans="1:7" x14ac:dyDescent="0.75">
      <c r="A53" s="27">
        <v>51</v>
      </c>
      <c r="B53" s="27">
        <f t="shared" si="0"/>
        <v>16</v>
      </c>
      <c r="C53" s="27">
        <f t="shared" si="1"/>
        <v>3</v>
      </c>
      <c r="D53" s="26" t="str" cm="1">
        <f t="array" ref="D53">INDEX('Subj-Map2-1'!$I$7:$K$100,1+B53,C53)</f>
        <v/>
      </c>
    </row>
    <row r="54" spans="1:7" x14ac:dyDescent="0.75">
      <c r="A54" s="27">
        <v>52</v>
      </c>
      <c r="B54" s="27">
        <f t="shared" si="0"/>
        <v>17</v>
      </c>
      <c r="C54" s="27">
        <f t="shared" si="1"/>
        <v>1</v>
      </c>
      <c r="D54" s="26" t="str" cm="1">
        <f t="array" ref="D54">INDEX('Subj-Map2-1'!$I$7:$K$100,1+B54,C54)</f>
        <v/>
      </c>
    </row>
    <row r="55" spans="1:7" x14ac:dyDescent="0.75">
      <c r="A55" s="27">
        <v>53</v>
      </c>
      <c r="B55" s="27">
        <f t="shared" si="0"/>
        <v>17</v>
      </c>
      <c r="C55" s="27">
        <f t="shared" si="1"/>
        <v>2</v>
      </c>
      <c r="D55" s="26" t="str" cm="1">
        <f t="array" ref="D55">INDEX('Subj-Map2-1'!$I$7:$K$100,1+B55,C55)</f>
        <v/>
      </c>
      <c r="G55" s="15"/>
    </row>
    <row r="56" spans="1:7" x14ac:dyDescent="0.75">
      <c r="A56" s="27">
        <v>54</v>
      </c>
      <c r="B56" s="27">
        <f t="shared" si="0"/>
        <v>17</v>
      </c>
      <c r="C56" s="27">
        <f t="shared" si="1"/>
        <v>3</v>
      </c>
      <c r="D56" s="26" t="str" cm="1">
        <f t="array" ref="D56">INDEX('Subj-Map2-1'!$I$7:$K$100,1+B56,C56)</f>
        <v/>
      </c>
    </row>
    <row r="57" spans="1:7" x14ac:dyDescent="0.75">
      <c r="A57" s="27">
        <v>55</v>
      </c>
      <c r="B57" s="27">
        <f t="shared" si="0"/>
        <v>18</v>
      </c>
      <c r="C57" s="27">
        <f t="shared" si="1"/>
        <v>1</v>
      </c>
      <c r="D57" s="26" t="str" cm="1">
        <f t="array" ref="D57">INDEX('Subj-Map2-1'!$I$7:$K$100,1+B57,C57)</f>
        <v/>
      </c>
    </row>
    <row r="58" spans="1:7" x14ac:dyDescent="0.75">
      <c r="A58" s="27">
        <v>56</v>
      </c>
      <c r="B58" s="27">
        <f t="shared" si="0"/>
        <v>18</v>
      </c>
      <c r="C58" s="27">
        <f t="shared" si="1"/>
        <v>2</v>
      </c>
      <c r="D58" s="26" t="str" cm="1">
        <f t="array" ref="D58">INDEX('Subj-Map2-1'!$I$7:$K$100,1+B58,C58)</f>
        <v/>
      </c>
    </row>
    <row r="59" spans="1:7" x14ac:dyDescent="0.75">
      <c r="A59" s="27">
        <v>57</v>
      </c>
      <c r="B59" s="27">
        <f t="shared" si="0"/>
        <v>18</v>
      </c>
      <c r="C59" s="27">
        <f t="shared" si="1"/>
        <v>3</v>
      </c>
      <c r="D59" s="26" t="str" cm="1">
        <f t="array" ref="D59">INDEX('Subj-Map2-1'!$I$7:$K$100,1+B59,C59)</f>
        <v/>
      </c>
    </row>
    <row r="60" spans="1:7" x14ac:dyDescent="0.75">
      <c r="A60" s="27">
        <v>58</v>
      </c>
      <c r="B60" s="27">
        <f t="shared" si="0"/>
        <v>19</v>
      </c>
      <c r="C60" s="27">
        <f t="shared" si="1"/>
        <v>1</v>
      </c>
      <c r="D60" s="26" t="str" cm="1">
        <f t="array" ref="D60">INDEX('Subj-Map2-1'!$I$7:$K$100,1+B60,C60)</f>
        <v/>
      </c>
    </row>
    <row r="61" spans="1:7" x14ac:dyDescent="0.75">
      <c r="A61" s="27">
        <v>59</v>
      </c>
      <c r="B61" s="27">
        <f t="shared" si="0"/>
        <v>19</v>
      </c>
      <c r="C61" s="27">
        <f t="shared" si="1"/>
        <v>2</v>
      </c>
      <c r="D61" s="26" t="str" cm="1">
        <f t="array" ref="D61">INDEX('Subj-Map2-1'!$I$7:$K$100,1+B61,C61)</f>
        <v/>
      </c>
    </row>
    <row r="62" spans="1:7" x14ac:dyDescent="0.75">
      <c r="A62" s="27">
        <v>60</v>
      </c>
      <c r="B62" s="27">
        <f t="shared" si="0"/>
        <v>19</v>
      </c>
      <c r="C62" s="27">
        <f t="shared" si="1"/>
        <v>3</v>
      </c>
      <c r="D62" s="26" t="str" cm="1">
        <f t="array" ref="D62">INDEX('Subj-Map2-1'!$I$7:$K$100,1+B62,C62)</f>
        <v/>
      </c>
    </row>
    <row r="63" spans="1:7" x14ac:dyDescent="0.75">
      <c r="A63" s="27">
        <v>61</v>
      </c>
      <c r="B63" s="27">
        <f t="shared" si="0"/>
        <v>20</v>
      </c>
      <c r="C63" s="27">
        <f t="shared" si="1"/>
        <v>1</v>
      </c>
      <c r="D63" s="26" t="str" cm="1">
        <f t="array" ref="D63">INDEX('Subj-Map2-1'!$I$7:$K$100,1+B63,C63)</f>
        <v/>
      </c>
    </row>
    <row r="64" spans="1:7" x14ac:dyDescent="0.75">
      <c r="A64" s="27">
        <v>62</v>
      </c>
      <c r="B64" s="27">
        <f t="shared" si="0"/>
        <v>20</v>
      </c>
      <c r="C64" s="27">
        <f t="shared" si="1"/>
        <v>2</v>
      </c>
      <c r="D64" s="26" t="str" cm="1">
        <f t="array" ref="D64">INDEX('Subj-Map2-1'!$I$7:$K$100,1+B64,C64)</f>
        <v/>
      </c>
    </row>
    <row r="65" spans="1:4" x14ac:dyDescent="0.75">
      <c r="A65" s="27">
        <v>63</v>
      </c>
      <c r="B65" s="27">
        <f t="shared" si="0"/>
        <v>20</v>
      </c>
      <c r="C65" s="27">
        <f t="shared" si="1"/>
        <v>3</v>
      </c>
      <c r="D65" s="26" t="str" cm="1">
        <f t="array" ref="D65">INDEX('Subj-Map2-1'!$I$7:$K$100,1+B65,C65)</f>
        <v/>
      </c>
    </row>
    <row r="66" spans="1:4" x14ac:dyDescent="0.75">
      <c r="A66" s="27">
        <v>64</v>
      </c>
      <c r="B66" s="27">
        <f t="shared" si="0"/>
        <v>21</v>
      </c>
      <c r="C66" s="27">
        <f t="shared" si="1"/>
        <v>1</v>
      </c>
      <c r="D66" s="26" t="str" cm="1">
        <f t="array" ref="D66">INDEX('Subj-Map2-1'!$I$7:$K$100,1+B66,C66)</f>
        <v/>
      </c>
    </row>
    <row r="67" spans="1:4" x14ac:dyDescent="0.75">
      <c r="A67" s="27">
        <v>65</v>
      </c>
      <c r="B67" s="27">
        <f t="shared" si="0"/>
        <v>21</v>
      </c>
      <c r="C67" s="27">
        <f t="shared" si="1"/>
        <v>2</v>
      </c>
      <c r="D67" s="26" t="str" cm="1">
        <f t="array" ref="D67">INDEX('Subj-Map2-1'!$I$7:$K$100,1+B67,C67)</f>
        <v/>
      </c>
    </row>
    <row r="68" spans="1:4" x14ac:dyDescent="0.75">
      <c r="A68" s="27">
        <v>66</v>
      </c>
      <c r="B68" s="27">
        <f t="shared" ref="B68:B131" si="2">IF(MOD(A68,3)=0,A68/3-1,INT(A68/3))</f>
        <v>21</v>
      </c>
      <c r="C68" s="27">
        <f t="shared" ref="C68:C131" si="3">IF(MOD(A68,3)=0,3,MOD(A68,3))</f>
        <v>3</v>
      </c>
      <c r="D68" s="26" t="str" cm="1">
        <f t="array" ref="D68">INDEX('Subj-Map2-1'!$I$7:$K$100,1+B68,C68)</f>
        <v/>
      </c>
    </row>
    <row r="69" spans="1:4" x14ac:dyDescent="0.75">
      <c r="A69" s="27">
        <v>67</v>
      </c>
      <c r="B69" s="27">
        <f t="shared" si="2"/>
        <v>22</v>
      </c>
      <c r="C69" s="27">
        <f t="shared" si="3"/>
        <v>1</v>
      </c>
      <c r="D69" s="26" t="str" cm="1">
        <f t="array" ref="D69">INDEX('Subj-Map2-1'!$I$7:$K$100,1+B69,C69)</f>
        <v/>
      </c>
    </row>
    <row r="70" spans="1:4" x14ac:dyDescent="0.75">
      <c r="A70" s="27">
        <v>68</v>
      </c>
      <c r="B70" s="27">
        <f t="shared" si="2"/>
        <v>22</v>
      </c>
      <c r="C70" s="27">
        <f t="shared" si="3"/>
        <v>2</v>
      </c>
      <c r="D70" s="26" t="str" cm="1">
        <f t="array" ref="D70">INDEX('Subj-Map2-1'!$I$7:$K$100,1+B70,C70)</f>
        <v/>
      </c>
    </row>
    <row r="71" spans="1:4" x14ac:dyDescent="0.75">
      <c r="A71" s="27">
        <v>69</v>
      </c>
      <c r="B71" s="27">
        <f t="shared" si="2"/>
        <v>22</v>
      </c>
      <c r="C71" s="27">
        <f t="shared" si="3"/>
        <v>3</v>
      </c>
      <c r="D71" s="26" t="str" cm="1">
        <f t="array" ref="D71">INDEX('Subj-Map2-1'!$I$7:$K$100,1+B71,C71)</f>
        <v/>
      </c>
    </row>
    <row r="72" spans="1:4" x14ac:dyDescent="0.75">
      <c r="A72" s="27">
        <v>70</v>
      </c>
      <c r="B72" s="27">
        <f t="shared" si="2"/>
        <v>23</v>
      </c>
      <c r="C72" s="27">
        <f t="shared" si="3"/>
        <v>1</v>
      </c>
      <c r="D72" s="26" t="str" cm="1">
        <f t="array" ref="D72">INDEX('Subj-Map2-1'!$I$7:$K$100,1+B72,C72)</f>
        <v/>
      </c>
    </row>
    <row r="73" spans="1:4" x14ac:dyDescent="0.75">
      <c r="A73" s="27">
        <v>71</v>
      </c>
      <c r="B73" s="27">
        <f t="shared" si="2"/>
        <v>23</v>
      </c>
      <c r="C73" s="27">
        <f t="shared" si="3"/>
        <v>2</v>
      </c>
      <c r="D73" s="26" t="str" cm="1">
        <f t="array" ref="D73">INDEX('Subj-Map2-1'!$I$7:$K$100,1+B73,C73)</f>
        <v/>
      </c>
    </row>
    <row r="74" spans="1:4" x14ac:dyDescent="0.75">
      <c r="A74" s="27">
        <v>72</v>
      </c>
      <c r="B74" s="27">
        <f t="shared" si="2"/>
        <v>23</v>
      </c>
      <c r="C74" s="27">
        <f t="shared" si="3"/>
        <v>3</v>
      </c>
      <c r="D74" s="26" t="str" cm="1">
        <f t="array" ref="D74">INDEX('Subj-Map2-1'!$I$7:$K$100,1+B74,C74)</f>
        <v/>
      </c>
    </row>
    <row r="75" spans="1:4" x14ac:dyDescent="0.75">
      <c r="A75" s="27">
        <v>73</v>
      </c>
      <c r="B75" s="27">
        <f t="shared" si="2"/>
        <v>24</v>
      </c>
      <c r="C75" s="27">
        <f t="shared" si="3"/>
        <v>1</v>
      </c>
      <c r="D75" s="26" t="str" cm="1">
        <f t="array" ref="D75">INDEX('Subj-Map2-1'!$I$7:$K$100,1+B75,C75)</f>
        <v/>
      </c>
    </row>
    <row r="76" spans="1:4" x14ac:dyDescent="0.75">
      <c r="A76" s="27">
        <v>74</v>
      </c>
      <c r="B76" s="27">
        <f t="shared" si="2"/>
        <v>24</v>
      </c>
      <c r="C76" s="27">
        <f t="shared" si="3"/>
        <v>2</v>
      </c>
      <c r="D76" s="26" t="str" cm="1">
        <f t="array" ref="D76">INDEX('Subj-Map2-1'!$I$7:$K$100,1+B76,C76)</f>
        <v/>
      </c>
    </row>
    <row r="77" spans="1:4" x14ac:dyDescent="0.75">
      <c r="A77" s="27">
        <v>75</v>
      </c>
      <c r="B77" s="27">
        <f t="shared" si="2"/>
        <v>24</v>
      </c>
      <c r="C77" s="27">
        <f t="shared" si="3"/>
        <v>3</v>
      </c>
      <c r="D77" s="26" t="str" cm="1">
        <f t="array" ref="D77">INDEX('Subj-Map2-1'!$I$7:$K$100,1+B77,C77)</f>
        <v/>
      </c>
    </row>
    <row r="78" spans="1:4" x14ac:dyDescent="0.75">
      <c r="A78" s="27">
        <v>76</v>
      </c>
      <c r="B78" s="27">
        <f t="shared" si="2"/>
        <v>25</v>
      </c>
      <c r="C78" s="27">
        <f t="shared" si="3"/>
        <v>1</v>
      </c>
      <c r="D78" s="26" t="str" cm="1">
        <f t="array" ref="D78">INDEX('Subj-Map2-1'!$I$7:$K$100,1+B78,C78)</f>
        <v/>
      </c>
    </row>
    <row r="79" spans="1:4" x14ac:dyDescent="0.75">
      <c r="A79" s="27">
        <v>77</v>
      </c>
      <c r="B79" s="27">
        <f t="shared" si="2"/>
        <v>25</v>
      </c>
      <c r="C79" s="27">
        <f t="shared" si="3"/>
        <v>2</v>
      </c>
      <c r="D79" s="26" t="str" cm="1">
        <f t="array" ref="D79">INDEX('Subj-Map2-1'!$I$7:$K$100,1+B79,C79)</f>
        <v/>
      </c>
    </row>
    <row r="80" spans="1:4" x14ac:dyDescent="0.75">
      <c r="A80" s="27">
        <v>78</v>
      </c>
      <c r="B80" s="27">
        <f t="shared" si="2"/>
        <v>25</v>
      </c>
      <c r="C80" s="27">
        <f t="shared" si="3"/>
        <v>3</v>
      </c>
      <c r="D80" s="26" t="str" cm="1">
        <f t="array" ref="D80">INDEX('Subj-Map2-1'!$I$7:$K$100,1+B80,C80)</f>
        <v/>
      </c>
    </row>
    <row r="81" spans="1:4" x14ac:dyDescent="0.75">
      <c r="A81" s="27">
        <v>79</v>
      </c>
      <c r="B81" s="27">
        <f t="shared" si="2"/>
        <v>26</v>
      </c>
      <c r="C81" s="27">
        <f t="shared" si="3"/>
        <v>1</v>
      </c>
      <c r="D81" s="26" t="str" cm="1">
        <f t="array" ref="D81">INDEX('Subj-Map2-1'!$I$7:$K$100,1+B81,C81)</f>
        <v/>
      </c>
    </row>
    <row r="82" spans="1:4" x14ac:dyDescent="0.75">
      <c r="A82" s="27">
        <v>80</v>
      </c>
      <c r="B82" s="27">
        <f t="shared" si="2"/>
        <v>26</v>
      </c>
      <c r="C82" s="27">
        <f t="shared" si="3"/>
        <v>2</v>
      </c>
      <c r="D82" s="26" t="str" cm="1">
        <f t="array" ref="D82">INDEX('Subj-Map2-1'!$I$7:$K$100,1+B82,C82)</f>
        <v/>
      </c>
    </row>
    <row r="83" spans="1:4" x14ac:dyDescent="0.75">
      <c r="A83" s="27">
        <v>81</v>
      </c>
      <c r="B83" s="27">
        <f t="shared" si="2"/>
        <v>26</v>
      </c>
      <c r="C83" s="27">
        <f t="shared" si="3"/>
        <v>3</v>
      </c>
      <c r="D83" s="26" t="str" cm="1">
        <f t="array" ref="D83">INDEX('Subj-Map2-1'!$I$7:$K$100,1+B83,C83)</f>
        <v/>
      </c>
    </row>
    <row r="84" spans="1:4" x14ac:dyDescent="0.75">
      <c r="A84" s="27">
        <v>82</v>
      </c>
      <c r="B84" s="27">
        <f t="shared" si="2"/>
        <v>27</v>
      </c>
      <c r="C84" s="27">
        <f t="shared" si="3"/>
        <v>1</v>
      </c>
      <c r="D84" s="26" t="str" cm="1">
        <f t="array" ref="D84">INDEX('Subj-Map2-1'!$I$7:$K$100,1+B84,C84)</f>
        <v/>
      </c>
    </row>
    <row r="85" spans="1:4" x14ac:dyDescent="0.75">
      <c r="A85" s="27">
        <v>83</v>
      </c>
      <c r="B85" s="27">
        <f t="shared" si="2"/>
        <v>27</v>
      </c>
      <c r="C85" s="27">
        <f t="shared" si="3"/>
        <v>2</v>
      </c>
      <c r="D85" s="26" t="str" cm="1">
        <f t="array" ref="D85">INDEX('Subj-Map2-1'!$I$7:$K$100,1+B85,C85)</f>
        <v/>
      </c>
    </row>
    <row r="86" spans="1:4" x14ac:dyDescent="0.75">
      <c r="A86" s="27">
        <v>84</v>
      </c>
      <c r="B86" s="27">
        <f t="shared" si="2"/>
        <v>27</v>
      </c>
      <c r="C86" s="27">
        <f t="shared" si="3"/>
        <v>3</v>
      </c>
      <c r="D86" s="26" t="str" cm="1">
        <f t="array" ref="D86">INDEX('Subj-Map2-1'!$I$7:$K$100,1+B86,C86)</f>
        <v/>
      </c>
    </row>
    <row r="87" spans="1:4" x14ac:dyDescent="0.75">
      <c r="A87" s="27">
        <v>85</v>
      </c>
      <c r="B87" s="27">
        <f t="shared" si="2"/>
        <v>28</v>
      </c>
      <c r="C87" s="27">
        <f t="shared" si="3"/>
        <v>1</v>
      </c>
      <c r="D87" s="26" t="str" cm="1">
        <f t="array" ref="D87">INDEX('Subj-Map2-1'!$I$7:$K$100,1+B87,C87)</f>
        <v/>
      </c>
    </row>
    <row r="88" spans="1:4" x14ac:dyDescent="0.75">
      <c r="A88" s="27">
        <v>86</v>
      </c>
      <c r="B88" s="27">
        <f t="shared" si="2"/>
        <v>28</v>
      </c>
      <c r="C88" s="27">
        <f t="shared" si="3"/>
        <v>2</v>
      </c>
      <c r="D88" s="26" t="str" cm="1">
        <f t="array" ref="D88">INDEX('Subj-Map2-1'!$I$7:$K$100,1+B88,C88)</f>
        <v/>
      </c>
    </row>
    <row r="89" spans="1:4" x14ac:dyDescent="0.75">
      <c r="A89" s="27">
        <v>87</v>
      </c>
      <c r="B89" s="27">
        <f t="shared" si="2"/>
        <v>28</v>
      </c>
      <c r="C89" s="27">
        <f t="shared" si="3"/>
        <v>3</v>
      </c>
      <c r="D89" s="26" t="str" cm="1">
        <f t="array" ref="D89">INDEX('Subj-Map2-1'!$I$7:$K$100,1+B89,C89)</f>
        <v/>
      </c>
    </row>
    <row r="90" spans="1:4" x14ac:dyDescent="0.75">
      <c r="A90" s="27">
        <v>88</v>
      </c>
      <c r="B90" s="27">
        <f t="shared" si="2"/>
        <v>29</v>
      </c>
      <c r="C90" s="27">
        <f t="shared" si="3"/>
        <v>1</v>
      </c>
      <c r="D90" s="26" t="str" cm="1">
        <f t="array" ref="D90">INDEX('Subj-Map2-1'!$I$7:$K$100,1+B90,C90)</f>
        <v/>
      </c>
    </row>
    <row r="91" spans="1:4" x14ac:dyDescent="0.75">
      <c r="A91" s="27">
        <v>89</v>
      </c>
      <c r="B91" s="27">
        <f t="shared" si="2"/>
        <v>29</v>
      </c>
      <c r="C91" s="27">
        <f t="shared" si="3"/>
        <v>2</v>
      </c>
      <c r="D91" s="26" t="str" cm="1">
        <f t="array" ref="D91">INDEX('Subj-Map2-1'!$I$7:$K$100,1+B91,C91)</f>
        <v/>
      </c>
    </row>
    <row r="92" spans="1:4" x14ac:dyDescent="0.75">
      <c r="A92" s="27">
        <v>90</v>
      </c>
      <c r="B92" s="27">
        <f t="shared" si="2"/>
        <v>29</v>
      </c>
      <c r="C92" s="27">
        <f t="shared" si="3"/>
        <v>3</v>
      </c>
      <c r="D92" s="26" t="str" cm="1">
        <f t="array" ref="D92">INDEX('Subj-Map2-1'!$I$7:$K$100,1+B92,C92)</f>
        <v/>
      </c>
    </row>
    <row r="93" spans="1:4" x14ac:dyDescent="0.75">
      <c r="A93" s="27">
        <v>91</v>
      </c>
      <c r="B93" s="27">
        <f t="shared" si="2"/>
        <v>30</v>
      </c>
      <c r="C93" s="27">
        <f t="shared" si="3"/>
        <v>1</v>
      </c>
      <c r="D93" s="26" t="str" cm="1">
        <f t="array" ref="D93">INDEX('Subj-Map2-1'!$I$7:$K$100,1+B93,C93)</f>
        <v/>
      </c>
    </row>
    <row r="94" spans="1:4" x14ac:dyDescent="0.75">
      <c r="A94" s="27">
        <v>92</v>
      </c>
      <c r="B94" s="27">
        <f t="shared" si="2"/>
        <v>30</v>
      </c>
      <c r="C94" s="27">
        <f t="shared" si="3"/>
        <v>2</v>
      </c>
      <c r="D94" s="26" t="str" cm="1">
        <f t="array" ref="D94">INDEX('Subj-Map2-1'!$I$7:$K$100,1+B94,C94)</f>
        <v/>
      </c>
    </row>
    <row r="95" spans="1:4" x14ac:dyDescent="0.75">
      <c r="A95" s="27">
        <v>93</v>
      </c>
      <c r="B95" s="27">
        <f t="shared" si="2"/>
        <v>30</v>
      </c>
      <c r="C95" s="27">
        <f t="shared" si="3"/>
        <v>3</v>
      </c>
      <c r="D95" s="26" t="str" cm="1">
        <f t="array" ref="D95">INDEX('Subj-Map2-1'!$I$7:$K$100,1+B95,C95)</f>
        <v/>
      </c>
    </row>
    <row r="96" spans="1:4" x14ac:dyDescent="0.75">
      <c r="A96" s="27">
        <v>94</v>
      </c>
      <c r="B96" s="27">
        <f t="shared" si="2"/>
        <v>31</v>
      </c>
      <c r="C96" s="27">
        <f t="shared" si="3"/>
        <v>1</v>
      </c>
      <c r="D96" s="26" t="str" cm="1">
        <f t="array" ref="D96">INDEX('Subj-Map2-1'!$I$7:$K$100,1+B96,C96)</f>
        <v/>
      </c>
    </row>
    <row r="97" spans="1:4" x14ac:dyDescent="0.75">
      <c r="A97" s="27">
        <v>95</v>
      </c>
      <c r="B97" s="27">
        <f t="shared" si="2"/>
        <v>31</v>
      </c>
      <c r="C97" s="27">
        <f t="shared" si="3"/>
        <v>2</v>
      </c>
      <c r="D97" s="26" t="str" cm="1">
        <f t="array" ref="D97">INDEX('Subj-Map2-1'!$I$7:$K$100,1+B97,C97)</f>
        <v/>
      </c>
    </row>
    <row r="98" spans="1:4" x14ac:dyDescent="0.75">
      <c r="A98" s="27">
        <v>96</v>
      </c>
      <c r="B98" s="27">
        <f t="shared" si="2"/>
        <v>31</v>
      </c>
      <c r="C98" s="27">
        <f t="shared" si="3"/>
        <v>3</v>
      </c>
      <c r="D98" s="26" t="str" cm="1">
        <f t="array" ref="D98">INDEX('Subj-Map2-1'!$I$7:$K$100,1+B98,C98)</f>
        <v/>
      </c>
    </row>
    <row r="99" spans="1:4" x14ac:dyDescent="0.75">
      <c r="A99" s="27">
        <v>97</v>
      </c>
      <c r="B99" s="27">
        <f t="shared" si="2"/>
        <v>32</v>
      </c>
      <c r="C99" s="27">
        <f t="shared" si="3"/>
        <v>1</v>
      </c>
      <c r="D99" s="26" t="str" cm="1">
        <f t="array" ref="D99">INDEX('Subj-Map2-1'!$I$7:$K$100,1+B99,C99)</f>
        <v/>
      </c>
    </row>
    <row r="100" spans="1:4" x14ac:dyDescent="0.75">
      <c r="A100" s="27">
        <v>98</v>
      </c>
      <c r="B100" s="27">
        <f t="shared" si="2"/>
        <v>32</v>
      </c>
      <c r="C100" s="27">
        <f t="shared" si="3"/>
        <v>2</v>
      </c>
      <c r="D100" s="26" t="str" cm="1">
        <f t="array" ref="D100">INDEX('Subj-Map2-1'!$I$7:$K$100,1+B100,C100)</f>
        <v/>
      </c>
    </row>
    <row r="101" spans="1:4" x14ac:dyDescent="0.75">
      <c r="A101" s="27">
        <v>99</v>
      </c>
      <c r="B101" s="27">
        <f t="shared" si="2"/>
        <v>32</v>
      </c>
      <c r="C101" s="27">
        <f t="shared" si="3"/>
        <v>3</v>
      </c>
      <c r="D101" s="26" t="str" cm="1">
        <f t="array" ref="D101">INDEX('Subj-Map2-1'!$I$7:$K$100,1+B101,C101)</f>
        <v/>
      </c>
    </row>
    <row r="102" spans="1:4" x14ac:dyDescent="0.75">
      <c r="A102" s="27">
        <v>100</v>
      </c>
      <c r="B102" s="27">
        <f t="shared" si="2"/>
        <v>33</v>
      </c>
      <c r="C102" s="27">
        <f t="shared" si="3"/>
        <v>1</v>
      </c>
      <c r="D102" s="26" t="str" cm="1">
        <f t="array" ref="D102">INDEX('Subj-Map2-1'!$I$7:$K$100,1+B102,C102)</f>
        <v/>
      </c>
    </row>
    <row r="103" spans="1:4" x14ac:dyDescent="0.75">
      <c r="A103" s="27">
        <v>101</v>
      </c>
      <c r="B103" s="27">
        <f t="shared" si="2"/>
        <v>33</v>
      </c>
      <c r="C103" s="27">
        <f t="shared" si="3"/>
        <v>2</v>
      </c>
      <c r="D103" s="26" t="str" cm="1">
        <f t="array" ref="D103">INDEX('Subj-Map2-1'!$I$7:$K$100,1+B103,C103)</f>
        <v/>
      </c>
    </row>
    <row r="104" spans="1:4" x14ac:dyDescent="0.75">
      <c r="A104" s="27">
        <v>102</v>
      </c>
      <c r="B104" s="27">
        <f t="shared" si="2"/>
        <v>33</v>
      </c>
      <c r="C104" s="27">
        <f t="shared" si="3"/>
        <v>3</v>
      </c>
      <c r="D104" s="26" t="str" cm="1">
        <f t="array" ref="D104">INDEX('Subj-Map2-1'!$I$7:$K$100,1+B104,C104)</f>
        <v/>
      </c>
    </row>
    <row r="105" spans="1:4" x14ac:dyDescent="0.75">
      <c r="A105" s="27">
        <v>103</v>
      </c>
      <c r="B105" s="27">
        <f t="shared" si="2"/>
        <v>34</v>
      </c>
      <c r="C105" s="27">
        <f t="shared" si="3"/>
        <v>1</v>
      </c>
      <c r="D105" s="26" t="str" cm="1">
        <f t="array" ref="D105">INDEX('Subj-Map2-1'!$I$7:$K$100,1+B105,C105)</f>
        <v/>
      </c>
    </row>
    <row r="106" spans="1:4" x14ac:dyDescent="0.75">
      <c r="A106" s="27">
        <v>104</v>
      </c>
      <c r="B106" s="27">
        <f t="shared" si="2"/>
        <v>34</v>
      </c>
      <c r="C106" s="27">
        <f t="shared" si="3"/>
        <v>2</v>
      </c>
      <c r="D106" s="26" t="str" cm="1">
        <f t="array" ref="D106">INDEX('Subj-Map2-1'!$I$7:$K$100,1+B106,C106)</f>
        <v/>
      </c>
    </row>
    <row r="107" spans="1:4" x14ac:dyDescent="0.75">
      <c r="A107" s="27">
        <v>105</v>
      </c>
      <c r="B107" s="27">
        <f t="shared" si="2"/>
        <v>34</v>
      </c>
      <c r="C107" s="27">
        <f t="shared" si="3"/>
        <v>3</v>
      </c>
      <c r="D107" s="26" t="str" cm="1">
        <f t="array" ref="D107">INDEX('Subj-Map2-1'!$I$7:$K$100,1+B107,C107)</f>
        <v/>
      </c>
    </row>
    <row r="108" spans="1:4" x14ac:dyDescent="0.75">
      <c r="A108" s="27">
        <v>106</v>
      </c>
      <c r="B108" s="27">
        <f t="shared" si="2"/>
        <v>35</v>
      </c>
      <c r="C108" s="27">
        <f t="shared" si="3"/>
        <v>1</v>
      </c>
      <c r="D108" s="26" t="str" cm="1">
        <f t="array" ref="D108">INDEX('Subj-Map2-1'!$I$7:$K$100,1+B108,C108)</f>
        <v/>
      </c>
    </row>
    <row r="109" spans="1:4" x14ac:dyDescent="0.75">
      <c r="A109" s="27">
        <v>107</v>
      </c>
      <c r="B109" s="27">
        <f t="shared" si="2"/>
        <v>35</v>
      </c>
      <c r="C109" s="27">
        <f t="shared" si="3"/>
        <v>2</v>
      </c>
      <c r="D109" s="26" t="str" cm="1">
        <f t="array" ref="D109">INDEX('Subj-Map2-1'!$I$7:$K$100,1+B109,C109)</f>
        <v/>
      </c>
    </row>
    <row r="110" spans="1:4" x14ac:dyDescent="0.75">
      <c r="A110" s="27">
        <v>108</v>
      </c>
      <c r="B110" s="27">
        <f t="shared" si="2"/>
        <v>35</v>
      </c>
      <c r="C110" s="27">
        <f t="shared" si="3"/>
        <v>3</v>
      </c>
      <c r="D110" s="26" t="str" cm="1">
        <f t="array" ref="D110">INDEX('Subj-Map2-1'!$I$7:$K$100,1+B110,C110)</f>
        <v/>
      </c>
    </row>
    <row r="111" spans="1:4" x14ac:dyDescent="0.75">
      <c r="A111" s="27">
        <v>109</v>
      </c>
      <c r="B111" s="27">
        <f t="shared" si="2"/>
        <v>36</v>
      </c>
      <c r="C111" s="27">
        <f t="shared" si="3"/>
        <v>1</v>
      </c>
      <c r="D111" s="26" t="str" cm="1">
        <f t="array" ref="D111">INDEX('Subj-Map2-1'!$I$7:$K$100,1+B111,C111)</f>
        <v/>
      </c>
    </row>
    <row r="112" spans="1:4" x14ac:dyDescent="0.75">
      <c r="A112" s="27">
        <v>110</v>
      </c>
      <c r="B112" s="27">
        <f t="shared" si="2"/>
        <v>36</v>
      </c>
      <c r="C112" s="27">
        <f t="shared" si="3"/>
        <v>2</v>
      </c>
      <c r="D112" s="26" t="str" cm="1">
        <f t="array" ref="D112">INDEX('Subj-Map2-1'!$I$7:$K$100,1+B112,C112)</f>
        <v/>
      </c>
    </row>
    <row r="113" spans="1:4" x14ac:dyDescent="0.75">
      <c r="A113" s="27">
        <v>111</v>
      </c>
      <c r="B113" s="27">
        <f t="shared" si="2"/>
        <v>36</v>
      </c>
      <c r="C113" s="27">
        <f t="shared" si="3"/>
        <v>3</v>
      </c>
      <c r="D113" s="26" t="str" cm="1">
        <f t="array" ref="D113">INDEX('Subj-Map2-1'!$I$7:$K$100,1+B113,C113)</f>
        <v/>
      </c>
    </row>
    <row r="114" spans="1:4" x14ac:dyDescent="0.75">
      <c r="A114" s="27">
        <v>112</v>
      </c>
      <c r="B114" s="27">
        <f t="shared" si="2"/>
        <v>37</v>
      </c>
      <c r="C114" s="27">
        <f t="shared" si="3"/>
        <v>1</v>
      </c>
      <c r="D114" s="26" t="str" cm="1">
        <f t="array" ref="D114">INDEX('Subj-Map2-1'!$I$7:$K$100,1+B114,C114)</f>
        <v/>
      </c>
    </row>
    <row r="115" spans="1:4" x14ac:dyDescent="0.75">
      <c r="A115" s="27">
        <v>113</v>
      </c>
      <c r="B115" s="27">
        <f t="shared" si="2"/>
        <v>37</v>
      </c>
      <c r="C115" s="27">
        <f t="shared" si="3"/>
        <v>2</v>
      </c>
      <c r="D115" s="26" t="str" cm="1">
        <f t="array" ref="D115">INDEX('Subj-Map2-1'!$I$7:$K$100,1+B115,C115)</f>
        <v/>
      </c>
    </row>
    <row r="116" spans="1:4" x14ac:dyDescent="0.75">
      <c r="A116" s="27">
        <v>114</v>
      </c>
      <c r="B116" s="27">
        <f t="shared" si="2"/>
        <v>37</v>
      </c>
      <c r="C116" s="27">
        <f t="shared" si="3"/>
        <v>3</v>
      </c>
      <c r="D116" s="26" t="str" cm="1">
        <f t="array" ref="D116">INDEX('Subj-Map2-1'!$I$7:$K$100,1+B116,C116)</f>
        <v/>
      </c>
    </row>
    <row r="117" spans="1:4" x14ac:dyDescent="0.75">
      <c r="A117" s="27">
        <v>115</v>
      </c>
      <c r="B117" s="27">
        <f t="shared" si="2"/>
        <v>38</v>
      </c>
      <c r="C117" s="27">
        <f t="shared" si="3"/>
        <v>1</v>
      </c>
      <c r="D117" s="26" t="str" cm="1">
        <f t="array" ref="D117">INDEX('Subj-Map2-1'!$I$7:$K$100,1+B117,C117)</f>
        <v/>
      </c>
    </row>
    <row r="118" spans="1:4" x14ac:dyDescent="0.75">
      <c r="A118" s="27">
        <v>116</v>
      </c>
      <c r="B118" s="27">
        <f t="shared" si="2"/>
        <v>38</v>
      </c>
      <c r="C118" s="27">
        <f t="shared" si="3"/>
        <v>2</v>
      </c>
      <c r="D118" s="26" t="str" cm="1">
        <f t="array" ref="D118">INDEX('Subj-Map2-1'!$I$7:$K$100,1+B118,C118)</f>
        <v/>
      </c>
    </row>
    <row r="119" spans="1:4" x14ac:dyDescent="0.75">
      <c r="A119" s="27">
        <v>117</v>
      </c>
      <c r="B119" s="27">
        <f t="shared" si="2"/>
        <v>38</v>
      </c>
      <c r="C119" s="27">
        <f t="shared" si="3"/>
        <v>3</v>
      </c>
      <c r="D119" s="26" t="str" cm="1">
        <f t="array" ref="D119">INDEX('Subj-Map2-1'!$I$7:$K$100,1+B119,C119)</f>
        <v/>
      </c>
    </row>
    <row r="120" spans="1:4" x14ac:dyDescent="0.75">
      <c r="A120" s="27">
        <v>118</v>
      </c>
      <c r="B120" s="27">
        <f t="shared" si="2"/>
        <v>39</v>
      </c>
      <c r="C120" s="27">
        <f t="shared" si="3"/>
        <v>1</v>
      </c>
      <c r="D120" s="26" t="str" cm="1">
        <f t="array" ref="D120">INDEX('Subj-Map2-1'!$I$7:$K$100,1+B120,C120)</f>
        <v/>
      </c>
    </row>
    <row r="121" spans="1:4" x14ac:dyDescent="0.75">
      <c r="A121" s="27">
        <v>119</v>
      </c>
      <c r="B121" s="27">
        <f t="shared" si="2"/>
        <v>39</v>
      </c>
      <c r="C121" s="27">
        <f t="shared" si="3"/>
        <v>2</v>
      </c>
      <c r="D121" s="26" t="str" cm="1">
        <f t="array" ref="D121">INDEX('Subj-Map2-1'!$I$7:$K$100,1+B121,C121)</f>
        <v/>
      </c>
    </row>
    <row r="122" spans="1:4" x14ac:dyDescent="0.75">
      <c r="A122" s="27">
        <v>120</v>
      </c>
      <c r="B122" s="27">
        <f t="shared" si="2"/>
        <v>39</v>
      </c>
      <c r="C122" s="27">
        <f t="shared" si="3"/>
        <v>3</v>
      </c>
      <c r="D122" s="26" t="str" cm="1">
        <f t="array" ref="D122">INDEX('Subj-Map2-1'!$I$7:$K$100,1+B122,C122)</f>
        <v/>
      </c>
    </row>
    <row r="123" spans="1:4" x14ac:dyDescent="0.75">
      <c r="A123" s="27">
        <v>121</v>
      </c>
      <c r="B123" s="27">
        <f t="shared" si="2"/>
        <v>40</v>
      </c>
      <c r="C123" s="27">
        <f t="shared" si="3"/>
        <v>1</v>
      </c>
      <c r="D123" s="26" t="str" cm="1">
        <f t="array" ref="D123">INDEX('Subj-Map2-1'!$I$7:$K$100,1+B123,C123)</f>
        <v/>
      </c>
    </row>
    <row r="124" spans="1:4" x14ac:dyDescent="0.75">
      <c r="A124" s="27">
        <v>122</v>
      </c>
      <c r="B124" s="27">
        <f t="shared" si="2"/>
        <v>40</v>
      </c>
      <c r="C124" s="27">
        <f t="shared" si="3"/>
        <v>2</v>
      </c>
      <c r="D124" s="26" t="str" cm="1">
        <f t="array" ref="D124">INDEX('Subj-Map2-1'!$I$7:$K$100,1+B124,C124)</f>
        <v/>
      </c>
    </row>
    <row r="125" spans="1:4" x14ac:dyDescent="0.75">
      <c r="A125" s="27">
        <v>123</v>
      </c>
      <c r="B125" s="27">
        <f t="shared" si="2"/>
        <v>40</v>
      </c>
      <c r="C125" s="27">
        <f t="shared" si="3"/>
        <v>3</v>
      </c>
      <c r="D125" s="26" t="str" cm="1">
        <f t="array" ref="D125">INDEX('Subj-Map2-1'!$I$7:$K$100,1+B125,C125)</f>
        <v/>
      </c>
    </row>
    <row r="126" spans="1:4" x14ac:dyDescent="0.75">
      <c r="A126" s="27">
        <v>124</v>
      </c>
      <c r="B126" s="27">
        <f t="shared" si="2"/>
        <v>41</v>
      </c>
      <c r="C126" s="27">
        <f t="shared" si="3"/>
        <v>1</v>
      </c>
      <c r="D126" s="26" t="str" cm="1">
        <f t="array" ref="D126">INDEX('Subj-Map2-1'!$I$7:$K$100,1+B126,C126)</f>
        <v/>
      </c>
    </row>
    <row r="127" spans="1:4" x14ac:dyDescent="0.75">
      <c r="A127" s="27">
        <v>125</v>
      </c>
      <c r="B127" s="27">
        <f t="shared" si="2"/>
        <v>41</v>
      </c>
      <c r="C127" s="27">
        <f t="shared" si="3"/>
        <v>2</v>
      </c>
      <c r="D127" s="26" t="str" cm="1">
        <f t="array" ref="D127">INDEX('Subj-Map2-1'!$I$7:$K$100,1+B127,C127)</f>
        <v/>
      </c>
    </row>
    <row r="128" spans="1:4" x14ac:dyDescent="0.75">
      <c r="A128" s="27">
        <v>126</v>
      </c>
      <c r="B128" s="27">
        <f t="shared" si="2"/>
        <v>41</v>
      </c>
      <c r="C128" s="27">
        <f t="shared" si="3"/>
        <v>3</v>
      </c>
      <c r="D128" s="26" t="str" cm="1">
        <f t="array" ref="D128">INDEX('Subj-Map2-1'!$I$7:$K$100,1+B128,C128)</f>
        <v/>
      </c>
    </row>
    <row r="129" spans="1:4" x14ac:dyDescent="0.75">
      <c r="A129" s="27">
        <v>127</v>
      </c>
      <c r="B129" s="27">
        <f t="shared" si="2"/>
        <v>42</v>
      </c>
      <c r="C129" s="27">
        <f t="shared" si="3"/>
        <v>1</v>
      </c>
      <c r="D129" s="26" t="str" cm="1">
        <f t="array" ref="D129">INDEX('Subj-Map2-1'!$I$7:$K$100,1+B129,C129)</f>
        <v/>
      </c>
    </row>
    <row r="130" spans="1:4" x14ac:dyDescent="0.75">
      <c r="A130" s="27">
        <v>128</v>
      </c>
      <c r="B130" s="27">
        <f t="shared" si="2"/>
        <v>42</v>
      </c>
      <c r="C130" s="27">
        <f t="shared" si="3"/>
        <v>2</v>
      </c>
      <c r="D130" s="26" t="str" cm="1">
        <f t="array" ref="D130">INDEX('Subj-Map2-1'!$I$7:$K$100,1+B130,C130)</f>
        <v/>
      </c>
    </row>
    <row r="131" spans="1:4" x14ac:dyDescent="0.75">
      <c r="A131" s="27">
        <v>129</v>
      </c>
      <c r="B131" s="27">
        <f t="shared" si="2"/>
        <v>42</v>
      </c>
      <c r="C131" s="27">
        <f t="shared" si="3"/>
        <v>3</v>
      </c>
      <c r="D131" s="26" t="str" cm="1">
        <f t="array" ref="D131">INDEX('Subj-Map2-1'!$I$7:$K$100,1+B131,C131)</f>
        <v/>
      </c>
    </row>
    <row r="132" spans="1:4" x14ac:dyDescent="0.75">
      <c r="A132" s="27">
        <v>130</v>
      </c>
      <c r="B132" s="27">
        <f t="shared" ref="B132:B195" si="4">IF(MOD(A132,3)=0,A132/3-1,INT(A132/3))</f>
        <v>43</v>
      </c>
      <c r="C132" s="27">
        <f t="shared" ref="C132:C195" si="5">IF(MOD(A132,3)=0,3,MOD(A132,3))</f>
        <v>1</v>
      </c>
      <c r="D132" s="26" t="str" cm="1">
        <f t="array" ref="D132">INDEX('Subj-Map2-1'!$I$7:$K$100,1+B132,C132)</f>
        <v/>
      </c>
    </row>
    <row r="133" spans="1:4" x14ac:dyDescent="0.75">
      <c r="A133" s="27">
        <v>131</v>
      </c>
      <c r="B133" s="27">
        <f t="shared" si="4"/>
        <v>43</v>
      </c>
      <c r="C133" s="27">
        <f t="shared" si="5"/>
        <v>2</v>
      </c>
      <c r="D133" s="26" t="str" cm="1">
        <f t="array" ref="D133">INDEX('Subj-Map2-1'!$I$7:$K$100,1+B133,C133)</f>
        <v/>
      </c>
    </row>
    <row r="134" spans="1:4" x14ac:dyDescent="0.75">
      <c r="A134" s="27">
        <v>132</v>
      </c>
      <c r="B134" s="27">
        <f t="shared" si="4"/>
        <v>43</v>
      </c>
      <c r="C134" s="27">
        <f t="shared" si="5"/>
        <v>3</v>
      </c>
      <c r="D134" s="26" t="str" cm="1">
        <f t="array" ref="D134">INDEX('Subj-Map2-1'!$I$7:$K$100,1+B134,C134)</f>
        <v/>
      </c>
    </row>
    <row r="135" spans="1:4" x14ac:dyDescent="0.75">
      <c r="A135" s="27">
        <v>133</v>
      </c>
      <c r="B135" s="27">
        <f t="shared" si="4"/>
        <v>44</v>
      </c>
      <c r="C135" s="27">
        <f t="shared" si="5"/>
        <v>1</v>
      </c>
      <c r="D135" s="26" cm="1">
        <f t="array" ref="D135">INDEX('Subj-Map2-1'!$I$7:$K$100,1+B135,C135)</f>
        <v>0</v>
      </c>
    </row>
    <row r="136" spans="1:4" x14ac:dyDescent="0.75">
      <c r="A136" s="27">
        <v>134</v>
      </c>
      <c r="B136" s="27">
        <f t="shared" si="4"/>
        <v>44</v>
      </c>
      <c r="C136" s="27">
        <f t="shared" si="5"/>
        <v>2</v>
      </c>
      <c r="D136" s="26" cm="1">
        <f t="array" ref="D136">INDEX('Subj-Map2-1'!$I$7:$K$100,1+B136,C136)</f>
        <v>0</v>
      </c>
    </row>
    <row r="137" spans="1:4" x14ac:dyDescent="0.75">
      <c r="A137" s="27">
        <v>135</v>
      </c>
      <c r="B137" s="27">
        <f t="shared" si="4"/>
        <v>44</v>
      </c>
      <c r="C137" s="27">
        <f t="shared" si="5"/>
        <v>3</v>
      </c>
      <c r="D137" s="26" cm="1">
        <f t="array" ref="D137">INDEX('Subj-Map2-1'!$I$7:$K$100,1+B137,C137)</f>
        <v>0</v>
      </c>
    </row>
    <row r="138" spans="1:4" x14ac:dyDescent="0.75">
      <c r="A138" s="27">
        <v>136</v>
      </c>
      <c r="B138" s="27">
        <f t="shared" si="4"/>
        <v>45</v>
      </c>
      <c r="C138" s="27">
        <f t="shared" si="5"/>
        <v>1</v>
      </c>
      <c r="D138" s="26" cm="1">
        <f t="array" ref="D138">INDEX('Subj-Map2-1'!$I$7:$K$100,1+B138,C138)</f>
        <v>0</v>
      </c>
    </row>
    <row r="139" spans="1:4" x14ac:dyDescent="0.75">
      <c r="A139" s="27">
        <v>137</v>
      </c>
      <c r="B139" s="27">
        <f t="shared" si="4"/>
        <v>45</v>
      </c>
      <c r="C139" s="27">
        <f t="shared" si="5"/>
        <v>2</v>
      </c>
      <c r="D139" s="26" cm="1">
        <f t="array" ref="D139">INDEX('Subj-Map2-1'!$I$7:$K$100,1+B139,C139)</f>
        <v>0</v>
      </c>
    </row>
    <row r="140" spans="1:4" x14ac:dyDescent="0.75">
      <c r="A140" s="27">
        <v>138</v>
      </c>
      <c r="B140" s="27">
        <f t="shared" si="4"/>
        <v>45</v>
      </c>
      <c r="C140" s="27">
        <f t="shared" si="5"/>
        <v>3</v>
      </c>
      <c r="D140" s="26" cm="1">
        <f t="array" ref="D140">INDEX('Subj-Map2-1'!$I$7:$K$100,1+B140,C140)</f>
        <v>0</v>
      </c>
    </row>
    <row r="141" spans="1:4" x14ac:dyDescent="0.75">
      <c r="A141" s="27">
        <v>139</v>
      </c>
      <c r="B141" s="27">
        <f t="shared" si="4"/>
        <v>46</v>
      </c>
      <c r="C141" s="27">
        <f t="shared" si="5"/>
        <v>1</v>
      </c>
      <c r="D141" s="26" cm="1">
        <f t="array" ref="D141">INDEX('Subj-Map2-1'!$I$7:$K$100,1+B141,C141)</f>
        <v>0</v>
      </c>
    </row>
    <row r="142" spans="1:4" x14ac:dyDescent="0.75">
      <c r="A142" s="27">
        <v>140</v>
      </c>
      <c r="B142" s="27">
        <f t="shared" si="4"/>
        <v>46</v>
      </c>
      <c r="C142" s="27">
        <f t="shared" si="5"/>
        <v>2</v>
      </c>
      <c r="D142" s="26" cm="1">
        <f t="array" ref="D142">INDEX('Subj-Map2-1'!$I$7:$K$100,1+B142,C142)</f>
        <v>0</v>
      </c>
    </row>
    <row r="143" spans="1:4" x14ac:dyDescent="0.75">
      <c r="A143" s="27">
        <v>141</v>
      </c>
      <c r="B143" s="27">
        <f t="shared" si="4"/>
        <v>46</v>
      </c>
      <c r="C143" s="27">
        <f t="shared" si="5"/>
        <v>3</v>
      </c>
      <c r="D143" s="26" cm="1">
        <f t="array" ref="D143">INDEX('Subj-Map2-1'!$I$7:$K$100,1+B143,C143)</f>
        <v>0</v>
      </c>
    </row>
    <row r="144" spans="1:4" x14ac:dyDescent="0.75">
      <c r="A144" s="27">
        <v>142</v>
      </c>
      <c r="B144" s="27">
        <f t="shared" si="4"/>
        <v>47</v>
      </c>
      <c r="C144" s="27">
        <f t="shared" si="5"/>
        <v>1</v>
      </c>
      <c r="D144" s="26" cm="1">
        <f t="array" ref="D144">INDEX('Subj-Map2-1'!$I$7:$K$100,1+B144,C144)</f>
        <v>0</v>
      </c>
    </row>
    <row r="145" spans="1:4" x14ac:dyDescent="0.75">
      <c r="A145" s="27">
        <v>143</v>
      </c>
      <c r="B145" s="27">
        <f t="shared" si="4"/>
        <v>47</v>
      </c>
      <c r="C145" s="27">
        <f t="shared" si="5"/>
        <v>2</v>
      </c>
      <c r="D145" s="26" cm="1">
        <f t="array" ref="D145">INDEX('Subj-Map2-1'!$I$7:$K$100,1+B145,C145)</f>
        <v>0</v>
      </c>
    </row>
    <row r="146" spans="1:4" x14ac:dyDescent="0.75">
      <c r="A146" s="27">
        <v>144</v>
      </c>
      <c r="B146" s="27">
        <f t="shared" si="4"/>
        <v>47</v>
      </c>
      <c r="C146" s="27">
        <f t="shared" si="5"/>
        <v>3</v>
      </c>
      <c r="D146" s="26" cm="1">
        <f t="array" ref="D146">INDEX('Subj-Map2-1'!$I$7:$K$100,1+B146,C146)</f>
        <v>0</v>
      </c>
    </row>
    <row r="147" spans="1:4" x14ac:dyDescent="0.75">
      <c r="A147" s="27">
        <v>145</v>
      </c>
      <c r="B147" s="27">
        <f t="shared" si="4"/>
        <v>48</v>
      </c>
      <c r="C147" s="27">
        <f t="shared" si="5"/>
        <v>1</v>
      </c>
      <c r="D147" s="26" cm="1">
        <f t="array" ref="D147">INDEX('Subj-Map2-1'!$I$7:$K$100,1+B147,C147)</f>
        <v>0</v>
      </c>
    </row>
    <row r="148" spans="1:4" x14ac:dyDescent="0.75">
      <c r="A148" s="27">
        <v>146</v>
      </c>
      <c r="B148" s="27">
        <f t="shared" si="4"/>
        <v>48</v>
      </c>
      <c r="C148" s="27">
        <f t="shared" si="5"/>
        <v>2</v>
      </c>
      <c r="D148" s="26" cm="1">
        <f t="array" ref="D148">INDEX('Subj-Map2-1'!$I$7:$K$100,1+B148,C148)</f>
        <v>0</v>
      </c>
    </row>
    <row r="149" spans="1:4" x14ac:dyDescent="0.75">
      <c r="A149" s="27">
        <v>147</v>
      </c>
      <c r="B149" s="27">
        <f t="shared" si="4"/>
        <v>48</v>
      </c>
      <c r="C149" s="27">
        <f t="shared" si="5"/>
        <v>3</v>
      </c>
      <c r="D149" s="26" cm="1">
        <f t="array" ref="D149">INDEX('Subj-Map2-1'!$I$7:$K$100,1+B149,C149)</f>
        <v>0</v>
      </c>
    </row>
    <row r="150" spans="1:4" x14ac:dyDescent="0.75">
      <c r="A150" s="27">
        <v>148</v>
      </c>
      <c r="B150" s="27">
        <f t="shared" si="4"/>
        <v>49</v>
      </c>
      <c r="C150" s="27">
        <f t="shared" si="5"/>
        <v>1</v>
      </c>
      <c r="D150" s="26" cm="1">
        <f t="array" ref="D150">INDEX('Subj-Map2-1'!$I$7:$K$100,1+B150,C150)</f>
        <v>0</v>
      </c>
    </row>
    <row r="151" spans="1:4" x14ac:dyDescent="0.75">
      <c r="A151" s="27">
        <v>149</v>
      </c>
      <c r="B151" s="27">
        <f t="shared" si="4"/>
        <v>49</v>
      </c>
      <c r="C151" s="27">
        <f t="shared" si="5"/>
        <v>2</v>
      </c>
      <c r="D151" s="26" cm="1">
        <f t="array" ref="D151">INDEX('Subj-Map2-1'!$I$7:$K$100,1+B151,C151)</f>
        <v>0</v>
      </c>
    </row>
    <row r="152" spans="1:4" x14ac:dyDescent="0.75">
      <c r="A152" s="27">
        <v>150</v>
      </c>
      <c r="B152" s="27">
        <f t="shared" si="4"/>
        <v>49</v>
      </c>
      <c r="C152" s="27">
        <f t="shared" si="5"/>
        <v>3</v>
      </c>
      <c r="D152" s="26" cm="1">
        <f t="array" ref="D152">INDEX('Subj-Map2-1'!$I$7:$K$100,1+B152,C152)</f>
        <v>0</v>
      </c>
    </row>
    <row r="153" spans="1:4" x14ac:dyDescent="0.75">
      <c r="A153" s="27">
        <v>151</v>
      </c>
      <c r="B153" s="27">
        <f t="shared" si="4"/>
        <v>50</v>
      </c>
      <c r="C153" s="27">
        <f t="shared" si="5"/>
        <v>1</v>
      </c>
      <c r="D153" s="26" cm="1">
        <f t="array" ref="D153">INDEX('Subj-Map2-1'!$I$7:$K$100,1+B153,C153)</f>
        <v>0</v>
      </c>
    </row>
    <row r="154" spans="1:4" x14ac:dyDescent="0.75">
      <c r="A154" s="27">
        <v>152</v>
      </c>
      <c r="B154" s="27">
        <f t="shared" si="4"/>
        <v>50</v>
      </c>
      <c r="C154" s="27">
        <f t="shared" si="5"/>
        <v>2</v>
      </c>
      <c r="D154" s="26" cm="1">
        <f t="array" ref="D154">INDEX('Subj-Map2-1'!$I$7:$K$100,1+B154,C154)</f>
        <v>0</v>
      </c>
    </row>
    <row r="155" spans="1:4" x14ac:dyDescent="0.75">
      <c r="A155" s="27">
        <v>153</v>
      </c>
      <c r="B155" s="27">
        <f t="shared" si="4"/>
        <v>50</v>
      </c>
      <c r="C155" s="27">
        <f t="shared" si="5"/>
        <v>3</v>
      </c>
      <c r="D155" s="26" cm="1">
        <f t="array" ref="D155">INDEX('Subj-Map2-1'!$I$7:$K$100,1+B155,C155)</f>
        <v>0</v>
      </c>
    </row>
    <row r="156" spans="1:4" x14ac:dyDescent="0.75">
      <c r="A156" s="27">
        <v>154</v>
      </c>
      <c r="B156" s="27">
        <f t="shared" si="4"/>
        <v>51</v>
      </c>
      <c r="C156" s="27">
        <f t="shared" si="5"/>
        <v>1</v>
      </c>
      <c r="D156" s="26" cm="1">
        <f t="array" ref="D156">INDEX('Subj-Map2-1'!$I$7:$K$100,1+B156,C156)</f>
        <v>0</v>
      </c>
    </row>
    <row r="157" spans="1:4" x14ac:dyDescent="0.75">
      <c r="A157" s="27">
        <v>155</v>
      </c>
      <c r="B157" s="27">
        <f t="shared" si="4"/>
        <v>51</v>
      </c>
      <c r="C157" s="27">
        <f t="shared" si="5"/>
        <v>2</v>
      </c>
      <c r="D157" s="26" cm="1">
        <f t="array" ref="D157">INDEX('Subj-Map2-1'!$I$7:$K$100,1+B157,C157)</f>
        <v>0</v>
      </c>
    </row>
    <row r="158" spans="1:4" x14ac:dyDescent="0.75">
      <c r="A158" s="27">
        <v>156</v>
      </c>
      <c r="B158" s="27">
        <f t="shared" si="4"/>
        <v>51</v>
      </c>
      <c r="C158" s="27">
        <f t="shared" si="5"/>
        <v>3</v>
      </c>
      <c r="D158" s="26" cm="1">
        <f t="array" ref="D158">INDEX('Subj-Map2-1'!$I$7:$K$100,1+B158,C158)</f>
        <v>0</v>
      </c>
    </row>
    <row r="159" spans="1:4" x14ac:dyDescent="0.75">
      <c r="A159" s="27">
        <v>157</v>
      </c>
      <c r="B159" s="27">
        <f t="shared" si="4"/>
        <v>52</v>
      </c>
      <c r="C159" s="27">
        <f t="shared" si="5"/>
        <v>1</v>
      </c>
      <c r="D159" s="26" cm="1">
        <f t="array" ref="D159">INDEX('Subj-Map2-1'!$I$7:$K$100,1+B159,C159)</f>
        <v>0</v>
      </c>
    </row>
    <row r="160" spans="1:4" x14ac:dyDescent="0.75">
      <c r="A160" s="27">
        <v>158</v>
      </c>
      <c r="B160" s="27">
        <f t="shared" si="4"/>
        <v>52</v>
      </c>
      <c r="C160" s="27">
        <f t="shared" si="5"/>
        <v>2</v>
      </c>
      <c r="D160" s="26" cm="1">
        <f t="array" ref="D160">INDEX('Subj-Map2-1'!$I$7:$K$100,1+B160,C160)</f>
        <v>0</v>
      </c>
    </row>
    <row r="161" spans="1:4" x14ac:dyDescent="0.75">
      <c r="A161" s="27">
        <v>159</v>
      </c>
      <c r="B161" s="27">
        <f t="shared" si="4"/>
        <v>52</v>
      </c>
      <c r="C161" s="27">
        <f t="shared" si="5"/>
        <v>3</v>
      </c>
      <c r="D161" s="26" cm="1">
        <f t="array" ref="D161">INDEX('Subj-Map2-1'!$I$7:$K$100,1+B161,C161)</f>
        <v>0</v>
      </c>
    </row>
    <row r="162" spans="1:4" x14ac:dyDescent="0.75">
      <c r="A162" s="27">
        <v>160</v>
      </c>
      <c r="B162" s="27">
        <f t="shared" si="4"/>
        <v>53</v>
      </c>
      <c r="C162" s="27">
        <f t="shared" si="5"/>
        <v>1</v>
      </c>
      <c r="D162" s="26" cm="1">
        <f t="array" ref="D162">INDEX('Subj-Map2-1'!$I$7:$K$100,1+B162,C162)</f>
        <v>0</v>
      </c>
    </row>
    <row r="163" spans="1:4" x14ac:dyDescent="0.75">
      <c r="A163" s="27">
        <v>161</v>
      </c>
      <c r="B163" s="27">
        <f t="shared" si="4"/>
        <v>53</v>
      </c>
      <c r="C163" s="27">
        <f t="shared" si="5"/>
        <v>2</v>
      </c>
      <c r="D163" s="26" cm="1">
        <f t="array" ref="D163">INDEX('Subj-Map2-1'!$I$7:$K$100,1+B163,C163)</f>
        <v>0</v>
      </c>
    </row>
    <row r="164" spans="1:4" x14ac:dyDescent="0.75">
      <c r="A164" s="27">
        <v>162</v>
      </c>
      <c r="B164" s="27">
        <f t="shared" si="4"/>
        <v>53</v>
      </c>
      <c r="C164" s="27">
        <f t="shared" si="5"/>
        <v>3</v>
      </c>
      <c r="D164" s="26" cm="1">
        <f t="array" ref="D164">INDEX('Subj-Map2-1'!$I$7:$K$100,1+B164,C164)</f>
        <v>0</v>
      </c>
    </row>
    <row r="165" spans="1:4" x14ac:dyDescent="0.75">
      <c r="A165" s="27">
        <v>163</v>
      </c>
      <c r="B165" s="27">
        <f t="shared" si="4"/>
        <v>54</v>
      </c>
      <c r="C165" s="27">
        <f t="shared" si="5"/>
        <v>1</v>
      </c>
      <c r="D165" s="26" cm="1">
        <f t="array" ref="D165">INDEX('Subj-Map2-1'!$I$7:$K$100,1+B165,C165)</f>
        <v>0</v>
      </c>
    </row>
    <row r="166" spans="1:4" x14ac:dyDescent="0.75">
      <c r="A166" s="27">
        <v>164</v>
      </c>
      <c r="B166" s="27">
        <f t="shared" si="4"/>
        <v>54</v>
      </c>
      <c r="C166" s="27">
        <f t="shared" si="5"/>
        <v>2</v>
      </c>
      <c r="D166" s="26" cm="1">
        <f t="array" ref="D166">INDEX('Subj-Map2-1'!$I$7:$K$100,1+B166,C166)</f>
        <v>0</v>
      </c>
    </row>
    <row r="167" spans="1:4" x14ac:dyDescent="0.75">
      <c r="A167" s="27">
        <v>165</v>
      </c>
      <c r="B167" s="27">
        <f t="shared" si="4"/>
        <v>54</v>
      </c>
      <c r="C167" s="27">
        <f t="shared" si="5"/>
        <v>3</v>
      </c>
      <c r="D167" s="26" cm="1">
        <f t="array" ref="D167">INDEX('Subj-Map2-1'!$I$7:$K$100,1+B167,C167)</f>
        <v>0</v>
      </c>
    </row>
    <row r="168" spans="1:4" x14ac:dyDescent="0.75">
      <c r="A168" s="27">
        <v>166</v>
      </c>
      <c r="B168" s="27">
        <f t="shared" si="4"/>
        <v>55</v>
      </c>
      <c r="C168" s="27">
        <f t="shared" si="5"/>
        <v>1</v>
      </c>
      <c r="D168" s="26" cm="1">
        <f t="array" ref="D168">INDEX('Subj-Map2-1'!$I$7:$K$100,1+B168,C168)</f>
        <v>0</v>
      </c>
    </row>
    <row r="169" spans="1:4" x14ac:dyDescent="0.75">
      <c r="A169" s="27">
        <v>167</v>
      </c>
      <c r="B169" s="27">
        <f t="shared" si="4"/>
        <v>55</v>
      </c>
      <c r="C169" s="27">
        <f t="shared" si="5"/>
        <v>2</v>
      </c>
      <c r="D169" s="26" cm="1">
        <f t="array" ref="D169">INDEX('Subj-Map2-1'!$I$7:$K$100,1+B169,C169)</f>
        <v>0</v>
      </c>
    </row>
    <row r="170" spans="1:4" x14ac:dyDescent="0.75">
      <c r="A170" s="27">
        <v>168</v>
      </c>
      <c r="B170" s="27">
        <f t="shared" si="4"/>
        <v>55</v>
      </c>
      <c r="C170" s="27">
        <f t="shared" si="5"/>
        <v>3</v>
      </c>
      <c r="D170" s="26" cm="1">
        <f t="array" ref="D170">INDEX('Subj-Map2-1'!$I$7:$K$100,1+B170,C170)</f>
        <v>0</v>
      </c>
    </row>
    <row r="171" spans="1:4" x14ac:dyDescent="0.75">
      <c r="A171" s="27">
        <v>169</v>
      </c>
      <c r="B171" s="27">
        <f t="shared" si="4"/>
        <v>56</v>
      </c>
      <c r="C171" s="27">
        <f t="shared" si="5"/>
        <v>1</v>
      </c>
      <c r="D171" s="26" cm="1">
        <f t="array" ref="D171">INDEX('Subj-Map2-1'!$I$7:$K$100,1+B171,C171)</f>
        <v>0</v>
      </c>
    </row>
    <row r="172" spans="1:4" x14ac:dyDescent="0.75">
      <c r="A172" s="27">
        <v>170</v>
      </c>
      <c r="B172" s="27">
        <f t="shared" si="4"/>
        <v>56</v>
      </c>
      <c r="C172" s="27">
        <f t="shared" si="5"/>
        <v>2</v>
      </c>
      <c r="D172" s="26" cm="1">
        <f t="array" ref="D172">INDEX('Subj-Map2-1'!$I$7:$K$100,1+B172,C172)</f>
        <v>0</v>
      </c>
    </row>
    <row r="173" spans="1:4" x14ac:dyDescent="0.75">
      <c r="A173" s="27">
        <v>171</v>
      </c>
      <c r="B173" s="27">
        <f t="shared" si="4"/>
        <v>56</v>
      </c>
      <c r="C173" s="27">
        <f t="shared" si="5"/>
        <v>3</v>
      </c>
      <c r="D173" s="26" cm="1">
        <f t="array" ref="D173">INDEX('Subj-Map2-1'!$I$7:$K$100,1+B173,C173)</f>
        <v>0</v>
      </c>
    </row>
    <row r="174" spans="1:4" x14ac:dyDescent="0.75">
      <c r="A174" s="27">
        <v>172</v>
      </c>
      <c r="B174" s="27">
        <f t="shared" si="4"/>
        <v>57</v>
      </c>
      <c r="C174" s="27">
        <f t="shared" si="5"/>
        <v>1</v>
      </c>
      <c r="D174" s="26" cm="1">
        <f t="array" ref="D174">INDEX('Subj-Map2-1'!$I$7:$K$100,1+B174,C174)</f>
        <v>0</v>
      </c>
    </row>
    <row r="175" spans="1:4" x14ac:dyDescent="0.75">
      <c r="A175" s="27">
        <v>173</v>
      </c>
      <c r="B175" s="27">
        <f t="shared" si="4"/>
        <v>57</v>
      </c>
      <c r="C175" s="27">
        <f t="shared" si="5"/>
        <v>2</v>
      </c>
      <c r="D175" s="26" cm="1">
        <f t="array" ref="D175">INDEX('Subj-Map2-1'!$I$7:$K$100,1+B175,C175)</f>
        <v>0</v>
      </c>
    </row>
    <row r="176" spans="1:4" x14ac:dyDescent="0.75">
      <c r="A176" s="27">
        <v>174</v>
      </c>
      <c r="B176" s="27">
        <f t="shared" si="4"/>
        <v>57</v>
      </c>
      <c r="C176" s="27">
        <f t="shared" si="5"/>
        <v>3</v>
      </c>
      <c r="D176" s="26" cm="1">
        <f t="array" ref="D176">INDEX('Subj-Map2-1'!$I$7:$K$100,1+B176,C176)</f>
        <v>0</v>
      </c>
    </row>
    <row r="177" spans="1:4" x14ac:dyDescent="0.75">
      <c r="A177" s="27">
        <v>175</v>
      </c>
      <c r="B177" s="27">
        <f t="shared" si="4"/>
        <v>58</v>
      </c>
      <c r="C177" s="27">
        <f t="shared" si="5"/>
        <v>1</v>
      </c>
      <c r="D177" s="26" cm="1">
        <f t="array" ref="D177">INDEX('Subj-Map2-1'!$I$7:$K$100,1+B177,C177)</f>
        <v>0</v>
      </c>
    </row>
    <row r="178" spans="1:4" x14ac:dyDescent="0.75">
      <c r="A178" s="27">
        <v>176</v>
      </c>
      <c r="B178" s="27">
        <f t="shared" si="4"/>
        <v>58</v>
      </c>
      <c r="C178" s="27">
        <f t="shared" si="5"/>
        <v>2</v>
      </c>
      <c r="D178" s="26" cm="1">
        <f t="array" ref="D178">INDEX('Subj-Map2-1'!$I$7:$K$100,1+B178,C178)</f>
        <v>0</v>
      </c>
    </row>
    <row r="179" spans="1:4" x14ac:dyDescent="0.75">
      <c r="A179" s="27">
        <v>177</v>
      </c>
      <c r="B179" s="27">
        <f t="shared" si="4"/>
        <v>58</v>
      </c>
      <c r="C179" s="27">
        <f t="shared" si="5"/>
        <v>3</v>
      </c>
      <c r="D179" s="26" cm="1">
        <f t="array" ref="D179">INDEX('Subj-Map2-1'!$I$7:$K$100,1+B179,C179)</f>
        <v>0</v>
      </c>
    </row>
    <row r="180" spans="1:4" x14ac:dyDescent="0.75">
      <c r="A180" s="27">
        <v>178</v>
      </c>
      <c r="B180" s="27">
        <f t="shared" si="4"/>
        <v>59</v>
      </c>
      <c r="C180" s="27">
        <f t="shared" si="5"/>
        <v>1</v>
      </c>
      <c r="D180" s="26" cm="1">
        <f t="array" ref="D180">INDEX('Subj-Map2-1'!$I$7:$K$100,1+B180,C180)</f>
        <v>0</v>
      </c>
    </row>
    <row r="181" spans="1:4" x14ac:dyDescent="0.75">
      <c r="A181" s="27">
        <v>179</v>
      </c>
      <c r="B181" s="27">
        <f t="shared" si="4"/>
        <v>59</v>
      </c>
      <c r="C181" s="27">
        <f t="shared" si="5"/>
        <v>2</v>
      </c>
      <c r="D181" s="26" cm="1">
        <f t="array" ref="D181">INDEX('Subj-Map2-1'!$I$7:$K$100,1+B181,C181)</f>
        <v>0</v>
      </c>
    </row>
    <row r="182" spans="1:4" x14ac:dyDescent="0.75">
      <c r="A182" s="27">
        <v>180</v>
      </c>
      <c r="B182" s="27">
        <f t="shared" si="4"/>
        <v>59</v>
      </c>
      <c r="C182" s="27">
        <f t="shared" si="5"/>
        <v>3</v>
      </c>
      <c r="D182" s="26" cm="1">
        <f t="array" ref="D182">INDEX('Subj-Map2-1'!$I$7:$K$100,1+B182,C182)</f>
        <v>0</v>
      </c>
    </row>
    <row r="183" spans="1:4" x14ac:dyDescent="0.75">
      <c r="A183" s="27">
        <v>181</v>
      </c>
      <c r="B183" s="27">
        <f t="shared" si="4"/>
        <v>60</v>
      </c>
      <c r="C183" s="27">
        <f t="shared" si="5"/>
        <v>1</v>
      </c>
      <c r="D183" s="26" cm="1">
        <f t="array" ref="D183">INDEX('Subj-Map2-1'!$I$7:$K$100,1+B183,C183)</f>
        <v>0</v>
      </c>
    </row>
    <row r="184" spans="1:4" x14ac:dyDescent="0.75">
      <c r="A184" s="27">
        <v>182</v>
      </c>
      <c r="B184" s="27">
        <f t="shared" si="4"/>
        <v>60</v>
      </c>
      <c r="C184" s="27">
        <f t="shared" si="5"/>
        <v>2</v>
      </c>
      <c r="D184" s="26" cm="1">
        <f t="array" ref="D184">INDEX('Subj-Map2-1'!$I$7:$K$100,1+B184,C184)</f>
        <v>0</v>
      </c>
    </row>
    <row r="185" spans="1:4" x14ac:dyDescent="0.75">
      <c r="A185" s="27">
        <v>183</v>
      </c>
      <c r="B185" s="27">
        <f t="shared" si="4"/>
        <v>60</v>
      </c>
      <c r="C185" s="27">
        <f t="shared" si="5"/>
        <v>3</v>
      </c>
      <c r="D185" s="26" cm="1">
        <f t="array" ref="D185">INDEX('Subj-Map2-1'!$I$7:$K$100,1+B185,C185)</f>
        <v>0</v>
      </c>
    </row>
    <row r="186" spans="1:4" x14ac:dyDescent="0.75">
      <c r="A186" s="27">
        <v>184</v>
      </c>
      <c r="B186" s="27">
        <f t="shared" si="4"/>
        <v>61</v>
      </c>
      <c r="C186" s="27">
        <f t="shared" si="5"/>
        <v>1</v>
      </c>
      <c r="D186" s="26" cm="1">
        <f t="array" ref="D186">INDEX('Subj-Map2-1'!$I$7:$K$100,1+B186,C186)</f>
        <v>0</v>
      </c>
    </row>
    <row r="187" spans="1:4" x14ac:dyDescent="0.75">
      <c r="A187" s="27">
        <v>185</v>
      </c>
      <c r="B187" s="27">
        <f t="shared" si="4"/>
        <v>61</v>
      </c>
      <c r="C187" s="27">
        <f t="shared" si="5"/>
        <v>2</v>
      </c>
      <c r="D187" s="26" cm="1">
        <f t="array" ref="D187">INDEX('Subj-Map2-1'!$I$7:$K$100,1+B187,C187)</f>
        <v>0</v>
      </c>
    </row>
    <row r="188" spans="1:4" x14ac:dyDescent="0.75">
      <c r="A188" s="27">
        <v>186</v>
      </c>
      <c r="B188" s="27">
        <f t="shared" si="4"/>
        <v>61</v>
      </c>
      <c r="C188" s="27">
        <f t="shared" si="5"/>
        <v>3</v>
      </c>
      <c r="D188" s="26" cm="1">
        <f t="array" ref="D188">INDEX('Subj-Map2-1'!$I$7:$K$100,1+B188,C188)</f>
        <v>0</v>
      </c>
    </row>
    <row r="189" spans="1:4" x14ac:dyDescent="0.75">
      <c r="A189" s="27">
        <v>187</v>
      </c>
      <c r="B189" s="27">
        <f t="shared" si="4"/>
        <v>62</v>
      </c>
      <c r="C189" s="27">
        <f t="shared" si="5"/>
        <v>1</v>
      </c>
      <c r="D189" s="26" cm="1">
        <f t="array" ref="D189">INDEX('Subj-Map2-1'!$I$7:$K$100,1+B189,C189)</f>
        <v>0</v>
      </c>
    </row>
    <row r="190" spans="1:4" x14ac:dyDescent="0.75">
      <c r="A190" s="27">
        <v>188</v>
      </c>
      <c r="B190" s="27">
        <f t="shared" si="4"/>
        <v>62</v>
      </c>
      <c r="C190" s="27">
        <f t="shared" si="5"/>
        <v>2</v>
      </c>
      <c r="D190" s="26" cm="1">
        <f t="array" ref="D190">INDEX('Subj-Map2-1'!$I$7:$K$100,1+B190,C190)</f>
        <v>0</v>
      </c>
    </row>
    <row r="191" spans="1:4" x14ac:dyDescent="0.75">
      <c r="A191" s="27">
        <v>189</v>
      </c>
      <c r="B191" s="27">
        <f t="shared" si="4"/>
        <v>62</v>
      </c>
      <c r="C191" s="27">
        <f t="shared" si="5"/>
        <v>3</v>
      </c>
      <c r="D191" s="26" cm="1">
        <f t="array" ref="D191">INDEX('Subj-Map2-1'!$I$7:$K$100,1+B191,C191)</f>
        <v>0</v>
      </c>
    </row>
    <row r="192" spans="1:4" x14ac:dyDescent="0.75">
      <c r="A192" s="27">
        <v>190</v>
      </c>
      <c r="B192" s="27">
        <f t="shared" si="4"/>
        <v>63</v>
      </c>
      <c r="C192" s="27">
        <f t="shared" si="5"/>
        <v>1</v>
      </c>
      <c r="D192" s="26" cm="1">
        <f t="array" ref="D192">INDEX('Subj-Map2-1'!$I$7:$K$100,1+B192,C192)</f>
        <v>0</v>
      </c>
    </row>
    <row r="193" spans="1:4" x14ac:dyDescent="0.75">
      <c r="A193" s="27">
        <v>191</v>
      </c>
      <c r="B193" s="27">
        <f t="shared" si="4"/>
        <v>63</v>
      </c>
      <c r="C193" s="27">
        <f t="shared" si="5"/>
        <v>2</v>
      </c>
      <c r="D193" s="26" cm="1">
        <f t="array" ref="D193">INDEX('Subj-Map2-1'!$I$7:$K$100,1+B193,C193)</f>
        <v>0</v>
      </c>
    </row>
    <row r="194" spans="1:4" x14ac:dyDescent="0.75">
      <c r="A194" s="27">
        <v>192</v>
      </c>
      <c r="B194" s="27">
        <f t="shared" si="4"/>
        <v>63</v>
      </c>
      <c r="C194" s="27">
        <f t="shared" si="5"/>
        <v>3</v>
      </c>
      <c r="D194" s="26" cm="1">
        <f t="array" ref="D194">INDEX('Subj-Map2-1'!$I$7:$K$100,1+B194,C194)</f>
        <v>0</v>
      </c>
    </row>
    <row r="195" spans="1:4" x14ac:dyDescent="0.75">
      <c r="A195" s="27">
        <v>193</v>
      </c>
      <c r="B195" s="27">
        <f t="shared" si="4"/>
        <v>64</v>
      </c>
      <c r="C195" s="27">
        <f t="shared" si="5"/>
        <v>1</v>
      </c>
      <c r="D195" s="26" cm="1">
        <f t="array" ref="D195">INDEX('Subj-Map2-1'!$I$7:$K$100,1+B195,C195)</f>
        <v>0</v>
      </c>
    </row>
    <row r="196" spans="1:4" x14ac:dyDescent="0.75">
      <c r="A196" s="27">
        <v>194</v>
      </c>
      <c r="B196" s="27">
        <f t="shared" ref="B196:B206" si="6">IF(MOD(A196,3)=0,A196/3-1,INT(A196/3))</f>
        <v>64</v>
      </c>
      <c r="C196" s="27">
        <f t="shared" ref="C196:C206" si="7">IF(MOD(A196,3)=0,3,MOD(A196,3))</f>
        <v>2</v>
      </c>
      <c r="D196" s="26" cm="1">
        <f t="array" ref="D196">INDEX('Subj-Map2-1'!$I$7:$K$100,1+B196,C196)</f>
        <v>0</v>
      </c>
    </row>
    <row r="197" spans="1:4" x14ac:dyDescent="0.75">
      <c r="A197" s="27">
        <v>195</v>
      </c>
      <c r="B197" s="27">
        <f t="shared" si="6"/>
        <v>64</v>
      </c>
      <c r="C197" s="27">
        <f t="shared" si="7"/>
        <v>3</v>
      </c>
      <c r="D197" s="26" cm="1">
        <f t="array" ref="D197">INDEX('Subj-Map2-1'!$I$7:$K$100,1+B197,C197)</f>
        <v>0</v>
      </c>
    </row>
    <row r="198" spans="1:4" x14ac:dyDescent="0.75">
      <c r="A198" s="27">
        <v>196</v>
      </c>
      <c r="B198" s="27">
        <f t="shared" si="6"/>
        <v>65</v>
      </c>
      <c r="C198" s="27">
        <f t="shared" si="7"/>
        <v>1</v>
      </c>
      <c r="D198" s="26" cm="1">
        <f t="array" ref="D198">INDEX('Subj-Map2-1'!$I$7:$K$100,1+B198,C198)</f>
        <v>0</v>
      </c>
    </row>
    <row r="199" spans="1:4" x14ac:dyDescent="0.75">
      <c r="A199" s="27">
        <v>197</v>
      </c>
      <c r="B199" s="27">
        <f t="shared" si="6"/>
        <v>65</v>
      </c>
      <c r="C199" s="27">
        <f t="shared" si="7"/>
        <v>2</v>
      </c>
      <c r="D199" s="26" cm="1">
        <f t="array" ref="D199">INDEX('Subj-Map2-1'!$I$7:$K$100,1+B199,C199)</f>
        <v>0</v>
      </c>
    </row>
    <row r="200" spans="1:4" x14ac:dyDescent="0.75">
      <c r="A200" s="27">
        <v>198</v>
      </c>
      <c r="B200" s="27">
        <f t="shared" si="6"/>
        <v>65</v>
      </c>
      <c r="C200" s="27">
        <f t="shared" si="7"/>
        <v>3</v>
      </c>
      <c r="D200" s="26" cm="1">
        <f t="array" ref="D200">INDEX('Subj-Map2-1'!$I$7:$K$100,1+B200,C200)</f>
        <v>0</v>
      </c>
    </row>
    <row r="201" spans="1:4" x14ac:dyDescent="0.75">
      <c r="A201" s="27">
        <v>199</v>
      </c>
      <c r="B201" s="27">
        <f t="shared" si="6"/>
        <v>66</v>
      </c>
      <c r="C201" s="27">
        <f t="shared" si="7"/>
        <v>1</v>
      </c>
      <c r="D201" s="26" cm="1">
        <f t="array" ref="D201">INDEX('Subj-Map2-1'!$I$7:$K$100,1+B201,C201)</f>
        <v>0</v>
      </c>
    </row>
    <row r="202" spans="1:4" x14ac:dyDescent="0.75">
      <c r="A202" s="27">
        <v>200</v>
      </c>
      <c r="B202" s="27">
        <f t="shared" si="6"/>
        <v>66</v>
      </c>
      <c r="C202" s="27">
        <f t="shared" si="7"/>
        <v>2</v>
      </c>
      <c r="D202" s="26" cm="1">
        <f t="array" ref="D202">INDEX('Subj-Map2-1'!$I$7:$K$100,1+B202,C202)</f>
        <v>0</v>
      </c>
    </row>
    <row r="203" spans="1:4" x14ac:dyDescent="0.75">
      <c r="A203" s="27">
        <v>201</v>
      </c>
      <c r="B203" s="27">
        <f t="shared" si="6"/>
        <v>66</v>
      </c>
      <c r="C203" s="27">
        <f t="shared" si="7"/>
        <v>3</v>
      </c>
      <c r="D203" s="26" cm="1">
        <f t="array" ref="D203">INDEX('Subj-Map2-1'!$I$7:$K$100,1+B203,C203)</f>
        <v>0</v>
      </c>
    </row>
    <row r="204" spans="1:4" x14ac:dyDescent="0.75">
      <c r="A204" s="27">
        <v>202</v>
      </c>
      <c r="B204" s="27">
        <f t="shared" si="6"/>
        <v>67</v>
      </c>
      <c r="C204" s="27">
        <f t="shared" si="7"/>
        <v>1</v>
      </c>
      <c r="D204" s="26" cm="1">
        <f t="array" ref="D204">INDEX('Subj-Map2-1'!$I$7:$K$100,1+B204,C204)</f>
        <v>0</v>
      </c>
    </row>
    <row r="205" spans="1:4" x14ac:dyDescent="0.75">
      <c r="A205" s="27">
        <v>203</v>
      </c>
      <c r="B205" s="27">
        <f t="shared" si="6"/>
        <v>67</v>
      </c>
      <c r="C205" s="27">
        <f t="shared" si="7"/>
        <v>2</v>
      </c>
      <c r="D205" s="26" cm="1">
        <f t="array" ref="D205">INDEX('Subj-Map2-1'!$I$7:$K$100,1+B205,C205)</f>
        <v>0</v>
      </c>
    </row>
    <row r="206" spans="1:4" x14ac:dyDescent="0.75">
      <c r="A206" s="27">
        <v>204</v>
      </c>
      <c r="B206" s="27">
        <f t="shared" si="6"/>
        <v>67</v>
      </c>
      <c r="C206" s="27">
        <f t="shared" si="7"/>
        <v>3</v>
      </c>
      <c r="D206" s="26" cm="1">
        <f t="array" ref="D206">INDEX('Subj-Map2-1'!$I$7:$K$100,1+B206,C206)</f>
        <v>0</v>
      </c>
    </row>
    <row r="207" spans="1:4" x14ac:dyDescent="0.75">
      <c r="A207" s="27"/>
      <c r="B207" s="27"/>
      <c r="C207" s="27"/>
    </row>
    <row r="208" spans="1:4" x14ac:dyDescent="0.75">
      <c r="A208" s="27"/>
      <c r="B208" s="27"/>
      <c r="C208" s="27"/>
    </row>
    <row r="209" spans="1:3" x14ac:dyDescent="0.75">
      <c r="A209" s="27"/>
      <c r="B209" s="27"/>
      <c r="C209" s="27"/>
    </row>
    <row r="210" spans="1:3" x14ac:dyDescent="0.75">
      <c r="A210" s="27"/>
      <c r="B210" s="27"/>
      <c r="C210" s="27"/>
    </row>
    <row r="211" spans="1:3" x14ac:dyDescent="0.75">
      <c r="A211" s="27"/>
      <c r="B211" s="27"/>
      <c r="C211" s="27"/>
    </row>
    <row r="212" spans="1:3" x14ac:dyDescent="0.75">
      <c r="A212" s="27"/>
      <c r="B212" s="27"/>
      <c r="C212" s="27"/>
    </row>
    <row r="213" spans="1:3" x14ac:dyDescent="0.75">
      <c r="A213" s="27"/>
      <c r="B213" s="27"/>
      <c r="C213" s="27"/>
    </row>
    <row r="214" spans="1:3" x14ac:dyDescent="0.75">
      <c r="A214" s="27"/>
      <c r="B214" s="27"/>
      <c r="C214" s="27"/>
    </row>
    <row r="215" spans="1:3" x14ac:dyDescent="0.75">
      <c r="A215" s="27"/>
      <c r="B215" s="27"/>
      <c r="C215" s="27"/>
    </row>
    <row r="216" spans="1:3" x14ac:dyDescent="0.75">
      <c r="A216" s="27"/>
      <c r="B216" s="27"/>
      <c r="C216" s="27"/>
    </row>
    <row r="217" spans="1:3" x14ac:dyDescent="0.75">
      <c r="A217" s="27"/>
      <c r="B217" s="27"/>
      <c r="C217" s="27"/>
    </row>
    <row r="218" spans="1:3" x14ac:dyDescent="0.75">
      <c r="A218" s="27"/>
      <c r="B218" s="27"/>
      <c r="C218" s="27"/>
    </row>
    <row r="219" spans="1:3" x14ac:dyDescent="0.75">
      <c r="A219" s="27"/>
      <c r="B219" s="27"/>
      <c r="C219" s="27"/>
    </row>
    <row r="220" spans="1:3" x14ac:dyDescent="0.75">
      <c r="A220" s="27"/>
      <c r="B220" s="27"/>
      <c r="C220" s="27"/>
    </row>
    <row r="221" spans="1:3" x14ac:dyDescent="0.75">
      <c r="A221" s="27"/>
      <c r="B221" s="27"/>
      <c r="C221" s="27"/>
    </row>
    <row r="222" spans="1:3" x14ac:dyDescent="0.75">
      <c r="A222" s="27"/>
      <c r="B222" s="27"/>
      <c r="C222" s="27"/>
    </row>
    <row r="223" spans="1:3" x14ac:dyDescent="0.75">
      <c r="A223" s="27"/>
      <c r="B223" s="27"/>
      <c r="C223" s="27"/>
    </row>
    <row r="224" spans="1:3" x14ac:dyDescent="0.75">
      <c r="A224" s="27"/>
      <c r="B224" s="27"/>
      <c r="C224" s="27"/>
    </row>
    <row r="225" spans="1:3" x14ac:dyDescent="0.75">
      <c r="A225" s="27"/>
      <c r="B225" s="27"/>
      <c r="C225" s="27"/>
    </row>
    <row r="226" spans="1:3" x14ac:dyDescent="0.75">
      <c r="A226" s="27"/>
      <c r="B226" s="27"/>
      <c r="C226" s="27"/>
    </row>
    <row r="227" spans="1:3" x14ac:dyDescent="0.75">
      <c r="A227" s="27"/>
      <c r="B227" s="27"/>
      <c r="C227" s="27"/>
    </row>
    <row r="228" spans="1:3" x14ac:dyDescent="0.75">
      <c r="A228" s="27"/>
      <c r="B228" s="27"/>
      <c r="C228" s="27"/>
    </row>
    <row r="229" spans="1:3" x14ac:dyDescent="0.75">
      <c r="A229" s="27"/>
      <c r="B229" s="27"/>
      <c r="C229" s="27"/>
    </row>
    <row r="230" spans="1:3" x14ac:dyDescent="0.75">
      <c r="A230" s="27"/>
      <c r="B230" s="27"/>
      <c r="C230" s="27"/>
    </row>
    <row r="231" spans="1:3" x14ac:dyDescent="0.75">
      <c r="A231" s="27"/>
      <c r="B231" s="27"/>
      <c r="C231" s="27"/>
    </row>
    <row r="232" spans="1:3" x14ac:dyDescent="0.75">
      <c r="A232" s="27"/>
      <c r="B232" s="27"/>
      <c r="C232" s="27"/>
    </row>
    <row r="233" spans="1:3" x14ac:dyDescent="0.75">
      <c r="A233" s="27"/>
      <c r="B233" s="27"/>
      <c r="C233" s="27"/>
    </row>
    <row r="234" spans="1:3" x14ac:dyDescent="0.75">
      <c r="A234" s="27"/>
      <c r="B234" s="27"/>
      <c r="C234" s="27"/>
    </row>
    <row r="235" spans="1:3" x14ac:dyDescent="0.75">
      <c r="A235" s="27"/>
      <c r="B235" s="27"/>
      <c r="C235" s="27"/>
    </row>
    <row r="236" spans="1:3" x14ac:dyDescent="0.75">
      <c r="A236" s="27"/>
      <c r="B236" s="27"/>
      <c r="C236" s="27"/>
    </row>
    <row r="237" spans="1:3" x14ac:dyDescent="0.75">
      <c r="A237" s="27"/>
      <c r="B237" s="27"/>
      <c r="C237" s="27"/>
    </row>
    <row r="238" spans="1:3" x14ac:dyDescent="0.75">
      <c r="A238" s="27"/>
      <c r="B238" s="27"/>
      <c r="C238" s="27"/>
    </row>
    <row r="239" spans="1:3" x14ac:dyDescent="0.75">
      <c r="A239" s="27"/>
      <c r="B239" s="27"/>
      <c r="C239" s="27"/>
    </row>
    <row r="240" spans="1:3" x14ac:dyDescent="0.75">
      <c r="A240" s="27"/>
      <c r="B240" s="27"/>
      <c r="C240" s="27"/>
    </row>
    <row r="241" spans="1:3" x14ac:dyDescent="0.75">
      <c r="A241" s="27"/>
      <c r="B241" s="27"/>
      <c r="C241" s="27"/>
    </row>
    <row r="242" spans="1:3" x14ac:dyDescent="0.75">
      <c r="A242" s="27"/>
      <c r="B242" s="27"/>
      <c r="C242" s="27"/>
    </row>
    <row r="243" spans="1:3" x14ac:dyDescent="0.75">
      <c r="A243" s="27"/>
      <c r="B243" s="27"/>
      <c r="C243" s="27"/>
    </row>
    <row r="244" spans="1:3" x14ac:dyDescent="0.75">
      <c r="A244" s="27"/>
      <c r="B244" s="27"/>
      <c r="C244" s="27"/>
    </row>
    <row r="245" spans="1:3" x14ac:dyDescent="0.75">
      <c r="A245" s="27"/>
      <c r="B245" s="27"/>
      <c r="C245" s="27"/>
    </row>
    <row r="246" spans="1:3" x14ac:dyDescent="0.75">
      <c r="A246" s="27"/>
      <c r="B246" s="27"/>
      <c r="C246" s="27"/>
    </row>
    <row r="247" spans="1:3" x14ac:dyDescent="0.75">
      <c r="A247" s="27"/>
      <c r="B247" s="27"/>
      <c r="C247" s="27"/>
    </row>
    <row r="248" spans="1:3" x14ac:dyDescent="0.75">
      <c r="A248" s="27"/>
      <c r="B248" s="27"/>
      <c r="C248" s="27"/>
    </row>
    <row r="249" spans="1:3" x14ac:dyDescent="0.75">
      <c r="A249" s="27"/>
      <c r="B249" s="27"/>
      <c r="C249" s="27"/>
    </row>
    <row r="250" spans="1:3" x14ac:dyDescent="0.75">
      <c r="A250" s="27"/>
      <c r="B250" s="27"/>
      <c r="C250" s="27"/>
    </row>
    <row r="251" spans="1:3" x14ac:dyDescent="0.75">
      <c r="A251" s="27"/>
      <c r="B251" s="27"/>
      <c r="C251" s="27"/>
    </row>
    <row r="252" spans="1:3" x14ac:dyDescent="0.75">
      <c r="A252" s="27"/>
      <c r="B252" s="27"/>
      <c r="C252" s="27"/>
    </row>
    <row r="253" spans="1:3" x14ac:dyDescent="0.75">
      <c r="A253" s="27"/>
      <c r="B253" s="27"/>
      <c r="C253" s="27"/>
    </row>
    <row r="254" spans="1:3" x14ac:dyDescent="0.75">
      <c r="A254" s="27"/>
      <c r="B254" s="27"/>
      <c r="C254" s="27"/>
    </row>
    <row r="255" spans="1:3" x14ac:dyDescent="0.75">
      <c r="A255" s="27"/>
      <c r="B255" s="27"/>
      <c r="C255" s="27"/>
    </row>
    <row r="256" spans="1:3" x14ac:dyDescent="0.75">
      <c r="A256" s="27"/>
      <c r="B256" s="27"/>
      <c r="C256" s="27"/>
    </row>
    <row r="257" spans="1:3" x14ac:dyDescent="0.75">
      <c r="A257" s="27"/>
      <c r="B257" s="27"/>
      <c r="C257" s="27"/>
    </row>
    <row r="258" spans="1:3" x14ac:dyDescent="0.75">
      <c r="A258" s="27"/>
      <c r="B258" s="27"/>
      <c r="C258" s="27"/>
    </row>
    <row r="259" spans="1:3" x14ac:dyDescent="0.75">
      <c r="A259" s="27"/>
      <c r="B259" s="27"/>
      <c r="C259" s="27"/>
    </row>
    <row r="260" spans="1:3" x14ac:dyDescent="0.75">
      <c r="A260" s="27"/>
      <c r="B260" s="27"/>
      <c r="C260" s="27"/>
    </row>
    <row r="261" spans="1:3" x14ac:dyDescent="0.75">
      <c r="A261" s="27"/>
      <c r="B261" s="27"/>
      <c r="C261" s="27"/>
    </row>
    <row r="262" spans="1:3" x14ac:dyDescent="0.75">
      <c r="A262" s="27"/>
      <c r="B262" s="27"/>
      <c r="C262" s="27"/>
    </row>
    <row r="263" spans="1:3" x14ac:dyDescent="0.75">
      <c r="A263" s="27"/>
      <c r="B263" s="27"/>
      <c r="C263" s="27"/>
    </row>
    <row r="264" spans="1:3" x14ac:dyDescent="0.75">
      <c r="A264" s="27"/>
      <c r="B264" s="27"/>
      <c r="C264" s="27"/>
    </row>
    <row r="265" spans="1:3" x14ac:dyDescent="0.75">
      <c r="A265" s="27"/>
      <c r="B265" s="27"/>
      <c r="C265" s="27"/>
    </row>
    <row r="266" spans="1:3" x14ac:dyDescent="0.75">
      <c r="A266" s="27"/>
      <c r="B266" s="27"/>
      <c r="C266" s="27"/>
    </row>
    <row r="267" spans="1:3" x14ac:dyDescent="0.75">
      <c r="A267" s="27"/>
      <c r="B267" s="27"/>
      <c r="C267" s="27"/>
    </row>
    <row r="268" spans="1:3" x14ac:dyDescent="0.75">
      <c r="A268" s="27"/>
      <c r="B268" s="27"/>
      <c r="C268" s="27"/>
    </row>
    <row r="269" spans="1:3" x14ac:dyDescent="0.75">
      <c r="A269" s="27"/>
      <c r="B269" s="27"/>
      <c r="C269" s="27"/>
    </row>
    <row r="270" spans="1:3" x14ac:dyDescent="0.75">
      <c r="A270" s="27"/>
      <c r="B270" s="27"/>
      <c r="C270" s="27"/>
    </row>
    <row r="271" spans="1:3" x14ac:dyDescent="0.75">
      <c r="A271" s="27"/>
      <c r="B271" s="27"/>
      <c r="C271" s="27"/>
    </row>
    <row r="272" spans="1:3" x14ac:dyDescent="0.75">
      <c r="A272" s="27"/>
      <c r="B272" s="27"/>
      <c r="C272" s="27"/>
    </row>
    <row r="273" spans="1:3" x14ac:dyDescent="0.75">
      <c r="A273" s="27"/>
      <c r="B273" s="27"/>
      <c r="C273" s="27"/>
    </row>
    <row r="274" spans="1:3" x14ac:dyDescent="0.75">
      <c r="A274" s="27"/>
      <c r="B274" s="27"/>
      <c r="C274" s="27"/>
    </row>
    <row r="275" spans="1:3" x14ac:dyDescent="0.75">
      <c r="A275" s="27"/>
      <c r="B275" s="27"/>
      <c r="C275" s="27"/>
    </row>
    <row r="276" spans="1:3" x14ac:dyDescent="0.75">
      <c r="A276" s="27"/>
      <c r="B276" s="27"/>
      <c r="C276" s="27"/>
    </row>
    <row r="277" spans="1:3" x14ac:dyDescent="0.75">
      <c r="A277" s="27"/>
      <c r="B277" s="27"/>
      <c r="C277" s="27"/>
    </row>
    <row r="278" spans="1:3" x14ac:dyDescent="0.75">
      <c r="A278" s="27"/>
      <c r="B278" s="27"/>
      <c r="C278" s="27"/>
    </row>
    <row r="279" spans="1:3" x14ac:dyDescent="0.75">
      <c r="A279" s="27"/>
      <c r="B279" s="27"/>
      <c r="C279" s="27"/>
    </row>
    <row r="280" spans="1:3" x14ac:dyDescent="0.75">
      <c r="A280" s="27"/>
      <c r="B280" s="27"/>
      <c r="C280" s="27"/>
    </row>
    <row r="281" spans="1:3" x14ac:dyDescent="0.75">
      <c r="A281" s="27"/>
      <c r="B281" s="27"/>
      <c r="C281" s="27"/>
    </row>
    <row r="282" spans="1:3" x14ac:dyDescent="0.75">
      <c r="A282" s="27"/>
      <c r="B282" s="27"/>
      <c r="C282" s="27"/>
    </row>
    <row r="283" spans="1:3" x14ac:dyDescent="0.75">
      <c r="A283" s="27"/>
      <c r="B283" s="27"/>
      <c r="C283" s="27"/>
    </row>
    <row r="284" spans="1:3" x14ac:dyDescent="0.75">
      <c r="A284" s="27"/>
      <c r="B284" s="27"/>
      <c r="C284" s="27"/>
    </row>
    <row r="285" spans="1:3" x14ac:dyDescent="0.75">
      <c r="A285" s="27"/>
      <c r="B285" s="27"/>
      <c r="C285" s="27"/>
    </row>
    <row r="286" spans="1:3" x14ac:dyDescent="0.75">
      <c r="A286" s="27"/>
      <c r="B286" s="27"/>
      <c r="C286" s="27"/>
    </row>
    <row r="287" spans="1:3" x14ac:dyDescent="0.75">
      <c r="A287" s="27"/>
      <c r="B287" s="27"/>
      <c r="C287" s="27"/>
    </row>
    <row r="288" spans="1:3" x14ac:dyDescent="0.75">
      <c r="A288" s="27"/>
      <c r="B288" s="27"/>
      <c r="C288" s="27"/>
    </row>
    <row r="289" spans="1:3" x14ac:dyDescent="0.75">
      <c r="A289" s="27"/>
      <c r="B289" s="27"/>
      <c r="C289" s="27"/>
    </row>
    <row r="290" spans="1:3" x14ac:dyDescent="0.75">
      <c r="A290" s="27"/>
      <c r="B290" s="27"/>
      <c r="C290" s="27"/>
    </row>
    <row r="291" spans="1:3" x14ac:dyDescent="0.75">
      <c r="A291" s="27"/>
      <c r="B291" s="27"/>
      <c r="C291" s="27"/>
    </row>
    <row r="292" spans="1:3" x14ac:dyDescent="0.75">
      <c r="A292" s="27"/>
      <c r="B292" s="27"/>
      <c r="C292" s="27"/>
    </row>
    <row r="293" spans="1:3" x14ac:dyDescent="0.75">
      <c r="A293" s="27"/>
      <c r="B293" s="27"/>
      <c r="C293" s="27"/>
    </row>
    <row r="294" spans="1:3" x14ac:dyDescent="0.75">
      <c r="A294" s="27"/>
      <c r="B294" s="27"/>
      <c r="C294" s="27"/>
    </row>
    <row r="295" spans="1:3" x14ac:dyDescent="0.75">
      <c r="A295" s="27"/>
      <c r="B295" s="27"/>
      <c r="C295" s="27"/>
    </row>
    <row r="296" spans="1:3" x14ac:dyDescent="0.75">
      <c r="A296" s="27"/>
      <c r="B296" s="27"/>
      <c r="C296" s="27"/>
    </row>
    <row r="297" spans="1:3" x14ac:dyDescent="0.75">
      <c r="A297" s="27"/>
      <c r="B297" s="27"/>
      <c r="C297" s="27"/>
    </row>
    <row r="298" spans="1:3" x14ac:dyDescent="0.75">
      <c r="A298" s="27"/>
      <c r="B298" s="27"/>
      <c r="C298" s="27"/>
    </row>
    <row r="299" spans="1:3" x14ac:dyDescent="0.75">
      <c r="A299" s="27"/>
      <c r="B299" s="27"/>
      <c r="C299" s="27"/>
    </row>
    <row r="300" spans="1:3" x14ac:dyDescent="0.75">
      <c r="A300" s="27"/>
      <c r="B300" s="27"/>
      <c r="C300" s="27"/>
    </row>
    <row r="301" spans="1:3" x14ac:dyDescent="0.75">
      <c r="A301" s="27"/>
      <c r="B301" s="27"/>
      <c r="C301" s="27"/>
    </row>
    <row r="302" spans="1:3" x14ac:dyDescent="0.75">
      <c r="A302" s="27"/>
      <c r="B302" s="27"/>
      <c r="C302" s="27"/>
    </row>
    <row r="303" spans="1:3" x14ac:dyDescent="0.75">
      <c r="A303" s="27"/>
      <c r="B303" s="27"/>
      <c r="C303" s="27"/>
    </row>
    <row r="304" spans="1:3" x14ac:dyDescent="0.75">
      <c r="A304" s="27"/>
      <c r="B304" s="27"/>
      <c r="C304" s="27"/>
    </row>
    <row r="305" spans="1:3" x14ac:dyDescent="0.75">
      <c r="A305" s="27"/>
      <c r="B305" s="27"/>
      <c r="C305" s="27"/>
    </row>
    <row r="306" spans="1:3" x14ac:dyDescent="0.75">
      <c r="A306" s="27"/>
      <c r="B306" s="27"/>
      <c r="C306" s="27"/>
    </row>
    <row r="307" spans="1:3" x14ac:dyDescent="0.75">
      <c r="A307" s="27"/>
      <c r="B307" s="27"/>
      <c r="C307" s="27"/>
    </row>
    <row r="308" spans="1:3" x14ac:dyDescent="0.75">
      <c r="A308" s="27"/>
      <c r="B308" s="27"/>
      <c r="C308" s="27"/>
    </row>
    <row r="309" spans="1:3" x14ac:dyDescent="0.75">
      <c r="A309" s="27"/>
      <c r="B309" s="27"/>
      <c r="C309" s="27"/>
    </row>
    <row r="310" spans="1:3" x14ac:dyDescent="0.75">
      <c r="A310" s="27"/>
      <c r="B310" s="27"/>
      <c r="C310" s="27"/>
    </row>
    <row r="311" spans="1:3" x14ac:dyDescent="0.75">
      <c r="A311" s="27"/>
      <c r="B311" s="27"/>
      <c r="C311" s="27"/>
    </row>
    <row r="312" spans="1:3" x14ac:dyDescent="0.75">
      <c r="A312" s="27"/>
      <c r="B312" s="27"/>
      <c r="C312" s="27"/>
    </row>
    <row r="313" spans="1:3" x14ac:dyDescent="0.75">
      <c r="A313" s="27"/>
      <c r="B313" s="27"/>
      <c r="C313" s="27"/>
    </row>
    <row r="314" spans="1:3" x14ac:dyDescent="0.75">
      <c r="A314" s="27"/>
      <c r="B314" s="27"/>
      <c r="C314" s="27"/>
    </row>
    <row r="315" spans="1:3" x14ac:dyDescent="0.75">
      <c r="A315" s="27"/>
      <c r="B315" s="27"/>
      <c r="C315" s="27"/>
    </row>
    <row r="316" spans="1:3" x14ac:dyDescent="0.75">
      <c r="A316" s="27"/>
      <c r="B316" s="27"/>
      <c r="C316" s="27"/>
    </row>
    <row r="317" spans="1:3" x14ac:dyDescent="0.75">
      <c r="A317" s="27"/>
      <c r="B317" s="27"/>
      <c r="C317" s="27"/>
    </row>
    <row r="318" spans="1:3" x14ac:dyDescent="0.75">
      <c r="A318" s="27"/>
      <c r="B318" s="27"/>
      <c r="C318" s="27"/>
    </row>
    <row r="319" spans="1:3" x14ac:dyDescent="0.75">
      <c r="A319" s="27"/>
      <c r="B319" s="27"/>
      <c r="C319" s="27"/>
    </row>
    <row r="320" spans="1:3" x14ac:dyDescent="0.75">
      <c r="A320" s="27"/>
      <c r="B320" s="27"/>
      <c r="C320" s="27"/>
    </row>
    <row r="321" spans="1:3" x14ac:dyDescent="0.75">
      <c r="A321" s="27"/>
      <c r="B321" s="27"/>
      <c r="C321" s="27"/>
    </row>
    <row r="322" spans="1:3" x14ac:dyDescent="0.75">
      <c r="A322" s="27"/>
      <c r="B322" s="27"/>
      <c r="C322" s="27"/>
    </row>
    <row r="323" spans="1:3" x14ac:dyDescent="0.75">
      <c r="A323" s="27"/>
      <c r="B323" s="27"/>
      <c r="C323" s="27"/>
    </row>
    <row r="324" spans="1:3" x14ac:dyDescent="0.75">
      <c r="A324" s="27"/>
      <c r="B324" s="27"/>
      <c r="C324" s="27"/>
    </row>
    <row r="325" spans="1:3" x14ac:dyDescent="0.75">
      <c r="A325" s="27"/>
      <c r="B325" s="27"/>
      <c r="C325" s="27"/>
    </row>
    <row r="326" spans="1:3" x14ac:dyDescent="0.75">
      <c r="A326" s="27"/>
      <c r="B326" s="27"/>
      <c r="C326" s="27"/>
    </row>
    <row r="327" spans="1:3" x14ac:dyDescent="0.75">
      <c r="A327" s="27"/>
      <c r="B327" s="27"/>
      <c r="C327" s="27"/>
    </row>
    <row r="328" spans="1:3" x14ac:dyDescent="0.75">
      <c r="A328" s="27"/>
      <c r="B328" s="27"/>
      <c r="C328" s="27"/>
    </row>
    <row r="329" spans="1:3" x14ac:dyDescent="0.75">
      <c r="A329" s="27"/>
      <c r="B329" s="27"/>
      <c r="C329" s="27"/>
    </row>
    <row r="330" spans="1:3" x14ac:dyDescent="0.75">
      <c r="A330" s="27"/>
      <c r="B330" s="27"/>
      <c r="C330" s="27"/>
    </row>
    <row r="331" spans="1:3" x14ac:dyDescent="0.75">
      <c r="A331" s="27"/>
      <c r="B331" s="27"/>
      <c r="C331" s="27"/>
    </row>
    <row r="332" spans="1:3" x14ac:dyDescent="0.75">
      <c r="A332" s="27"/>
      <c r="B332" s="27"/>
      <c r="C332" s="27"/>
    </row>
    <row r="333" spans="1:3" x14ac:dyDescent="0.75">
      <c r="A333" s="27"/>
      <c r="B333" s="27"/>
      <c r="C333" s="27"/>
    </row>
    <row r="334" spans="1:3" x14ac:dyDescent="0.75">
      <c r="A334" s="27"/>
      <c r="B334" s="27"/>
      <c r="C334" s="27"/>
    </row>
    <row r="335" spans="1:3" x14ac:dyDescent="0.75">
      <c r="A335" s="27"/>
      <c r="B335" s="27"/>
      <c r="C335" s="27"/>
    </row>
    <row r="336" spans="1:3" x14ac:dyDescent="0.75">
      <c r="A336" s="27"/>
      <c r="B336" s="27"/>
      <c r="C336" s="27"/>
    </row>
    <row r="337" spans="1:3" x14ac:dyDescent="0.75">
      <c r="A337" s="27"/>
      <c r="B337" s="27"/>
      <c r="C337" s="27"/>
    </row>
    <row r="338" spans="1:3" x14ac:dyDescent="0.75">
      <c r="A338" s="27"/>
      <c r="B338" s="27"/>
      <c r="C338" s="27"/>
    </row>
    <row r="339" spans="1:3" x14ac:dyDescent="0.75">
      <c r="A339" s="27"/>
      <c r="B339" s="27"/>
      <c r="C339" s="27"/>
    </row>
    <row r="340" spans="1:3" x14ac:dyDescent="0.75">
      <c r="A340" s="27"/>
      <c r="B340" s="27"/>
      <c r="C340" s="27"/>
    </row>
    <row r="341" spans="1:3" x14ac:dyDescent="0.75">
      <c r="A341" s="27"/>
      <c r="B341" s="27"/>
      <c r="C341" s="27"/>
    </row>
    <row r="342" spans="1:3" x14ac:dyDescent="0.75">
      <c r="A342" s="27"/>
      <c r="B342" s="27"/>
      <c r="C342" s="27"/>
    </row>
    <row r="343" spans="1:3" x14ac:dyDescent="0.75">
      <c r="A343" s="27"/>
      <c r="B343" s="27"/>
      <c r="C343" s="27"/>
    </row>
    <row r="344" spans="1:3" x14ac:dyDescent="0.75">
      <c r="A344" s="27"/>
      <c r="B344" s="27"/>
      <c r="C344" s="27"/>
    </row>
    <row r="345" spans="1:3" x14ac:dyDescent="0.75">
      <c r="A345" s="27"/>
      <c r="B345" s="27"/>
      <c r="C345" s="27"/>
    </row>
    <row r="346" spans="1:3" x14ac:dyDescent="0.75">
      <c r="A346" s="27"/>
      <c r="B346" s="27"/>
      <c r="C346" s="27"/>
    </row>
    <row r="347" spans="1:3" x14ac:dyDescent="0.75">
      <c r="A347" s="27"/>
      <c r="B347" s="27"/>
      <c r="C347" s="27"/>
    </row>
    <row r="348" spans="1:3" x14ac:dyDescent="0.75">
      <c r="A348" s="27"/>
      <c r="B348" s="27"/>
      <c r="C348" s="27"/>
    </row>
    <row r="349" spans="1:3" x14ac:dyDescent="0.75">
      <c r="A349" s="27"/>
      <c r="B349" s="27"/>
      <c r="C349" s="27"/>
    </row>
    <row r="350" spans="1:3" x14ac:dyDescent="0.75">
      <c r="A350" s="27"/>
      <c r="B350" s="27"/>
      <c r="C350" s="27"/>
    </row>
    <row r="351" spans="1:3" x14ac:dyDescent="0.75">
      <c r="A351" s="27"/>
      <c r="B351" s="27"/>
      <c r="C351" s="27"/>
    </row>
    <row r="352" spans="1:3" x14ac:dyDescent="0.75">
      <c r="A352" s="27"/>
      <c r="B352" s="27"/>
      <c r="C352" s="27"/>
    </row>
    <row r="353" spans="1:3" x14ac:dyDescent="0.75">
      <c r="A353" s="27"/>
      <c r="B353" s="27"/>
      <c r="C353" s="27"/>
    </row>
    <row r="354" spans="1:3" x14ac:dyDescent="0.75">
      <c r="A354" s="27"/>
      <c r="B354" s="27"/>
      <c r="C354" s="27"/>
    </row>
    <row r="355" spans="1:3" x14ac:dyDescent="0.75">
      <c r="A355" s="27"/>
      <c r="B355" s="27"/>
      <c r="C355" s="27"/>
    </row>
    <row r="356" spans="1:3" x14ac:dyDescent="0.75">
      <c r="A356" s="27"/>
      <c r="B356" s="27"/>
      <c r="C356" s="27"/>
    </row>
    <row r="357" spans="1:3" x14ac:dyDescent="0.75">
      <c r="A357" s="27"/>
      <c r="B357" s="27"/>
      <c r="C357" s="27"/>
    </row>
    <row r="358" spans="1:3" x14ac:dyDescent="0.75">
      <c r="A358" s="27"/>
      <c r="B358" s="27"/>
      <c r="C358" s="27"/>
    </row>
    <row r="359" spans="1:3" x14ac:dyDescent="0.75">
      <c r="A359" s="27"/>
      <c r="B359" s="27"/>
      <c r="C359" s="27"/>
    </row>
    <row r="360" spans="1:3" x14ac:dyDescent="0.75">
      <c r="A360" s="27"/>
      <c r="B360" s="27"/>
      <c r="C360" s="27"/>
    </row>
    <row r="361" spans="1:3" x14ac:dyDescent="0.75">
      <c r="A361" s="27"/>
      <c r="B361" s="27"/>
      <c r="C361" s="27"/>
    </row>
    <row r="362" spans="1:3" x14ac:dyDescent="0.75">
      <c r="A362" s="27"/>
      <c r="B362" s="27"/>
      <c r="C362" s="27"/>
    </row>
    <row r="363" spans="1:3" x14ac:dyDescent="0.75">
      <c r="A363" s="27"/>
      <c r="B363" s="27"/>
      <c r="C363" s="27"/>
    </row>
    <row r="364" spans="1:3" x14ac:dyDescent="0.75">
      <c r="A364" s="27"/>
      <c r="B364" s="27"/>
      <c r="C364" s="27"/>
    </row>
    <row r="365" spans="1:3" x14ac:dyDescent="0.75">
      <c r="A365" s="27"/>
      <c r="B365" s="27"/>
      <c r="C365" s="27"/>
    </row>
    <row r="366" spans="1:3" x14ac:dyDescent="0.75">
      <c r="A366" s="27"/>
      <c r="B366" s="27"/>
      <c r="C366" s="27"/>
    </row>
    <row r="367" spans="1:3" x14ac:dyDescent="0.75">
      <c r="A367" s="27"/>
      <c r="B367" s="27"/>
      <c r="C367" s="27"/>
    </row>
    <row r="368" spans="1:3" x14ac:dyDescent="0.75">
      <c r="A368" s="27"/>
      <c r="B368" s="27"/>
      <c r="C368" s="27"/>
    </row>
    <row r="369" spans="1:3" x14ac:dyDescent="0.75">
      <c r="A369" s="27"/>
      <c r="B369" s="27"/>
      <c r="C369" s="27"/>
    </row>
    <row r="370" spans="1:3" x14ac:dyDescent="0.75">
      <c r="A370" s="27"/>
      <c r="B370" s="27"/>
      <c r="C370" s="27"/>
    </row>
    <row r="371" spans="1:3" x14ac:dyDescent="0.75">
      <c r="A371" s="27"/>
      <c r="B371" s="27"/>
      <c r="C371" s="27"/>
    </row>
    <row r="372" spans="1:3" x14ac:dyDescent="0.75">
      <c r="A372" s="27"/>
      <c r="B372" s="27"/>
      <c r="C372" s="27"/>
    </row>
    <row r="373" spans="1:3" x14ac:dyDescent="0.75">
      <c r="A373" s="27"/>
      <c r="B373" s="27"/>
      <c r="C373" s="27"/>
    </row>
    <row r="374" spans="1:3" x14ac:dyDescent="0.75">
      <c r="A374" s="27"/>
      <c r="B374" s="27"/>
      <c r="C374" s="27"/>
    </row>
    <row r="375" spans="1:3" x14ac:dyDescent="0.75">
      <c r="A375" s="27"/>
      <c r="B375" s="27"/>
      <c r="C375" s="27"/>
    </row>
    <row r="376" spans="1:3" x14ac:dyDescent="0.75">
      <c r="A376" s="27"/>
      <c r="B376" s="27"/>
      <c r="C376" s="27"/>
    </row>
    <row r="377" spans="1:3" x14ac:dyDescent="0.75">
      <c r="A377" s="27"/>
      <c r="B377" s="27"/>
      <c r="C377" s="27"/>
    </row>
    <row r="378" spans="1:3" x14ac:dyDescent="0.75">
      <c r="A378" s="27"/>
      <c r="B378" s="27"/>
      <c r="C378" s="27"/>
    </row>
    <row r="379" spans="1:3" x14ac:dyDescent="0.75">
      <c r="A379" s="27"/>
      <c r="B379" s="27"/>
      <c r="C379" s="27"/>
    </row>
    <row r="380" spans="1:3" x14ac:dyDescent="0.75">
      <c r="A380" s="27"/>
      <c r="B380" s="27"/>
      <c r="C380" s="27"/>
    </row>
    <row r="381" spans="1:3" x14ac:dyDescent="0.75">
      <c r="A381" s="27"/>
      <c r="B381" s="27"/>
      <c r="C381" s="27"/>
    </row>
    <row r="382" spans="1:3" x14ac:dyDescent="0.75">
      <c r="A382" s="27"/>
      <c r="B382" s="27"/>
      <c r="C382" s="27"/>
    </row>
    <row r="383" spans="1:3" x14ac:dyDescent="0.75">
      <c r="A383" s="27"/>
      <c r="B383" s="27"/>
      <c r="C383" s="27"/>
    </row>
    <row r="384" spans="1:3" x14ac:dyDescent="0.75">
      <c r="A384" s="27"/>
      <c r="B384" s="27"/>
      <c r="C384" s="27"/>
    </row>
    <row r="385" spans="1:3" x14ac:dyDescent="0.75">
      <c r="A385" s="27"/>
      <c r="B385" s="27"/>
      <c r="C385" s="27"/>
    </row>
    <row r="386" spans="1:3" x14ac:dyDescent="0.75">
      <c r="A386" s="27"/>
      <c r="B386" s="27"/>
      <c r="C386" s="27"/>
    </row>
    <row r="387" spans="1:3" x14ac:dyDescent="0.75">
      <c r="A387" s="27"/>
      <c r="B387" s="27"/>
      <c r="C387" s="27"/>
    </row>
    <row r="388" spans="1:3" x14ac:dyDescent="0.75">
      <c r="A388" s="27"/>
      <c r="B388" s="27"/>
      <c r="C388" s="27"/>
    </row>
    <row r="389" spans="1:3" x14ac:dyDescent="0.75">
      <c r="A389" s="27"/>
      <c r="B389" s="27"/>
      <c r="C389" s="27"/>
    </row>
    <row r="390" spans="1:3" x14ac:dyDescent="0.75">
      <c r="A390" s="27"/>
      <c r="B390" s="27"/>
      <c r="C390" s="27"/>
    </row>
    <row r="391" spans="1:3" x14ac:dyDescent="0.75">
      <c r="A391" s="27"/>
      <c r="B391" s="27"/>
      <c r="C391" s="27"/>
    </row>
    <row r="392" spans="1:3" x14ac:dyDescent="0.75">
      <c r="A392" s="27"/>
      <c r="B392" s="27"/>
      <c r="C392" s="27"/>
    </row>
    <row r="393" spans="1:3" x14ac:dyDescent="0.75">
      <c r="A393" s="27"/>
      <c r="B393" s="27"/>
      <c r="C393" s="27"/>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workbookViewId="0">
      <selection activeCell="D110" sqref="D110:D206"/>
    </sheetView>
  </sheetViews>
  <sheetFormatPr defaultRowHeight="14.75" x14ac:dyDescent="0.75"/>
  <cols>
    <col min="4" max="4" width="108.2265625" style="27" customWidth="1"/>
  </cols>
  <sheetData>
    <row r="3" spans="4:4" x14ac:dyDescent="0.75">
      <c r="D3" s="27" t="str">
        <f>'Subj-Map-2'!D3</f>
        <v>* differential.element[0].mapping[0].identity = "fhir"</v>
      </c>
    </row>
    <row r="4" spans="4:4" x14ac:dyDescent="0.75">
      <c r="D4" s="115" t="str">
        <f>'Subj-Map-2'!D4</f>
        <v>* differential.element[0].mapping[0].map = "Patient"</v>
      </c>
    </row>
    <row r="5" spans="4:4" x14ac:dyDescent="0.75">
      <c r="D5" s="115" t="str">
        <f>'Subj-Map-2'!D5</f>
        <v/>
      </c>
    </row>
    <row r="6" spans="4:4" x14ac:dyDescent="0.75">
      <c r="D6" s="115" t="str">
        <f>'Subj-Map-2'!D6</f>
        <v>* differential.element[1].mapping[0].identity = "fhir"</v>
      </c>
    </row>
    <row r="7" spans="4:4" x14ac:dyDescent="0.75">
      <c r="D7" s="115" t="str">
        <f>'Subj-Map-2'!D7</f>
        <v>* differential.element[1].mapping[0].map = "Patient.identifier"</v>
      </c>
    </row>
    <row r="8" spans="4:4" x14ac:dyDescent="0.75">
      <c r="D8" s="115" t="str">
        <f>'Subj-Map-2'!D8</f>
        <v/>
      </c>
    </row>
    <row r="9" spans="4:4" x14ac:dyDescent="0.75">
      <c r="D9" s="115" t="str">
        <f>'Subj-Map-2'!D9</f>
        <v>* differential.element[2].mapping[0].identity = "fhir"</v>
      </c>
    </row>
    <row r="10" spans="4:4" x14ac:dyDescent="0.75">
      <c r="D10" s="115" t="str">
        <f>'Subj-Map-2'!D10</f>
        <v>* differential.element[2].mapping[0].map = "Patient.name"</v>
      </c>
    </row>
    <row r="11" spans="4:4" x14ac:dyDescent="0.75">
      <c r="D11" s="115" t="str">
        <f>'Subj-Map-2'!D11</f>
        <v/>
      </c>
    </row>
    <row r="12" spans="4:4" x14ac:dyDescent="0.75">
      <c r="D12" s="115" t="str">
        <f>'Subj-Map-2'!D12</f>
        <v>* differential.element[3].mapping[0].identity = "fhir"</v>
      </c>
    </row>
    <row r="13" spans="4:4" x14ac:dyDescent="0.75">
      <c r="D13" s="115" t="str">
        <f>'Subj-Map-2'!D13</f>
        <v>* differential.element[3].mapping[0].map = "Patient.name.given"</v>
      </c>
    </row>
    <row r="14" spans="4:4" x14ac:dyDescent="0.75">
      <c r="D14" s="115" t="str">
        <f>'Subj-Map-2'!D14</f>
        <v/>
      </c>
    </row>
    <row r="15" spans="4:4" x14ac:dyDescent="0.75">
      <c r="D15" s="115" t="str">
        <f>'Subj-Map-2'!D15</f>
        <v>* differential.element[4].mapping[0].identity = "fhir"</v>
      </c>
    </row>
    <row r="16" spans="4:4" x14ac:dyDescent="0.75">
      <c r="D16" s="115" t="str">
        <f>'Subj-Map-2'!D16</f>
        <v>* differential.element[4].mapping[0].map = "Patient.name.given"</v>
      </c>
    </row>
    <row r="17" spans="4:4" x14ac:dyDescent="0.75">
      <c r="D17" s="115" t="str">
        <f>'Subj-Map-2'!D17</f>
        <v/>
      </c>
    </row>
    <row r="18" spans="4:4" x14ac:dyDescent="0.75">
      <c r="D18" s="115" t="str">
        <f>'Subj-Map-2'!D18</f>
        <v>* differential.element[5].mapping[0].identity = "fhir"</v>
      </c>
    </row>
    <row r="19" spans="4:4" x14ac:dyDescent="0.75">
      <c r="D19" s="115" t="str">
        <f>'Subj-Map-2'!D19</f>
        <v>* differential.element[5].mapping[0].map = "Patient.name.family"</v>
      </c>
    </row>
    <row r="20" spans="4:4" x14ac:dyDescent="0.75">
      <c r="D20" s="115" t="str">
        <f>'Subj-Map-2'!D20</f>
        <v/>
      </c>
    </row>
    <row r="21" spans="4:4" x14ac:dyDescent="0.75">
      <c r="D21" s="115" t="str">
        <f>'Subj-Map-2'!D21</f>
        <v>* differential.element[6].mapping[0].identity = "fhir"</v>
      </c>
    </row>
    <row r="22" spans="4:4" x14ac:dyDescent="0.75">
      <c r="D22" s="115" t="str">
        <f>'Subj-Map-2'!D22</f>
        <v>* differential.element[6].mapping[0].map = "Patient.name.family"</v>
      </c>
    </row>
    <row r="23" spans="4:4" x14ac:dyDescent="0.75">
      <c r="D23" s="115" t="str">
        <f>'Subj-Map-2'!D23</f>
        <v/>
      </c>
    </row>
    <row r="24" spans="4:4" x14ac:dyDescent="0.75">
      <c r="D24" s="115" t="str">
        <f>'Subj-Map-2'!D24</f>
        <v>* differential.element[7].mapping[0].identity = "fhir"</v>
      </c>
    </row>
    <row r="25" spans="4:4" x14ac:dyDescent="0.75">
      <c r="D25" s="115" t="str">
        <f>'Subj-Map-2'!D25</f>
        <v>* differential.element[7].mapping[0].map = "Patient.gender"</v>
      </c>
    </row>
    <row r="26" spans="4:4" x14ac:dyDescent="0.75">
      <c r="D26" s="115" t="str">
        <f>'Subj-Map-2'!D26</f>
        <v/>
      </c>
    </row>
    <row r="27" spans="4:4" x14ac:dyDescent="0.75">
      <c r="D27" s="115" t="str">
        <f>'Subj-Map-2'!D27</f>
        <v>* differential.element[8].mapping[0].identity = "fhir"</v>
      </c>
    </row>
    <row r="28" spans="4:4" x14ac:dyDescent="0.75">
      <c r="D28" s="115" t="str">
        <f>'Subj-Map-2'!D28</f>
        <v>* differential.element[8].mapping[0].map = "Patient.birthDate"</v>
      </c>
    </row>
    <row r="29" spans="4:4" x14ac:dyDescent="0.75">
      <c r="D29" s="115" t="str">
        <f>'Subj-Map-2'!D29</f>
        <v/>
      </c>
    </row>
    <row r="30" spans="4:4" x14ac:dyDescent="0.75">
      <c r="D30" s="115" t="str">
        <f>'Subj-Map-2'!D30</f>
        <v>* differential.element[9].mapping[0].identity = "fhir"</v>
      </c>
    </row>
    <row r="31" spans="4:4" x14ac:dyDescent="0.75">
      <c r="D31" s="115" t="str">
        <f>'Subj-Map-2'!D31</f>
        <v>* differential.element[9].mapping[0].map = "Patient.extension(http://hl7.org/fhir/StructureDefinition/patient-birthPlace')"</v>
      </c>
    </row>
    <row r="32" spans="4:4" x14ac:dyDescent="0.75">
      <c r="D32" s="115" t="str">
        <f>'Subj-Map-2'!D32</f>
        <v/>
      </c>
    </row>
    <row r="33" spans="4:4" x14ac:dyDescent="0.75">
      <c r="D33" s="115" t="str">
        <f>'Subj-Map-2'!D33</f>
        <v>* differential.element[10].mapping[0].identity = "fhir"</v>
      </c>
    </row>
    <row r="34" spans="4:4" x14ac:dyDescent="0.75">
      <c r="D34" s="115" t="str">
        <f>'Subj-Map-2'!D34</f>
        <v>* differential.element[10].mapping[0].map = "Patient.contact (if not the patient)
Patient.telecom (if the patient)
DocumentManifest.recipient (if intended recipient)"</v>
      </c>
    </row>
    <row r="35" spans="4:4" x14ac:dyDescent="0.75">
      <c r="D35" s="115" t="str">
        <f>'Subj-Map-2'!D35</f>
        <v/>
      </c>
    </row>
    <row r="36" spans="4:4" x14ac:dyDescent="0.75">
      <c r="D36" s="115" t="str">
        <f>'Subj-Map-2'!D36</f>
        <v>* differential.element[11].mapping[0].identity = "fhir"</v>
      </c>
    </row>
    <row r="37" spans="4:4" x14ac:dyDescent="0.75">
      <c r="D37" s="115" t="str">
        <f>'Subj-Map-2'!D37</f>
        <v>* differential.element[11].mapping[0].map = "Patient.contact.telecom (if not the patient)
Patient.telecom (if the patient)
DocumentManifest.recipient.resolve().telecom (if intended recipient)"</v>
      </c>
    </row>
    <row r="38" spans="4:4" x14ac:dyDescent="0.75">
      <c r="D38" s="115" t="str">
        <f>'Subj-Map-2'!D38</f>
        <v/>
      </c>
    </row>
    <row r="39" spans="4:4" x14ac:dyDescent="0.75">
      <c r="D39" s="115" t="str">
        <f>'Subj-Map-2'!D39</f>
        <v>* differential.element[12].mapping[0].identity = "fhir"</v>
      </c>
    </row>
    <row r="40" spans="4:4" x14ac:dyDescent="0.75">
      <c r="D40" s="115" t="str">
        <f>'Subj-Map-2'!D40</f>
        <v>* differential.element[12].mapping[0].map = "Patient.contact.telecom (if not the patient)
Patient.telecom (if the patient)
DocumentManifest.recipient.resolve().telecom (if intended recipient)"</v>
      </c>
    </row>
    <row r="41" spans="4:4" x14ac:dyDescent="0.75">
      <c r="D41" s="115" t="str">
        <f>'Subj-Map-2'!D41</f>
        <v/>
      </c>
    </row>
    <row r="42" spans="4:4" x14ac:dyDescent="0.75">
      <c r="D42" s="115" t="str">
        <f>'Subj-Map-2'!D42</f>
        <v>* differential.element[13].mapping[0].identity = "fhir"</v>
      </c>
    </row>
    <row r="43" spans="4:4" x14ac:dyDescent="0.75">
      <c r="D43" s="115" t="str">
        <f>'Subj-Map-2'!D43</f>
        <v>* differential.element[13].mapping[0].map = "Patient.contact.relationship (if not the patient)
N/A (if the patient)
DocumentManifest.recipient.resolve().relationship (if intended recipient - not patient)"</v>
      </c>
    </row>
    <row r="44" spans="4:4" x14ac:dyDescent="0.75">
      <c r="D44" s="115" t="str">
        <f>'Subj-Map-2'!D44</f>
        <v/>
      </c>
    </row>
    <row r="45" spans="4:4" x14ac:dyDescent="0.75">
      <c r="D45" s="115" t="str">
        <f>'Subj-Map-2'!D45</f>
        <v/>
      </c>
    </row>
    <row r="46" spans="4:4" x14ac:dyDescent="0.75">
      <c r="D46" s="115" t="str">
        <f>'Subj-Map-2'!D46</f>
        <v/>
      </c>
    </row>
    <row r="47" spans="4:4" x14ac:dyDescent="0.75">
      <c r="D47" s="115" t="str">
        <f>'Subj-Map-2'!D47</f>
        <v/>
      </c>
    </row>
    <row r="48" spans="4:4" x14ac:dyDescent="0.75">
      <c r="D48" s="115" t="str">
        <f>'Subj-Map-2'!D48</f>
        <v/>
      </c>
    </row>
    <row r="49" spans="4:4" x14ac:dyDescent="0.75">
      <c r="D49" s="115" t="str">
        <f>'Subj-Map-2'!D49</f>
        <v/>
      </c>
    </row>
    <row r="50" spans="4:4" x14ac:dyDescent="0.75">
      <c r="D50" s="115" t="str">
        <f>'Subj-Map-2'!D50</f>
        <v/>
      </c>
    </row>
    <row r="51" spans="4:4" x14ac:dyDescent="0.75">
      <c r="D51" s="115" t="str">
        <f>'Subj-Map-2'!D51</f>
        <v/>
      </c>
    </row>
    <row r="52" spans="4:4" x14ac:dyDescent="0.75">
      <c r="D52" s="115" t="str">
        <f>'Subj-Map-2'!D52</f>
        <v/>
      </c>
    </row>
    <row r="53" spans="4:4" x14ac:dyDescent="0.75">
      <c r="D53" s="115" t="str">
        <f>'Subj-Map-2'!D53</f>
        <v/>
      </c>
    </row>
    <row r="54" spans="4:4" x14ac:dyDescent="0.75">
      <c r="D54" s="115" t="str">
        <f>'Subj-Map-2'!D54</f>
        <v/>
      </c>
    </row>
    <row r="55" spans="4:4" x14ac:dyDescent="0.75">
      <c r="D55" s="115" t="str">
        <f>'Subj-Map-2'!D55</f>
        <v/>
      </c>
    </row>
    <row r="56" spans="4:4" x14ac:dyDescent="0.75">
      <c r="D56" s="115" t="str">
        <f>'Subj-Map-2'!D56</f>
        <v/>
      </c>
    </row>
    <row r="57" spans="4:4" x14ac:dyDescent="0.75">
      <c r="D57" s="115" t="str">
        <f>'Subj-Map-2'!D57</f>
        <v/>
      </c>
    </row>
    <row r="58" spans="4:4" x14ac:dyDescent="0.75">
      <c r="D58" s="115" t="str">
        <f>'Subj-Map-2'!D58</f>
        <v/>
      </c>
    </row>
    <row r="59" spans="4:4" x14ac:dyDescent="0.75">
      <c r="D59" s="115" t="str">
        <f>'Subj-Map-2'!D59</f>
        <v/>
      </c>
    </row>
    <row r="60" spans="4:4" x14ac:dyDescent="0.75">
      <c r="D60" s="115" t="str">
        <f>'Subj-Map-2'!D60</f>
        <v/>
      </c>
    </row>
    <row r="61" spans="4:4" x14ac:dyDescent="0.75">
      <c r="D61" s="115" t="str">
        <f>'Subj-Map-2'!D61</f>
        <v/>
      </c>
    </row>
    <row r="62" spans="4:4" x14ac:dyDescent="0.75">
      <c r="D62" s="115" t="str">
        <f>'Subj-Map-2'!D62</f>
        <v/>
      </c>
    </row>
    <row r="63" spans="4:4" x14ac:dyDescent="0.75">
      <c r="D63" s="115" t="str">
        <f>'Subj-Map-2'!D63</f>
        <v/>
      </c>
    </row>
    <row r="64" spans="4:4" x14ac:dyDescent="0.75">
      <c r="D64" s="115" t="str">
        <f>'Subj-Map-2'!D64</f>
        <v/>
      </c>
    </row>
    <row r="65" spans="4:4" x14ac:dyDescent="0.75">
      <c r="D65" s="115" t="str">
        <f>'Subj-Map-2'!D65</f>
        <v/>
      </c>
    </row>
    <row r="66" spans="4:4" x14ac:dyDescent="0.75">
      <c r="D66" s="115" t="str">
        <f>'Subj-Map-2'!D66</f>
        <v/>
      </c>
    </row>
    <row r="67" spans="4:4" x14ac:dyDescent="0.75">
      <c r="D67" s="115" t="str">
        <f>'Subj-Map-2'!D67</f>
        <v/>
      </c>
    </row>
    <row r="68" spans="4:4" x14ac:dyDescent="0.75">
      <c r="D68" s="115" t="str">
        <f>'Subj-Map-2'!D68</f>
        <v/>
      </c>
    </row>
    <row r="69" spans="4:4" x14ac:dyDescent="0.75">
      <c r="D69" s="115" t="str">
        <f>'Subj-Map-2'!D69</f>
        <v/>
      </c>
    </row>
    <row r="70" spans="4:4" x14ac:dyDescent="0.75">
      <c r="D70" s="115" t="str">
        <f>'Subj-Map-2'!D70</f>
        <v/>
      </c>
    </row>
    <row r="71" spans="4:4" x14ac:dyDescent="0.75">
      <c r="D71" s="115" t="str">
        <f>'Subj-Map-2'!D71</f>
        <v/>
      </c>
    </row>
    <row r="72" spans="4:4" x14ac:dyDescent="0.75">
      <c r="D72" s="115" t="str">
        <f>'Subj-Map-2'!D72</f>
        <v/>
      </c>
    </row>
    <row r="73" spans="4:4" x14ac:dyDescent="0.75">
      <c r="D73" s="115" t="str">
        <f>'Subj-Map-2'!D73</f>
        <v/>
      </c>
    </row>
    <row r="74" spans="4:4" x14ac:dyDescent="0.75">
      <c r="D74" s="115" t="str">
        <f>'Subj-Map-2'!D74</f>
        <v/>
      </c>
    </row>
    <row r="75" spans="4:4" x14ac:dyDescent="0.75">
      <c r="D75" s="115" t="str">
        <f>'Subj-Map-2'!D75</f>
        <v/>
      </c>
    </row>
    <row r="76" spans="4:4" x14ac:dyDescent="0.75">
      <c r="D76" s="115" t="str">
        <f>'Subj-Map-2'!D76</f>
        <v/>
      </c>
    </row>
    <row r="77" spans="4:4" x14ac:dyDescent="0.75">
      <c r="D77" s="115" t="str">
        <f>'Subj-Map-2'!D77</f>
        <v/>
      </c>
    </row>
    <row r="78" spans="4:4" x14ac:dyDescent="0.75">
      <c r="D78" s="115" t="str">
        <f>'Subj-Map-2'!D78</f>
        <v/>
      </c>
    </row>
    <row r="79" spans="4:4" x14ac:dyDescent="0.75">
      <c r="D79" s="115" t="str">
        <f>'Subj-Map-2'!D79</f>
        <v/>
      </c>
    </row>
    <row r="80" spans="4:4" x14ac:dyDescent="0.75">
      <c r="D80" s="115" t="str">
        <f>'Subj-Map-2'!D80</f>
        <v/>
      </c>
    </row>
    <row r="81" spans="4:4" x14ac:dyDescent="0.75">
      <c r="D81" s="115" t="str">
        <f>'Subj-Map-2'!D81</f>
        <v/>
      </c>
    </row>
    <row r="82" spans="4:4" x14ac:dyDescent="0.75">
      <c r="D82" s="115" t="str">
        <f>'Subj-Map-2'!D82</f>
        <v/>
      </c>
    </row>
    <row r="83" spans="4:4" x14ac:dyDescent="0.75">
      <c r="D83" s="115" t="str">
        <f>'Subj-Map-2'!D83</f>
        <v/>
      </c>
    </row>
    <row r="84" spans="4:4" x14ac:dyDescent="0.75">
      <c r="D84" s="115" t="str">
        <f>'Subj-Map-2'!D84</f>
        <v/>
      </c>
    </row>
    <row r="85" spans="4:4" x14ac:dyDescent="0.75">
      <c r="D85" s="115" t="str">
        <f>'Subj-Map-2'!D85</f>
        <v/>
      </c>
    </row>
    <row r="86" spans="4:4" x14ac:dyDescent="0.75">
      <c r="D86" s="115" t="str">
        <f>'Subj-Map-2'!D86</f>
        <v/>
      </c>
    </row>
    <row r="87" spans="4:4" x14ac:dyDescent="0.75">
      <c r="D87" s="115" t="str">
        <f>'Subj-Map-2'!D87</f>
        <v/>
      </c>
    </row>
    <row r="88" spans="4:4" x14ac:dyDescent="0.75">
      <c r="D88" s="115" t="str">
        <f>'Subj-Map-2'!D88</f>
        <v/>
      </c>
    </row>
    <row r="89" spans="4:4" x14ac:dyDescent="0.75">
      <c r="D89" s="115" t="str">
        <f>'Subj-Map-2'!D89</f>
        <v/>
      </c>
    </row>
    <row r="90" spans="4:4" x14ac:dyDescent="0.75">
      <c r="D90" s="115" t="str">
        <f>'Subj-Map-2'!D90</f>
        <v/>
      </c>
    </row>
    <row r="91" spans="4:4" x14ac:dyDescent="0.75">
      <c r="D91" s="115" t="str">
        <f>'Subj-Map-2'!D91</f>
        <v/>
      </c>
    </row>
    <row r="92" spans="4:4" x14ac:dyDescent="0.75">
      <c r="D92" s="115" t="str">
        <f>'Subj-Map-2'!D92</f>
        <v/>
      </c>
    </row>
    <row r="93" spans="4:4" x14ac:dyDescent="0.75">
      <c r="D93" s="115" t="str">
        <f>'Subj-Map-2'!D93</f>
        <v/>
      </c>
    </row>
    <row r="94" spans="4:4" x14ac:dyDescent="0.75">
      <c r="D94" s="115" t="str">
        <f>'Subj-Map-2'!D94</f>
        <v/>
      </c>
    </row>
    <row r="95" spans="4:4" x14ac:dyDescent="0.75">
      <c r="D95" s="115" t="str">
        <f>'Subj-Map-2'!D95</f>
        <v/>
      </c>
    </row>
    <row r="96" spans="4:4" x14ac:dyDescent="0.75">
      <c r="D96" s="115" t="str">
        <f>'Subj-Map-2'!D96</f>
        <v/>
      </c>
    </row>
    <row r="97" spans="4:4" x14ac:dyDescent="0.75">
      <c r="D97" s="115" t="str">
        <f>'Subj-Map-2'!D97</f>
        <v/>
      </c>
    </row>
    <row r="98" spans="4:4" x14ac:dyDescent="0.75">
      <c r="D98" s="115" t="str">
        <f>'Subj-Map-2'!D98</f>
        <v/>
      </c>
    </row>
    <row r="99" spans="4:4" x14ac:dyDescent="0.75">
      <c r="D99" s="115" t="str">
        <f>'Subj-Map-2'!D99</f>
        <v/>
      </c>
    </row>
    <row r="100" spans="4:4" x14ac:dyDescent="0.75">
      <c r="D100" s="115" t="str">
        <f>'Subj-Map-2'!D100</f>
        <v/>
      </c>
    </row>
    <row r="101" spans="4:4" x14ac:dyDescent="0.75">
      <c r="D101" s="115" t="str">
        <f>'Subj-Map-2'!D101</f>
        <v/>
      </c>
    </row>
    <row r="102" spans="4:4" x14ac:dyDescent="0.75">
      <c r="D102" s="115" t="str">
        <f>'Subj-Map-2'!D102</f>
        <v/>
      </c>
    </row>
    <row r="103" spans="4:4" x14ac:dyDescent="0.75">
      <c r="D103" s="115" t="str">
        <f>'Subj-Map-2'!D103</f>
        <v/>
      </c>
    </row>
    <row r="104" spans="4:4" x14ac:dyDescent="0.75">
      <c r="D104" s="115" t="str">
        <f>'Subj-Map-2'!D104</f>
        <v/>
      </c>
    </row>
    <row r="105" spans="4:4" x14ac:dyDescent="0.75">
      <c r="D105" s="115" t="str">
        <f>'Subj-Map-2'!D105</f>
        <v/>
      </c>
    </row>
    <row r="106" spans="4:4" x14ac:dyDescent="0.75">
      <c r="D106" s="115" t="str">
        <f>'Subj-Map-2'!D106</f>
        <v/>
      </c>
    </row>
    <row r="107" spans="4:4" x14ac:dyDescent="0.75">
      <c r="D107" s="115" t="str">
        <f>'Subj-Map-2'!D107</f>
        <v/>
      </c>
    </row>
    <row r="108" spans="4:4" x14ac:dyDescent="0.75">
      <c r="D108" s="110"/>
    </row>
    <row r="110" spans="4:4" x14ac:dyDescent="0.75">
      <c r="D110" s="27" t="str">
        <f>'Subj-Map2-2'!D3</f>
        <v>* differential.element[0].mapping[1].identity = "cda"</v>
      </c>
    </row>
    <row r="111" spans="4:4" x14ac:dyDescent="0.75">
      <c r="D111" s="115" t="str">
        <f>'Subj-Map2-2'!D4</f>
        <v>* differential.element[0].mapping[1].map = "ClinicalDocument.recordTarget.patientRole"</v>
      </c>
    </row>
    <row r="112" spans="4:4" x14ac:dyDescent="0.75">
      <c r="D112" s="115" t="str">
        <f>'Subj-Map2-2'!D5</f>
        <v/>
      </c>
    </row>
    <row r="113" spans="4:4" x14ac:dyDescent="0.75">
      <c r="D113" s="115" t="str">
        <f>'Subj-Map2-2'!D6</f>
        <v>* differential.element[1].mapping[1].identity = "cda"</v>
      </c>
    </row>
    <row r="114" spans="4:4" x14ac:dyDescent="0.75">
      <c r="D114" s="115" t="str">
        <f>'Subj-Map2-2'!D7</f>
        <v>* differential.element[1].mapping[1].map = ".id"</v>
      </c>
    </row>
    <row r="115" spans="4:4" x14ac:dyDescent="0.75">
      <c r="D115" s="115" t="str">
        <f>'Subj-Map2-2'!D8</f>
        <v/>
      </c>
    </row>
    <row r="116" spans="4:4" x14ac:dyDescent="0.75">
      <c r="D116" s="115" t="str">
        <f>'Subj-Map2-2'!D9</f>
        <v>* differential.element[2].mapping[1].identity = "cda"</v>
      </c>
    </row>
    <row r="117" spans="4:4" x14ac:dyDescent="0.75">
      <c r="D117" s="115" t="str">
        <f>'Subj-Map2-2'!D10</f>
        <v>* differential.element[2].mapping[1].map = ".patient.name"</v>
      </c>
    </row>
    <row r="118" spans="4:4" x14ac:dyDescent="0.75">
      <c r="D118" s="115" t="str">
        <f>'Subj-Map2-2'!D11</f>
        <v/>
      </c>
    </row>
    <row r="119" spans="4:4" x14ac:dyDescent="0.75">
      <c r="D119" s="115" t="str">
        <f>'Subj-Map2-2'!D12</f>
        <v>* differential.element[3].mapping[1].identity = "cda"</v>
      </c>
    </row>
    <row r="120" spans="4:4" x14ac:dyDescent="0.75">
      <c r="D120" s="115" t="str">
        <f>'Subj-Map2-2'!D13</f>
        <v>* differential.element[3].mapping[1].map = ".patient.name.family"</v>
      </c>
    </row>
    <row r="121" spans="4:4" x14ac:dyDescent="0.75">
      <c r="D121" s="115" t="str">
        <f>'Subj-Map2-2'!D14</f>
        <v/>
      </c>
    </row>
    <row r="122" spans="4:4" x14ac:dyDescent="0.75">
      <c r="D122" s="115" t="str">
        <f>'Subj-Map2-2'!D15</f>
        <v>* differential.element[4].mapping[1].identity = "cda"</v>
      </c>
    </row>
    <row r="123" spans="4:4" x14ac:dyDescent="0.75">
      <c r="D123" s="115" t="str">
        <f>'Subj-Map2-2'!D16</f>
        <v>* differential.element[4].mapping[1].map = ".patient.name.family"</v>
      </c>
    </row>
    <row r="124" spans="4:4" x14ac:dyDescent="0.75">
      <c r="D124" s="115" t="str">
        <f>'Subj-Map2-2'!D17</f>
        <v/>
      </c>
    </row>
    <row r="125" spans="4:4" x14ac:dyDescent="0.75">
      <c r="D125" s="115" t="str">
        <f>'Subj-Map2-2'!D18</f>
        <v>* differential.element[5].mapping[1].identity = "cda"</v>
      </c>
    </row>
    <row r="126" spans="4:4" x14ac:dyDescent="0.75">
      <c r="D126" s="115" t="str">
        <f>'Subj-Map2-2'!D19</f>
        <v>* differential.element[5].mapping[1].map = ".patient.name.given"</v>
      </c>
    </row>
    <row r="127" spans="4:4" x14ac:dyDescent="0.75">
      <c r="D127" s="115" t="str">
        <f>'Subj-Map2-2'!D20</f>
        <v/>
      </c>
    </row>
    <row r="128" spans="4:4" x14ac:dyDescent="0.75">
      <c r="D128" s="115" t="str">
        <f>'Subj-Map2-2'!D21</f>
        <v>* differential.element[6].mapping[1].identity = "cda"</v>
      </c>
    </row>
    <row r="129" spans="4:4" x14ac:dyDescent="0.75">
      <c r="D129" s="115" t="str">
        <f>'Subj-Map2-2'!D22</f>
        <v>* differential.element[6].mapping[1].map = ".patient.name.family"</v>
      </c>
    </row>
    <row r="130" spans="4:4" x14ac:dyDescent="0.75">
      <c r="D130" s="115" t="str">
        <f>'Subj-Map2-2'!D23</f>
        <v/>
      </c>
    </row>
    <row r="131" spans="4:4" x14ac:dyDescent="0.75">
      <c r="D131" s="115" t="str">
        <f>'Subj-Map2-2'!D24</f>
        <v>* differential.element[7].mapping[1].identity = "cda"</v>
      </c>
    </row>
    <row r="132" spans="4:4" x14ac:dyDescent="0.75">
      <c r="D132" s="115" t="str">
        <f>'Subj-Map2-2'!D25</f>
        <v>* differential.element[7].mapping[1].map = ".patient.administrativeGenderCode"</v>
      </c>
    </row>
    <row r="133" spans="4:4" x14ac:dyDescent="0.75">
      <c r="D133" s="115" t="str">
        <f>'Subj-Map2-2'!D26</f>
        <v/>
      </c>
    </row>
    <row r="134" spans="4:4" x14ac:dyDescent="0.75">
      <c r="D134" s="115" t="str">
        <f>'Subj-Map2-2'!D27</f>
        <v>* differential.element[8].mapping[1].identity = "cda"</v>
      </c>
    </row>
    <row r="135" spans="4:4" x14ac:dyDescent="0.75">
      <c r="D135" s="115" t="str">
        <f>'Subj-Map2-2'!D28</f>
        <v>* differential.element[8].mapping[1].map = ".patient.birthTime"</v>
      </c>
    </row>
    <row r="136" spans="4:4" x14ac:dyDescent="0.75">
      <c r="D136" s="115" t="str">
        <f>'Subj-Map2-2'!D29</f>
        <v/>
      </c>
    </row>
    <row r="137" spans="4:4" x14ac:dyDescent="0.75">
      <c r="D137" s="115" t="str">
        <f>'Subj-Map2-2'!D30</f>
        <v>* differential.element[9].mapping[1].identity = "cda"</v>
      </c>
    </row>
    <row r="138" spans="4:4" x14ac:dyDescent="0.75">
      <c r="D138" s="115" t="str">
        <f>'Subj-Map2-2'!D31</f>
        <v>* differential.element[9].mapping[1].map = ".patient.birthplace"</v>
      </c>
    </row>
    <row r="139" spans="4:4" x14ac:dyDescent="0.75">
      <c r="D139" s="115" t="str">
        <f>'Subj-Map2-2'!D32</f>
        <v/>
      </c>
    </row>
    <row r="140" spans="4:4" x14ac:dyDescent="0.75">
      <c r="D140" s="115" t="str">
        <f>'Subj-Map2-2'!D33</f>
        <v>* differential.element[10].mapping[1].identity = "cda"</v>
      </c>
    </row>
    <row r="141" spans="4:4" x14ac:dyDescent="0.75">
      <c r="D141" s="115" t="str">
        <f>'Subj-Map2-2'!D34</f>
        <v>* differential.element[10].mapping[1].map = "ClinicalDocument.participant"</v>
      </c>
    </row>
    <row r="142" spans="4:4" x14ac:dyDescent="0.75">
      <c r="D142" s="115" t="str">
        <f>'Subj-Map2-2'!D35</f>
        <v/>
      </c>
    </row>
    <row r="143" spans="4:4" x14ac:dyDescent="0.75">
      <c r="D143" s="115" t="str">
        <f>'Subj-Map2-2'!D36</f>
        <v>* differential.element[11].mapping[1].identity = "cda"</v>
      </c>
    </row>
    <row r="144" spans="4:4" x14ac:dyDescent="0.75">
      <c r="D144" s="115" t="str">
        <f>'Subj-Map2-2'!D37</f>
        <v>* differential.element[11].mapping[1].map = ".associatedEntity.telecom"</v>
      </c>
    </row>
    <row r="145" spans="4:4" x14ac:dyDescent="0.75">
      <c r="D145" s="115" t="str">
        <f>'Subj-Map2-2'!D38</f>
        <v/>
      </c>
    </row>
    <row r="146" spans="4:4" x14ac:dyDescent="0.75">
      <c r="D146" s="115" t="str">
        <f>'Subj-Map2-2'!D39</f>
        <v>* differential.element[12].mapping[1].identity = "cda"</v>
      </c>
    </row>
    <row r="147" spans="4:4" x14ac:dyDescent="0.75">
      <c r="D147" s="115" t="str">
        <f>'Subj-Map2-2'!D40</f>
        <v>* differential.element[12].mapping[1].map = ".associatedEntity.telecom"</v>
      </c>
    </row>
    <row r="148" spans="4:4" x14ac:dyDescent="0.75">
      <c r="D148" s="115" t="str">
        <f>'Subj-Map2-2'!D41</f>
        <v/>
      </c>
    </row>
    <row r="149" spans="4:4" x14ac:dyDescent="0.75">
      <c r="D149" s="115" t="str">
        <f>'Subj-Map2-2'!D42</f>
        <v/>
      </c>
    </row>
    <row r="150" spans="4:4" x14ac:dyDescent="0.75">
      <c r="D150" s="115" t="str">
        <f>'Subj-Map2-2'!D43</f>
        <v/>
      </c>
    </row>
    <row r="151" spans="4:4" x14ac:dyDescent="0.75">
      <c r="D151" s="115" t="str">
        <f>'Subj-Map2-2'!D44</f>
        <v/>
      </c>
    </row>
    <row r="152" spans="4:4" x14ac:dyDescent="0.75">
      <c r="D152" s="115" t="str">
        <f>'Subj-Map2-2'!D45</f>
        <v/>
      </c>
    </row>
    <row r="153" spans="4:4" x14ac:dyDescent="0.75">
      <c r="D153" s="115" t="str">
        <f>'Subj-Map2-2'!D46</f>
        <v/>
      </c>
    </row>
    <row r="154" spans="4:4" x14ac:dyDescent="0.75">
      <c r="D154" s="115" t="str">
        <f>'Subj-Map2-2'!D47</f>
        <v/>
      </c>
    </row>
    <row r="155" spans="4:4" x14ac:dyDescent="0.75">
      <c r="D155" s="115" t="str">
        <f>'Subj-Map2-2'!D48</f>
        <v/>
      </c>
    </row>
    <row r="156" spans="4:4" x14ac:dyDescent="0.75">
      <c r="D156" s="115" t="str">
        <f>'Subj-Map2-2'!D49</f>
        <v/>
      </c>
    </row>
    <row r="157" spans="4:4" x14ac:dyDescent="0.75">
      <c r="D157" s="115" t="str">
        <f>'Subj-Map2-2'!D50</f>
        <v/>
      </c>
    </row>
    <row r="158" spans="4:4" x14ac:dyDescent="0.75">
      <c r="D158" s="115" t="str">
        <f>'Subj-Map2-2'!D51</f>
        <v/>
      </c>
    </row>
    <row r="159" spans="4:4" x14ac:dyDescent="0.75">
      <c r="D159" s="115" t="str">
        <f>'Subj-Map2-2'!D52</f>
        <v/>
      </c>
    </row>
    <row r="160" spans="4:4" x14ac:dyDescent="0.75">
      <c r="D160" s="115" t="str">
        <f>'Subj-Map2-2'!D53</f>
        <v/>
      </c>
    </row>
    <row r="161" spans="4:4" x14ac:dyDescent="0.75">
      <c r="D161" s="115" t="str">
        <f>'Subj-Map2-2'!D54</f>
        <v/>
      </c>
    </row>
    <row r="162" spans="4:4" x14ac:dyDescent="0.75">
      <c r="D162" s="115" t="str">
        <f>'Subj-Map2-2'!D55</f>
        <v/>
      </c>
    </row>
    <row r="163" spans="4:4" x14ac:dyDescent="0.75">
      <c r="D163" s="115" t="str">
        <f>'Subj-Map2-2'!D56</f>
        <v/>
      </c>
    </row>
    <row r="164" spans="4:4" x14ac:dyDescent="0.75">
      <c r="D164" s="115" t="str">
        <f>'Subj-Map2-2'!D57</f>
        <v/>
      </c>
    </row>
    <row r="165" spans="4:4" x14ac:dyDescent="0.75">
      <c r="D165" s="115" t="str">
        <f>'Subj-Map2-2'!D58</f>
        <v/>
      </c>
    </row>
    <row r="166" spans="4:4" x14ac:dyDescent="0.75">
      <c r="D166" s="115" t="str">
        <f>'Subj-Map2-2'!D59</f>
        <v/>
      </c>
    </row>
    <row r="167" spans="4:4" x14ac:dyDescent="0.75">
      <c r="D167" s="115" t="str">
        <f>'Subj-Map2-2'!D60</f>
        <v/>
      </c>
    </row>
    <row r="168" spans="4:4" x14ac:dyDescent="0.75">
      <c r="D168" s="115" t="str">
        <f>'Subj-Map2-2'!D61</f>
        <v/>
      </c>
    </row>
    <row r="169" spans="4:4" x14ac:dyDescent="0.75">
      <c r="D169" s="115" t="str">
        <f>'Subj-Map2-2'!D62</f>
        <v/>
      </c>
    </row>
    <row r="170" spans="4:4" x14ac:dyDescent="0.75">
      <c r="D170" s="115" t="str">
        <f>'Subj-Map2-2'!D63</f>
        <v/>
      </c>
    </row>
    <row r="171" spans="4:4" x14ac:dyDescent="0.75">
      <c r="D171" s="115" t="str">
        <f>'Subj-Map2-2'!D64</f>
        <v/>
      </c>
    </row>
    <row r="172" spans="4:4" x14ac:dyDescent="0.75">
      <c r="D172" s="115" t="str">
        <f>'Subj-Map2-2'!D65</f>
        <v/>
      </c>
    </row>
    <row r="173" spans="4:4" x14ac:dyDescent="0.75">
      <c r="D173" s="115" t="str">
        <f>'Subj-Map2-2'!D66</f>
        <v/>
      </c>
    </row>
    <row r="174" spans="4:4" x14ac:dyDescent="0.75">
      <c r="D174" s="115" t="str">
        <f>'Subj-Map2-2'!D67</f>
        <v/>
      </c>
    </row>
    <row r="175" spans="4:4" x14ac:dyDescent="0.75">
      <c r="D175" s="115" t="str">
        <f>'Subj-Map2-2'!D68</f>
        <v/>
      </c>
    </row>
    <row r="176" spans="4:4" x14ac:dyDescent="0.75">
      <c r="D176" s="115" t="str">
        <f>'Subj-Map2-2'!D69</f>
        <v/>
      </c>
    </row>
    <row r="177" spans="4:4" x14ac:dyDescent="0.75">
      <c r="D177" s="115" t="str">
        <f>'Subj-Map2-2'!D70</f>
        <v/>
      </c>
    </row>
    <row r="178" spans="4:4" x14ac:dyDescent="0.75">
      <c r="D178" s="115" t="str">
        <f>'Subj-Map2-2'!D71</f>
        <v/>
      </c>
    </row>
    <row r="179" spans="4:4" x14ac:dyDescent="0.75">
      <c r="D179" s="115" t="str">
        <f>'Subj-Map2-2'!D72</f>
        <v/>
      </c>
    </row>
    <row r="180" spans="4:4" x14ac:dyDescent="0.75">
      <c r="D180" s="115" t="str">
        <f>'Subj-Map2-2'!D73</f>
        <v/>
      </c>
    </row>
    <row r="181" spans="4:4" x14ac:dyDescent="0.75">
      <c r="D181" s="115" t="str">
        <f>'Subj-Map2-2'!D74</f>
        <v/>
      </c>
    </row>
    <row r="182" spans="4:4" x14ac:dyDescent="0.75">
      <c r="D182" s="115" t="str">
        <f>'Subj-Map2-2'!D75</f>
        <v/>
      </c>
    </row>
    <row r="183" spans="4:4" x14ac:dyDescent="0.75">
      <c r="D183" s="115" t="str">
        <f>'Subj-Map2-2'!D76</f>
        <v/>
      </c>
    </row>
    <row r="184" spans="4:4" x14ac:dyDescent="0.75">
      <c r="D184" s="115" t="str">
        <f>'Subj-Map2-2'!D77</f>
        <v/>
      </c>
    </row>
    <row r="185" spans="4:4" x14ac:dyDescent="0.75">
      <c r="D185" s="115" t="str">
        <f>'Subj-Map2-2'!D78</f>
        <v/>
      </c>
    </row>
    <row r="186" spans="4:4" x14ac:dyDescent="0.75">
      <c r="D186" s="115" t="str">
        <f>'Subj-Map2-2'!D79</f>
        <v/>
      </c>
    </row>
    <row r="187" spans="4:4" x14ac:dyDescent="0.75">
      <c r="D187" s="115" t="str">
        <f>'Subj-Map2-2'!D80</f>
        <v/>
      </c>
    </row>
    <row r="188" spans="4:4" x14ac:dyDescent="0.75">
      <c r="D188" s="115" t="str">
        <f>'Subj-Map2-2'!D81</f>
        <v/>
      </c>
    </row>
    <row r="189" spans="4:4" x14ac:dyDescent="0.75">
      <c r="D189" s="115" t="str">
        <f>'Subj-Map2-2'!D82</f>
        <v/>
      </c>
    </row>
    <row r="190" spans="4:4" x14ac:dyDescent="0.75">
      <c r="D190" s="115" t="str">
        <f>'Subj-Map2-2'!D83</f>
        <v/>
      </c>
    </row>
    <row r="191" spans="4:4" x14ac:dyDescent="0.75">
      <c r="D191" s="115" t="str">
        <f>'Subj-Map2-2'!D84</f>
        <v/>
      </c>
    </row>
    <row r="192" spans="4:4" x14ac:dyDescent="0.75">
      <c r="D192" s="115" t="str">
        <f>'Subj-Map2-2'!D85</f>
        <v/>
      </c>
    </row>
    <row r="193" spans="4:4" x14ac:dyDescent="0.75">
      <c r="D193" s="115" t="str">
        <f>'Subj-Map2-2'!D86</f>
        <v/>
      </c>
    </row>
    <row r="194" spans="4:4" x14ac:dyDescent="0.75">
      <c r="D194" s="115" t="str">
        <f>'Subj-Map2-2'!D87</f>
        <v/>
      </c>
    </row>
    <row r="195" spans="4:4" x14ac:dyDescent="0.75">
      <c r="D195" s="115" t="str">
        <f>'Subj-Map2-2'!D88</f>
        <v/>
      </c>
    </row>
    <row r="196" spans="4:4" x14ac:dyDescent="0.75">
      <c r="D196" s="115" t="str">
        <f>'Subj-Map2-2'!D89</f>
        <v/>
      </c>
    </row>
    <row r="197" spans="4:4" x14ac:dyDescent="0.75">
      <c r="D197" s="115" t="str">
        <f>'Subj-Map2-2'!D90</f>
        <v/>
      </c>
    </row>
    <row r="198" spans="4:4" x14ac:dyDescent="0.75">
      <c r="D198" s="115" t="str">
        <f>'Subj-Map2-2'!D91</f>
        <v/>
      </c>
    </row>
    <row r="199" spans="4:4" x14ac:dyDescent="0.75">
      <c r="D199" s="115" t="str">
        <f>'Subj-Map2-2'!D92</f>
        <v/>
      </c>
    </row>
    <row r="200" spans="4:4" x14ac:dyDescent="0.75">
      <c r="D200" s="115" t="str">
        <f>'Subj-Map2-2'!D93</f>
        <v/>
      </c>
    </row>
    <row r="201" spans="4:4" x14ac:dyDescent="0.75">
      <c r="D201" s="115" t="str">
        <f>'Subj-Map2-2'!D94</f>
        <v/>
      </c>
    </row>
    <row r="202" spans="4:4" x14ac:dyDescent="0.75">
      <c r="D202" s="115" t="str">
        <f>'Subj-Map2-2'!D95</f>
        <v/>
      </c>
    </row>
    <row r="203" spans="4:4" x14ac:dyDescent="0.75">
      <c r="D203" s="115" t="str">
        <f>'Subj-Map2-2'!D96</f>
        <v/>
      </c>
    </row>
    <row r="204" spans="4:4" x14ac:dyDescent="0.75">
      <c r="D204" s="115" t="str">
        <f>'Subj-Map2-2'!D97</f>
        <v/>
      </c>
    </row>
    <row r="205" spans="4:4" x14ac:dyDescent="0.75">
      <c r="D205" s="115" t="str">
        <f>'Subj-Map2-2'!D98</f>
        <v/>
      </c>
    </row>
    <row r="206" spans="4:4" x14ac:dyDescent="0.75">
      <c r="D206" s="115" t="str">
        <f>'Subj-Map2-2'!D99</f>
        <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topLeftCell="A22" workbookViewId="0">
      <selection activeCell="A10" sqref="A10:A32"/>
    </sheetView>
  </sheetViews>
  <sheetFormatPr defaultRowHeight="14.75" x14ac:dyDescent="0.75"/>
  <cols>
    <col min="1" max="1" width="8.7265625" style="113"/>
    <col min="2" max="2" width="48" style="113" customWidth="1"/>
    <col min="3" max="3" width="44.6328125" style="113" customWidth="1"/>
    <col min="4" max="4" width="71.58984375" style="113" bestFit="1" customWidth="1"/>
    <col min="5" max="5" width="12.1796875" style="113" customWidth="1"/>
    <col min="6" max="6" width="20.7265625" style="113" customWidth="1"/>
    <col min="7" max="7" width="15.2265625" style="113" bestFit="1" customWidth="1"/>
    <col min="8" max="8" width="33.90625" style="113" customWidth="1"/>
    <col min="9" max="9" width="19.31640625" style="113" customWidth="1"/>
    <col min="10" max="16384" width="8.7265625" style="113"/>
  </cols>
  <sheetData>
    <row r="1" spans="1:9" x14ac:dyDescent="0.75">
      <c r="B1" s="120" t="s">
        <v>34</v>
      </c>
      <c r="C1" s="125" t="s">
        <v>33</v>
      </c>
      <c r="D1" s="57" t="s">
        <v>6</v>
      </c>
    </row>
    <row r="2" spans="1:9" x14ac:dyDescent="0.75">
      <c r="B2" s="121" t="s">
        <v>69</v>
      </c>
      <c r="C2" s="126" t="s">
        <v>93</v>
      </c>
      <c r="D2" s="126" t="s">
        <v>93</v>
      </c>
    </row>
    <row r="3" spans="1:9" x14ac:dyDescent="0.75">
      <c r="B3" s="122" t="s">
        <v>35</v>
      </c>
      <c r="C3" s="127" t="s">
        <v>46</v>
      </c>
      <c r="D3" s="59"/>
    </row>
    <row r="4" spans="1:9" ht="15.5" thickBot="1" x14ac:dyDescent="0.9">
      <c r="B4" s="123" t="s">
        <v>70</v>
      </c>
      <c r="C4" s="128" t="s">
        <v>93</v>
      </c>
      <c r="D4" s="60"/>
    </row>
    <row r="5" spans="1:9" x14ac:dyDescent="0.75">
      <c r="B5" s="114"/>
      <c r="C5" s="3" t="s">
        <v>7</v>
      </c>
      <c r="D5" s="4" t="s">
        <v>8</v>
      </c>
      <c r="E5" s="12" t="s">
        <v>17</v>
      </c>
      <c r="F5" s="12" t="s">
        <v>18</v>
      </c>
      <c r="G5" s="12" t="s">
        <v>19</v>
      </c>
    </row>
    <row r="6" spans="1:9" x14ac:dyDescent="0.75">
      <c r="A6" s="113">
        <v>0</v>
      </c>
      <c r="B6" s="34" t="s">
        <v>93</v>
      </c>
      <c r="C6" s="34" t="s">
        <v>93</v>
      </c>
      <c r="D6" s="17" t="s">
        <v>93</v>
      </c>
      <c r="E6" s="35">
        <v>1</v>
      </c>
      <c r="F6" s="35">
        <v>1</v>
      </c>
      <c r="G6" s="35"/>
    </row>
    <row r="7" spans="1:9" x14ac:dyDescent="0.75">
      <c r="A7" s="113">
        <v>1</v>
      </c>
      <c r="B7" s="115" t="s">
        <v>1147</v>
      </c>
      <c r="C7" s="116" t="s">
        <v>1149</v>
      </c>
      <c r="D7" s="116" t="s">
        <v>1148</v>
      </c>
      <c r="E7" s="115">
        <v>1</v>
      </c>
      <c r="F7" s="115">
        <v>1</v>
      </c>
      <c r="G7" s="115" t="s">
        <v>0</v>
      </c>
      <c r="H7" s="115"/>
      <c r="I7" s="115"/>
    </row>
    <row r="8" spans="1:9" ht="29.5" x14ac:dyDescent="0.75">
      <c r="A8" s="113">
        <v>2</v>
      </c>
      <c r="B8" s="115" t="s">
        <v>977</v>
      </c>
      <c r="C8" s="116" t="s">
        <v>988</v>
      </c>
      <c r="D8" s="116" t="s">
        <v>322</v>
      </c>
      <c r="E8" s="115">
        <v>1</v>
      </c>
      <c r="F8" s="115">
        <v>1</v>
      </c>
      <c r="G8" s="115" t="s">
        <v>2</v>
      </c>
      <c r="H8" s="115"/>
      <c r="I8" s="115"/>
    </row>
    <row r="9" spans="1:9" ht="29.5" x14ac:dyDescent="0.75">
      <c r="A9" s="113">
        <v>3</v>
      </c>
      <c r="B9" s="115" t="s">
        <v>978</v>
      </c>
      <c r="C9" s="116" t="s">
        <v>989</v>
      </c>
      <c r="D9" s="116" t="s">
        <v>325</v>
      </c>
      <c r="E9" s="115">
        <v>1</v>
      </c>
      <c r="F9" s="115">
        <v>1</v>
      </c>
      <c r="G9" s="115" t="s">
        <v>2</v>
      </c>
      <c r="H9" s="115"/>
      <c r="I9" s="115"/>
    </row>
    <row r="10" spans="1:9" ht="29.5" x14ac:dyDescent="0.75">
      <c r="A10" s="113">
        <v>4</v>
      </c>
      <c r="B10" s="116" t="s">
        <v>966</v>
      </c>
      <c r="C10" s="116" t="s">
        <v>990</v>
      </c>
      <c r="D10" s="116" t="s">
        <v>317</v>
      </c>
      <c r="E10" s="115">
        <v>0</v>
      </c>
      <c r="F10" s="115">
        <v>1</v>
      </c>
      <c r="G10" s="115" t="s">
        <v>5</v>
      </c>
      <c r="H10" s="115"/>
      <c r="I10" s="115"/>
    </row>
    <row r="11" spans="1:9" x14ac:dyDescent="0.75">
      <c r="A11" s="113">
        <v>5</v>
      </c>
      <c r="B11" s="116" t="s">
        <v>969</v>
      </c>
      <c r="C11" s="116" t="s">
        <v>972</v>
      </c>
      <c r="D11" s="116" t="s">
        <v>991</v>
      </c>
      <c r="E11" s="115">
        <v>0</v>
      </c>
      <c r="F11" s="115">
        <v>1</v>
      </c>
      <c r="G11" s="115" t="s">
        <v>3</v>
      </c>
      <c r="H11" s="115"/>
      <c r="I11" s="115"/>
    </row>
    <row r="12" spans="1:9" x14ac:dyDescent="0.75">
      <c r="A12" s="113">
        <v>6</v>
      </c>
      <c r="B12" s="116" t="s">
        <v>967</v>
      </c>
      <c r="C12" s="116" t="s">
        <v>973</v>
      </c>
      <c r="D12" s="116" t="s">
        <v>973</v>
      </c>
      <c r="E12" s="115">
        <v>0</v>
      </c>
      <c r="F12" s="115">
        <v>1</v>
      </c>
      <c r="G12" s="115" t="s">
        <v>3</v>
      </c>
      <c r="H12" s="115"/>
      <c r="I12" s="115"/>
    </row>
    <row r="13" spans="1:9" x14ac:dyDescent="0.75">
      <c r="A13" s="113">
        <v>7</v>
      </c>
      <c r="B13" s="116" t="s">
        <v>968</v>
      </c>
      <c r="C13" s="116" t="s">
        <v>974</v>
      </c>
      <c r="D13" s="116" t="s">
        <v>974</v>
      </c>
      <c r="E13" s="115">
        <v>0</v>
      </c>
      <c r="F13" s="115">
        <v>1</v>
      </c>
      <c r="G13" s="115" t="s">
        <v>5</v>
      </c>
      <c r="H13" s="115"/>
      <c r="I13" s="115"/>
    </row>
    <row r="14" spans="1:9" x14ac:dyDescent="0.75">
      <c r="A14" s="113">
        <v>8</v>
      </c>
      <c r="B14" s="116" t="s">
        <v>970</v>
      </c>
      <c r="C14" s="116" t="s">
        <v>975</v>
      </c>
      <c r="D14" s="116" t="s">
        <v>975</v>
      </c>
      <c r="E14" s="115">
        <v>0</v>
      </c>
      <c r="F14" s="115">
        <v>1</v>
      </c>
      <c r="G14" s="115" t="s">
        <v>3</v>
      </c>
      <c r="H14" s="115"/>
      <c r="I14" s="115"/>
    </row>
    <row r="15" spans="1:9" x14ac:dyDescent="0.75">
      <c r="A15" s="113">
        <v>9</v>
      </c>
      <c r="B15" s="116" t="s">
        <v>971</v>
      </c>
      <c r="C15" s="116" t="s">
        <v>976</v>
      </c>
      <c r="D15" s="116" t="s">
        <v>976</v>
      </c>
      <c r="E15" s="115">
        <v>0</v>
      </c>
      <c r="F15" s="115">
        <v>1</v>
      </c>
      <c r="G15" s="115" t="s">
        <v>3</v>
      </c>
      <c r="H15" s="115"/>
      <c r="I15" s="115"/>
    </row>
    <row r="16" spans="1:9" x14ac:dyDescent="0.75">
      <c r="A16" s="113">
        <v>10</v>
      </c>
      <c r="B16" s="116" t="s">
        <v>941</v>
      </c>
      <c r="C16" s="116" t="s">
        <v>942</v>
      </c>
      <c r="D16" s="116" t="s">
        <v>943</v>
      </c>
      <c r="E16" s="115">
        <v>1</v>
      </c>
      <c r="F16" s="115">
        <v>20</v>
      </c>
      <c r="G16" s="115" t="s">
        <v>5</v>
      </c>
      <c r="H16" s="115"/>
      <c r="I16" s="115"/>
    </row>
    <row r="17" spans="1:9" ht="103.25" x14ac:dyDescent="0.75">
      <c r="A17" s="113">
        <v>11</v>
      </c>
      <c r="B17" s="116" t="s">
        <v>944</v>
      </c>
      <c r="C17" s="116" t="s">
        <v>945</v>
      </c>
      <c r="D17" s="116" t="s">
        <v>946</v>
      </c>
      <c r="E17" s="115">
        <v>1</v>
      </c>
      <c r="F17" s="115">
        <v>1</v>
      </c>
      <c r="G17" s="115" t="s">
        <v>1</v>
      </c>
      <c r="H17" s="115"/>
      <c r="I17" s="115"/>
    </row>
    <row r="18" spans="1:9" x14ac:dyDescent="0.75">
      <c r="A18" s="113">
        <v>12</v>
      </c>
      <c r="B18" s="116" t="s">
        <v>1239</v>
      </c>
      <c r="C18" s="116" t="s">
        <v>1240</v>
      </c>
      <c r="D18" s="116" t="s">
        <v>1241</v>
      </c>
      <c r="E18" s="115">
        <v>0</v>
      </c>
      <c r="F18" s="115">
        <v>1</v>
      </c>
      <c r="G18" s="115" t="s">
        <v>1242</v>
      </c>
      <c r="H18" s="115"/>
      <c r="I18" s="115"/>
    </row>
    <row r="19" spans="1:9" x14ac:dyDescent="0.75">
      <c r="A19" s="113">
        <v>13</v>
      </c>
      <c r="B19" s="116" t="s">
        <v>947</v>
      </c>
      <c r="C19" s="116" t="s">
        <v>948</v>
      </c>
      <c r="D19" s="116" t="s">
        <v>949</v>
      </c>
      <c r="E19" s="115">
        <v>0</v>
      </c>
      <c r="F19" s="115">
        <v>1</v>
      </c>
      <c r="G19" s="115" t="s">
        <v>5</v>
      </c>
      <c r="H19" s="115"/>
      <c r="I19" s="115"/>
    </row>
    <row r="20" spans="1:9" ht="29.5" x14ac:dyDescent="0.75">
      <c r="A20" s="113">
        <v>14</v>
      </c>
      <c r="B20" s="116" t="s">
        <v>950</v>
      </c>
      <c r="C20" s="116" t="s">
        <v>951</v>
      </c>
      <c r="D20" s="115" t="s">
        <v>952</v>
      </c>
      <c r="E20" s="115">
        <v>0</v>
      </c>
      <c r="F20" s="115">
        <v>1</v>
      </c>
      <c r="G20" s="115" t="s">
        <v>1</v>
      </c>
      <c r="H20" s="115"/>
      <c r="I20" s="115"/>
    </row>
    <row r="21" spans="1:9" ht="44.25" x14ac:dyDescent="0.75">
      <c r="A21" s="113">
        <v>15</v>
      </c>
      <c r="B21" s="116" t="s">
        <v>979</v>
      </c>
      <c r="C21" s="116" t="s">
        <v>980</v>
      </c>
      <c r="D21" s="116" t="s">
        <v>993</v>
      </c>
      <c r="E21" s="115">
        <v>0</v>
      </c>
      <c r="F21" s="115">
        <v>1</v>
      </c>
      <c r="G21" s="115" t="s">
        <v>1</v>
      </c>
      <c r="H21" s="115"/>
      <c r="I21" s="115"/>
    </row>
    <row r="22" spans="1:9" ht="29.5" x14ac:dyDescent="0.75">
      <c r="A22" s="113">
        <v>16</v>
      </c>
      <c r="B22" s="116" t="s">
        <v>1179</v>
      </c>
      <c r="C22" s="116" t="s">
        <v>343</v>
      </c>
      <c r="D22" s="116" t="s">
        <v>347</v>
      </c>
      <c r="E22" s="115">
        <v>0</v>
      </c>
      <c r="F22" s="115">
        <v>1</v>
      </c>
      <c r="G22" s="115" t="s">
        <v>1</v>
      </c>
    </row>
    <row r="23" spans="1:9" ht="29.5" x14ac:dyDescent="0.75">
      <c r="A23" s="113">
        <v>17</v>
      </c>
      <c r="B23" s="116" t="s">
        <v>981</v>
      </c>
      <c r="C23" s="116" t="s">
        <v>348</v>
      </c>
      <c r="D23" s="116" t="s">
        <v>351</v>
      </c>
      <c r="E23" s="115">
        <v>0</v>
      </c>
      <c r="F23" s="115">
        <v>1</v>
      </c>
      <c r="G23" s="115" t="s">
        <v>3</v>
      </c>
    </row>
    <row r="24" spans="1:9" x14ac:dyDescent="0.75">
      <c r="A24" s="113">
        <v>18</v>
      </c>
      <c r="B24" s="116" t="s">
        <v>953</v>
      </c>
      <c r="C24" s="116" t="s">
        <v>954</v>
      </c>
      <c r="D24" s="116" t="s">
        <v>955</v>
      </c>
      <c r="E24" s="115">
        <v>0</v>
      </c>
      <c r="F24" s="115">
        <v>1</v>
      </c>
      <c r="G24" s="115" t="s">
        <v>956</v>
      </c>
      <c r="H24" s="115"/>
      <c r="I24" s="115"/>
    </row>
    <row r="25" spans="1:9" ht="88.5" x14ac:dyDescent="0.75">
      <c r="A25" s="113">
        <v>19</v>
      </c>
      <c r="B25" s="116" t="s">
        <v>957</v>
      </c>
      <c r="C25" s="116" t="s">
        <v>549</v>
      </c>
      <c r="D25" s="116" t="s">
        <v>958</v>
      </c>
      <c r="E25" s="115">
        <v>0</v>
      </c>
      <c r="F25" s="115">
        <v>1</v>
      </c>
      <c r="G25" s="115" t="s">
        <v>1</v>
      </c>
      <c r="H25" s="115"/>
      <c r="I25" s="115"/>
    </row>
    <row r="26" spans="1:9" ht="73.75" x14ac:dyDescent="0.75">
      <c r="A26" s="113">
        <v>20</v>
      </c>
      <c r="B26" s="116" t="s">
        <v>959</v>
      </c>
      <c r="C26" s="116" t="s">
        <v>340</v>
      </c>
      <c r="D26" s="116" t="s">
        <v>960</v>
      </c>
      <c r="E26" s="115">
        <v>0</v>
      </c>
      <c r="F26" s="115">
        <v>1</v>
      </c>
      <c r="G26" s="115" t="s">
        <v>1</v>
      </c>
      <c r="H26" s="115"/>
      <c r="I26" s="115"/>
    </row>
    <row r="27" spans="1:9" x14ac:dyDescent="0.75">
      <c r="A27" s="113">
        <v>21</v>
      </c>
      <c r="B27" s="14" t="s">
        <v>961</v>
      </c>
      <c r="C27" s="129" t="s">
        <v>962</v>
      </c>
      <c r="D27" s="129" t="s">
        <v>962</v>
      </c>
      <c r="E27" s="115">
        <v>0</v>
      </c>
      <c r="F27" s="115">
        <v>1</v>
      </c>
      <c r="G27" s="115" t="s">
        <v>5</v>
      </c>
      <c r="H27" s="115"/>
      <c r="I27" s="115"/>
    </row>
    <row r="28" spans="1:9" ht="59" x14ac:dyDescent="0.75">
      <c r="A28" s="113">
        <v>22</v>
      </c>
      <c r="B28" s="115" t="s">
        <v>985</v>
      </c>
      <c r="C28" s="116" t="s">
        <v>1145</v>
      </c>
      <c r="D28" s="116" t="s">
        <v>963</v>
      </c>
      <c r="E28" s="117">
        <v>0</v>
      </c>
      <c r="F28" s="117">
        <v>1</v>
      </c>
      <c r="G28" s="115" t="s">
        <v>1</v>
      </c>
    </row>
    <row r="29" spans="1:9" x14ac:dyDescent="0.75">
      <c r="A29" s="113">
        <v>23</v>
      </c>
      <c r="B29" s="115" t="s">
        <v>982</v>
      </c>
      <c r="C29" s="116" t="s">
        <v>992</v>
      </c>
      <c r="D29" s="116" t="s">
        <v>358</v>
      </c>
      <c r="E29" s="117">
        <v>0</v>
      </c>
      <c r="F29" s="117">
        <v>1</v>
      </c>
      <c r="G29" s="115" t="s">
        <v>984</v>
      </c>
    </row>
    <row r="30" spans="1:9" x14ac:dyDescent="0.75">
      <c r="A30" s="113">
        <v>24</v>
      </c>
      <c r="B30" s="115" t="s">
        <v>983</v>
      </c>
      <c r="C30" s="116" t="s">
        <v>1146</v>
      </c>
      <c r="D30" s="116" t="s">
        <v>362</v>
      </c>
      <c r="E30" s="117">
        <v>0</v>
      </c>
      <c r="F30" s="117" t="s">
        <v>20</v>
      </c>
      <c r="G30" s="115" t="s">
        <v>3</v>
      </c>
    </row>
    <row r="31" spans="1:9" x14ac:dyDescent="0.75">
      <c r="A31" s="113">
        <v>25</v>
      </c>
      <c r="B31" s="115" t="s">
        <v>986</v>
      </c>
      <c r="C31" s="116" t="s">
        <v>987</v>
      </c>
      <c r="D31" s="116" t="s">
        <v>366</v>
      </c>
      <c r="E31" s="115">
        <v>0</v>
      </c>
      <c r="F31" s="115">
        <v>1</v>
      </c>
      <c r="G31" s="115" t="s">
        <v>5</v>
      </c>
    </row>
    <row r="32" spans="1:9" x14ac:dyDescent="0.75">
      <c r="A32" s="113">
        <v>26</v>
      </c>
      <c r="B32" s="115" t="s">
        <v>994</v>
      </c>
      <c r="C32" s="116" t="s">
        <v>367</v>
      </c>
      <c r="D32" s="116" t="s">
        <v>370</v>
      </c>
      <c r="E32" s="117">
        <v>1</v>
      </c>
      <c r="F32" s="117" t="s">
        <v>20</v>
      </c>
      <c r="G32" s="115" t="s">
        <v>3</v>
      </c>
    </row>
    <row r="33" spans="1:7" x14ac:dyDescent="0.75">
      <c r="A33" s="115"/>
      <c r="B33" s="115"/>
      <c r="E33" s="117"/>
      <c r="F33" s="117"/>
      <c r="G33" s="115"/>
    </row>
    <row r="34" spans="1:7" x14ac:dyDescent="0.75">
      <c r="A34" s="115"/>
      <c r="B34" s="115"/>
      <c r="C34" s="30"/>
      <c r="D34" s="29"/>
      <c r="E34" s="117"/>
      <c r="F34" s="117"/>
      <c r="G34" s="115"/>
    </row>
    <row r="35" spans="1:7" x14ac:dyDescent="0.75">
      <c r="A35" s="115"/>
      <c r="B35" s="115"/>
      <c r="C35" s="30"/>
      <c r="D35" s="30"/>
      <c r="E35" s="117"/>
      <c r="F35" s="117"/>
      <c r="G35" s="115"/>
    </row>
    <row r="36" spans="1:7" x14ac:dyDescent="0.75">
      <c r="A36" s="115"/>
      <c r="B36" s="115"/>
      <c r="C36" s="30"/>
      <c r="D36" s="30"/>
      <c r="E36" s="117"/>
      <c r="F36" s="117"/>
      <c r="G36" s="115"/>
    </row>
    <row r="37" spans="1:7" x14ac:dyDescent="0.75">
      <c r="A37" s="115"/>
      <c r="B37" s="115"/>
      <c r="C37" s="28"/>
      <c r="D37" s="29"/>
      <c r="E37" s="117"/>
      <c r="F37" s="117"/>
      <c r="G37" s="115"/>
    </row>
    <row r="38" spans="1:7" x14ac:dyDescent="0.75">
      <c r="A38" s="115"/>
      <c r="B38" s="115"/>
      <c r="C38" s="29"/>
      <c r="D38" s="29"/>
      <c r="E38" s="117"/>
      <c r="F38" s="117"/>
      <c r="G38" s="115"/>
    </row>
    <row r="39" spans="1:7" x14ac:dyDescent="0.75">
      <c r="A39" s="115"/>
      <c r="B39" s="115"/>
      <c r="C39" s="30"/>
      <c r="D39" s="29"/>
      <c r="E39" s="117"/>
      <c r="F39" s="117"/>
      <c r="G39" s="115"/>
    </row>
    <row r="40" spans="1:7" x14ac:dyDescent="0.75">
      <c r="A40" s="115"/>
      <c r="B40" s="115"/>
      <c r="C40" s="30"/>
      <c r="D40" s="29"/>
      <c r="E40" s="117"/>
      <c r="F40" s="117"/>
      <c r="G40" s="115"/>
    </row>
    <row r="41" spans="1:7" x14ac:dyDescent="0.75">
      <c r="A41" s="115"/>
      <c r="B41" s="115"/>
      <c r="C41" s="30"/>
      <c r="D41" s="29"/>
      <c r="E41" s="117"/>
      <c r="F41" s="117"/>
      <c r="G41" s="115"/>
    </row>
    <row r="42" spans="1:7" x14ac:dyDescent="0.75">
      <c r="A42" s="115"/>
      <c r="B42" s="115"/>
      <c r="C42" s="30"/>
      <c r="D42" s="29"/>
      <c r="E42" s="117"/>
      <c r="F42" s="117"/>
      <c r="G42" s="115"/>
    </row>
    <row r="43" spans="1:7" x14ac:dyDescent="0.75">
      <c r="A43" s="115"/>
      <c r="B43" s="115"/>
      <c r="C43" s="30"/>
      <c r="D43" s="29"/>
      <c r="E43" s="117"/>
      <c r="F43" s="117"/>
      <c r="G43" s="115"/>
    </row>
  </sheetData>
  <pageMargins left="0.7" right="0.7" top="0.75" bottom="0.75" header="0.3" footer="0.3"/>
  <pageSetup paperSize="9"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topLeftCell="A16" zoomScale="85" zoomScaleNormal="85" workbookViewId="0">
      <selection activeCell="B2" sqref="B2:H27"/>
    </sheetView>
  </sheetViews>
  <sheetFormatPr defaultRowHeight="14.75" x14ac:dyDescent="0.75"/>
  <cols>
    <col min="1" max="1" width="8.7265625" style="113"/>
    <col min="2" max="2" width="44.26953125" style="114" customWidth="1"/>
    <col min="3" max="3" width="51.6796875" style="114" customWidth="1"/>
    <col min="4" max="4" width="45.86328125" style="114" customWidth="1"/>
    <col min="5" max="5" width="45.953125" style="114" customWidth="1"/>
    <col min="6" max="7" width="19.54296875" style="113" customWidth="1"/>
    <col min="8" max="8" width="25.6328125" style="113" customWidth="1"/>
    <col min="9" max="9" width="19.54296875" style="113" customWidth="1"/>
    <col min="10" max="10" width="89.90625" style="113" customWidth="1"/>
    <col min="11" max="16384" width="8.7265625" style="113"/>
  </cols>
  <sheetData>
    <row r="1" spans="2:10" ht="44.25" x14ac:dyDescent="0.75">
      <c r="B1" s="14" t="str">
        <f>CONCATENATE("* differential.element[",'Chemo-1'!A6,"].id = """,'Chemo-1'!B6,"""")</f>
        <v>* differential.element[0].id = "Chemotherapy"</v>
      </c>
      <c r="C1" s="14" t="str">
        <f>CONCATENATE("* differential.element[",'Chemo-1'!A6,"].path = """,'Chemo-1'!$B$6,"""")</f>
        <v>* differential.element[0].path = "Chemotherapy"</v>
      </c>
      <c r="D1" s="14" t="str">
        <f>CONCATENATE("* differential.element[",'Chemo-1'!A6,"].short = """,'Chemo-1'!C6,"""")</f>
        <v>* differential.element[0].short = "Chemotherapy"</v>
      </c>
      <c r="E1" s="14" t="str">
        <f>CONCATENATE("* differential.element[",'Chemo-1'!A6,"].definition = """,'Chemo-1'!D6,"""")</f>
        <v>* differential.element[0].definition = "Chemotherapy"</v>
      </c>
      <c r="F1" s="14" t="str">
        <f>CONCATENATE("* differential.element[",'Chemo-1'!A6,"].min = ",'Chemo-1'!E6,"")</f>
        <v>* differential.element[0].min = 1</v>
      </c>
      <c r="G1" s="14" t="str">
        <f>CONCATENATE("* differential.element[",'Chemo-1'!A6,"].max = """,'Chemo-1'!F6,"""")</f>
        <v>* differential.element[0].max = "1"</v>
      </c>
      <c r="H1" s="14"/>
    </row>
    <row r="2" spans="2:10" ht="44.25" x14ac:dyDescent="0.75">
      <c r="B2" s="116" t="str">
        <f>CONCATENATE("* differential.element[",'Chemo-1'!$A7,"].id = """,'Chemo-1'!$B$6,".",'Chemo-1'!B7,"""")</f>
        <v>* differential.element[1].id = "Chemotherapy.relatedDiagnosis"</v>
      </c>
      <c r="C2" s="116" t="str">
        <f>CONCATENATE("* differential.element[",'Chemo-1'!$A7,"].path = """,'Chemo-1'!$B$6,".",'Chemo-1'!$B7,"""")</f>
        <v>* differential.element[1].path = "Chemotherapy.relatedDiagnosis"</v>
      </c>
      <c r="D2" s="116" t="str">
        <f>CONCATENATE("* differential.element[",'Chemo-1'!$A7,"].short = """,'Chemo-1'!C7,"""")</f>
        <v>* differential.element[1].short = "Related Diagnosis"</v>
      </c>
      <c r="E2" s="116" t="str">
        <f>CONCATENATE("* differential.element[",'Chemo-1'!$A7,"].definition = """,'Chemo-1'!D7,"""")</f>
        <v>* differential.element[1].definition = "Identifier of the diagnosis for which this chemotherapy is performed"</v>
      </c>
      <c r="F2" s="116" t="str">
        <f>CONCATENATE("* differential.element[",'Chemo-1'!$A7,"].min = ",'Chemo-1'!E7,"")</f>
        <v>* differential.element[1].min = 1</v>
      </c>
      <c r="G2" s="116" t="str">
        <f>CONCATENATE("* differential.element[",'Chemo-1'!$A7,"].max = """,'Chemo-1'!F7,"""")</f>
        <v>* differential.element[1].max = "1"</v>
      </c>
      <c r="H2" s="116" t="str">
        <f>CONCATENATE("* differential.element[",'Chemo-1'!$A7,"].type.code = #",'Chemo-1'!G7,"")</f>
        <v>* differential.element[1].type.code = #Identifier</v>
      </c>
      <c r="I2" s="10"/>
      <c r="J2" s="113" t="s">
        <v>9</v>
      </c>
    </row>
    <row r="3" spans="2:10" ht="44.25" x14ac:dyDescent="0.75">
      <c r="B3" s="116" t="str">
        <f>CONCATENATE("* differential.element[",'Chemo-1'!$A8,"].id = """,'Chemo-1'!$B$6,".",'Chemo-1'!B8,"""")</f>
        <v>* differential.element[2].id = "Chemotherapy.startDate"</v>
      </c>
      <c r="C3" s="116" t="str">
        <f>CONCATENATE("* differential.element[",'Chemo-1'!$A8,"].path = """,'Chemo-1'!$B$6,".",'Chemo-1'!$B8,"""")</f>
        <v>* differential.element[2].path = "Chemotherapy.startDate"</v>
      </c>
      <c r="D3" s="116" t="str">
        <f>CONCATENATE("* differential.element[",'Chemo-1'!$A8,"].short = """,'Chemo-1'!C8,"""")</f>
        <v>* differential.element[2].short = "Start date"</v>
      </c>
      <c r="E3" s="116" t="str">
        <f>CONCATENATE("* differential.element[",'Chemo-1'!$A8,"].definition = """,'Chemo-1'!D8,"""")</f>
        <v>* differential.element[2].definition = "Please report the date of the first chemotherapy given. If the date is unkown or partially missed insert the year at the best of your knowledge."</v>
      </c>
      <c r="F3" s="116" t="str">
        <f>CONCATENATE("* differential.element[",'Chemo-1'!$A8,"].min = ",'Chemo-1'!E8,"")</f>
        <v>* differential.element[2].min = 1</v>
      </c>
      <c r="G3" s="116" t="str">
        <f>CONCATENATE("* differential.element[",'Chemo-1'!$A8,"].max = """,'Chemo-1'!F8,"""")</f>
        <v>* differential.element[2].max = "1"</v>
      </c>
      <c r="H3" s="116" t="str">
        <f>CONCATENATE("* differential.element[",'Chemo-1'!$A8,"].type.code = #",'Chemo-1'!G8,"")</f>
        <v>* differential.element[2].type.code = #dateTime</v>
      </c>
      <c r="I3" s="10"/>
      <c r="J3" s="113" t="s">
        <v>10</v>
      </c>
    </row>
    <row r="4" spans="2:10" ht="44.25" x14ac:dyDescent="0.75">
      <c r="B4" s="116" t="str">
        <f>CONCATENATE("* differential.element[",'Chemo-1'!$A9,"].id = """,'Chemo-1'!$B$6,".",'Chemo-1'!B9,"""")</f>
        <v>* differential.element[3].id = "Chemotherapy.endDate"</v>
      </c>
      <c r="C4" s="116" t="str">
        <f>CONCATENATE("* differential.element[",'Chemo-1'!$A9,"].path = """,'Chemo-1'!$B$6,".",'Chemo-1'!$B9,"""")</f>
        <v>* differential.element[3].path = "Chemotherapy.endDate"</v>
      </c>
      <c r="D4" s="116" t="str">
        <f>CONCATENATE("* differential.element[",'Chemo-1'!$A9,"].short = """,'Chemo-1'!C9,"""")</f>
        <v>* differential.element[3].short = "End date"</v>
      </c>
      <c r="E4" s="116" t="str">
        <f>CONCATENATE("* differential.element[",'Chemo-1'!$A9,"].definition = """,'Chemo-1'!D9,"""")</f>
        <v>* differential.element[3].definition = "Please report the date of the last chemotherapy given. If the date is unkown or partially missed insert the year at the best of your knowledge."</v>
      </c>
      <c r="F4" s="116" t="str">
        <f>CONCATENATE("* differential.element[",'Chemo-1'!$A9,"].min = ",'Chemo-1'!E9,"")</f>
        <v>* differential.element[3].min = 1</v>
      </c>
      <c r="G4" s="116" t="str">
        <f>CONCATENATE("* differential.element[",'Chemo-1'!$A9,"].max = """,'Chemo-1'!F9,"""")</f>
        <v>* differential.element[3].max = "1"</v>
      </c>
      <c r="H4" s="116" t="str">
        <f>CONCATENATE("* differential.element[",'Chemo-1'!$A9,"].type.code = #",'Chemo-1'!G9,"")</f>
        <v>* differential.element[3].type.code = #dateTime</v>
      </c>
      <c r="I4" s="10"/>
      <c r="J4" s="113" t="s">
        <v>11</v>
      </c>
    </row>
    <row r="5" spans="2:10" ht="44.25" x14ac:dyDescent="0.75">
      <c r="B5" s="116" t="str">
        <f>CONCATENATE("* differential.element[",'Chemo-1'!$A10,"].id = """,'Chemo-1'!$B$6,".",'Chemo-1'!B10,"""")</f>
        <v>* differential.element[4].id = "Chemotherapy.istitutionOfTreatment"</v>
      </c>
      <c r="C5" s="116" t="str">
        <f>CONCATENATE("* differential.element[",'Chemo-1'!$A10,"].path = """,'Chemo-1'!$B$6,".",'Chemo-1'!$B10,"""")</f>
        <v>* differential.element[4].path = "Chemotherapy.istitutionOfTreatment"</v>
      </c>
      <c r="D5" s="116" t="str">
        <f>CONCATENATE("* differential.element[",'Chemo-1'!$A10,"].short = """,'Chemo-1'!C10,"""")</f>
        <v>* differential.element[4].short = "Institution of treatment"</v>
      </c>
      <c r="E5" s="116" t="str">
        <f>CONCATENATE("* differential.element[",'Chemo-1'!$A10,"].definition = """,'Chemo-1'!D10,"""")</f>
        <v>* differential.element[4].definition = "Please indicate the institution in which all or most of the chemotherapeutic treatment was given"</v>
      </c>
      <c r="F5" s="116" t="str">
        <f>CONCATENATE("* differential.element[",'Chemo-1'!$A10,"].min = ",'Chemo-1'!E10,"")</f>
        <v>* differential.element[4].min = 0</v>
      </c>
      <c r="G5" s="116" t="str">
        <f>CONCATENATE("* differential.element[",'Chemo-1'!$A10,"].max = """,'Chemo-1'!F10,"""")</f>
        <v>* differential.element[4].max = "1"</v>
      </c>
      <c r="H5" s="116" t="str">
        <f>CONCATENATE("* differential.element[",'Chemo-1'!$A10,"].type.code = #",'Chemo-1'!G10,"")</f>
        <v>* differential.element[4].type.code = #BackboneElement</v>
      </c>
      <c r="I5" s="10"/>
      <c r="J5" s="113" t="s">
        <v>12</v>
      </c>
    </row>
    <row r="6" spans="2:10" ht="44.25" x14ac:dyDescent="0.75">
      <c r="B6" s="116" t="str">
        <f>CONCATENATE("* differential.element[",'Chemo-1'!$A11,"].id = """,'Chemo-1'!$B$6,".",'Chemo-1'!B11,"""")</f>
        <v>* differential.element[5].id = "Chemotherapy.istitutionOfTreatment.description"</v>
      </c>
      <c r="C6" s="116" t="str">
        <f>CONCATENATE("* differential.element[",'Chemo-1'!$A11,"].path = """,'Chemo-1'!$B$6,".",'Chemo-1'!$B11,"""")</f>
        <v>* differential.element[5].path = "Chemotherapy.istitutionOfTreatment.description"</v>
      </c>
      <c r="D6" s="116" t="str">
        <f>CONCATENATE("* differential.element[",'Chemo-1'!$A11,"].short = """,'Chemo-1'!C11,"""")</f>
        <v>* differential.element[5].short = "Institution description"</v>
      </c>
      <c r="E6" s="116" t="str">
        <f>CONCATENATE("* differential.element[",'Chemo-1'!$A11,"].definition = """,'Chemo-1'!D11,"""")</f>
        <v>* differential.element[5].definition = "Please provide name, city and countryof the institution"</v>
      </c>
      <c r="F6" s="116" t="str">
        <f>CONCATENATE("* differential.element[",'Chemo-1'!$A11,"].min = ",'Chemo-1'!E11,"")</f>
        <v>* differential.element[5].min = 0</v>
      </c>
      <c r="G6" s="116" t="str">
        <f>CONCATENATE("* differential.element[",'Chemo-1'!$A11,"].max = """,'Chemo-1'!F11,"""")</f>
        <v>* differential.element[5].max = "1"</v>
      </c>
      <c r="H6" s="116" t="str">
        <f>CONCATENATE("* differential.element[",'Chemo-1'!$A11,"].type.code = #",'Chemo-1'!G11,"")</f>
        <v>* differential.element[5].type.code = #string</v>
      </c>
      <c r="I6" s="10"/>
      <c r="J6" s="113" t="s">
        <v>13</v>
      </c>
    </row>
    <row r="7" spans="2:10" ht="44.25" x14ac:dyDescent="0.75">
      <c r="B7" s="116" t="str">
        <f>CONCATENATE("* differential.element[",'Chemo-1'!$A12,"].id = """,'Chemo-1'!$B$6,".",'Chemo-1'!B12,"""")</f>
        <v>* differential.element[6].id = "Chemotherapy.istitutionOfTreatment.name"</v>
      </c>
      <c r="C7" s="116" t="str">
        <f>CONCATENATE("* differential.element[",'Chemo-1'!$A12,"].path = """,'Chemo-1'!$B$6,".",'Chemo-1'!$B12,"""")</f>
        <v>* differential.element[6].path = "Chemotherapy.istitutionOfTreatment.name"</v>
      </c>
      <c r="D7" s="116" t="str">
        <f>CONCATENATE("* differential.element[",'Chemo-1'!$A12,"].short = """,'Chemo-1'!C12,"""")</f>
        <v>* differential.element[6].short = "Institution name"</v>
      </c>
      <c r="E7" s="116" t="str">
        <f>CONCATENATE("* differential.element[",'Chemo-1'!$A12,"].definition = """,'Chemo-1'!D12,"""")</f>
        <v>* differential.element[6].definition = "Institution name"</v>
      </c>
      <c r="F7" s="116" t="str">
        <f>CONCATENATE("* differential.element[",'Chemo-1'!$A12,"].min = ",'Chemo-1'!E12,"")</f>
        <v>* differential.element[6].min = 0</v>
      </c>
      <c r="G7" s="116" t="str">
        <f>CONCATENATE("* differential.element[",'Chemo-1'!$A12,"].max = """,'Chemo-1'!F12,"""")</f>
        <v>* differential.element[6].max = "1"</v>
      </c>
      <c r="H7" s="116" t="str">
        <f>CONCATENATE("* differential.element[",'Chemo-1'!$A12,"].type.code = #",'Chemo-1'!G12,"")</f>
        <v>* differential.element[6].type.code = #string</v>
      </c>
      <c r="I7" s="10"/>
      <c r="J7" s="113" t="s">
        <v>14</v>
      </c>
    </row>
    <row r="8" spans="2:10" ht="44.25" x14ac:dyDescent="0.75">
      <c r="B8" s="116" t="str">
        <f>CONCATENATE("* differential.element[",'Chemo-1'!$A13,"].id = """,'Chemo-1'!$B$6,".",'Chemo-1'!B13,"""")</f>
        <v>* differential.element[7].id = "Chemotherapy.istitutionOfTreatment.address"</v>
      </c>
      <c r="C8" s="116" t="str">
        <f>CONCATENATE("* differential.element[",'Chemo-1'!$A13,"].path = """,'Chemo-1'!$B$6,".",'Chemo-1'!$B13,"""")</f>
        <v>* differential.element[7].path = "Chemotherapy.istitutionOfTreatment.address"</v>
      </c>
      <c r="D8" s="116" t="str">
        <f>CONCATENATE("* differential.element[",'Chemo-1'!$A13,"].short = """,'Chemo-1'!C13,"""")</f>
        <v>* differential.element[7].short = "Institution address"</v>
      </c>
      <c r="E8" s="116" t="str">
        <f>CONCATENATE("* differential.element[",'Chemo-1'!$A13,"].definition = """,'Chemo-1'!D13,"""")</f>
        <v>* differential.element[7].definition = "Institution address"</v>
      </c>
      <c r="F8" s="116" t="str">
        <f>CONCATENATE("* differential.element[",'Chemo-1'!$A13,"].min = ",'Chemo-1'!E13,"")</f>
        <v>* differential.element[7].min = 0</v>
      </c>
      <c r="G8" s="116" t="str">
        <f>CONCATENATE("* differential.element[",'Chemo-1'!$A13,"].max = """,'Chemo-1'!F13,"""")</f>
        <v>* differential.element[7].max = "1"</v>
      </c>
      <c r="H8" s="116" t="str">
        <f>CONCATENATE("* differential.element[",'Chemo-1'!$A13,"].type.code = #",'Chemo-1'!G13,"")</f>
        <v>* differential.element[7].type.code = #BackboneElement</v>
      </c>
      <c r="I8" s="10"/>
      <c r="J8" s="113" t="s">
        <v>15</v>
      </c>
    </row>
    <row r="9" spans="2:10" ht="44.25" x14ac:dyDescent="0.75">
      <c r="B9" s="116" t="str">
        <f>CONCATENATE("* differential.element[",'Chemo-1'!$A14,"].id = """,'Chemo-1'!$B$6,".",'Chemo-1'!B14,"""")</f>
        <v>* differential.element[8].id = "Chemotherapy.istitutionOfTreatment.address.name"</v>
      </c>
      <c r="C9" s="116" t="str">
        <f>CONCATENATE("* differential.element[",'Chemo-1'!$A14,"].path = """,'Chemo-1'!$B$6,".",'Chemo-1'!$B14,"""")</f>
        <v>* differential.element[8].path = "Chemotherapy.istitutionOfTreatment.address.name"</v>
      </c>
      <c r="D9" s="116" t="str">
        <f>CONCATENATE("* differential.element[",'Chemo-1'!$A14,"].short = """,'Chemo-1'!C14,"""")</f>
        <v>* differential.element[8].short = "Institution city"</v>
      </c>
      <c r="E9" s="116" t="str">
        <f>CONCATENATE("* differential.element[",'Chemo-1'!$A14,"].definition = """,'Chemo-1'!D14,"""")</f>
        <v>* differential.element[8].definition = "Institution city"</v>
      </c>
      <c r="F9" s="116" t="str">
        <f>CONCATENATE("* differential.element[",'Chemo-1'!$A14,"].min = ",'Chemo-1'!E14,"")</f>
        <v>* differential.element[8].min = 0</v>
      </c>
      <c r="G9" s="116" t="str">
        <f>CONCATENATE("* differential.element[",'Chemo-1'!$A14,"].max = """,'Chemo-1'!F14,"""")</f>
        <v>* differential.element[8].max = "1"</v>
      </c>
      <c r="H9" s="116" t="str">
        <f>CONCATENATE("* differential.element[",'Chemo-1'!$A14,"].type.code = #",'Chemo-1'!G14,"")</f>
        <v>* differential.element[8].type.code = #string</v>
      </c>
      <c r="I9" s="10"/>
    </row>
    <row r="10" spans="2:10" ht="44.25" x14ac:dyDescent="0.75">
      <c r="B10" s="116" t="str">
        <f>CONCATENATE("* differential.element[",'Chemo-1'!$A15,"].id = """,'Chemo-1'!$B$6,".",'Chemo-1'!B15,"""")</f>
        <v>* differential.element[9].id = "Chemotherapy.istitutionOfTreatment.address.country"</v>
      </c>
      <c r="C10" s="116" t="str">
        <f>CONCATENATE("* differential.element[",'Chemo-1'!$A15,"].path = """,'Chemo-1'!$B$6,".",'Chemo-1'!$B15,"""")</f>
        <v>* differential.element[9].path = "Chemotherapy.istitutionOfTreatment.address.country"</v>
      </c>
      <c r="D10" s="116" t="str">
        <f>CONCATENATE("* differential.element[",'Chemo-1'!$A15,"].short = """,'Chemo-1'!C15,"""")</f>
        <v>* differential.element[9].short = "Institution country"</v>
      </c>
      <c r="E10" s="116" t="str">
        <f>CONCATENATE("* differential.element[",'Chemo-1'!$A15,"].definition = """,'Chemo-1'!D15,"""")</f>
        <v>* differential.element[9].definition = "Institution country"</v>
      </c>
      <c r="F10" s="116" t="str">
        <f>CONCATENATE("* differential.element[",'Chemo-1'!$A15,"].min = ",'Chemo-1'!E15,"")</f>
        <v>* differential.element[9].min = 0</v>
      </c>
      <c r="G10" s="116" t="str">
        <f>CONCATENATE("* differential.element[",'Chemo-1'!$A15,"].max = """,'Chemo-1'!F15,"""")</f>
        <v>* differential.element[9].max = "1"</v>
      </c>
      <c r="H10" s="116" t="str">
        <f>CONCATENATE("* differential.element[",'Chemo-1'!$A15,"].type.code = #",'Chemo-1'!G15,"")</f>
        <v>* differential.element[9].type.code = #string</v>
      </c>
      <c r="I10" s="10"/>
    </row>
    <row r="11" spans="2:10" ht="44.25" x14ac:dyDescent="0.75">
      <c r="B11" s="116" t="str">
        <f>CONCATENATE("* differential.element[",'Chemo-1'!$A16,"].id = """,'Chemo-1'!$B$6,".",'Chemo-1'!B16,"""")</f>
        <v>* differential.element[10].id = "Chemotherapy.productAdministration"</v>
      </c>
      <c r="C11" s="116" t="str">
        <f>CONCATENATE("* differential.element[",'Chemo-1'!$A16,"].path = """,'Chemo-1'!$B$6,".",'Chemo-1'!$B16,"""")</f>
        <v>* differential.element[10].path = "Chemotherapy.productAdministration"</v>
      </c>
      <c r="D11" s="116" t="str">
        <f>CONCATENATE("* differential.element[",'Chemo-1'!$A16,"].short = """,'Chemo-1'!C16,"""")</f>
        <v>* differential.element[10].short = "Product(s) administartion data"</v>
      </c>
      <c r="E11" s="116" t="str">
        <f>CONCATENATE("* differential.element[",'Chemo-1'!$A16,"].definition = """,'Chemo-1'!D16,"""")</f>
        <v>* differential.element[10].definition = "Information about the product(s) administered"</v>
      </c>
      <c r="F11" s="116" t="str">
        <f>CONCATENATE("* differential.element[",'Chemo-1'!$A16,"].min = ",'Chemo-1'!E16,"")</f>
        <v>* differential.element[10].min = 1</v>
      </c>
      <c r="G11" s="116" t="str">
        <f>CONCATENATE("* differential.element[",'Chemo-1'!$A16,"].max = """,'Chemo-1'!F16,"""")</f>
        <v>* differential.element[10].max = "20"</v>
      </c>
      <c r="H11" s="116" t="str">
        <f>CONCATENATE("* differential.element[",'Chemo-1'!$A16,"].type.code = #",'Chemo-1'!G16,"")</f>
        <v>* differential.element[10].type.code = #BackboneElement</v>
      </c>
      <c r="I11" s="10"/>
    </row>
    <row r="12" spans="2:10" ht="177" x14ac:dyDescent="0.75">
      <c r="B12" s="116" t="str">
        <f>CONCATENATE("* differential.element[",'Chemo-1'!$A17,"].id = """,'Chemo-1'!$B$6,".",'Chemo-1'!B17,"""")</f>
        <v>* differential.element[11].id = "Chemotherapy.productAdministration.agent"</v>
      </c>
      <c r="C12" s="116" t="str">
        <f>CONCATENATE("* differential.element[",'Chemo-1'!$A17,"].path = """,'Chemo-1'!$B$6,".",'Chemo-1'!$B17,"""")</f>
        <v>* differential.element[11].path = "Chemotherapy.productAdministration.agent"</v>
      </c>
      <c r="D12" s="116" t="str">
        <f>CONCATENATE("* differential.element[",'Chemo-1'!$A17,"].short = """,'Chemo-1'!C17,"""")</f>
        <v>* differential.element[11].short = "Antineoplastic and immunostimulating agents"</v>
      </c>
      <c r="E12" s="116" t="str">
        <f>CONCATENATE("* differential.element[",'Chemo-1'!$A17,"].definition = """,'Chemo-1'!D17,"""")</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c r="F12" s="116" t="str">
        <f>CONCATENATE("* differential.element[",'Chemo-1'!$A17,"].min = ",'Chemo-1'!E17,"")</f>
        <v>* differential.element[11].min = 1</v>
      </c>
      <c r="G12" s="116" t="str">
        <f>CONCATENATE("* differential.element[",'Chemo-1'!$A17,"].max = """,'Chemo-1'!F17,"""")</f>
        <v>* differential.element[11].max = "1"</v>
      </c>
      <c r="H12" s="116" t="str">
        <f>CONCATENATE("* differential.element[",'Chemo-1'!$A17,"].type.code = #",'Chemo-1'!G17,"")</f>
        <v>* differential.element[11].type.code = #CodeableConcept</v>
      </c>
      <c r="I12" s="10"/>
    </row>
    <row r="13" spans="2:10" ht="44.25" x14ac:dyDescent="0.75">
      <c r="B13" s="116" t="str">
        <f>CONCATENATE("* differential.element[",'Chemo-1'!$A18,"].id = """,'Chemo-1'!$B$6,".",'Chemo-1'!B18,"""")</f>
        <v>* differential.element[12].id = "Chemotherapy.productAdministration.dose"</v>
      </c>
      <c r="C13" s="116" t="str">
        <f>CONCATENATE("* differential.element[",'Chemo-1'!$A18,"].path = """,'Chemo-1'!$B$6,".",'Chemo-1'!$B18,"""")</f>
        <v>* differential.element[12].path = "Chemotherapy.productAdministration.dose"</v>
      </c>
      <c r="D13" s="116" t="str">
        <f>CONCATENATE("* differential.element[",'Chemo-1'!$A18,"].short = """,'Chemo-1'!C18,"""")</f>
        <v>* differential.element[12].short = "Dose (NOT in PCSP DB)"</v>
      </c>
      <c r="E13" s="116" t="str">
        <f>CONCATENATE("* differential.element[",'Chemo-1'!$A18,"].definition = """,'Chemo-1'!D18,"""")</f>
        <v>* differential.element[12].definition = "Dose received of each drug for this administration"</v>
      </c>
      <c r="F13" s="116" t="str">
        <f>CONCATENATE("* differential.element[",'Chemo-1'!$A18,"].min = ",'Chemo-1'!E18,"")</f>
        <v>* differential.element[12].min = 0</v>
      </c>
      <c r="G13" s="116" t="str">
        <f>CONCATENATE("* differential.element[",'Chemo-1'!$A18,"].max = """,'Chemo-1'!F18,"""")</f>
        <v>* differential.element[12].max = "1"</v>
      </c>
      <c r="H13" s="116" t="str">
        <f>CONCATENATE("* differential.element[",'Chemo-1'!$A18,"].type.code = #",'Chemo-1'!G18,"")</f>
        <v>* differential.element[12].type.code = #Quantity</v>
      </c>
      <c r="I13" s="10"/>
    </row>
    <row r="14" spans="2:10" ht="44.25" x14ac:dyDescent="0.75">
      <c r="B14" s="116" t="str">
        <f>CONCATENATE("* differential.element[",'Chemo-1'!$A19,"].id = """,'Chemo-1'!$B$6,".",'Chemo-1'!B19,"""")</f>
        <v>* differential.element[13].id = "Chemotherapy.productAdministration.cumulativeDose"</v>
      </c>
      <c r="C14" s="116" t="str">
        <f>CONCATENATE("* differential.element[",'Chemo-1'!$A19,"].path = """,'Chemo-1'!$B$6,".",'Chemo-1'!$B19,"""")</f>
        <v>* differential.element[13].path = "Chemotherapy.productAdministration.cumulativeDose"</v>
      </c>
      <c r="D14" s="116" t="str">
        <f>CONCATENATE("* differential.element[",'Chemo-1'!$A19,"].short = """,'Chemo-1'!C19,"""")</f>
        <v>* differential.element[13].short = "Cumulative Dose"</v>
      </c>
      <c r="E14" s="116" t="str">
        <f>CONCATENATE("* differential.element[",'Chemo-1'!$A19,"].definition = """,'Chemo-1'!D19,"""")</f>
        <v>* differential.element[13].definition = "Report the total cumulative dose received of each drug. "</v>
      </c>
      <c r="F14" s="116" t="str">
        <f>CONCATENATE("* differential.element[",'Chemo-1'!$A19,"].min = ",'Chemo-1'!E19,"")</f>
        <v>* differential.element[13].min = 0</v>
      </c>
      <c r="G14" s="116" t="str">
        <f>CONCATENATE("* differential.element[",'Chemo-1'!$A19,"].max = """,'Chemo-1'!F19,"""")</f>
        <v>* differential.element[13].max = "1"</v>
      </c>
      <c r="H14" s="116" t="str">
        <f>CONCATENATE("* differential.element[",'Chemo-1'!$A19,"].type.code = #",'Chemo-1'!G19,"")</f>
        <v>* differential.element[13].type.code = #BackboneElement</v>
      </c>
      <c r="I14" s="10"/>
    </row>
    <row r="15" spans="2:10" ht="44.25" x14ac:dyDescent="0.75">
      <c r="B15" s="116" t="str">
        <f>CONCATENATE("* differential.element[",'Chemo-1'!$A20,"].id = """,'Chemo-1'!$B$6,".",'Chemo-1'!B20,"""")</f>
        <v>* differential.element[14].id = "Chemotherapy.productAdministration.cumulativeDose.notAvailable"</v>
      </c>
      <c r="C15" s="116" t="str">
        <f>CONCATENATE("* differential.element[",'Chemo-1'!$A20,"].path = """,'Chemo-1'!$B$6,".",'Chemo-1'!$B20,"""")</f>
        <v>* differential.element[14].path = "Chemotherapy.productAdministration.cumulativeDose.notAvailable"</v>
      </c>
      <c r="D15" s="116" t="str">
        <f>CONCATENATE("* differential.element[",'Chemo-1'!$A20,"].short = """,'Chemo-1'!C20,"""")</f>
        <v>* differential.element[14].short = "Not calculated or not known dose"</v>
      </c>
      <c r="E15" s="116" t="str">
        <f>CONCATENATE("* differential.element[",'Chemo-1'!$A20,"].definition = """,'Chemo-1'!D20,"""")</f>
        <v>* differential.element[14].definition = "Flag indicating if the dose was not calculated or it was not known"</v>
      </c>
      <c r="F15" s="116" t="str">
        <f>CONCATENATE("* differential.element[",'Chemo-1'!$A20,"].min = ",'Chemo-1'!E20,"")</f>
        <v>* differential.element[14].min = 0</v>
      </c>
      <c r="G15" s="116" t="str">
        <f>CONCATENATE("* differential.element[",'Chemo-1'!$A20,"].max = """,'Chemo-1'!F20,"""")</f>
        <v>* differential.element[14].max = "1"</v>
      </c>
      <c r="H15" s="116" t="str">
        <f>CONCATENATE("* differential.element[",'Chemo-1'!$A20,"].type.code = #",'Chemo-1'!G20,"")</f>
        <v>* differential.element[14].type.code = #CodeableConcept</v>
      </c>
      <c r="I15" s="10"/>
    </row>
    <row r="16" spans="2:10" ht="44.25" x14ac:dyDescent="0.75">
      <c r="B16" s="116" t="str">
        <f>CONCATENATE("* differential.element[",'Chemo-1'!$A21,"].id = """,'Chemo-1'!$B$6,".",'Chemo-1'!B21,"""")</f>
        <v>* differential.element[15].id = "Chemotherapy.productAdministration.cumulativeDose.measureType"</v>
      </c>
      <c r="C16" s="116" t="str">
        <f>CONCATENATE("* differential.element[",'Chemo-1'!$A21,"].path = """,'Chemo-1'!$B$6,".",'Chemo-1'!$B21,"""")</f>
        <v>* differential.element[15].path = "Chemotherapy.productAdministration.cumulativeDose.measureType"</v>
      </c>
      <c r="D16" s="116" t="str">
        <f>CONCATENATE("* differential.element[",'Chemo-1'!$A21,"].short = """,'Chemo-1'!C21,"""")</f>
        <v>* differential.element[15].short = "How the dose was determined (estimation or calculation)"</v>
      </c>
      <c r="E16" s="116" t="str">
        <f>CONCATENATE("* differential.element[",'Chemo-1'!$A21,"].definition = """,'Chemo-1'!D21,"""")</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c r="F16" s="116" t="str">
        <f>CONCATENATE("* differential.element[",'Chemo-1'!$A21,"].min = ",'Chemo-1'!E21,"")</f>
        <v>* differential.element[15].min = 0</v>
      </c>
      <c r="G16" s="116" t="str">
        <f>CONCATENATE("* differential.element[",'Chemo-1'!$A21,"].max = """,'Chemo-1'!F21,"""")</f>
        <v>* differential.element[15].max = "1"</v>
      </c>
      <c r="H16" s="116" t="str">
        <f>CONCATENATE("* differential.element[",'Chemo-1'!$A21,"].type.code = #",'Chemo-1'!G21,"")</f>
        <v>* differential.element[15].type.code = #CodeableConcept</v>
      </c>
      <c r="I16" s="10"/>
    </row>
    <row r="17" spans="2:9" ht="44.25" x14ac:dyDescent="0.75">
      <c r="B17" s="116" t="str">
        <f>CONCATENATE("* differential.element[",'Chemo-1'!$A22,"].id = """,'Chemo-1'!$B$6,".",'Chemo-1'!B22,"""")</f>
        <v>* differential.element[16].id = "Chemotherapy.productAdministration.cumulativeDose.completionStatus"</v>
      </c>
      <c r="C17" s="116" t="str">
        <f>CONCATENATE("* differential.element[",'Chemo-1'!$A22,"].path = """,'Chemo-1'!$B$6,".",'Chemo-1'!$B22,"""")</f>
        <v>* differential.element[16].path = "Chemotherapy.productAdministration.cumulativeDose.completionStatus"</v>
      </c>
      <c r="D17" s="116" t="str">
        <f>CONCATENATE("* differential.element[",'Chemo-1'!$A22,"].short = """,'Chemo-1'!C22,"""")</f>
        <v>* differential.element[16].short = "The reported doses are incomplete (either under- or over-estimated)"</v>
      </c>
      <c r="E17" s="116" t="str">
        <f>CONCATENATE("* differential.element[",'Chemo-1'!$A22,"].definition = """,'Chemo-1'!D22,"""")</f>
        <v>* differential.element[16].definition = "Check in case of incomplete doses"</v>
      </c>
      <c r="F17" s="116" t="str">
        <f>CONCATENATE("* differential.element[",'Chemo-1'!$A22,"].min = ",'Chemo-1'!E22,"")</f>
        <v>* differential.element[16].min = 0</v>
      </c>
      <c r="G17" s="116" t="str">
        <f>CONCATENATE("* differential.element[",'Chemo-1'!$A22,"].max = """,'Chemo-1'!F22,"""")</f>
        <v>* differential.element[16].max = "1"</v>
      </c>
      <c r="H17" s="116" t="str">
        <f>CONCATENATE("* differential.element[",'Chemo-1'!$A22,"].type.code = #",'Chemo-1'!G22,"")</f>
        <v>* differential.element[16].type.code = #CodeableConcept</v>
      </c>
      <c r="I17" s="10"/>
    </row>
    <row r="18" spans="2:9" ht="44.25" x14ac:dyDescent="0.75">
      <c r="B18" s="116" t="str">
        <f>CONCATENATE("* differential.element[",'Chemo-1'!$A23,"].id = """,'Chemo-1'!$B$6,".",'Chemo-1'!B23,"""")</f>
        <v>* differential.element[17].id = "Chemotherapy.productAdministration.cumulativeDose.statusReason"</v>
      </c>
      <c r="C18" s="116" t="str">
        <f>CONCATENATE("* differential.element[",'Chemo-1'!$A23,"].path = """,'Chemo-1'!$B$6,".",'Chemo-1'!$B23,"""")</f>
        <v>* differential.element[17].path = "Chemotherapy.productAdministration.cumulativeDose.statusReason"</v>
      </c>
      <c r="D18" s="116" t="str">
        <f>CONCATENATE("* differential.element[",'Chemo-1'!$A23,"].short = """,'Chemo-1'!C23,"""")</f>
        <v>* differential.element[17].short = "Specify reasons why"</v>
      </c>
      <c r="E18" s="116" t="str">
        <f>CONCATENATE("* differential.element[",'Chemo-1'!$A23,"].definition = """,'Chemo-1'!D23,"""")</f>
        <v>* differential.element[17].definition = "Specify reasons of incomplete estimated doses"</v>
      </c>
      <c r="F18" s="116" t="str">
        <f>CONCATENATE("* differential.element[",'Chemo-1'!$A23,"].min = ",'Chemo-1'!E23,"")</f>
        <v>* differential.element[17].min = 0</v>
      </c>
      <c r="G18" s="116" t="str">
        <f>CONCATENATE("* differential.element[",'Chemo-1'!$A23,"].max = """,'Chemo-1'!F23,"""")</f>
        <v>* differential.element[17].max = "1"</v>
      </c>
      <c r="H18" s="116" t="str">
        <f>CONCATENATE("* differential.element[",'Chemo-1'!$A23,"].type.code = #",'Chemo-1'!G23,"")</f>
        <v>* differential.element[17].type.code = #string</v>
      </c>
      <c r="I18" s="10"/>
    </row>
    <row r="19" spans="2:9" ht="44.25" x14ac:dyDescent="0.75">
      <c r="B19" s="116" t="str">
        <f>CONCATENATE("* differential.element[",'Chemo-1'!$A24,"].id = """,'Chemo-1'!$B$6,".",'Chemo-1'!B24,"""")</f>
        <v>* differential.element[18].id = "Chemotherapy.productAdministration.cumulativeDose.value"</v>
      </c>
      <c r="C19" s="116" t="str">
        <f>CONCATENATE("* differential.element[",'Chemo-1'!$A24,"].path = """,'Chemo-1'!$B$6,".",'Chemo-1'!$B24,"""")</f>
        <v>* differential.element[18].path = "Chemotherapy.productAdministration.cumulativeDose.value"</v>
      </c>
      <c r="D19" s="116" t="str">
        <f>CONCATENATE("* differential.element[",'Chemo-1'!$A24,"].short = """,'Chemo-1'!C24,"""")</f>
        <v>* differential.element[18].short = "Total cumulative dose"</v>
      </c>
      <c r="E19" s="116" t="str">
        <f>CONCATENATE("* differential.element[",'Chemo-1'!$A24,"].definition = """,'Chemo-1'!D24,"""")</f>
        <v>* differential.element[18].definition = "Report the total cumulative dose received of each drug."</v>
      </c>
      <c r="F19" s="116" t="str">
        <f>CONCATENATE("* differential.element[",'Chemo-1'!$A24,"].min = ",'Chemo-1'!E24,"")</f>
        <v>* differential.element[18].min = 0</v>
      </c>
      <c r="G19" s="116" t="str">
        <f>CONCATENATE("* differential.element[",'Chemo-1'!$A24,"].max = """,'Chemo-1'!F24,"""")</f>
        <v>* differential.element[18].max = "1"</v>
      </c>
      <c r="H19" s="116" t="str">
        <f>CONCATENATE("* differential.element[",'Chemo-1'!$A24,"].type.code = #",'Chemo-1'!G24,"")</f>
        <v>* differential.element[18].type.code = #decimal</v>
      </c>
      <c r="I19" s="10"/>
    </row>
    <row r="20" spans="2:9" ht="44.25" x14ac:dyDescent="0.75">
      <c r="B20" s="116" t="str">
        <f>CONCATENATE("* differential.element[",'Chemo-1'!$A25,"].id = """,'Chemo-1'!$B$6,".",'Chemo-1'!B25,"""")</f>
        <v>* differential.element[19].id = "Chemotherapy.productAdministration.cumulativeDose.unit"</v>
      </c>
      <c r="C20" s="116" t="str">
        <f>CONCATENATE("* differential.element[",'Chemo-1'!$A25,"].path = """,'Chemo-1'!$B$6,".",'Chemo-1'!$B25,"""")</f>
        <v>* differential.element[19].path = "Chemotherapy.productAdministration.cumulativeDose.unit"</v>
      </c>
      <c r="D20" s="116" t="str">
        <f>CONCATENATE("* differential.element[",'Chemo-1'!$A25,"].short = """,'Chemo-1'!C25,"""")</f>
        <v>* differential.element[19].short = "Measure unit"</v>
      </c>
      <c r="E20" s="116" t="str">
        <f>CONCATENATE("* differential.element[",'Chemo-1'!$A25,"].definition = """,'Chemo-1'!D25,"""")</f>
        <v>* differential.element[19].definition = "If the dose was calculated, please report the measure unit of the calculation
1 =&gt; mg/m2
2 =&gt; gr/m2
3 =&gt; UI/m2
4 =&gt; NK
5 =&gt; NC (not calculated)"</v>
      </c>
      <c r="F20" s="116" t="str">
        <f>CONCATENATE("* differential.element[",'Chemo-1'!$A25,"].min = ",'Chemo-1'!E25,"")</f>
        <v>* differential.element[19].min = 0</v>
      </c>
      <c r="G20" s="116" t="str">
        <f>CONCATENATE("* differential.element[",'Chemo-1'!$A25,"].max = """,'Chemo-1'!F25,"""")</f>
        <v>* differential.element[19].max = "1"</v>
      </c>
      <c r="H20" s="116" t="str">
        <f>CONCATENATE("* differential.element[",'Chemo-1'!$A25,"].type.code = #",'Chemo-1'!G25,"")</f>
        <v>* differential.element[19].type.code = #CodeableConcept</v>
      </c>
      <c r="I20" s="10"/>
    </row>
    <row r="21" spans="2:9" ht="44.25" x14ac:dyDescent="0.75">
      <c r="B21" s="116" t="str">
        <f>CONCATENATE("* differential.element[",'Chemo-1'!$A26,"].id = """,'Chemo-1'!$B$6,".",'Chemo-1'!B26,"""")</f>
        <v>* differential.element[20].id = "Chemotherapy.corticosteroids"</v>
      </c>
      <c r="C21" s="116" t="str">
        <f>CONCATENATE("* differential.element[",'Chemo-1'!$A26,"].path = """,'Chemo-1'!$B$6,".",'Chemo-1'!$B26,"""")</f>
        <v>* differential.element[20].path = "Chemotherapy.corticosteroids"</v>
      </c>
      <c r="D21" s="116" t="str">
        <f>CONCATENATE("* differential.element[",'Chemo-1'!$A26,"].short = """,'Chemo-1'!C26,"""")</f>
        <v>* differential.element[20].short = "Prolonged corticosteroids as anti-cancer treatment at least 4 weeks continuously"</v>
      </c>
      <c r="E21" s="116" t="str">
        <f>CONCATENATE("* differential.element[",'Chemo-1'!$A26,"].definition = """,'Chemo-1'!D26,"""")</f>
        <v>* differential.element[20].definition = "Report 'yes' if the survivor was treated with steroids for at least 4 weeks continuously
1 =&gt; Yes
2 =&gt; No
-9922 =&gt; NK"</v>
      </c>
      <c r="F21" s="116" t="str">
        <f>CONCATENATE("* differential.element[",'Chemo-1'!$A26,"].min = ",'Chemo-1'!E26,"")</f>
        <v>* differential.element[20].min = 0</v>
      </c>
      <c r="G21" s="116" t="str">
        <f>CONCATENATE("* differential.element[",'Chemo-1'!$A26,"].max = """,'Chemo-1'!F26,"""")</f>
        <v>* differential.element[20].max = "1"</v>
      </c>
      <c r="H21" s="116" t="str">
        <f>CONCATENATE("* differential.element[",'Chemo-1'!$A26,"].type.code = #",'Chemo-1'!G26,"")</f>
        <v>* differential.element[20].type.code = #CodeableConcept</v>
      </c>
      <c r="I21" s="10"/>
    </row>
    <row r="22" spans="2:9" ht="44.25" x14ac:dyDescent="0.75">
      <c r="B22" s="116" t="str">
        <f>CONCATENATE("* differential.element[",'Chemo-1'!$A27,"].id = """,'Chemo-1'!$B$6,".",'Chemo-1'!B27,"""")</f>
        <v>* differential.element[21].id = "Chemotherapy.intrathecalInjections"</v>
      </c>
      <c r="C22" s="116" t="str">
        <f>CONCATENATE("* differential.element[",'Chemo-1'!$A27,"].path = """,'Chemo-1'!$B$6,".",'Chemo-1'!$B27,"""")</f>
        <v>* differential.element[21].path = "Chemotherapy.intrathecalInjections"</v>
      </c>
      <c r="D22" s="116" t="str">
        <f>CONCATENATE("* differential.element[",'Chemo-1'!$A27,"].short = """,'Chemo-1'!C27,"""")</f>
        <v>* differential.element[21].short = "Intrathecal injections"</v>
      </c>
      <c r="E22" s="116" t="str">
        <f>CONCATENATE("* differential.element[",'Chemo-1'!$A27,"].definition = """,'Chemo-1'!D27,"""")</f>
        <v>* differential.element[21].definition = "Intrathecal injections"</v>
      </c>
      <c r="F22" s="116" t="str">
        <f>CONCATENATE("* differential.element[",'Chemo-1'!$A27,"].min = ",'Chemo-1'!E27,"")</f>
        <v>* differential.element[21].min = 0</v>
      </c>
      <c r="G22" s="116" t="str">
        <f>CONCATENATE("* differential.element[",'Chemo-1'!$A27,"].max = """,'Chemo-1'!F27,"""")</f>
        <v>* differential.element[21].max = "1"</v>
      </c>
      <c r="H22" s="116" t="str">
        <f>CONCATENATE("* differential.element[",'Chemo-1'!$A27,"].type.code = #",'Chemo-1'!G27,"")</f>
        <v>* differential.element[21].type.code = #BackboneElement</v>
      </c>
      <c r="I22" s="10"/>
    </row>
    <row r="23" spans="2:9" ht="88.5" x14ac:dyDescent="0.75">
      <c r="B23" s="116" t="str">
        <f>CONCATENATE("* differential.element[",'Chemo-1'!$A28,"].id = """,'Chemo-1'!$B$6,".",'Chemo-1'!B28,"""")</f>
        <v>* differential.element[22].id = "Chemotherapy.intrathecalInjections.status"</v>
      </c>
      <c r="C23" s="116" t="str">
        <f>CONCATENATE("* differential.element[",'Chemo-1'!$A28,"].path = """,'Chemo-1'!$B$6,".",'Chemo-1'!$B28,"""")</f>
        <v>* differential.element[22].path = "Chemotherapy.intrathecalInjections.status"</v>
      </c>
      <c r="D23" s="116" t="str">
        <f>CONCATENATE("* differential.element[",'Chemo-1'!$A28,"].short = """,'Chemo-1'!C28,"""")</f>
        <v>* differential.element[22].short = "Did the survivor receive therapeutic intrathecal injections ?"</v>
      </c>
      <c r="E23" s="116" t="str">
        <f>CONCATENATE("* differential.element[",'Chemo-1'!$A28,"].definition = """,'Chemo-1'!D28,"""")</f>
        <v>* differential.element[22].definition = "Please state if the survivor received any therapeutic intrathecal injections
1 =&gt; Yes
2 =&gt; No
-9922 =&gt; NK"</v>
      </c>
      <c r="F23" s="116" t="str">
        <f>CONCATENATE("* differential.element[",'Chemo-1'!$A28,"].min = ",'Chemo-1'!E28,"")</f>
        <v>* differential.element[22].min = 0</v>
      </c>
      <c r="G23" s="116" t="str">
        <f>CONCATENATE("* differential.element[",'Chemo-1'!$A28,"].max = """,'Chemo-1'!F28,"""")</f>
        <v>* differential.element[22].max = "1"</v>
      </c>
      <c r="H23" s="116" t="str">
        <f>CONCATENATE("* differential.element[",'Chemo-1'!$A28,"].type.code = #",'Chemo-1'!G28,"")</f>
        <v>* differential.element[22].type.code = #CodeableConcept</v>
      </c>
      <c r="I23" s="10"/>
    </row>
    <row r="24" spans="2:9" ht="44.25" x14ac:dyDescent="0.75">
      <c r="B24" s="116" t="str">
        <f>CONCATENATE("* differential.element[",'Chemo-1'!$A29,"].id = """,'Chemo-1'!$B$6,".",'Chemo-1'!B29,"""")</f>
        <v>* differential.element[23].id = "Chemotherapy.intrathecalInjections.number"</v>
      </c>
      <c r="C24" s="116" t="str">
        <f>CONCATENATE("* differential.element[",'Chemo-1'!$A29,"].path = """,'Chemo-1'!$B$6,".",'Chemo-1'!$B29,"""")</f>
        <v>* differential.element[23].path = "Chemotherapy.intrathecalInjections.number"</v>
      </c>
      <c r="D24" s="116" t="str">
        <f>CONCATENATE("* differential.element[",'Chemo-1'!$A29,"].short = """,'Chemo-1'!C29,"""")</f>
        <v>* differential.element[23].short = "Total number"</v>
      </c>
      <c r="E24" s="116" t="str">
        <f>CONCATENATE("* differential.element[",'Chemo-1'!$A29,"].definition = """,'Chemo-1'!D29,"""")</f>
        <v>* differential.element[23].definition = "Report the total number of injections"</v>
      </c>
      <c r="F24" s="116" t="str">
        <f>CONCATENATE("* differential.element[",'Chemo-1'!$A29,"].min = ",'Chemo-1'!E29,"")</f>
        <v>* differential.element[23].min = 0</v>
      </c>
      <c r="G24" s="116" t="str">
        <f>CONCATENATE("* differential.element[",'Chemo-1'!$A29,"].max = """,'Chemo-1'!F29,"""")</f>
        <v>* differential.element[23].max = "1"</v>
      </c>
      <c r="H24" s="116" t="str">
        <f>CONCATENATE("* differential.element[",'Chemo-1'!$A29,"].type.code = #",'Chemo-1'!G29,"")</f>
        <v>* differential.element[23].type.code = #integer</v>
      </c>
      <c r="I24" s="10"/>
    </row>
    <row r="25" spans="2:9" ht="44.25" x14ac:dyDescent="0.75">
      <c r="B25" s="116" t="str">
        <f>CONCATENATE("* differential.element[",'Chemo-1'!$A30,"].id = """,'Chemo-1'!$B$6,".",'Chemo-1'!B30,"""")</f>
        <v>* differential.element[24].id = "Chemotherapy.intrathecalInjections.productName"</v>
      </c>
      <c r="C25" s="116" t="str">
        <f>CONCATENATE("* differential.element[",'Chemo-1'!$A30,"].path = """,'Chemo-1'!$B$6,".",'Chemo-1'!$B30,"""")</f>
        <v>* differential.element[24].path = "Chemotherapy.intrathecalInjections.productName"</v>
      </c>
      <c r="D25" s="116" t="str">
        <f>CONCATENATE("* differential.element[",'Chemo-1'!$A30,"].short = """,'Chemo-1'!C30,"""")</f>
        <v>* differential.element[24].short = "Drug(s) administered"</v>
      </c>
      <c r="E25" s="116" t="str">
        <f>CONCATENATE("* differential.element[",'Chemo-1'!$A30,"].definition = """,'Chemo-1'!D30,"""")</f>
        <v>* differential.element[24].definition = "Please report the names of drugs injected intrathecal"</v>
      </c>
      <c r="F25" s="116" t="str">
        <f>CONCATENATE("* differential.element[",'Chemo-1'!$A30,"].min = ",'Chemo-1'!E30,"")</f>
        <v>* differential.element[24].min = 0</v>
      </c>
      <c r="G25" s="116" t="str">
        <f>CONCATENATE("* differential.element[",'Chemo-1'!$A30,"].max = """,'Chemo-1'!F30,"""")</f>
        <v>* differential.element[24].max = "*"</v>
      </c>
      <c r="H25" s="116" t="str">
        <f>CONCATENATE("* differential.element[",'Chemo-1'!$A30,"].type.code = #",'Chemo-1'!G30,"")</f>
        <v>* differential.element[24].type.code = #string</v>
      </c>
      <c r="I25" s="10"/>
    </row>
    <row r="26" spans="2:9" ht="44.25" x14ac:dyDescent="0.75">
      <c r="B26" s="116" t="str">
        <f>CONCATENATE("* differential.element[",'Chemo-1'!$A31,"].id = """,'Chemo-1'!$B$6,".",'Chemo-1'!B31,"""")</f>
        <v>* differential.element[25].id = "Chemotherapy.otherTreatments"</v>
      </c>
      <c r="C26" s="116" t="str">
        <f>CONCATENATE("* differential.element[",'Chemo-1'!$A31,"].path = """,'Chemo-1'!$B$6,".",'Chemo-1'!$B31,"""")</f>
        <v>* differential.element[25].path = "Chemotherapy.otherTreatments"</v>
      </c>
      <c r="D26" s="116" t="str">
        <f>CONCATENATE("* differential.element[",'Chemo-1'!$A31,"].short = """,'Chemo-1'!C31,"""")</f>
        <v>* differential.element[25].short = "Other chemothrapeutic treatments"</v>
      </c>
      <c r="E26" s="116" t="str">
        <f>CONCATENATE("* differential.element[",'Chemo-1'!$A31,"].definition = """,'Chemo-1'!D31,"""")</f>
        <v>* differential.element[25].definition = "Report any other chemothrapeutic treatments that are not included in the ATC code"</v>
      </c>
      <c r="F26" s="116" t="str">
        <f>CONCATENATE("* differential.element[",'Chemo-1'!$A31,"].min = ",'Chemo-1'!E31,"")</f>
        <v>* differential.element[25].min = 0</v>
      </c>
      <c r="G26" s="116" t="str">
        <f>CONCATENATE("* differential.element[",'Chemo-1'!$A31,"].max = """,'Chemo-1'!F31,"""")</f>
        <v>* differential.element[25].max = "1"</v>
      </c>
      <c r="H26" s="116" t="str">
        <f>CONCATENATE("* differential.element[",'Chemo-1'!$A31,"].type.code = #",'Chemo-1'!G31,"")</f>
        <v>* differential.element[25].type.code = #BackboneElement</v>
      </c>
    </row>
    <row r="27" spans="2:9" ht="44.25" x14ac:dyDescent="0.75">
      <c r="B27" s="116" t="str">
        <f>CONCATENATE("* differential.element[",'Chemo-1'!$A32,"].id = """,'Chemo-1'!$B$6,".",'Chemo-1'!B32,"""")</f>
        <v>* differential.element[26].id = "Chemotherapy.otherTreatments.productName"</v>
      </c>
      <c r="C27" s="116" t="str">
        <f>CONCATENATE("* differential.element[",'Chemo-1'!$A32,"].path = """,'Chemo-1'!$B$6,".",'Chemo-1'!$B32,"""")</f>
        <v>* differential.element[26].path = "Chemotherapy.otherTreatments.productName"</v>
      </c>
      <c r="D27" s="116" t="str">
        <f>CONCATENATE("* differential.element[",'Chemo-1'!$A32,"].short = """,'Chemo-1'!C32,"""")</f>
        <v>* differential.element[26].short = "Drugs name"</v>
      </c>
      <c r="E27" s="116" t="str">
        <f>CONCATENATE("* differential.element[",'Chemo-1'!$A32,"].definition = """,'Chemo-1'!D32,"""")</f>
        <v>* differential.element[26].definition = "If yes, describe treatments"</v>
      </c>
      <c r="F27" s="116" t="str">
        <f>CONCATENATE("* differential.element[",'Chemo-1'!$A32,"].min = ",'Chemo-1'!E32,"")</f>
        <v>* differential.element[26].min = 1</v>
      </c>
      <c r="G27" s="116" t="str">
        <f>CONCATENATE("* differential.element[",'Chemo-1'!$A32,"].max = """,'Chemo-1'!F32,"""")</f>
        <v>* differential.element[26].max = "*"</v>
      </c>
      <c r="H27" s="116" t="str">
        <f>CONCATENATE("* differential.element[",'Chemo-1'!$A32,"].type.code = #",'Chemo-1'!G32,"")</f>
        <v>* differential.element[26].type.code = #string</v>
      </c>
    </row>
    <row r="28" spans="2:9" x14ac:dyDescent="0.75">
      <c r="B28" s="116"/>
      <c r="C28" s="116"/>
      <c r="D28" s="116"/>
      <c r="E28" s="116"/>
      <c r="F28" s="116"/>
      <c r="G28" s="116"/>
      <c r="H28" s="116"/>
    </row>
    <row r="29" spans="2:9" x14ac:dyDescent="0.75">
      <c r="B29" s="116"/>
      <c r="C29" s="116"/>
      <c r="D29" s="116"/>
      <c r="E29" s="116"/>
      <c r="F29" s="116"/>
      <c r="G29" s="116"/>
      <c r="H29" s="116"/>
    </row>
    <row r="30" spans="2:9" x14ac:dyDescent="0.75">
      <c r="B30" s="116"/>
      <c r="C30" s="116"/>
      <c r="D30" s="116"/>
      <c r="E30" s="116"/>
      <c r="F30" s="116"/>
      <c r="G30" s="116"/>
      <c r="H30" s="116"/>
    </row>
    <row r="31" spans="2:9" x14ac:dyDescent="0.75">
      <c r="B31" s="116"/>
      <c r="C31" s="116"/>
      <c r="D31" s="116"/>
      <c r="E31" s="116"/>
      <c r="F31" s="116"/>
      <c r="G31" s="116"/>
      <c r="H31" s="116"/>
    </row>
    <row r="32" spans="2:9" x14ac:dyDescent="0.75">
      <c r="B32" s="116"/>
      <c r="C32" s="116"/>
      <c r="D32" s="116"/>
      <c r="E32" s="116"/>
      <c r="F32" s="116"/>
      <c r="G32" s="116"/>
      <c r="H32" s="116"/>
    </row>
    <row r="33" spans="2:8" x14ac:dyDescent="0.75">
      <c r="B33" s="116"/>
      <c r="C33" s="116"/>
      <c r="D33" s="116"/>
      <c r="E33" s="116"/>
      <c r="F33" s="116"/>
      <c r="G33" s="116"/>
      <c r="H33" s="116"/>
    </row>
    <row r="34" spans="2:8" x14ac:dyDescent="0.75">
      <c r="B34" s="116"/>
      <c r="C34" s="116"/>
      <c r="D34" s="116"/>
      <c r="E34" s="116"/>
      <c r="F34" s="116"/>
      <c r="G34" s="116"/>
      <c r="H34" s="116"/>
    </row>
    <row r="35" spans="2:8" x14ac:dyDescent="0.75">
      <c r="B35" s="116"/>
      <c r="C35" s="116"/>
      <c r="D35" s="116"/>
      <c r="E35" s="116"/>
      <c r="F35" s="116"/>
      <c r="G35" s="116"/>
      <c r="H35" s="116"/>
    </row>
    <row r="36" spans="2:8" x14ac:dyDescent="0.75">
      <c r="B36" s="116"/>
      <c r="C36" s="116"/>
      <c r="D36" s="116"/>
      <c r="E36" s="116"/>
      <c r="F36" s="116"/>
      <c r="G36" s="116"/>
      <c r="H36" s="116"/>
    </row>
    <row r="37" spans="2:8" x14ac:dyDescent="0.75">
      <c r="B37" s="116"/>
      <c r="C37" s="116"/>
      <c r="D37" s="116"/>
      <c r="E37" s="116"/>
      <c r="F37" s="116"/>
      <c r="G37" s="116"/>
      <c r="H37" s="116"/>
    </row>
    <row r="38" spans="2:8" x14ac:dyDescent="0.75">
      <c r="B38" s="116"/>
      <c r="C38" s="116"/>
      <c r="D38" s="116"/>
      <c r="E38" s="116"/>
      <c r="F38" s="116"/>
      <c r="G38" s="116"/>
      <c r="H38" s="116"/>
    </row>
    <row r="39" spans="2:8" x14ac:dyDescent="0.75">
      <c r="B39" s="116"/>
      <c r="C39" s="116"/>
      <c r="D39" s="116"/>
      <c r="E39" s="116"/>
      <c r="F39" s="116"/>
      <c r="G39" s="116"/>
      <c r="H39" s="116"/>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96" workbookViewId="0">
      <selection activeCell="D217" sqref="D217:D218"/>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4:7" x14ac:dyDescent="0.75">
      <c r="D2" s="16" t="str">
        <f>CONCATENATE("Instance: ",'Chemo-1'!B6)</f>
        <v>Instance: Chemotherapy</v>
      </c>
    </row>
    <row r="3" spans="4:7" x14ac:dyDescent="0.75">
      <c r="D3" s="16" t="s">
        <v>25</v>
      </c>
    </row>
    <row r="4" spans="4:7" x14ac:dyDescent="0.75">
      <c r="D4" s="16" t="str">
        <f>CONCATENATE("Description: """,'Chemo-1'!D2,"""")</f>
        <v>Description: "Chemotherapy"</v>
      </c>
      <c r="E4" s="16"/>
    </row>
    <row r="5" spans="4:7" x14ac:dyDescent="0.75">
      <c r="D5" s="16" t="str">
        <f>CONCATENATE("Title: """,'Chemo-1'!C2,"""")</f>
        <v>Title: "Chemotherapy"</v>
      </c>
      <c r="E5" s="16"/>
    </row>
    <row r="6" spans="4:7" x14ac:dyDescent="0.75">
      <c r="D6" s="16" t="s">
        <v>26</v>
      </c>
      <c r="E6" s="16"/>
    </row>
    <row r="7" spans="4:7" x14ac:dyDescent="0.75">
      <c r="D7" s="16"/>
      <c r="E7" s="16"/>
    </row>
    <row r="8" spans="4:7" x14ac:dyDescent="0.75">
      <c r="D8" s="16" t="str">
        <f>CONCATENATE("* publisher = """,'Chemo-1'!B4,"""")</f>
        <v>* publisher = "PanCareSurPass project"</v>
      </c>
      <c r="E8" s="16"/>
    </row>
    <row r="9" spans="4:7" x14ac:dyDescent="0.75">
      <c r="D9" s="16" t="s">
        <v>27</v>
      </c>
      <c r="E9" s="16"/>
    </row>
    <row r="10" spans="4:7" x14ac:dyDescent="0.75">
      <c r="D10" s="16" t="str">
        <f>CONCATENATE("* url = """,'Chemo-1'!B2,"/StructureDefinition/",'Chemo-1'!B6,"""")</f>
        <v>* url = "http://hl7.eu/fhir/ig/pcsp/StructureDefinition/Chemotherapy"</v>
      </c>
      <c r="E10" s="16"/>
      <c r="G10" s="113" t="s">
        <v>964</v>
      </c>
    </row>
    <row r="11" spans="4:7" x14ac:dyDescent="0.75">
      <c r="D11" s="16" t="str">
        <f>CONCATENATE("* name = """,'Chemo-1'!C4,"""")</f>
        <v>* name = "Chemotherapy"</v>
      </c>
      <c r="E11" s="16"/>
    </row>
    <row r="12" spans="4:7" x14ac:dyDescent="0.75">
      <c r="D12" s="16" t="str">
        <f>CONCATENATE("* title = """,'Chemo-1'!C2,"""")</f>
        <v>* title = "Chemotherapy"</v>
      </c>
      <c r="E12" s="16"/>
    </row>
    <row r="13" spans="4:7" x14ac:dyDescent="0.75">
      <c r="D13" s="16" t="s">
        <v>27</v>
      </c>
      <c r="E13" s="16"/>
    </row>
    <row r="14" spans="4:7" x14ac:dyDescent="0.75">
      <c r="D14" s="16" t="s">
        <v>28</v>
      </c>
      <c r="E14" s="16"/>
    </row>
    <row r="15" spans="4:7" x14ac:dyDescent="0.75">
      <c r="D15" s="16" t="str">
        <f>CONCATENATE("* description = """,'Chemo-1'!D2,"""")</f>
        <v>* description = "Chemotherapy"</v>
      </c>
      <c r="E15" s="16"/>
    </row>
    <row r="16" spans="4:7" x14ac:dyDescent="0.75">
      <c r="D16" s="16" t="s">
        <v>29</v>
      </c>
      <c r="E16" s="16"/>
    </row>
    <row r="18" spans="2:7" x14ac:dyDescent="0.75">
      <c r="C18" s="113">
        <v>0</v>
      </c>
      <c r="D18" s="48" t="str">
        <f>CONCATENATE("* mapping[",C18,"].identity = """,'BaseMap-1'!F1,"""")</f>
        <v>* mapping[0].identity = "fhir"</v>
      </c>
      <c r="G18" s="114" t="s">
        <v>53</v>
      </c>
    </row>
    <row r="19" spans="2:7" x14ac:dyDescent="0.75">
      <c r="B19" s="49" t="s">
        <v>55</v>
      </c>
      <c r="C19" s="113">
        <v>0</v>
      </c>
      <c r="D19" s="48" t="str">
        <f>CONCATENATE("* mapping[",C19,"].uri = """,'BaseMap-1'!F2,"""")</f>
        <v>* mapping[0].uri = "hl7.org/fhir/r4"</v>
      </c>
      <c r="G19" s="114" t="s">
        <v>54</v>
      </c>
    </row>
    <row r="20" spans="2:7" x14ac:dyDescent="0.75">
      <c r="C20" s="113">
        <v>0</v>
      </c>
      <c r="D20" s="48" t="str">
        <f>CONCATENATE("* mapping[",C20,"].name = """,'BaseMap-1'!D2,"""")</f>
        <v>* mapping[0].name = "FHIR"</v>
      </c>
      <c r="G20" s="114" t="s">
        <v>56</v>
      </c>
    </row>
    <row r="22" spans="2:7" x14ac:dyDescent="0.75">
      <c r="D22" s="16" t="s">
        <v>30</v>
      </c>
      <c r="E22" s="16"/>
    </row>
    <row r="23" spans="2:7" x14ac:dyDescent="0.75">
      <c r="D23" s="16" t="s">
        <v>67</v>
      </c>
      <c r="E23" s="16"/>
    </row>
    <row r="24" spans="2:7" x14ac:dyDescent="0.75">
      <c r="D24" s="16" t="str">
        <f>CONCATENATE("* type = """,'Chemo-1'!B6,"""")</f>
        <v>* type = "Chemotherapy"</v>
      </c>
      <c r="E24" s="16"/>
    </row>
    <row r="25" spans="2:7" x14ac:dyDescent="0.75">
      <c r="D25" s="16" t="s">
        <v>31</v>
      </c>
    </row>
    <row r="26" spans="2:7" x14ac:dyDescent="0.75">
      <c r="D26" s="16" t="s">
        <v>32</v>
      </c>
    </row>
    <row r="28" spans="2:7" x14ac:dyDescent="0.75">
      <c r="D28" s="34" t="str">
        <f>'Chemo-2'!B1</f>
        <v>* differential.element[0].id = "Chemotherapy"</v>
      </c>
    </row>
    <row r="29" spans="2:7" x14ac:dyDescent="0.75">
      <c r="D29" s="34" t="str">
        <f>'Chemo-2'!C1</f>
        <v>* differential.element[0].path = "Chemotherapy"</v>
      </c>
    </row>
    <row r="30" spans="2:7" x14ac:dyDescent="0.75">
      <c r="D30" s="34" t="str">
        <f>'Chemo-2'!D1</f>
        <v>* differential.element[0].short = "Chemotherapy"</v>
      </c>
    </row>
    <row r="31" spans="2:7" x14ac:dyDescent="0.75">
      <c r="D31" s="34" t="str">
        <f>'Chemo-2'!E1</f>
        <v>* differential.element[0].definition = "Chemotherapy"</v>
      </c>
    </row>
    <row r="32" spans="2:7" x14ac:dyDescent="0.75">
      <c r="D32" s="34" t="str">
        <f>'Chemo-2'!F1</f>
        <v>* differential.element[0].min = 1</v>
      </c>
    </row>
    <row r="33" spans="1:4" x14ac:dyDescent="0.75">
      <c r="D33" s="34" t="str">
        <f>'Chemo-2'!G1</f>
        <v>* differential.element[0].max = "1"</v>
      </c>
    </row>
    <row r="34" spans="1:4" x14ac:dyDescent="0.75">
      <c r="D34" s="8"/>
    </row>
    <row r="35" spans="1:4" x14ac:dyDescent="0.75">
      <c r="A35" s="115">
        <v>1</v>
      </c>
      <c r="B35" s="115">
        <f>IF(MOD(A35,7)=0,A35/7-1,INT(A35/7))</f>
        <v>0</v>
      </c>
      <c r="C35" s="115">
        <f>IF(MOD(A35,7)=0,7,MOD(A35,7))</f>
        <v>1</v>
      </c>
      <c r="D35" s="116" t="str" cm="1">
        <f t="array" ref="D35">INDEX('Chemo-2'!$B$2:$H$30,1+B35,C35)</f>
        <v>* differential.element[1].id = "Chemotherapy.relatedDiagnosis"</v>
      </c>
    </row>
    <row r="36" spans="1:4" x14ac:dyDescent="0.75">
      <c r="A36" s="115">
        <v>2</v>
      </c>
      <c r="B36" s="115">
        <f t="shared" ref="B36:B99" si="0">IF(MOD(A36,7)=0,A36/7-1,INT(A36/7))</f>
        <v>0</v>
      </c>
      <c r="C36" s="115">
        <f t="shared" ref="C36:C99" si="1">IF(MOD(A36,7)=0,7,MOD(A36,7))</f>
        <v>2</v>
      </c>
      <c r="D36" s="116" t="str" cm="1">
        <f t="array" ref="D36">INDEX('Chemo-2'!$B$2:$H$30,1+B36,C36)</f>
        <v>* differential.element[1].path = "Chemotherapy.relatedDiagnosis"</v>
      </c>
    </row>
    <row r="37" spans="1:4" x14ac:dyDescent="0.75">
      <c r="A37" s="115">
        <v>3</v>
      </c>
      <c r="B37" s="115">
        <f t="shared" si="0"/>
        <v>0</v>
      </c>
      <c r="C37" s="115">
        <f t="shared" si="1"/>
        <v>3</v>
      </c>
      <c r="D37" s="116" t="str" cm="1">
        <f t="array" ref="D37">INDEX('Chemo-2'!$B$2:$H$30,1+B37,C37)</f>
        <v>* differential.element[1].short = "Related Diagnosis"</v>
      </c>
    </row>
    <row r="38" spans="1:4" x14ac:dyDescent="0.75">
      <c r="A38" s="115">
        <v>4</v>
      </c>
      <c r="B38" s="115">
        <f t="shared" si="0"/>
        <v>0</v>
      </c>
      <c r="C38" s="115">
        <f t="shared" si="1"/>
        <v>4</v>
      </c>
      <c r="D38" s="116" t="str" cm="1">
        <f t="array" ref="D38">INDEX('Chemo-2'!$B$2:$H$30,1+B38,C38)</f>
        <v>* differential.element[1].definition = "Identifier of the diagnosis for which this chemotherapy is performed"</v>
      </c>
    </row>
    <row r="39" spans="1:4" x14ac:dyDescent="0.75">
      <c r="A39" s="115">
        <v>5</v>
      </c>
      <c r="B39" s="115">
        <f t="shared" si="0"/>
        <v>0</v>
      </c>
      <c r="C39" s="115">
        <f t="shared" si="1"/>
        <v>5</v>
      </c>
      <c r="D39" s="116" t="str" cm="1">
        <f t="array" ref="D39">INDEX('Chemo-2'!$B$2:$H$30,1+B39,C39)</f>
        <v>* differential.element[1].min = 1</v>
      </c>
    </row>
    <row r="40" spans="1:4" x14ac:dyDescent="0.75">
      <c r="A40" s="115">
        <v>6</v>
      </c>
      <c r="B40" s="115">
        <f t="shared" si="0"/>
        <v>0</v>
      </c>
      <c r="C40" s="115">
        <f t="shared" si="1"/>
        <v>6</v>
      </c>
      <c r="D40" s="116" t="str" cm="1">
        <f t="array" ref="D40">INDEX('Chemo-2'!$B$2:$H$30,1+B40,C40)</f>
        <v>* differential.element[1].max = "1"</v>
      </c>
    </row>
    <row r="41" spans="1:4" x14ac:dyDescent="0.75">
      <c r="A41" s="115">
        <v>7</v>
      </c>
      <c r="B41" s="115">
        <f t="shared" si="0"/>
        <v>0</v>
      </c>
      <c r="C41" s="115">
        <f t="shared" si="1"/>
        <v>7</v>
      </c>
      <c r="D41" s="116" t="str" cm="1">
        <f t="array" ref="D41">INDEX('Chemo-2'!$B$2:$H$30,1+B41,C41)</f>
        <v>* differential.element[1].type.code = #Identifier</v>
      </c>
    </row>
    <row r="42" spans="1:4" x14ac:dyDescent="0.75">
      <c r="A42" s="115">
        <v>8</v>
      </c>
      <c r="B42" s="115">
        <f t="shared" si="0"/>
        <v>1</v>
      </c>
      <c r="C42" s="115">
        <f t="shared" si="1"/>
        <v>1</v>
      </c>
      <c r="D42" s="116" t="str" cm="1">
        <f t="array" ref="D42">INDEX('Chemo-2'!$B$2:$H$30,1+B42,C42)</f>
        <v>* differential.element[2].id = "Chemotherapy.startDate"</v>
      </c>
    </row>
    <row r="43" spans="1:4" x14ac:dyDescent="0.75">
      <c r="A43" s="115">
        <v>9</v>
      </c>
      <c r="B43" s="115">
        <f t="shared" si="0"/>
        <v>1</v>
      </c>
      <c r="C43" s="115">
        <f t="shared" si="1"/>
        <v>2</v>
      </c>
      <c r="D43" s="116" t="str" cm="1">
        <f t="array" ref="D43">INDEX('Chemo-2'!$B$2:$H$30,1+B43,C43)</f>
        <v>* differential.element[2].path = "Chemotherapy.startDate"</v>
      </c>
    </row>
    <row r="44" spans="1:4" x14ac:dyDescent="0.75">
      <c r="A44" s="115">
        <v>10</v>
      </c>
      <c r="B44" s="115">
        <f t="shared" si="0"/>
        <v>1</v>
      </c>
      <c r="C44" s="115">
        <f t="shared" si="1"/>
        <v>3</v>
      </c>
      <c r="D44" s="116" t="str" cm="1">
        <f t="array" ref="D44">INDEX('Chemo-2'!$B$2:$H$30,1+B44,C44)</f>
        <v>* differential.element[2].short = "Start date"</v>
      </c>
    </row>
    <row r="45" spans="1:4" x14ac:dyDescent="0.75">
      <c r="A45" s="115">
        <v>11</v>
      </c>
      <c r="B45" s="115">
        <f t="shared" si="0"/>
        <v>1</v>
      </c>
      <c r="C45" s="115">
        <f t="shared" si="1"/>
        <v>4</v>
      </c>
      <c r="D45" s="116" t="str" cm="1">
        <f t="array" ref="D45">INDEX('Chemo-2'!$B$2:$H$30,1+B45,C45)</f>
        <v>* differential.element[2].definition = "Please report the date of the first chemotherapy given. If the date is unkown or partially missed insert the year at the best of your knowledge."</v>
      </c>
    </row>
    <row r="46" spans="1:4" x14ac:dyDescent="0.75">
      <c r="A46" s="115">
        <v>12</v>
      </c>
      <c r="B46" s="115">
        <f t="shared" si="0"/>
        <v>1</v>
      </c>
      <c r="C46" s="115">
        <f t="shared" si="1"/>
        <v>5</v>
      </c>
      <c r="D46" s="116" t="str" cm="1">
        <f t="array" ref="D46">INDEX('Chemo-2'!$B$2:$H$30,1+B46,C46)</f>
        <v>* differential.element[2].min = 1</v>
      </c>
    </row>
    <row r="47" spans="1:4" x14ac:dyDescent="0.75">
      <c r="A47" s="115">
        <v>13</v>
      </c>
      <c r="B47" s="115">
        <f t="shared" si="0"/>
        <v>1</v>
      </c>
      <c r="C47" s="115">
        <f t="shared" si="1"/>
        <v>6</v>
      </c>
      <c r="D47" s="116" t="str" cm="1">
        <f t="array" ref="D47">INDEX('Chemo-2'!$B$2:$H$30,1+B47,C47)</f>
        <v>* differential.element[2].max = "1"</v>
      </c>
    </row>
    <row r="48" spans="1:4" x14ac:dyDescent="0.75">
      <c r="A48" s="115">
        <v>14</v>
      </c>
      <c r="B48" s="115">
        <f t="shared" si="0"/>
        <v>1</v>
      </c>
      <c r="C48" s="115">
        <f t="shared" si="1"/>
        <v>7</v>
      </c>
      <c r="D48" s="116" t="str" cm="1">
        <f t="array" ref="D48">INDEX('Chemo-2'!$B$2:$H$30,1+B48,C48)</f>
        <v>* differential.element[2].type.code = #dateTime</v>
      </c>
    </row>
    <row r="49" spans="1:4" x14ac:dyDescent="0.75">
      <c r="A49" s="115">
        <v>15</v>
      </c>
      <c r="B49" s="115">
        <f t="shared" si="0"/>
        <v>2</v>
      </c>
      <c r="C49" s="115">
        <f t="shared" si="1"/>
        <v>1</v>
      </c>
      <c r="D49" s="116" t="str" cm="1">
        <f t="array" ref="D49">INDEX('Chemo-2'!$B$2:$H$30,1+B49,C49)</f>
        <v>* differential.element[3].id = "Chemotherapy.endDate"</v>
      </c>
    </row>
    <row r="50" spans="1:4" x14ac:dyDescent="0.75">
      <c r="A50" s="115">
        <v>16</v>
      </c>
      <c r="B50" s="115">
        <f t="shared" si="0"/>
        <v>2</v>
      </c>
      <c r="C50" s="115">
        <f t="shared" si="1"/>
        <v>2</v>
      </c>
      <c r="D50" s="116" t="str" cm="1">
        <f t="array" ref="D50">INDEX('Chemo-2'!$B$2:$H$30,1+B50,C50)</f>
        <v>* differential.element[3].path = "Chemotherapy.endDate"</v>
      </c>
    </row>
    <row r="51" spans="1:4" x14ac:dyDescent="0.75">
      <c r="A51" s="115">
        <v>17</v>
      </c>
      <c r="B51" s="115">
        <f t="shared" si="0"/>
        <v>2</v>
      </c>
      <c r="C51" s="115">
        <f t="shared" si="1"/>
        <v>3</v>
      </c>
      <c r="D51" s="116" t="str" cm="1">
        <f t="array" ref="D51">INDEX('Chemo-2'!$B$2:$H$30,1+B51,C51)</f>
        <v>* differential.element[3].short = "End date"</v>
      </c>
    </row>
    <row r="52" spans="1:4" x14ac:dyDescent="0.75">
      <c r="A52" s="115">
        <v>18</v>
      </c>
      <c r="B52" s="115">
        <f t="shared" si="0"/>
        <v>2</v>
      </c>
      <c r="C52" s="115">
        <f t="shared" si="1"/>
        <v>4</v>
      </c>
      <c r="D52" s="116" t="str" cm="1">
        <f t="array" ref="D52">INDEX('Chemo-2'!$B$2:$H$30,1+B52,C52)</f>
        <v>* differential.element[3].definition = "Please report the date of the last chemotherapy given. If the date is unkown or partially missed insert the year at the best of your knowledge."</v>
      </c>
    </row>
    <row r="53" spans="1:4" x14ac:dyDescent="0.75">
      <c r="A53" s="115">
        <v>19</v>
      </c>
      <c r="B53" s="115">
        <f t="shared" si="0"/>
        <v>2</v>
      </c>
      <c r="C53" s="115">
        <f t="shared" si="1"/>
        <v>5</v>
      </c>
      <c r="D53" s="116" t="str" cm="1">
        <f t="array" ref="D53">INDEX('Chemo-2'!$B$2:$H$30,1+B53,C53)</f>
        <v>* differential.element[3].min = 1</v>
      </c>
    </row>
    <row r="54" spans="1:4" x14ac:dyDescent="0.75">
      <c r="A54" s="115">
        <v>20</v>
      </c>
      <c r="B54" s="115">
        <f t="shared" si="0"/>
        <v>2</v>
      </c>
      <c r="C54" s="115">
        <f t="shared" si="1"/>
        <v>6</v>
      </c>
      <c r="D54" s="116" t="str" cm="1">
        <f t="array" ref="D54">INDEX('Chemo-2'!$B$2:$H$30,1+B54,C54)</f>
        <v>* differential.element[3].max = "1"</v>
      </c>
    </row>
    <row r="55" spans="1:4" x14ac:dyDescent="0.75">
      <c r="A55" s="115">
        <v>21</v>
      </c>
      <c r="B55" s="115">
        <f t="shared" si="0"/>
        <v>2</v>
      </c>
      <c r="C55" s="115">
        <f t="shared" si="1"/>
        <v>7</v>
      </c>
      <c r="D55" s="116" t="str" cm="1">
        <f t="array" ref="D55">INDEX('Chemo-2'!$B$2:$H$30,1+B55,C55)</f>
        <v>* differential.element[3].type.code = #dateTime</v>
      </c>
    </row>
    <row r="56" spans="1:4" x14ac:dyDescent="0.75">
      <c r="A56" s="115">
        <v>22</v>
      </c>
      <c r="B56" s="115">
        <f t="shared" si="0"/>
        <v>3</v>
      </c>
      <c r="C56" s="115">
        <f t="shared" si="1"/>
        <v>1</v>
      </c>
      <c r="D56" s="116" t="str" cm="1">
        <f t="array" ref="D56">INDEX('Chemo-2'!$B$2:$H$30,1+B56,C56)</f>
        <v>* differential.element[4].id = "Chemotherapy.istitutionOfTreatment"</v>
      </c>
    </row>
    <row r="57" spans="1:4" x14ac:dyDescent="0.75">
      <c r="A57" s="115">
        <v>23</v>
      </c>
      <c r="B57" s="115">
        <f t="shared" si="0"/>
        <v>3</v>
      </c>
      <c r="C57" s="115">
        <f t="shared" si="1"/>
        <v>2</v>
      </c>
      <c r="D57" s="116" t="str" cm="1">
        <f t="array" ref="D57">INDEX('Chemo-2'!$B$2:$H$30,1+B57,C57)</f>
        <v>* differential.element[4].path = "Chemotherapy.istitutionOfTreatment"</v>
      </c>
    </row>
    <row r="58" spans="1:4" x14ac:dyDescent="0.75">
      <c r="A58" s="115">
        <v>24</v>
      </c>
      <c r="B58" s="115">
        <f t="shared" si="0"/>
        <v>3</v>
      </c>
      <c r="C58" s="115">
        <f t="shared" si="1"/>
        <v>3</v>
      </c>
      <c r="D58" s="116" t="str" cm="1">
        <f t="array" ref="D58">INDEX('Chemo-2'!$B$2:$H$30,1+B58,C58)</f>
        <v>* differential.element[4].short = "Institution of treatment"</v>
      </c>
    </row>
    <row r="59" spans="1:4" x14ac:dyDescent="0.75">
      <c r="A59" s="115">
        <v>25</v>
      </c>
      <c r="B59" s="115">
        <f t="shared" si="0"/>
        <v>3</v>
      </c>
      <c r="C59" s="115">
        <f t="shared" si="1"/>
        <v>4</v>
      </c>
      <c r="D59" s="116" t="str" cm="1">
        <f t="array" ref="D59">INDEX('Chemo-2'!$B$2:$H$30,1+B59,C59)</f>
        <v>* differential.element[4].definition = "Please indicate the institution in which all or most of the chemotherapeutic treatment was given"</v>
      </c>
    </row>
    <row r="60" spans="1:4" x14ac:dyDescent="0.75">
      <c r="A60" s="115">
        <v>26</v>
      </c>
      <c r="B60" s="115">
        <f t="shared" si="0"/>
        <v>3</v>
      </c>
      <c r="C60" s="115">
        <f t="shared" si="1"/>
        <v>5</v>
      </c>
      <c r="D60" s="116" t="str" cm="1">
        <f t="array" ref="D60">INDEX('Chemo-2'!$B$2:$H$30,1+B60,C60)</f>
        <v>* differential.element[4].min = 0</v>
      </c>
    </row>
    <row r="61" spans="1:4" x14ac:dyDescent="0.75">
      <c r="A61" s="115">
        <v>27</v>
      </c>
      <c r="B61" s="115">
        <f t="shared" si="0"/>
        <v>3</v>
      </c>
      <c r="C61" s="115">
        <f t="shared" si="1"/>
        <v>6</v>
      </c>
      <c r="D61" s="116" t="str" cm="1">
        <f t="array" ref="D61">INDEX('Chemo-2'!$B$2:$H$30,1+B61,C61)</f>
        <v>* differential.element[4].max = "1"</v>
      </c>
    </row>
    <row r="62" spans="1:4" x14ac:dyDescent="0.75">
      <c r="A62" s="115">
        <v>28</v>
      </c>
      <c r="B62" s="115">
        <f t="shared" si="0"/>
        <v>3</v>
      </c>
      <c r="C62" s="115">
        <f t="shared" si="1"/>
        <v>7</v>
      </c>
      <c r="D62" s="116" t="str" cm="1">
        <f t="array" ref="D62">INDEX('Chemo-2'!$B$2:$H$30,1+B62,C62)</f>
        <v>* differential.element[4].type.code = #BackboneElement</v>
      </c>
    </row>
    <row r="63" spans="1:4" x14ac:dyDescent="0.75">
      <c r="A63" s="115">
        <v>29</v>
      </c>
      <c r="B63" s="115">
        <f t="shared" si="0"/>
        <v>4</v>
      </c>
      <c r="C63" s="115">
        <f t="shared" si="1"/>
        <v>1</v>
      </c>
      <c r="D63" s="116" t="str" cm="1">
        <f t="array" ref="D63">INDEX('Chemo-2'!$B$2:$H$30,1+B63,C63)</f>
        <v>* differential.element[5].id = "Chemotherapy.istitutionOfTreatment.description"</v>
      </c>
    </row>
    <row r="64" spans="1:4" x14ac:dyDescent="0.75">
      <c r="A64" s="115">
        <v>30</v>
      </c>
      <c r="B64" s="115">
        <f t="shared" si="0"/>
        <v>4</v>
      </c>
      <c r="C64" s="115">
        <f t="shared" si="1"/>
        <v>2</v>
      </c>
      <c r="D64" s="116" t="str" cm="1">
        <f t="array" ref="D64">INDEX('Chemo-2'!$B$2:$H$30,1+B64,C64)</f>
        <v>* differential.element[5].path = "Chemotherapy.istitutionOfTreatment.description"</v>
      </c>
    </row>
    <row r="65" spans="1:4" x14ac:dyDescent="0.75">
      <c r="A65" s="115">
        <v>31</v>
      </c>
      <c r="B65" s="115">
        <f t="shared" si="0"/>
        <v>4</v>
      </c>
      <c r="C65" s="115">
        <f t="shared" si="1"/>
        <v>3</v>
      </c>
      <c r="D65" s="116" t="str" cm="1">
        <f t="array" ref="D65">INDEX('Chemo-2'!$B$2:$H$30,1+B65,C65)</f>
        <v>* differential.element[5].short = "Institution description"</v>
      </c>
    </row>
    <row r="66" spans="1:4" x14ac:dyDescent="0.75">
      <c r="A66" s="115">
        <v>32</v>
      </c>
      <c r="B66" s="115">
        <f t="shared" si="0"/>
        <v>4</v>
      </c>
      <c r="C66" s="115">
        <f t="shared" si="1"/>
        <v>4</v>
      </c>
      <c r="D66" s="116" t="str" cm="1">
        <f t="array" ref="D66">INDEX('Chemo-2'!$B$2:$H$30,1+B66,C66)</f>
        <v>* differential.element[5].definition = "Please provide name, city and countryof the institution"</v>
      </c>
    </row>
    <row r="67" spans="1:4" x14ac:dyDescent="0.75">
      <c r="A67" s="115">
        <v>33</v>
      </c>
      <c r="B67" s="115">
        <f t="shared" si="0"/>
        <v>4</v>
      </c>
      <c r="C67" s="115">
        <f t="shared" si="1"/>
        <v>5</v>
      </c>
      <c r="D67" s="116" t="str" cm="1">
        <f t="array" ref="D67">INDEX('Chemo-2'!$B$2:$H$30,1+B67,C67)</f>
        <v>* differential.element[5].min = 0</v>
      </c>
    </row>
    <row r="68" spans="1:4" x14ac:dyDescent="0.75">
      <c r="A68" s="115">
        <v>34</v>
      </c>
      <c r="B68" s="115">
        <f t="shared" si="0"/>
        <v>4</v>
      </c>
      <c r="C68" s="115">
        <f t="shared" si="1"/>
        <v>6</v>
      </c>
      <c r="D68" s="116" t="str" cm="1">
        <f t="array" ref="D68">INDEX('Chemo-2'!$B$2:$H$30,1+B68,C68)</f>
        <v>* differential.element[5].max = "1"</v>
      </c>
    </row>
    <row r="69" spans="1:4" x14ac:dyDescent="0.75">
      <c r="A69" s="115">
        <v>35</v>
      </c>
      <c r="B69" s="115">
        <f t="shared" si="0"/>
        <v>4</v>
      </c>
      <c r="C69" s="115">
        <f t="shared" si="1"/>
        <v>7</v>
      </c>
      <c r="D69" s="116" t="str" cm="1">
        <f t="array" ref="D69">INDEX('Chemo-2'!$B$2:$H$30,1+B69,C69)</f>
        <v>* differential.element[5].type.code = #string</v>
      </c>
    </row>
    <row r="70" spans="1:4" x14ac:dyDescent="0.75">
      <c r="A70" s="115">
        <v>36</v>
      </c>
      <c r="B70" s="115">
        <f t="shared" si="0"/>
        <v>5</v>
      </c>
      <c r="C70" s="115">
        <f t="shared" si="1"/>
        <v>1</v>
      </c>
      <c r="D70" s="116" t="str" cm="1">
        <f t="array" ref="D70">INDEX('Chemo-2'!$B$2:$H$30,1+B70,C70)</f>
        <v>* differential.element[6].id = "Chemotherapy.istitutionOfTreatment.name"</v>
      </c>
    </row>
    <row r="71" spans="1:4" x14ac:dyDescent="0.75">
      <c r="A71" s="115">
        <v>37</v>
      </c>
      <c r="B71" s="115">
        <f t="shared" si="0"/>
        <v>5</v>
      </c>
      <c r="C71" s="115">
        <f t="shared" si="1"/>
        <v>2</v>
      </c>
      <c r="D71" s="116" t="str" cm="1">
        <f t="array" ref="D71">INDEX('Chemo-2'!$B$2:$H$30,1+B71,C71)</f>
        <v>* differential.element[6].path = "Chemotherapy.istitutionOfTreatment.name"</v>
      </c>
    </row>
    <row r="72" spans="1:4" x14ac:dyDescent="0.75">
      <c r="A72" s="115">
        <v>38</v>
      </c>
      <c r="B72" s="115">
        <f t="shared" si="0"/>
        <v>5</v>
      </c>
      <c r="C72" s="115">
        <f t="shared" si="1"/>
        <v>3</v>
      </c>
      <c r="D72" s="116" t="str" cm="1">
        <f t="array" ref="D72">INDEX('Chemo-2'!$B$2:$H$30,1+B72,C72)</f>
        <v>* differential.element[6].short = "Institution name"</v>
      </c>
    </row>
    <row r="73" spans="1:4" x14ac:dyDescent="0.75">
      <c r="A73" s="115">
        <v>39</v>
      </c>
      <c r="B73" s="115">
        <f t="shared" si="0"/>
        <v>5</v>
      </c>
      <c r="C73" s="115">
        <f t="shared" si="1"/>
        <v>4</v>
      </c>
      <c r="D73" s="116" t="str" cm="1">
        <f t="array" ref="D73">INDEX('Chemo-2'!$B$2:$H$30,1+B73,C73)</f>
        <v>* differential.element[6].definition = "Institution name"</v>
      </c>
    </row>
    <row r="74" spans="1:4" x14ac:dyDescent="0.75">
      <c r="A74" s="115">
        <v>40</v>
      </c>
      <c r="B74" s="115">
        <f t="shared" si="0"/>
        <v>5</v>
      </c>
      <c r="C74" s="115">
        <f t="shared" si="1"/>
        <v>5</v>
      </c>
      <c r="D74" s="116" t="str" cm="1">
        <f t="array" ref="D74">INDEX('Chemo-2'!$B$2:$H$30,1+B74,C74)</f>
        <v>* differential.element[6].min = 0</v>
      </c>
    </row>
    <row r="75" spans="1:4" x14ac:dyDescent="0.75">
      <c r="A75" s="115">
        <v>41</v>
      </c>
      <c r="B75" s="115">
        <f t="shared" si="0"/>
        <v>5</v>
      </c>
      <c r="C75" s="115">
        <f t="shared" si="1"/>
        <v>6</v>
      </c>
      <c r="D75" s="116" t="str" cm="1">
        <f t="array" ref="D75">INDEX('Chemo-2'!$B$2:$H$30,1+B75,C75)</f>
        <v>* differential.element[6].max = "1"</v>
      </c>
    </row>
    <row r="76" spans="1:4" x14ac:dyDescent="0.75">
      <c r="A76" s="115">
        <v>42</v>
      </c>
      <c r="B76" s="115">
        <f t="shared" si="0"/>
        <v>5</v>
      </c>
      <c r="C76" s="115">
        <f t="shared" si="1"/>
        <v>7</v>
      </c>
      <c r="D76" s="116" t="str" cm="1">
        <f t="array" ref="D76">INDEX('Chemo-2'!$B$2:$H$30,1+B76,C76)</f>
        <v>* differential.element[6].type.code = #string</v>
      </c>
    </row>
    <row r="77" spans="1:4" x14ac:dyDescent="0.75">
      <c r="A77" s="115">
        <v>43</v>
      </c>
      <c r="B77" s="115">
        <f t="shared" si="0"/>
        <v>6</v>
      </c>
      <c r="C77" s="115">
        <f t="shared" si="1"/>
        <v>1</v>
      </c>
      <c r="D77" s="116" t="str" cm="1">
        <f t="array" ref="D77">INDEX('Chemo-2'!$B$2:$H$30,1+B77,C77)</f>
        <v>* differential.element[7].id = "Chemotherapy.istitutionOfTreatment.address"</v>
      </c>
    </row>
    <row r="78" spans="1:4" x14ac:dyDescent="0.75">
      <c r="A78" s="115">
        <v>44</v>
      </c>
      <c r="B78" s="115">
        <f t="shared" si="0"/>
        <v>6</v>
      </c>
      <c r="C78" s="115">
        <f t="shared" si="1"/>
        <v>2</v>
      </c>
      <c r="D78" s="116" t="str" cm="1">
        <f t="array" ref="D78">INDEX('Chemo-2'!$B$2:$H$30,1+B78,C78)</f>
        <v>* differential.element[7].path = "Chemotherapy.istitutionOfTreatment.address"</v>
      </c>
    </row>
    <row r="79" spans="1:4" x14ac:dyDescent="0.75">
      <c r="A79" s="115">
        <v>45</v>
      </c>
      <c r="B79" s="115">
        <f t="shared" si="0"/>
        <v>6</v>
      </c>
      <c r="C79" s="115">
        <f t="shared" si="1"/>
        <v>3</v>
      </c>
      <c r="D79" s="116" t="str" cm="1">
        <f t="array" ref="D79">INDEX('Chemo-2'!$B$2:$H$30,1+B79,C79)</f>
        <v>* differential.element[7].short = "Institution address"</v>
      </c>
    </row>
    <row r="80" spans="1:4" x14ac:dyDescent="0.75">
      <c r="A80" s="115">
        <v>46</v>
      </c>
      <c r="B80" s="115">
        <f t="shared" si="0"/>
        <v>6</v>
      </c>
      <c r="C80" s="115">
        <f t="shared" si="1"/>
        <v>4</v>
      </c>
      <c r="D80" s="116" t="str" cm="1">
        <f t="array" ref="D80">INDEX('Chemo-2'!$B$2:$H$30,1+B80,C80)</f>
        <v>* differential.element[7].definition = "Institution address"</v>
      </c>
    </row>
    <row r="81" spans="1:7" x14ac:dyDescent="0.75">
      <c r="A81" s="115">
        <v>47</v>
      </c>
      <c r="B81" s="115">
        <f t="shared" si="0"/>
        <v>6</v>
      </c>
      <c r="C81" s="115">
        <f t="shared" si="1"/>
        <v>5</v>
      </c>
      <c r="D81" s="116" t="str" cm="1">
        <f t="array" ref="D81">INDEX('Chemo-2'!$B$2:$H$30,1+B81,C81)</f>
        <v>* differential.element[7].min = 0</v>
      </c>
    </row>
    <row r="82" spans="1:7" x14ac:dyDescent="0.75">
      <c r="A82" s="115">
        <v>48</v>
      </c>
      <c r="B82" s="115">
        <f t="shared" si="0"/>
        <v>6</v>
      </c>
      <c r="C82" s="115">
        <f t="shared" si="1"/>
        <v>6</v>
      </c>
      <c r="D82" s="116" t="str" cm="1">
        <f t="array" ref="D82">INDEX('Chemo-2'!$B$2:$H$30,1+B82,C82)</f>
        <v>* differential.element[7].max = "1"</v>
      </c>
    </row>
    <row r="83" spans="1:7" x14ac:dyDescent="0.75">
      <c r="A83" s="115">
        <v>49</v>
      </c>
      <c r="B83" s="115">
        <f t="shared" si="0"/>
        <v>6</v>
      </c>
      <c r="C83" s="115">
        <f t="shared" si="1"/>
        <v>7</v>
      </c>
      <c r="D83" s="116" t="str" cm="1">
        <f t="array" ref="D83">INDEX('Chemo-2'!$B$2:$H$30,1+B83,C83)</f>
        <v>* differential.element[7].type.code = #BackboneElement</v>
      </c>
    </row>
    <row r="84" spans="1:7" x14ac:dyDescent="0.75">
      <c r="A84" s="115">
        <v>50</v>
      </c>
      <c r="B84" s="115">
        <f t="shared" si="0"/>
        <v>7</v>
      </c>
      <c r="C84" s="115">
        <f t="shared" si="1"/>
        <v>1</v>
      </c>
      <c r="D84" s="116" t="str" cm="1">
        <f t="array" ref="D84">INDEX('Chemo-2'!$B$2:$H$30,1+B84,C84)</f>
        <v>* differential.element[8].id = "Chemotherapy.istitutionOfTreatment.address.name"</v>
      </c>
    </row>
    <row r="85" spans="1:7" x14ac:dyDescent="0.75">
      <c r="A85" s="115">
        <v>51</v>
      </c>
      <c r="B85" s="115">
        <f t="shared" si="0"/>
        <v>7</v>
      </c>
      <c r="C85" s="115">
        <f t="shared" si="1"/>
        <v>2</v>
      </c>
      <c r="D85" s="116" t="str" cm="1">
        <f t="array" ref="D85">INDEX('Chemo-2'!$B$2:$H$30,1+B85,C85)</f>
        <v>* differential.element[8].path = "Chemotherapy.istitutionOfTreatment.address.name"</v>
      </c>
    </row>
    <row r="86" spans="1:7" x14ac:dyDescent="0.75">
      <c r="A86" s="115">
        <v>52</v>
      </c>
      <c r="B86" s="115">
        <f t="shared" si="0"/>
        <v>7</v>
      </c>
      <c r="C86" s="115">
        <f t="shared" si="1"/>
        <v>3</v>
      </c>
      <c r="D86" s="116" t="str" cm="1">
        <f t="array" ref="D86">INDEX('Chemo-2'!$B$2:$H$30,1+B86,C86)</f>
        <v>* differential.element[8].short = "Institution city"</v>
      </c>
    </row>
    <row r="87" spans="1:7" x14ac:dyDescent="0.75">
      <c r="A87" s="115">
        <v>53</v>
      </c>
      <c r="B87" s="115">
        <f t="shared" si="0"/>
        <v>7</v>
      </c>
      <c r="C87" s="115">
        <f t="shared" si="1"/>
        <v>4</v>
      </c>
      <c r="D87" s="116" t="str" cm="1">
        <f t="array" ref="D87">INDEX('Chemo-2'!$B$2:$H$30,1+B87,C87)</f>
        <v>* differential.element[8].definition = "Institution city"</v>
      </c>
      <c r="G87" s="15"/>
    </row>
    <row r="88" spans="1:7" x14ac:dyDescent="0.75">
      <c r="A88" s="115">
        <v>54</v>
      </c>
      <c r="B88" s="115">
        <f t="shared" si="0"/>
        <v>7</v>
      </c>
      <c r="C88" s="115">
        <f t="shared" si="1"/>
        <v>5</v>
      </c>
      <c r="D88" s="116" t="str" cm="1">
        <f t="array" ref="D88">INDEX('Chemo-2'!$B$2:$H$30,1+B88,C88)</f>
        <v>* differential.element[8].min = 0</v>
      </c>
    </row>
    <row r="89" spans="1:7" x14ac:dyDescent="0.75">
      <c r="A89" s="115">
        <v>55</v>
      </c>
      <c r="B89" s="115">
        <f t="shared" si="0"/>
        <v>7</v>
      </c>
      <c r="C89" s="115">
        <f t="shared" si="1"/>
        <v>6</v>
      </c>
      <c r="D89" s="116" t="str" cm="1">
        <f t="array" ref="D89">INDEX('Chemo-2'!$B$2:$H$30,1+B89,C89)</f>
        <v>* differential.element[8].max = "1"</v>
      </c>
    </row>
    <row r="90" spans="1:7" x14ac:dyDescent="0.75">
      <c r="A90" s="115">
        <v>56</v>
      </c>
      <c r="B90" s="115">
        <f t="shared" si="0"/>
        <v>7</v>
      </c>
      <c r="C90" s="115">
        <f t="shared" si="1"/>
        <v>7</v>
      </c>
      <c r="D90" s="116" t="str" cm="1">
        <f t="array" ref="D90">INDEX('Chemo-2'!$B$2:$H$30,1+B90,C90)</f>
        <v>* differential.element[8].type.code = #string</v>
      </c>
    </row>
    <row r="91" spans="1:7" x14ac:dyDescent="0.75">
      <c r="A91" s="115">
        <v>57</v>
      </c>
      <c r="B91" s="115">
        <f t="shared" si="0"/>
        <v>8</v>
      </c>
      <c r="C91" s="115">
        <f t="shared" si="1"/>
        <v>1</v>
      </c>
      <c r="D91" s="116" t="str" cm="1">
        <f t="array" ref="D91">INDEX('Chemo-2'!$B$2:$H$30,1+B91,C91)</f>
        <v>* differential.element[9].id = "Chemotherapy.istitutionOfTreatment.address.country"</v>
      </c>
    </row>
    <row r="92" spans="1:7" x14ac:dyDescent="0.75">
      <c r="A92" s="115">
        <v>58</v>
      </c>
      <c r="B92" s="115">
        <f t="shared" si="0"/>
        <v>8</v>
      </c>
      <c r="C92" s="115">
        <f t="shared" si="1"/>
        <v>2</v>
      </c>
      <c r="D92" s="116" t="str" cm="1">
        <f t="array" ref="D92">INDEX('Chemo-2'!$B$2:$H$30,1+B92,C92)</f>
        <v>* differential.element[9].path = "Chemotherapy.istitutionOfTreatment.address.country"</v>
      </c>
    </row>
    <row r="93" spans="1:7" x14ac:dyDescent="0.75">
      <c r="A93" s="115">
        <v>59</v>
      </c>
      <c r="B93" s="115">
        <f t="shared" si="0"/>
        <v>8</v>
      </c>
      <c r="C93" s="115">
        <f t="shared" si="1"/>
        <v>3</v>
      </c>
      <c r="D93" s="116" t="str" cm="1">
        <f t="array" ref="D93">INDEX('Chemo-2'!$B$2:$H$30,1+B93,C93)</f>
        <v>* differential.element[9].short = "Institution country"</v>
      </c>
    </row>
    <row r="94" spans="1:7" x14ac:dyDescent="0.75">
      <c r="A94" s="115">
        <v>60</v>
      </c>
      <c r="B94" s="115">
        <f t="shared" si="0"/>
        <v>8</v>
      </c>
      <c r="C94" s="115">
        <f t="shared" si="1"/>
        <v>4</v>
      </c>
      <c r="D94" s="116" t="str" cm="1">
        <f t="array" ref="D94">INDEX('Chemo-2'!$B$2:$H$30,1+B94,C94)</f>
        <v>* differential.element[9].definition = "Institution country"</v>
      </c>
    </row>
    <row r="95" spans="1:7" x14ac:dyDescent="0.75">
      <c r="A95" s="115">
        <v>61</v>
      </c>
      <c r="B95" s="115">
        <f t="shared" si="0"/>
        <v>8</v>
      </c>
      <c r="C95" s="115">
        <f t="shared" si="1"/>
        <v>5</v>
      </c>
      <c r="D95" s="116" t="str" cm="1">
        <f t="array" ref="D95">INDEX('Chemo-2'!$B$2:$H$30,1+B95,C95)</f>
        <v>* differential.element[9].min = 0</v>
      </c>
    </row>
    <row r="96" spans="1:7" x14ac:dyDescent="0.75">
      <c r="A96" s="115">
        <v>62</v>
      </c>
      <c r="B96" s="115">
        <f t="shared" si="0"/>
        <v>8</v>
      </c>
      <c r="C96" s="115">
        <f t="shared" si="1"/>
        <v>6</v>
      </c>
      <c r="D96" s="116" t="str" cm="1">
        <f t="array" ref="D96">INDEX('Chemo-2'!$B$2:$H$30,1+B96,C96)</f>
        <v>* differential.element[9].max = "1"</v>
      </c>
    </row>
    <row r="97" spans="1:4" x14ac:dyDescent="0.75">
      <c r="A97" s="115">
        <v>63</v>
      </c>
      <c r="B97" s="115">
        <f t="shared" si="0"/>
        <v>8</v>
      </c>
      <c r="C97" s="115">
        <f t="shared" si="1"/>
        <v>7</v>
      </c>
      <c r="D97" s="116" t="str" cm="1">
        <f t="array" ref="D97">INDEX('Chemo-2'!$B$2:$H$30,1+B97,C97)</f>
        <v>* differential.element[9].type.code = #string</v>
      </c>
    </row>
    <row r="98" spans="1:4" x14ac:dyDescent="0.75">
      <c r="A98" s="115">
        <v>64</v>
      </c>
      <c r="B98" s="115">
        <f t="shared" si="0"/>
        <v>9</v>
      </c>
      <c r="C98" s="115">
        <f t="shared" si="1"/>
        <v>1</v>
      </c>
      <c r="D98" s="116" t="str" cm="1">
        <f t="array" ref="D98">INDEX('Chemo-2'!$B$2:$H$30,1+B98,C98)</f>
        <v>* differential.element[10].id = "Chemotherapy.productAdministration"</v>
      </c>
    </row>
    <row r="99" spans="1:4" x14ac:dyDescent="0.75">
      <c r="A99" s="115">
        <v>65</v>
      </c>
      <c r="B99" s="115">
        <f t="shared" si="0"/>
        <v>9</v>
      </c>
      <c r="C99" s="115">
        <f t="shared" si="1"/>
        <v>2</v>
      </c>
      <c r="D99" s="116" t="str" cm="1">
        <f t="array" ref="D99">INDEX('Chemo-2'!$B$2:$H$30,1+B99,C99)</f>
        <v>* differential.element[10].path = "Chemotherapy.productAdministration"</v>
      </c>
    </row>
    <row r="100" spans="1:4" x14ac:dyDescent="0.75">
      <c r="A100" s="115">
        <v>66</v>
      </c>
      <c r="B100" s="115">
        <f t="shared" ref="B100:B163" si="2">IF(MOD(A100,7)=0,A100/7-1,INT(A100/7))</f>
        <v>9</v>
      </c>
      <c r="C100" s="115">
        <f t="shared" ref="C100:C163" si="3">IF(MOD(A100,7)=0,7,MOD(A100,7))</f>
        <v>3</v>
      </c>
      <c r="D100" s="116" t="str" cm="1">
        <f t="array" ref="D100">INDEX('Chemo-2'!$B$2:$H$30,1+B100,C100)</f>
        <v>* differential.element[10].short = "Product(s) administartion data"</v>
      </c>
    </row>
    <row r="101" spans="1:4" x14ac:dyDescent="0.75">
      <c r="A101" s="115">
        <v>67</v>
      </c>
      <c r="B101" s="115">
        <f t="shared" si="2"/>
        <v>9</v>
      </c>
      <c r="C101" s="115">
        <f t="shared" si="3"/>
        <v>4</v>
      </c>
      <c r="D101" s="116" t="str" cm="1">
        <f t="array" ref="D101">INDEX('Chemo-2'!$B$2:$H$30,1+B101,C101)</f>
        <v>* differential.element[10].definition = "Information about the product(s) administered"</v>
      </c>
    </row>
    <row r="102" spans="1:4" x14ac:dyDescent="0.75">
      <c r="A102" s="115">
        <v>68</v>
      </c>
      <c r="B102" s="115">
        <f t="shared" si="2"/>
        <v>9</v>
      </c>
      <c r="C102" s="115">
        <f t="shared" si="3"/>
        <v>5</v>
      </c>
      <c r="D102" s="116" t="str" cm="1">
        <f t="array" ref="D102">INDEX('Chemo-2'!$B$2:$H$30,1+B102,C102)</f>
        <v>* differential.element[10].min = 1</v>
      </c>
    </row>
    <row r="103" spans="1:4" x14ac:dyDescent="0.75">
      <c r="A103" s="115">
        <v>69</v>
      </c>
      <c r="B103" s="115">
        <f t="shared" si="2"/>
        <v>9</v>
      </c>
      <c r="C103" s="115">
        <f t="shared" si="3"/>
        <v>6</v>
      </c>
      <c r="D103" s="116" t="str" cm="1">
        <f t="array" ref="D103">INDEX('Chemo-2'!$B$2:$H$30,1+B103,C103)</f>
        <v>* differential.element[10].max = "20"</v>
      </c>
    </row>
    <row r="104" spans="1:4" x14ac:dyDescent="0.75">
      <c r="A104" s="115">
        <v>70</v>
      </c>
      <c r="B104" s="115">
        <f t="shared" si="2"/>
        <v>9</v>
      </c>
      <c r="C104" s="115">
        <f t="shared" si="3"/>
        <v>7</v>
      </c>
      <c r="D104" s="116" t="str" cm="1">
        <f t="array" ref="D104">INDEX('Chemo-2'!$B$2:$H$30,1+B104,C104)</f>
        <v>* differential.element[10].type.code = #BackboneElement</v>
      </c>
    </row>
    <row r="105" spans="1:4" x14ac:dyDescent="0.75">
      <c r="A105" s="115">
        <v>71</v>
      </c>
      <c r="B105" s="115">
        <f t="shared" si="2"/>
        <v>10</v>
      </c>
      <c r="C105" s="115">
        <f t="shared" si="3"/>
        <v>1</v>
      </c>
      <c r="D105" s="116" t="str" cm="1">
        <f t="array" ref="D105">INDEX('Chemo-2'!$B$2:$H$30,1+B105,C105)</f>
        <v>* differential.element[11].id = "Chemotherapy.productAdministration.agent"</v>
      </c>
    </row>
    <row r="106" spans="1:4" x14ac:dyDescent="0.75">
      <c r="A106" s="115">
        <v>72</v>
      </c>
      <c r="B106" s="115">
        <f t="shared" si="2"/>
        <v>10</v>
      </c>
      <c r="C106" s="115">
        <f t="shared" si="3"/>
        <v>2</v>
      </c>
      <c r="D106" s="116" t="str" cm="1">
        <f t="array" ref="D106">INDEX('Chemo-2'!$B$2:$H$30,1+B106,C106)</f>
        <v>* differential.element[11].path = "Chemotherapy.productAdministration.agent"</v>
      </c>
    </row>
    <row r="107" spans="1:4" x14ac:dyDescent="0.75">
      <c r="A107" s="115">
        <v>73</v>
      </c>
      <c r="B107" s="115">
        <f t="shared" si="2"/>
        <v>10</v>
      </c>
      <c r="C107" s="115">
        <f t="shared" si="3"/>
        <v>3</v>
      </c>
      <c r="D107" s="116" t="str" cm="1">
        <f t="array" ref="D107">INDEX('Chemo-2'!$B$2:$H$30,1+B107,C107)</f>
        <v>* differential.element[11].short = "Antineoplastic and immunostimulating agents"</v>
      </c>
    </row>
    <row r="108" spans="1:4" ht="73.75" x14ac:dyDescent="0.75">
      <c r="A108" s="115">
        <v>74</v>
      </c>
      <c r="B108" s="115">
        <f t="shared" si="2"/>
        <v>10</v>
      </c>
      <c r="C108" s="115">
        <f t="shared" si="3"/>
        <v>4</v>
      </c>
      <c r="D108" s="116" t="str" cm="1">
        <f t="array" ref="D108">INDEX('Chemo-2'!$B$2:$H$30,1+B108,C108)</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row>
    <row r="109" spans="1:4" x14ac:dyDescent="0.75">
      <c r="A109" s="115">
        <v>75</v>
      </c>
      <c r="B109" s="115">
        <f t="shared" si="2"/>
        <v>10</v>
      </c>
      <c r="C109" s="115">
        <f t="shared" si="3"/>
        <v>5</v>
      </c>
      <c r="D109" s="116" t="str" cm="1">
        <f t="array" ref="D109">INDEX('Chemo-2'!$B$2:$H$30,1+B109,C109)</f>
        <v>* differential.element[11].min = 1</v>
      </c>
    </row>
    <row r="110" spans="1:4" x14ac:dyDescent="0.75">
      <c r="A110" s="115">
        <v>76</v>
      </c>
      <c r="B110" s="115">
        <f t="shared" si="2"/>
        <v>10</v>
      </c>
      <c r="C110" s="115">
        <f t="shared" si="3"/>
        <v>6</v>
      </c>
      <c r="D110" s="116" t="str" cm="1">
        <f t="array" ref="D110">INDEX('Chemo-2'!$B$2:$H$30,1+B110,C110)</f>
        <v>* differential.element[11].max = "1"</v>
      </c>
    </row>
    <row r="111" spans="1:4" x14ac:dyDescent="0.75">
      <c r="A111" s="115">
        <v>77</v>
      </c>
      <c r="B111" s="115">
        <f t="shared" si="2"/>
        <v>10</v>
      </c>
      <c r="C111" s="115">
        <f t="shared" si="3"/>
        <v>7</v>
      </c>
      <c r="D111" s="116" t="str" cm="1">
        <f t="array" ref="D111">INDEX('Chemo-2'!$B$2:$H$30,1+B111,C111)</f>
        <v>* differential.element[11].type.code = #CodeableConcept</v>
      </c>
    </row>
    <row r="112" spans="1:4" x14ac:dyDescent="0.75">
      <c r="A112" s="115">
        <v>78</v>
      </c>
      <c r="B112" s="115">
        <f t="shared" si="2"/>
        <v>11</v>
      </c>
      <c r="C112" s="115">
        <f t="shared" si="3"/>
        <v>1</v>
      </c>
      <c r="D112" s="116" t="str" cm="1">
        <f t="array" ref="D112">INDEX('Chemo-2'!$B$2:$H$30,1+B112,C112)</f>
        <v>* differential.element[12].id = "Chemotherapy.productAdministration.dose"</v>
      </c>
    </row>
    <row r="113" spans="1:4" x14ac:dyDescent="0.75">
      <c r="A113" s="115">
        <v>79</v>
      </c>
      <c r="B113" s="115">
        <f t="shared" si="2"/>
        <v>11</v>
      </c>
      <c r="C113" s="115">
        <f t="shared" si="3"/>
        <v>2</v>
      </c>
      <c r="D113" s="116" t="str" cm="1">
        <f t="array" ref="D113">INDEX('Chemo-2'!$B$2:$H$30,1+B113,C113)</f>
        <v>* differential.element[12].path = "Chemotherapy.productAdministration.dose"</v>
      </c>
    </row>
    <row r="114" spans="1:4" x14ac:dyDescent="0.75">
      <c r="A114" s="115">
        <v>80</v>
      </c>
      <c r="B114" s="115">
        <f t="shared" si="2"/>
        <v>11</v>
      </c>
      <c r="C114" s="115">
        <f t="shared" si="3"/>
        <v>3</v>
      </c>
      <c r="D114" s="116" t="str" cm="1">
        <f t="array" ref="D114">INDEX('Chemo-2'!$B$2:$H$30,1+B114,C114)</f>
        <v>* differential.element[12].short = "Dose (NOT in PCSP DB)"</v>
      </c>
    </row>
    <row r="115" spans="1:4" x14ac:dyDescent="0.75">
      <c r="A115" s="115">
        <v>81</v>
      </c>
      <c r="B115" s="115">
        <f t="shared" si="2"/>
        <v>11</v>
      </c>
      <c r="C115" s="115">
        <f t="shared" si="3"/>
        <v>4</v>
      </c>
      <c r="D115" s="116" t="str" cm="1">
        <f t="array" ref="D115">INDEX('Chemo-2'!$B$2:$H$30,1+B115,C115)</f>
        <v>* differential.element[12].definition = "Dose received of each drug for this administration"</v>
      </c>
    </row>
    <row r="116" spans="1:4" x14ac:dyDescent="0.75">
      <c r="A116" s="115">
        <v>82</v>
      </c>
      <c r="B116" s="115">
        <f t="shared" si="2"/>
        <v>11</v>
      </c>
      <c r="C116" s="115">
        <f t="shared" si="3"/>
        <v>5</v>
      </c>
      <c r="D116" s="116" t="str" cm="1">
        <f t="array" ref="D116">INDEX('Chemo-2'!$B$2:$H$30,1+B116,C116)</f>
        <v>* differential.element[12].min = 0</v>
      </c>
    </row>
    <row r="117" spans="1:4" x14ac:dyDescent="0.75">
      <c r="A117" s="115">
        <v>83</v>
      </c>
      <c r="B117" s="115">
        <f t="shared" si="2"/>
        <v>11</v>
      </c>
      <c r="C117" s="115">
        <f t="shared" si="3"/>
        <v>6</v>
      </c>
      <c r="D117" s="116" t="str" cm="1">
        <f t="array" ref="D117">INDEX('Chemo-2'!$B$2:$H$30,1+B117,C117)</f>
        <v>* differential.element[12].max = "1"</v>
      </c>
    </row>
    <row r="118" spans="1:4" x14ac:dyDescent="0.75">
      <c r="A118" s="115">
        <v>84</v>
      </c>
      <c r="B118" s="115">
        <f t="shared" si="2"/>
        <v>11</v>
      </c>
      <c r="C118" s="115">
        <f t="shared" si="3"/>
        <v>7</v>
      </c>
      <c r="D118" s="116" t="str" cm="1">
        <f t="array" ref="D118">INDEX('Chemo-2'!$B$2:$H$30,1+B118,C118)</f>
        <v>* differential.element[12].type.code = #Quantity</v>
      </c>
    </row>
    <row r="119" spans="1:4" x14ac:dyDescent="0.75">
      <c r="A119" s="115">
        <v>85</v>
      </c>
      <c r="B119" s="115">
        <f t="shared" si="2"/>
        <v>12</v>
      </c>
      <c r="C119" s="115">
        <f t="shared" si="3"/>
        <v>1</v>
      </c>
      <c r="D119" s="116" t="str" cm="1">
        <f t="array" ref="D119">INDEX('Chemo-2'!$B$2:$H$30,1+B119,C119)</f>
        <v>* differential.element[13].id = "Chemotherapy.productAdministration.cumulativeDose"</v>
      </c>
    </row>
    <row r="120" spans="1:4" x14ac:dyDescent="0.75">
      <c r="A120" s="115">
        <v>86</v>
      </c>
      <c r="B120" s="115">
        <f t="shared" si="2"/>
        <v>12</v>
      </c>
      <c r="C120" s="115">
        <f t="shared" si="3"/>
        <v>2</v>
      </c>
      <c r="D120" s="116" t="str" cm="1">
        <f t="array" ref="D120">INDEX('Chemo-2'!$B$2:$H$30,1+B120,C120)</f>
        <v>* differential.element[13].path = "Chemotherapy.productAdministration.cumulativeDose"</v>
      </c>
    </row>
    <row r="121" spans="1:4" x14ac:dyDescent="0.75">
      <c r="A121" s="115">
        <v>87</v>
      </c>
      <c r="B121" s="115">
        <f t="shared" si="2"/>
        <v>12</v>
      </c>
      <c r="C121" s="115">
        <f t="shared" si="3"/>
        <v>3</v>
      </c>
      <c r="D121" s="116" t="str" cm="1">
        <f t="array" ref="D121">INDEX('Chemo-2'!$B$2:$H$30,1+B121,C121)</f>
        <v>* differential.element[13].short = "Cumulative Dose"</v>
      </c>
    </row>
    <row r="122" spans="1:4" x14ac:dyDescent="0.75">
      <c r="A122" s="115">
        <v>88</v>
      </c>
      <c r="B122" s="115">
        <f t="shared" si="2"/>
        <v>12</v>
      </c>
      <c r="C122" s="115">
        <f t="shared" si="3"/>
        <v>4</v>
      </c>
      <c r="D122" s="116" t="str" cm="1">
        <f t="array" ref="D122">INDEX('Chemo-2'!$B$2:$H$30,1+B122,C122)</f>
        <v>* differential.element[13].definition = "Report the total cumulative dose received of each drug. "</v>
      </c>
    </row>
    <row r="123" spans="1:4" x14ac:dyDescent="0.75">
      <c r="A123" s="115">
        <v>89</v>
      </c>
      <c r="B123" s="115">
        <f t="shared" si="2"/>
        <v>12</v>
      </c>
      <c r="C123" s="115">
        <f t="shared" si="3"/>
        <v>5</v>
      </c>
      <c r="D123" s="116" t="str" cm="1">
        <f t="array" ref="D123">INDEX('Chemo-2'!$B$2:$H$30,1+B123,C123)</f>
        <v>* differential.element[13].min = 0</v>
      </c>
    </row>
    <row r="124" spans="1:4" x14ac:dyDescent="0.75">
      <c r="A124" s="115">
        <v>90</v>
      </c>
      <c r="B124" s="115">
        <f t="shared" si="2"/>
        <v>12</v>
      </c>
      <c r="C124" s="115">
        <f t="shared" si="3"/>
        <v>6</v>
      </c>
      <c r="D124" s="116" t="str" cm="1">
        <f t="array" ref="D124">INDEX('Chemo-2'!$B$2:$H$30,1+B124,C124)</f>
        <v>* differential.element[13].max = "1"</v>
      </c>
    </row>
    <row r="125" spans="1:4" x14ac:dyDescent="0.75">
      <c r="A125" s="115">
        <v>91</v>
      </c>
      <c r="B125" s="115">
        <f t="shared" si="2"/>
        <v>12</v>
      </c>
      <c r="C125" s="115">
        <f t="shared" si="3"/>
        <v>7</v>
      </c>
      <c r="D125" s="116" t="str" cm="1">
        <f t="array" ref="D125">INDEX('Chemo-2'!$B$2:$H$30,1+B125,C125)</f>
        <v>* differential.element[13].type.code = #BackboneElement</v>
      </c>
    </row>
    <row r="126" spans="1:4" x14ac:dyDescent="0.75">
      <c r="A126" s="115">
        <v>92</v>
      </c>
      <c r="B126" s="115">
        <f t="shared" si="2"/>
        <v>13</v>
      </c>
      <c r="C126" s="115">
        <f t="shared" si="3"/>
        <v>1</v>
      </c>
      <c r="D126" s="116" t="str" cm="1">
        <f t="array" ref="D126">INDEX('Chemo-2'!$B$2:$H$30,1+B126,C126)</f>
        <v>* differential.element[14].id = "Chemotherapy.productAdministration.cumulativeDose.notAvailable"</v>
      </c>
    </row>
    <row r="127" spans="1:4" x14ac:dyDescent="0.75">
      <c r="A127" s="115">
        <v>93</v>
      </c>
      <c r="B127" s="115">
        <f t="shared" si="2"/>
        <v>13</v>
      </c>
      <c r="C127" s="115">
        <f t="shared" si="3"/>
        <v>2</v>
      </c>
      <c r="D127" s="116" t="str" cm="1">
        <f t="array" ref="D127">INDEX('Chemo-2'!$B$2:$H$30,1+B127,C127)</f>
        <v>* differential.element[14].path = "Chemotherapy.productAdministration.cumulativeDose.notAvailable"</v>
      </c>
    </row>
    <row r="128" spans="1:4" x14ac:dyDescent="0.75">
      <c r="A128" s="115">
        <v>94</v>
      </c>
      <c r="B128" s="115">
        <f t="shared" si="2"/>
        <v>13</v>
      </c>
      <c r="C128" s="115">
        <f t="shared" si="3"/>
        <v>3</v>
      </c>
      <c r="D128" s="116" t="str" cm="1">
        <f t="array" ref="D128">INDEX('Chemo-2'!$B$2:$H$30,1+B128,C128)</f>
        <v>* differential.element[14].short = "Not calculated or not known dose"</v>
      </c>
    </row>
    <row r="129" spans="1:4" x14ac:dyDescent="0.75">
      <c r="A129" s="115">
        <v>95</v>
      </c>
      <c r="B129" s="115">
        <f t="shared" si="2"/>
        <v>13</v>
      </c>
      <c r="C129" s="115">
        <f t="shared" si="3"/>
        <v>4</v>
      </c>
      <c r="D129" s="116" t="str" cm="1">
        <f t="array" ref="D129">INDEX('Chemo-2'!$B$2:$H$30,1+B129,C129)</f>
        <v>* differential.element[14].definition = "Flag indicating if the dose was not calculated or it was not known"</v>
      </c>
    </row>
    <row r="130" spans="1:4" x14ac:dyDescent="0.75">
      <c r="A130" s="115">
        <v>96</v>
      </c>
      <c r="B130" s="115">
        <f t="shared" si="2"/>
        <v>13</v>
      </c>
      <c r="C130" s="115">
        <f t="shared" si="3"/>
        <v>5</v>
      </c>
      <c r="D130" s="116" t="str" cm="1">
        <f t="array" ref="D130">INDEX('Chemo-2'!$B$2:$H$30,1+B130,C130)</f>
        <v>* differential.element[14].min = 0</v>
      </c>
    </row>
    <row r="131" spans="1:4" x14ac:dyDescent="0.75">
      <c r="A131" s="115">
        <v>97</v>
      </c>
      <c r="B131" s="115">
        <f t="shared" si="2"/>
        <v>13</v>
      </c>
      <c r="C131" s="115">
        <f t="shared" si="3"/>
        <v>6</v>
      </c>
      <c r="D131" s="116" t="str" cm="1">
        <f t="array" ref="D131">INDEX('Chemo-2'!$B$2:$H$30,1+B131,C131)</f>
        <v>* differential.element[14].max = "1"</v>
      </c>
    </row>
    <row r="132" spans="1:4" x14ac:dyDescent="0.75">
      <c r="A132" s="115">
        <v>98</v>
      </c>
      <c r="B132" s="115">
        <f t="shared" si="2"/>
        <v>13</v>
      </c>
      <c r="C132" s="115">
        <f t="shared" si="3"/>
        <v>7</v>
      </c>
      <c r="D132" s="116" t="str" cm="1">
        <f t="array" ref="D132">INDEX('Chemo-2'!$B$2:$H$30,1+B132,C132)</f>
        <v>* differential.element[14].type.code = #CodeableConcept</v>
      </c>
    </row>
    <row r="133" spans="1:4" x14ac:dyDescent="0.75">
      <c r="A133" s="115">
        <v>99</v>
      </c>
      <c r="B133" s="115">
        <f t="shared" si="2"/>
        <v>14</v>
      </c>
      <c r="C133" s="115">
        <f t="shared" si="3"/>
        <v>1</v>
      </c>
      <c r="D133" s="116" t="str" cm="1">
        <f t="array" ref="D133">INDEX('Chemo-2'!$B$2:$H$30,1+B133,C133)</f>
        <v>* differential.element[15].id = "Chemotherapy.productAdministration.cumulativeDose.measureType"</v>
      </c>
    </row>
    <row r="134" spans="1:4" x14ac:dyDescent="0.75">
      <c r="A134" s="115">
        <v>100</v>
      </c>
      <c r="B134" s="115">
        <f t="shared" si="2"/>
        <v>14</v>
      </c>
      <c r="C134" s="115">
        <f t="shared" si="3"/>
        <v>2</v>
      </c>
      <c r="D134" s="116" t="str" cm="1">
        <f t="array" ref="D134">INDEX('Chemo-2'!$B$2:$H$30,1+B134,C134)</f>
        <v>* differential.element[15].path = "Chemotherapy.productAdministration.cumulativeDose.measureType"</v>
      </c>
    </row>
    <row r="135" spans="1:4" x14ac:dyDescent="0.75">
      <c r="A135" s="115">
        <v>101</v>
      </c>
      <c r="B135" s="115">
        <f t="shared" si="2"/>
        <v>14</v>
      </c>
      <c r="C135" s="115">
        <f t="shared" si="3"/>
        <v>3</v>
      </c>
      <c r="D135" s="116" t="str" cm="1">
        <f t="array" ref="D135">INDEX('Chemo-2'!$B$2:$H$30,1+B135,C135)</f>
        <v>* differential.element[15].short = "How the dose was determined (estimation or calculation)"</v>
      </c>
    </row>
    <row r="136" spans="1:4" x14ac:dyDescent="0.75">
      <c r="A136" s="115">
        <v>102</v>
      </c>
      <c r="B136" s="115">
        <f t="shared" si="2"/>
        <v>14</v>
      </c>
      <c r="C136" s="115">
        <f t="shared" si="3"/>
        <v>4</v>
      </c>
      <c r="D136" s="116" t="str" cm="1">
        <f t="array" ref="D136">INDEX('Chemo-2'!$B$2:$H$30,1+B136,C136)</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row>
    <row r="137" spans="1:4" x14ac:dyDescent="0.75">
      <c r="A137" s="115">
        <v>103</v>
      </c>
      <c r="B137" s="115">
        <f t="shared" si="2"/>
        <v>14</v>
      </c>
      <c r="C137" s="115">
        <f t="shared" si="3"/>
        <v>5</v>
      </c>
      <c r="D137" s="116" t="str" cm="1">
        <f t="array" ref="D137">INDEX('Chemo-2'!$B$2:$H$30,1+B137,C137)</f>
        <v>* differential.element[15].min = 0</v>
      </c>
    </row>
    <row r="138" spans="1:4" x14ac:dyDescent="0.75">
      <c r="A138" s="115">
        <v>104</v>
      </c>
      <c r="B138" s="115">
        <f t="shared" si="2"/>
        <v>14</v>
      </c>
      <c r="C138" s="115">
        <f t="shared" si="3"/>
        <v>6</v>
      </c>
      <c r="D138" s="116" t="str" cm="1">
        <f t="array" ref="D138">INDEX('Chemo-2'!$B$2:$H$30,1+B138,C138)</f>
        <v>* differential.element[15].max = "1"</v>
      </c>
    </row>
    <row r="139" spans="1:4" x14ac:dyDescent="0.75">
      <c r="A139" s="115">
        <v>105</v>
      </c>
      <c r="B139" s="115">
        <f t="shared" si="2"/>
        <v>14</v>
      </c>
      <c r="C139" s="115">
        <f t="shared" si="3"/>
        <v>7</v>
      </c>
      <c r="D139" s="116" t="str" cm="1">
        <f t="array" ref="D139">INDEX('Chemo-2'!$B$2:$H$30,1+B139,C139)</f>
        <v>* differential.element[15].type.code = #CodeableConcept</v>
      </c>
    </row>
    <row r="140" spans="1:4" x14ac:dyDescent="0.75">
      <c r="A140" s="115">
        <v>106</v>
      </c>
      <c r="B140" s="115">
        <f t="shared" si="2"/>
        <v>15</v>
      </c>
      <c r="C140" s="115">
        <f t="shared" si="3"/>
        <v>1</v>
      </c>
      <c r="D140" s="116" t="str" cm="1">
        <f t="array" ref="D140">INDEX('Chemo-2'!$B$2:$H$30,1+B140,C140)</f>
        <v>* differential.element[16].id = "Chemotherapy.productAdministration.cumulativeDose.completionStatus"</v>
      </c>
    </row>
    <row r="141" spans="1:4" x14ac:dyDescent="0.75">
      <c r="A141" s="115">
        <v>107</v>
      </c>
      <c r="B141" s="115">
        <f t="shared" si="2"/>
        <v>15</v>
      </c>
      <c r="C141" s="115">
        <f t="shared" si="3"/>
        <v>2</v>
      </c>
      <c r="D141" s="116" t="str" cm="1">
        <f t="array" ref="D141">INDEX('Chemo-2'!$B$2:$H$30,1+B141,C141)</f>
        <v>* differential.element[16].path = "Chemotherapy.productAdministration.cumulativeDose.completionStatus"</v>
      </c>
    </row>
    <row r="142" spans="1:4" x14ac:dyDescent="0.75">
      <c r="A142" s="115">
        <v>108</v>
      </c>
      <c r="B142" s="115">
        <f t="shared" si="2"/>
        <v>15</v>
      </c>
      <c r="C142" s="115">
        <f t="shared" si="3"/>
        <v>3</v>
      </c>
      <c r="D142" s="116" t="str" cm="1">
        <f t="array" ref="D142">INDEX('Chemo-2'!$B$2:$H$30,1+B142,C142)</f>
        <v>* differential.element[16].short = "The reported doses are incomplete (either under- or over-estimated)"</v>
      </c>
    </row>
    <row r="143" spans="1:4" x14ac:dyDescent="0.75">
      <c r="A143" s="115">
        <v>109</v>
      </c>
      <c r="B143" s="115">
        <f t="shared" si="2"/>
        <v>15</v>
      </c>
      <c r="C143" s="115">
        <f t="shared" si="3"/>
        <v>4</v>
      </c>
      <c r="D143" s="116" t="str" cm="1">
        <f t="array" ref="D143">INDEX('Chemo-2'!$B$2:$H$30,1+B143,C143)</f>
        <v>* differential.element[16].definition = "Check in case of incomplete doses"</v>
      </c>
    </row>
    <row r="144" spans="1:4" x14ac:dyDescent="0.75">
      <c r="A144" s="115">
        <v>110</v>
      </c>
      <c r="B144" s="115">
        <f t="shared" si="2"/>
        <v>15</v>
      </c>
      <c r="C144" s="115">
        <f t="shared" si="3"/>
        <v>5</v>
      </c>
      <c r="D144" s="116" t="str" cm="1">
        <f t="array" ref="D144">INDEX('Chemo-2'!$B$2:$H$30,1+B144,C144)</f>
        <v>* differential.element[16].min = 0</v>
      </c>
    </row>
    <row r="145" spans="1:5" x14ac:dyDescent="0.75">
      <c r="A145" s="115">
        <v>111</v>
      </c>
      <c r="B145" s="115">
        <f t="shared" si="2"/>
        <v>15</v>
      </c>
      <c r="C145" s="115">
        <f t="shared" si="3"/>
        <v>6</v>
      </c>
      <c r="D145" s="116" t="str" cm="1">
        <f t="array" ref="D145">INDEX('Chemo-2'!$B$2:$H$30,1+B145,C145)</f>
        <v>* differential.element[16].max = "1"</v>
      </c>
    </row>
    <row r="146" spans="1:5" x14ac:dyDescent="0.75">
      <c r="A146" s="115">
        <v>112</v>
      </c>
      <c r="B146" s="115">
        <f t="shared" si="2"/>
        <v>15</v>
      </c>
      <c r="C146" s="115">
        <f t="shared" si="3"/>
        <v>7</v>
      </c>
      <c r="D146" s="116" t="str" cm="1">
        <f t="array" ref="D146">INDEX('Chemo-2'!$B$2:$H$30,1+B146,C146)</f>
        <v>* differential.element[16].type.code = #CodeableConcept</v>
      </c>
    </row>
    <row r="147" spans="1:5" x14ac:dyDescent="0.75">
      <c r="A147" s="115">
        <v>113</v>
      </c>
      <c r="B147" s="115">
        <f t="shared" si="2"/>
        <v>16</v>
      </c>
      <c r="C147" s="115">
        <f t="shared" si="3"/>
        <v>1</v>
      </c>
      <c r="D147" s="116" t="str" cm="1">
        <f t="array" ref="D147">INDEX('Chemo-2'!$B$2:$H$30,1+B147,C147)</f>
        <v>* differential.element[17].id = "Chemotherapy.productAdministration.cumulativeDose.statusReason"</v>
      </c>
    </row>
    <row r="148" spans="1:5" x14ac:dyDescent="0.75">
      <c r="A148" s="115">
        <v>114</v>
      </c>
      <c r="B148" s="115">
        <f t="shared" si="2"/>
        <v>16</v>
      </c>
      <c r="C148" s="115">
        <f t="shared" si="3"/>
        <v>2</v>
      </c>
      <c r="D148" s="116" t="str" cm="1">
        <f t="array" ref="D148">INDEX('Chemo-2'!$B$2:$H$30,1+B148,C148)</f>
        <v>* differential.element[17].path = "Chemotherapy.productAdministration.cumulativeDose.statusReason"</v>
      </c>
    </row>
    <row r="149" spans="1:5" x14ac:dyDescent="0.75">
      <c r="A149" s="115">
        <v>115</v>
      </c>
      <c r="B149" s="115">
        <f t="shared" si="2"/>
        <v>16</v>
      </c>
      <c r="C149" s="115">
        <f t="shared" si="3"/>
        <v>3</v>
      </c>
      <c r="D149" s="116" t="str" cm="1">
        <f t="array" ref="D149">INDEX('Chemo-2'!$B$2:$H$30,1+B149,C149)</f>
        <v>* differential.element[17].short = "Specify reasons why"</v>
      </c>
      <c r="E149" s="43"/>
    </row>
    <row r="150" spans="1:5" x14ac:dyDescent="0.75">
      <c r="A150" s="115">
        <v>116</v>
      </c>
      <c r="B150" s="115">
        <f t="shared" si="2"/>
        <v>16</v>
      </c>
      <c r="C150" s="115">
        <f t="shared" si="3"/>
        <v>4</v>
      </c>
      <c r="D150" s="116" t="str" cm="1">
        <f t="array" ref="D150">INDEX('Chemo-2'!$B$2:$H$30,1+B150,C150)</f>
        <v>* differential.element[17].definition = "Specify reasons of incomplete estimated doses"</v>
      </c>
    </row>
    <row r="151" spans="1:5" x14ac:dyDescent="0.75">
      <c r="A151" s="115">
        <v>117</v>
      </c>
      <c r="B151" s="115">
        <f t="shared" si="2"/>
        <v>16</v>
      </c>
      <c r="C151" s="115">
        <f t="shared" si="3"/>
        <v>5</v>
      </c>
      <c r="D151" s="116" t="str" cm="1">
        <f t="array" ref="D151">INDEX('Chemo-2'!$B$2:$H$30,1+B151,C151)</f>
        <v>* differential.element[17].min = 0</v>
      </c>
    </row>
    <row r="152" spans="1:5" x14ac:dyDescent="0.75">
      <c r="A152" s="115">
        <v>118</v>
      </c>
      <c r="B152" s="115">
        <f t="shared" si="2"/>
        <v>16</v>
      </c>
      <c r="C152" s="115">
        <f t="shared" si="3"/>
        <v>6</v>
      </c>
      <c r="D152" s="116" t="str" cm="1">
        <f t="array" ref="D152">INDEX('Chemo-2'!$B$2:$H$30,1+B152,C152)</f>
        <v>* differential.element[17].max = "1"</v>
      </c>
    </row>
    <row r="153" spans="1:5" x14ac:dyDescent="0.75">
      <c r="A153" s="115">
        <v>119</v>
      </c>
      <c r="B153" s="115">
        <f t="shared" si="2"/>
        <v>16</v>
      </c>
      <c r="C153" s="115">
        <f t="shared" si="3"/>
        <v>7</v>
      </c>
      <c r="D153" s="116" t="str" cm="1">
        <f t="array" ref="D153">INDEX('Chemo-2'!$B$2:$H$30,1+B153,C153)</f>
        <v>* differential.element[17].type.code = #string</v>
      </c>
    </row>
    <row r="154" spans="1:5" x14ac:dyDescent="0.75">
      <c r="A154" s="115">
        <v>120</v>
      </c>
      <c r="B154" s="115">
        <f t="shared" si="2"/>
        <v>17</v>
      </c>
      <c r="C154" s="115">
        <f t="shared" si="3"/>
        <v>1</v>
      </c>
      <c r="D154" s="116" t="str" cm="1">
        <f t="array" ref="D154">INDEX('Chemo-2'!$B$2:$H$30,1+B154,C154)</f>
        <v>* differential.element[18].id = "Chemotherapy.productAdministration.cumulativeDose.value"</v>
      </c>
    </row>
    <row r="155" spans="1:5" x14ac:dyDescent="0.75">
      <c r="A155" s="115">
        <v>121</v>
      </c>
      <c r="B155" s="115">
        <f t="shared" si="2"/>
        <v>17</v>
      </c>
      <c r="C155" s="115">
        <f t="shared" si="3"/>
        <v>2</v>
      </c>
      <c r="D155" s="116" t="str" cm="1">
        <f t="array" ref="D155">INDEX('Chemo-2'!$B$2:$H$30,1+B155,C155)</f>
        <v>* differential.element[18].path = "Chemotherapy.productAdministration.cumulativeDose.value"</v>
      </c>
    </row>
    <row r="156" spans="1:5" x14ac:dyDescent="0.75">
      <c r="A156" s="115">
        <v>122</v>
      </c>
      <c r="B156" s="115">
        <f t="shared" si="2"/>
        <v>17</v>
      </c>
      <c r="C156" s="115">
        <f t="shared" si="3"/>
        <v>3</v>
      </c>
      <c r="D156" s="116" t="str" cm="1">
        <f t="array" ref="D156">INDEX('Chemo-2'!$B$2:$H$30,1+B156,C156)</f>
        <v>* differential.element[18].short = "Total cumulative dose"</v>
      </c>
    </row>
    <row r="157" spans="1:5" x14ac:dyDescent="0.75">
      <c r="A157" s="115">
        <v>123</v>
      </c>
      <c r="B157" s="115">
        <f t="shared" si="2"/>
        <v>17</v>
      </c>
      <c r="C157" s="115">
        <f t="shared" si="3"/>
        <v>4</v>
      </c>
      <c r="D157" s="116" t="str" cm="1">
        <f t="array" ref="D157">INDEX('Chemo-2'!$B$2:$H$30,1+B157,C157)</f>
        <v>* differential.element[18].definition = "Report the total cumulative dose received of each drug."</v>
      </c>
    </row>
    <row r="158" spans="1:5" x14ac:dyDescent="0.75">
      <c r="A158" s="115">
        <v>124</v>
      </c>
      <c r="B158" s="115">
        <f t="shared" si="2"/>
        <v>17</v>
      </c>
      <c r="C158" s="115">
        <f t="shared" si="3"/>
        <v>5</v>
      </c>
      <c r="D158" s="116" t="str" cm="1">
        <f t="array" ref="D158">INDEX('Chemo-2'!$B$2:$H$30,1+B158,C158)</f>
        <v>* differential.element[18].min = 0</v>
      </c>
    </row>
    <row r="159" spans="1:5" x14ac:dyDescent="0.75">
      <c r="A159" s="115">
        <v>125</v>
      </c>
      <c r="B159" s="115">
        <f t="shared" si="2"/>
        <v>17</v>
      </c>
      <c r="C159" s="115">
        <f t="shared" si="3"/>
        <v>6</v>
      </c>
      <c r="D159" s="116" t="str" cm="1">
        <f t="array" ref="D159">INDEX('Chemo-2'!$B$2:$H$30,1+B159,C159)</f>
        <v>* differential.element[18].max = "1"</v>
      </c>
    </row>
    <row r="160" spans="1:5" x14ac:dyDescent="0.75">
      <c r="A160" s="115">
        <v>126</v>
      </c>
      <c r="B160" s="115">
        <f t="shared" si="2"/>
        <v>17</v>
      </c>
      <c r="C160" s="115">
        <f t="shared" si="3"/>
        <v>7</v>
      </c>
      <c r="D160" s="116" t="str" cm="1">
        <f t="array" ref="D160">INDEX('Chemo-2'!$B$2:$H$30,1+B160,C160)</f>
        <v>* differential.element[18].type.code = #decimal</v>
      </c>
    </row>
    <row r="161" spans="1:4" x14ac:dyDescent="0.75">
      <c r="A161" s="115">
        <v>127</v>
      </c>
      <c r="B161" s="115">
        <f t="shared" si="2"/>
        <v>18</v>
      </c>
      <c r="C161" s="115">
        <f t="shared" si="3"/>
        <v>1</v>
      </c>
      <c r="D161" s="116" t="str" cm="1">
        <f t="array" ref="D161">INDEX('Chemo-2'!$B$2:$H$30,1+B161,C161)</f>
        <v>* differential.element[19].id = "Chemotherapy.productAdministration.cumulativeDose.unit"</v>
      </c>
    </row>
    <row r="162" spans="1:4" x14ac:dyDescent="0.75">
      <c r="A162" s="115">
        <v>128</v>
      </c>
      <c r="B162" s="115">
        <f t="shared" si="2"/>
        <v>18</v>
      </c>
      <c r="C162" s="115">
        <f t="shared" si="3"/>
        <v>2</v>
      </c>
      <c r="D162" s="116" t="str" cm="1">
        <f t="array" ref="D162">INDEX('Chemo-2'!$B$2:$H$30,1+B162,C162)</f>
        <v>* differential.element[19].path = "Chemotherapy.productAdministration.cumulativeDose.unit"</v>
      </c>
    </row>
    <row r="163" spans="1:4" x14ac:dyDescent="0.75">
      <c r="A163" s="115">
        <v>129</v>
      </c>
      <c r="B163" s="115">
        <f t="shared" si="2"/>
        <v>18</v>
      </c>
      <c r="C163" s="115">
        <f t="shared" si="3"/>
        <v>3</v>
      </c>
      <c r="D163" s="116" t="str" cm="1">
        <f t="array" ref="D163">INDEX('Chemo-2'!$B$2:$H$30,1+B163,C163)</f>
        <v>* differential.element[19].short = "Measure unit"</v>
      </c>
    </row>
    <row r="164" spans="1:4" ht="88.5" x14ac:dyDescent="0.75">
      <c r="A164" s="115">
        <v>130</v>
      </c>
      <c r="B164" s="115">
        <f t="shared" ref="B164:B227" si="4">IF(MOD(A164,7)=0,A164/7-1,INT(A164/7))</f>
        <v>18</v>
      </c>
      <c r="C164" s="115">
        <f t="shared" ref="C164:C227" si="5">IF(MOD(A164,7)=0,7,MOD(A164,7))</f>
        <v>4</v>
      </c>
      <c r="D164" s="116" t="str" cm="1">
        <f t="array" ref="D164">INDEX('Chemo-2'!$B$2:$H$30,1+B164,C164)</f>
        <v>* differential.element[19].definition = "If the dose was calculated, please report the measure unit of the calculation
1 =&gt; mg/m2
2 =&gt; gr/m2
3 =&gt; UI/m2
4 =&gt; NK
5 =&gt; NC (not calculated)"</v>
      </c>
    </row>
    <row r="165" spans="1:4" x14ac:dyDescent="0.75">
      <c r="A165" s="115">
        <v>131</v>
      </c>
      <c r="B165" s="115">
        <f t="shared" si="4"/>
        <v>18</v>
      </c>
      <c r="C165" s="115">
        <f t="shared" si="5"/>
        <v>5</v>
      </c>
      <c r="D165" s="116" t="str" cm="1">
        <f t="array" ref="D165">INDEX('Chemo-2'!$B$2:$H$30,1+B165,C165)</f>
        <v>* differential.element[19].min = 0</v>
      </c>
    </row>
    <row r="166" spans="1:4" x14ac:dyDescent="0.75">
      <c r="A166" s="115">
        <v>132</v>
      </c>
      <c r="B166" s="115">
        <f t="shared" si="4"/>
        <v>18</v>
      </c>
      <c r="C166" s="115">
        <f t="shared" si="5"/>
        <v>6</v>
      </c>
      <c r="D166" s="116" t="str" cm="1">
        <f t="array" ref="D166">INDEX('Chemo-2'!$B$2:$H$30,1+B166,C166)</f>
        <v>* differential.element[19].max = "1"</v>
      </c>
    </row>
    <row r="167" spans="1:4" x14ac:dyDescent="0.75">
      <c r="A167" s="115">
        <v>133</v>
      </c>
      <c r="B167" s="115">
        <f t="shared" si="4"/>
        <v>18</v>
      </c>
      <c r="C167" s="115">
        <f t="shared" si="5"/>
        <v>7</v>
      </c>
      <c r="D167" s="116" t="str" cm="1">
        <f t="array" ref="D167">INDEX('Chemo-2'!$B$2:$H$30,1+B167,C167)</f>
        <v>* differential.element[19].type.code = #CodeableConcept</v>
      </c>
    </row>
    <row r="168" spans="1:4" x14ac:dyDescent="0.75">
      <c r="A168" s="115">
        <v>134</v>
      </c>
      <c r="B168" s="115">
        <f t="shared" si="4"/>
        <v>19</v>
      </c>
      <c r="C168" s="115">
        <f t="shared" si="5"/>
        <v>1</v>
      </c>
      <c r="D168" s="116" t="str" cm="1">
        <f t="array" ref="D168">INDEX('Chemo-2'!$B$2:$H$30,1+B168,C168)</f>
        <v>* differential.element[20].id = "Chemotherapy.corticosteroids"</v>
      </c>
    </row>
    <row r="169" spans="1:4" x14ac:dyDescent="0.75">
      <c r="A169" s="115">
        <v>135</v>
      </c>
      <c r="B169" s="115">
        <f t="shared" si="4"/>
        <v>19</v>
      </c>
      <c r="C169" s="115">
        <f t="shared" si="5"/>
        <v>2</v>
      </c>
      <c r="D169" s="116" t="str" cm="1">
        <f t="array" ref="D169">INDEX('Chemo-2'!$B$2:$H$30,1+B169,C169)</f>
        <v>* differential.element[20].path = "Chemotherapy.corticosteroids"</v>
      </c>
    </row>
    <row r="170" spans="1:4" x14ac:dyDescent="0.75">
      <c r="A170" s="115">
        <v>136</v>
      </c>
      <c r="B170" s="115">
        <f t="shared" si="4"/>
        <v>19</v>
      </c>
      <c r="C170" s="115">
        <f t="shared" si="5"/>
        <v>3</v>
      </c>
      <c r="D170" s="116" t="str" cm="1">
        <f t="array" ref="D170">INDEX('Chemo-2'!$B$2:$H$30,1+B170,C170)</f>
        <v>* differential.element[20].short = "Prolonged corticosteroids as anti-cancer treatment at least 4 weeks continuously"</v>
      </c>
    </row>
    <row r="171" spans="1:4" ht="59" x14ac:dyDescent="0.75">
      <c r="A171" s="115">
        <v>137</v>
      </c>
      <c r="B171" s="115">
        <f t="shared" si="4"/>
        <v>19</v>
      </c>
      <c r="C171" s="115">
        <f t="shared" si="5"/>
        <v>4</v>
      </c>
      <c r="D171" s="116" t="str" cm="1">
        <f t="array" ref="D171">INDEX('Chemo-2'!$B$2:$H$30,1+B171,C171)</f>
        <v>* differential.element[20].definition = "Report 'yes' if the survivor was treated with steroids for at least 4 weeks continuously
1 =&gt; Yes
2 =&gt; No
-9922 =&gt; NK"</v>
      </c>
    </row>
    <row r="172" spans="1:4" x14ac:dyDescent="0.75">
      <c r="A172" s="115">
        <v>138</v>
      </c>
      <c r="B172" s="115">
        <f t="shared" si="4"/>
        <v>19</v>
      </c>
      <c r="C172" s="115">
        <f t="shared" si="5"/>
        <v>5</v>
      </c>
      <c r="D172" s="116" t="str" cm="1">
        <f t="array" ref="D172">INDEX('Chemo-2'!$B$2:$H$30,1+B172,C172)</f>
        <v>* differential.element[20].min = 0</v>
      </c>
    </row>
    <row r="173" spans="1:4" x14ac:dyDescent="0.75">
      <c r="A173" s="115">
        <v>139</v>
      </c>
      <c r="B173" s="115">
        <f t="shared" si="4"/>
        <v>19</v>
      </c>
      <c r="C173" s="115">
        <f t="shared" si="5"/>
        <v>6</v>
      </c>
      <c r="D173" s="116" t="str" cm="1">
        <f t="array" ref="D173">INDEX('Chemo-2'!$B$2:$H$30,1+B173,C173)</f>
        <v>* differential.element[20].max = "1"</v>
      </c>
    </row>
    <row r="174" spans="1:4" x14ac:dyDescent="0.75">
      <c r="A174" s="115">
        <v>140</v>
      </c>
      <c r="B174" s="115">
        <f t="shared" si="4"/>
        <v>19</v>
      </c>
      <c r="C174" s="115">
        <f t="shared" si="5"/>
        <v>7</v>
      </c>
      <c r="D174" s="116" t="str" cm="1">
        <f t="array" ref="D174">INDEX('Chemo-2'!$B$2:$H$30,1+B174,C174)</f>
        <v>* differential.element[20].type.code = #CodeableConcept</v>
      </c>
    </row>
    <row r="175" spans="1:4" x14ac:dyDescent="0.75">
      <c r="A175" s="115">
        <v>141</v>
      </c>
      <c r="B175" s="115">
        <f t="shared" si="4"/>
        <v>20</v>
      </c>
      <c r="C175" s="115">
        <f t="shared" si="5"/>
        <v>1</v>
      </c>
      <c r="D175" s="116" t="str" cm="1">
        <f t="array" ref="D175">INDEX('Chemo-2'!$B$2:$H$30,1+B175,C175)</f>
        <v>* differential.element[21].id = "Chemotherapy.intrathecalInjections"</v>
      </c>
    </row>
    <row r="176" spans="1:4" x14ac:dyDescent="0.75">
      <c r="A176" s="115">
        <v>142</v>
      </c>
      <c r="B176" s="115">
        <f t="shared" si="4"/>
        <v>20</v>
      </c>
      <c r="C176" s="115">
        <f t="shared" si="5"/>
        <v>2</v>
      </c>
      <c r="D176" s="116" t="str" cm="1">
        <f t="array" ref="D176">INDEX('Chemo-2'!$B$2:$H$30,1+B176,C176)</f>
        <v>* differential.element[21].path = "Chemotherapy.intrathecalInjections"</v>
      </c>
    </row>
    <row r="177" spans="1:4" x14ac:dyDescent="0.75">
      <c r="A177" s="115">
        <v>143</v>
      </c>
      <c r="B177" s="115">
        <f t="shared" si="4"/>
        <v>20</v>
      </c>
      <c r="C177" s="115">
        <f t="shared" si="5"/>
        <v>3</v>
      </c>
      <c r="D177" s="116" t="str" cm="1">
        <f t="array" ref="D177">INDEX('Chemo-2'!$B$2:$H$30,1+B177,C177)</f>
        <v>* differential.element[21].short = "Intrathecal injections"</v>
      </c>
    </row>
    <row r="178" spans="1:4" x14ac:dyDescent="0.75">
      <c r="A178" s="115">
        <v>144</v>
      </c>
      <c r="B178" s="115">
        <f t="shared" si="4"/>
        <v>20</v>
      </c>
      <c r="C178" s="115">
        <f t="shared" si="5"/>
        <v>4</v>
      </c>
      <c r="D178" s="116" t="str" cm="1">
        <f t="array" ref="D178">INDEX('Chemo-2'!$B$2:$H$30,1+B178,C178)</f>
        <v>* differential.element[21].definition = "Intrathecal injections"</v>
      </c>
    </row>
    <row r="179" spans="1:4" x14ac:dyDescent="0.75">
      <c r="A179" s="115">
        <v>145</v>
      </c>
      <c r="B179" s="115">
        <f t="shared" si="4"/>
        <v>20</v>
      </c>
      <c r="C179" s="115">
        <f t="shared" si="5"/>
        <v>5</v>
      </c>
      <c r="D179" s="116" t="str" cm="1">
        <f t="array" ref="D179">INDEX('Chemo-2'!$B$2:$H$30,1+B179,C179)</f>
        <v>* differential.element[21].min = 0</v>
      </c>
    </row>
    <row r="180" spans="1:4" x14ac:dyDescent="0.75">
      <c r="A180" s="115">
        <v>146</v>
      </c>
      <c r="B180" s="115">
        <f t="shared" si="4"/>
        <v>20</v>
      </c>
      <c r="C180" s="115">
        <f t="shared" si="5"/>
        <v>6</v>
      </c>
      <c r="D180" s="116" t="str" cm="1">
        <f t="array" ref="D180">INDEX('Chemo-2'!$B$2:$H$30,1+B180,C180)</f>
        <v>* differential.element[21].max = "1"</v>
      </c>
    </row>
    <row r="181" spans="1:4" x14ac:dyDescent="0.75">
      <c r="A181" s="115">
        <v>147</v>
      </c>
      <c r="B181" s="115">
        <f t="shared" si="4"/>
        <v>20</v>
      </c>
      <c r="C181" s="115">
        <f t="shared" si="5"/>
        <v>7</v>
      </c>
      <c r="D181" s="116" t="str" cm="1">
        <f t="array" ref="D181">INDEX('Chemo-2'!$B$2:$H$30,1+B181,C181)</f>
        <v>* differential.element[21].type.code = #BackboneElement</v>
      </c>
    </row>
    <row r="182" spans="1:4" x14ac:dyDescent="0.75">
      <c r="A182" s="115">
        <v>148</v>
      </c>
      <c r="B182" s="115">
        <f t="shared" si="4"/>
        <v>21</v>
      </c>
      <c r="C182" s="115">
        <f t="shared" si="5"/>
        <v>1</v>
      </c>
      <c r="D182" s="116" t="str" cm="1">
        <f t="array" ref="D182">INDEX('Chemo-2'!$B$2:$H$30,1+B182,C182)</f>
        <v>* differential.element[22].id = "Chemotherapy.intrathecalInjections.status"</v>
      </c>
    </row>
    <row r="183" spans="1:4" x14ac:dyDescent="0.75">
      <c r="A183" s="115">
        <v>149</v>
      </c>
      <c r="B183" s="115">
        <f t="shared" si="4"/>
        <v>21</v>
      </c>
      <c r="C183" s="115">
        <f t="shared" si="5"/>
        <v>2</v>
      </c>
      <c r="D183" s="116" t="str" cm="1">
        <f t="array" ref="D183">INDEX('Chemo-2'!$B$2:$H$30,1+B183,C183)</f>
        <v>* differential.element[22].path = "Chemotherapy.intrathecalInjections.status"</v>
      </c>
    </row>
    <row r="184" spans="1:4" x14ac:dyDescent="0.75">
      <c r="A184" s="115">
        <v>150</v>
      </c>
      <c r="B184" s="115">
        <f t="shared" si="4"/>
        <v>21</v>
      </c>
      <c r="C184" s="115">
        <f t="shared" si="5"/>
        <v>3</v>
      </c>
      <c r="D184" s="116" t="str" cm="1">
        <f t="array" ref="D184">INDEX('Chemo-2'!$B$2:$H$30,1+B184,C184)</f>
        <v>* differential.element[22].short = "Did the survivor receive therapeutic intrathecal injections ?"</v>
      </c>
    </row>
    <row r="185" spans="1:4" ht="59" x14ac:dyDescent="0.75">
      <c r="A185" s="115">
        <v>151</v>
      </c>
      <c r="B185" s="115">
        <f t="shared" si="4"/>
        <v>21</v>
      </c>
      <c r="C185" s="115">
        <f t="shared" si="5"/>
        <v>4</v>
      </c>
      <c r="D185" s="116" t="str" cm="1">
        <f t="array" ref="D185">INDEX('Chemo-2'!$B$2:$H$30,1+B185,C185)</f>
        <v>* differential.element[22].definition = "Please state if the survivor received any therapeutic intrathecal injections
1 =&gt; Yes
2 =&gt; No
-9922 =&gt; NK"</v>
      </c>
    </row>
    <row r="186" spans="1:4" x14ac:dyDescent="0.75">
      <c r="A186" s="115">
        <v>152</v>
      </c>
      <c r="B186" s="115">
        <f t="shared" si="4"/>
        <v>21</v>
      </c>
      <c r="C186" s="115">
        <f t="shared" si="5"/>
        <v>5</v>
      </c>
      <c r="D186" s="116" t="str" cm="1">
        <f t="array" ref="D186">INDEX('Chemo-2'!$B$2:$H$30,1+B186,C186)</f>
        <v>* differential.element[22].min = 0</v>
      </c>
    </row>
    <row r="187" spans="1:4" x14ac:dyDescent="0.75">
      <c r="A187" s="115">
        <v>153</v>
      </c>
      <c r="B187" s="115">
        <f t="shared" si="4"/>
        <v>21</v>
      </c>
      <c r="C187" s="115">
        <f t="shared" si="5"/>
        <v>6</v>
      </c>
      <c r="D187" s="116" t="str" cm="1">
        <f t="array" ref="D187">INDEX('Chemo-2'!$B$2:$H$30,1+B187,C187)</f>
        <v>* differential.element[22].max = "1"</v>
      </c>
    </row>
    <row r="188" spans="1:4" x14ac:dyDescent="0.75">
      <c r="A188" s="115">
        <v>154</v>
      </c>
      <c r="B188" s="115">
        <f t="shared" si="4"/>
        <v>21</v>
      </c>
      <c r="C188" s="115">
        <f t="shared" si="5"/>
        <v>7</v>
      </c>
      <c r="D188" s="116" t="str" cm="1">
        <f t="array" ref="D188">INDEX('Chemo-2'!$B$2:$H$30,1+B188,C188)</f>
        <v>* differential.element[22].type.code = #CodeableConcept</v>
      </c>
    </row>
    <row r="189" spans="1:4" x14ac:dyDescent="0.75">
      <c r="A189" s="115">
        <v>155</v>
      </c>
      <c r="B189" s="115">
        <f t="shared" si="4"/>
        <v>22</v>
      </c>
      <c r="C189" s="115">
        <f t="shared" si="5"/>
        <v>1</v>
      </c>
      <c r="D189" s="116" t="str" cm="1">
        <f t="array" ref="D189">INDEX('Chemo-2'!$B$2:$H$30,1+B189,C189)</f>
        <v>* differential.element[23].id = "Chemotherapy.intrathecalInjections.number"</v>
      </c>
    </row>
    <row r="190" spans="1:4" x14ac:dyDescent="0.75">
      <c r="A190" s="115">
        <v>156</v>
      </c>
      <c r="B190" s="115">
        <f t="shared" si="4"/>
        <v>22</v>
      </c>
      <c r="C190" s="115">
        <f t="shared" si="5"/>
        <v>2</v>
      </c>
      <c r="D190" s="116" t="str" cm="1">
        <f t="array" ref="D190">INDEX('Chemo-2'!$B$2:$H$30,1+B190,C190)</f>
        <v>* differential.element[23].path = "Chemotherapy.intrathecalInjections.number"</v>
      </c>
    </row>
    <row r="191" spans="1:4" x14ac:dyDescent="0.75">
      <c r="A191" s="115">
        <v>157</v>
      </c>
      <c r="B191" s="115">
        <f t="shared" si="4"/>
        <v>22</v>
      </c>
      <c r="C191" s="115">
        <f t="shared" si="5"/>
        <v>3</v>
      </c>
      <c r="D191" s="116" t="str" cm="1">
        <f t="array" ref="D191">INDEX('Chemo-2'!$B$2:$H$30,1+B191,C191)</f>
        <v>* differential.element[23].short = "Total number"</v>
      </c>
    </row>
    <row r="192" spans="1:4" x14ac:dyDescent="0.75">
      <c r="A192" s="115">
        <v>158</v>
      </c>
      <c r="B192" s="115">
        <f t="shared" si="4"/>
        <v>22</v>
      </c>
      <c r="C192" s="115">
        <f t="shared" si="5"/>
        <v>4</v>
      </c>
      <c r="D192" s="116" t="str" cm="1">
        <f t="array" ref="D192">INDEX('Chemo-2'!$B$2:$H$30,1+B192,C192)</f>
        <v>* differential.element[23].definition = "Report the total number of injections"</v>
      </c>
    </row>
    <row r="193" spans="1:4" x14ac:dyDescent="0.75">
      <c r="A193" s="115">
        <v>159</v>
      </c>
      <c r="B193" s="115">
        <f t="shared" si="4"/>
        <v>22</v>
      </c>
      <c r="C193" s="115">
        <f t="shared" si="5"/>
        <v>5</v>
      </c>
      <c r="D193" s="116" t="str" cm="1">
        <f t="array" ref="D193">INDEX('Chemo-2'!$B$2:$H$30,1+B193,C193)</f>
        <v>* differential.element[23].min = 0</v>
      </c>
    </row>
    <row r="194" spans="1:4" x14ac:dyDescent="0.75">
      <c r="A194" s="115">
        <v>160</v>
      </c>
      <c r="B194" s="115">
        <f t="shared" si="4"/>
        <v>22</v>
      </c>
      <c r="C194" s="115">
        <f t="shared" si="5"/>
        <v>6</v>
      </c>
      <c r="D194" s="116" t="str" cm="1">
        <f t="array" ref="D194">INDEX('Chemo-2'!$B$2:$H$30,1+B194,C194)</f>
        <v>* differential.element[23].max = "1"</v>
      </c>
    </row>
    <row r="195" spans="1:4" x14ac:dyDescent="0.75">
      <c r="A195" s="115">
        <v>161</v>
      </c>
      <c r="B195" s="115">
        <f t="shared" si="4"/>
        <v>22</v>
      </c>
      <c r="C195" s="115">
        <f t="shared" si="5"/>
        <v>7</v>
      </c>
      <c r="D195" s="116" t="str" cm="1">
        <f t="array" ref="D195">INDEX('Chemo-2'!$B$2:$H$30,1+B195,C195)</f>
        <v>* differential.element[23].type.code = #integer</v>
      </c>
    </row>
    <row r="196" spans="1:4" x14ac:dyDescent="0.75">
      <c r="A196" s="115">
        <v>162</v>
      </c>
      <c r="B196" s="115">
        <f t="shared" si="4"/>
        <v>23</v>
      </c>
      <c r="C196" s="115">
        <f t="shared" si="5"/>
        <v>1</v>
      </c>
      <c r="D196" s="116" t="str" cm="1">
        <f t="array" ref="D196">INDEX('Chemo-2'!$B$2:$H$30,1+B196,C196)</f>
        <v>* differential.element[24].id = "Chemotherapy.intrathecalInjections.productName"</v>
      </c>
    </row>
    <row r="197" spans="1:4" x14ac:dyDescent="0.75">
      <c r="A197" s="115">
        <v>163</v>
      </c>
      <c r="B197" s="115">
        <f t="shared" si="4"/>
        <v>23</v>
      </c>
      <c r="C197" s="115">
        <f t="shared" si="5"/>
        <v>2</v>
      </c>
      <c r="D197" s="116" t="str" cm="1">
        <f t="array" ref="D197">INDEX('Chemo-2'!$B$2:$H$30,1+B197,C197)</f>
        <v>* differential.element[24].path = "Chemotherapy.intrathecalInjections.productName"</v>
      </c>
    </row>
    <row r="198" spans="1:4" x14ac:dyDescent="0.75">
      <c r="A198" s="115">
        <v>164</v>
      </c>
      <c r="B198" s="115">
        <f t="shared" si="4"/>
        <v>23</v>
      </c>
      <c r="C198" s="115">
        <f t="shared" si="5"/>
        <v>3</v>
      </c>
      <c r="D198" s="116" t="str" cm="1">
        <f t="array" ref="D198">INDEX('Chemo-2'!$B$2:$H$30,1+B198,C198)</f>
        <v>* differential.element[24].short = "Drug(s) administered"</v>
      </c>
    </row>
    <row r="199" spans="1:4" x14ac:dyDescent="0.75">
      <c r="A199" s="115">
        <v>165</v>
      </c>
      <c r="B199" s="115">
        <f t="shared" si="4"/>
        <v>23</v>
      </c>
      <c r="C199" s="115">
        <f t="shared" si="5"/>
        <v>4</v>
      </c>
      <c r="D199" s="116" t="str" cm="1">
        <f t="array" ref="D199">INDEX('Chemo-2'!$B$2:$H$30,1+B199,C199)</f>
        <v>* differential.element[24].definition = "Please report the names of drugs injected intrathecal"</v>
      </c>
    </row>
    <row r="200" spans="1:4" x14ac:dyDescent="0.75">
      <c r="A200" s="115">
        <v>166</v>
      </c>
      <c r="B200" s="115">
        <f t="shared" si="4"/>
        <v>23</v>
      </c>
      <c r="C200" s="115">
        <f t="shared" si="5"/>
        <v>5</v>
      </c>
      <c r="D200" s="116" t="str" cm="1">
        <f t="array" ref="D200">INDEX('Chemo-2'!$B$2:$H$30,1+B200,C200)</f>
        <v>* differential.element[24].min = 0</v>
      </c>
    </row>
    <row r="201" spans="1:4" x14ac:dyDescent="0.75">
      <c r="A201" s="115">
        <v>167</v>
      </c>
      <c r="B201" s="115">
        <f t="shared" si="4"/>
        <v>23</v>
      </c>
      <c r="C201" s="115">
        <f t="shared" si="5"/>
        <v>6</v>
      </c>
      <c r="D201" s="116" t="str" cm="1">
        <f t="array" ref="D201">INDEX('Chemo-2'!$B$2:$H$30,1+B201,C201)</f>
        <v>* differential.element[24].max = "*"</v>
      </c>
    </row>
    <row r="202" spans="1:4" x14ac:dyDescent="0.75">
      <c r="A202" s="115">
        <v>168</v>
      </c>
      <c r="B202" s="115">
        <f t="shared" si="4"/>
        <v>23</v>
      </c>
      <c r="C202" s="115">
        <f t="shared" si="5"/>
        <v>7</v>
      </c>
      <c r="D202" s="116" t="str" cm="1">
        <f t="array" ref="D202">INDEX('Chemo-2'!$B$2:$H$30,1+B202,C202)</f>
        <v>* differential.element[24].type.code = #string</v>
      </c>
    </row>
    <row r="203" spans="1:4" x14ac:dyDescent="0.75">
      <c r="A203" s="115">
        <v>169</v>
      </c>
      <c r="B203" s="115">
        <f t="shared" si="4"/>
        <v>24</v>
      </c>
      <c r="C203" s="115">
        <f t="shared" si="5"/>
        <v>1</v>
      </c>
      <c r="D203" s="116" t="str" cm="1">
        <f t="array" ref="D203">INDEX('Chemo-2'!$B$2:$H$30,1+B203,C203)</f>
        <v>* differential.element[25].id = "Chemotherapy.otherTreatments"</v>
      </c>
    </row>
    <row r="204" spans="1:4" x14ac:dyDescent="0.75">
      <c r="A204" s="115">
        <v>170</v>
      </c>
      <c r="B204" s="115">
        <f t="shared" si="4"/>
        <v>24</v>
      </c>
      <c r="C204" s="115">
        <f t="shared" si="5"/>
        <v>2</v>
      </c>
      <c r="D204" s="116" t="str" cm="1">
        <f t="array" ref="D204">INDEX('Chemo-2'!$B$2:$H$30,1+B204,C204)</f>
        <v>* differential.element[25].path = "Chemotherapy.otherTreatments"</v>
      </c>
    </row>
    <row r="205" spans="1:4" x14ac:dyDescent="0.75">
      <c r="A205" s="115">
        <v>171</v>
      </c>
      <c r="B205" s="115">
        <f t="shared" si="4"/>
        <v>24</v>
      </c>
      <c r="C205" s="115">
        <f t="shared" si="5"/>
        <v>3</v>
      </c>
      <c r="D205" s="116" t="str" cm="1">
        <f t="array" ref="D205">INDEX('Chemo-2'!$B$2:$H$30,1+B205,C205)</f>
        <v>* differential.element[25].short = "Other chemothrapeutic treatments"</v>
      </c>
    </row>
    <row r="206" spans="1:4" x14ac:dyDescent="0.75">
      <c r="A206" s="115">
        <v>172</v>
      </c>
      <c r="B206" s="115">
        <f t="shared" si="4"/>
        <v>24</v>
      </c>
      <c r="C206" s="115">
        <f t="shared" si="5"/>
        <v>4</v>
      </c>
      <c r="D206" s="116" t="str" cm="1">
        <f t="array" ref="D206">INDEX('Chemo-2'!$B$2:$H$30,1+B206,C206)</f>
        <v>* differential.element[25].definition = "Report any other chemothrapeutic treatments that are not included in the ATC code"</v>
      </c>
    </row>
    <row r="207" spans="1:4" x14ac:dyDescent="0.75">
      <c r="A207" s="115">
        <v>173</v>
      </c>
      <c r="B207" s="115">
        <f t="shared" si="4"/>
        <v>24</v>
      </c>
      <c r="C207" s="115">
        <f t="shared" si="5"/>
        <v>5</v>
      </c>
      <c r="D207" s="116" t="str" cm="1">
        <f t="array" ref="D207">INDEX('Chemo-2'!$B$2:$H$30,1+B207,C207)</f>
        <v>* differential.element[25].min = 0</v>
      </c>
    </row>
    <row r="208" spans="1:4" x14ac:dyDescent="0.75">
      <c r="A208" s="115">
        <v>174</v>
      </c>
      <c r="B208" s="115">
        <f t="shared" si="4"/>
        <v>24</v>
      </c>
      <c r="C208" s="115">
        <f t="shared" si="5"/>
        <v>6</v>
      </c>
      <c r="D208" s="116" t="str" cm="1">
        <f t="array" ref="D208">INDEX('Chemo-2'!$B$2:$H$30,1+B208,C208)</f>
        <v>* differential.element[25].max = "1"</v>
      </c>
    </row>
    <row r="209" spans="1:4" x14ac:dyDescent="0.75">
      <c r="A209" s="115">
        <v>175</v>
      </c>
      <c r="B209" s="115">
        <f t="shared" si="4"/>
        <v>24</v>
      </c>
      <c r="C209" s="115">
        <f t="shared" si="5"/>
        <v>7</v>
      </c>
      <c r="D209" s="116" t="str" cm="1">
        <f t="array" ref="D209">INDEX('Chemo-2'!$B$2:$H$30,1+B209,C209)</f>
        <v>* differential.element[25].type.code = #BackboneElement</v>
      </c>
    </row>
    <row r="210" spans="1:4" x14ac:dyDescent="0.75">
      <c r="A210" s="115">
        <v>176</v>
      </c>
      <c r="B210" s="115">
        <f t="shared" si="4"/>
        <v>25</v>
      </c>
      <c r="C210" s="115">
        <f t="shared" si="5"/>
        <v>1</v>
      </c>
      <c r="D210" s="116" t="str" cm="1">
        <f t="array" ref="D210">INDEX('Chemo-2'!$B$2:$H$30,1+B210,C210)</f>
        <v>* differential.element[26].id = "Chemotherapy.otherTreatments.productName"</v>
      </c>
    </row>
    <row r="211" spans="1:4" x14ac:dyDescent="0.75">
      <c r="A211" s="115">
        <v>177</v>
      </c>
      <c r="B211" s="115">
        <f t="shared" si="4"/>
        <v>25</v>
      </c>
      <c r="C211" s="115">
        <f t="shared" si="5"/>
        <v>2</v>
      </c>
      <c r="D211" s="116" t="str" cm="1">
        <f t="array" ref="D211">INDEX('Chemo-2'!$B$2:$H$30,1+B211,C211)</f>
        <v>* differential.element[26].path = "Chemotherapy.otherTreatments.productName"</v>
      </c>
    </row>
    <row r="212" spans="1:4" x14ac:dyDescent="0.75">
      <c r="A212" s="115">
        <v>178</v>
      </c>
      <c r="B212" s="115">
        <f t="shared" si="4"/>
        <v>25</v>
      </c>
      <c r="C212" s="115">
        <f t="shared" si="5"/>
        <v>3</v>
      </c>
      <c r="D212" s="116" t="str" cm="1">
        <f t="array" ref="D212">INDEX('Chemo-2'!$B$2:$H$30,1+B212,C212)</f>
        <v>* differential.element[26].short = "Drugs name"</v>
      </c>
    </row>
    <row r="213" spans="1:4" x14ac:dyDescent="0.75">
      <c r="A213" s="115">
        <v>179</v>
      </c>
      <c r="B213" s="115">
        <f t="shared" si="4"/>
        <v>25</v>
      </c>
      <c r="C213" s="115">
        <f t="shared" si="5"/>
        <v>4</v>
      </c>
      <c r="D213" s="116" t="str" cm="1">
        <f t="array" ref="D213">INDEX('Chemo-2'!$B$2:$H$30,1+B213,C213)</f>
        <v>* differential.element[26].definition = "If yes, describe treatments"</v>
      </c>
    </row>
    <row r="214" spans="1:4" x14ac:dyDescent="0.75">
      <c r="A214" s="115">
        <v>180</v>
      </c>
      <c r="B214" s="115">
        <f t="shared" si="4"/>
        <v>25</v>
      </c>
      <c r="C214" s="115">
        <f t="shared" si="5"/>
        <v>5</v>
      </c>
      <c r="D214" s="116" t="str" cm="1">
        <f t="array" ref="D214">INDEX('Chemo-2'!$B$2:$H$30,1+B214,C214)</f>
        <v>* differential.element[26].min = 1</v>
      </c>
    </row>
    <row r="215" spans="1:4" x14ac:dyDescent="0.75">
      <c r="A215" s="115">
        <v>181</v>
      </c>
      <c r="B215" s="115">
        <f t="shared" si="4"/>
        <v>25</v>
      </c>
      <c r="C215" s="115">
        <f t="shared" si="5"/>
        <v>6</v>
      </c>
      <c r="D215" s="116" t="str" cm="1">
        <f t="array" ref="D215">INDEX('Chemo-2'!$B$2:$H$30,1+B215,C215)</f>
        <v>* differential.element[26].max = "*"</v>
      </c>
    </row>
    <row r="216" spans="1:4" x14ac:dyDescent="0.75">
      <c r="A216" s="115">
        <v>182</v>
      </c>
      <c r="B216" s="115">
        <f t="shared" si="4"/>
        <v>25</v>
      </c>
      <c r="C216" s="115">
        <f t="shared" si="5"/>
        <v>7</v>
      </c>
      <c r="D216" s="116" t="str" cm="1">
        <f t="array" ref="D216">INDEX('Chemo-2'!$B$2:$H$30,1+B216,C216)</f>
        <v>* differential.element[26].type.code = #string</v>
      </c>
    </row>
    <row r="217" spans="1:4" x14ac:dyDescent="0.75">
      <c r="A217" s="115">
        <v>183</v>
      </c>
      <c r="B217" s="115">
        <f t="shared" si="4"/>
        <v>26</v>
      </c>
      <c r="C217" s="115">
        <f t="shared" si="5"/>
        <v>1</v>
      </c>
      <c r="D217" s="116"/>
    </row>
    <row r="218" spans="1:4" x14ac:dyDescent="0.75">
      <c r="A218" s="115">
        <v>184</v>
      </c>
      <c r="B218" s="115">
        <f t="shared" si="4"/>
        <v>26</v>
      </c>
      <c r="C218" s="115">
        <f t="shared" si="5"/>
        <v>2</v>
      </c>
      <c r="D218" s="116"/>
    </row>
    <row r="219" spans="1:4" x14ac:dyDescent="0.75">
      <c r="A219" s="115">
        <v>185</v>
      </c>
      <c r="B219" s="115">
        <f t="shared" si="4"/>
        <v>26</v>
      </c>
      <c r="C219" s="115">
        <f t="shared" si="5"/>
        <v>3</v>
      </c>
      <c r="D219" s="116"/>
    </row>
    <row r="220" spans="1:4" x14ac:dyDescent="0.75">
      <c r="A220" s="115">
        <v>186</v>
      </c>
      <c r="B220" s="115">
        <f t="shared" si="4"/>
        <v>26</v>
      </c>
      <c r="C220" s="115">
        <f t="shared" si="5"/>
        <v>4</v>
      </c>
      <c r="D220" s="116"/>
    </row>
    <row r="221" spans="1:4" x14ac:dyDescent="0.75">
      <c r="A221" s="115">
        <v>187</v>
      </c>
      <c r="B221" s="115">
        <f t="shared" si="4"/>
        <v>26</v>
      </c>
      <c r="C221" s="115">
        <f t="shared" si="5"/>
        <v>5</v>
      </c>
      <c r="D221" s="116"/>
    </row>
    <row r="222" spans="1:4" x14ac:dyDescent="0.75">
      <c r="A222" s="115">
        <v>188</v>
      </c>
      <c r="B222" s="115">
        <f t="shared" si="4"/>
        <v>26</v>
      </c>
      <c r="C222" s="115">
        <f t="shared" si="5"/>
        <v>6</v>
      </c>
      <c r="D222" s="116"/>
    </row>
    <row r="223" spans="1:4" x14ac:dyDescent="0.75">
      <c r="A223" s="115">
        <v>189</v>
      </c>
      <c r="B223" s="115">
        <f t="shared" si="4"/>
        <v>26</v>
      </c>
      <c r="C223" s="115">
        <f t="shared" si="5"/>
        <v>7</v>
      </c>
      <c r="D223" s="116"/>
    </row>
    <row r="224" spans="1:4" x14ac:dyDescent="0.75">
      <c r="A224" s="115">
        <v>190</v>
      </c>
      <c r="B224" s="115">
        <f t="shared" si="4"/>
        <v>27</v>
      </c>
      <c r="C224" s="115">
        <f t="shared" si="5"/>
        <v>1</v>
      </c>
      <c r="D224" s="116"/>
    </row>
    <row r="225" spans="1:4" x14ac:dyDescent="0.75">
      <c r="A225" s="115">
        <v>191</v>
      </c>
      <c r="B225" s="115">
        <f t="shared" si="4"/>
        <v>27</v>
      </c>
      <c r="C225" s="115">
        <f t="shared" si="5"/>
        <v>2</v>
      </c>
      <c r="D225" s="116"/>
    </row>
    <row r="226" spans="1:4" x14ac:dyDescent="0.75">
      <c r="A226" s="115">
        <v>192</v>
      </c>
      <c r="B226" s="115">
        <f t="shared" si="4"/>
        <v>27</v>
      </c>
      <c r="C226" s="115">
        <f t="shared" si="5"/>
        <v>3</v>
      </c>
      <c r="D226" s="116"/>
    </row>
    <row r="227" spans="1:4" x14ac:dyDescent="0.75">
      <c r="A227" s="115">
        <v>193</v>
      </c>
      <c r="B227" s="115">
        <f t="shared" si="4"/>
        <v>27</v>
      </c>
      <c r="C227" s="115">
        <f t="shared" si="5"/>
        <v>4</v>
      </c>
      <c r="D227" s="116"/>
    </row>
    <row r="228" spans="1:4" x14ac:dyDescent="0.75">
      <c r="A228" s="115">
        <v>194</v>
      </c>
      <c r="B228" s="115">
        <f t="shared" ref="B228:B251" si="6">IF(MOD(A228,7)=0,A228/7-1,INT(A228/7))</f>
        <v>27</v>
      </c>
      <c r="C228" s="115">
        <f t="shared" ref="C228:C251" si="7">IF(MOD(A228,7)=0,7,MOD(A228,7))</f>
        <v>5</v>
      </c>
      <c r="D228" s="116"/>
    </row>
    <row r="229" spans="1:4" x14ac:dyDescent="0.75">
      <c r="A229" s="115">
        <v>195</v>
      </c>
      <c r="B229" s="115">
        <f t="shared" si="6"/>
        <v>27</v>
      </c>
      <c r="C229" s="115">
        <f t="shared" si="7"/>
        <v>6</v>
      </c>
      <c r="D229" s="116"/>
    </row>
    <row r="230" spans="1:4" x14ac:dyDescent="0.75">
      <c r="A230" s="115">
        <v>196</v>
      </c>
      <c r="B230" s="115">
        <f t="shared" si="6"/>
        <v>27</v>
      </c>
      <c r="C230" s="115">
        <f t="shared" si="7"/>
        <v>7</v>
      </c>
      <c r="D230" s="116"/>
    </row>
    <row r="231" spans="1:4" x14ac:dyDescent="0.75">
      <c r="A231" s="115">
        <v>197</v>
      </c>
      <c r="B231" s="115">
        <f t="shared" si="6"/>
        <v>28</v>
      </c>
      <c r="C231" s="115">
        <f t="shared" si="7"/>
        <v>1</v>
      </c>
      <c r="D231" s="116"/>
    </row>
    <row r="232" spans="1:4" x14ac:dyDescent="0.75">
      <c r="A232" s="115">
        <v>198</v>
      </c>
      <c r="B232" s="115">
        <f t="shared" si="6"/>
        <v>28</v>
      </c>
      <c r="C232" s="115">
        <f t="shared" si="7"/>
        <v>2</v>
      </c>
      <c r="D232" s="116"/>
    </row>
    <row r="233" spans="1:4" x14ac:dyDescent="0.75">
      <c r="A233" s="115">
        <v>199</v>
      </c>
      <c r="B233" s="115">
        <f t="shared" si="6"/>
        <v>28</v>
      </c>
      <c r="C233" s="115">
        <f t="shared" si="7"/>
        <v>3</v>
      </c>
      <c r="D233" s="116"/>
    </row>
    <row r="234" spans="1:4" x14ac:dyDescent="0.75">
      <c r="A234" s="115">
        <v>200</v>
      </c>
      <c r="B234" s="115">
        <f t="shared" si="6"/>
        <v>28</v>
      </c>
      <c r="C234" s="115">
        <f t="shared" si="7"/>
        <v>4</v>
      </c>
      <c r="D234" s="116"/>
    </row>
    <row r="235" spans="1:4" x14ac:dyDescent="0.75">
      <c r="A235" s="115">
        <v>201</v>
      </c>
      <c r="B235" s="115">
        <f t="shared" si="6"/>
        <v>28</v>
      </c>
      <c r="C235" s="115">
        <f t="shared" si="7"/>
        <v>5</v>
      </c>
      <c r="D235" s="116"/>
    </row>
    <row r="236" spans="1:4" x14ac:dyDescent="0.75">
      <c r="A236" s="115">
        <v>202</v>
      </c>
      <c r="B236" s="115">
        <f t="shared" si="6"/>
        <v>28</v>
      </c>
      <c r="C236" s="115">
        <f t="shared" si="7"/>
        <v>6</v>
      </c>
      <c r="D236" s="116"/>
    </row>
    <row r="237" spans="1:4" x14ac:dyDescent="0.75">
      <c r="A237" s="115">
        <v>203</v>
      </c>
      <c r="B237" s="115">
        <f t="shared" si="6"/>
        <v>28</v>
      </c>
      <c r="C237" s="115">
        <f t="shared" si="7"/>
        <v>7</v>
      </c>
      <c r="D237" s="116"/>
    </row>
    <row r="238" spans="1:4" x14ac:dyDescent="0.75">
      <c r="A238" s="115">
        <v>204</v>
      </c>
      <c r="B238" s="115">
        <f t="shared" si="6"/>
        <v>29</v>
      </c>
      <c r="C238" s="115">
        <f t="shared" si="7"/>
        <v>1</v>
      </c>
      <c r="D238" s="116"/>
    </row>
    <row r="239" spans="1:4" x14ac:dyDescent="0.75">
      <c r="A239" s="115">
        <v>205</v>
      </c>
      <c r="B239" s="115">
        <f t="shared" si="6"/>
        <v>29</v>
      </c>
      <c r="C239" s="115">
        <f t="shared" si="7"/>
        <v>2</v>
      </c>
      <c r="D239" s="116"/>
    </row>
    <row r="240" spans="1:4" x14ac:dyDescent="0.75">
      <c r="A240" s="115">
        <v>206</v>
      </c>
      <c r="B240" s="115">
        <f t="shared" si="6"/>
        <v>29</v>
      </c>
      <c r="C240" s="115">
        <f t="shared" si="7"/>
        <v>3</v>
      </c>
      <c r="D240" s="116"/>
    </row>
    <row r="241" spans="1:4" x14ac:dyDescent="0.75">
      <c r="A241" s="115">
        <v>207</v>
      </c>
      <c r="B241" s="115">
        <f t="shared" si="6"/>
        <v>29</v>
      </c>
      <c r="C241" s="115">
        <f t="shared" si="7"/>
        <v>4</v>
      </c>
      <c r="D241" s="116"/>
    </row>
    <row r="242" spans="1:4" x14ac:dyDescent="0.75">
      <c r="A242" s="115">
        <v>208</v>
      </c>
      <c r="B242" s="115">
        <f t="shared" si="6"/>
        <v>29</v>
      </c>
      <c r="C242" s="115">
        <f t="shared" si="7"/>
        <v>5</v>
      </c>
      <c r="D242" s="116"/>
    </row>
    <row r="243" spans="1:4" x14ac:dyDescent="0.75">
      <c r="A243" s="115">
        <v>209</v>
      </c>
      <c r="B243" s="115">
        <f t="shared" si="6"/>
        <v>29</v>
      </c>
      <c r="C243" s="115">
        <f t="shared" si="7"/>
        <v>6</v>
      </c>
      <c r="D243" s="116"/>
    </row>
    <row r="244" spans="1:4" x14ac:dyDescent="0.75">
      <c r="A244" s="115">
        <v>210</v>
      </c>
      <c r="B244" s="115">
        <f t="shared" si="6"/>
        <v>29</v>
      </c>
      <c r="C244" s="115">
        <f t="shared" si="7"/>
        <v>7</v>
      </c>
      <c r="D244" s="116"/>
    </row>
    <row r="245" spans="1:4" x14ac:dyDescent="0.75">
      <c r="A245" s="115">
        <v>211</v>
      </c>
      <c r="B245" s="115">
        <f t="shared" si="6"/>
        <v>30</v>
      </c>
      <c r="C245" s="115">
        <f t="shared" si="7"/>
        <v>1</v>
      </c>
      <c r="D245" s="116"/>
    </row>
    <row r="246" spans="1:4" x14ac:dyDescent="0.75">
      <c r="A246" s="115">
        <v>212</v>
      </c>
      <c r="B246" s="115">
        <f t="shared" si="6"/>
        <v>30</v>
      </c>
      <c r="C246" s="115">
        <f t="shared" si="7"/>
        <v>2</v>
      </c>
      <c r="D246" s="116"/>
    </row>
    <row r="247" spans="1:4" x14ac:dyDescent="0.75">
      <c r="A247" s="115">
        <v>213</v>
      </c>
      <c r="B247" s="115">
        <f t="shared" si="6"/>
        <v>30</v>
      </c>
      <c r="C247" s="115">
        <f t="shared" si="7"/>
        <v>3</v>
      </c>
      <c r="D247" s="116"/>
    </row>
    <row r="248" spans="1:4" x14ac:dyDescent="0.75">
      <c r="A248" s="115">
        <v>214</v>
      </c>
      <c r="B248" s="115">
        <f t="shared" si="6"/>
        <v>30</v>
      </c>
      <c r="C248" s="115">
        <f t="shared" si="7"/>
        <v>4</v>
      </c>
      <c r="D248" s="116"/>
    </row>
    <row r="249" spans="1:4" x14ac:dyDescent="0.75">
      <c r="A249" s="115">
        <v>215</v>
      </c>
      <c r="B249" s="115">
        <f t="shared" si="6"/>
        <v>30</v>
      </c>
      <c r="C249" s="115">
        <f t="shared" si="7"/>
        <v>5</v>
      </c>
      <c r="D249" s="116"/>
    </row>
    <row r="250" spans="1:4" x14ac:dyDescent="0.75">
      <c r="A250" s="115">
        <v>216</v>
      </c>
      <c r="B250" s="115">
        <f t="shared" si="6"/>
        <v>30</v>
      </c>
      <c r="C250" s="115">
        <f t="shared" si="7"/>
        <v>6</v>
      </c>
      <c r="D250" s="116"/>
    </row>
    <row r="251" spans="1:4" x14ac:dyDescent="0.75">
      <c r="A251" s="115">
        <v>217</v>
      </c>
      <c r="B251" s="115">
        <f t="shared" si="6"/>
        <v>30</v>
      </c>
      <c r="C251" s="115">
        <f t="shared" si="7"/>
        <v>7</v>
      </c>
      <c r="D251" s="116"/>
    </row>
    <row r="252" spans="1:4" x14ac:dyDescent="0.75">
      <c r="A252" s="115">
        <v>218</v>
      </c>
      <c r="B252" s="115">
        <f>IF(MOD(A252,7)=0,A252/7-1,INT(A252/7))</f>
        <v>31</v>
      </c>
      <c r="C252" s="115">
        <f>IF(MOD(A252,7)=0,7,MOD(A252,7))</f>
        <v>1</v>
      </c>
      <c r="D252" s="116"/>
    </row>
    <row r="253" spans="1:4" x14ac:dyDescent="0.75">
      <c r="A253" s="115">
        <v>219</v>
      </c>
      <c r="B253" s="115">
        <f t="shared" ref="B253:B256" si="8">IF(MOD(A253,7)=0,A253/7-1,INT(A253/7))</f>
        <v>31</v>
      </c>
      <c r="C253" s="115">
        <f t="shared" ref="C253:C256" si="9">IF(MOD(A253,7)=0,7,MOD(A253,7))</f>
        <v>2</v>
      </c>
      <c r="D253" s="116"/>
    </row>
    <row r="254" spans="1:4" x14ac:dyDescent="0.75">
      <c r="A254" s="115">
        <v>220</v>
      </c>
      <c r="B254" s="115">
        <f t="shared" si="8"/>
        <v>31</v>
      </c>
      <c r="C254" s="115">
        <f t="shared" si="9"/>
        <v>3</v>
      </c>
      <c r="D254" s="116"/>
    </row>
    <row r="255" spans="1:4" x14ac:dyDescent="0.75">
      <c r="A255" s="115">
        <v>221</v>
      </c>
      <c r="B255" s="115">
        <f t="shared" si="8"/>
        <v>31</v>
      </c>
      <c r="C255" s="115">
        <f t="shared" si="9"/>
        <v>4</v>
      </c>
      <c r="D255" s="116"/>
    </row>
    <row r="256" spans="1:4" x14ac:dyDescent="0.75">
      <c r="A256" s="115">
        <v>222</v>
      </c>
      <c r="B256" s="115">
        <f t="shared" si="8"/>
        <v>31</v>
      </c>
      <c r="C256" s="115">
        <f t="shared" si="9"/>
        <v>5</v>
      </c>
      <c r="D256" s="116"/>
    </row>
    <row r="257" spans="1:4" x14ac:dyDescent="0.75">
      <c r="A257" s="115">
        <v>223</v>
      </c>
      <c r="B257" s="115">
        <f>IF(MOD(A257,7)=0,A257/7-1,INT(A257/7))</f>
        <v>31</v>
      </c>
      <c r="C257" s="115">
        <f>IF(MOD(A257,7)=0,7,MOD(A257,7))</f>
        <v>6</v>
      </c>
      <c r="D257" s="116"/>
    </row>
    <row r="258" spans="1:4" x14ac:dyDescent="0.75">
      <c r="A258" s="115">
        <v>224</v>
      </c>
      <c r="B258" s="115">
        <f t="shared" ref="B258:B264" si="10">IF(MOD(A258,7)=0,A258/7-1,INT(A258/7))</f>
        <v>31</v>
      </c>
      <c r="C258" s="115">
        <f t="shared" ref="C258:C264" si="11">IF(MOD(A258,7)=0,7,MOD(A258,7))</f>
        <v>7</v>
      </c>
      <c r="D258" s="116"/>
    </row>
    <row r="259" spans="1:4" x14ac:dyDescent="0.75">
      <c r="A259" s="115">
        <v>225</v>
      </c>
      <c r="B259" s="115">
        <f t="shared" si="10"/>
        <v>32</v>
      </c>
      <c r="C259" s="115">
        <f t="shared" si="11"/>
        <v>1</v>
      </c>
      <c r="D259" s="116"/>
    </row>
    <row r="260" spans="1:4" x14ac:dyDescent="0.75">
      <c r="A260" s="115">
        <v>226</v>
      </c>
      <c r="B260" s="115">
        <f t="shared" si="10"/>
        <v>32</v>
      </c>
      <c r="C260" s="115">
        <f t="shared" si="11"/>
        <v>2</v>
      </c>
      <c r="D260" s="116"/>
    </row>
    <row r="261" spans="1:4" x14ac:dyDescent="0.75">
      <c r="A261" s="115">
        <v>227</v>
      </c>
      <c r="B261" s="115">
        <f t="shared" si="10"/>
        <v>32</v>
      </c>
      <c r="C261" s="115">
        <f t="shared" si="11"/>
        <v>3</v>
      </c>
      <c r="D261" s="116"/>
    </row>
    <row r="262" spans="1:4" x14ac:dyDescent="0.75">
      <c r="A262" s="115">
        <v>228</v>
      </c>
      <c r="B262" s="115">
        <f t="shared" si="10"/>
        <v>32</v>
      </c>
      <c r="C262" s="115">
        <f t="shared" si="11"/>
        <v>4</v>
      </c>
      <c r="D262" s="116"/>
    </row>
    <row r="263" spans="1:4" x14ac:dyDescent="0.75">
      <c r="A263" s="115">
        <v>229</v>
      </c>
      <c r="B263" s="115">
        <f t="shared" si="10"/>
        <v>32</v>
      </c>
      <c r="C263" s="115">
        <f t="shared" si="11"/>
        <v>5</v>
      </c>
      <c r="D263" s="116"/>
    </row>
    <row r="264" spans="1:4" x14ac:dyDescent="0.75">
      <c r="A264" s="115">
        <v>230</v>
      </c>
      <c r="B264" s="115">
        <f t="shared" si="10"/>
        <v>32</v>
      </c>
      <c r="C264" s="115">
        <f t="shared" si="11"/>
        <v>6</v>
      </c>
      <c r="D264" s="116"/>
    </row>
    <row r="265" spans="1:4" x14ac:dyDescent="0.75">
      <c r="A265" s="115">
        <v>231</v>
      </c>
      <c r="B265" s="115">
        <f>IF(MOD(A265,7)=0,A265/7-1,INT(A265/7))</f>
        <v>32</v>
      </c>
      <c r="C265" s="115">
        <f>IF(MOD(A265,7)=0,7,MOD(A265,7))</f>
        <v>7</v>
      </c>
      <c r="D265" s="116"/>
    </row>
    <row r="266" spans="1:4" x14ac:dyDescent="0.75">
      <c r="A266" s="115">
        <v>232</v>
      </c>
      <c r="B266" s="115">
        <f t="shared" ref="B266:B268" si="12">IF(MOD(A266,7)=0,A266/7-1,INT(A266/7))</f>
        <v>33</v>
      </c>
      <c r="C266" s="115">
        <f t="shared" ref="C266:C268" si="13">IF(MOD(A266,7)=0,7,MOD(A266,7))</f>
        <v>1</v>
      </c>
      <c r="D266" s="116"/>
    </row>
    <row r="267" spans="1:4" x14ac:dyDescent="0.75">
      <c r="A267" s="115">
        <v>233</v>
      </c>
      <c r="B267" s="115">
        <f t="shared" si="12"/>
        <v>33</v>
      </c>
      <c r="C267" s="115">
        <f t="shared" si="13"/>
        <v>2</v>
      </c>
      <c r="D267" s="116"/>
    </row>
    <row r="268" spans="1:4" x14ac:dyDescent="0.75">
      <c r="A268" s="115">
        <v>234</v>
      </c>
      <c r="B268" s="115">
        <f t="shared" si="12"/>
        <v>33</v>
      </c>
      <c r="C268" s="115">
        <f t="shared" si="13"/>
        <v>3</v>
      </c>
      <c r="D268" s="116"/>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9"/>
  <sheetViews>
    <sheetView topLeftCell="A22" workbookViewId="0">
      <selection activeCell="D26" sqref="D26:D27"/>
    </sheetView>
  </sheetViews>
  <sheetFormatPr defaultRowHeight="14.75" x14ac:dyDescent="0.75"/>
  <cols>
    <col min="1" max="2" width="8.7265625" style="113"/>
    <col min="3" max="3" width="42.31640625" style="114" customWidth="1"/>
    <col min="4" max="4" width="89" style="113" customWidth="1"/>
    <col min="5" max="5" width="24.81640625" style="113" customWidth="1"/>
    <col min="6" max="6" width="15.5" style="113" customWidth="1"/>
    <col min="7" max="7" width="16.1328125" style="113" customWidth="1"/>
    <col min="8" max="8" width="10.76953125" style="113" customWidth="1"/>
    <col min="9" max="9" width="45.26953125" style="113" customWidth="1"/>
    <col min="10" max="10" width="40.1328125" style="114" customWidth="1"/>
    <col min="11" max="11" width="26.6328125" style="114" customWidth="1"/>
    <col min="12" max="12" width="48.54296875" style="114" customWidth="1"/>
    <col min="13" max="13" width="53.36328125" style="113" customWidth="1"/>
    <col min="14" max="14" width="51.5" style="113" customWidth="1"/>
    <col min="15" max="16384" width="8.7265625" style="113"/>
  </cols>
  <sheetData>
    <row r="1" spans="1:14" x14ac:dyDescent="0.75">
      <c r="C1" s="147" t="str">
        <f>'Chemo-1'!B1</f>
        <v>canonical</v>
      </c>
      <c r="D1" s="19" t="s">
        <v>33</v>
      </c>
      <c r="E1" s="20"/>
      <c r="G1" s="44" t="s">
        <v>51</v>
      </c>
      <c r="N1" s="113" t="s">
        <v>49</v>
      </c>
    </row>
    <row r="2" spans="1:14" ht="15.5" thickBot="1" x14ac:dyDescent="0.9">
      <c r="C2" s="148" t="str">
        <f>'Chemo-1'!B2</f>
        <v>http://hl7.eu/fhir/ig/pcsp</v>
      </c>
      <c r="D2" s="17" t="s">
        <v>57</v>
      </c>
      <c r="E2" s="37"/>
      <c r="G2" s="113" t="s">
        <v>48</v>
      </c>
      <c r="M2" s="46"/>
      <c r="N2" s="113" t="str">
        <f>CONCATENATE("Mapping: ",E2)</f>
        <v xml:space="preserve">Mapping: </v>
      </c>
    </row>
    <row r="3" spans="1:14" x14ac:dyDescent="0.75">
      <c r="C3" s="147" t="str">
        <f>'Chemo-1'!B3</f>
        <v>Publisher</v>
      </c>
      <c r="D3" s="42"/>
      <c r="E3" s="38"/>
      <c r="M3" s="46"/>
      <c r="N3" s="113" t="str">
        <f>CONCATENATE("Id: ",E2)</f>
        <v xml:space="preserve">Id: </v>
      </c>
    </row>
    <row r="4" spans="1:14" ht="15.5" thickBot="1" x14ac:dyDescent="0.9">
      <c r="C4" s="148" t="str">
        <f>'Chemo-1'!B4</f>
        <v>PanCareSurPass project</v>
      </c>
      <c r="D4" s="45"/>
      <c r="E4" s="39"/>
      <c r="M4" s="46"/>
      <c r="N4" s="113" t="str">
        <f>CONCATENATE("Title: """,D2,"""")</f>
        <v>Title: "FHIR"</v>
      </c>
    </row>
    <row r="5" spans="1:14" x14ac:dyDescent="0.75">
      <c r="M5" s="46"/>
      <c r="N5" s="113" t="str">
        <f>CONCATENATE("Source: ",C2,"/",C7)</f>
        <v>Source: http://hl7.eu/fhir/ig/pcsp/Chemotherapy</v>
      </c>
    </row>
    <row r="6" spans="1:14" x14ac:dyDescent="0.75">
      <c r="D6" s="113" t="s">
        <v>47</v>
      </c>
      <c r="M6" s="46"/>
      <c r="N6" s="113" t="str">
        <f>CONCATENATE("Target: """,D4,"""")</f>
        <v>Target: ""</v>
      </c>
    </row>
    <row r="7" spans="1:14" ht="59" x14ac:dyDescent="0.75">
      <c r="A7" s="115">
        <v>0</v>
      </c>
      <c r="B7" s="115">
        <f>'Chemo-1'!A6</f>
        <v>0</v>
      </c>
      <c r="C7" s="116" t="str">
        <f>'Chemo-1'!B6</f>
        <v>Chemotherapy</v>
      </c>
      <c r="D7" s="25" t="s">
        <v>1207</v>
      </c>
      <c r="H7" s="113" t="b">
        <f>IF(D7&gt;"",TRUE,FALSE)</f>
        <v>1</v>
      </c>
      <c r="I7" s="114" t="str">
        <f>IF(H7,CONCATENATE("* differential.element[",$B7,"].mapping[",$A7,"].identity = """,$G$1,""""),"")</f>
        <v>* differential.element[0].mapping[0].identity = "fhir"</v>
      </c>
      <c r="J7" s="114" t="str">
        <f>IF(H7,CONCATENATE("* differential.element[",$B7,"].mapping[",$A7,"].map = """,D7,""""),"")</f>
        <v>* differential.element[0].mapping[0].map = "MedicationAdministration.conformsTo('http://hl7.eu/fhir/ig/pcsp/StructureDefinition/MedicationAdministration-eu-pcsp')"</v>
      </c>
      <c r="K7" s="114" t="str">
        <f>IF(E7&gt;"",CONCATENATE("* differential.element[",$B7,"].mapping[",$A7,"].comment = """,E7,""""),"")</f>
        <v/>
      </c>
      <c r="M7" s="113" t="s">
        <v>50</v>
      </c>
      <c r="N7" s="113" t="s">
        <v>49</v>
      </c>
    </row>
    <row r="8" spans="1:14" ht="29.5" x14ac:dyDescent="0.75">
      <c r="A8" s="115">
        <v>0</v>
      </c>
      <c r="B8" s="115">
        <f>'Chemo-1'!A7</f>
        <v>1</v>
      </c>
      <c r="C8" s="116" t="str">
        <f>'Chemo-1'!B7</f>
        <v>relatedDiagnosis</v>
      </c>
      <c r="D8" s="50" t="s">
        <v>1220</v>
      </c>
      <c r="H8" s="113" t="b">
        <f t="shared" ref="H8:H19" si="0">IF(D8&gt;"",TRUE,FALSE)</f>
        <v>1</v>
      </c>
      <c r="I8" s="114" t="str">
        <f t="shared" ref="I8:I19" si="1">IF(H8,CONCATENATE("* differential.element[",$B8,"].mapping[",$A8,"].identity = """,$G$1,""""),"")</f>
        <v>* differential.element[1].mapping[0].identity = "fhir"</v>
      </c>
      <c r="J8" s="114" t="str">
        <f t="shared" ref="J8:J19" si="2">IF(H8,CONCATENATE("* differential.element[",$B8,"].mapping[",$A8,"].map = """,D8,""""),"")</f>
        <v>* differential.element[1].mapping[0].map = ".reasonReference"</v>
      </c>
      <c r="K8" s="114" t="str">
        <f t="shared" ref="K8:K54" si="3">IF(E8&gt;"",CONCATENATE("* differential.element[",$B8,"].mapping[",$A8,"].comment = """,E8,""""),"")</f>
        <v/>
      </c>
      <c r="M8" s="46"/>
      <c r="N8" s="113" t="str">
        <f t="shared" ref="N8:N45" si="4">CONCATENATE("* ",C8," -&gt; """,D8,"""")</f>
        <v>* relatedDiagnosis -&gt; ".reasonReference"</v>
      </c>
    </row>
    <row r="9" spans="1:14" ht="29.5" x14ac:dyDescent="0.75">
      <c r="A9" s="115">
        <v>0</v>
      </c>
      <c r="B9" s="115">
        <f>'Chemo-1'!A8</f>
        <v>2</v>
      </c>
      <c r="C9" s="116" t="str">
        <f>'Chemo-1'!B8</f>
        <v>startDate</v>
      </c>
      <c r="D9" s="50" t="s">
        <v>1205</v>
      </c>
      <c r="H9" s="113" t="b">
        <f t="shared" si="0"/>
        <v>1</v>
      </c>
      <c r="I9" s="114" t="str">
        <f t="shared" si="1"/>
        <v>* differential.element[2].mapping[0].identity = "fhir"</v>
      </c>
      <c r="J9" s="114" t="str">
        <f t="shared" si="2"/>
        <v>* differential.element[2].mapping[0].map = ".effectivePeriod.start"</v>
      </c>
      <c r="K9" s="114" t="str">
        <f t="shared" si="3"/>
        <v/>
      </c>
      <c r="M9" s="46"/>
      <c r="N9" s="113" t="str">
        <f t="shared" si="4"/>
        <v>* startDate -&gt; ".effectivePeriod.start"</v>
      </c>
    </row>
    <row r="10" spans="1:14" ht="29.5" x14ac:dyDescent="0.75">
      <c r="A10" s="115">
        <v>0</v>
      </c>
      <c r="B10" s="115">
        <f>'Chemo-1'!A9</f>
        <v>3</v>
      </c>
      <c r="C10" s="116" t="str">
        <f>'Chemo-1'!B9</f>
        <v>endDate</v>
      </c>
      <c r="D10" s="50" t="s">
        <v>1206</v>
      </c>
      <c r="H10" s="113" t="b">
        <f t="shared" si="0"/>
        <v>1</v>
      </c>
      <c r="I10" s="114" t="str">
        <f t="shared" si="1"/>
        <v>* differential.element[3].mapping[0].identity = "fhir"</v>
      </c>
      <c r="J10" s="114" t="str">
        <f t="shared" si="2"/>
        <v>* differential.element[3].mapping[0].map = ".effectivePeriod.end"</v>
      </c>
      <c r="K10" s="114" t="str">
        <f t="shared" si="3"/>
        <v/>
      </c>
      <c r="M10" s="46"/>
      <c r="N10" s="113" t="str">
        <f t="shared" si="4"/>
        <v>* endDate -&gt; ".effectivePeriod.end"</v>
      </c>
    </row>
    <row r="11" spans="1:14" ht="29.5" x14ac:dyDescent="0.75">
      <c r="A11" s="115">
        <v>0</v>
      </c>
      <c r="B11" s="115">
        <f>'Chemo-1'!A10</f>
        <v>4</v>
      </c>
      <c r="C11" s="116" t="str">
        <f>'Chemo-1'!B10</f>
        <v>istitutionOfTreatment</v>
      </c>
      <c r="D11" s="115" t="s">
        <v>1213</v>
      </c>
      <c r="H11" s="113" t="b">
        <f t="shared" si="0"/>
        <v>1</v>
      </c>
      <c r="I11" s="114" t="str">
        <f t="shared" si="1"/>
        <v>* differential.element[4].mapping[0].identity = "fhir"</v>
      </c>
      <c r="J11" s="114" t="str">
        <f t="shared" si="2"/>
        <v>* differential.element[4].mapping[0].map = ".extension(http://hl7.eu/fhir/ig/pcsp/StructureDefinition/ActLocation-eu-pcsp).conformsTo(http://hl7.eu/fhir/ig/pcsp/StructureDefinition/Location-eu-pcsp)"</v>
      </c>
      <c r="K11" s="114" t="str">
        <f t="shared" si="3"/>
        <v/>
      </c>
      <c r="M11" s="46"/>
      <c r="N11" s="113" t="str">
        <f t="shared" si="4"/>
        <v>* istitutionOfTreatment -&gt; ".extension(http://hl7.eu/fhir/ig/pcsp/StructureDefinition/ActLocation-eu-pcsp).conformsTo(http://hl7.eu/fhir/ig/pcsp/StructureDefinition/Location-eu-pcsp)"</v>
      </c>
    </row>
    <row r="12" spans="1:14" ht="29.5" x14ac:dyDescent="0.75">
      <c r="A12" s="115">
        <v>0</v>
      </c>
      <c r="B12" s="115">
        <f>'Chemo-1'!A11</f>
        <v>5</v>
      </c>
      <c r="C12" s="116" t="str">
        <f>'Chemo-1'!B11</f>
        <v>istitutionOfTreatment.description</v>
      </c>
      <c r="D12" s="50" t="s">
        <v>1214</v>
      </c>
      <c r="H12" s="113" t="b">
        <f t="shared" si="0"/>
        <v>1</v>
      </c>
      <c r="I12" s="114" t="str">
        <f t="shared" si="1"/>
        <v>* differential.element[5].mapping[0].identity = "fhir"</v>
      </c>
      <c r="J12" s="114" t="str">
        <f t="shared" si="2"/>
        <v>* differential.element[5].mapping[0].map = "Location.description"</v>
      </c>
      <c r="K12" s="114" t="str">
        <f t="shared" si="3"/>
        <v/>
      </c>
      <c r="M12" s="46"/>
      <c r="N12" s="113" t="str">
        <f t="shared" si="4"/>
        <v>* istitutionOfTreatment.description -&gt; "Location.description"</v>
      </c>
    </row>
    <row r="13" spans="1:14" ht="29.5" x14ac:dyDescent="0.75">
      <c r="A13" s="115">
        <v>0</v>
      </c>
      <c r="B13" s="115">
        <f>'Chemo-1'!A12</f>
        <v>6</v>
      </c>
      <c r="C13" s="116" t="str">
        <f>'Chemo-1'!B12</f>
        <v>istitutionOfTreatment.name</v>
      </c>
      <c r="D13" s="50" t="s">
        <v>1215</v>
      </c>
      <c r="H13" s="113" t="b">
        <f t="shared" si="0"/>
        <v>1</v>
      </c>
      <c r="I13" s="114" t="str">
        <f t="shared" si="1"/>
        <v>* differential.element[6].mapping[0].identity = "fhir"</v>
      </c>
      <c r="J13" s="114" t="str">
        <f t="shared" si="2"/>
        <v>* differential.element[6].mapping[0].map = "Location.name"</v>
      </c>
      <c r="K13" s="114" t="str">
        <f t="shared" si="3"/>
        <v/>
      </c>
      <c r="M13" s="46"/>
      <c r="N13" s="113" t="str">
        <f t="shared" si="4"/>
        <v>* istitutionOfTreatment.name -&gt; "Location.name"</v>
      </c>
    </row>
    <row r="14" spans="1:14" ht="29.5" x14ac:dyDescent="0.75">
      <c r="A14" s="115">
        <v>0</v>
      </c>
      <c r="B14" s="115">
        <f>'Chemo-1'!A13</f>
        <v>7</v>
      </c>
      <c r="C14" s="116" t="str">
        <f>'Chemo-1'!B13</f>
        <v>istitutionOfTreatment.address</v>
      </c>
      <c r="D14" s="50" t="s">
        <v>1216</v>
      </c>
      <c r="H14" s="113" t="b">
        <f t="shared" si="0"/>
        <v>1</v>
      </c>
      <c r="I14" s="114" t="str">
        <f t="shared" si="1"/>
        <v>* differential.element[7].mapping[0].identity = "fhir"</v>
      </c>
      <c r="J14" s="114" t="str">
        <f t="shared" si="2"/>
        <v>* differential.element[7].mapping[0].map = "Location.address.city"</v>
      </c>
      <c r="K14" s="114" t="str">
        <f t="shared" si="3"/>
        <v/>
      </c>
      <c r="M14" s="46"/>
      <c r="N14" s="113" t="str">
        <f t="shared" si="4"/>
        <v>* istitutionOfTreatment.address -&gt; "Location.address.city"</v>
      </c>
    </row>
    <row r="15" spans="1:14" ht="29.5" x14ac:dyDescent="0.75">
      <c r="A15" s="115">
        <v>0</v>
      </c>
      <c r="B15" s="115">
        <f>'Chemo-1'!A14</f>
        <v>8</v>
      </c>
      <c r="C15" s="116" t="str">
        <f>'Chemo-1'!B14</f>
        <v>istitutionOfTreatment.address.name</v>
      </c>
      <c r="D15" s="50"/>
      <c r="H15" s="113" t="b">
        <f t="shared" si="0"/>
        <v>0</v>
      </c>
      <c r="I15" s="114" t="str">
        <f t="shared" si="1"/>
        <v/>
      </c>
      <c r="J15" s="114" t="str">
        <f t="shared" si="2"/>
        <v/>
      </c>
      <c r="K15" s="114" t="str">
        <f t="shared" si="3"/>
        <v/>
      </c>
      <c r="N15" s="113" t="str">
        <f t="shared" si="4"/>
        <v>* istitutionOfTreatment.address.name -&gt; ""</v>
      </c>
    </row>
    <row r="16" spans="1:14" ht="29.5" x14ac:dyDescent="0.75">
      <c r="A16" s="115">
        <v>0</v>
      </c>
      <c r="B16" s="115">
        <f>'Chemo-1'!A15</f>
        <v>9</v>
      </c>
      <c r="C16" s="116" t="str">
        <f>'Chemo-1'!B15</f>
        <v>istitutionOfTreatment.address.country</v>
      </c>
      <c r="D16" s="50" t="s">
        <v>1217</v>
      </c>
      <c r="H16" s="113" t="b">
        <f t="shared" si="0"/>
        <v>1</v>
      </c>
      <c r="I16" s="114" t="str">
        <f t="shared" si="1"/>
        <v>* differential.element[9].mapping[0].identity = "fhir"</v>
      </c>
      <c r="J16" s="114" t="str">
        <f t="shared" si="2"/>
        <v>* differential.element[9].mapping[0].map = "Location.address.country"</v>
      </c>
      <c r="K16" s="114" t="str">
        <f t="shared" si="3"/>
        <v/>
      </c>
      <c r="N16" s="113" t="str">
        <f t="shared" si="4"/>
        <v>* istitutionOfTreatment.address.country -&gt; "Location.address.country"</v>
      </c>
    </row>
    <row r="17" spans="1:14" ht="29.5" x14ac:dyDescent="0.75">
      <c r="A17" s="115">
        <v>0</v>
      </c>
      <c r="B17" s="115">
        <f>'Chemo-1'!A16</f>
        <v>10</v>
      </c>
      <c r="C17" s="116" t="str">
        <f>'Chemo-1'!B16</f>
        <v>productAdministration</v>
      </c>
      <c r="D17" s="115" t="s">
        <v>1208</v>
      </c>
      <c r="H17" s="113" t="b">
        <f t="shared" si="0"/>
        <v>1</v>
      </c>
      <c r="I17" s="114" t="str">
        <f t="shared" si="1"/>
        <v>* differential.element[10].mapping[0].identity = "fhir"</v>
      </c>
      <c r="J17" s="114" t="str">
        <f t="shared" si="2"/>
        <v>* differential.element[10].mapping[0].map = ".medication[x]"</v>
      </c>
      <c r="K17" s="114" t="str">
        <f t="shared" si="3"/>
        <v/>
      </c>
      <c r="N17" s="113" t="str">
        <f t="shared" si="4"/>
        <v>* productAdministration -&gt; ".medication[x]"</v>
      </c>
    </row>
    <row r="18" spans="1:14" ht="29.5" x14ac:dyDescent="0.75">
      <c r="A18" s="115">
        <v>0</v>
      </c>
      <c r="B18" s="115">
        <f>'Chemo-1'!A17</f>
        <v>11</v>
      </c>
      <c r="C18" s="116" t="str">
        <f>'Chemo-1'!B17</f>
        <v>productAdministration.agent</v>
      </c>
      <c r="D18" s="115" t="s">
        <v>1209</v>
      </c>
      <c r="H18" s="113" t="b">
        <f t="shared" si="0"/>
        <v>1</v>
      </c>
      <c r="I18" s="114" t="str">
        <f t="shared" si="1"/>
        <v>* differential.element[11].mapping[0].identity = "fhir"</v>
      </c>
      <c r="J18" s="114" t="str">
        <f t="shared" si="2"/>
        <v>* differential.element[11].mapping[0].map = ".medicationCodeableConcept"</v>
      </c>
      <c r="K18" s="114" t="str">
        <f t="shared" si="3"/>
        <v/>
      </c>
      <c r="N18" s="113" t="str">
        <f t="shared" si="4"/>
        <v>* productAdministration.agent -&gt; ".medicationCodeableConcept"</v>
      </c>
    </row>
    <row r="19" spans="1:14" ht="29.5" x14ac:dyDescent="0.75">
      <c r="A19" s="115">
        <v>0</v>
      </c>
      <c r="B19" s="115">
        <f>'Chemo-1'!A18</f>
        <v>12</v>
      </c>
      <c r="C19" s="116" t="str">
        <f>'Chemo-1'!B18</f>
        <v>productAdministration.dose</v>
      </c>
      <c r="D19" s="151" t="s">
        <v>1243</v>
      </c>
      <c r="H19" s="113" t="b">
        <f t="shared" si="0"/>
        <v>1</v>
      </c>
      <c r="I19" s="114" t="str">
        <f t="shared" si="1"/>
        <v>* differential.element[12].mapping[0].identity = "fhir"</v>
      </c>
      <c r="J19" s="114" t="str">
        <f t="shared" si="2"/>
        <v>* differential.element[12].mapping[0].map = ".dosage.dose"</v>
      </c>
      <c r="K19" s="114" t="str">
        <f t="shared" si="3"/>
        <v/>
      </c>
      <c r="N19" s="113" t="str">
        <f>CONCATENATE("* ",C19," -&gt; """,D20,"""")</f>
        <v>* productAdministration.dose -&gt; ".extension(http://hl7.eu/fhir/ig/pcsp/StructureDefinition/ResourceRelatedInfo-eu-pcsp).conformsTo(http://hl7.eu/fhir/ig/pcsp/StructureDefinition/Observation-cumulativeDoseChemo-eu-pcsp)"</v>
      </c>
    </row>
    <row r="20" spans="1:14" ht="29.5" x14ac:dyDescent="0.75">
      <c r="A20" s="115">
        <v>0</v>
      </c>
      <c r="B20" s="115">
        <f>'Chemo-1'!A19</f>
        <v>13</v>
      </c>
      <c r="C20" s="116" t="str">
        <f>'Chemo-1'!B19</f>
        <v>productAdministration.cumulativeDose</v>
      </c>
      <c r="D20" s="115" t="s">
        <v>1218</v>
      </c>
      <c r="H20" s="113" t="b">
        <f t="shared" ref="H20:H26" si="5">IF(D20&gt;"",TRUE,FALSE)</f>
        <v>1</v>
      </c>
      <c r="I20" s="114" t="str">
        <f t="shared" ref="I20:I26" si="6">IF(H20,CONCATENATE("* differential.element[",$B20,"].mapping[",$A20,"].identity = """,$G$1,""""),"")</f>
        <v>* differential.element[13].mapping[0].identity = "fhir"</v>
      </c>
      <c r="J20" s="114" t="str">
        <f t="shared" ref="J20:J26" si="7">IF(H20,CONCATENATE("* differential.element[",$B20,"].mapping[",$A20,"].map = """,D20,""""),"")</f>
        <v>* differential.element[13].mapping[0].map = ".extension(http://hl7.eu/fhir/ig/pcsp/StructureDefinition/ResourceRelatedInfo-eu-pcsp).conformsTo(http://hl7.eu/fhir/ig/pcsp/StructureDefinition/Observation-cumulativeDoseChemo-eu-pcsp)"</v>
      </c>
      <c r="K20" s="114" t="str">
        <f t="shared" si="3"/>
        <v/>
      </c>
      <c r="N20" s="113" t="e">
        <f>CONCATENATE("* ",C20," -&gt; """,#REF!,"""")</f>
        <v>#REF!</v>
      </c>
    </row>
    <row r="21" spans="1:14" ht="29.5" x14ac:dyDescent="0.75">
      <c r="A21" s="115">
        <v>0</v>
      </c>
      <c r="B21" s="115">
        <f>'Chemo-1'!A20</f>
        <v>14</v>
      </c>
      <c r="C21" s="116" t="str">
        <f>'Chemo-1'!B20</f>
        <v>productAdministration.cumulativeDose.notAvailable</v>
      </c>
      <c r="D21" s="115" t="s">
        <v>1251</v>
      </c>
      <c r="H21" s="113" t="b">
        <f t="shared" si="5"/>
        <v>1</v>
      </c>
      <c r="I21" s="114" t="str">
        <f t="shared" si="6"/>
        <v>* differential.element[14].mapping[0].identity = "fhir"</v>
      </c>
      <c r="J21" s="114" t="str">
        <f t="shared" si="7"/>
        <v>* differential.element[14].mapping[0].map = ".valueCodeableConcept = http://terminology.hl7.org/CodeSystem/data-absent-reason#unknown"</v>
      </c>
    </row>
    <row r="22" spans="1:14" ht="29.5" x14ac:dyDescent="0.75">
      <c r="A22" s="115">
        <v>0</v>
      </c>
      <c r="B22" s="115">
        <f>'Chemo-1'!A20</f>
        <v>14</v>
      </c>
      <c r="C22" s="116" t="str">
        <f>'Chemo-1'!B20</f>
        <v>productAdministration.cumulativeDose.notAvailable</v>
      </c>
      <c r="D22" s="115" t="s">
        <v>1244</v>
      </c>
      <c r="H22" s="113" t="b">
        <f t="shared" si="5"/>
        <v>1</v>
      </c>
      <c r="I22" s="114" t="str">
        <f t="shared" si="6"/>
        <v>* differential.element[14].mapping[0].identity = "fhir"</v>
      </c>
      <c r="J22" s="114" t="str">
        <f t="shared" si="7"/>
        <v>* differential.element[14].mapping[0].map = ".dataAbsentReason"</v>
      </c>
      <c r="K22" s="114" t="str">
        <f t="shared" si="3"/>
        <v/>
      </c>
      <c r="N22" s="113" t="str">
        <f t="shared" si="4"/>
        <v>* productAdministration.cumulativeDose.notAvailable -&gt; ".dataAbsentReason"</v>
      </c>
    </row>
    <row r="23" spans="1:14" ht="29.5" x14ac:dyDescent="0.75">
      <c r="A23" s="115">
        <v>0</v>
      </c>
      <c r="B23" s="115">
        <f>'Chemo-1'!A21</f>
        <v>15</v>
      </c>
      <c r="C23" s="116" t="str">
        <f>'Chemo-1'!B21</f>
        <v>productAdministration.cumulativeDose.measureType</v>
      </c>
      <c r="D23" s="115" t="s">
        <v>1245</v>
      </c>
      <c r="H23" s="113" t="b">
        <f t="shared" si="5"/>
        <v>1</v>
      </c>
      <c r="I23" s="114" t="str">
        <f t="shared" si="6"/>
        <v>* differential.element[15].mapping[0].identity = "fhir"</v>
      </c>
      <c r="J23" s="114" t="str">
        <f t="shared" si="7"/>
        <v>* differential.element[15].mapping[0].map = ".method"</v>
      </c>
      <c r="K23" s="114" t="str">
        <f t="shared" si="3"/>
        <v/>
      </c>
      <c r="N23" s="113" t="str">
        <f t="shared" si="4"/>
        <v>* productAdministration.cumulativeDose.measureType -&gt; ".method"</v>
      </c>
    </row>
    <row r="24" spans="1:14" ht="29.5" x14ac:dyDescent="0.75">
      <c r="A24" s="115">
        <v>0</v>
      </c>
      <c r="B24" s="115">
        <f>'Chemo-1'!A22</f>
        <v>16</v>
      </c>
      <c r="C24" s="116" t="str">
        <f>'Chemo-1'!B22</f>
        <v>productAdministration.cumulativeDose.completionStatus</v>
      </c>
      <c r="D24" s="115" t="s">
        <v>1246</v>
      </c>
      <c r="H24" s="113" t="b">
        <f t="shared" si="5"/>
        <v>1</v>
      </c>
      <c r="I24" s="114" t="str">
        <f t="shared" si="6"/>
        <v>* differential.element[16].mapping[0].identity = "fhir"</v>
      </c>
      <c r="J24" s="114" t="str">
        <f t="shared" si="7"/>
        <v>* differential.element[16].mapping[0].map = ".status = #preliminary"</v>
      </c>
      <c r="K24" s="114" t="str">
        <f t="shared" si="3"/>
        <v/>
      </c>
      <c r="N24" s="113" t="str">
        <f t="shared" si="4"/>
        <v>* productAdministration.cumulativeDose.completionStatus -&gt; ".status = #preliminary"</v>
      </c>
    </row>
    <row r="25" spans="1:14" ht="29.5" x14ac:dyDescent="0.75">
      <c r="A25" s="115">
        <v>0</v>
      </c>
      <c r="B25" s="115">
        <f>'Chemo-1'!A23</f>
        <v>17</v>
      </c>
      <c r="C25" s="116" t="str">
        <f>'Chemo-1'!B23</f>
        <v>productAdministration.cumulativeDose.statusReason</v>
      </c>
      <c r="D25" s="46" t="s">
        <v>1247</v>
      </c>
      <c r="H25" s="113" t="b">
        <f t="shared" si="5"/>
        <v>1</v>
      </c>
      <c r="I25" s="114" t="str">
        <f t="shared" si="6"/>
        <v>* differential.element[17].mapping[0].identity = "fhir"</v>
      </c>
      <c r="J25" s="114" t="str">
        <f t="shared" si="7"/>
        <v>* differential.element[17].mapping[0].map = ".extension('http://hl7.org/fhir/StructureDefinition/event-statusReason')"</v>
      </c>
      <c r="K25" s="114" t="str">
        <f t="shared" si="3"/>
        <v/>
      </c>
      <c r="N25" s="113" t="str">
        <f t="shared" si="4"/>
        <v>* productAdministration.cumulativeDose.statusReason -&gt; ".extension('http://hl7.org/fhir/StructureDefinition/event-statusReason')"</v>
      </c>
    </row>
    <row r="26" spans="1:14" ht="29.5" x14ac:dyDescent="0.75">
      <c r="A26" s="115">
        <v>0</v>
      </c>
      <c r="B26" s="115">
        <f>'Chemo-1'!A24</f>
        <v>18</v>
      </c>
      <c r="C26" s="116" t="str">
        <f>'Chemo-1'!B24</f>
        <v>productAdministration.cumulativeDose.value</v>
      </c>
      <c r="D26" s="115" t="s">
        <v>1248</v>
      </c>
      <c r="H26" s="113" t="b">
        <f t="shared" si="5"/>
        <v>1</v>
      </c>
      <c r="I26" s="114" t="str">
        <f t="shared" si="6"/>
        <v>* differential.element[18].mapping[0].identity = "fhir"</v>
      </c>
      <c r="J26" s="114" t="str">
        <f t="shared" si="7"/>
        <v>* differential.element[18].mapping[0].map = ".valueQuantity.value"</v>
      </c>
      <c r="K26" s="114" t="str">
        <f t="shared" si="3"/>
        <v/>
      </c>
      <c r="N26" s="113" t="str">
        <f t="shared" si="4"/>
        <v>* productAdministration.cumulativeDose.value -&gt; ".valueQuantity.value"</v>
      </c>
    </row>
    <row r="27" spans="1:14" ht="29.5" x14ac:dyDescent="0.75">
      <c r="A27" s="115">
        <v>0</v>
      </c>
      <c r="B27" s="115">
        <f>'Chemo-1'!A25</f>
        <v>19</v>
      </c>
      <c r="C27" s="116" t="str">
        <f>'Chemo-1'!B25</f>
        <v>productAdministration.cumulativeDose.unit</v>
      </c>
      <c r="D27" s="115" t="s">
        <v>1249</v>
      </c>
      <c r="H27" s="113" t="b">
        <f t="shared" ref="H27" si="8">IF(D27&gt;"",TRUE,FALSE)</f>
        <v>1</v>
      </c>
      <c r="I27" s="114" t="str">
        <f t="shared" ref="I27" si="9">IF(H27,CONCATENATE("* differential.element[",$B27,"].mapping[",$A27,"].identity = """,$G$1,""""),"")</f>
        <v>* differential.element[19].mapping[0].identity = "fhir"</v>
      </c>
      <c r="J27" s="114" t="str">
        <f t="shared" ref="J27" si="10">IF(H27,CONCATENATE("* differential.element[",$B27,"].mapping[",$A27,"].map = """,D27,""""),"")</f>
        <v>* differential.element[19].mapping[0].map = ".valueQuantity.unit (human readeable)"</v>
      </c>
      <c r="K27" s="114" t="str">
        <f t="shared" si="3"/>
        <v/>
      </c>
    </row>
    <row r="28" spans="1:14" ht="29.5" x14ac:dyDescent="0.75">
      <c r="A28" s="115">
        <v>1</v>
      </c>
      <c r="B28" s="115">
        <f>'Chemo-1'!A25</f>
        <v>19</v>
      </c>
      <c r="C28" s="116" t="str">
        <f>'Chemo-1'!B25</f>
        <v>productAdministration.cumulativeDose.unit</v>
      </c>
      <c r="D28" s="115" t="s">
        <v>1250</v>
      </c>
      <c r="H28" s="113" t="b">
        <f t="shared" ref="H28:H54" si="11">IF(D28&gt;"",TRUE,FALSE)</f>
        <v>1</v>
      </c>
      <c r="I28" s="114" t="str">
        <f t="shared" ref="I28:I54" si="12">IF(H28,CONCATENATE("* differential.element[",$B28,"].mapping[",$A28,"].identity = """,$G$1,""""),"")</f>
        <v>* differential.element[19].mapping[1].identity = "fhir"</v>
      </c>
      <c r="J28" s="114" t="str">
        <f t="shared" ref="J28:J54" si="13">IF(H28,CONCATENATE("* differential.element[",$B28,"].mapping[",$A28,"].map = """,D28,""""),"")</f>
        <v>* differential.element[19].mapping[1].map = ".valueQuantity.code (code)"</v>
      </c>
      <c r="K28" s="114" t="str">
        <f t="shared" si="3"/>
        <v/>
      </c>
      <c r="N28" s="113" t="str">
        <f>CONCATENATE("* ",C28," -&gt; """,D29,"""")</f>
        <v>* productAdministration.cumulativeDose.unit -&gt; "MedicationStatement.where(medicationCodeableConcept = 'http://www.whocc.no/atc|H02' and dosage.timing.repeat.boundsDuration.where( value='4' and code = 'w' and comparator ='&gt;' )"</v>
      </c>
    </row>
    <row r="29" spans="1:14" ht="29.5" x14ac:dyDescent="0.75">
      <c r="A29" s="115">
        <v>0</v>
      </c>
      <c r="B29" s="115">
        <f>'Chemo-1'!A26</f>
        <v>20</v>
      </c>
      <c r="C29" s="116" t="str">
        <f>'Chemo-1'!B26</f>
        <v>corticosteroids</v>
      </c>
      <c r="D29" s="116" t="s">
        <v>1235</v>
      </c>
      <c r="H29" s="113" t="b">
        <f t="shared" si="11"/>
        <v>1</v>
      </c>
      <c r="I29" s="114" t="str">
        <f t="shared" si="12"/>
        <v>* differential.element[20].mapping[0].identity = "fhir"</v>
      </c>
      <c r="J29" s="114" t="str">
        <f t="shared" si="13"/>
        <v>* differential.element[20].mapping[0].map = "MedicationStatement.where(medicationCodeableConcept = 'http://www.whocc.no/atc|H02' and dosage.timing.repeat.boundsDuration.where( value='4' and code = 'w' and comparator ='&gt;' )"</v>
      </c>
      <c r="K29" s="114" t="str">
        <f t="shared" si="3"/>
        <v/>
      </c>
      <c r="N29" s="113" t="str">
        <f>CONCATENATE("* ",C29," -&gt; """,D31,"""")</f>
        <v>* corticosteroids -&gt; ".exists()"</v>
      </c>
    </row>
    <row r="30" spans="1:14" ht="29.5" x14ac:dyDescent="0.75">
      <c r="A30" s="115">
        <v>0</v>
      </c>
      <c r="B30" s="115">
        <f>'Chemo-1'!A27</f>
        <v>21</v>
      </c>
      <c r="C30" s="116" t="str">
        <f>'Chemo-1'!B27</f>
        <v>intrathecalInjections</v>
      </c>
      <c r="D30" s="115" t="s">
        <v>1219</v>
      </c>
      <c r="H30" s="113" t="b">
        <f t="shared" si="11"/>
        <v>1</v>
      </c>
      <c r="I30" s="114" t="str">
        <f t="shared" si="12"/>
        <v>* differential.element[21].mapping[0].identity = "fhir"</v>
      </c>
      <c r="J30" s="114" t="str">
        <f t="shared" si="13"/>
        <v>* differential.element[21].mapping[0].map = "MedicationStatement.where(dosage.route = https://standardterms.edqm.eu|20042000)"</v>
      </c>
      <c r="K30" s="114" t="str">
        <f t="shared" si="3"/>
        <v/>
      </c>
      <c r="N30" s="113" t="str">
        <f>CONCATENATE("* ",C30," -&gt; """,D30,"""")</f>
        <v>* intrathecalInjections -&gt; "MedicationStatement.where(dosage.route = https://standardterms.edqm.eu|20042000)"</v>
      </c>
    </row>
    <row r="31" spans="1:14" ht="29.5" x14ac:dyDescent="0.75">
      <c r="A31" s="115">
        <v>0</v>
      </c>
      <c r="B31" s="115">
        <f>'Chemo-1'!A28</f>
        <v>22</v>
      </c>
      <c r="C31" s="116" t="str">
        <f>'Chemo-1'!B28</f>
        <v>intrathecalInjections.status</v>
      </c>
      <c r="D31" s="115" t="s">
        <v>1212</v>
      </c>
      <c r="H31" s="113" t="b">
        <f t="shared" si="11"/>
        <v>1</v>
      </c>
      <c r="I31" s="114" t="str">
        <f t="shared" si="12"/>
        <v>* differential.element[22].mapping[0].identity = "fhir"</v>
      </c>
      <c r="J31" s="114" t="str">
        <f t="shared" si="13"/>
        <v>* differential.element[22].mapping[0].map = ".exists()"</v>
      </c>
      <c r="K31" s="114" t="str">
        <f t="shared" si="3"/>
        <v/>
      </c>
    </row>
    <row r="32" spans="1:14" ht="29.5" x14ac:dyDescent="0.75">
      <c r="A32" s="115">
        <v>0</v>
      </c>
      <c r="B32" s="115">
        <f>'Chemo-1'!A29</f>
        <v>23</v>
      </c>
      <c r="C32" s="116" t="str">
        <f>'Chemo-1'!B29</f>
        <v>intrathecalInjections.number</v>
      </c>
      <c r="D32" s="115" t="s">
        <v>1238</v>
      </c>
      <c r="H32" s="113" t="b">
        <f t="shared" si="11"/>
        <v>1</v>
      </c>
      <c r="I32" s="114" t="str">
        <f t="shared" si="12"/>
        <v>* differential.element[23].mapping[0].identity = "fhir"</v>
      </c>
      <c r="J32" s="114" t="str">
        <f t="shared" si="13"/>
        <v>* differential.element[23].mapping[0].map = ".dosage.timing.repeat.count"</v>
      </c>
      <c r="K32" s="114" t="str">
        <f t="shared" si="3"/>
        <v/>
      </c>
    </row>
    <row r="33" spans="1:14" ht="29.5" x14ac:dyDescent="0.75">
      <c r="A33" s="115">
        <v>1</v>
      </c>
      <c r="B33" s="115">
        <f>'Chemo-1'!A29</f>
        <v>23</v>
      </c>
      <c r="C33" s="116" t="str">
        <f>'Chemo-1'!B29</f>
        <v>intrathecalInjections.number</v>
      </c>
      <c r="D33" s="116" t="s">
        <v>1237</v>
      </c>
      <c r="H33" s="113" t="b">
        <f t="shared" si="11"/>
        <v>1</v>
      </c>
      <c r="I33" s="114" t="str">
        <f t="shared" si="12"/>
        <v>* differential.element[23].mapping[1].identity = "fhir"</v>
      </c>
      <c r="J33" s="114" t="str">
        <f t="shared" si="13"/>
        <v>* differential.element[23].mapping[1].map = ".count()"</v>
      </c>
      <c r="K33" s="114" t="str">
        <f t="shared" si="3"/>
        <v/>
      </c>
      <c r="N33" s="113" t="str">
        <f>CONCATENATE("* ",C33," -&gt; """,D33,"""")</f>
        <v>* intrathecalInjections.number -&gt; ".count()"</v>
      </c>
    </row>
    <row r="34" spans="1:14" ht="29.5" x14ac:dyDescent="0.75">
      <c r="A34" s="115">
        <v>0</v>
      </c>
      <c r="B34" s="115">
        <f>'Chemo-1'!A30</f>
        <v>24</v>
      </c>
      <c r="C34" s="116" t="str">
        <f>'Chemo-1'!B30</f>
        <v>intrathecalInjections.productName</v>
      </c>
      <c r="D34" s="115" t="s">
        <v>1211</v>
      </c>
      <c r="H34" s="113" t="b">
        <f t="shared" si="11"/>
        <v>1</v>
      </c>
      <c r="I34" s="114" t="str">
        <f t="shared" si="12"/>
        <v>* differential.element[24].mapping[0].identity = "fhir"</v>
      </c>
      <c r="J34" s="114" t="str">
        <f t="shared" si="13"/>
        <v>* differential.element[24].mapping[0].map = ".medicationCodeableConcept.text"</v>
      </c>
      <c r="K34" s="114" t="str">
        <f t="shared" si="3"/>
        <v/>
      </c>
      <c r="N34" s="113" t="str">
        <f>CONCATENATE("* ",C34," -&gt; """,D34,"""")</f>
        <v>* intrathecalInjections.productName -&gt; ".medicationCodeableConcept.text"</v>
      </c>
    </row>
    <row r="35" spans="1:14" ht="29.5" x14ac:dyDescent="0.75">
      <c r="A35" s="115">
        <v>0</v>
      </c>
      <c r="B35" s="115">
        <f>'Chemo-1'!A31</f>
        <v>25</v>
      </c>
      <c r="C35" s="116" t="str">
        <f>'Chemo-1'!B31</f>
        <v>otherTreatments</v>
      </c>
      <c r="D35" s="115" t="s">
        <v>1210</v>
      </c>
      <c r="H35" s="113" t="b">
        <f t="shared" si="11"/>
        <v>1</v>
      </c>
      <c r="I35" s="114" t="str">
        <f t="shared" si="12"/>
        <v>* differential.element[25].mapping[0].identity = "fhir"</v>
      </c>
      <c r="J35" s="114" t="str">
        <f t="shared" si="13"/>
        <v>* differential.element[25].mapping[0].map = "MedicationStatement"</v>
      </c>
      <c r="K35" s="114" t="str">
        <f t="shared" si="3"/>
        <v/>
      </c>
      <c r="N35" s="113" t="str">
        <f>CONCATENATE("* ",C35," -&gt; """,D35,"""")</f>
        <v>* otherTreatments -&gt; "MedicationStatement"</v>
      </c>
    </row>
    <row r="36" spans="1:14" ht="29.5" x14ac:dyDescent="0.75">
      <c r="A36" s="115">
        <v>0</v>
      </c>
      <c r="B36" s="115">
        <f>'Chemo-1'!A32</f>
        <v>26</v>
      </c>
      <c r="C36" s="116" t="str">
        <f>'Chemo-1'!B32</f>
        <v>otherTreatments.productName</v>
      </c>
      <c r="D36" s="115" t="s">
        <v>1211</v>
      </c>
      <c r="H36" s="113" t="b">
        <f t="shared" si="11"/>
        <v>1</v>
      </c>
      <c r="I36" s="114" t="str">
        <f t="shared" si="12"/>
        <v>* differential.element[26].mapping[0].identity = "fhir"</v>
      </c>
      <c r="J36" s="114" t="str">
        <f t="shared" si="13"/>
        <v>* differential.element[26].mapping[0].map = ".medicationCodeableConcept.text"</v>
      </c>
      <c r="K36" s="114" t="str">
        <f t="shared" si="3"/>
        <v/>
      </c>
      <c r="N36" s="113" t="str">
        <f>CONCATENATE("* ",C36," -&gt; """,D36,"""")</f>
        <v>* otherTreatments.productName -&gt; ".medicationCodeableConcept.text"</v>
      </c>
    </row>
    <row r="37" spans="1:14" x14ac:dyDescent="0.75">
      <c r="A37" s="115">
        <v>0</v>
      </c>
      <c r="B37" s="115"/>
      <c r="C37" s="116"/>
      <c r="H37" s="113" t="b">
        <f t="shared" si="11"/>
        <v>0</v>
      </c>
      <c r="I37" s="114" t="str">
        <f t="shared" si="12"/>
        <v/>
      </c>
      <c r="J37" s="114" t="str">
        <f t="shared" si="13"/>
        <v/>
      </c>
      <c r="K37" s="114" t="str">
        <f t="shared" si="3"/>
        <v/>
      </c>
      <c r="N37" s="113" t="e">
        <f>CONCATENATE("* ",C37," -&gt; """,#REF!,"""")</f>
        <v>#REF!</v>
      </c>
    </row>
    <row r="38" spans="1:14" x14ac:dyDescent="0.75">
      <c r="A38" s="115">
        <v>0</v>
      </c>
      <c r="B38" s="115"/>
      <c r="C38" s="116"/>
      <c r="D38" s="115"/>
      <c r="H38" s="113" t="b">
        <f t="shared" si="11"/>
        <v>0</v>
      </c>
      <c r="I38" s="114" t="str">
        <f t="shared" si="12"/>
        <v/>
      </c>
      <c r="J38" s="114" t="str">
        <f t="shared" si="13"/>
        <v/>
      </c>
      <c r="K38" s="114" t="str">
        <f t="shared" si="3"/>
        <v/>
      </c>
      <c r="N38" s="113" t="str">
        <f t="shared" si="4"/>
        <v>*  -&gt; ""</v>
      </c>
    </row>
    <row r="39" spans="1:14" x14ac:dyDescent="0.75">
      <c r="A39" s="115">
        <v>0</v>
      </c>
      <c r="B39" s="115"/>
      <c r="C39" s="116"/>
      <c r="D39" s="116"/>
      <c r="H39" s="113" t="b">
        <f t="shared" si="11"/>
        <v>0</v>
      </c>
      <c r="I39" s="114" t="str">
        <f t="shared" si="12"/>
        <v/>
      </c>
      <c r="J39" s="114" t="str">
        <f t="shared" si="13"/>
        <v/>
      </c>
      <c r="K39" s="114" t="str">
        <f t="shared" si="3"/>
        <v/>
      </c>
      <c r="N39" s="113" t="str">
        <f t="shared" si="4"/>
        <v>*  -&gt; ""</v>
      </c>
    </row>
    <row r="40" spans="1:14" x14ac:dyDescent="0.75">
      <c r="A40" s="115">
        <v>0</v>
      </c>
      <c r="B40" s="115"/>
      <c r="C40" s="116"/>
      <c r="D40" s="115"/>
      <c r="H40" s="113" t="b">
        <f t="shared" si="11"/>
        <v>0</v>
      </c>
      <c r="I40" s="114" t="str">
        <f t="shared" si="12"/>
        <v/>
      </c>
      <c r="J40" s="114" t="str">
        <f t="shared" si="13"/>
        <v/>
      </c>
      <c r="K40" s="114" t="str">
        <f t="shared" si="3"/>
        <v/>
      </c>
      <c r="N40" s="113" t="str">
        <f t="shared" si="4"/>
        <v>*  -&gt; ""</v>
      </c>
    </row>
    <row r="41" spans="1:14" x14ac:dyDescent="0.75">
      <c r="A41" s="115">
        <v>0</v>
      </c>
      <c r="B41" s="115"/>
      <c r="C41" s="116"/>
      <c r="D41" s="115"/>
      <c r="H41" s="113" t="b">
        <f t="shared" si="11"/>
        <v>0</v>
      </c>
      <c r="I41" s="114" t="str">
        <f t="shared" si="12"/>
        <v/>
      </c>
      <c r="J41" s="114" t="str">
        <f t="shared" si="13"/>
        <v/>
      </c>
      <c r="K41" s="114" t="str">
        <f t="shared" si="3"/>
        <v/>
      </c>
      <c r="N41" s="113" t="str">
        <f t="shared" si="4"/>
        <v>*  -&gt; ""</v>
      </c>
    </row>
    <row r="42" spans="1:14" x14ac:dyDescent="0.75">
      <c r="A42" s="115">
        <v>0</v>
      </c>
      <c r="B42" s="115"/>
      <c r="C42" s="116"/>
      <c r="D42" s="115"/>
      <c r="H42" s="113" t="b">
        <f t="shared" si="11"/>
        <v>0</v>
      </c>
      <c r="I42" s="114" t="str">
        <f t="shared" si="12"/>
        <v/>
      </c>
      <c r="J42" s="114" t="str">
        <f t="shared" si="13"/>
        <v/>
      </c>
      <c r="K42" s="114" t="str">
        <f t="shared" si="3"/>
        <v/>
      </c>
      <c r="N42" s="113" t="str">
        <f t="shared" si="4"/>
        <v>*  -&gt; ""</v>
      </c>
    </row>
    <row r="43" spans="1:14" x14ac:dyDescent="0.75">
      <c r="A43" s="115">
        <v>0</v>
      </c>
      <c r="B43" s="115"/>
      <c r="C43" s="116"/>
      <c r="D43" s="115"/>
      <c r="H43" s="113" t="b">
        <f t="shared" si="11"/>
        <v>0</v>
      </c>
      <c r="I43" s="114" t="str">
        <f t="shared" si="12"/>
        <v/>
      </c>
      <c r="J43" s="114" t="str">
        <f t="shared" si="13"/>
        <v/>
      </c>
      <c r="K43" s="114" t="str">
        <f t="shared" si="3"/>
        <v/>
      </c>
      <c r="N43" s="113" t="str">
        <f t="shared" si="4"/>
        <v>*  -&gt; ""</v>
      </c>
    </row>
    <row r="44" spans="1:14" x14ac:dyDescent="0.75">
      <c r="A44" s="115">
        <v>0</v>
      </c>
      <c r="B44" s="115"/>
      <c r="C44" s="116"/>
      <c r="D44" s="115"/>
      <c r="H44" s="113" t="b">
        <f t="shared" si="11"/>
        <v>0</v>
      </c>
      <c r="I44" s="114" t="str">
        <f t="shared" si="12"/>
        <v/>
      </c>
      <c r="J44" s="114" t="str">
        <f t="shared" si="13"/>
        <v/>
      </c>
      <c r="K44" s="114" t="str">
        <f t="shared" si="3"/>
        <v/>
      </c>
      <c r="N44" s="113" t="str">
        <f t="shared" si="4"/>
        <v>*  -&gt; ""</v>
      </c>
    </row>
    <row r="45" spans="1:14" x14ac:dyDescent="0.75">
      <c r="A45" s="115">
        <v>0</v>
      </c>
      <c r="B45" s="115"/>
      <c r="C45" s="116"/>
      <c r="D45" s="115"/>
      <c r="H45" s="113" t="b">
        <f t="shared" si="11"/>
        <v>0</v>
      </c>
      <c r="I45" s="114" t="str">
        <f t="shared" si="12"/>
        <v/>
      </c>
      <c r="J45" s="114" t="str">
        <f t="shared" si="13"/>
        <v/>
      </c>
      <c r="K45" s="114" t="str">
        <f t="shared" si="3"/>
        <v/>
      </c>
      <c r="N45" s="113" t="str">
        <f t="shared" si="4"/>
        <v>*  -&gt; ""</v>
      </c>
    </row>
    <row r="46" spans="1:14" x14ac:dyDescent="0.75">
      <c r="A46" s="115"/>
      <c r="B46" s="115"/>
      <c r="C46" s="116"/>
      <c r="D46" s="115"/>
      <c r="H46" s="113" t="b">
        <f t="shared" si="11"/>
        <v>0</v>
      </c>
      <c r="I46" s="114" t="str">
        <f t="shared" si="12"/>
        <v/>
      </c>
      <c r="J46" s="114" t="str">
        <f t="shared" si="13"/>
        <v/>
      </c>
      <c r="K46" s="114" t="str">
        <f t="shared" si="3"/>
        <v/>
      </c>
    </row>
    <row r="47" spans="1:14" x14ac:dyDescent="0.75">
      <c r="A47" s="115"/>
      <c r="B47" s="115"/>
      <c r="C47" s="116"/>
      <c r="D47" s="115"/>
      <c r="H47" s="113" t="b">
        <f t="shared" si="11"/>
        <v>0</v>
      </c>
      <c r="I47" s="114" t="str">
        <f t="shared" si="12"/>
        <v/>
      </c>
      <c r="J47" s="114" t="str">
        <f t="shared" si="13"/>
        <v/>
      </c>
      <c r="K47" s="114" t="str">
        <f t="shared" si="3"/>
        <v/>
      </c>
    </row>
    <row r="48" spans="1:14" x14ac:dyDescent="0.75">
      <c r="A48" s="115"/>
      <c r="B48" s="115"/>
      <c r="C48" s="116"/>
      <c r="D48" s="115"/>
      <c r="H48" s="113" t="b">
        <f t="shared" si="11"/>
        <v>0</v>
      </c>
      <c r="I48" s="114" t="str">
        <f t="shared" si="12"/>
        <v/>
      </c>
      <c r="J48" s="114" t="str">
        <f t="shared" si="13"/>
        <v/>
      </c>
      <c r="K48" s="114" t="str">
        <f t="shared" si="3"/>
        <v/>
      </c>
    </row>
    <row r="49" spans="1:11" x14ac:dyDescent="0.75">
      <c r="A49" s="115"/>
      <c r="B49" s="115"/>
      <c r="C49" s="116"/>
      <c r="D49" s="115"/>
      <c r="H49" s="113" t="b">
        <f t="shared" si="11"/>
        <v>0</v>
      </c>
      <c r="I49" s="114" t="str">
        <f t="shared" si="12"/>
        <v/>
      </c>
      <c r="J49" s="114" t="str">
        <f t="shared" si="13"/>
        <v/>
      </c>
      <c r="K49" s="114" t="str">
        <f t="shared" si="3"/>
        <v/>
      </c>
    </row>
    <row r="50" spans="1:11" x14ac:dyDescent="0.75">
      <c r="C50" s="113"/>
      <c r="H50" s="113" t="b">
        <f t="shared" si="11"/>
        <v>0</v>
      </c>
      <c r="I50" s="114" t="str">
        <f t="shared" si="12"/>
        <v/>
      </c>
      <c r="J50" s="114" t="str">
        <f t="shared" si="13"/>
        <v/>
      </c>
      <c r="K50" s="114" t="str">
        <f t="shared" si="3"/>
        <v/>
      </c>
    </row>
    <row r="51" spans="1:11" x14ac:dyDescent="0.75">
      <c r="C51" s="113"/>
      <c r="H51" s="113" t="b">
        <f t="shared" si="11"/>
        <v>0</v>
      </c>
      <c r="I51" s="114" t="str">
        <f t="shared" si="12"/>
        <v/>
      </c>
      <c r="J51" s="114" t="str">
        <f t="shared" si="13"/>
        <v/>
      </c>
      <c r="K51" s="114" t="str">
        <f t="shared" si="3"/>
        <v/>
      </c>
    </row>
    <row r="52" spans="1:11" x14ac:dyDescent="0.75">
      <c r="C52" s="113"/>
      <c r="H52" s="113" t="b">
        <f t="shared" si="11"/>
        <v>0</v>
      </c>
      <c r="I52" s="114" t="str">
        <f t="shared" si="12"/>
        <v/>
      </c>
      <c r="J52" s="114" t="str">
        <f t="shared" si="13"/>
        <v/>
      </c>
      <c r="K52" s="114" t="str">
        <f t="shared" si="3"/>
        <v/>
      </c>
    </row>
    <row r="53" spans="1:11" x14ac:dyDescent="0.75">
      <c r="C53" s="113"/>
      <c r="H53" s="113" t="b">
        <f t="shared" si="11"/>
        <v>0</v>
      </c>
      <c r="I53" s="114" t="str">
        <f t="shared" si="12"/>
        <v/>
      </c>
      <c r="J53" s="114" t="str">
        <f t="shared" si="13"/>
        <v/>
      </c>
      <c r="K53" s="114" t="str">
        <f t="shared" si="3"/>
        <v/>
      </c>
    </row>
    <row r="54" spans="1:11" x14ac:dyDescent="0.75">
      <c r="C54" s="113"/>
      <c r="H54" s="113" t="b">
        <f t="shared" si="11"/>
        <v>0</v>
      </c>
      <c r="I54" s="114" t="str">
        <f t="shared" si="12"/>
        <v/>
      </c>
      <c r="J54" s="114" t="str">
        <f t="shared" si="13"/>
        <v/>
      </c>
      <c r="K54" s="114" t="str">
        <f t="shared" si="3"/>
        <v/>
      </c>
    </row>
    <row r="55" spans="1:11" x14ac:dyDescent="0.75">
      <c r="C55" s="113"/>
    </row>
    <row r="56" spans="1:11" x14ac:dyDescent="0.75">
      <c r="C56" s="113"/>
    </row>
    <row r="57" spans="1:11" x14ac:dyDescent="0.75">
      <c r="C57" s="113"/>
    </row>
    <row r="58" spans="1:11" x14ac:dyDescent="0.75">
      <c r="C58" s="113"/>
    </row>
    <row r="59" spans="1:11" x14ac:dyDescent="0.75">
      <c r="C59" s="113"/>
    </row>
    <row r="60" spans="1:11" x14ac:dyDescent="0.75">
      <c r="C60" s="113"/>
    </row>
    <row r="61" spans="1:11" x14ac:dyDescent="0.75">
      <c r="C61" s="113"/>
    </row>
    <row r="62" spans="1:11" x14ac:dyDescent="0.75">
      <c r="C62" s="113"/>
    </row>
    <row r="63" spans="1:11" x14ac:dyDescent="0.75">
      <c r="C63" s="113"/>
    </row>
    <row r="64" spans="1:11" x14ac:dyDescent="0.75">
      <c r="C64" s="113"/>
    </row>
    <row r="65" spans="3:3" x14ac:dyDescent="0.75">
      <c r="C65" s="113"/>
    </row>
    <row r="66" spans="3:3" x14ac:dyDescent="0.75">
      <c r="C66" s="113"/>
    </row>
    <row r="67" spans="3:3" x14ac:dyDescent="0.75">
      <c r="C67" s="113"/>
    </row>
    <row r="68" spans="3:3" x14ac:dyDescent="0.75">
      <c r="C68" s="113"/>
    </row>
    <row r="69" spans="3:3" x14ac:dyDescent="0.75">
      <c r="C69" s="113"/>
    </row>
    <row r="70" spans="3:3" x14ac:dyDescent="0.75">
      <c r="C70" s="113"/>
    </row>
    <row r="71" spans="3:3" x14ac:dyDescent="0.75">
      <c r="C71" s="113"/>
    </row>
    <row r="72" spans="3:3" x14ac:dyDescent="0.75">
      <c r="C72" s="113"/>
    </row>
    <row r="73" spans="3:3" x14ac:dyDescent="0.75">
      <c r="C73" s="113"/>
    </row>
    <row r="74" spans="3:3" x14ac:dyDescent="0.75">
      <c r="C74" s="113"/>
    </row>
    <row r="75" spans="3:3" x14ac:dyDescent="0.75">
      <c r="C75" s="113"/>
    </row>
    <row r="76" spans="3:3" x14ac:dyDescent="0.75">
      <c r="C76" s="113"/>
    </row>
    <row r="77" spans="3:3" x14ac:dyDescent="0.75">
      <c r="C77" s="113"/>
    </row>
    <row r="78" spans="3:3" x14ac:dyDescent="0.75">
      <c r="C78" s="113"/>
    </row>
    <row r="79" spans="3:3" x14ac:dyDescent="0.75">
      <c r="C79" s="113"/>
    </row>
    <row r="80" spans="3:3" x14ac:dyDescent="0.75">
      <c r="C80" s="113"/>
    </row>
    <row r="81" spans="2:3" x14ac:dyDescent="0.75">
      <c r="C81" s="113"/>
    </row>
    <row r="82" spans="2:3" x14ac:dyDescent="0.75">
      <c r="C82" s="113"/>
    </row>
    <row r="83" spans="2:3" x14ac:dyDescent="0.75">
      <c r="C83" s="113"/>
    </row>
    <row r="84" spans="2:3" x14ac:dyDescent="0.75">
      <c r="B84" s="113">
        <f>'Base-1'!A66</f>
        <v>0</v>
      </c>
      <c r="C84" s="114">
        <f>'Base-1'!B66</f>
        <v>0</v>
      </c>
    </row>
    <row r="85" spans="2:3" x14ac:dyDescent="0.75">
      <c r="B85" s="113">
        <f>'Base-1'!A67</f>
        <v>0</v>
      </c>
      <c r="C85" s="114">
        <f>'Base-1'!B67</f>
        <v>0</v>
      </c>
    </row>
    <row r="86" spans="2:3" x14ac:dyDescent="0.75">
      <c r="B86" s="113">
        <f>'Base-1'!A68</f>
        <v>0</v>
      </c>
      <c r="C86" s="114">
        <f>'Base-1'!B68</f>
        <v>0</v>
      </c>
    </row>
    <row r="87" spans="2:3" x14ac:dyDescent="0.75">
      <c r="B87" s="113">
        <f>'Base-1'!A69</f>
        <v>0</v>
      </c>
      <c r="C87" s="114">
        <f>'Base-1'!B69</f>
        <v>0</v>
      </c>
    </row>
    <row r="88" spans="2:3" x14ac:dyDescent="0.75">
      <c r="B88" s="113">
        <f>'Base-1'!A70</f>
        <v>0</v>
      </c>
      <c r="C88" s="114">
        <f>'Base-1'!B70</f>
        <v>0</v>
      </c>
    </row>
    <row r="89" spans="2:3" x14ac:dyDescent="0.75">
      <c r="B89" s="113">
        <f>'Base-1'!A71</f>
        <v>0</v>
      </c>
      <c r="C89" s="114">
        <f>'Base-1'!B71</f>
        <v>0</v>
      </c>
    </row>
    <row r="90" spans="2:3" x14ac:dyDescent="0.75">
      <c r="B90" s="113">
        <f>'Base-1'!A72</f>
        <v>0</v>
      </c>
      <c r="C90" s="114">
        <f>'Base-1'!B72</f>
        <v>0</v>
      </c>
    </row>
    <row r="91" spans="2:3" x14ac:dyDescent="0.75">
      <c r="B91" s="113">
        <f>'Base-1'!A73</f>
        <v>0</v>
      </c>
      <c r="C91" s="114">
        <f>'Base-1'!B73</f>
        <v>0</v>
      </c>
    </row>
    <row r="92" spans="2:3" x14ac:dyDescent="0.75">
      <c r="B92" s="113">
        <f>'Base-1'!A74</f>
        <v>0</v>
      </c>
      <c r="C92" s="114">
        <f>'Base-1'!B74</f>
        <v>0</v>
      </c>
    </row>
    <row r="93" spans="2:3" x14ac:dyDescent="0.75">
      <c r="B93" s="113">
        <f>'Base-1'!A75</f>
        <v>0</v>
      </c>
      <c r="C93" s="114">
        <f>'Base-1'!B75</f>
        <v>0</v>
      </c>
    </row>
    <row r="94" spans="2:3" x14ac:dyDescent="0.75">
      <c r="B94" s="113">
        <f>'Base-1'!A76</f>
        <v>0</v>
      </c>
      <c r="C94" s="114">
        <f>'Base-1'!B76</f>
        <v>0</v>
      </c>
    </row>
    <row r="95" spans="2:3" x14ac:dyDescent="0.75">
      <c r="B95" s="113">
        <f>'Base-1'!A77</f>
        <v>0</v>
      </c>
      <c r="C95" s="114">
        <f>'Base-1'!B77</f>
        <v>0</v>
      </c>
    </row>
    <row r="96" spans="2:3" x14ac:dyDescent="0.75">
      <c r="B96" s="113">
        <f>'Base-1'!A78</f>
        <v>0</v>
      </c>
      <c r="C96" s="114">
        <f>'Base-1'!B78</f>
        <v>0</v>
      </c>
    </row>
    <row r="97" spans="2:3" x14ac:dyDescent="0.75">
      <c r="B97" s="113">
        <f>'Base-1'!A79</f>
        <v>0</v>
      </c>
      <c r="C97" s="114">
        <f>'Base-1'!B79</f>
        <v>0</v>
      </c>
    </row>
    <row r="98" spans="2:3" x14ac:dyDescent="0.75">
      <c r="B98" s="113">
        <f>'Base-1'!A80</f>
        <v>0</v>
      </c>
      <c r="C98" s="114">
        <f>'Base-1'!B80</f>
        <v>0</v>
      </c>
    </row>
    <row r="99" spans="2:3" x14ac:dyDescent="0.75">
      <c r="B99" s="113">
        <f>'Base-1'!A81</f>
        <v>0</v>
      </c>
      <c r="C99" s="114">
        <f>'Base-1'!B81</f>
        <v>0</v>
      </c>
    </row>
    <row r="100" spans="2:3" x14ac:dyDescent="0.75">
      <c r="B100" s="113">
        <f>'Base-1'!A82</f>
        <v>0</v>
      </c>
      <c r="C100" s="114">
        <f>'Base-1'!B82</f>
        <v>0</v>
      </c>
    </row>
    <row r="101" spans="2:3" x14ac:dyDescent="0.75">
      <c r="B101" s="113">
        <f>'Base-1'!A83</f>
        <v>0</v>
      </c>
      <c r="C101" s="114">
        <f>'Base-1'!B83</f>
        <v>0</v>
      </c>
    </row>
    <row r="102" spans="2:3" x14ac:dyDescent="0.75">
      <c r="B102" s="113">
        <f>'Base-1'!A84</f>
        <v>0</v>
      </c>
      <c r="C102" s="114">
        <f>'Base-1'!B84</f>
        <v>0</v>
      </c>
    </row>
    <row r="103" spans="2:3" x14ac:dyDescent="0.75">
      <c r="B103" s="113">
        <f>'Base-1'!A85</f>
        <v>0</v>
      </c>
      <c r="C103" s="114">
        <f>'Base-1'!B85</f>
        <v>0</v>
      </c>
    </row>
    <row r="104" spans="2:3" x14ac:dyDescent="0.75">
      <c r="B104" s="113">
        <f>'Base-1'!A86</f>
        <v>0</v>
      </c>
      <c r="C104" s="114">
        <f>'Base-1'!B86</f>
        <v>0</v>
      </c>
    </row>
    <row r="105" spans="2:3" x14ac:dyDescent="0.75">
      <c r="B105" s="113">
        <f>'Base-1'!A87</f>
        <v>0</v>
      </c>
      <c r="C105" s="114">
        <f>'Base-1'!B87</f>
        <v>0</v>
      </c>
    </row>
    <row r="106" spans="2:3" x14ac:dyDescent="0.75">
      <c r="B106" s="113">
        <f>'Base-1'!A88</f>
        <v>0</v>
      </c>
      <c r="C106" s="114">
        <f>'Base-1'!B88</f>
        <v>0</v>
      </c>
    </row>
    <row r="107" spans="2:3" x14ac:dyDescent="0.75">
      <c r="B107" s="113">
        <f>'Base-1'!A89</f>
        <v>0</v>
      </c>
      <c r="C107" s="114">
        <f>'Base-1'!B89</f>
        <v>0</v>
      </c>
    </row>
    <row r="108" spans="2:3" x14ac:dyDescent="0.75">
      <c r="B108" s="113">
        <f>'Base-1'!A90</f>
        <v>0</v>
      </c>
      <c r="C108" s="114">
        <f>'Base-1'!B90</f>
        <v>0</v>
      </c>
    </row>
    <row r="109" spans="2:3" x14ac:dyDescent="0.75">
      <c r="B109" s="113">
        <f>'Base-1'!A91</f>
        <v>0</v>
      </c>
      <c r="C109" s="114">
        <f>'Base-1'!B91</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workbookViewId="0">
      <selection activeCell="D3" sqref="D3"/>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1:5" x14ac:dyDescent="0.75">
      <c r="D2" s="8"/>
    </row>
    <row r="3" spans="1:5" x14ac:dyDescent="0.75">
      <c r="A3" s="115">
        <v>1</v>
      </c>
      <c r="B3" s="115">
        <f>IF(MOD(A3,3)=0,A3/3-1,INT(A3/3))</f>
        <v>0</v>
      </c>
      <c r="C3" s="115">
        <f>IF(MOD(A3,3)=0,3,MOD(A3,3))</f>
        <v>1</v>
      </c>
      <c r="D3" s="113" t="str" cm="1">
        <f t="array" ref="D3">INDEX('Chemo-Map-1'!$I$7:$K$104,1+B3,C3)</f>
        <v>* differential.element[0].mapping[0].identity = "fhir"</v>
      </c>
      <c r="E3" s="113" t="str">
        <f>INDEX('Chemo-Map-1'!$I$8:$K$17,1,1)</f>
        <v>* differential.element[1].mapping[0].identity = "fhir"</v>
      </c>
    </row>
    <row r="4" spans="1:5" x14ac:dyDescent="0.75">
      <c r="A4" s="115">
        <v>2</v>
      </c>
      <c r="B4" s="115">
        <f t="shared" ref="B4:B67" si="0">IF(MOD(A4,3)=0,A4/3-1,INT(A4/3))</f>
        <v>0</v>
      </c>
      <c r="C4" s="115">
        <f t="shared" ref="C4:C67" si="1">IF(MOD(A4,3)=0,3,MOD(A4,3))</f>
        <v>2</v>
      </c>
      <c r="D4" s="113" t="str" cm="1">
        <f t="array" ref="D4">INDEX('Chemo-Map-1'!$I$7:$K$104,1+B4,C4)</f>
        <v>* differential.element[0].mapping[0].map = "MedicationAdministration.conformsTo('http://hl7.eu/fhir/ig/pcsp/StructureDefinition/MedicationAdministration-eu-pcsp')"</v>
      </c>
    </row>
    <row r="5" spans="1:5" x14ac:dyDescent="0.75">
      <c r="A5" s="115">
        <v>3</v>
      </c>
      <c r="B5" s="115">
        <f t="shared" si="0"/>
        <v>0</v>
      </c>
      <c r="C5" s="115">
        <f t="shared" si="1"/>
        <v>3</v>
      </c>
      <c r="D5" s="113" t="str" cm="1">
        <f t="array" ref="D5">INDEX('Chemo-Map-1'!$I$7:$K$104,1+B5,C5)</f>
        <v/>
      </c>
    </row>
    <row r="6" spans="1:5" x14ac:dyDescent="0.75">
      <c r="A6" s="115">
        <v>4</v>
      </c>
      <c r="B6" s="115">
        <f t="shared" si="0"/>
        <v>1</v>
      </c>
      <c r="C6" s="115">
        <f t="shared" si="1"/>
        <v>1</v>
      </c>
      <c r="D6" s="113" t="str" cm="1">
        <f t="array" ref="D6">INDEX('Chemo-Map-1'!$I$7:$K$104,1+B6,C6)</f>
        <v>* differential.element[1].mapping[0].identity = "fhir"</v>
      </c>
    </row>
    <row r="7" spans="1:5" x14ac:dyDescent="0.75">
      <c r="A7" s="115">
        <v>5</v>
      </c>
      <c r="B7" s="115">
        <f t="shared" si="0"/>
        <v>1</v>
      </c>
      <c r="C7" s="115">
        <f t="shared" si="1"/>
        <v>2</v>
      </c>
      <c r="D7" s="113" t="str" cm="1">
        <f t="array" ref="D7">INDEX('Chemo-Map-1'!$I$7:$K$104,1+B7,C7)</f>
        <v>* differential.element[1].mapping[0].map = ".reasonReference"</v>
      </c>
    </row>
    <row r="8" spans="1:5" x14ac:dyDescent="0.75">
      <c r="A8" s="115">
        <v>6</v>
      </c>
      <c r="B8" s="115">
        <f t="shared" si="0"/>
        <v>1</v>
      </c>
      <c r="C8" s="115">
        <f t="shared" si="1"/>
        <v>3</v>
      </c>
      <c r="D8" s="113" t="str" cm="1">
        <f t="array" ref="D8">INDEX('Chemo-Map-1'!$I$7:$K$104,1+B8,C8)</f>
        <v/>
      </c>
    </row>
    <row r="9" spans="1:5" x14ac:dyDescent="0.75">
      <c r="A9" s="115">
        <v>7</v>
      </c>
      <c r="B9" s="115">
        <f t="shared" si="0"/>
        <v>2</v>
      </c>
      <c r="C9" s="115">
        <f t="shared" si="1"/>
        <v>1</v>
      </c>
      <c r="D9" s="113" t="str" cm="1">
        <f t="array" ref="D9">INDEX('Chemo-Map-1'!$I$7:$K$104,1+B9,C9)</f>
        <v>* differential.element[2].mapping[0].identity = "fhir"</v>
      </c>
    </row>
    <row r="10" spans="1:5" x14ac:dyDescent="0.75">
      <c r="A10" s="115">
        <v>8</v>
      </c>
      <c r="B10" s="115">
        <f t="shared" si="0"/>
        <v>2</v>
      </c>
      <c r="C10" s="115">
        <f t="shared" si="1"/>
        <v>2</v>
      </c>
      <c r="D10" s="113" t="str" cm="1">
        <f t="array" ref="D10">INDEX('Chemo-Map-1'!$I$7:$K$104,1+B10,C10)</f>
        <v>* differential.element[2].mapping[0].map = ".effectivePeriod.start"</v>
      </c>
    </row>
    <row r="11" spans="1:5" x14ac:dyDescent="0.75">
      <c r="A11" s="115">
        <v>9</v>
      </c>
      <c r="B11" s="115">
        <f t="shared" si="0"/>
        <v>2</v>
      </c>
      <c r="C11" s="115">
        <f t="shared" si="1"/>
        <v>3</v>
      </c>
      <c r="D11" s="113" t="str" cm="1">
        <f t="array" ref="D11">INDEX('Chemo-Map-1'!$I$7:$K$104,1+B11,C11)</f>
        <v/>
      </c>
    </row>
    <row r="12" spans="1:5" x14ac:dyDescent="0.75">
      <c r="A12" s="115">
        <v>10</v>
      </c>
      <c r="B12" s="115">
        <f t="shared" si="0"/>
        <v>3</v>
      </c>
      <c r="C12" s="115">
        <f t="shared" si="1"/>
        <v>1</v>
      </c>
      <c r="D12" s="113" t="str" cm="1">
        <f t="array" ref="D12">INDEX('Chemo-Map-1'!$I$7:$K$104,1+B12,C12)</f>
        <v>* differential.element[3].mapping[0].identity = "fhir"</v>
      </c>
    </row>
    <row r="13" spans="1:5" x14ac:dyDescent="0.75">
      <c r="A13" s="115">
        <v>11</v>
      </c>
      <c r="B13" s="115">
        <f t="shared" si="0"/>
        <v>3</v>
      </c>
      <c r="C13" s="115">
        <f t="shared" si="1"/>
        <v>2</v>
      </c>
      <c r="D13" s="113" t="str" cm="1">
        <f t="array" ref="D13">INDEX('Chemo-Map-1'!$I$7:$K$104,1+B13,C13)</f>
        <v>* differential.element[3].mapping[0].map = ".effectivePeriod.end"</v>
      </c>
    </row>
    <row r="14" spans="1:5" x14ac:dyDescent="0.75">
      <c r="A14" s="115">
        <v>12</v>
      </c>
      <c r="B14" s="115">
        <f t="shared" si="0"/>
        <v>3</v>
      </c>
      <c r="C14" s="115">
        <f t="shared" si="1"/>
        <v>3</v>
      </c>
      <c r="D14" s="113" t="str" cm="1">
        <f t="array" ref="D14">INDEX('Chemo-Map-1'!$I$7:$K$104,1+B14,C14)</f>
        <v/>
      </c>
    </row>
    <row r="15" spans="1:5" x14ac:dyDescent="0.75">
      <c r="A15" s="115">
        <v>13</v>
      </c>
      <c r="B15" s="115">
        <f t="shared" si="0"/>
        <v>4</v>
      </c>
      <c r="C15" s="115">
        <f t="shared" si="1"/>
        <v>1</v>
      </c>
      <c r="D15" s="113" t="str" cm="1">
        <f t="array" ref="D15">INDEX('Chemo-Map-1'!$I$7:$K$104,1+B15,C15)</f>
        <v>* differential.element[4].mapping[0].identity = "fhir"</v>
      </c>
    </row>
    <row r="16" spans="1:5" x14ac:dyDescent="0.75">
      <c r="A16" s="115">
        <v>14</v>
      </c>
      <c r="B16" s="115">
        <f t="shared" si="0"/>
        <v>4</v>
      </c>
      <c r="C16" s="115">
        <f t="shared" si="1"/>
        <v>2</v>
      </c>
      <c r="D16" s="113" t="str" cm="1">
        <f t="array" ref="D16">INDEX('Chemo-Map-1'!$I$7:$K$104,1+B16,C16)</f>
        <v>* differential.element[4].mapping[0].map = ".extension(http://hl7.eu/fhir/ig/pcsp/StructureDefinition/ActLocation-eu-pcsp).conformsTo(http://hl7.eu/fhir/ig/pcsp/StructureDefinition/Location-eu-pcsp)"</v>
      </c>
    </row>
    <row r="17" spans="1:4" x14ac:dyDescent="0.75">
      <c r="A17" s="115">
        <v>15</v>
      </c>
      <c r="B17" s="115">
        <f t="shared" si="0"/>
        <v>4</v>
      </c>
      <c r="C17" s="115">
        <f t="shared" si="1"/>
        <v>3</v>
      </c>
      <c r="D17" s="113" t="str" cm="1">
        <f t="array" ref="D17">INDEX('Chemo-Map-1'!$I$7:$K$104,1+B17,C17)</f>
        <v/>
      </c>
    </row>
    <row r="18" spans="1:4" x14ac:dyDescent="0.75">
      <c r="A18" s="115">
        <v>16</v>
      </c>
      <c r="B18" s="115">
        <f t="shared" si="0"/>
        <v>5</v>
      </c>
      <c r="C18" s="115">
        <f t="shared" si="1"/>
        <v>1</v>
      </c>
      <c r="D18" s="113" t="str" cm="1">
        <f t="array" ref="D18">INDEX('Chemo-Map-1'!$I$7:$K$104,1+B18,C18)</f>
        <v>* differential.element[5].mapping[0].identity = "fhir"</v>
      </c>
    </row>
    <row r="19" spans="1:4" x14ac:dyDescent="0.75">
      <c r="A19" s="115">
        <v>17</v>
      </c>
      <c r="B19" s="115">
        <f t="shared" si="0"/>
        <v>5</v>
      </c>
      <c r="C19" s="115">
        <f t="shared" si="1"/>
        <v>2</v>
      </c>
      <c r="D19" s="113" t="str" cm="1">
        <f t="array" ref="D19">INDEX('Chemo-Map-1'!$I$7:$K$104,1+B19,C19)</f>
        <v>* differential.element[5].mapping[0].map = "Location.description"</v>
      </c>
    </row>
    <row r="20" spans="1:4" x14ac:dyDescent="0.75">
      <c r="A20" s="115">
        <v>18</v>
      </c>
      <c r="B20" s="115">
        <f t="shared" si="0"/>
        <v>5</v>
      </c>
      <c r="C20" s="115">
        <f t="shared" si="1"/>
        <v>3</v>
      </c>
      <c r="D20" s="113" t="str" cm="1">
        <f t="array" ref="D20">INDEX('Chemo-Map-1'!$I$7:$K$104,1+B20,C20)</f>
        <v/>
      </c>
    </row>
    <row r="21" spans="1:4" x14ac:dyDescent="0.75">
      <c r="A21" s="115">
        <v>19</v>
      </c>
      <c r="B21" s="115">
        <f t="shared" si="0"/>
        <v>6</v>
      </c>
      <c r="C21" s="115">
        <f t="shared" si="1"/>
        <v>1</v>
      </c>
      <c r="D21" s="113" t="str" cm="1">
        <f t="array" ref="D21">INDEX('Chemo-Map-1'!$I$7:$K$104,1+B21,C21)</f>
        <v>* differential.element[6].mapping[0].identity = "fhir"</v>
      </c>
    </row>
    <row r="22" spans="1:4" x14ac:dyDescent="0.75">
      <c r="A22" s="115">
        <v>20</v>
      </c>
      <c r="B22" s="115">
        <f t="shared" si="0"/>
        <v>6</v>
      </c>
      <c r="C22" s="115">
        <f t="shared" si="1"/>
        <v>2</v>
      </c>
      <c r="D22" s="113" t="str" cm="1">
        <f t="array" ref="D22">INDEX('Chemo-Map-1'!$I$7:$K$104,1+B22,C22)</f>
        <v>* differential.element[6].mapping[0].map = "Location.name"</v>
      </c>
    </row>
    <row r="23" spans="1:4" x14ac:dyDescent="0.75">
      <c r="A23" s="115">
        <v>21</v>
      </c>
      <c r="B23" s="115">
        <f t="shared" si="0"/>
        <v>6</v>
      </c>
      <c r="C23" s="115">
        <f t="shared" si="1"/>
        <v>3</v>
      </c>
      <c r="D23" s="113" t="str" cm="1">
        <f t="array" ref="D23">INDEX('Chemo-Map-1'!$I$7:$K$104,1+B23,C23)</f>
        <v/>
      </c>
    </row>
    <row r="24" spans="1:4" x14ac:dyDescent="0.75">
      <c r="A24" s="115">
        <v>22</v>
      </c>
      <c r="B24" s="115">
        <f t="shared" si="0"/>
        <v>7</v>
      </c>
      <c r="C24" s="115">
        <f t="shared" si="1"/>
        <v>1</v>
      </c>
      <c r="D24" s="113" t="str" cm="1">
        <f t="array" ref="D24">INDEX('Chemo-Map-1'!$I$7:$K$104,1+B24,C24)</f>
        <v>* differential.element[7].mapping[0].identity = "fhir"</v>
      </c>
    </row>
    <row r="25" spans="1:4" x14ac:dyDescent="0.75">
      <c r="A25" s="115">
        <v>23</v>
      </c>
      <c r="B25" s="115">
        <f t="shared" si="0"/>
        <v>7</v>
      </c>
      <c r="C25" s="115">
        <f t="shared" si="1"/>
        <v>2</v>
      </c>
      <c r="D25" s="113" t="str" cm="1">
        <f t="array" ref="D25">INDEX('Chemo-Map-1'!$I$7:$K$104,1+B25,C25)</f>
        <v>* differential.element[7].mapping[0].map = "Location.address.city"</v>
      </c>
    </row>
    <row r="26" spans="1:4" x14ac:dyDescent="0.75">
      <c r="A26" s="115">
        <v>24</v>
      </c>
      <c r="B26" s="115">
        <f t="shared" si="0"/>
        <v>7</v>
      </c>
      <c r="C26" s="115">
        <f t="shared" si="1"/>
        <v>3</v>
      </c>
      <c r="D26" s="113" t="str" cm="1">
        <f t="array" ref="D26">INDEX('Chemo-Map-1'!$I$7:$K$104,1+B26,C26)</f>
        <v/>
      </c>
    </row>
    <row r="27" spans="1:4" x14ac:dyDescent="0.75">
      <c r="A27" s="115">
        <v>25</v>
      </c>
      <c r="B27" s="115">
        <f t="shared" si="0"/>
        <v>8</v>
      </c>
      <c r="C27" s="115">
        <f t="shared" si="1"/>
        <v>1</v>
      </c>
      <c r="D27" s="113" t="str" cm="1">
        <f t="array" ref="D27">INDEX('Chemo-Map-1'!$I$7:$K$104,1+B27,C27)</f>
        <v/>
      </c>
    </row>
    <row r="28" spans="1:4" x14ac:dyDescent="0.75">
      <c r="A28" s="115">
        <v>26</v>
      </c>
      <c r="B28" s="115">
        <f t="shared" si="0"/>
        <v>8</v>
      </c>
      <c r="C28" s="115">
        <f t="shared" si="1"/>
        <v>2</v>
      </c>
      <c r="D28" s="113" t="str" cm="1">
        <f t="array" ref="D28">INDEX('Chemo-Map-1'!$I$7:$K$104,1+B28,C28)</f>
        <v/>
      </c>
    </row>
    <row r="29" spans="1:4" x14ac:dyDescent="0.75">
      <c r="A29" s="115">
        <v>27</v>
      </c>
      <c r="B29" s="115">
        <f t="shared" si="0"/>
        <v>8</v>
      </c>
      <c r="C29" s="115">
        <f t="shared" si="1"/>
        <v>3</v>
      </c>
      <c r="D29" s="113" t="str" cm="1">
        <f t="array" ref="D29">INDEX('Chemo-Map-1'!$I$7:$K$104,1+B29,C29)</f>
        <v/>
      </c>
    </row>
    <row r="30" spans="1:4" x14ac:dyDescent="0.75">
      <c r="A30" s="115">
        <v>28</v>
      </c>
      <c r="B30" s="115">
        <f t="shared" si="0"/>
        <v>9</v>
      </c>
      <c r="C30" s="115">
        <f t="shared" si="1"/>
        <v>1</v>
      </c>
      <c r="D30" s="113" t="str" cm="1">
        <f t="array" ref="D30">INDEX('Chemo-Map-1'!$I$7:$K$104,1+B30,C30)</f>
        <v>* differential.element[9].mapping[0].identity = "fhir"</v>
      </c>
    </row>
    <row r="31" spans="1:4" x14ac:dyDescent="0.75">
      <c r="A31" s="115">
        <v>29</v>
      </c>
      <c r="B31" s="115">
        <f t="shared" si="0"/>
        <v>9</v>
      </c>
      <c r="C31" s="115">
        <f t="shared" si="1"/>
        <v>2</v>
      </c>
      <c r="D31" s="113" t="str" cm="1">
        <f t="array" ref="D31">INDEX('Chemo-Map-1'!$I$7:$K$104,1+B31,C31)</f>
        <v>* differential.element[9].mapping[0].map = "Location.address.country"</v>
      </c>
    </row>
    <row r="32" spans="1:4" x14ac:dyDescent="0.75">
      <c r="A32" s="115">
        <v>30</v>
      </c>
      <c r="B32" s="115">
        <f t="shared" si="0"/>
        <v>9</v>
      </c>
      <c r="C32" s="115">
        <f t="shared" si="1"/>
        <v>3</v>
      </c>
      <c r="D32" s="113" t="str" cm="1">
        <f t="array" ref="D32">INDEX('Chemo-Map-1'!$I$7:$K$104,1+B32,C32)</f>
        <v/>
      </c>
    </row>
    <row r="33" spans="1:4" x14ac:dyDescent="0.75">
      <c r="A33" s="115">
        <v>31</v>
      </c>
      <c r="B33" s="115">
        <f t="shared" si="0"/>
        <v>10</v>
      </c>
      <c r="C33" s="115">
        <f t="shared" si="1"/>
        <v>1</v>
      </c>
      <c r="D33" s="113" t="str" cm="1">
        <f t="array" ref="D33">INDEX('Chemo-Map-1'!$I$7:$K$104,1+B33,C33)</f>
        <v>* differential.element[10].mapping[0].identity = "fhir"</v>
      </c>
    </row>
    <row r="34" spans="1:4" x14ac:dyDescent="0.75">
      <c r="A34" s="115">
        <v>32</v>
      </c>
      <c r="B34" s="115">
        <f t="shared" si="0"/>
        <v>10</v>
      </c>
      <c r="C34" s="115">
        <f t="shared" si="1"/>
        <v>2</v>
      </c>
      <c r="D34" s="113" t="str" cm="1">
        <f t="array" ref="D34">INDEX('Chemo-Map-1'!$I$7:$K$104,1+B34,C34)</f>
        <v>* differential.element[10].mapping[0].map = ".medication[x]"</v>
      </c>
    </row>
    <row r="35" spans="1:4" x14ac:dyDescent="0.75">
      <c r="A35" s="115">
        <v>33</v>
      </c>
      <c r="B35" s="115">
        <f t="shared" si="0"/>
        <v>10</v>
      </c>
      <c r="C35" s="115">
        <f t="shared" si="1"/>
        <v>3</v>
      </c>
      <c r="D35" s="113" t="str" cm="1">
        <f t="array" ref="D35">INDEX('Chemo-Map-1'!$I$7:$K$104,1+B35,C35)</f>
        <v/>
      </c>
    </row>
    <row r="36" spans="1:4" x14ac:dyDescent="0.75">
      <c r="A36" s="115">
        <v>34</v>
      </c>
      <c r="B36" s="115">
        <f t="shared" si="0"/>
        <v>11</v>
      </c>
      <c r="C36" s="115">
        <f t="shared" si="1"/>
        <v>1</v>
      </c>
      <c r="D36" s="113" t="str" cm="1">
        <f t="array" ref="D36">INDEX('Chemo-Map-1'!$I$7:$K$104,1+B36,C36)</f>
        <v>* differential.element[11].mapping[0].identity = "fhir"</v>
      </c>
    </row>
    <row r="37" spans="1:4" x14ac:dyDescent="0.75">
      <c r="A37" s="115">
        <v>35</v>
      </c>
      <c r="B37" s="115">
        <f t="shared" si="0"/>
        <v>11</v>
      </c>
      <c r="C37" s="115">
        <f t="shared" si="1"/>
        <v>2</v>
      </c>
      <c r="D37" s="113" t="str" cm="1">
        <f t="array" ref="D37">INDEX('Chemo-Map-1'!$I$7:$K$104,1+B37,C37)</f>
        <v>* differential.element[11].mapping[0].map = ".medicationCodeableConcept"</v>
      </c>
    </row>
    <row r="38" spans="1:4" x14ac:dyDescent="0.75">
      <c r="A38" s="115">
        <v>36</v>
      </c>
      <c r="B38" s="115">
        <f t="shared" si="0"/>
        <v>11</v>
      </c>
      <c r="C38" s="115">
        <f t="shared" si="1"/>
        <v>3</v>
      </c>
      <c r="D38" s="113" t="str" cm="1">
        <f t="array" ref="D38">INDEX('Chemo-Map-1'!$I$7:$K$104,1+B38,C38)</f>
        <v/>
      </c>
    </row>
    <row r="39" spans="1:4" x14ac:dyDescent="0.75">
      <c r="A39" s="115">
        <v>37</v>
      </c>
      <c r="B39" s="115">
        <f t="shared" si="0"/>
        <v>12</v>
      </c>
      <c r="C39" s="115">
        <f t="shared" si="1"/>
        <v>1</v>
      </c>
      <c r="D39" s="113" t="str" cm="1">
        <f t="array" ref="D39">INDEX('Chemo-Map-1'!$I$7:$K$104,1+B39,C39)</f>
        <v>* differential.element[12].mapping[0].identity = "fhir"</v>
      </c>
    </row>
    <row r="40" spans="1:4" x14ac:dyDescent="0.75">
      <c r="A40" s="115">
        <v>38</v>
      </c>
      <c r="B40" s="115">
        <f t="shared" si="0"/>
        <v>12</v>
      </c>
      <c r="C40" s="115">
        <f t="shared" si="1"/>
        <v>2</v>
      </c>
      <c r="D40" s="113" t="str" cm="1">
        <f t="array" ref="D40">INDEX('Chemo-Map-1'!$I$7:$K$104,1+B40,C40)</f>
        <v>* differential.element[12].mapping[0].map = ".dosage.dose"</v>
      </c>
    </row>
    <row r="41" spans="1:4" x14ac:dyDescent="0.75">
      <c r="A41" s="115">
        <v>39</v>
      </c>
      <c r="B41" s="115">
        <f t="shared" si="0"/>
        <v>12</v>
      </c>
      <c r="C41" s="115">
        <f t="shared" si="1"/>
        <v>3</v>
      </c>
      <c r="D41" s="113" t="str" cm="1">
        <f t="array" ref="D41">INDEX('Chemo-Map-1'!$I$7:$K$104,1+B41,C41)</f>
        <v/>
      </c>
    </row>
    <row r="42" spans="1:4" x14ac:dyDescent="0.75">
      <c r="A42" s="115">
        <v>40</v>
      </c>
      <c r="B42" s="115">
        <f t="shared" si="0"/>
        <v>13</v>
      </c>
      <c r="C42" s="115">
        <f t="shared" si="1"/>
        <v>1</v>
      </c>
      <c r="D42" s="113" t="str" cm="1">
        <f t="array" ref="D42">INDEX('Chemo-Map-1'!$I$7:$K$104,1+B42,C42)</f>
        <v>* differential.element[13].mapping[0].identity = "fhir"</v>
      </c>
    </row>
    <row r="43" spans="1:4" x14ac:dyDescent="0.75">
      <c r="A43" s="115">
        <v>41</v>
      </c>
      <c r="B43" s="115">
        <f t="shared" si="0"/>
        <v>13</v>
      </c>
      <c r="C43" s="115">
        <f t="shared" si="1"/>
        <v>2</v>
      </c>
      <c r="D43" s="113" t="str" cm="1">
        <f t="array" ref="D43">INDEX('Chemo-Map-1'!$I$7:$K$104,1+B43,C43)</f>
        <v>* differential.element[13].mapping[0].map = ".extension(http://hl7.eu/fhir/ig/pcsp/StructureDefinition/ResourceRelatedInfo-eu-pcsp).conformsTo(http://hl7.eu/fhir/ig/pcsp/StructureDefinition/Observation-cumulativeDoseChemo-eu-pcsp)"</v>
      </c>
    </row>
    <row r="44" spans="1:4" x14ac:dyDescent="0.75">
      <c r="A44" s="115">
        <v>42</v>
      </c>
      <c r="B44" s="115">
        <f t="shared" si="0"/>
        <v>13</v>
      </c>
      <c r="C44" s="115">
        <f t="shared" si="1"/>
        <v>3</v>
      </c>
      <c r="D44" s="113" t="str" cm="1">
        <f t="array" ref="D44">INDEX('Chemo-Map-1'!$I$7:$K$104,1+B44,C44)</f>
        <v/>
      </c>
    </row>
    <row r="45" spans="1:4" x14ac:dyDescent="0.75">
      <c r="A45" s="115">
        <v>43</v>
      </c>
      <c r="B45" s="115">
        <f t="shared" si="0"/>
        <v>14</v>
      </c>
      <c r="C45" s="115">
        <f t="shared" si="1"/>
        <v>1</v>
      </c>
      <c r="D45" s="113" t="str" cm="1">
        <f t="array" ref="D45">INDEX('Chemo-Map-1'!$I$7:$K$104,1+B45,C45)</f>
        <v>* differential.element[14].mapping[0].identity = "fhir"</v>
      </c>
    </row>
    <row r="46" spans="1:4" x14ac:dyDescent="0.75">
      <c r="A46" s="115">
        <v>44</v>
      </c>
      <c r="B46" s="115">
        <f t="shared" si="0"/>
        <v>14</v>
      </c>
      <c r="C46" s="115">
        <f t="shared" si="1"/>
        <v>2</v>
      </c>
      <c r="D46" s="113" t="str" cm="1">
        <f t="array" ref="D46">INDEX('Chemo-Map-1'!$I$7:$K$104,1+B46,C46)</f>
        <v>* differential.element[14].mapping[0].map = ".valueCodeableConcept = http://terminology.hl7.org/CodeSystem/data-absent-reason#unknown"</v>
      </c>
    </row>
    <row r="47" spans="1:4" x14ac:dyDescent="0.75">
      <c r="A47" s="115">
        <v>45</v>
      </c>
      <c r="B47" s="115">
        <f t="shared" si="0"/>
        <v>14</v>
      </c>
      <c r="C47" s="115">
        <f t="shared" si="1"/>
        <v>3</v>
      </c>
      <c r="D47" s="113" cm="1">
        <f t="array" ref="D47">INDEX('Chemo-Map-1'!$I$7:$K$104,1+B47,C47)</f>
        <v>0</v>
      </c>
    </row>
    <row r="48" spans="1:4" x14ac:dyDescent="0.75">
      <c r="A48" s="115">
        <v>46</v>
      </c>
      <c r="B48" s="115">
        <f t="shared" si="0"/>
        <v>15</v>
      </c>
      <c r="C48" s="115">
        <f t="shared" si="1"/>
        <v>1</v>
      </c>
      <c r="D48" s="113" t="str" cm="1">
        <f t="array" ref="D48">INDEX('Chemo-Map-1'!$I$7:$K$104,1+B48,C48)</f>
        <v>* differential.element[14].mapping[0].identity = "fhir"</v>
      </c>
    </row>
    <row r="49" spans="1:7" x14ac:dyDescent="0.75">
      <c r="A49" s="115">
        <v>47</v>
      </c>
      <c r="B49" s="115">
        <f t="shared" si="0"/>
        <v>15</v>
      </c>
      <c r="C49" s="115">
        <f t="shared" si="1"/>
        <v>2</v>
      </c>
      <c r="D49" s="113" t="str" cm="1">
        <f t="array" ref="D49">INDEX('Chemo-Map-1'!$I$7:$K$104,1+B49,C49)</f>
        <v>* differential.element[14].mapping[0].map = ".dataAbsentReason"</v>
      </c>
    </row>
    <row r="50" spans="1:7" x14ac:dyDescent="0.75">
      <c r="A50" s="115">
        <v>48</v>
      </c>
      <c r="B50" s="115">
        <f t="shared" si="0"/>
        <v>15</v>
      </c>
      <c r="C50" s="115">
        <f t="shared" si="1"/>
        <v>3</v>
      </c>
      <c r="D50" s="113" t="str" cm="1">
        <f t="array" ref="D50">INDEX('Chemo-Map-1'!$I$7:$K$104,1+B50,C50)</f>
        <v/>
      </c>
    </row>
    <row r="51" spans="1:7" x14ac:dyDescent="0.75">
      <c r="A51" s="115">
        <v>49</v>
      </c>
      <c r="B51" s="115">
        <f t="shared" si="0"/>
        <v>16</v>
      </c>
      <c r="C51" s="115">
        <f t="shared" si="1"/>
        <v>1</v>
      </c>
      <c r="D51" s="113" t="str" cm="1">
        <f t="array" ref="D51">INDEX('Chemo-Map-1'!$I$7:$K$104,1+B51,C51)</f>
        <v>* differential.element[15].mapping[0].identity = "fhir"</v>
      </c>
    </row>
    <row r="52" spans="1:7" x14ac:dyDescent="0.75">
      <c r="A52" s="115">
        <v>50</v>
      </c>
      <c r="B52" s="115">
        <f t="shared" si="0"/>
        <v>16</v>
      </c>
      <c r="C52" s="115">
        <f t="shared" si="1"/>
        <v>2</v>
      </c>
      <c r="D52" s="113" t="str" cm="1">
        <f t="array" ref="D52">INDEX('Chemo-Map-1'!$I$7:$K$104,1+B52,C52)</f>
        <v>* differential.element[15].mapping[0].map = ".method"</v>
      </c>
    </row>
    <row r="53" spans="1:7" x14ac:dyDescent="0.75">
      <c r="A53" s="115">
        <v>51</v>
      </c>
      <c r="B53" s="115">
        <f t="shared" si="0"/>
        <v>16</v>
      </c>
      <c r="C53" s="115">
        <f t="shared" si="1"/>
        <v>3</v>
      </c>
      <c r="D53" s="113" t="str" cm="1">
        <f t="array" ref="D53">INDEX('Chemo-Map-1'!$I$7:$K$104,1+B53,C53)</f>
        <v/>
      </c>
    </row>
    <row r="54" spans="1:7" x14ac:dyDescent="0.75">
      <c r="A54" s="115">
        <v>52</v>
      </c>
      <c r="B54" s="115">
        <f t="shared" si="0"/>
        <v>17</v>
      </c>
      <c r="C54" s="115">
        <f t="shared" si="1"/>
        <v>1</v>
      </c>
      <c r="D54" s="113" t="str" cm="1">
        <f t="array" ref="D54">INDEX('Chemo-Map-1'!$I$7:$K$104,1+B54,C54)</f>
        <v>* differential.element[16].mapping[0].identity = "fhir"</v>
      </c>
    </row>
    <row r="55" spans="1:7" x14ac:dyDescent="0.75">
      <c r="A55" s="115">
        <v>53</v>
      </c>
      <c r="B55" s="115">
        <f t="shared" si="0"/>
        <v>17</v>
      </c>
      <c r="C55" s="115">
        <f t="shared" si="1"/>
        <v>2</v>
      </c>
      <c r="D55" s="113" t="str" cm="1">
        <f t="array" ref="D55">INDEX('Chemo-Map-1'!$I$7:$K$104,1+B55,C55)</f>
        <v>* differential.element[16].mapping[0].map = ".status = #preliminary"</v>
      </c>
      <c r="G55" s="15"/>
    </row>
    <row r="56" spans="1:7" x14ac:dyDescent="0.75">
      <c r="A56" s="115">
        <v>54</v>
      </c>
      <c r="B56" s="115">
        <f t="shared" si="0"/>
        <v>17</v>
      </c>
      <c r="C56" s="115">
        <f t="shared" si="1"/>
        <v>3</v>
      </c>
      <c r="D56" s="113" t="str" cm="1">
        <f t="array" ref="D56">INDEX('Chemo-Map-1'!$I$7:$K$104,1+B56,C56)</f>
        <v/>
      </c>
    </row>
    <row r="57" spans="1:7" x14ac:dyDescent="0.75">
      <c r="A57" s="115">
        <v>55</v>
      </c>
      <c r="B57" s="115">
        <f t="shared" si="0"/>
        <v>18</v>
      </c>
      <c r="C57" s="115">
        <f t="shared" si="1"/>
        <v>1</v>
      </c>
      <c r="D57" s="113" t="str" cm="1">
        <f t="array" ref="D57">INDEX('Chemo-Map-1'!$I$7:$K$104,1+B57,C57)</f>
        <v>* differential.element[17].mapping[0].identity = "fhir"</v>
      </c>
    </row>
    <row r="58" spans="1:7" x14ac:dyDescent="0.75">
      <c r="A58" s="115">
        <v>56</v>
      </c>
      <c r="B58" s="115">
        <f t="shared" si="0"/>
        <v>18</v>
      </c>
      <c r="C58" s="115">
        <f t="shared" si="1"/>
        <v>2</v>
      </c>
      <c r="D58" s="113" t="str" cm="1">
        <f t="array" ref="D58">INDEX('Chemo-Map-1'!$I$7:$K$104,1+B58,C58)</f>
        <v>* differential.element[17].mapping[0].map = ".extension('http://hl7.org/fhir/StructureDefinition/event-statusReason')"</v>
      </c>
    </row>
    <row r="59" spans="1:7" x14ac:dyDescent="0.75">
      <c r="A59" s="115">
        <v>57</v>
      </c>
      <c r="B59" s="115">
        <f t="shared" si="0"/>
        <v>18</v>
      </c>
      <c r="C59" s="115">
        <f t="shared" si="1"/>
        <v>3</v>
      </c>
      <c r="D59" s="113" t="str" cm="1">
        <f t="array" ref="D59">INDEX('Chemo-Map-1'!$I$7:$K$104,1+B59,C59)</f>
        <v/>
      </c>
    </row>
    <row r="60" spans="1:7" x14ac:dyDescent="0.75">
      <c r="A60" s="115">
        <v>58</v>
      </c>
      <c r="B60" s="115">
        <f t="shared" si="0"/>
        <v>19</v>
      </c>
      <c r="C60" s="115">
        <f t="shared" si="1"/>
        <v>1</v>
      </c>
      <c r="D60" s="113" t="str" cm="1">
        <f t="array" ref="D60">INDEX('Chemo-Map-1'!$I$7:$K$104,1+B60,C60)</f>
        <v>* differential.element[18].mapping[0].identity = "fhir"</v>
      </c>
    </row>
    <row r="61" spans="1:7" x14ac:dyDescent="0.75">
      <c r="A61" s="115">
        <v>59</v>
      </c>
      <c r="B61" s="115">
        <f t="shared" si="0"/>
        <v>19</v>
      </c>
      <c r="C61" s="115">
        <f t="shared" si="1"/>
        <v>2</v>
      </c>
      <c r="D61" s="113" t="str" cm="1">
        <f t="array" ref="D61">INDEX('Chemo-Map-1'!$I$7:$K$104,1+B61,C61)</f>
        <v>* differential.element[18].mapping[0].map = ".valueQuantity.value"</v>
      </c>
    </row>
    <row r="62" spans="1:7" x14ac:dyDescent="0.75">
      <c r="A62" s="115">
        <v>60</v>
      </c>
      <c r="B62" s="115">
        <f t="shared" si="0"/>
        <v>19</v>
      </c>
      <c r="C62" s="115">
        <f t="shared" si="1"/>
        <v>3</v>
      </c>
      <c r="D62" s="113" t="str" cm="1">
        <f t="array" ref="D62">INDEX('Chemo-Map-1'!$I$7:$K$104,1+B62,C62)</f>
        <v/>
      </c>
    </row>
    <row r="63" spans="1:7" x14ac:dyDescent="0.75">
      <c r="A63" s="115">
        <v>61</v>
      </c>
      <c r="B63" s="115">
        <f t="shared" si="0"/>
        <v>20</v>
      </c>
      <c r="C63" s="115">
        <f t="shared" si="1"/>
        <v>1</v>
      </c>
      <c r="D63" s="113" t="str" cm="1">
        <f t="array" ref="D63">INDEX('Chemo-Map-1'!$I$7:$K$104,1+B63,C63)</f>
        <v>* differential.element[19].mapping[0].identity = "fhir"</v>
      </c>
    </row>
    <row r="64" spans="1:7" x14ac:dyDescent="0.75">
      <c r="A64" s="115">
        <v>62</v>
      </c>
      <c r="B64" s="115">
        <f t="shared" si="0"/>
        <v>20</v>
      </c>
      <c r="C64" s="115">
        <f t="shared" si="1"/>
        <v>2</v>
      </c>
      <c r="D64" s="113" t="str" cm="1">
        <f t="array" ref="D64">INDEX('Chemo-Map-1'!$I$7:$K$104,1+B64,C64)</f>
        <v>* differential.element[19].mapping[0].map = ".valueQuantity.unit (human readeable)"</v>
      </c>
    </row>
    <row r="65" spans="1:4" x14ac:dyDescent="0.75">
      <c r="A65" s="115">
        <v>63</v>
      </c>
      <c r="B65" s="115">
        <f t="shared" si="0"/>
        <v>20</v>
      </c>
      <c r="C65" s="115">
        <f t="shared" si="1"/>
        <v>3</v>
      </c>
      <c r="D65" s="113" t="str" cm="1">
        <f t="array" ref="D65">INDEX('Chemo-Map-1'!$I$7:$K$104,1+B65,C65)</f>
        <v/>
      </c>
    </row>
    <row r="66" spans="1:4" x14ac:dyDescent="0.75">
      <c r="A66" s="115">
        <v>64</v>
      </c>
      <c r="B66" s="115">
        <f t="shared" si="0"/>
        <v>21</v>
      </c>
      <c r="C66" s="115">
        <f t="shared" si="1"/>
        <v>1</v>
      </c>
      <c r="D66" s="113" t="str" cm="1">
        <f t="array" ref="D66">INDEX('Chemo-Map-1'!$I$7:$K$104,1+B66,C66)</f>
        <v>* differential.element[19].mapping[1].identity = "fhir"</v>
      </c>
    </row>
    <row r="67" spans="1:4" x14ac:dyDescent="0.75">
      <c r="A67" s="115">
        <v>65</v>
      </c>
      <c r="B67" s="115">
        <f t="shared" si="0"/>
        <v>21</v>
      </c>
      <c r="C67" s="115">
        <f t="shared" si="1"/>
        <v>2</v>
      </c>
      <c r="D67" s="113" t="str" cm="1">
        <f t="array" ref="D67">INDEX('Chemo-Map-1'!$I$7:$K$104,1+B67,C67)</f>
        <v>* differential.element[19].mapping[1].map = ".valueQuantity.code (code)"</v>
      </c>
    </row>
    <row r="68" spans="1:4" x14ac:dyDescent="0.75">
      <c r="A68" s="115">
        <v>66</v>
      </c>
      <c r="B68" s="115">
        <f t="shared" ref="B68:B131" si="2">IF(MOD(A68,3)=0,A68/3-1,INT(A68/3))</f>
        <v>21</v>
      </c>
      <c r="C68" s="115">
        <f t="shared" ref="C68:C131" si="3">IF(MOD(A68,3)=0,3,MOD(A68,3))</f>
        <v>3</v>
      </c>
      <c r="D68" s="113" t="str" cm="1">
        <f t="array" ref="D68">INDEX('Chemo-Map-1'!$I$7:$K$104,1+B68,C68)</f>
        <v/>
      </c>
    </row>
    <row r="69" spans="1:4" x14ac:dyDescent="0.75">
      <c r="A69" s="115">
        <v>67</v>
      </c>
      <c r="B69" s="115">
        <f t="shared" si="2"/>
        <v>22</v>
      </c>
      <c r="C69" s="115">
        <f t="shared" si="3"/>
        <v>1</v>
      </c>
      <c r="D69" s="113" t="str" cm="1">
        <f t="array" ref="D69">INDEX('Chemo-Map-1'!$I$7:$K$104,1+B69,C69)</f>
        <v>* differential.element[20].mapping[0].identity = "fhir"</v>
      </c>
    </row>
    <row r="70" spans="1:4" x14ac:dyDescent="0.75">
      <c r="A70" s="115">
        <v>68</v>
      </c>
      <c r="B70" s="115">
        <f t="shared" si="2"/>
        <v>22</v>
      </c>
      <c r="C70" s="115">
        <f t="shared" si="3"/>
        <v>2</v>
      </c>
      <c r="D70" s="113" t="str" cm="1">
        <f t="array" ref="D70">INDEX('Chemo-Map-1'!$I$7:$K$104,1+B70,C70)</f>
        <v>* differential.element[20].mapping[0].map = "MedicationStatement.where(medicationCodeableConcept = 'http://www.whocc.no/atc|H02' and dosage.timing.repeat.boundsDuration.where( value='4' and code = 'w' and comparator ='&gt;' )"</v>
      </c>
    </row>
    <row r="71" spans="1:4" x14ac:dyDescent="0.75">
      <c r="A71" s="115">
        <v>69</v>
      </c>
      <c r="B71" s="115">
        <f t="shared" si="2"/>
        <v>22</v>
      </c>
      <c r="C71" s="115">
        <f t="shared" si="3"/>
        <v>3</v>
      </c>
      <c r="D71" s="113" t="str" cm="1">
        <f t="array" ref="D71">INDEX('Chemo-Map-1'!$I$7:$K$104,1+B71,C71)</f>
        <v/>
      </c>
    </row>
    <row r="72" spans="1:4" x14ac:dyDescent="0.75">
      <c r="A72" s="115">
        <v>70</v>
      </c>
      <c r="B72" s="115">
        <f t="shared" si="2"/>
        <v>23</v>
      </c>
      <c r="C72" s="115">
        <f t="shared" si="3"/>
        <v>1</v>
      </c>
      <c r="D72" s="113" t="str" cm="1">
        <f t="array" ref="D72">INDEX('Chemo-Map-1'!$I$7:$K$104,1+B72,C72)</f>
        <v>* differential.element[21].mapping[0].identity = "fhir"</v>
      </c>
    </row>
    <row r="73" spans="1:4" x14ac:dyDescent="0.75">
      <c r="A73" s="115">
        <v>71</v>
      </c>
      <c r="B73" s="115">
        <f t="shared" si="2"/>
        <v>23</v>
      </c>
      <c r="C73" s="115">
        <f t="shared" si="3"/>
        <v>2</v>
      </c>
      <c r="D73" s="113" t="str" cm="1">
        <f t="array" ref="D73">INDEX('Chemo-Map-1'!$I$7:$K$104,1+B73,C73)</f>
        <v>* differential.element[21].mapping[0].map = "MedicationStatement.where(dosage.route = https://standardterms.edqm.eu|20042000)"</v>
      </c>
    </row>
    <row r="74" spans="1:4" x14ac:dyDescent="0.75">
      <c r="A74" s="115">
        <v>72</v>
      </c>
      <c r="B74" s="115">
        <f t="shared" si="2"/>
        <v>23</v>
      </c>
      <c r="C74" s="115">
        <f t="shared" si="3"/>
        <v>3</v>
      </c>
      <c r="D74" s="113" t="str" cm="1">
        <f t="array" ref="D74">INDEX('Chemo-Map-1'!$I$7:$K$104,1+B74,C74)</f>
        <v/>
      </c>
    </row>
    <row r="75" spans="1:4" x14ac:dyDescent="0.75">
      <c r="A75" s="115">
        <v>73</v>
      </c>
      <c r="B75" s="115">
        <f t="shared" si="2"/>
        <v>24</v>
      </c>
      <c r="C75" s="115">
        <f t="shared" si="3"/>
        <v>1</v>
      </c>
      <c r="D75" s="113" t="str" cm="1">
        <f t="array" ref="D75">INDEX('Chemo-Map-1'!$I$7:$K$104,1+B75,C75)</f>
        <v>* differential.element[22].mapping[0].identity = "fhir"</v>
      </c>
    </row>
    <row r="76" spans="1:4" x14ac:dyDescent="0.75">
      <c r="A76" s="115">
        <v>74</v>
      </c>
      <c r="B76" s="115">
        <f t="shared" si="2"/>
        <v>24</v>
      </c>
      <c r="C76" s="115">
        <f t="shared" si="3"/>
        <v>2</v>
      </c>
      <c r="D76" s="113" t="str" cm="1">
        <f t="array" ref="D76">INDEX('Chemo-Map-1'!$I$7:$K$104,1+B76,C76)</f>
        <v>* differential.element[22].mapping[0].map = ".exists()"</v>
      </c>
    </row>
    <row r="77" spans="1:4" x14ac:dyDescent="0.75">
      <c r="A77" s="115">
        <v>75</v>
      </c>
      <c r="B77" s="115">
        <f t="shared" si="2"/>
        <v>24</v>
      </c>
      <c r="C77" s="115">
        <f t="shared" si="3"/>
        <v>3</v>
      </c>
      <c r="D77" s="113" t="str" cm="1">
        <f t="array" ref="D77">INDEX('Chemo-Map-1'!$I$7:$K$104,1+B77,C77)</f>
        <v/>
      </c>
    </row>
    <row r="78" spans="1:4" x14ac:dyDescent="0.75">
      <c r="A78" s="115">
        <v>76</v>
      </c>
      <c r="B78" s="115">
        <f t="shared" si="2"/>
        <v>25</v>
      </c>
      <c r="C78" s="115">
        <f t="shared" si="3"/>
        <v>1</v>
      </c>
      <c r="D78" s="113" t="str" cm="1">
        <f t="array" ref="D78">INDEX('Chemo-Map-1'!$I$7:$K$104,1+B78,C78)</f>
        <v>* differential.element[23].mapping[0].identity = "fhir"</v>
      </c>
    </row>
    <row r="79" spans="1:4" x14ac:dyDescent="0.75">
      <c r="A79" s="115">
        <v>77</v>
      </c>
      <c r="B79" s="115">
        <f t="shared" si="2"/>
        <v>25</v>
      </c>
      <c r="C79" s="115">
        <f t="shared" si="3"/>
        <v>2</v>
      </c>
      <c r="D79" s="113" t="str" cm="1">
        <f t="array" ref="D79">INDEX('Chemo-Map-1'!$I$7:$K$104,1+B79,C79)</f>
        <v>* differential.element[23].mapping[0].map = ".dosage.timing.repeat.count"</v>
      </c>
    </row>
    <row r="80" spans="1:4" x14ac:dyDescent="0.75">
      <c r="A80" s="115">
        <v>78</v>
      </c>
      <c r="B80" s="115">
        <f t="shared" si="2"/>
        <v>25</v>
      </c>
      <c r="C80" s="115">
        <f t="shared" si="3"/>
        <v>3</v>
      </c>
      <c r="D80" s="113" t="str" cm="1">
        <f t="array" ref="D80">INDEX('Chemo-Map-1'!$I$7:$K$104,1+B80,C80)</f>
        <v/>
      </c>
    </row>
    <row r="81" spans="1:4" x14ac:dyDescent="0.75">
      <c r="A81" s="115">
        <v>79</v>
      </c>
      <c r="B81" s="115">
        <f t="shared" si="2"/>
        <v>26</v>
      </c>
      <c r="C81" s="115">
        <f t="shared" si="3"/>
        <v>1</v>
      </c>
      <c r="D81" s="113" t="str" cm="1">
        <f t="array" ref="D81">INDEX('Chemo-Map-1'!$I$7:$K$104,1+B81,C81)</f>
        <v>* differential.element[23].mapping[1].identity = "fhir"</v>
      </c>
    </row>
    <row r="82" spans="1:4" x14ac:dyDescent="0.75">
      <c r="A82" s="115">
        <v>80</v>
      </c>
      <c r="B82" s="115">
        <f t="shared" si="2"/>
        <v>26</v>
      </c>
      <c r="C82" s="115">
        <f t="shared" si="3"/>
        <v>2</v>
      </c>
      <c r="D82" s="113" t="str" cm="1">
        <f t="array" ref="D82">INDEX('Chemo-Map-1'!$I$7:$K$104,1+B82,C82)</f>
        <v>* differential.element[23].mapping[1].map = ".count()"</v>
      </c>
    </row>
    <row r="83" spans="1:4" x14ac:dyDescent="0.75">
      <c r="A83" s="115">
        <v>81</v>
      </c>
      <c r="B83" s="115">
        <f t="shared" si="2"/>
        <v>26</v>
      </c>
      <c r="C83" s="115">
        <f t="shared" si="3"/>
        <v>3</v>
      </c>
      <c r="D83" s="113" t="str" cm="1">
        <f t="array" ref="D83">INDEX('Chemo-Map-1'!$I$7:$K$104,1+B83,C83)</f>
        <v/>
      </c>
    </row>
    <row r="84" spans="1:4" x14ac:dyDescent="0.75">
      <c r="A84" s="115">
        <v>82</v>
      </c>
      <c r="B84" s="115">
        <f t="shared" si="2"/>
        <v>27</v>
      </c>
      <c r="C84" s="115">
        <f t="shared" si="3"/>
        <v>1</v>
      </c>
      <c r="D84" s="113" t="str" cm="1">
        <f t="array" ref="D84">INDEX('Chemo-Map-1'!$I$7:$K$104,1+B84,C84)</f>
        <v>* differential.element[24].mapping[0].identity = "fhir"</v>
      </c>
    </row>
    <row r="85" spans="1:4" x14ac:dyDescent="0.75">
      <c r="A85" s="115">
        <v>83</v>
      </c>
      <c r="B85" s="115">
        <f t="shared" si="2"/>
        <v>27</v>
      </c>
      <c r="C85" s="115">
        <f t="shared" si="3"/>
        <v>2</v>
      </c>
      <c r="D85" s="113" t="str" cm="1">
        <f t="array" ref="D85">INDEX('Chemo-Map-1'!$I$7:$K$104,1+B85,C85)</f>
        <v>* differential.element[24].mapping[0].map = ".medicationCodeableConcept.text"</v>
      </c>
    </row>
    <row r="86" spans="1:4" x14ac:dyDescent="0.75">
      <c r="A86" s="115">
        <v>84</v>
      </c>
      <c r="B86" s="115">
        <f t="shared" si="2"/>
        <v>27</v>
      </c>
      <c r="C86" s="115">
        <f t="shared" si="3"/>
        <v>3</v>
      </c>
      <c r="D86" s="113" t="str" cm="1">
        <f t="array" ref="D86">INDEX('Chemo-Map-1'!$I$7:$K$104,1+B86,C86)</f>
        <v/>
      </c>
    </row>
    <row r="87" spans="1:4" x14ac:dyDescent="0.75">
      <c r="A87" s="115">
        <v>85</v>
      </c>
      <c r="B87" s="115">
        <f t="shared" si="2"/>
        <v>28</v>
      </c>
      <c r="C87" s="115">
        <f t="shared" si="3"/>
        <v>1</v>
      </c>
      <c r="D87" s="113" t="str" cm="1">
        <f t="array" ref="D87">INDEX('Chemo-Map-1'!$I$7:$K$104,1+B87,C87)</f>
        <v>* differential.element[25].mapping[0].identity = "fhir"</v>
      </c>
    </row>
    <row r="88" spans="1:4" x14ac:dyDescent="0.75">
      <c r="A88" s="115">
        <v>86</v>
      </c>
      <c r="B88" s="115">
        <f t="shared" si="2"/>
        <v>28</v>
      </c>
      <c r="C88" s="115">
        <f t="shared" si="3"/>
        <v>2</v>
      </c>
      <c r="D88" s="113" t="str" cm="1">
        <f t="array" ref="D88">INDEX('Chemo-Map-1'!$I$7:$K$104,1+B88,C88)</f>
        <v>* differential.element[25].mapping[0].map = "MedicationStatement"</v>
      </c>
    </row>
    <row r="89" spans="1:4" x14ac:dyDescent="0.75">
      <c r="A89" s="115">
        <v>87</v>
      </c>
      <c r="B89" s="115">
        <f t="shared" si="2"/>
        <v>28</v>
      </c>
      <c r="C89" s="115">
        <f t="shared" si="3"/>
        <v>3</v>
      </c>
      <c r="D89" s="113" t="str" cm="1">
        <f t="array" ref="D89">INDEX('Chemo-Map-1'!$I$7:$K$104,1+B89,C89)</f>
        <v/>
      </c>
    </row>
    <row r="90" spans="1:4" x14ac:dyDescent="0.75">
      <c r="A90" s="115">
        <v>88</v>
      </c>
      <c r="B90" s="115">
        <f t="shared" si="2"/>
        <v>29</v>
      </c>
      <c r="C90" s="115">
        <f t="shared" si="3"/>
        <v>1</v>
      </c>
      <c r="D90" s="113" t="str" cm="1">
        <f t="array" ref="D90">INDEX('Chemo-Map-1'!$I$7:$K$104,1+B90,C90)</f>
        <v>* differential.element[26].mapping[0].identity = "fhir"</v>
      </c>
    </row>
    <row r="91" spans="1:4" x14ac:dyDescent="0.75">
      <c r="A91" s="115">
        <v>89</v>
      </c>
      <c r="B91" s="115">
        <f t="shared" si="2"/>
        <v>29</v>
      </c>
      <c r="C91" s="115">
        <f t="shared" si="3"/>
        <v>2</v>
      </c>
      <c r="D91" s="113" t="str" cm="1">
        <f t="array" ref="D91">INDEX('Chemo-Map-1'!$I$7:$K$104,1+B91,C91)</f>
        <v>* differential.element[26].mapping[0].map = ".medicationCodeableConcept.text"</v>
      </c>
    </row>
    <row r="92" spans="1:4" x14ac:dyDescent="0.75">
      <c r="A92" s="115">
        <v>90</v>
      </c>
      <c r="B92" s="115">
        <f t="shared" si="2"/>
        <v>29</v>
      </c>
      <c r="C92" s="115">
        <f t="shared" si="3"/>
        <v>3</v>
      </c>
      <c r="D92" s="113" t="str" cm="1">
        <f t="array" ref="D92">INDEX('Chemo-Map-1'!$I$7:$K$104,1+B92,C92)</f>
        <v/>
      </c>
    </row>
    <row r="93" spans="1:4" x14ac:dyDescent="0.75">
      <c r="A93" s="115">
        <v>91</v>
      </c>
      <c r="B93" s="115">
        <f t="shared" si="2"/>
        <v>30</v>
      </c>
      <c r="C93" s="115">
        <f t="shared" si="3"/>
        <v>1</v>
      </c>
      <c r="D93" s="113" t="str" cm="1">
        <f t="array" ref="D93">INDEX('Chemo-Map-1'!$I$7:$K$104,1+B93,C93)</f>
        <v/>
      </c>
    </row>
    <row r="94" spans="1:4" x14ac:dyDescent="0.75">
      <c r="A94" s="115">
        <v>92</v>
      </c>
      <c r="B94" s="115">
        <f t="shared" si="2"/>
        <v>30</v>
      </c>
      <c r="C94" s="115">
        <f t="shared" si="3"/>
        <v>2</v>
      </c>
      <c r="D94" s="113" t="str" cm="1">
        <f t="array" ref="D94">INDEX('Chemo-Map-1'!$I$7:$K$104,1+B94,C94)</f>
        <v/>
      </c>
    </row>
    <row r="95" spans="1:4" x14ac:dyDescent="0.75">
      <c r="A95" s="115">
        <v>93</v>
      </c>
      <c r="B95" s="115">
        <f t="shared" si="2"/>
        <v>30</v>
      </c>
      <c r="C95" s="115">
        <f t="shared" si="3"/>
        <v>3</v>
      </c>
      <c r="D95" s="113" t="str" cm="1">
        <f t="array" ref="D95">INDEX('Chemo-Map-1'!$I$7:$K$104,1+B95,C95)</f>
        <v/>
      </c>
    </row>
    <row r="96" spans="1:4" x14ac:dyDescent="0.75">
      <c r="A96" s="115">
        <v>94</v>
      </c>
      <c r="B96" s="115">
        <f t="shared" si="2"/>
        <v>31</v>
      </c>
      <c r="C96" s="115">
        <f t="shared" si="3"/>
        <v>1</v>
      </c>
      <c r="D96" s="113" t="str" cm="1">
        <f t="array" ref="D96">INDEX('Chemo-Map-1'!$I$7:$K$104,1+B96,C96)</f>
        <v/>
      </c>
    </row>
    <row r="97" spans="1:4" x14ac:dyDescent="0.75">
      <c r="A97" s="115">
        <v>95</v>
      </c>
      <c r="B97" s="115">
        <f t="shared" si="2"/>
        <v>31</v>
      </c>
      <c r="C97" s="115">
        <f t="shared" si="3"/>
        <v>2</v>
      </c>
      <c r="D97" s="113" t="str" cm="1">
        <f t="array" ref="D97">INDEX('Chemo-Map-1'!$I$7:$K$104,1+B97,C97)</f>
        <v/>
      </c>
    </row>
    <row r="98" spans="1:4" x14ac:dyDescent="0.75">
      <c r="A98" s="115">
        <v>96</v>
      </c>
      <c r="B98" s="115">
        <f t="shared" si="2"/>
        <v>31</v>
      </c>
      <c r="C98" s="115">
        <f t="shared" si="3"/>
        <v>3</v>
      </c>
      <c r="D98" s="113" t="str" cm="1">
        <f t="array" ref="D98">INDEX('Chemo-Map-1'!$I$7:$K$104,1+B98,C98)</f>
        <v/>
      </c>
    </row>
    <row r="99" spans="1:4" x14ac:dyDescent="0.75">
      <c r="A99" s="115">
        <v>97</v>
      </c>
      <c r="B99" s="115">
        <f t="shared" si="2"/>
        <v>32</v>
      </c>
      <c r="C99" s="115">
        <f t="shared" si="3"/>
        <v>1</v>
      </c>
      <c r="D99" s="113" t="str" cm="1">
        <f t="array" ref="D99">INDEX('Chemo-Map-1'!$I$7:$K$104,1+B99,C99)</f>
        <v/>
      </c>
    </row>
    <row r="100" spans="1:4" x14ac:dyDescent="0.75">
      <c r="A100" s="115">
        <v>98</v>
      </c>
      <c r="B100" s="115">
        <f t="shared" si="2"/>
        <v>32</v>
      </c>
      <c r="C100" s="115">
        <f t="shared" si="3"/>
        <v>2</v>
      </c>
      <c r="D100" s="113" t="str" cm="1">
        <f t="array" ref="D100">INDEX('Chemo-Map-1'!$I$7:$K$104,1+B100,C100)</f>
        <v/>
      </c>
    </row>
    <row r="101" spans="1:4" x14ac:dyDescent="0.75">
      <c r="A101" s="115">
        <v>99</v>
      </c>
      <c r="B101" s="115">
        <f t="shared" si="2"/>
        <v>32</v>
      </c>
      <c r="C101" s="115">
        <f t="shared" si="3"/>
        <v>3</v>
      </c>
      <c r="D101" s="113" t="str" cm="1">
        <f t="array" ref="D101">INDEX('Chemo-Map-1'!$I$7:$K$104,1+B101,C101)</f>
        <v/>
      </c>
    </row>
    <row r="102" spans="1:4" x14ac:dyDescent="0.75">
      <c r="A102" s="115">
        <v>100</v>
      </c>
      <c r="B102" s="115">
        <f t="shared" si="2"/>
        <v>33</v>
      </c>
      <c r="C102" s="115">
        <f t="shared" si="3"/>
        <v>1</v>
      </c>
      <c r="D102" s="113" t="str" cm="1">
        <f t="array" ref="D102">INDEX('Chemo-Map-1'!$I$7:$K$104,1+B102,C102)</f>
        <v/>
      </c>
    </row>
    <row r="103" spans="1:4" x14ac:dyDescent="0.75">
      <c r="A103" s="115">
        <v>101</v>
      </c>
      <c r="B103" s="115">
        <f t="shared" si="2"/>
        <v>33</v>
      </c>
      <c r="C103" s="115">
        <f t="shared" si="3"/>
        <v>2</v>
      </c>
      <c r="D103" s="113" t="str" cm="1">
        <f t="array" ref="D103">INDEX('Chemo-Map-1'!$I$7:$K$104,1+B103,C103)</f>
        <v/>
      </c>
    </row>
    <row r="104" spans="1:4" x14ac:dyDescent="0.75">
      <c r="A104" s="115">
        <v>102</v>
      </c>
      <c r="B104" s="115">
        <f t="shared" si="2"/>
        <v>33</v>
      </c>
      <c r="C104" s="115">
        <f t="shared" si="3"/>
        <v>3</v>
      </c>
      <c r="D104" s="113" t="str" cm="1">
        <f t="array" ref="D104">INDEX('Chemo-Map-1'!$I$7:$K$104,1+B104,C104)</f>
        <v/>
      </c>
    </row>
    <row r="105" spans="1:4" x14ac:dyDescent="0.75">
      <c r="A105" s="115">
        <v>103</v>
      </c>
      <c r="B105" s="115">
        <f t="shared" si="2"/>
        <v>34</v>
      </c>
      <c r="C105" s="115">
        <f t="shared" si="3"/>
        <v>1</v>
      </c>
      <c r="D105" s="113" t="str" cm="1">
        <f t="array" ref="D105">INDEX('Chemo-Map-1'!$I$7:$K$104,1+B105,C105)</f>
        <v/>
      </c>
    </row>
    <row r="106" spans="1:4" x14ac:dyDescent="0.75">
      <c r="A106" s="115">
        <v>104</v>
      </c>
      <c r="B106" s="115">
        <f t="shared" si="2"/>
        <v>34</v>
      </c>
      <c r="C106" s="115">
        <f t="shared" si="3"/>
        <v>2</v>
      </c>
      <c r="D106" s="113" t="str" cm="1">
        <f t="array" ref="D106">INDEX('Chemo-Map-1'!$I$7:$K$104,1+B106,C106)</f>
        <v/>
      </c>
    </row>
    <row r="107" spans="1:4" x14ac:dyDescent="0.75">
      <c r="A107" s="115">
        <v>105</v>
      </c>
      <c r="B107" s="115">
        <f t="shared" si="2"/>
        <v>34</v>
      </c>
      <c r="C107" s="115">
        <f t="shared" si="3"/>
        <v>3</v>
      </c>
      <c r="D107" s="113" t="str" cm="1">
        <f t="array" ref="D107">INDEX('Chemo-Map-1'!$I$7:$K$104,1+B107,C107)</f>
        <v/>
      </c>
    </row>
    <row r="108" spans="1:4" x14ac:dyDescent="0.75">
      <c r="A108" s="115">
        <v>106</v>
      </c>
      <c r="B108" s="115">
        <f t="shared" si="2"/>
        <v>35</v>
      </c>
      <c r="C108" s="115">
        <f t="shared" si="3"/>
        <v>1</v>
      </c>
      <c r="D108" s="113" t="str" cm="1">
        <f t="array" ref="D108">INDEX('Chemo-Map-1'!$I$7:$K$104,1+B108,C108)</f>
        <v/>
      </c>
    </row>
    <row r="109" spans="1:4" x14ac:dyDescent="0.75">
      <c r="A109" s="115">
        <v>107</v>
      </c>
      <c r="B109" s="115">
        <f t="shared" si="2"/>
        <v>35</v>
      </c>
      <c r="C109" s="115">
        <f t="shared" si="3"/>
        <v>2</v>
      </c>
      <c r="D109" s="113" t="str" cm="1">
        <f t="array" ref="D109">INDEX('Chemo-Map-1'!$I$7:$K$104,1+B109,C109)</f>
        <v/>
      </c>
    </row>
    <row r="110" spans="1:4" x14ac:dyDescent="0.75">
      <c r="A110" s="115">
        <v>108</v>
      </c>
      <c r="B110" s="115">
        <f t="shared" si="2"/>
        <v>35</v>
      </c>
      <c r="C110" s="115">
        <f t="shared" si="3"/>
        <v>3</v>
      </c>
      <c r="D110" s="113" t="str" cm="1">
        <f t="array" ref="D110">INDEX('Chemo-Map-1'!$I$7:$K$104,1+B110,C110)</f>
        <v/>
      </c>
    </row>
    <row r="111" spans="1:4" x14ac:dyDescent="0.75">
      <c r="A111" s="115">
        <v>109</v>
      </c>
      <c r="B111" s="115">
        <f t="shared" si="2"/>
        <v>36</v>
      </c>
      <c r="C111" s="115">
        <f t="shared" si="3"/>
        <v>1</v>
      </c>
      <c r="D111" s="113" t="str" cm="1">
        <f t="array" ref="D111">INDEX('Chemo-Map-1'!$I$7:$K$104,1+B111,C111)</f>
        <v/>
      </c>
    </row>
    <row r="112" spans="1:4" x14ac:dyDescent="0.75">
      <c r="A112" s="115">
        <v>110</v>
      </c>
      <c r="B112" s="115">
        <f t="shared" si="2"/>
        <v>36</v>
      </c>
      <c r="C112" s="115">
        <f t="shared" si="3"/>
        <v>2</v>
      </c>
      <c r="D112" s="113" t="str" cm="1">
        <f t="array" ref="D112">INDEX('Chemo-Map-1'!$I$7:$K$104,1+B112,C112)</f>
        <v/>
      </c>
    </row>
    <row r="113" spans="1:4" x14ac:dyDescent="0.75">
      <c r="A113" s="115">
        <v>111</v>
      </c>
      <c r="B113" s="115">
        <f t="shared" si="2"/>
        <v>36</v>
      </c>
      <c r="C113" s="115">
        <f t="shared" si="3"/>
        <v>3</v>
      </c>
      <c r="D113" s="113" t="str" cm="1">
        <f t="array" ref="D113">INDEX('Chemo-Map-1'!$I$7:$K$104,1+B113,C113)</f>
        <v/>
      </c>
    </row>
    <row r="114" spans="1:4" x14ac:dyDescent="0.75">
      <c r="A114" s="115">
        <v>112</v>
      </c>
      <c r="B114" s="115">
        <f t="shared" si="2"/>
        <v>37</v>
      </c>
      <c r="C114" s="115">
        <f t="shared" si="3"/>
        <v>1</v>
      </c>
      <c r="D114" s="113" t="str" cm="1">
        <f t="array" ref="D114">INDEX('Chemo-Map-1'!$I$7:$K$104,1+B114,C114)</f>
        <v/>
      </c>
    </row>
    <row r="115" spans="1:4" x14ac:dyDescent="0.75">
      <c r="A115" s="115">
        <v>113</v>
      </c>
      <c r="B115" s="115">
        <f t="shared" si="2"/>
        <v>37</v>
      </c>
      <c r="C115" s="115">
        <f t="shared" si="3"/>
        <v>2</v>
      </c>
      <c r="D115" s="113" t="str" cm="1">
        <f t="array" ref="D115">INDEX('Chemo-Map-1'!$I$7:$K$104,1+B115,C115)</f>
        <v/>
      </c>
    </row>
    <row r="116" spans="1:4" x14ac:dyDescent="0.75">
      <c r="A116" s="115">
        <v>114</v>
      </c>
      <c r="B116" s="115">
        <f t="shared" si="2"/>
        <v>37</v>
      </c>
      <c r="C116" s="115">
        <f t="shared" si="3"/>
        <v>3</v>
      </c>
      <c r="D116" s="113" t="str" cm="1">
        <f t="array" ref="D116">INDEX('Chemo-Map-1'!$I$7:$K$104,1+B116,C116)</f>
        <v/>
      </c>
    </row>
    <row r="117" spans="1:4" x14ac:dyDescent="0.75">
      <c r="A117" s="115">
        <v>115</v>
      </c>
      <c r="B117" s="115">
        <f t="shared" si="2"/>
        <v>38</v>
      </c>
      <c r="C117" s="115">
        <f t="shared" si="3"/>
        <v>1</v>
      </c>
      <c r="D117" s="113" t="str" cm="1">
        <f t="array" ref="D117">INDEX('Chemo-Map-1'!$I$7:$K$104,1+B117,C117)</f>
        <v/>
      </c>
    </row>
    <row r="118" spans="1:4" x14ac:dyDescent="0.75">
      <c r="A118" s="115">
        <v>116</v>
      </c>
      <c r="B118" s="115">
        <f t="shared" si="2"/>
        <v>38</v>
      </c>
      <c r="C118" s="115">
        <f t="shared" si="3"/>
        <v>2</v>
      </c>
      <c r="D118" s="113" t="str" cm="1">
        <f t="array" ref="D118">INDEX('Chemo-Map-1'!$I$7:$K$104,1+B118,C118)</f>
        <v/>
      </c>
    </row>
    <row r="119" spans="1:4" x14ac:dyDescent="0.75">
      <c r="A119" s="115">
        <v>117</v>
      </c>
      <c r="B119" s="115">
        <f t="shared" si="2"/>
        <v>38</v>
      </c>
      <c r="C119" s="115">
        <f t="shared" si="3"/>
        <v>3</v>
      </c>
      <c r="D119" s="113" t="str" cm="1">
        <f t="array" ref="D119">INDEX('Chemo-Map-1'!$I$7:$K$104,1+B119,C119)</f>
        <v/>
      </c>
    </row>
    <row r="120" spans="1:4" x14ac:dyDescent="0.75">
      <c r="A120" s="115">
        <v>118</v>
      </c>
      <c r="B120" s="115">
        <f t="shared" si="2"/>
        <v>39</v>
      </c>
      <c r="C120" s="115">
        <f t="shared" si="3"/>
        <v>1</v>
      </c>
      <c r="D120" s="113" t="str" cm="1">
        <f t="array" ref="D120">INDEX('Chemo-Map-1'!$I$7:$K$104,1+B120,C120)</f>
        <v/>
      </c>
    </row>
    <row r="121" spans="1:4" x14ac:dyDescent="0.75">
      <c r="A121" s="115">
        <v>119</v>
      </c>
      <c r="B121" s="115">
        <f t="shared" si="2"/>
        <v>39</v>
      </c>
      <c r="C121" s="115">
        <f t="shared" si="3"/>
        <v>2</v>
      </c>
      <c r="D121" s="113" t="str" cm="1">
        <f t="array" ref="D121">INDEX('Chemo-Map-1'!$I$7:$K$104,1+B121,C121)</f>
        <v/>
      </c>
    </row>
    <row r="122" spans="1:4" x14ac:dyDescent="0.75">
      <c r="A122" s="115">
        <v>120</v>
      </c>
      <c r="B122" s="115">
        <f t="shared" si="2"/>
        <v>39</v>
      </c>
      <c r="C122" s="115">
        <f t="shared" si="3"/>
        <v>3</v>
      </c>
      <c r="D122" s="113" t="str" cm="1">
        <f t="array" ref="D122">INDEX('Chemo-Map-1'!$I$7:$K$104,1+B122,C122)</f>
        <v/>
      </c>
    </row>
    <row r="123" spans="1:4" x14ac:dyDescent="0.75">
      <c r="A123" s="115">
        <v>121</v>
      </c>
      <c r="B123" s="115">
        <f t="shared" si="2"/>
        <v>40</v>
      </c>
      <c r="C123" s="115">
        <f t="shared" si="3"/>
        <v>1</v>
      </c>
      <c r="D123" s="113" t="str" cm="1">
        <f t="array" ref="D123">INDEX('Chemo-Map-1'!$I$7:$K$104,1+B123,C123)</f>
        <v/>
      </c>
    </row>
    <row r="124" spans="1:4" x14ac:dyDescent="0.75">
      <c r="A124" s="115">
        <v>122</v>
      </c>
      <c r="B124" s="115">
        <f t="shared" si="2"/>
        <v>40</v>
      </c>
      <c r="C124" s="115">
        <f t="shared" si="3"/>
        <v>2</v>
      </c>
      <c r="D124" s="113" t="str" cm="1">
        <f t="array" ref="D124">INDEX('Chemo-Map-1'!$I$7:$K$104,1+B124,C124)</f>
        <v/>
      </c>
    </row>
    <row r="125" spans="1:4" x14ac:dyDescent="0.75">
      <c r="A125" s="115">
        <v>123</v>
      </c>
      <c r="B125" s="115">
        <f t="shared" si="2"/>
        <v>40</v>
      </c>
      <c r="C125" s="115">
        <f t="shared" si="3"/>
        <v>3</v>
      </c>
      <c r="D125" s="113" t="str" cm="1">
        <f t="array" ref="D125">INDEX('Chemo-Map-1'!$I$7:$K$104,1+B125,C125)</f>
        <v/>
      </c>
    </row>
    <row r="126" spans="1:4" x14ac:dyDescent="0.75">
      <c r="A126" s="115">
        <v>124</v>
      </c>
      <c r="B126" s="115">
        <f t="shared" si="2"/>
        <v>41</v>
      </c>
      <c r="C126" s="115">
        <f t="shared" si="3"/>
        <v>1</v>
      </c>
      <c r="D126" s="113" t="str" cm="1">
        <f t="array" ref="D126">INDEX('Chemo-Map-1'!$I$7:$K$104,1+B126,C126)</f>
        <v/>
      </c>
    </row>
    <row r="127" spans="1:4" x14ac:dyDescent="0.75">
      <c r="A127" s="115">
        <v>125</v>
      </c>
      <c r="B127" s="115">
        <f t="shared" si="2"/>
        <v>41</v>
      </c>
      <c r="C127" s="115">
        <f t="shared" si="3"/>
        <v>2</v>
      </c>
      <c r="D127" s="113" t="str" cm="1">
        <f t="array" ref="D127">INDEX('Chemo-Map-1'!$I$7:$K$104,1+B127,C127)</f>
        <v/>
      </c>
    </row>
    <row r="128" spans="1:4" x14ac:dyDescent="0.75">
      <c r="A128" s="115">
        <v>126</v>
      </c>
      <c r="B128" s="115">
        <f t="shared" si="2"/>
        <v>41</v>
      </c>
      <c r="C128" s="115">
        <f t="shared" si="3"/>
        <v>3</v>
      </c>
      <c r="D128" s="113" t="str" cm="1">
        <f t="array" ref="D128">INDEX('Chemo-Map-1'!$I$7:$K$104,1+B128,C128)</f>
        <v/>
      </c>
    </row>
    <row r="129" spans="1:4" x14ac:dyDescent="0.75">
      <c r="A129" s="115">
        <v>127</v>
      </c>
      <c r="B129" s="115">
        <f t="shared" si="2"/>
        <v>42</v>
      </c>
      <c r="C129" s="115">
        <f t="shared" si="3"/>
        <v>1</v>
      </c>
      <c r="D129" s="113" t="str" cm="1">
        <f t="array" ref="D129">INDEX('Chemo-Map-1'!$I$7:$K$104,1+B129,C129)</f>
        <v/>
      </c>
    </row>
    <row r="130" spans="1:4" x14ac:dyDescent="0.75">
      <c r="A130" s="115">
        <v>128</v>
      </c>
      <c r="B130" s="115">
        <f t="shared" si="2"/>
        <v>42</v>
      </c>
      <c r="C130" s="115">
        <f t="shared" si="3"/>
        <v>2</v>
      </c>
      <c r="D130" s="113" t="str" cm="1">
        <f t="array" ref="D130">INDEX('Chemo-Map-1'!$I$7:$K$104,1+B130,C130)</f>
        <v/>
      </c>
    </row>
    <row r="131" spans="1:4" x14ac:dyDescent="0.75">
      <c r="A131" s="115">
        <v>129</v>
      </c>
      <c r="B131" s="115">
        <f t="shared" si="2"/>
        <v>42</v>
      </c>
      <c r="C131" s="115">
        <f t="shared" si="3"/>
        <v>3</v>
      </c>
      <c r="D131" s="113" t="str" cm="1">
        <f t="array" ref="D131">INDEX('Chemo-Map-1'!$I$7:$K$104,1+B131,C131)</f>
        <v/>
      </c>
    </row>
    <row r="132" spans="1:4" x14ac:dyDescent="0.75">
      <c r="A132" s="115">
        <v>130</v>
      </c>
      <c r="B132" s="115">
        <f t="shared" ref="B132:B195" si="4">IF(MOD(A132,3)=0,A132/3-1,INT(A132/3))</f>
        <v>43</v>
      </c>
      <c r="C132" s="115">
        <f t="shared" ref="C132:C195" si="5">IF(MOD(A132,3)=0,3,MOD(A132,3))</f>
        <v>1</v>
      </c>
      <c r="D132" s="113" t="str" cm="1">
        <f t="array" ref="D132">INDEX('Chemo-Map-1'!$I$7:$K$104,1+B132,C132)</f>
        <v/>
      </c>
    </row>
    <row r="133" spans="1:4" x14ac:dyDescent="0.75">
      <c r="A133" s="115">
        <v>131</v>
      </c>
      <c r="B133" s="115">
        <f t="shared" si="4"/>
        <v>43</v>
      </c>
      <c r="C133" s="115">
        <f t="shared" si="5"/>
        <v>2</v>
      </c>
      <c r="D133" s="113" t="str" cm="1">
        <f t="array" ref="D133">INDEX('Chemo-Map-1'!$I$7:$K$104,1+B133,C133)</f>
        <v/>
      </c>
    </row>
    <row r="134" spans="1:4" x14ac:dyDescent="0.75">
      <c r="A134" s="115">
        <v>132</v>
      </c>
      <c r="B134" s="115">
        <f t="shared" si="4"/>
        <v>43</v>
      </c>
      <c r="C134" s="115">
        <f t="shared" si="5"/>
        <v>3</v>
      </c>
      <c r="D134" s="113" t="str" cm="1">
        <f t="array" ref="D134">INDEX('Chemo-Map-1'!$I$7:$K$104,1+B134,C134)</f>
        <v/>
      </c>
    </row>
    <row r="135" spans="1:4" x14ac:dyDescent="0.75">
      <c r="A135" s="115">
        <v>133</v>
      </c>
      <c r="B135" s="115">
        <f t="shared" si="4"/>
        <v>44</v>
      </c>
      <c r="C135" s="115">
        <f t="shared" si="5"/>
        <v>1</v>
      </c>
    </row>
    <row r="136" spans="1:4" x14ac:dyDescent="0.75">
      <c r="A136" s="115">
        <v>134</v>
      </c>
      <c r="B136" s="115">
        <f t="shared" si="4"/>
        <v>44</v>
      </c>
      <c r="C136" s="115">
        <f t="shared" si="5"/>
        <v>2</v>
      </c>
    </row>
    <row r="137" spans="1:4" x14ac:dyDescent="0.75">
      <c r="A137" s="115">
        <v>135</v>
      </c>
      <c r="B137" s="115">
        <f t="shared" si="4"/>
        <v>44</v>
      </c>
      <c r="C137" s="115">
        <f t="shared" si="5"/>
        <v>3</v>
      </c>
    </row>
    <row r="138" spans="1:4" x14ac:dyDescent="0.75">
      <c r="A138" s="115">
        <v>136</v>
      </c>
      <c r="B138" s="115">
        <f t="shared" si="4"/>
        <v>45</v>
      </c>
      <c r="C138" s="115">
        <f t="shared" si="5"/>
        <v>1</v>
      </c>
    </row>
    <row r="139" spans="1:4" x14ac:dyDescent="0.75">
      <c r="A139" s="115">
        <v>137</v>
      </c>
      <c r="B139" s="115">
        <f t="shared" si="4"/>
        <v>45</v>
      </c>
      <c r="C139" s="115">
        <f t="shared" si="5"/>
        <v>2</v>
      </c>
    </row>
    <row r="140" spans="1:4" x14ac:dyDescent="0.75">
      <c r="A140" s="115">
        <v>138</v>
      </c>
      <c r="B140" s="115">
        <f t="shared" si="4"/>
        <v>45</v>
      </c>
      <c r="C140" s="115">
        <f t="shared" si="5"/>
        <v>3</v>
      </c>
    </row>
    <row r="141" spans="1:4" x14ac:dyDescent="0.75">
      <c r="A141" s="115">
        <v>139</v>
      </c>
      <c r="B141" s="115">
        <f t="shared" si="4"/>
        <v>46</v>
      </c>
      <c r="C141" s="115">
        <f t="shared" si="5"/>
        <v>1</v>
      </c>
    </row>
    <row r="142" spans="1:4" x14ac:dyDescent="0.75">
      <c r="A142" s="115">
        <v>140</v>
      </c>
      <c r="B142" s="115">
        <f t="shared" si="4"/>
        <v>46</v>
      </c>
      <c r="C142" s="115">
        <f t="shared" si="5"/>
        <v>2</v>
      </c>
    </row>
    <row r="143" spans="1:4" x14ac:dyDescent="0.75">
      <c r="A143" s="115">
        <v>141</v>
      </c>
      <c r="B143" s="115">
        <f t="shared" si="4"/>
        <v>46</v>
      </c>
      <c r="C143" s="115">
        <f t="shared" si="5"/>
        <v>3</v>
      </c>
    </row>
    <row r="144" spans="1:4" x14ac:dyDescent="0.75">
      <c r="A144" s="115">
        <v>142</v>
      </c>
      <c r="B144" s="115">
        <f t="shared" si="4"/>
        <v>47</v>
      </c>
      <c r="C144" s="115">
        <f t="shared" si="5"/>
        <v>1</v>
      </c>
    </row>
    <row r="145" spans="1:3" x14ac:dyDescent="0.75">
      <c r="A145" s="115">
        <v>143</v>
      </c>
      <c r="B145" s="115">
        <f t="shared" si="4"/>
        <v>47</v>
      </c>
      <c r="C145" s="115">
        <f t="shared" si="5"/>
        <v>2</v>
      </c>
    </row>
    <row r="146" spans="1:3" x14ac:dyDescent="0.75">
      <c r="A146" s="115">
        <v>144</v>
      </c>
      <c r="B146" s="115">
        <f t="shared" si="4"/>
        <v>47</v>
      </c>
      <c r="C146" s="115">
        <f t="shared" si="5"/>
        <v>3</v>
      </c>
    </row>
    <row r="147" spans="1:3" x14ac:dyDescent="0.75">
      <c r="A147" s="115">
        <v>145</v>
      </c>
      <c r="B147" s="115">
        <f t="shared" si="4"/>
        <v>48</v>
      </c>
      <c r="C147" s="115">
        <f t="shared" si="5"/>
        <v>1</v>
      </c>
    </row>
    <row r="148" spans="1:3" x14ac:dyDescent="0.75">
      <c r="A148" s="115">
        <v>146</v>
      </c>
      <c r="B148" s="115">
        <f t="shared" si="4"/>
        <v>48</v>
      </c>
      <c r="C148" s="115">
        <f t="shared" si="5"/>
        <v>2</v>
      </c>
    </row>
    <row r="149" spans="1:3" x14ac:dyDescent="0.75">
      <c r="A149" s="115">
        <v>147</v>
      </c>
      <c r="B149" s="115">
        <f t="shared" si="4"/>
        <v>48</v>
      </c>
      <c r="C149" s="115">
        <f t="shared" si="5"/>
        <v>3</v>
      </c>
    </row>
    <row r="150" spans="1:3" x14ac:dyDescent="0.75">
      <c r="A150" s="115">
        <v>148</v>
      </c>
      <c r="B150" s="115">
        <f t="shared" si="4"/>
        <v>49</v>
      </c>
      <c r="C150" s="115">
        <f t="shared" si="5"/>
        <v>1</v>
      </c>
    </row>
    <row r="151" spans="1:3" x14ac:dyDescent="0.75">
      <c r="A151" s="115">
        <v>149</v>
      </c>
      <c r="B151" s="115">
        <f t="shared" si="4"/>
        <v>49</v>
      </c>
      <c r="C151" s="115">
        <f t="shared" si="5"/>
        <v>2</v>
      </c>
    </row>
    <row r="152" spans="1:3" x14ac:dyDescent="0.75">
      <c r="A152" s="115">
        <v>150</v>
      </c>
      <c r="B152" s="115">
        <f t="shared" si="4"/>
        <v>49</v>
      </c>
      <c r="C152" s="115">
        <f t="shared" si="5"/>
        <v>3</v>
      </c>
    </row>
    <row r="153" spans="1:3" x14ac:dyDescent="0.75">
      <c r="A153" s="115">
        <v>151</v>
      </c>
      <c r="B153" s="115">
        <f t="shared" si="4"/>
        <v>50</v>
      </c>
      <c r="C153" s="115">
        <f t="shared" si="5"/>
        <v>1</v>
      </c>
    </row>
    <row r="154" spans="1:3" x14ac:dyDescent="0.75">
      <c r="A154" s="115">
        <v>152</v>
      </c>
      <c r="B154" s="115">
        <f t="shared" si="4"/>
        <v>50</v>
      </c>
      <c r="C154" s="115">
        <f t="shared" si="5"/>
        <v>2</v>
      </c>
    </row>
    <row r="155" spans="1:3" x14ac:dyDescent="0.75">
      <c r="A155" s="115">
        <v>153</v>
      </c>
      <c r="B155" s="115">
        <f t="shared" si="4"/>
        <v>50</v>
      </c>
      <c r="C155" s="115">
        <f t="shared" si="5"/>
        <v>3</v>
      </c>
    </row>
    <row r="156" spans="1:3" x14ac:dyDescent="0.75">
      <c r="A156" s="115">
        <v>154</v>
      </c>
      <c r="B156" s="115">
        <f t="shared" si="4"/>
        <v>51</v>
      </c>
      <c r="C156" s="115">
        <f t="shared" si="5"/>
        <v>1</v>
      </c>
    </row>
    <row r="157" spans="1:3" x14ac:dyDescent="0.75">
      <c r="A157" s="115">
        <v>155</v>
      </c>
      <c r="B157" s="115">
        <f t="shared" si="4"/>
        <v>51</v>
      </c>
      <c r="C157" s="115">
        <f t="shared" si="5"/>
        <v>2</v>
      </c>
    </row>
    <row r="158" spans="1:3" x14ac:dyDescent="0.75">
      <c r="A158" s="115">
        <v>156</v>
      </c>
      <c r="B158" s="115">
        <f t="shared" si="4"/>
        <v>51</v>
      </c>
      <c r="C158" s="115">
        <f t="shared" si="5"/>
        <v>3</v>
      </c>
    </row>
    <row r="159" spans="1:3" x14ac:dyDescent="0.75">
      <c r="A159" s="115">
        <v>157</v>
      </c>
      <c r="B159" s="115">
        <f t="shared" si="4"/>
        <v>52</v>
      </c>
      <c r="C159" s="115">
        <f t="shared" si="5"/>
        <v>1</v>
      </c>
    </row>
    <row r="160" spans="1:3" x14ac:dyDescent="0.75">
      <c r="A160" s="115">
        <v>158</v>
      </c>
      <c r="B160" s="115">
        <f t="shared" si="4"/>
        <v>52</v>
      </c>
      <c r="C160" s="115">
        <f t="shared" si="5"/>
        <v>2</v>
      </c>
    </row>
    <row r="161" spans="1:3" x14ac:dyDescent="0.75">
      <c r="A161" s="115">
        <v>159</v>
      </c>
      <c r="B161" s="115">
        <f t="shared" si="4"/>
        <v>52</v>
      </c>
      <c r="C161" s="115">
        <f t="shared" si="5"/>
        <v>3</v>
      </c>
    </row>
    <row r="162" spans="1:3" x14ac:dyDescent="0.75">
      <c r="A162" s="115">
        <v>160</v>
      </c>
      <c r="B162" s="115">
        <f t="shared" si="4"/>
        <v>53</v>
      </c>
      <c r="C162" s="115">
        <f t="shared" si="5"/>
        <v>1</v>
      </c>
    </row>
    <row r="163" spans="1:3" x14ac:dyDescent="0.75">
      <c r="A163" s="115">
        <v>161</v>
      </c>
      <c r="B163" s="115">
        <f t="shared" si="4"/>
        <v>53</v>
      </c>
      <c r="C163" s="115">
        <f t="shared" si="5"/>
        <v>2</v>
      </c>
    </row>
    <row r="164" spans="1:3" x14ac:dyDescent="0.75">
      <c r="A164" s="115">
        <v>162</v>
      </c>
      <c r="B164" s="115">
        <f t="shared" si="4"/>
        <v>53</v>
      </c>
      <c r="C164" s="115">
        <f t="shared" si="5"/>
        <v>3</v>
      </c>
    </row>
    <row r="165" spans="1:3" x14ac:dyDescent="0.75">
      <c r="A165" s="115">
        <v>163</v>
      </c>
      <c r="B165" s="115">
        <f t="shared" si="4"/>
        <v>54</v>
      </c>
      <c r="C165" s="115">
        <f t="shared" si="5"/>
        <v>1</v>
      </c>
    </row>
    <row r="166" spans="1:3" x14ac:dyDescent="0.75">
      <c r="A166" s="115">
        <v>164</v>
      </c>
      <c r="B166" s="115">
        <f t="shared" si="4"/>
        <v>54</v>
      </c>
      <c r="C166" s="115">
        <f t="shared" si="5"/>
        <v>2</v>
      </c>
    </row>
    <row r="167" spans="1:3" x14ac:dyDescent="0.75">
      <c r="A167" s="115">
        <v>165</v>
      </c>
      <c r="B167" s="115">
        <f t="shared" si="4"/>
        <v>54</v>
      </c>
      <c r="C167" s="115">
        <f t="shared" si="5"/>
        <v>3</v>
      </c>
    </row>
    <row r="168" spans="1:3" x14ac:dyDescent="0.75">
      <c r="A168" s="115">
        <v>166</v>
      </c>
      <c r="B168" s="115">
        <f t="shared" si="4"/>
        <v>55</v>
      </c>
      <c r="C168" s="115">
        <f t="shared" si="5"/>
        <v>1</v>
      </c>
    </row>
    <row r="169" spans="1:3" x14ac:dyDescent="0.75">
      <c r="A169" s="115">
        <v>167</v>
      </c>
      <c r="B169" s="115">
        <f t="shared" si="4"/>
        <v>55</v>
      </c>
      <c r="C169" s="115">
        <f t="shared" si="5"/>
        <v>2</v>
      </c>
    </row>
    <row r="170" spans="1:3" x14ac:dyDescent="0.75">
      <c r="A170" s="115">
        <v>168</v>
      </c>
      <c r="B170" s="115">
        <f t="shared" si="4"/>
        <v>55</v>
      </c>
      <c r="C170" s="115">
        <f t="shared" si="5"/>
        <v>3</v>
      </c>
    </row>
    <row r="171" spans="1:3" x14ac:dyDescent="0.75">
      <c r="A171" s="115">
        <v>169</v>
      </c>
      <c r="B171" s="115">
        <f t="shared" si="4"/>
        <v>56</v>
      </c>
      <c r="C171" s="115">
        <f t="shared" si="5"/>
        <v>1</v>
      </c>
    </row>
    <row r="172" spans="1:3" x14ac:dyDescent="0.75">
      <c r="A172" s="115">
        <v>170</v>
      </c>
      <c r="B172" s="115">
        <f t="shared" si="4"/>
        <v>56</v>
      </c>
      <c r="C172" s="115">
        <f t="shared" si="5"/>
        <v>2</v>
      </c>
    </row>
    <row r="173" spans="1:3" x14ac:dyDescent="0.75">
      <c r="A173" s="115">
        <v>171</v>
      </c>
      <c r="B173" s="115">
        <f t="shared" si="4"/>
        <v>56</v>
      </c>
      <c r="C173" s="115">
        <f t="shared" si="5"/>
        <v>3</v>
      </c>
    </row>
    <row r="174" spans="1:3" x14ac:dyDescent="0.75">
      <c r="A174" s="115">
        <v>172</v>
      </c>
      <c r="B174" s="115">
        <f t="shared" si="4"/>
        <v>57</v>
      </c>
      <c r="C174" s="115">
        <f t="shared" si="5"/>
        <v>1</v>
      </c>
    </row>
    <row r="175" spans="1:3" x14ac:dyDescent="0.75">
      <c r="A175" s="115">
        <v>173</v>
      </c>
      <c r="B175" s="115">
        <f t="shared" si="4"/>
        <v>57</v>
      </c>
      <c r="C175" s="115">
        <f t="shared" si="5"/>
        <v>2</v>
      </c>
    </row>
    <row r="176" spans="1:3" x14ac:dyDescent="0.75">
      <c r="A176" s="115">
        <v>174</v>
      </c>
      <c r="B176" s="115">
        <f t="shared" si="4"/>
        <v>57</v>
      </c>
      <c r="C176" s="115">
        <f t="shared" si="5"/>
        <v>3</v>
      </c>
    </row>
    <row r="177" spans="1:3" x14ac:dyDescent="0.75">
      <c r="A177" s="115">
        <v>175</v>
      </c>
      <c r="B177" s="115">
        <f t="shared" si="4"/>
        <v>58</v>
      </c>
      <c r="C177" s="115">
        <f t="shared" si="5"/>
        <v>1</v>
      </c>
    </row>
    <row r="178" spans="1:3" x14ac:dyDescent="0.75">
      <c r="A178" s="115">
        <v>176</v>
      </c>
      <c r="B178" s="115">
        <f t="shared" si="4"/>
        <v>58</v>
      </c>
      <c r="C178" s="115">
        <f t="shared" si="5"/>
        <v>2</v>
      </c>
    </row>
    <row r="179" spans="1:3" x14ac:dyDescent="0.75">
      <c r="A179" s="115">
        <v>177</v>
      </c>
      <c r="B179" s="115">
        <f t="shared" si="4"/>
        <v>58</v>
      </c>
      <c r="C179" s="115">
        <f t="shared" si="5"/>
        <v>3</v>
      </c>
    </row>
    <row r="180" spans="1:3" x14ac:dyDescent="0.75">
      <c r="A180" s="115">
        <v>178</v>
      </c>
      <c r="B180" s="115">
        <f t="shared" si="4"/>
        <v>59</v>
      </c>
      <c r="C180" s="115">
        <f t="shared" si="5"/>
        <v>1</v>
      </c>
    </row>
    <row r="181" spans="1:3" x14ac:dyDescent="0.75">
      <c r="A181" s="115">
        <v>179</v>
      </c>
      <c r="B181" s="115">
        <f t="shared" si="4"/>
        <v>59</v>
      </c>
      <c r="C181" s="115">
        <f t="shared" si="5"/>
        <v>2</v>
      </c>
    </row>
    <row r="182" spans="1:3" x14ac:dyDescent="0.75">
      <c r="A182" s="115">
        <v>180</v>
      </c>
      <c r="B182" s="115">
        <f t="shared" si="4"/>
        <v>59</v>
      </c>
      <c r="C182" s="115">
        <f t="shared" si="5"/>
        <v>3</v>
      </c>
    </row>
    <row r="183" spans="1:3" x14ac:dyDescent="0.75">
      <c r="A183" s="115">
        <v>181</v>
      </c>
      <c r="B183" s="115">
        <f t="shared" si="4"/>
        <v>60</v>
      </c>
      <c r="C183" s="115">
        <f t="shared" si="5"/>
        <v>1</v>
      </c>
    </row>
    <row r="184" spans="1:3" x14ac:dyDescent="0.75">
      <c r="A184" s="115">
        <v>182</v>
      </c>
      <c r="B184" s="115">
        <f t="shared" si="4"/>
        <v>60</v>
      </c>
      <c r="C184" s="115">
        <f t="shared" si="5"/>
        <v>2</v>
      </c>
    </row>
    <row r="185" spans="1:3" x14ac:dyDescent="0.75">
      <c r="A185" s="115">
        <v>183</v>
      </c>
      <c r="B185" s="115">
        <f t="shared" si="4"/>
        <v>60</v>
      </c>
      <c r="C185" s="115">
        <f t="shared" si="5"/>
        <v>3</v>
      </c>
    </row>
    <row r="186" spans="1:3" x14ac:dyDescent="0.75">
      <c r="A186" s="115">
        <v>184</v>
      </c>
      <c r="B186" s="115">
        <f t="shared" si="4"/>
        <v>61</v>
      </c>
      <c r="C186" s="115">
        <f t="shared" si="5"/>
        <v>1</v>
      </c>
    </row>
    <row r="187" spans="1:3" x14ac:dyDescent="0.75">
      <c r="A187" s="115">
        <v>185</v>
      </c>
      <c r="B187" s="115">
        <f t="shared" si="4"/>
        <v>61</v>
      </c>
      <c r="C187" s="115">
        <f t="shared" si="5"/>
        <v>2</v>
      </c>
    </row>
    <row r="188" spans="1:3" x14ac:dyDescent="0.75">
      <c r="A188" s="115">
        <v>186</v>
      </c>
      <c r="B188" s="115">
        <f t="shared" si="4"/>
        <v>61</v>
      </c>
      <c r="C188" s="115">
        <f t="shared" si="5"/>
        <v>3</v>
      </c>
    </row>
    <row r="189" spans="1:3" x14ac:dyDescent="0.75">
      <c r="A189" s="115">
        <v>187</v>
      </c>
      <c r="B189" s="115">
        <f t="shared" si="4"/>
        <v>62</v>
      </c>
      <c r="C189" s="115">
        <f t="shared" si="5"/>
        <v>1</v>
      </c>
    </row>
    <row r="190" spans="1:3" x14ac:dyDescent="0.75">
      <c r="A190" s="115">
        <v>188</v>
      </c>
      <c r="B190" s="115">
        <f t="shared" si="4"/>
        <v>62</v>
      </c>
      <c r="C190" s="115">
        <f t="shared" si="5"/>
        <v>2</v>
      </c>
    </row>
    <row r="191" spans="1:3" x14ac:dyDescent="0.75">
      <c r="A191" s="115">
        <v>189</v>
      </c>
      <c r="B191" s="115">
        <f t="shared" si="4"/>
        <v>62</v>
      </c>
      <c r="C191" s="115">
        <f t="shared" si="5"/>
        <v>3</v>
      </c>
    </row>
    <row r="192" spans="1:3" x14ac:dyDescent="0.75">
      <c r="A192" s="115">
        <v>190</v>
      </c>
      <c r="B192" s="115">
        <f t="shared" si="4"/>
        <v>63</v>
      </c>
      <c r="C192" s="115">
        <f t="shared" si="5"/>
        <v>1</v>
      </c>
    </row>
    <row r="193" spans="1:3" x14ac:dyDescent="0.75">
      <c r="A193" s="115">
        <v>191</v>
      </c>
      <c r="B193" s="115">
        <f t="shared" si="4"/>
        <v>63</v>
      </c>
      <c r="C193" s="115">
        <f t="shared" si="5"/>
        <v>2</v>
      </c>
    </row>
    <row r="194" spans="1:3" x14ac:dyDescent="0.75">
      <c r="A194" s="115">
        <v>192</v>
      </c>
      <c r="B194" s="115">
        <f t="shared" si="4"/>
        <v>63</v>
      </c>
      <c r="C194" s="115">
        <f t="shared" si="5"/>
        <v>3</v>
      </c>
    </row>
    <row r="195" spans="1:3" x14ac:dyDescent="0.75">
      <c r="A195" s="115">
        <v>193</v>
      </c>
      <c r="B195" s="115">
        <f t="shared" si="4"/>
        <v>64</v>
      </c>
      <c r="C195" s="115">
        <f t="shared" si="5"/>
        <v>1</v>
      </c>
    </row>
    <row r="196" spans="1:3" x14ac:dyDescent="0.75">
      <c r="A196" s="115">
        <v>194</v>
      </c>
      <c r="B196" s="115">
        <f t="shared" ref="B196:B206" si="6">IF(MOD(A196,3)=0,A196/3-1,INT(A196/3))</f>
        <v>64</v>
      </c>
      <c r="C196" s="115">
        <f t="shared" ref="C196:C206" si="7">IF(MOD(A196,3)=0,3,MOD(A196,3))</f>
        <v>2</v>
      </c>
    </row>
    <row r="197" spans="1:3" x14ac:dyDescent="0.75">
      <c r="A197" s="115">
        <v>195</v>
      </c>
      <c r="B197" s="115">
        <f t="shared" si="6"/>
        <v>64</v>
      </c>
      <c r="C197" s="115">
        <f t="shared" si="7"/>
        <v>3</v>
      </c>
    </row>
    <row r="198" spans="1:3" x14ac:dyDescent="0.75">
      <c r="A198" s="115">
        <v>196</v>
      </c>
      <c r="B198" s="115">
        <f t="shared" si="6"/>
        <v>65</v>
      </c>
      <c r="C198" s="115">
        <f t="shared" si="7"/>
        <v>1</v>
      </c>
    </row>
    <row r="199" spans="1:3" x14ac:dyDescent="0.75">
      <c r="A199" s="115">
        <v>197</v>
      </c>
      <c r="B199" s="115">
        <f t="shared" si="6"/>
        <v>65</v>
      </c>
      <c r="C199" s="115">
        <f t="shared" si="7"/>
        <v>2</v>
      </c>
    </row>
    <row r="200" spans="1:3" x14ac:dyDescent="0.75">
      <c r="A200" s="115">
        <v>198</v>
      </c>
      <c r="B200" s="115">
        <f t="shared" si="6"/>
        <v>65</v>
      </c>
      <c r="C200" s="115">
        <f t="shared" si="7"/>
        <v>3</v>
      </c>
    </row>
    <row r="201" spans="1:3" x14ac:dyDescent="0.75">
      <c r="A201" s="115">
        <v>199</v>
      </c>
      <c r="B201" s="115">
        <f t="shared" si="6"/>
        <v>66</v>
      </c>
      <c r="C201" s="115">
        <f t="shared" si="7"/>
        <v>1</v>
      </c>
    </row>
    <row r="202" spans="1:3" x14ac:dyDescent="0.75">
      <c r="A202" s="115">
        <v>200</v>
      </c>
      <c r="B202" s="115">
        <f t="shared" si="6"/>
        <v>66</v>
      </c>
      <c r="C202" s="115">
        <f t="shared" si="7"/>
        <v>2</v>
      </c>
    </row>
    <row r="203" spans="1:3" x14ac:dyDescent="0.75">
      <c r="A203" s="115">
        <v>201</v>
      </c>
      <c r="B203" s="115">
        <f t="shared" si="6"/>
        <v>66</v>
      </c>
      <c r="C203" s="115">
        <f t="shared" si="7"/>
        <v>3</v>
      </c>
    </row>
    <row r="204" spans="1:3" x14ac:dyDescent="0.75">
      <c r="A204" s="115">
        <v>202</v>
      </c>
      <c r="B204" s="115">
        <f t="shared" si="6"/>
        <v>67</v>
      </c>
      <c r="C204" s="115">
        <f t="shared" si="7"/>
        <v>1</v>
      </c>
    </row>
    <row r="205" spans="1:3" x14ac:dyDescent="0.75">
      <c r="A205" s="115">
        <v>203</v>
      </c>
      <c r="B205" s="115">
        <f t="shared" si="6"/>
        <v>67</v>
      </c>
      <c r="C205" s="115">
        <f t="shared" si="7"/>
        <v>2</v>
      </c>
    </row>
    <row r="206" spans="1:3" x14ac:dyDescent="0.75">
      <c r="A206" s="115">
        <v>204</v>
      </c>
      <c r="B206" s="115">
        <f t="shared" si="6"/>
        <v>67</v>
      </c>
      <c r="C206" s="115">
        <f t="shared" si="7"/>
        <v>3</v>
      </c>
    </row>
    <row r="207" spans="1:3" x14ac:dyDescent="0.75">
      <c r="A207" s="115"/>
      <c r="B207" s="115"/>
      <c r="C207" s="115"/>
    </row>
    <row r="208" spans="1:3" x14ac:dyDescent="0.75">
      <c r="A208" s="115"/>
      <c r="B208" s="115"/>
      <c r="C208" s="115"/>
    </row>
    <row r="209" spans="1:3" x14ac:dyDescent="0.75">
      <c r="A209" s="115"/>
      <c r="B209" s="115"/>
      <c r="C209" s="115"/>
    </row>
    <row r="210" spans="1:3" x14ac:dyDescent="0.75">
      <c r="A210" s="115"/>
      <c r="B210" s="115"/>
      <c r="C210" s="115"/>
    </row>
    <row r="211" spans="1:3" x14ac:dyDescent="0.75">
      <c r="A211" s="115"/>
      <c r="B211" s="115"/>
      <c r="C211" s="115"/>
    </row>
    <row r="212" spans="1:3" x14ac:dyDescent="0.75">
      <c r="A212" s="115"/>
      <c r="B212" s="115"/>
      <c r="C212" s="115"/>
    </row>
    <row r="213" spans="1:3" x14ac:dyDescent="0.75">
      <c r="A213" s="115"/>
      <c r="B213" s="115"/>
      <c r="C213" s="115"/>
    </row>
    <row r="214" spans="1:3" x14ac:dyDescent="0.75">
      <c r="A214" s="115"/>
      <c r="B214" s="115"/>
      <c r="C214" s="115"/>
    </row>
    <row r="215" spans="1:3" x14ac:dyDescent="0.75">
      <c r="A215" s="115"/>
      <c r="B215" s="115"/>
      <c r="C215" s="115"/>
    </row>
    <row r="216" spans="1:3" x14ac:dyDescent="0.75">
      <c r="A216" s="115"/>
      <c r="B216" s="115"/>
      <c r="C216" s="115"/>
    </row>
    <row r="217" spans="1:3" x14ac:dyDescent="0.75">
      <c r="A217" s="115"/>
      <c r="B217" s="115"/>
      <c r="C217" s="115"/>
    </row>
    <row r="218" spans="1:3" x14ac:dyDescent="0.75">
      <c r="A218" s="115"/>
      <c r="B218" s="115"/>
      <c r="C218" s="115"/>
    </row>
    <row r="219" spans="1:3" x14ac:dyDescent="0.75">
      <c r="A219" s="115"/>
      <c r="B219" s="115"/>
      <c r="C219" s="115"/>
    </row>
    <row r="220" spans="1:3" x14ac:dyDescent="0.75">
      <c r="A220" s="115"/>
      <c r="B220" s="115"/>
      <c r="C220" s="115"/>
    </row>
    <row r="221" spans="1:3" x14ac:dyDescent="0.75">
      <c r="A221" s="115"/>
      <c r="B221" s="115"/>
      <c r="C221" s="115"/>
    </row>
    <row r="222" spans="1:3" x14ac:dyDescent="0.75">
      <c r="A222" s="115"/>
      <c r="B222" s="115"/>
      <c r="C222" s="115"/>
    </row>
    <row r="223" spans="1:3" x14ac:dyDescent="0.75">
      <c r="A223" s="115"/>
      <c r="B223" s="115"/>
      <c r="C223" s="115"/>
    </row>
    <row r="224" spans="1:3" x14ac:dyDescent="0.75">
      <c r="A224" s="115"/>
      <c r="B224" s="115"/>
      <c r="C224" s="115"/>
    </row>
    <row r="225" spans="1:3" x14ac:dyDescent="0.75">
      <c r="A225" s="115"/>
      <c r="B225" s="115"/>
      <c r="C225" s="115"/>
    </row>
    <row r="226" spans="1:3" x14ac:dyDescent="0.75">
      <c r="A226" s="115"/>
      <c r="B226" s="115"/>
      <c r="C226" s="115"/>
    </row>
    <row r="227" spans="1:3" x14ac:dyDescent="0.75">
      <c r="A227" s="115"/>
      <c r="B227" s="115"/>
      <c r="C227" s="115"/>
    </row>
    <row r="228" spans="1:3" x14ac:dyDescent="0.75">
      <c r="A228" s="115"/>
      <c r="B228" s="115"/>
      <c r="C228" s="115"/>
    </row>
    <row r="229" spans="1:3" x14ac:dyDescent="0.75">
      <c r="A229" s="115"/>
      <c r="B229" s="115"/>
      <c r="C229" s="115"/>
    </row>
    <row r="230" spans="1:3" x14ac:dyDescent="0.75">
      <c r="A230" s="115"/>
      <c r="B230" s="115"/>
      <c r="C230" s="115"/>
    </row>
    <row r="231" spans="1:3" x14ac:dyDescent="0.75">
      <c r="A231" s="115"/>
      <c r="B231" s="115"/>
      <c r="C231" s="115"/>
    </row>
    <row r="232" spans="1:3" x14ac:dyDescent="0.75">
      <c r="A232" s="115"/>
      <c r="B232" s="115"/>
      <c r="C232" s="115"/>
    </row>
    <row r="233" spans="1:3" x14ac:dyDescent="0.75">
      <c r="A233" s="115"/>
      <c r="B233" s="115"/>
      <c r="C233" s="115"/>
    </row>
    <row r="234" spans="1:3" x14ac:dyDescent="0.75">
      <c r="A234" s="115"/>
      <c r="B234" s="115"/>
      <c r="C234" s="115"/>
    </row>
    <row r="235" spans="1:3" x14ac:dyDescent="0.75">
      <c r="A235" s="115"/>
      <c r="B235" s="115"/>
      <c r="C235" s="115"/>
    </row>
    <row r="236" spans="1:3" x14ac:dyDescent="0.75">
      <c r="A236" s="115"/>
      <c r="B236" s="115"/>
      <c r="C236" s="115"/>
    </row>
    <row r="237" spans="1:3" x14ac:dyDescent="0.75">
      <c r="A237" s="115"/>
      <c r="B237" s="115"/>
      <c r="C237" s="115"/>
    </row>
    <row r="238" spans="1:3" x14ac:dyDescent="0.75">
      <c r="A238" s="115"/>
      <c r="B238" s="115"/>
      <c r="C238" s="115"/>
    </row>
    <row r="239" spans="1:3" x14ac:dyDescent="0.75">
      <c r="A239" s="115"/>
      <c r="B239" s="115"/>
      <c r="C239" s="115"/>
    </row>
    <row r="240" spans="1:3" x14ac:dyDescent="0.75">
      <c r="A240" s="115"/>
      <c r="B240" s="115"/>
      <c r="C240" s="115"/>
    </row>
    <row r="241" spans="1:3" x14ac:dyDescent="0.75">
      <c r="A241" s="115"/>
      <c r="B241" s="115"/>
      <c r="C241" s="115"/>
    </row>
    <row r="242" spans="1:3" x14ac:dyDescent="0.75">
      <c r="A242" s="115"/>
      <c r="B242" s="115"/>
      <c r="C242" s="115"/>
    </row>
    <row r="243" spans="1:3" x14ac:dyDescent="0.75">
      <c r="A243" s="115"/>
      <c r="B243" s="115"/>
      <c r="C243" s="115"/>
    </row>
    <row r="244" spans="1:3" x14ac:dyDescent="0.75">
      <c r="A244" s="115"/>
      <c r="B244" s="115"/>
      <c r="C244" s="115"/>
    </row>
    <row r="245" spans="1:3" x14ac:dyDescent="0.75">
      <c r="A245" s="115"/>
      <c r="B245" s="115"/>
      <c r="C245" s="115"/>
    </row>
    <row r="246" spans="1:3" x14ac:dyDescent="0.75">
      <c r="A246" s="115"/>
      <c r="B246" s="115"/>
      <c r="C246" s="115"/>
    </row>
    <row r="247" spans="1:3" x14ac:dyDescent="0.75">
      <c r="A247" s="115"/>
      <c r="B247" s="115"/>
      <c r="C247" s="115"/>
    </row>
    <row r="248" spans="1:3" x14ac:dyDescent="0.75">
      <c r="A248" s="115"/>
      <c r="B248" s="115"/>
      <c r="C248" s="115"/>
    </row>
    <row r="249" spans="1:3" x14ac:dyDescent="0.75">
      <c r="A249" s="115"/>
      <c r="B249" s="115"/>
      <c r="C249" s="115"/>
    </row>
    <row r="250" spans="1:3" x14ac:dyDescent="0.75">
      <c r="A250" s="115"/>
      <c r="B250" s="115"/>
      <c r="C250" s="115"/>
    </row>
    <row r="251" spans="1:3" x14ac:dyDescent="0.75">
      <c r="A251" s="115"/>
      <c r="B251" s="115"/>
      <c r="C251" s="115"/>
    </row>
    <row r="252" spans="1:3" x14ac:dyDescent="0.75">
      <c r="A252" s="115"/>
      <c r="B252" s="115"/>
      <c r="C252" s="115"/>
    </row>
    <row r="253" spans="1:3" x14ac:dyDescent="0.75">
      <c r="A253" s="115"/>
      <c r="B253" s="115"/>
      <c r="C253" s="115"/>
    </row>
    <row r="254" spans="1:3" x14ac:dyDescent="0.75">
      <c r="A254" s="115"/>
      <c r="B254" s="115"/>
      <c r="C254" s="115"/>
    </row>
    <row r="255" spans="1:3" x14ac:dyDescent="0.75">
      <c r="A255" s="115"/>
      <c r="B255" s="115"/>
      <c r="C255" s="115"/>
    </row>
    <row r="256" spans="1:3" x14ac:dyDescent="0.75">
      <c r="A256" s="115"/>
      <c r="B256" s="115"/>
      <c r="C256" s="115"/>
    </row>
    <row r="257" spans="1:3" x14ac:dyDescent="0.75">
      <c r="A257" s="115"/>
      <c r="B257" s="115"/>
      <c r="C257" s="115"/>
    </row>
    <row r="258" spans="1:3" x14ac:dyDescent="0.75">
      <c r="A258" s="115"/>
      <c r="B258" s="115"/>
      <c r="C258" s="115"/>
    </row>
    <row r="259" spans="1:3" x14ac:dyDescent="0.75">
      <c r="A259" s="115"/>
      <c r="B259" s="115"/>
      <c r="C259" s="115"/>
    </row>
    <row r="260" spans="1:3" x14ac:dyDescent="0.75">
      <c r="A260" s="115"/>
      <c r="B260" s="115"/>
      <c r="C260" s="115"/>
    </row>
    <row r="261" spans="1:3" x14ac:dyDescent="0.75">
      <c r="A261" s="115"/>
      <c r="B261" s="115"/>
      <c r="C261" s="115"/>
    </row>
    <row r="262" spans="1:3" x14ac:dyDescent="0.75">
      <c r="A262" s="115"/>
      <c r="B262" s="115"/>
      <c r="C262" s="115"/>
    </row>
    <row r="263" spans="1:3" x14ac:dyDescent="0.75">
      <c r="A263" s="115"/>
      <c r="B263" s="115"/>
      <c r="C263" s="115"/>
    </row>
    <row r="264" spans="1:3" x14ac:dyDescent="0.75">
      <c r="A264" s="115"/>
      <c r="B264" s="115"/>
      <c r="C264" s="115"/>
    </row>
    <row r="265" spans="1:3" x14ac:dyDescent="0.75">
      <c r="A265" s="115"/>
      <c r="B265" s="115"/>
      <c r="C265" s="115"/>
    </row>
    <row r="266" spans="1:3" x14ac:dyDescent="0.75">
      <c r="A266" s="115"/>
      <c r="B266" s="115"/>
      <c r="C266" s="115"/>
    </row>
    <row r="267" spans="1:3" x14ac:dyDescent="0.75">
      <c r="A267" s="115"/>
      <c r="B267" s="115"/>
      <c r="C267" s="115"/>
    </row>
    <row r="268" spans="1:3" x14ac:dyDescent="0.75">
      <c r="A268" s="115"/>
      <c r="B268" s="115"/>
      <c r="C268" s="115"/>
    </row>
    <row r="269" spans="1:3" x14ac:dyDescent="0.75">
      <c r="A269" s="115"/>
      <c r="B269" s="115"/>
      <c r="C269" s="115"/>
    </row>
    <row r="270" spans="1:3" x14ac:dyDescent="0.75">
      <c r="A270" s="115"/>
      <c r="B270" s="115"/>
      <c r="C270" s="115"/>
    </row>
    <row r="271" spans="1:3" x14ac:dyDescent="0.75">
      <c r="A271" s="115"/>
      <c r="B271" s="115"/>
      <c r="C271" s="115"/>
    </row>
    <row r="272" spans="1:3" x14ac:dyDescent="0.75">
      <c r="A272" s="115"/>
      <c r="B272" s="115"/>
      <c r="C272" s="115"/>
    </row>
    <row r="273" spans="1:3" x14ac:dyDescent="0.75">
      <c r="A273" s="115"/>
      <c r="B273" s="115"/>
      <c r="C273" s="115"/>
    </row>
    <row r="274" spans="1:3" x14ac:dyDescent="0.75">
      <c r="A274" s="115"/>
      <c r="B274" s="115"/>
      <c r="C274" s="115"/>
    </row>
    <row r="275" spans="1:3" x14ac:dyDescent="0.75">
      <c r="A275" s="115"/>
      <c r="B275" s="115"/>
      <c r="C275" s="115"/>
    </row>
    <row r="276" spans="1:3" x14ac:dyDescent="0.75">
      <c r="A276" s="115"/>
      <c r="B276" s="115"/>
      <c r="C276" s="115"/>
    </row>
    <row r="277" spans="1:3" x14ac:dyDescent="0.75">
      <c r="A277" s="115"/>
      <c r="B277" s="115"/>
      <c r="C277" s="115"/>
    </row>
    <row r="278" spans="1:3" x14ac:dyDescent="0.75">
      <c r="A278" s="115"/>
      <c r="B278" s="115"/>
      <c r="C278" s="115"/>
    </row>
    <row r="279" spans="1:3" x14ac:dyDescent="0.75">
      <c r="A279" s="115"/>
      <c r="B279" s="115"/>
      <c r="C279" s="115"/>
    </row>
    <row r="280" spans="1:3" x14ac:dyDescent="0.75">
      <c r="A280" s="115"/>
      <c r="B280" s="115"/>
      <c r="C280" s="115"/>
    </row>
    <row r="281" spans="1:3" x14ac:dyDescent="0.75">
      <c r="A281" s="115"/>
      <c r="B281" s="115"/>
      <c r="C281" s="115"/>
    </row>
    <row r="282" spans="1:3" x14ac:dyDescent="0.75">
      <c r="A282" s="115"/>
      <c r="B282" s="115"/>
      <c r="C282" s="115"/>
    </row>
    <row r="283" spans="1:3" x14ac:dyDescent="0.75">
      <c r="A283" s="115"/>
      <c r="B283" s="115"/>
      <c r="C283" s="115"/>
    </row>
    <row r="284" spans="1:3" x14ac:dyDescent="0.75">
      <c r="A284" s="115"/>
      <c r="B284" s="115"/>
      <c r="C284" s="115"/>
    </row>
    <row r="285" spans="1:3" x14ac:dyDescent="0.75">
      <c r="A285" s="115"/>
      <c r="B285" s="115"/>
      <c r="C285" s="115"/>
    </row>
    <row r="286" spans="1:3" x14ac:dyDescent="0.75">
      <c r="A286" s="115"/>
      <c r="B286" s="115"/>
      <c r="C286" s="115"/>
    </row>
    <row r="287" spans="1:3" x14ac:dyDescent="0.75">
      <c r="A287" s="115"/>
      <c r="B287" s="115"/>
      <c r="C287" s="115"/>
    </row>
    <row r="288" spans="1:3" x14ac:dyDescent="0.75">
      <c r="A288" s="115"/>
      <c r="B288" s="115"/>
      <c r="C288" s="115"/>
    </row>
    <row r="289" spans="1:3" x14ac:dyDescent="0.75">
      <c r="A289" s="115"/>
      <c r="B289" s="115"/>
      <c r="C289" s="115"/>
    </row>
    <row r="290" spans="1:3" x14ac:dyDescent="0.75">
      <c r="A290" s="115"/>
      <c r="B290" s="115"/>
      <c r="C290" s="115"/>
    </row>
    <row r="291" spans="1:3" x14ac:dyDescent="0.75">
      <c r="A291" s="115"/>
      <c r="B291" s="115"/>
      <c r="C291" s="115"/>
    </row>
    <row r="292" spans="1:3" x14ac:dyDescent="0.75">
      <c r="A292" s="115"/>
      <c r="B292" s="115"/>
      <c r="C292" s="115"/>
    </row>
    <row r="293" spans="1:3" x14ac:dyDescent="0.75">
      <c r="A293" s="115"/>
      <c r="B293" s="115"/>
      <c r="C293" s="115"/>
    </row>
    <row r="294" spans="1:3" x14ac:dyDescent="0.75">
      <c r="A294" s="115"/>
      <c r="B294" s="115"/>
      <c r="C294" s="115"/>
    </row>
    <row r="295" spans="1:3" x14ac:dyDescent="0.75">
      <c r="A295" s="115"/>
      <c r="B295" s="115"/>
      <c r="C295" s="115"/>
    </row>
    <row r="296" spans="1:3" x14ac:dyDescent="0.75">
      <c r="A296" s="115"/>
      <c r="B296" s="115"/>
      <c r="C296" s="115"/>
    </row>
    <row r="297" spans="1:3" x14ac:dyDescent="0.75">
      <c r="A297" s="115"/>
      <c r="B297" s="115"/>
      <c r="C297" s="115"/>
    </row>
    <row r="298" spans="1:3" x14ac:dyDescent="0.75">
      <c r="A298" s="115"/>
      <c r="B298" s="115"/>
      <c r="C298" s="115"/>
    </row>
    <row r="299" spans="1:3" x14ac:dyDescent="0.75">
      <c r="A299" s="115"/>
      <c r="B299" s="115"/>
      <c r="C299" s="115"/>
    </row>
    <row r="300" spans="1:3" x14ac:dyDescent="0.75">
      <c r="A300" s="115"/>
      <c r="B300" s="115"/>
      <c r="C300" s="115"/>
    </row>
    <row r="301" spans="1:3" x14ac:dyDescent="0.75">
      <c r="A301" s="115"/>
      <c r="B301" s="115"/>
      <c r="C301" s="115"/>
    </row>
    <row r="302" spans="1:3" x14ac:dyDescent="0.75">
      <c r="A302" s="115"/>
      <c r="B302" s="115"/>
      <c r="C302" s="115"/>
    </row>
    <row r="303" spans="1:3" x14ac:dyDescent="0.75">
      <c r="A303" s="115"/>
      <c r="B303" s="115"/>
      <c r="C303" s="115"/>
    </row>
    <row r="304" spans="1:3" x14ac:dyDescent="0.75">
      <c r="A304" s="115"/>
      <c r="B304" s="115"/>
      <c r="C304" s="115"/>
    </row>
    <row r="305" spans="1:3" x14ac:dyDescent="0.75">
      <c r="A305" s="115"/>
      <c r="B305" s="115"/>
      <c r="C305" s="115"/>
    </row>
    <row r="306" spans="1:3" x14ac:dyDescent="0.75">
      <c r="A306" s="115"/>
      <c r="B306" s="115"/>
      <c r="C306" s="115"/>
    </row>
    <row r="307" spans="1:3" x14ac:dyDescent="0.75">
      <c r="A307" s="115"/>
      <c r="B307" s="115"/>
      <c r="C307" s="115"/>
    </row>
    <row r="308" spans="1:3" x14ac:dyDescent="0.75">
      <c r="A308" s="115"/>
      <c r="B308" s="115"/>
      <c r="C308" s="115"/>
    </row>
    <row r="309" spans="1:3" x14ac:dyDescent="0.75">
      <c r="A309" s="115"/>
      <c r="B309" s="115"/>
      <c r="C309" s="115"/>
    </row>
    <row r="310" spans="1:3" x14ac:dyDescent="0.75">
      <c r="A310" s="115"/>
      <c r="B310" s="115"/>
      <c r="C310" s="115"/>
    </row>
    <row r="311" spans="1:3" x14ac:dyDescent="0.75">
      <c r="A311" s="115"/>
      <c r="B311" s="115"/>
      <c r="C311" s="115"/>
    </row>
    <row r="312" spans="1:3" x14ac:dyDescent="0.75">
      <c r="A312" s="115"/>
      <c r="B312" s="115"/>
      <c r="C312" s="115"/>
    </row>
    <row r="313" spans="1:3" x14ac:dyDescent="0.75">
      <c r="A313" s="115"/>
      <c r="B313" s="115"/>
      <c r="C313" s="115"/>
    </row>
    <row r="314" spans="1:3" x14ac:dyDescent="0.75">
      <c r="A314" s="115"/>
      <c r="B314" s="115"/>
      <c r="C314" s="115"/>
    </row>
    <row r="315" spans="1:3" x14ac:dyDescent="0.75">
      <c r="A315" s="115"/>
      <c r="B315" s="115"/>
      <c r="C315" s="115"/>
    </row>
    <row r="316" spans="1:3" x14ac:dyDescent="0.75">
      <c r="A316" s="115"/>
      <c r="B316" s="115"/>
      <c r="C316" s="115"/>
    </row>
    <row r="317" spans="1:3" x14ac:dyDescent="0.75">
      <c r="A317" s="115"/>
      <c r="B317" s="115"/>
      <c r="C317" s="115"/>
    </row>
    <row r="318" spans="1:3" x14ac:dyDescent="0.75">
      <c r="A318" s="115"/>
      <c r="B318" s="115"/>
      <c r="C318" s="115"/>
    </row>
    <row r="319" spans="1:3" x14ac:dyDescent="0.75">
      <c r="A319" s="115"/>
      <c r="B319" s="115"/>
      <c r="C319" s="115"/>
    </row>
    <row r="320" spans="1:3" x14ac:dyDescent="0.75">
      <c r="A320" s="115"/>
      <c r="B320" s="115"/>
      <c r="C320" s="115"/>
    </row>
    <row r="321" spans="1:3" x14ac:dyDescent="0.75">
      <c r="A321" s="115"/>
      <c r="B321" s="115"/>
      <c r="C321" s="115"/>
    </row>
    <row r="322" spans="1:3" x14ac:dyDescent="0.75">
      <c r="A322" s="115"/>
      <c r="B322" s="115"/>
      <c r="C322" s="115"/>
    </row>
    <row r="323" spans="1:3" x14ac:dyDescent="0.75">
      <c r="A323" s="115"/>
      <c r="B323" s="115"/>
      <c r="C323" s="115"/>
    </row>
    <row r="324" spans="1:3" x14ac:dyDescent="0.75">
      <c r="A324" s="115"/>
      <c r="B324" s="115"/>
      <c r="C324" s="115"/>
    </row>
    <row r="325" spans="1:3" x14ac:dyDescent="0.75">
      <c r="A325" s="115"/>
      <c r="B325" s="115"/>
      <c r="C325" s="115"/>
    </row>
    <row r="326" spans="1:3" x14ac:dyDescent="0.75">
      <c r="A326" s="115"/>
      <c r="B326" s="115"/>
      <c r="C326" s="115"/>
    </row>
    <row r="327" spans="1:3" x14ac:dyDescent="0.75">
      <c r="A327" s="115"/>
      <c r="B327" s="115"/>
      <c r="C327" s="115"/>
    </row>
    <row r="328" spans="1:3" x14ac:dyDescent="0.75">
      <c r="A328" s="115"/>
      <c r="B328" s="115"/>
      <c r="C328" s="115"/>
    </row>
    <row r="329" spans="1:3" x14ac:dyDescent="0.75">
      <c r="A329" s="115"/>
      <c r="B329" s="115"/>
      <c r="C329" s="115"/>
    </row>
    <row r="330" spans="1:3" x14ac:dyDescent="0.75">
      <c r="A330" s="115"/>
      <c r="B330" s="115"/>
      <c r="C330" s="115"/>
    </row>
    <row r="331" spans="1:3" x14ac:dyDescent="0.75">
      <c r="A331" s="115"/>
      <c r="B331" s="115"/>
      <c r="C331" s="115"/>
    </row>
    <row r="332" spans="1:3" x14ac:dyDescent="0.75">
      <c r="A332" s="115"/>
      <c r="B332" s="115"/>
      <c r="C332" s="115"/>
    </row>
    <row r="333" spans="1:3" x14ac:dyDescent="0.75">
      <c r="A333" s="115"/>
      <c r="B333" s="115"/>
      <c r="C333" s="115"/>
    </row>
    <row r="334" spans="1:3" x14ac:dyDescent="0.75">
      <c r="A334" s="115"/>
      <c r="B334" s="115"/>
      <c r="C334" s="115"/>
    </row>
    <row r="335" spans="1:3" x14ac:dyDescent="0.75">
      <c r="A335" s="115"/>
      <c r="B335" s="115"/>
      <c r="C335" s="115"/>
    </row>
    <row r="336" spans="1:3" x14ac:dyDescent="0.75">
      <c r="A336" s="115"/>
      <c r="B336" s="115"/>
      <c r="C336" s="115"/>
    </row>
    <row r="337" spans="1:3" x14ac:dyDescent="0.75">
      <c r="A337" s="115"/>
      <c r="B337" s="115"/>
      <c r="C337" s="115"/>
    </row>
    <row r="338" spans="1:3" x14ac:dyDescent="0.75">
      <c r="A338" s="115"/>
      <c r="B338" s="115"/>
      <c r="C338" s="115"/>
    </row>
    <row r="339" spans="1:3" x14ac:dyDescent="0.75">
      <c r="A339" s="115"/>
      <c r="B339" s="115"/>
      <c r="C339" s="115"/>
    </row>
    <row r="340" spans="1:3" x14ac:dyDescent="0.75">
      <c r="A340" s="115"/>
      <c r="B340" s="115"/>
      <c r="C340" s="115"/>
    </row>
    <row r="341" spans="1:3" x14ac:dyDescent="0.75">
      <c r="A341" s="115"/>
      <c r="B341" s="115"/>
      <c r="C341" s="115"/>
    </row>
    <row r="342" spans="1:3" x14ac:dyDescent="0.75">
      <c r="A342" s="115"/>
      <c r="B342" s="115"/>
      <c r="C342" s="115"/>
    </row>
    <row r="343" spans="1:3" x14ac:dyDescent="0.75">
      <c r="A343" s="115"/>
      <c r="B343" s="115"/>
      <c r="C343" s="115"/>
    </row>
    <row r="344" spans="1:3" x14ac:dyDescent="0.75">
      <c r="A344" s="115"/>
      <c r="B344" s="115"/>
      <c r="C344" s="115"/>
    </row>
    <row r="345" spans="1:3" x14ac:dyDescent="0.75">
      <c r="A345" s="115"/>
      <c r="B345" s="115"/>
      <c r="C345" s="115"/>
    </row>
    <row r="346" spans="1:3" x14ac:dyDescent="0.75">
      <c r="A346" s="115"/>
      <c r="B346" s="115"/>
      <c r="C346" s="115"/>
    </row>
    <row r="347" spans="1:3" x14ac:dyDescent="0.75">
      <c r="A347" s="115"/>
      <c r="B347" s="115"/>
      <c r="C347" s="115"/>
    </row>
    <row r="348" spans="1:3" x14ac:dyDescent="0.75">
      <c r="A348" s="115"/>
      <c r="B348" s="115"/>
      <c r="C348" s="115"/>
    </row>
    <row r="349" spans="1:3" x14ac:dyDescent="0.75">
      <c r="A349" s="115"/>
      <c r="B349" s="115"/>
      <c r="C349" s="115"/>
    </row>
    <row r="350" spans="1:3" x14ac:dyDescent="0.75">
      <c r="A350" s="115"/>
      <c r="B350" s="115"/>
      <c r="C350" s="115"/>
    </row>
    <row r="351" spans="1:3" x14ac:dyDescent="0.75">
      <c r="A351" s="115"/>
      <c r="B351" s="115"/>
      <c r="C351" s="115"/>
    </row>
    <row r="352" spans="1:3" x14ac:dyDescent="0.75">
      <c r="A352" s="115"/>
      <c r="B352" s="115"/>
      <c r="C352" s="115"/>
    </row>
    <row r="353" spans="1:3" x14ac:dyDescent="0.75">
      <c r="A353" s="115"/>
      <c r="B353" s="115"/>
      <c r="C353" s="115"/>
    </row>
    <row r="354" spans="1:3" x14ac:dyDescent="0.75">
      <c r="A354" s="115"/>
      <c r="B354" s="115"/>
      <c r="C354" s="115"/>
    </row>
    <row r="355" spans="1:3" x14ac:dyDescent="0.75">
      <c r="A355" s="115"/>
      <c r="B355" s="115"/>
      <c r="C355" s="115"/>
    </row>
    <row r="356" spans="1:3" x14ac:dyDescent="0.75">
      <c r="A356" s="115"/>
      <c r="B356" s="115"/>
      <c r="C356" s="115"/>
    </row>
    <row r="357" spans="1:3" x14ac:dyDescent="0.75">
      <c r="A357" s="115"/>
      <c r="B357" s="115"/>
      <c r="C357" s="115"/>
    </row>
    <row r="358" spans="1:3" x14ac:dyDescent="0.75">
      <c r="A358" s="115"/>
      <c r="B358" s="115"/>
      <c r="C358" s="115"/>
    </row>
    <row r="359" spans="1:3" x14ac:dyDescent="0.75">
      <c r="A359" s="115"/>
      <c r="B359" s="115"/>
      <c r="C359" s="115"/>
    </row>
    <row r="360" spans="1:3" x14ac:dyDescent="0.75">
      <c r="A360" s="115"/>
      <c r="B360" s="115"/>
      <c r="C360" s="115"/>
    </row>
    <row r="361" spans="1:3" x14ac:dyDescent="0.75">
      <c r="A361" s="115"/>
      <c r="B361" s="115"/>
      <c r="C361" s="115"/>
    </row>
    <row r="362" spans="1:3" x14ac:dyDescent="0.75">
      <c r="A362" s="115"/>
      <c r="B362" s="115"/>
      <c r="C362" s="115"/>
    </row>
    <row r="363" spans="1:3" x14ac:dyDescent="0.75">
      <c r="A363" s="115"/>
      <c r="B363" s="115"/>
      <c r="C363" s="115"/>
    </row>
    <row r="364" spans="1:3" x14ac:dyDescent="0.75">
      <c r="A364" s="115"/>
      <c r="B364" s="115"/>
      <c r="C364" s="115"/>
    </row>
    <row r="365" spans="1:3" x14ac:dyDescent="0.75">
      <c r="A365" s="115"/>
      <c r="B365" s="115"/>
      <c r="C365" s="115"/>
    </row>
    <row r="366" spans="1:3" x14ac:dyDescent="0.75">
      <c r="A366" s="115"/>
      <c r="B366" s="115"/>
      <c r="C366" s="115"/>
    </row>
    <row r="367" spans="1:3" x14ac:dyDescent="0.75">
      <c r="A367" s="115"/>
      <c r="B367" s="115"/>
      <c r="C367" s="115"/>
    </row>
    <row r="368" spans="1:3" x14ac:dyDescent="0.75">
      <c r="A368" s="115"/>
      <c r="B368" s="115"/>
      <c r="C368" s="115"/>
    </row>
    <row r="369" spans="1:3" x14ac:dyDescent="0.75">
      <c r="A369" s="115"/>
      <c r="B369" s="115"/>
      <c r="C369" s="115"/>
    </row>
    <row r="370" spans="1:3" x14ac:dyDescent="0.75">
      <c r="A370" s="115"/>
      <c r="B370" s="115"/>
      <c r="C370" s="115"/>
    </row>
    <row r="371" spans="1:3" x14ac:dyDescent="0.75">
      <c r="A371" s="115"/>
      <c r="B371" s="115"/>
      <c r="C371" s="115"/>
    </row>
    <row r="372" spans="1:3" x14ac:dyDescent="0.75">
      <c r="A372" s="115"/>
      <c r="B372" s="115"/>
      <c r="C372" s="115"/>
    </row>
    <row r="373" spans="1:3" x14ac:dyDescent="0.75">
      <c r="A373" s="115"/>
      <c r="B373" s="115"/>
      <c r="C373" s="115"/>
    </row>
    <row r="374" spans="1:3" x14ac:dyDescent="0.75">
      <c r="A374" s="115"/>
      <c r="B374" s="115"/>
      <c r="C374" s="115"/>
    </row>
    <row r="375" spans="1:3" x14ac:dyDescent="0.75">
      <c r="A375" s="115"/>
      <c r="B375" s="115"/>
      <c r="C375" s="115"/>
    </row>
    <row r="376" spans="1:3" x14ac:dyDescent="0.75">
      <c r="A376" s="115"/>
      <c r="B376" s="115"/>
      <c r="C376" s="115"/>
    </row>
    <row r="377" spans="1:3" x14ac:dyDescent="0.75">
      <c r="A377" s="115"/>
      <c r="B377" s="115"/>
      <c r="C377" s="115"/>
    </row>
    <row r="378" spans="1:3" x14ac:dyDescent="0.75">
      <c r="A378" s="115"/>
      <c r="B378" s="115"/>
      <c r="C378" s="115"/>
    </row>
    <row r="379" spans="1:3" x14ac:dyDescent="0.75">
      <c r="A379" s="115"/>
      <c r="B379" s="115"/>
      <c r="C379" s="115"/>
    </row>
    <row r="380" spans="1:3" x14ac:dyDescent="0.75">
      <c r="A380" s="115"/>
      <c r="B380" s="115"/>
      <c r="C380" s="115"/>
    </row>
    <row r="381" spans="1:3" x14ac:dyDescent="0.75">
      <c r="A381" s="115"/>
      <c r="B381" s="115"/>
      <c r="C381" s="115"/>
    </row>
    <row r="382" spans="1:3" x14ac:dyDescent="0.75">
      <c r="A382" s="115"/>
      <c r="B382" s="115"/>
      <c r="C382" s="115"/>
    </row>
    <row r="383" spans="1:3" x14ac:dyDescent="0.75">
      <c r="A383" s="115"/>
      <c r="B383" s="115"/>
      <c r="C383" s="115"/>
    </row>
    <row r="384" spans="1:3" x14ac:dyDescent="0.75">
      <c r="A384" s="115"/>
      <c r="B384" s="115"/>
      <c r="C384" s="115"/>
    </row>
    <row r="385" spans="1:3" x14ac:dyDescent="0.75">
      <c r="A385" s="115"/>
      <c r="B385" s="115"/>
      <c r="C385" s="115"/>
    </row>
    <row r="386" spans="1:3" x14ac:dyDescent="0.75">
      <c r="A386" s="115"/>
      <c r="B386" s="115"/>
      <c r="C386" s="115"/>
    </row>
    <row r="387" spans="1:3" x14ac:dyDescent="0.75">
      <c r="A387" s="115"/>
      <c r="B387" s="115"/>
      <c r="C387" s="115"/>
    </row>
    <row r="388" spans="1:3" x14ac:dyDescent="0.75">
      <c r="A388" s="115"/>
      <c r="B388" s="115"/>
      <c r="C388" s="115"/>
    </row>
    <row r="389" spans="1:3" x14ac:dyDescent="0.75">
      <c r="A389" s="115"/>
      <c r="B389" s="115"/>
      <c r="C389" s="115"/>
    </row>
    <row r="390" spans="1:3" x14ac:dyDescent="0.75">
      <c r="A390" s="115"/>
      <c r="B390" s="115"/>
      <c r="C390" s="115"/>
    </row>
    <row r="391" spans="1:3" x14ac:dyDescent="0.75">
      <c r="A391" s="115"/>
      <c r="B391" s="115"/>
      <c r="C391" s="115"/>
    </row>
    <row r="392" spans="1:3" x14ac:dyDescent="0.75">
      <c r="A392" s="115"/>
      <c r="B392" s="115"/>
      <c r="C392" s="115"/>
    </row>
    <row r="393" spans="1:3" x14ac:dyDescent="0.75">
      <c r="A393" s="115"/>
      <c r="B393" s="115"/>
      <c r="C393" s="115"/>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13"/>
    <col min="3" max="3" width="31.6796875" style="113" bestFit="1" customWidth="1"/>
    <col min="4" max="4" width="72.1328125" style="113" customWidth="1"/>
    <col min="5" max="5" width="24.81640625" style="113" customWidth="1"/>
    <col min="6" max="6" width="15.5" style="113" customWidth="1"/>
    <col min="7" max="7" width="16.1328125" style="113" customWidth="1"/>
    <col min="8" max="8" width="10.76953125" style="113" customWidth="1"/>
    <col min="9" max="9" width="45.26953125" style="113" customWidth="1"/>
    <col min="10" max="10" width="40.1328125" style="114" customWidth="1"/>
    <col min="11" max="11" width="26.6328125" style="114" customWidth="1"/>
    <col min="12" max="12" width="48.54296875" style="114" customWidth="1"/>
    <col min="13" max="13" width="53.36328125" style="113" customWidth="1"/>
    <col min="14" max="14" width="51.5" style="113" customWidth="1"/>
    <col min="15" max="16384" width="8.7265625" style="113"/>
  </cols>
  <sheetData>
    <row r="1" spans="1:14" x14ac:dyDescent="0.75">
      <c r="C1" s="107" t="str">
        <f>'Chemo-1'!B1</f>
        <v>canonical</v>
      </c>
      <c r="D1" s="19" t="s">
        <v>33</v>
      </c>
      <c r="E1" s="20"/>
      <c r="G1" s="44" t="s">
        <v>888</v>
      </c>
      <c r="N1" s="113" t="s">
        <v>49</v>
      </c>
    </row>
    <row r="2" spans="1:14" ht="15.5" thickBot="1" x14ac:dyDescent="0.9">
      <c r="C2" s="109" t="str">
        <f>'Chemo-1'!B2</f>
        <v>http://hl7.eu/fhir/ig/pcsp</v>
      </c>
      <c r="D2" s="17" t="s">
        <v>879</v>
      </c>
      <c r="E2" s="37"/>
      <c r="G2" s="55" t="s">
        <v>889</v>
      </c>
      <c r="M2" s="46"/>
      <c r="N2" s="113" t="str">
        <f>CONCATENATE("Mapping: ",E2)</f>
        <v xml:space="preserve">Mapping: </v>
      </c>
    </row>
    <row r="3" spans="1:14" x14ac:dyDescent="0.75">
      <c r="C3" s="107" t="str">
        <f>'Chemo-1'!B3</f>
        <v>Publisher</v>
      </c>
      <c r="D3" s="42"/>
      <c r="E3" s="38"/>
      <c r="M3" s="46"/>
      <c r="N3" s="113" t="str">
        <f>CONCATENATE("Id: ",E2)</f>
        <v xml:space="preserve">Id: </v>
      </c>
    </row>
    <row r="4" spans="1:14" ht="15.5" thickBot="1" x14ac:dyDescent="0.9">
      <c r="C4" s="109" t="str">
        <f>'Chemo-1'!B4</f>
        <v>PanCareSurPass project</v>
      </c>
      <c r="D4" s="45"/>
      <c r="E4" s="39"/>
      <c r="M4" s="46"/>
      <c r="N4" s="113" t="str">
        <f>CONCATENATE("Title: """,D2,"""")</f>
        <v>Title: "CDA"</v>
      </c>
    </row>
    <row r="5" spans="1:14" x14ac:dyDescent="0.75">
      <c r="M5" s="46"/>
      <c r="N5" s="113" t="str">
        <f>CONCATENATE("Source: ",C2,"/",C7)</f>
        <v>Source: http://hl7.eu/fhir/ig/pcsp/Chemotherapy</v>
      </c>
    </row>
    <row r="6" spans="1:14" x14ac:dyDescent="0.75">
      <c r="D6" s="113" t="s">
        <v>47</v>
      </c>
      <c r="M6" s="46"/>
      <c r="N6" s="113" t="str">
        <f>CONCATENATE("Target: """,D4,"""")</f>
        <v>Target: ""</v>
      </c>
    </row>
    <row r="7" spans="1:14" ht="14.75" customHeight="1" x14ac:dyDescent="0.75">
      <c r="A7" s="115">
        <v>0</v>
      </c>
      <c r="B7" s="115">
        <f>'Chemo-1'!A6</f>
        <v>0</v>
      </c>
      <c r="C7" s="115" t="str">
        <f>'Chemo-1'!B6</f>
        <v>Chemotherapy</v>
      </c>
      <c r="D7" s="115"/>
      <c r="H7" s="113" t="b">
        <f>IF(D7&gt;"",TRUE,FALSE)</f>
        <v>0</v>
      </c>
      <c r="I7" s="114" t="str">
        <f>IF(H7,CONCATENATE("* differential.element[",$B7,"].mapping[",$A7,"].identity = """,$G$1,""""),"")</f>
        <v/>
      </c>
      <c r="J7" s="114" t="str">
        <f>IF(H7,CONCATENATE("* differential.element[",$B7,"].mapping[",$A7,"].map = """,D7,""""),"")</f>
        <v/>
      </c>
      <c r="K7" s="114" t="str">
        <f>IF(E7&gt;"",CONCATENATE("* differential.element[",$B7,"].mapping[",$A7,"].comment = """,E7,""""),"")</f>
        <v/>
      </c>
      <c r="M7" s="113" t="s">
        <v>50</v>
      </c>
      <c r="N7" s="113" t="s">
        <v>49</v>
      </c>
    </row>
    <row r="8" spans="1:14" x14ac:dyDescent="0.75">
      <c r="A8" s="115">
        <v>0</v>
      </c>
      <c r="B8" s="115">
        <f>'Chemo-1'!A7</f>
        <v>1</v>
      </c>
      <c r="C8" s="115" t="str">
        <f>'Chemo-1'!B7</f>
        <v>relatedDiagnosis</v>
      </c>
      <c r="D8" s="115"/>
      <c r="H8" s="113" t="b">
        <f>IF(D8&gt;"",TRUE,FALSE)</f>
        <v>0</v>
      </c>
      <c r="I8" s="114" t="str">
        <f>IF(H8,CONCATENATE("* differential.element[",$B8,"].mapping[",$A8,"].identity = """,$G$1,""""),"")</f>
        <v/>
      </c>
      <c r="J8" s="114" t="str">
        <f>IF(H8,CONCATENATE("* differential.element[",$B8,"].mapping[",$A8,"].map = """,D8,""""),"")</f>
        <v/>
      </c>
      <c r="K8" s="114" t="str">
        <f>IF(E8&gt;"",CONCATENATE("* differential.element[",$B8,"].mapping[",$A8,"].comment = """,E8,""""),"")</f>
        <v/>
      </c>
      <c r="M8" s="46"/>
      <c r="N8" s="113" t="str">
        <f t="shared" ref="N8:N41" si="0">CONCATENATE("* ",C8," -&gt; """,D8,"""")</f>
        <v>* relatedDiagnosis -&gt; ""</v>
      </c>
    </row>
    <row r="9" spans="1:14" x14ac:dyDescent="0.75">
      <c r="A9" s="115">
        <v>0</v>
      </c>
      <c r="B9" s="115">
        <f>'Chemo-1'!A8</f>
        <v>2</v>
      </c>
      <c r="C9" s="115" t="str">
        <f>'Chemo-1'!B8</f>
        <v>startDate</v>
      </c>
      <c r="D9" s="117"/>
      <c r="H9" s="113" t="b">
        <f t="shared" ref="H9:H50" si="1">IF(D9&gt;"",TRUE,FALSE)</f>
        <v>0</v>
      </c>
      <c r="I9" s="114" t="str">
        <f t="shared" ref="I9:I50" si="2">IF(H9,CONCATENATE("* differential.element[",$B9,"].mapping[",$A9,"].identity = """,$G$1,""""),"")</f>
        <v/>
      </c>
      <c r="J9" s="114" t="str">
        <f t="shared" ref="J9:J50" si="3">IF(H9,CONCATENATE("* differential.element[",$B9,"].mapping[",$A9,"].map = """,D9,""""),"")</f>
        <v/>
      </c>
      <c r="K9" s="114" t="str">
        <f t="shared" ref="K9:K50" si="4">IF(E9&gt;"",CONCATENATE("* differential.element[",$B9,"].mapping[",$A9,"].comment = """,E9,""""),"")</f>
        <v/>
      </c>
      <c r="M9" s="46"/>
      <c r="N9" s="113" t="str">
        <f t="shared" si="0"/>
        <v>* startDate -&gt; ""</v>
      </c>
    </row>
    <row r="10" spans="1:14" ht="29.5" customHeight="1" x14ac:dyDescent="0.75">
      <c r="A10" s="115">
        <v>0</v>
      </c>
      <c r="B10" s="115">
        <f>'Chemo-1'!A9</f>
        <v>3</v>
      </c>
      <c r="C10" s="115" t="str">
        <f>'Chemo-1'!B9</f>
        <v>endDate</v>
      </c>
      <c r="D10" s="117"/>
      <c r="H10" s="113" t="b">
        <f t="shared" si="1"/>
        <v>0</v>
      </c>
      <c r="I10" s="114" t="str">
        <f t="shared" si="2"/>
        <v/>
      </c>
      <c r="J10" s="114" t="str">
        <f t="shared" si="3"/>
        <v/>
      </c>
      <c r="K10" s="114" t="str">
        <f t="shared" si="4"/>
        <v/>
      </c>
      <c r="M10" s="46"/>
      <c r="N10" s="113" t="str">
        <f t="shared" si="0"/>
        <v>* endDate -&gt; ""</v>
      </c>
    </row>
    <row r="11" spans="1:14" x14ac:dyDescent="0.75">
      <c r="A11" s="115">
        <v>0</v>
      </c>
      <c r="B11" s="115">
        <f>'Chemo-1'!A10</f>
        <v>4</v>
      </c>
      <c r="C11" s="115" t="str">
        <f>'Chemo-1'!B10</f>
        <v>istitutionOfTreatment</v>
      </c>
      <c r="D11" s="117"/>
      <c r="H11" s="113" t="b">
        <f t="shared" si="1"/>
        <v>0</v>
      </c>
      <c r="I11" s="114" t="str">
        <f t="shared" si="2"/>
        <v/>
      </c>
      <c r="J11" s="114" t="str">
        <f t="shared" si="3"/>
        <v/>
      </c>
      <c r="K11" s="114" t="str">
        <f t="shared" si="4"/>
        <v/>
      </c>
      <c r="M11" s="46"/>
      <c r="N11" s="113" t="str">
        <f t="shared" si="0"/>
        <v>* istitutionOfTreatment -&gt; ""</v>
      </c>
    </row>
    <row r="12" spans="1:14" x14ac:dyDescent="0.75">
      <c r="A12" s="115">
        <v>0</v>
      </c>
      <c r="B12" s="115">
        <f>'Chemo-1'!A11</f>
        <v>5</v>
      </c>
      <c r="C12" s="115" t="str">
        <f>'Chemo-1'!B11</f>
        <v>istitutionOfTreatment.description</v>
      </c>
      <c r="D12" s="117"/>
      <c r="H12" s="113" t="b">
        <f t="shared" si="1"/>
        <v>0</v>
      </c>
      <c r="I12" s="114" t="str">
        <f t="shared" si="2"/>
        <v/>
      </c>
      <c r="J12" s="114" t="str">
        <f t="shared" si="3"/>
        <v/>
      </c>
      <c r="K12" s="114" t="str">
        <f t="shared" si="4"/>
        <v/>
      </c>
      <c r="M12" s="46"/>
      <c r="N12" s="113" t="str">
        <f t="shared" si="0"/>
        <v>* istitutionOfTreatment.description -&gt; ""</v>
      </c>
    </row>
    <row r="13" spans="1:14" x14ac:dyDescent="0.75">
      <c r="A13" s="115">
        <v>0</v>
      </c>
      <c r="B13" s="115">
        <f>'Chemo-1'!A12</f>
        <v>6</v>
      </c>
      <c r="C13" s="115" t="str">
        <f>'Chemo-1'!B12</f>
        <v>istitutionOfTreatment.name</v>
      </c>
      <c r="D13" s="117"/>
      <c r="H13" s="113" t="b">
        <f t="shared" si="1"/>
        <v>0</v>
      </c>
      <c r="I13" s="114" t="str">
        <f t="shared" si="2"/>
        <v/>
      </c>
      <c r="J13" s="114" t="str">
        <f t="shared" si="3"/>
        <v/>
      </c>
      <c r="K13" s="114" t="str">
        <f t="shared" si="4"/>
        <v/>
      </c>
      <c r="M13" s="46"/>
      <c r="N13" s="113" t="str">
        <f t="shared" si="0"/>
        <v>* istitutionOfTreatment.name -&gt; ""</v>
      </c>
    </row>
    <row r="14" spans="1:14" x14ac:dyDescent="0.75">
      <c r="A14" s="115">
        <v>0</v>
      </c>
      <c r="B14" s="115">
        <f>'Chemo-1'!A13</f>
        <v>7</v>
      </c>
      <c r="C14" s="115" t="str">
        <f>'Chemo-1'!B13</f>
        <v>istitutionOfTreatment.address</v>
      </c>
      <c r="D14" s="115"/>
      <c r="H14" s="113" t="b">
        <f t="shared" si="1"/>
        <v>0</v>
      </c>
      <c r="I14" s="114" t="str">
        <f t="shared" si="2"/>
        <v/>
      </c>
      <c r="J14" s="114" t="str">
        <f t="shared" si="3"/>
        <v/>
      </c>
      <c r="K14" s="114" t="str">
        <f t="shared" si="4"/>
        <v/>
      </c>
      <c r="M14" s="46"/>
      <c r="N14" s="113" t="str">
        <f t="shared" si="0"/>
        <v>* istitutionOfTreatment.address -&gt; ""</v>
      </c>
    </row>
    <row r="15" spans="1:14" x14ac:dyDescent="0.75">
      <c r="A15" s="115">
        <v>0</v>
      </c>
      <c r="B15" s="115">
        <f>'Chemo-1'!A14</f>
        <v>8</v>
      </c>
      <c r="C15" s="115" t="str">
        <f>'Chemo-1'!B14</f>
        <v>istitutionOfTreatment.address.name</v>
      </c>
      <c r="D15" s="115"/>
      <c r="H15" s="113" t="b">
        <f t="shared" si="1"/>
        <v>0</v>
      </c>
      <c r="I15" s="114" t="str">
        <f t="shared" si="2"/>
        <v/>
      </c>
      <c r="J15" s="114" t="str">
        <f t="shared" si="3"/>
        <v/>
      </c>
      <c r="K15" s="114" t="str">
        <f t="shared" si="4"/>
        <v/>
      </c>
      <c r="N15" s="113" t="str">
        <f t="shared" si="0"/>
        <v>* istitutionOfTreatment.address.name -&gt; ""</v>
      </c>
    </row>
    <row r="16" spans="1:14" x14ac:dyDescent="0.75">
      <c r="A16" s="115">
        <v>0</v>
      </c>
      <c r="B16" s="115">
        <f>'Chemo-1'!A15</f>
        <v>9</v>
      </c>
      <c r="C16" s="115" t="str">
        <f>'Chemo-1'!B15</f>
        <v>istitutionOfTreatment.address.country</v>
      </c>
      <c r="D16" s="115"/>
      <c r="H16" s="113" t="b">
        <f t="shared" si="1"/>
        <v>0</v>
      </c>
      <c r="I16" s="114" t="str">
        <f t="shared" si="2"/>
        <v/>
      </c>
      <c r="J16" s="114" t="str">
        <f t="shared" si="3"/>
        <v/>
      </c>
      <c r="K16" s="114" t="str">
        <f t="shared" si="4"/>
        <v/>
      </c>
      <c r="N16" s="113" t="str">
        <f t="shared" si="0"/>
        <v>* istitutionOfTreatment.address.country -&gt; ""</v>
      </c>
    </row>
    <row r="17" spans="1:14" x14ac:dyDescent="0.75">
      <c r="A17" s="115">
        <v>0</v>
      </c>
      <c r="B17" s="115">
        <f>'Chemo-1'!A16</f>
        <v>10</v>
      </c>
      <c r="C17" s="115" t="str">
        <f>'Chemo-1'!B16</f>
        <v>productAdministration</v>
      </c>
      <c r="D17" s="115"/>
      <c r="H17" s="113" t="b">
        <f t="shared" si="1"/>
        <v>0</v>
      </c>
      <c r="I17" s="114" t="str">
        <f t="shared" si="2"/>
        <v/>
      </c>
      <c r="J17" s="114" t="str">
        <f t="shared" si="3"/>
        <v/>
      </c>
      <c r="K17" s="114" t="str">
        <f t="shared" si="4"/>
        <v/>
      </c>
      <c r="N17" s="113" t="str">
        <f t="shared" si="0"/>
        <v>* productAdministration -&gt; ""</v>
      </c>
    </row>
    <row r="18" spans="1:14" x14ac:dyDescent="0.75">
      <c r="A18" s="115">
        <v>0</v>
      </c>
      <c r="B18" s="115">
        <f>'Chemo-1'!A17</f>
        <v>11</v>
      </c>
      <c r="C18" s="115" t="str">
        <f>'Chemo-1'!B17</f>
        <v>productAdministration.agent</v>
      </c>
      <c r="D18" s="115"/>
      <c r="H18" s="113" t="b">
        <f t="shared" si="1"/>
        <v>0</v>
      </c>
      <c r="I18" s="114" t="str">
        <f t="shared" si="2"/>
        <v/>
      </c>
      <c r="J18" s="114" t="str">
        <f t="shared" si="3"/>
        <v/>
      </c>
      <c r="K18" s="114" t="str">
        <f t="shared" si="4"/>
        <v/>
      </c>
      <c r="N18" s="113" t="str">
        <f t="shared" si="0"/>
        <v>* productAdministration.agent -&gt; ""</v>
      </c>
    </row>
    <row r="19" spans="1:14" x14ac:dyDescent="0.75">
      <c r="A19" s="115">
        <v>0</v>
      </c>
      <c r="B19" s="115">
        <f>'Chemo-1'!A19</f>
        <v>13</v>
      </c>
      <c r="C19" s="115" t="str">
        <f>'Chemo-1'!B19</f>
        <v>productAdministration.cumulativeDose</v>
      </c>
      <c r="D19" s="115"/>
      <c r="H19" s="113" t="b">
        <f t="shared" si="1"/>
        <v>0</v>
      </c>
      <c r="I19" s="114" t="str">
        <f t="shared" si="2"/>
        <v/>
      </c>
      <c r="J19" s="114" t="str">
        <f t="shared" si="3"/>
        <v/>
      </c>
      <c r="K19" s="114" t="str">
        <f t="shared" si="4"/>
        <v/>
      </c>
      <c r="N19" s="113" t="str">
        <f t="shared" si="0"/>
        <v>* productAdministration.cumulativeDose -&gt; ""</v>
      </c>
    </row>
    <row r="20" spans="1:14" x14ac:dyDescent="0.75">
      <c r="A20" s="115">
        <v>0</v>
      </c>
      <c r="B20" s="115">
        <f>'Chemo-1'!A20</f>
        <v>14</v>
      </c>
      <c r="C20" s="115" t="str">
        <f>'Chemo-1'!B20</f>
        <v>productAdministration.cumulativeDose.notAvailable</v>
      </c>
      <c r="D20" s="115"/>
      <c r="H20" s="113" t="b">
        <f t="shared" si="1"/>
        <v>0</v>
      </c>
      <c r="I20" s="114" t="str">
        <f t="shared" si="2"/>
        <v/>
      </c>
      <c r="J20" s="114" t="str">
        <f t="shared" si="3"/>
        <v/>
      </c>
      <c r="K20" s="114" t="str">
        <f t="shared" si="4"/>
        <v/>
      </c>
      <c r="N20" s="113" t="str">
        <f t="shared" si="0"/>
        <v>* productAdministration.cumulativeDose.notAvailable -&gt; ""</v>
      </c>
    </row>
    <row r="21" spans="1:14" x14ac:dyDescent="0.75">
      <c r="A21" s="115">
        <v>0</v>
      </c>
      <c r="B21" s="115">
        <f>'Chemo-1'!A21</f>
        <v>15</v>
      </c>
      <c r="C21" s="115" t="str">
        <f>'Chemo-1'!B21</f>
        <v>productAdministration.cumulativeDose.measureType</v>
      </c>
      <c r="D21" s="115"/>
      <c r="H21" s="113" t="b">
        <f t="shared" si="1"/>
        <v>0</v>
      </c>
      <c r="I21" s="114" t="str">
        <f t="shared" si="2"/>
        <v/>
      </c>
      <c r="J21" s="114" t="str">
        <f t="shared" si="3"/>
        <v/>
      </c>
      <c r="K21" s="114" t="str">
        <f t="shared" si="4"/>
        <v/>
      </c>
      <c r="N21" s="113" t="str">
        <f t="shared" si="0"/>
        <v>* productAdministration.cumulativeDose.measureType -&gt; ""</v>
      </c>
    </row>
    <row r="22" spans="1:14" x14ac:dyDescent="0.75">
      <c r="A22" s="115">
        <v>0</v>
      </c>
      <c r="B22" s="115">
        <f>'Chemo-1'!A22</f>
        <v>16</v>
      </c>
      <c r="C22" s="115" t="str">
        <f>'Chemo-1'!B22</f>
        <v>productAdministration.cumulativeDose.completionStatus</v>
      </c>
      <c r="D22" s="115"/>
      <c r="H22" s="113" t="b">
        <f t="shared" si="1"/>
        <v>0</v>
      </c>
      <c r="I22" s="114" t="str">
        <f t="shared" si="2"/>
        <v/>
      </c>
      <c r="J22" s="114" t="str">
        <f t="shared" si="3"/>
        <v/>
      </c>
      <c r="K22" s="114" t="str">
        <f t="shared" si="4"/>
        <v/>
      </c>
      <c r="N22" s="113" t="str">
        <f t="shared" si="0"/>
        <v>* productAdministration.cumulativeDose.completionStatus -&gt; ""</v>
      </c>
    </row>
    <row r="23" spans="1:14" x14ac:dyDescent="0.75">
      <c r="A23" s="115">
        <v>0</v>
      </c>
      <c r="B23" s="115">
        <f>'Chemo-1'!A23</f>
        <v>17</v>
      </c>
      <c r="C23" s="115" t="str">
        <f>'Chemo-1'!B23</f>
        <v>productAdministration.cumulativeDose.statusReason</v>
      </c>
      <c r="D23" s="115"/>
      <c r="H23" s="113" t="b">
        <f t="shared" si="1"/>
        <v>0</v>
      </c>
      <c r="I23" s="114" t="str">
        <f t="shared" si="2"/>
        <v/>
      </c>
      <c r="J23" s="114" t="str">
        <f t="shared" si="3"/>
        <v/>
      </c>
      <c r="K23" s="114" t="str">
        <f t="shared" si="4"/>
        <v/>
      </c>
      <c r="N23" s="113" t="str">
        <f t="shared" si="0"/>
        <v>* productAdministration.cumulativeDose.statusReason -&gt; ""</v>
      </c>
    </row>
    <row r="24" spans="1:14" x14ac:dyDescent="0.75">
      <c r="A24" s="115">
        <v>0</v>
      </c>
      <c r="B24" s="115">
        <f>'Chemo-1'!A24</f>
        <v>18</v>
      </c>
      <c r="C24" s="115" t="str">
        <f>'Chemo-1'!B24</f>
        <v>productAdministration.cumulativeDose.value</v>
      </c>
      <c r="D24" s="115"/>
      <c r="H24" s="113" t="b">
        <f t="shared" si="1"/>
        <v>0</v>
      </c>
      <c r="I24" s="114" t="str">
        <f t="shared" si="2"/>
        <v/>
      </c>
      <c r="J24" s="114" t="str">
        <f t="shared" si="3"/>
        <v/>
      </c>
      <c r="K24" s="114" t="str">
        <f t="shared" si="4"/>
        <v/>
      </c>
      <c r="N24" s="113" t="str">
        <f t="shared" si="0"/>
        <v>* productAdministration.cumulativeDose.value -&gt; ""</v>
      </c>
    </row>
    <row r="25" spans="1:14" x14ac:dyDescent="0.75">
      <c r="A25" s="115">
        <v>0</v>
      </c>
      <c r="B25" s="115">
        <f>'Chemo-1'!A25</f>
        <v>19</v>
      </c>
      <c r="C25" s="115" t="str">
        <f>'Chemo-1'!B25</f>
        <v>productAdministration.cumulativeDose.unit</v>
      </c>
      <c r="D25" s="115"/>
      <c r="H25" s="113" t="b">
        <f t="shared" si="1"/>
        <v>0</v>
      </c>
      <c r="I25" s="114" t="str">
        <f t="shared" si="2"/>
        <v/>
      </c>
      <c r="J25" s="114" t="str">
        <f t="shared" si="3"/>
        <v/>
      </c>
      <c r="K25" s="114" t="str">
        <f t="shared" si="4"/>
        <v/>
      </c>
      <c r="N25" s="113" t="str">
        <f t="shared" si="0"/>
        <v>* productAdministration.cumulativeDose.unit -&gt; ""</v>
      </c>
    </row>
    <row r="26" spans="1:14" x14ac:dyDescent="0.75">
      <c r="A26" s="115">
        <v>0</v>
      </c>
      <c r="B26" s="115">
        <f>'Chemo-1'!A26</f>
        <v>20</v>
      </c>
      <c r="C26" s="115" t="str">
        <f>'Chemo-1'!B26</f>
        <v>corticosteroids</v>
      </c>
      <c r="D26" s="115"/>
      <c r="H26" s="113" t="b">
        <f t="shared" si="1"/>
        <v>0</v>
      </c>
      <c r="I26" s="114" t="str">
        <f t="shared" si="2"/>
        <v/>
      </c>
      <c r="J26" s="114" t="str">
        <f t="shared" si="3"/>
        <v/>
      </c>
      <c r="K26" s="114" t="str">
        <f t="shared" si="4"/>
        <v/>
      </c>
      <c r="N26" s="113" t="str">
        <f t="shared" si="0"/>
        <v>* corticosteroids -&gt; ""</v>
      </c>
    </row>
    <row r="27" spans="1:14" x14ac:dyDescent="0.75">
      <c r="A27" s="115">
        <v>0</v>
      </c>
      <c r="B27" s="115">
        <f>'Chemo-1'!A27</f>
        <v>21</v>
      </c>
      <c r="C27" s="115" t="str">
        <f>'Chemo-1'!B27</f>
        <v>intrathecalInjections</v>
      </c>
      <c r="D27" s="115"/>
      <c r="H27" s="113" t="b">
        <f t="shared" si="1"/>
        <v>0</v>
      </c>
      <c r="I27" s="114" t="str">
        <f t="shared" si="2"/>
        <v/>
      </c>
      <c r="J27" s="114" t="str">
        <f t="shared" si="3"/>
        <v/>
      </c>
      <c r="K27" s="114" t="str">
        <f t="shared" si="4"/>
        <v/>
      </c>
      <c r="N27" s="113" t="str">
        <f t="shared" si="0"/>
        <v>* intrathecalInjections -&gt; ""</v>
      </c>
    </row>
    <row r="28" spans="1:14" x14ac:dyDescent="0.75">
      <c r="A28" s="115">
        <v>0</v>
      </c>
      <c r="B28" s="115">
        <f>'Chemo-1'!A28</f>
        <v>22</v>
      </c>
      <c r="C28" s="115" t="str">
        <f>'Chemo-1'!B28</f>
        <v>intrathecalInjections.status</v>
      </c>
      <c r="D28" s="115"/>
      <c r="H28" s="113" t="b">
        <f t="shared" si="1"/>
        <v>0</v>
      </c>
      <c r="I28" s="114" t="str">
        <f t="shared" si="2"/>
        <v/>
      </c>
      <c r="J28" s="114" t="str">
        <f t="shared" si="3"/>
        <v/>
      </c>
      <c r="K28" s="114" t="str">
        <f t="shared" si="4"/>
        <v/>
      </c>
      <c r="N28" s="113" t="str">
        <f t="shared" si="0"/>
        <v>* intrathecalInjections.status -&gt; ""</v>
      </c>
    </row>
    <row r="29" spans="1:14" x14ac:dyDescent="0.75">
      <c r="A29" s="115">
        <v>0</v>
      </c>
      <c r="B29" s="115">
        <f>'Chemo-1'!A29</f>
        <v>23</v>
      </c>
      <c r="C29" s="115" t="str">
        <f>'Chemo-1'!B29</f>
        <v>intrathecalInjections.number</v>
      </c>
      <c r="D29" s="115"/>
      <c r="H29" s="113" t="b">
        <f t="shared" si="1"/>
        <v>0</v>
      </c>
      <c r="I29" s="114" t="str">
        <f t="shared" si="2"/>
        <v/>
      </c>
      <c r="J29" s="114" t="str">
        <f t="shared" si="3"/>
        <v/>
      </c>
      <c r="K29" s="114" t="str">
        <f t="shared" si="4"/>
        <v/>
      </c>
      <c r="N29" s="113" t="str">
        <f t="shared" si="0"/>
        <v>* intrathecalInjections.number -&gt; ""</v>
      </c>
    </row>
    <row r="30" spans="1:14" x14ac:dyDescent="0.75">
      <c r="A30" s="115">
        <v>0</v>
      </c>
      <c r="B30" s="115">
        <f>'Chemo-1'!A30</f>
        <v>24</v>
      </c>
      <c r="C30" s="115" t="str">
        <f>'Chemo-1'!B30</f>
        <v>intrathecalInjections.productName</v>
      </c>
      <c r="D30" s="25"/>
      <c r="H30" s="113" t="b">
        <f t="shared" si="1"/>
        <v>0</v>
      </c>
      <c r="I30" s="114" t="str">
        <f t="shared" si="2"/>
        <v/>
      </c>
      <c r="J30" s="114" t="str">
        <f t="shared" si="3"/>
        <v/>
      </c>
      <c r="K30" s="114" t="str">
        <f t="shared" si="4"/>
        <v/>
      </c>
      <c r="N30" s="113" t="str">
        <f t="shared" si="0"/>
        <v>* intrathecalInjections.productName -&gt; ""</v>
      </c>
    </row>
    <row r="31" spans="1:14" x14ac:dyDescent="0.75">
      <c r="A31" s="115">
        <v>0</v>
      </c>
      <c r="B31" s="115">
        <f>'Chemo-1'!A31</f>
        <v>25</v>
      </c>
      <c r="C31" s="115" t="str">
        <f>'Chemo-1'!B31</f>
        <v>otherTreatments</v>
      </c>
      <c r="D31" s="115"/>
      <c r="H31" s="113" t="b">
        <f t="shared" si="1"/>
        <v>0</v>
      </c>
      <c r="I31" s="114" t="str">
        <f t="shared" si="2"/>
        <v/>
      </c>
      <c r="J31" s="114" t="str">
        <f t="shared" si="3"/>
        <v/>
      </c>
      <c r="K31" s="114" t="str">
        <f t="shared" si="4"/>
        <v/>
      </c>
      <c r="N31" s="113" t="str">
        <f t="shared" si="0"/>
        <v>* otherTreatments -&gt; ""</v>
      </c>
    </row>
    <row r="32" spans="1:14" x14ac:dyDescent="0.75">
      <c r="A32" s="115">
        <v>0</v>
      </c>
      <c r="B32" s="115">
        <f>'Chemo-1'!A32</f>
        <v>26</v>
      </c>
      <c r="C32" s="115" t="str">
        <f>'Chemo-1'!B32</f>
        <v>otherTreatments.productName</v>
      </c>
      <c r="D32" s="115"/>
      <c r="H32" s="113" t="b">
        <f t="shared" si="1"/>
        <v>0</v>
      </c>
      <c r="I32" s="114" t="str">
        <f t="shared" si="2"/>
        <v/>
      </c>
      <c r="J32" s="114" t="str">
        <f t="shared" si="3"/>
        <v/>
      </c>
      <c r="K32" s="114" t="str">
        <f t="shared" si="4"/>
        <v/>
      </c>
      <c r="N32" s="113" t="str">
        <f t="shared" si="0"/>
        <v>* otherTreatments.productName -&gt; ""</v>
      </c>
    </row>
    <row r="33" spans="1:14" x14ac:dyDescent="0.75">
      <c r="A33" s="115">
        <v>0</v>
      </c>
      <c r="B33" s="115"/>
      <c r="C33" s="115"/>
      <c r="D33" s="115"/>
      <c r="H33" s="113" t="b">
        <f t="shared" si="1"/>
        <v>0</v>
      </c>
      <c r="I33" s="114" t="str">
        <f t="shared" si="2"/>
        <v/>
      </c>
      <c r="J33" s="114" t="str">
        <f t="shared" si="3"/>
        <v/>
      </c>
      <c r="K33" s="114" t="str">
        <f t="shared" si="4"/>
        <v/>
      </c>
      <c r="N33" s="113" t="str">
        <f t="shared" si="0"/>
        <v>*  -&gt; ""</v>
      </c>
    </row>
    <row r="34" spans="1:14" x14ac:dyDescent="0.75">
      <c r="A34" s="115">
        <v>0</v>
      </c>
      <c r="B34" s="115"/>
      <c r="C34" s="115"/>
      <c r="D34" s="115"/>
      <c r="H34" s="113" t="b">
        <f t="shared" si="1"/>
        <v>0</v>
      </c>
      <c r="I34" s="114" t="str">
        <f t="shared" si="2"/>
        <v/>
      </c>
      <c r="J34" s="114" t="str">
        <f t="shared" si="3"/>
        <v/>
      </c>
      <c r="K34" s="114" t="str">
        <f t="shared" si="4"/>
        <v/>
      </c>
      <c r="N34" s="113" t="str">
        <f t="shared" si="0"/>
        <v>*  -&gt; ""</v>
      </c>
    </row>
    <row r="35" spans="1:14" x14ac:dyDescent="0.75">
      <c r="A35" s="115">
        <v>0</v>
      </c>
      <c r="B35" s="115"/>
      <c r="C35" s="115"/>
      <c r="D35" s="25"/>
      <c r="H35" s="113" t="b">
        <f t="shared" si="1"/>
        <v>0</v>
      </c>
      <c r="I35" s="114" t="str">
        <f t="shared" si="2"/>
        <v/>
      </c>
      <c r="J35" s="114" t="str">
        <f t="shared" si="3"/>
        <v/>
      </c>
      <c r="K35" s="114" t="str">
        <f t="shared" si="4"/>
        <v/>
      </c>
      <c r="N35" s="113" t="str">
        <f t="shared" si="0"/>
        <v>*  -&gt; ""</v>
      </c>
    </row>
    <row r="36" spans="1:14" x14ac:dyDescent="0.75">
      <c r="A36" s="115">
        <v>0</v>
      </c>
      <c r="B36" s="115"/>
      <c r="C36" s="115"/>
      <c r="D36" s="115"/>
      <c r="H36" s="113" t="b">
        <f t="shared" si="1"/>
        <v>0</v>
      </c>
      <c r="I36" s="114" t="str">
        <f t="shared" si="2"/>
        <v/>
      </c>
      <c r="J36" s="114" t="str">
        <f t="shared" si="3"/>
        <v/>
      </c>
      <c r="K36" s="114" t="str">
        <f t="shared" si="4"/>
        <v/>
      </c>
      <c r="N36" s="113" t="str">
        <f t="shared" si="0"/>
        <v>*  -&gt; ""</v>
      </c>
    </row>
    <row r="37" spans="1:14" x14ac:dyDescent="0.75">
      <c r="A37" s="115">
        <v>0</v>
      </c>
      <c r="B37" s="115"/>
      <c r="C37" s="115"/>
      <c r="D37" s="115"/>
      <c r="H37" s="113" t="b">
        <f t="shared" si="1"/>
        <v>0</v>
      </c>
      <c r="I37" s="114" t="str">
        <f t="shared" si="2"/>
        <v/>
      </c>
      <c r="J37" s="114" t="str">
        <f t="shared" si="3"/>
        <v/>
      </c>
      <c r="K37" s="114" t="str">
        <f t="shared" si="4"/>
        <v/>
      </c>
      <c r="N37" s="113" t="str">
        <f t="shared" si="0"/>
        <v>*  -&gt; ""</v>
      </c>
    </row>
    <row r="38" spans="1:14" x14ac:dyDescent="0.75">
      <c r="A38" s="115">
        <v>0</v>
      </c>
      <c r="B38" s="115"/>
      <c r="C38" s="115"/>
      <c r="D38" s="115"/>
      <c r="H38" s="113" t="b">
        <f t="shared" si="1"/>
        <v>0</v>
      </c>
      <c r="I38" s="114" t="str">
        <f t="shared" si="2"/>
        <v/>
      </c>
      <c r="J38" s="114" t="str">
        <f t="shared" si="3"/>
        <v/>
      </c>
      <c r="K38" s="114" t="str">
        <f t="shared" si="4"/>
        <v/>
      </c>
      <c r="N38" s="113" t="str">
        <f t="shared" si="0"/>
        <v>*  -&gt; ""</v>
      </c>
    </row>
    <row r="39" spans="1:14" x14ac:dyDescent="0.75">
      <c r="A39" s="115">
        <v>0</v>
      </c>
      <c r="B39" s="115"/>
      <c r="C39" s="115"/>
      <c r="D39" s="115"/>
      <c r="H39" s="113" t="b">
        <f t="shared" si="1"/>
        <v>0</v>
      </c>
      <c r="I39" s="114" t="str">
        <f t="shared" si="2"/>
        <v/>
      </c>
      <c r="J39" s="114" t="str">
        <f t="shared" si="3"/>
        <v/>
      </c>
      <c r="K39" s="114" t="str">
        <f t="shared" si="4"/>
        <v/>
      </c>
      <c r="N39" s="113" t="str">
        <f t="shared" si="0"/>
        <v>*  -&gt; ""</v>
      </c>
    </row>
    <row r="40" spans="1:14" x14ac:dyDescent="0.75">
      <c r="A40" s="115">
        <v>0</v>
      </c>
      <c r="B40" s="115"/>
      <c r="C40" s="115"/>
      <c r="D40" s="115"/>
      <c r="H40" s="113" t="b">
        <f t="shared" si="1"/>
        <v>0</v>
      </c>
      <c r="I40" s="114" t="str">
        <f t="shared" si="2"/>
        <v/>
      </c>
      <c r="J40" s="114" t="str">
        <f t="shared" si="3"/>
        <v/>
      </c>
      <c r="K40" s="114" t="str">
        <f t="shared" si="4"/>
        <v/>
      </c>
      <c r="N40" s="113" t="str">
        <f t="shared" si="0"/>
        <v>*  -&gt; ""</v>
      </c>
    </row>
    <row r="41" spans="1:14" x14ac:dyDescent="0.75">
      <c r="A41" s="115">
        <v>0</v>
      </c>
      <c r="B41" s="115"/>
      <c r="C41" s="115"/>
      <c r="D41" s="47"/>
      <c r="H41" s="113" t="b">
        <f t="shared" si="1"/>
        <v>0</v>
      </c>
      <c r="I41" s="114" t="str">
        <f t="shared" si="2"/>
        <v/>
      </c>
      <c r="J41" s="114" t="str">
        <f t="shared" si="3"/>
        <v/>
      </c>
      <c r="K41" s="114" t="str">
        <f t="shared" si="4"/>
        <v/>
      </c>
      <c r="N41" s="113" t="str">
        <f t="shared" si="0"/>
        <v>*  -&gt; ""</v>
      </c>
    </row>
    <row r="42" spans="1:14" x14ac:dyDescent="0.75">
      <c r="A42" s="115"/>
      <c r="B42" s="115"/>
      <c r="C42" s="115"/>
      <c r="D42" s="115"/>
      <c r="H42" s="113" t="b">
        <f>IF(D42&gt;"",TRUE,FALSE)</f>
        <v>0</v>
      </c>
      <c r="I42" s="114" t="str">
        <f t="shared" si="2"/>
        <v/>
      </c>
      <c r="J42" s="114" t="str">
        <f t="shared" si="3"/>
        <v/>
      </c>
      <c r="K42" s="114" t="str">
        <f t="shared" si="4"/>
        <v/>
      </c>
    </row>
    <row r="43" spans="1:14" x14ac:dyDescent="0.75">
      <c r="A43" s="115"/>
      <c r="B43" s="115"/>
      <c r="C43" s="115"/>
      <c r="D43" s="115"/>
      <c r="H43" s="113" t="b">
        <f t="shared" si="1"/>
        <v>0</v>
      </c>
      <c r="I43" s="114" t="str">
        <f t="shared" si="2"/>
        <v/>
      </c>
      <c r="J43" s="114" t="str">
        <f t="shared" si="3"/>
        <v/>
      </c>
      <c r="K43" s="114" t="str">
        <f t="shared" si="4"/>
        <v/>
      </c>
    </row>
    <row r="44" spans="1:14" x14ac:dyDescent="0.75">
      <c r="A44" s="115"/>
      <c r="B44" s="115"/>
      <c r="C44" s="115"/>
      <c r="D44" s="115"/>
      <c r="H44" s="113" t="b">
        <f t="shared" si="1"/>
        <v>0</v>
      </c>
      <c r="I44" s="114" t="str">
        <f t="shared" si="2"/>
        <v/>
      </c>
      <c r="J44" s="114" t="str">
        <f t="shared" si="3"/>
        <v/>
      </c>
      <c r="K44" s="114" t="str">
        <f t="shared" si="4"/>
        <v/>
      </c>
    </row>
    <row r="45" spans="1:14" x14ac:dyDescent="0.75">
      <c r="A45" s="115"/>
      <c r="B45" s="115"/>
      <c r="C45" s="115"/>
      <c r="D45" s="115"/>
      <c r="H45" s="113" t="b">
        <f t="shared" si="1"/>
        <v>0</v>
      </c>
      <c r="I45" s="114" t="str">
        <f t="shared" si="2"/>
        <v/>
      </c>
      <c r="J45" s="114" t="str">
        <f t="shared" si="3"/>
        <v/>
      </c>
      <c r="K45" s="114" t="str">
        <f t="shared" si="4"/>
        <v/>
      </c>
    </row>
    <row r="46" spans="1:14" x14ac:dyDescent="0.75">
      <c r="B46" s="113" t="e">
        <f>'Base-1'!#REF!</f>
        <v>#REF!</v>
      </c>
      <c r="H46" s="113" t="b">
        <f t="shared" si="1"/>
        <v>0</v>
      </c>
      <c r="I46" s="114" t="str">
        <f t="shared" si="2"/>
        <v/>
      </c>
      <c r="J46" s="114" t="str">
        <f t="shared" si="3"/>
        <v/>
      </c>
      <c r="K46" s="114" t="str">
        <f t="shared" si="4"/>
        <v/>
      </c>
    </row>
    <row r="47" spans="1:14" x14ac:dyDescent="0.75">
      <c r="B47" s="113" t="e">
        <f>'Base-1'!#REF!</f>
        <v>#REF!</v>
      </c>
      <c r="C47" s="113" t="str">
        <f>'Base-1'!C15</f>
        <v>Date of first elective end of treatment</v>
      </c>
      <c r="H47" s="113" t="b">
        <f t="shared" si="1"/>
        <v>0</v>
      </c>
      <c r="I47" s="114" t="str">
        <f t="shared" si="2"/>
        <v/>
      </c>
      <c r="J47" s="114" t="str">
        <f t="shared" si="3"/>
        <v/>
      </c>
      <c r="K47" s="114" t="str">
        <f t="shared" si="4"/>
        <v/>
      </c>
    </row>
    <row r="48" spans="1:14" x14ac:dyDescent="0.75">
      <c r="B48" s="113" t="e">
        <f>'Base-1'!#REF!</f>
        <v>#REF!</v>
      </c>
      <c r="C48" s="113" t="e">
        <f>'Base-1'!#REF!</f>
        <v>#REF!</v>
      </c>
      <c r="H48" s="113" t="b">
        <f t="shared" si="1"/>
        <v>0</v>
      </c>
      <c r="I48" s="114" t="str">
        <f t="shared" si="2"/>
        <v/>
      </c>
      <c r="J48" s="114" t="str">
        <f t="shared" si="3"/>
        <v/>
      </c>
      <c r="K48" s="114" t="str">
        <f t="shared" si="4"/>
        <v/>
      </c>
    </row>
    <row r="49" spans="2:11" x14ac:dyDescent="0.75">
      <c r="B49" s="113" t="e">
        <f>'Base-1'!#REF!</f>
        <v>#REF!</v>
      </c>
      <c r="C49" s="113" t="e">
        <f>'Base-1'!#REF!</f>
        <v>#REF!</v>
      </c>
      <c r="H49" s="113" t="b">
        <f t="shared" si="1"/>
        <v>0</v>
      </c>
      <c r="I49" s="114" t="str">
        <f t="shared" si="2"/>
        <v/>
      </c>
      <c r="J49" s="114" t="str">
        <f t="shared" si="3"/>
        <v/>
      </c>
      <c r="K49" s="114" t="str">
        <f t="shared" si="4"/>
        <v/>
      </c>
    </row>
    <row r="50" spans="2:11" x14ac:dyDescent="0.75">
      <c r="B50" s="113" t="e">
        <f>'Base-1'!#REF!</f>
        <v>#REF!</v>
      </c>
      <c r="C50" s="113" t="e">
        <f>'Base-1'!#REF!</f>
        <v>#REF!</v>
      </c>
      <c r="H50" s="113" t="b">
        <f t="shared" si="1"/>
        <v>0</v>
      </c>
      <c r="I50" s="114" t="str">
        <f t="shared" si="2"/>
        <v/>
      </c>
      <c r="J50" s="114" t="str">
        <f t="shared" si="3"/>
        <v/>
      </c>
      <c r="K50" s="114" t="str">
        <f t="shared" si="4"/>
        <v/>
      </c>
    </row>
    <row r="51" spans="2:11" x14ac:dyDescent="0.75">
      <c r="B51" s="113">
        <f>'Base-1'!A37</f>
        <v>0</v>
      </c>
      <c r="C51" s="113">
        <f>'Base-1'!B37</f>
        <v>0</v>
      </c>
    </row>
    <row r="52" spans="2:11" x14ac:dyDescent="0.75">
      <c r="B52" s="113">
        <f>'Base-1'!A38</f>
        <v>0</v>
      </c>
      <c r="C52" s="113">
        <f>'Base-1'!B38</f>
        <v>0</v>
      </c>
    </row>
    <row r="53" spans="2:11" x14ac:dyDescent="0.75">
      <c r="B53" s="113">
        <f>'Base-1'!A39</f>
        <v>0</v>
      </c>
      <c r="C53" s="113">
        <f>'Base-1'!B39</f>
        <v>0</v>
      </c>
    </row>
    <row r="54" spans="2:11" x14ac:dyDescent="0.75">
      <c r="B54" s="113">
        <f>'Base-1'!A40</f>
        <v>0</v>
      </c>
      <c r="C54" s="113">
        <f>'Base-1'!B40</f>
        <v>0</v>
      </c>
    </row>
    <row r="55" spans="2:11" x14ac:dyDescent="0.75">
      <c r="B55" s="113">
        <f>'Base-1'!A41</f>
        <v>0</v>
      </c>
      <c r="C55" s="113">
        <f>'Base-1'!B41</f>
        <v>0</v>
      </c>
    </row>
    <row r="56" spans="2:11" x14ac:dyDescent="0.75">
      <c r="B56" s="113">
        <f>'Base-1'!A42</f>
        <v>0</v>
      </c>
      <c r="C56" s="113">
        <f>'Base-1'!B42</f>
        <v>0</v>
      </c>
    </row>
    <row r="57" spans="2:11" x14ac:dyDescent="0.75">
      <c r="B57" s="113">
        <f>'Base-1'!A43</f>
        <v>0</v>
      </c>
      <c r="C57" s="113">
        <f>'Base-1'!B43</f>
        <v>0</v>
      </c>
    </row>
    <row r="58" spans="2:11" x14ac:dyDescent="0.75">
      <c r="B58" s="113">
        <f>'Base-1'!A44</f>
        <v>0</v>
      </c>
      <c r="C58" s="113">
        <f>'Base-1'!B44</f>
        <v>0</v>
      </c>
    </row>
    <row r="59" spans="2:11" x14ac:dyDescent="0.75">
      <c r="B59" s="113">
        <f>'Base-1'!A45</f>
        <v>0</v>
      </c>
      <c r="C59" s="113">
        <f>'Base-1'!B45</f>
        <v>0</v>
      </c>
    </row>
    <row r="60" spans="2:11" x14ac:dyDescent="0.75">
      <c r="B60" s="113">
        <f>'Base-1'!A46</f>
        <v>0</v>
      </c>
      <c r="C60" s="113">
        <f>'Base-1'!B46</f>
        <v>0</v>
      </c>
    </row>
    <row r="61" spans="2:11" x14ac:dyDescent="0.75">
      <c r="B61" s="113">
        <f>'Base-1'!A47</f>
        <v>0</v>
      </c>
      <c r="C61" s="113">
        <f>'Base-1'!B47</f>
        <v>0</v>
      </c>
    </row>
    <row r="62" spans="2:11" x14ac:dyDescent="0.75">
      <c r="B62" s="113">
        <f>'Base-1'!A48</f>
        <v>0</v>
      </c>
      <c r="C62" s="113">
        <f>'Base-1'!B48</f>
        <v>0</v>
      </c>
    </row>
    <row r="63" spans="2:11" x14ac:dyDescent="0.75">
      <c r="B63" s="113">
        <f>'Base-1'!A49</f>
        <v>0</v>
      </c>
      <c r="C63" s="113">
        <f>'Base-1'!B49</f>
        <v>0</v>
      </c>
    </row>
    <row r="64" spans="2:11" x14ac:dyDescent="0.75">
      <c r="B64" s="113">
        <f>'Base-1'!A50</f>
        <v>0</v>
      </c>
      <c r="C64" s="113">
        <f>'Base-1'!B50</f>
        <v>0</v>
      </c>
    </row>
    <row r="65" spans="2:3" x14ac:dyDescent="0.75">
      <c r="B65" s="113">
        <f>'Base-1'!A51</f>
        <v>0</v>
      </c>
      <c r="C65" s="113">
        <f>'Base-1'!B51</f>
        <v>0</v>
      </c>
    </row>
    <row r="66" spans="2:3" x14ac:dyDescent="0.75">
      <c r="B66" s="113">
        <f>'Base-1'!A52</f>
        <v>0</v>
      </c>
      <c r="C66" s="113">
        <f>'Base-1'!B52</f>
        <v>0</v>
      </c>
    </row>
    <row r="67" spans="2:3" x14ac:dyDescent="0.75">
      <c r="B67" s="113">
        <f>'Base-1'!A53</f>
        <v>0</v>
      </c>
      <c r="C67" s="113">
        <f>'Base-1'!B53</f>
        <v>0</v>
      </c>
    </row>
    <row r="68" spans="2:3" x14ac:dyDescent="0.75">
      <c r="B68" s="113">
        <f>'Base-1'!A54</f>
        <v>0</v>
      </c>
      <c r="C68" s="113">
        <f>'Base-1'!B54</f>
        <v>0</v>
      </c>
    </row>
    <row r="69" spans="2:3" x14ac:dyDescent="0.75">
      <c r="B69" s="113">
        <f>'Base-1'!A55</f>
        <v>0</v>
      </c>
      <c r="C69" s="113">
        <f>'Base-1'!B55</f>
        <v>0</v>
      </c>
    </row>
    <row r="70" spans="2:3" x14ac:dyDescent="0.75">
      <c r="B70" s="113">
        <f>'Base-1'!A56</f>
        <v>0</v>
      </c>
      <c r="C70" s="113">
        <f>'Base-1'!B56</f>
        <v>0</v>
      </c>
    </row>
    <row r="71" spans="2:3" x14ac:dyDescent="0.75">
      <c r="B71" s="113">
        <f>'Base-1'!A57</f>
        <v>0</v>
      </c>
      <c r="C71" s="113">
        <f>'Base-1'!B57</f>
        <v>0</v>
      </c>
    </row>
    <row r="72" spans="2:3" x14ac:dyDescent="0.75">
      <c r="B72" s="113">
        <f>'Base-1'!A58</f>
        <v>0</v>
      </c>
      <c r="C72" s="113">
        <f>'Base-1'!B58</f>
        <v>0</v>
      </c>
    </row>
    <row r="73" spans="2:3" x14ac:dyDescent="0.75">
      <c r="B73" s="113">
        <f>'Base-1'!A59</f>
        <v>0</v>
      </c>
      <c r="C73" s="113">
        <f>'Base-1'!B59</f>
        <v>0</v>
      </c>
    </row>
    <row r="74" spans="2:3" x14ac:dyDescent="0.75">
      <c r="B74" s="113">
        <f>'Base-1'!A60</f>
        <v>0</v>
      </c>
      <c r="C74" s="113">
        <f>'Base-1'!B60</f>
        <v>0</v>
      </c>
    </row>
    <row r="75" spans="2:3" x14ac:dyDescent="0.75">
      <c r="B75" s="113">
        <f>'Base-1'!A61</f>
        <v>0</v>
      </c>
      <c r="C75" s="113">
        <f>'Base-1'!B61</f>
        <v>0</v>
      </c>
    </row>
    <row r="76" spans="2:3" x14ac:dyDescent="0.75">
      <c r="B76" s="113">
        <f>'Base-1'!A62</f>
        <v>0</v>
      </c>
      <c r="C76" s="113">
        <f>'Base-1'!B62</f>
        <v>0</v>
      </c>
    </row>
    <row r="77" spans="2:3" x14ac:dyDescent="0.75">
      <c r="B77" s="113">
        <f>'Base-1'!A63</f>
        <v>0</v>
      </c>
      <c r="C77" s="113">
        <f>'Base-1'!B63</f>
        <v>0</v>
      </c>
    </row>
    <row r="78" spans="2:3" x14ac:dyDescent="0.75">
      <c r="B78" s="113">
        <f>'Base-1'!A64</f>
        <v>0</v>
      </c>
      <c r="C78" s="113">
        <f>'Base-1'!B64</f>
        <v>0</v>
      </c>
    </row>
    <row r="79" spans="2:3" x14ac:dyDescent="0.75">
      <c r="B79" s="113">
        <f>'Base-1'!A65</f>
        <v>0</v>
      </c>
      <c r="C79" s="113">
        <f>'Base-1'!B65</f>
        <v>0</v>
      </c>
    </row>
    <row r="80" spans="2:3" x14ac:dyDescent="0.75">
      <c r="B80" s="113">
        <f>'Base-1'!A66</f>
        <v>0</v>
      </c>
      <c r="C80" s="113">
        <f>'Base-1'!B66</f>
        <v>0</v>
      </c>
    </row>
    <row r="81" spans="2:3" x14ac:dyDescent="0.75">
      <c r="B81" s="113">
        <f>'Base-1'!A67</f>
        <v>0</v>
      </c>
      <c r="C81" s="113">
        <f>'Base-1'!B67</f>
        <v>0</v>
      </c>
    </row>
    <row r="82" spans="2:3" x14ac:dyDescent="0.75">
      <c r="B82" s="113">
        <f>'Base-1'!A68</f>
        <v>0</v>
      </c>
      <c r="C82" s="113">
        <f>'Base-1'!B68</f>
        <v>0</v>
      </c>
    </row>
    <row r="83" spans="2:3" x14ac:dyDescent="0.75">
      <c r="B83" s="113">
        <f>'Base-1'!A69</f>
        <v>0</v>
      </c>
      <c r="C83" s="113">
        <f>'Base-1'!B69</f>
        <v>0</v>
      </c>
    </row>
    <row r="84" spans="2:3" x14ac:dyDescent="0.75">
      <c r="B84" s="113">
        <f>'Base-1'!A70</f>
        <v>0</v>
      </c>
      <c r="C84" s="113">
        <f>'Base-1'!B70</f>
        <v>0</v>
      </c>
    </row>
    <row r="85" spans="2:3" x14ac:dyDescent="0.75">
      <c r="B85" s="113">
        <f>'Base-1'!A71</f>
        <v>0</v>
      </c>
      <c r="C85" s="113">
        <f>'Base-1'!B71</f>
        <v>0</v>
      </c>
    </row>
    <row r="86" spans="2:3" x14ac:dyDescent="0.75">
      <c r="B86" s="113">
        <f>'Base-1'!A72</f>
        <v>0</v>
      </c>
      <c r="C86" s="113">
        <f>'Base-1'!B72</f>
        <v>0</v>
      </c>
    </row>
    <row r="87" spans="2:3" x14ac:dyDescent="0.75">
      <c r="B87" s="113">
        <f>'Base-1'!A73</f>
        <v>0</v>
      </c>
      <c r="C87" s="113">
        <f>'Base-1'!B73</f>
        <v>0</v>
      </c>
    </row>
    <row r="88" spans="2:3" x14ac:dyDescent="0.75">
      <c r="B88" s="113">
        <f>'Base-1'!A74</f>
        <v>0</v>
      </c>
      <c r="C88" s="113">
        <f>'Base-1'!B74</f>
        <v>0</v>
      </c>
    </row>
    <row r="89" spans="2:3" x14ac:dyDescent="0.75">
      <c r="B89" s="113">
        <f>'Base-1'!A75</f>
        <v>0</v>
      </c>
      <c r="C89" s="113">
        <f>'Base-1'!B75</f>
        <v>0</v>
      </c>
    </row>
    <row r="90" spans="2:3" x14ac:dyDescent="0.75">
      <c r="B90" s="113">
        <f>'Base-1'!A76</f>
        <v>0</v>
      </c>
      <c r="C90" s="113">
        <f>'Base-1'!B76</f>
        <v>0</v>
      </c>
    </row>
    <row r="91" spans="2:3" x14ac:dyDescent="0.75">
      <c r="B91" s="113">
        <f>'Base-1'!A77</f>
        <v>0</v>
      </c>
      <c r="C91" s="113">
        <f>'Base-1'!B77</f>
        <v>0</v>
      </c>
    </row>
    <row r="92" spans="2:3" x14ac:dyDescent="0.75">
      <c r="B92" s="113">
        <f>'Base-1'!A78</f>
        <v>0</v>
      </c>
      <c r="C92" s="113">
        <f>'Base-1'!B78</f>
        <v>0</v>
      </c>
    </row>
    <row r="93" spans="2:3" x14ac:dyDescent="0.75">
      <c r="B93" s="113">
        <f>'Base-1'!A79</f>
        <v>0</v>
      </c>
      <c r="C93" s="113">
        <f>'Base-1'!B79</f>
        <v>0</v>
      </c>
    </row>
    <row r="94" spans="2:3" x14ac:dyDescent="0.75">
      <c r="B94" s="113">
        <f>'Base-1'!A80</f>
        <v>0</v>
      </c>
      <c r="C94" s="113">
        <f>'Base-1'!B80</f>
        <v>0</v>
      </c>
    </row>
    <row r="95" spans="2:3" x14ac:dyDescent="0.75">
      <c r="B95" s="113">
        <f>'Base-1'!A81</f>
        <v>0</v>
      </c>
      <c r="C95" s="113">
        <f>'Base-1'!B81</f>
        <v>0</v>
      </c>
    </row>
    <row r="96" spans="2:3" x14ac:dyDescent="0.75">
      <c r="B96" s="113">
        <f>'Base-1'!A82</f>
        <v>0</v>
      </c>
      <c r="C96" s="113">
        <f>'Base-1'!B82</f>
        <v>0</v>
      </c>
    </row>
    <row r="97" spans="2:3" x14ac:dyDescent="0.75">
      <c r="B97" s="113">
        <f>'Base-1'!A83</f>
        <v>0</v>
      </c>
      <c r="C97" s="113">
        <f>'Base-1'!B83</f>
        <v>0</v>
      </c>
    </row>
    <row r="98" spans="2:3" x14ac:dyDescent="0.75">
      <c r="B98" s="113">
        <f>'Base-1'!A84</f>
        <v>0</v>
      </c>
      <c r="C98" s="113">
        <f>'Base-1'!B84</f>
        <v>0</v>
      </c>
    </row>
    <row r="99" spans="2:3" x14ac:dyDescent="0.75">
      <c r="B99" s="113">
        <f>'Base-1'!A85</f>
        <v>0</v>
      </c>
      <c r="C99" s="113">
        <f>'Base-1'!B85</f>
        <v>0</v>
      </c>
    </row>
    <row r="100" spans="2:3" x14ac:dyDescent="0.75">
      <c r="B100" s="113">
        <f>'Base-1'!A86</f>
        <v>0</v>
      </c>
      <c r="C100" s="113">
        <f>'Base-1'!B86</f>
        <v>0</v>
      </c>
    </row>
    <row r="101" spans="2:3" x14ac:dyDescent="0.75">
      <c r="B101" s="113">
        <f>'Base-1'!A87</f>
        <v>0</v>
      </c>
      <c r="C101" s="113">
        <f>'Base-1'!B87</f>
        <v>0</v>
      </c>
    </row>
    <row r="102" spans="2:3" x14ac:dyDescent="0.75">
      <c r="B102" s="113">
        <f>'Base-1'!A88</f>
        <v>0</v>
      </c>
      <c r="C102" s="113">
        <f>'Base-1'!B88</f>
        <v>0</v>
      </c>
    </row>
    <row r="103" spans="2:3" x14ac:dyDescent="0.75">
      <c r="B103" s="113">
        <f>'Base-1'!A89</f>
        <v>0</v>
      </c>
      <c r="C103" s="113">
        <f>'Base-1'!B89</f>
        <v>0</v>
      </c>
    </row>
    <row r="104" spans="2:3" x14ac:dyDescent="0.75">
      <c r="B104" s="113">
        <f>'Base-1'!A90</f>
        <v>0</v>
      </c>
      <c r="C104" s="113">
        <f>'Base-1'!B90</f>
        <v>0</v>
      </c>
    </row>
    <row r="105" spans="2:3" x14ac:dyDescent="0.75">
      <c r="B105" s="113">
        <f>'Base-1'!A91</f>
        <v>0</v>
      </c>
      <c r="C105" s="113">
        <f>'Base-1'!B91</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1:5" x14ac:dyDescent="0.75">
      <c r="D2" s="8"/>
    </row>
    <row r="3" spans="1:5" x14ac:dyDescent="0.75">
      <c r="A3" s="115">
        <v>1</v>
      </c>
      <c r="B3" s="115">
        <f>IF(MOD(A3,3)=0,A3/3-1,INT(A3/3))</f>
        <v>0</v>
      </c>
      <c r="C3" s="115">
        <f>IF(MOD(A3,3)=0,3,MOD(A3,3))</f>
        <v>1</v>
      </c>
      <c r="D3" s="113" t="str" cm="1">
        <f t="array" ref="D3">INDEX('Chemo-Map2-1'!$I$7:$K$100,1+B3,C3)</f>
        <v/>
      </c>
      <c r="E3" s="113" t="str">
        <f>INDEX('Chemo-Map2-1'!$I$8:$K$17,1,1)</f>
        <v/>
      </c>
    </row>
    <row r="4" spans="1:5" x14ac:dyDescent="0.75">
      <c r="A4" s="115">
        <v>2</v>
      </c>
      <c r="B4" s="115">
        <f t="shared" ref="B4:B67" si="0">IF(MOD(A4,3)=0,A4/3-1,INT(A4/3))</f>
        <v>0</v>
      </c>
      <c r="C4" s="115">
        <f t="shared" ref="C4:C67" si="1">IF(MOD(A4,3)=0,3,MOD(A4,3))</f>
        <v>2</v>
      </c>
      <c r="D4" s="113" t="str" cm="1">
        <f t="array" ref="D4">INDEX('Chemo-Map2-1'!$I$7:$K$100,1+B4,C4)</f>
        <v/>
      </c>
    </row>
    <row r="5" spans="1:5" x14ac:dyDescent="0.75">
      <c r="A5" s="115">
        <v>3</v>
      </c>
      <c r="B5" s="115">
        <f t="shared" si="0"/>
        <v>0</v>
      </c>
      <c r="C5" s="115">
        <f t="shared" si="1"/>
        <v>3</v>
      </c>
      <c r="D5" s="113" t="str" cm="1">
        <f t="array" ref="D5">INDEX('Chemo-Map2-1'!$I$7:$K$100,1+B5,C5)</f>
        <v/>
      </c>
    </row>
    <row r="6" spans="1:5" x14ac:dyDescent="0.75">
      <c r="A6" s="115">
        <v>4</v>
      </c>
      <c r="B6" s="115">
        <f t="shared" si="0"/>
        <v>1</v>
      </c>
      <c r="C6" s="115">
        <f t="shared" si="1"/>
        <v>1</v>
      </c>
      <c r="D6" s="113" t="str" cm="1">
        <f t="array" ref="D6">INDEX('Chemo-Map2-1'!$I$7:$K$100,1+B6,C6)</f>
        <v/>
      </c>
    </row>
    <row r="7" spans="1:5" x14ac:dyDescent="0.75">
      <c r="A7" s="115">
        <v>5</v>
      </c>
      <c r="B7" s="115">
        <f t="shared" si="0"/>
        <v>1</v>
      </c>
      <c r="C7" s="115">
        <f t="shared" si="1"/>
        <v>2</v>
      </c>
      <c r="D7" s="113" t="str" cm="1">
        <f t="array" ref="D7">INDEX('Chemo-Map2-1'!$I$7:$K$100,1+B7,C7)</f>
        <v/>
      </c>
    </row>
    <row r="8" spans="1:5" x14ac:dyDescent="0.75">
      <c r="A8" s="115">
        <v>6</v>
      </c>
      <c r="B8" s="115">
        <f t="shared" si="0"/>
        <v>1</v>
      </c>
      <c r="C8" s="115">
        <f t="shared" si="1"/>
        <v>3</v>
      </c>
      <c r="D8" s="113" t="str" cm="1">
        <f t="array" ref="D8">INDEX('Chemo-Map2-1'!$I$7:$K$100,1+B8,C8)</f>
        <v/>
      </c>
    </row>
    <row r="9" spans="1:5" x14ac:dyDescent="0.75">
      <c r="A9" s="115">
        <v>7</v>
      </c>
      <c r="B9" s="115">
        <f t="shared" si="0"/>
        <v>2</v>
      </c>
      <c r="C9" s="115">
        <f t="shared" si="1"/>
        <v>1</v>
      </c>
      <c r="D9" s="113" t="str" cm="1">
        <f t="array" ref="D9">INDEX('Chemo-Map2-1'!$I$7:$K$100,1+B9,C9)</f>
        <v/>
      </c>
    </row>
    <row r="10" spans="1:5" x14ac:dyDescent="0.75">
      <c r="A10" s="115">
        <v>8</v>
      </c>
      <c r="B10" s="115">
        <f t="shared" si="0"/>
        <v>2</v>
      </c>
      <c r="C10" s="115">
        <f t="shared" si="1"/>
        <v>2</v>
      </c>
      <c r="D10" s="113" t="str" cm="1">
        <f t="array" ref="D10">INDEX('Chemo-Map2-1'!$I$7:$K$100,1+B10,C10)</f>
        <v/>
      </c>
    </row>
    <row r="11" spans="1:5" x14ac:dyDescent="0.75">
      <c r="A11" s="115">
        <v>9</v>
      </c>
      <c r="B11" s="115">
        <f t="shared" si="0"/>
        <v>2</v>
      </c>
      <c r="C11" s="115">
        <f t="shared" si="1"/>
        <v>3</v>
      </c>
      <c r="D11" s="113" t="str" cm="1">
        <f t="array" ref="D11">INDEX('Chemo-Map2-1'!$I$7:$K$100,1+B11,C11)</f>
        <v/>
      </c>
    </row>
    <row r="12" spans="1:5" x14ac:dyDescent="0.75">
      <c r="A12" s="115">
        <v>10</v>
      </c>
      <c r="B12" s="115">
        <f t="shared" si="0"/>
        <v>3</v>
      </c>
      <c r="C12" s="115">
        <f t="shared" si="1"/>
        <v>1</v>
      </c>
      <c r="D12" s="113" t="str" cm="1">
        <f t="array" ref="D12">INDEX('Chemo-Map2-1'!$I$7:$K$100,1+B12,C12)</f>
        <v/>
      </c>
    </row>
    <row r="13" spans="1:5" x14ac:dyDescent="0.75">
      <c r="A13" s="115">
        <v>11</v>
      </c>
      <c r="B13" s="115">
        <f t="shared" si="0"/>
        <v>3</v>
      </c>
      <c r="C13" s="115">
        <f t="shared" si="1"/>
        <v>2</v>
      </c>
      <c r="D13" s="113" t="str" cm="1">
        <f t="array" ref="D13">INDEX('Chemo-Map2-1'!$I$7:$K$100,1+B13,C13)</f>
        <v/>
      </c>
    </row>
    <row r="14" spans="1:5" x14ac:dyDescent="0.75">
      <c r="A14" s="115">
        <v>12</v>
      </c>
      <c r="B14" s="115">
        <f t="shared" si="0"/>
        <v>3</v>
      </c>
      <c r="C14" s="115">
        <f t="shared" si="1"/>
        <v>3</v>
      </c>
      <c r="D14" s="113" t="str" cm="1">
        <f t="array" ref="D14">INDEX('Chemo-Map2-1'!$I$7:$K$100,1+B14,C14)</f>
        <v/>
      </c>
    </row>
    <row r="15" spans="1:5" x14ac:dyDescent="0.75">
      <c r="A15" s="115">
        <v>13</v>
      </c>
      <c r="B15" s="115">
        <f t="shared" si="0"/>
        <v>4</v>
      </c>
      <c r="C15" s="115">
        <f t="shared" si="1"/>
        <v>1</v>
      </c>
      <c r="D15" s="113" t="str" cm="1">
        <f t="array" ref="D15">INDEX('Chemo-Map2-1'!$I$7:$K$100,1+B15,C15)</f>
        <v/>
      </c>
    </row>
    <row r="16" spans="1:5" x14ac:dyDescent="0.75">
      <c r="A16" s="115">
        <v>14</v>
      </c>
      <c r="B16" s="115">
        <f t="shared" si="0"/>
        <v>4</v>
      </c>
      <c r="C16" s="115">
        <f t="shared" si="1"/>
        <v>2</v>
      </c>
      <c r="D16" s="113" t="str" cm="1">
        <f t="array" ref="D16">INDEX('Chemo-Map2-1'!$I$7:$K$100,1+B16,C16)</f>
        <v/>
      </c>
    </row>
    <row r="17" spans="1:4" x14ac:dyDescent="0.75">
      <c r="A17" s="115">
        <v>15</v>
      </c>
      <c r="B17" s="115">
        <f t="shared" si="0"/>
        <v>4</v>
      </c>
      <c r="C17" s="115">
        <f t="shared" si="1"/>
        <v>3</v>
      </c>
      <c r="D17" s="113" t="str" cm="1">
        <f t="array" ref="D17">INDEX('Chemo-Map2-1'!$I$7:$K$100,1+B17,C17)</f>
        <v/>
      </c>
    </row>
    <row r="18" spans="1:4" x14ac:dyDescent="0.75">
      <c r="A18" s="115">
        <v>16</v>
      </c>
      <c r="B18" s="115">
        <f t="shared" si="0"/>
        <v>5</v>
      </c>
      <c r="C18" s="115">
        <f t="shared" si="1"/>
        <v>1</v>
      </c>
      <c r="D18" s="113" t="str" cm="1">
        <f t="array" ref="D18">INDEX('Chemo-Map2-1'!$I$7:$K$100,1+B18,C18)</f>
        <v/>
      </c>
    </row>
    <row r="19" spans="1:4" x14ac:dyDescent="0.75">
      <c r="A19" s="115">
        <v>17</v>
      </c>
      <c r="B19" s="115">
        <f t="shared" si="0"/>
        <v>5</v>
      </c>
      <c r="C19" s="115">
        <f t="shared" si="1"/>
        <v>2</v>
      </c>
      <c r="D19" s="113" t="str" cm="1">
        <f t="array" ref="D19">INDEX('Chemo-Map2-1'!$I$7:$K$100,1+B19,C19)</f>
        <v/>
      </c>
    </row>
    <row r="20" spans="1:4" x14ac:dyDescent="0.75">
      <c r="A20" s="115">
        <v>18</v>
      </c>
      <c r="B20" s="115">
        <f t="shared" si="0"/>
        <v>5</v>
      </c>
      <c r="C20" s="115">
        <f t="shared" si="1"/>
        <v>3</v>
      </c>
      <c r="D20" s="113" t="str" cm="1">
        <f t="array" ref="D20">INDEX('Chemo-Map2-1'!$I$7:$K$100,1+B20,C20)</f>
        <v/>
      </c>
    </row>
    <row r="21" spans="1:4" x14ac:dyDescent="0.75">
      <c r="A21" s="115">
        <v>19</v>
      </c>
      <c r="B21" s="115">
        <f t="shared" si="0"/>
        <v>6</v>
      </c>
      <c r="C21" s="115">
        <f t="shared" si="1"/>
        <v>1</v>
      </c>
      <c r="D21" s="113" t="str" cm="1">
        <f t="array" ref="D21">INDEX('Chemo-Map2-1'!$I$7:$K$100,1+B21,C21)</f>
        <v/>
      </c>
    </row>
    <row r="22" spans="1:4" x14ac:dyDescent="0.75">
      <c r="A22" s="115">
        <v>20</v>
      </c>
      <c r="B22" s="115">
        <f t="shared" si="0"/>
        <v>6</v>
      </c>
      <c r="C22" s="115">
        <f t="shared" si="1"/>
        <v>2</v>
      </c>
      <c r="D22" s="113" t="str" cm="1">
        <f t="array" ref="D22">INDEX('Chemo-Map2-1'!$I$7:$K$100,1+B22,C22)</f>
        <v/>
      </c>
    </row>
    <row r="23" spans="1:4" x14ac:dyDescent="0.75">
      <c r="A23" s="115">
        <v>21</v>
      </c>
      <c r="B23" s="115">
        <f t="shared" si="0"/>
        <v>6</v>
      </c>
      <c r="C23" s="115">
        <f t="shared" si="1"/>
        <v>3</v>
      </c>
      <c r="D23" s="113" t="str" cm="1">
        <f t="array" ref="D23">INDEX('Chemo-Map2-1'!$I$7:$K$100,1+B23,C23)</f>
        <v/>
      </c>
    </row>
    <row r="24" spans="1:4" x14ac:dyDescent="0.75">
      <c r="A24" s="115">
        <v>22</v>
      </c>
      <c r="B24" s="115">
        <f t="shared" si="0"/>
        <v>7</v>
      </c>
      <c r="C24" s="115">
        <f t="shared" si="1"/>
        <v>1</v>
      </c>
      <c r="D24" s="113" t="str" cm="1">
        <f t="array" ref="D24">INDEX('Chemo-Map2-1'!$I$7:$K$100,1+B24,C24)</f>
        <v/>
      </c>
    </row>
    <row r="25" spans="1:4" x14ac:dyDescent="0.75">
      <c r="A25" s="115">
        <v>23</v>
      </c>
      <c r="B25" s="115">
        <f t="shared" si="0"/>
        <v>7</v>
      </c>
      <c r="C25" s="115">
        <f t="shared" si="1"/>
        <v>2</v>
      </c>
      <c r="D25" s="113" t="str" cm="1">
        <f t="array" ref="D25">INDEX('Chemo-Map2-1'!$I$7:$K$100,1+B25,C25)</f>
        <v/>
      </c>
    </row>
    <row r="26" spans="1:4" x14ac:dyDescent="0.75">
      <c r="A26" s="115">
        <v>24</v>
      </c>
      <c r="B26" s="115">
        <f t="shared" si="0"/>
        <v>7</v>
      </c>
      <c r="C26" s="115">
        <f t="shared" si="1"/>
        <v>3</v>
      </c>
      <c r="D26" s="113" t="str" cm="1">
        <f t="array" ref="D26">INDEX('Chemo-Map2-1'!$I$7:$K$100,1+B26,C26)</f>
        <v/>
      </c>
    </row>
    <row r="27" spans="1:4" x14ac:dyDescent="0.75">
      <c r="A27" s="115">
        <v>25</v>
      </c>
      <c r="B27" s="115">
        <f t="shared" si="0"/>
        <v>8</v>
      </c>
      <c r="C27" s="115">
        <f t="shared" si="1"/>
        <v>1</v>
      </c>
      <c r="D27" s="113" t="str" cm="1">
        <f t="array" ref="D27">INDEX('Chemo-Map2-1'!$I$7:$K$100,1+B27,C27)</f>
        <v/>
      </c>
    </row>
    <row r="28" spans="1:4" x14ac:dyDescent="0.75">
      <c r="A28" s="115">
        <v>26</v>
      </c>
      <c r="B28" s="115">
        <f t="shared" si="0"/>
        <v>8</v>
      </c>
      <c r="C28" s="115">
        <f t="shared" si="1"/>
        <v>2</v>
      </c>
      <c r="D28" s="113" t="str" cm="1">
        <f t="array" ref="D28">INDEX('Chemo-Map2-1'!$I$7:$K$100,1+B28,C28)</f>
        <v/>
      </c>
    </row>
    <row r="29" spans="1:4" x14ac:dyDescent="0.75">
      <c r="A29" s="115">
        <v>27</v>
      </c>
      <c r="B29" s="115">
        <f t="shared" si="0"/>
        <v>8</v>
      </c>
      <c r="C29" s="115">
        <f t="shared" si="1"/>
        <v>3</v>
      </c>
      <c r="D29" s="113" t="str" cm="1">
        <f t="array" ref="D29">INDEX('Chemo-Map2-1'!$I$7:$K$100,1+B29,C29)</f>
        <v/>
      </c>
    </row>
    <row r="30" spans="1:4" x14ac:dyDescent="0.75">
      <c r="A30" s="115">
        <v>28</v>
      </c>
      <c r="B30" s="115">
        <f t="shared" si="0"/>
        <v>9</v>
      </c>
      <c r="C30" s="115">
        <f t="shared" si="1"/>
        <v>1</v>
      </c>
      <c r="D30" s="113" t="str" cm="1">
        <f t="array" ref="D30">INDEX('Chemo-Map2-1'!$I$7:$K$100,1+B30,C30)</f>
        <v/>
      </c>
    </row>
    <row r="31" spans="1:4" x14ac:dyDescent="0.75">
      <c r="A31" s="115">
        <v>29</v>
      </c>
      <c r="B31" s="115">
        <f t="shared" si="0"/>
        <v>9</v>
      </c>
      <c r="C31" s="115">
        <f t="shared" si="1"/>
        <v>2</v>
      </c>
      <c r="D31" s="113" t="str" cm="1">
        <f t="array" ref="D31">INDEX('Chemo-Map2-1'!$I$7:$K$100,1+B31,C31)</f>
        <v/>
      </c>
    </row>
    <row r="32" spans="1:4" x14ac:dyDescent="0.75">
      <c r="A32" s="115">
        <v>30</v>
      </c>
      <c r="B32" s="115">
        <f t="shared" si="0"/>
        <v>9</v>
      </c>
      <c r="C32" s="115">
        <f t="shared" si="1"/>
        <v>3</v>
      </c>
      <c r="D32" s="113" t="str" cm="1">
        <f t="array" ref="D32">INDEX('Chemo-Map2-1'!$I$7:$K$100,1+B32,C32)</f>
        <v/>
      </c>
    </row>
    <row r="33" spans="1:4" x14ac:dyDescent="0.75">
      <c r="A33" s="115">
        <v>31</v>
      </c>
      <c r="B33" s="115">
        <f t="shared" si="0"/>
        <v>10</v>
      </c>
      <c r="C33" s="115">
        <f t="shared" si="1"/>
        <v>1</v>
      </c>
      <c r="D33" s="113" t="str" cm="1">
        <f t="array" ref="D33">INDEX('Chemo-Map2-1'!$I$7:$K$100,1+B33,C33)</f>
        <v/>
      </c>
    </row>
    <row r="34" spans="1:4" x14ac:dyDescent="0.75">
      <c r="A34" s="115">
        <v>32</v>
      </c>
      <c r="B34" s="115">
        <f t="shared" si="0"/>
        <v>10</v>
      </c>
      <c r="C34" s="115">
        <f t="shared" si="1"/>
        <v>2</v>
      </c>
      <c r="D34" s="113" t="str" cm="1">
        <f t="array" ref="D34">INDEX('Chemo-Map2-1'!$I$7:$K$100,1+B34,C34)</f>
        <v/>
      </c>
    </row>
    <row r="35" spans="1:4" x14ac:dyDescent="0.75">
      <c r="A35" s="115">
        <v>33</v>
      </c>
      <c r="B35" s="115">
        <f t="shared" si="0"/>
        <v>10</v>
      </c>
      <c r="C35" s="115">
        <f t="shared" si="1"/>
        <v>3</v>
      </c>
      <c r="D35" s="113" t="str" cm="1">
        <f t="array" ref="D35">INDEX('Chemo-Map2-1'!$I$7:$K$100,1+B35,C35)</f>
        <v/>
      </c>
    </row>
    <row r="36" spans="1:4" x14ac:dyDescent="0.75">
      <c r="A36" s="115">
        <v>34</v>
      </c>
      <c r="B36" s="115">
        <f t="shared" si="0"/>
        <v>11</v>
      </c>
      <c r="C36" s="115">
        <f t="shared" si="1"/>
        <v>1</v>
      </c>
      <c r="D36" s="113" t="str" cm="1">
        <f t="array" ref="D36">INDEX('Chemo-Map2-1'!$I$7:$K$100,1+B36,C36)</f>
        <v/>
      </c>
    </row>
    <row r="37" spans="1:4" x14ac:dyDescent="0.75">
      <c r="A37" s="115">
        <v>35</v>
      </c>
      <c r="B37" s="115">
        <f t="shared" si="0"/>
        <v>11</v>
      </c>
      <c r="C37" s="115">
        <f t="shared" si="1"/>
        <v>2</v>
      </c>
      <c r="D37" s="113" t="str" cm="1">
        <f t="array" ref="D37">INDEX('Chemo-Map2-1'!$I$7:$K$100,1+B37,C37)</f>
        <v/>
      </c>
    </row>
    <row r="38" spans="1:4" x14ac:dyDescent="0.75">
      <c r="A38" s="115">
        <v>36</v>
      </c>
      <c r="B38" s="115">
        <f t="shared" si="0"/>
        <v>11</v>
      </c>
      <c r="C38" s="115">
        <f t="shared" si="1"/>
        <v>3</v>
      </c>
      <c r="D38" s="113" t="str" cm="1">
        <f t="array" ref="D38">INDEX('Chemo-Map2-1'!$I$7:$K$100,1+B38,C38)</f>
        <v/>
      </c>
    </row>
    <row r="39" spans="1:4" x14ac:dyDescent="0.75">
      <c r="A39" s="115">
        <v>37</v>
      </c>
      <c r="B39" s="115">
        <f t="shared" si="0"/>
        <v>12</v>
      </c>
      <c r="C39" s="115">
        <f t="shared" si="1"/>
        <v>1</v>
      </c>
      <c r="D39" s="113" t="str" cm="1">
        <f t="array" ref="D39">INDEX('Chemo-Map2-1'!$I$7:$K$100,1+B39,C39)</f>
        <v/>
      </c>
    </row>
    <row r="40" spans="1:4" x14ac:dyDescent="0.75">
      <c r="A40" s="115">
        <v>38</v>
      </c>
      <c r="B40" s="115">
        <f t="shared" si="0"/>
        <v>12</v>
      </c>
      <c r="C40" s="115">
        <f t="shared" si="1"/>
        <v>2</v>
      </c>
      <c r="D40" s="113" t="str" cm="1">
        <f t="array" ref="D40">INDEX('Chemo-Map2-1'!$I$7:$K$100,1+B40,C40)</f>
        <v/>
      </c>
    </row>
    <row r="41" spans="1:4" x14ac:dyDescent="0.75">
      <c r="A41" s="115">
        <v>39</v>
      </c>
      <c r="B41" s="115">
        <f t="shared" si="0"/>
        <v>12</v>
      </c>
      <c r="C41" s="115">
        <f t="shared" si="1"/>
        <v>3</v>
      </c>
      <c r="D41" s="113" t="str" cm="1">
        <f t="array" ref="D41">INDEX('Chemo-Map2-1'!$I$7:$K$100,1+B41,C41)</f>
        <v/>
      </c>
    </row>
    <row r="42" spans="1:4" x14ac:dyDescent="0.75">
      <c r="A42" s="115">
        <v>40</v>
      </c>
      <c r="B42" s="115">
        <f t="shared" si="0"/>
        <v>13</v>
      </c>
      <c r="C42" s="115">
        <f t="shared" si="1"/>
        <v>1</v>
      </c>
      <c r="D42" s="113" t="str" cm="1">
        <f t="array" ref="D42">INDEX('Chemo-Map2-1'!$I$7:$K$100,1+B42,C42)</f>
        <v/>
      </c>
    </row>
    <row r="43" spans="1:4" x14ac:dyDescent="0.75">
      <c r="A43" s="115">
        <v>41</v>
      </c>
      <c r="B43" s="115">
        <f t="shared" si="0"/>
        <v>13</v>
      </c>
      <c r="C43" s="115">
        <f t="shared" si="1"/>
        <v>2</v>
      </c>
      <c r="D43" s="113" t="str" cm="1">
        <f t="array" ref="D43">INDEX('Chemo-Map2-1'!$I$7:$K$100,1+B43,C43)</f>
        <v/>
      </c>
    </row>
    <row r="44" spans="1:4" x14ac:dyDescent="0.75">
      <c r="A44" s="115">
        <v>42</v>
      </c>
      <c r="B44" s="115">
        <f t="shared" si="0"/>
        <v>13</v>
      </c>
      <c r="C44" s="115">
        <f t="shared" si="1"/>
        <v>3</v>
      </c>
      <c r="D44" s="113" t="str" cm="1">
        <f t="array" ref="D44">INDEX('Chemo-Map2-1'!$I$7:$K$100,1+B44,C44)</f>
        <v/>
      </c>
    </row>
    <row r="45" spans="1:4" x14ac:dyDescent="0.75">
      <c r="A45" s="115">
        <v>43</v>
      </c>
      <c r="B45" s="115">
        <f t="shared" si="0"/>
        <v>14</v>
      </c>
      <c r="C45" s="115">
        <f t="shared" si="1"/>
        <v>1</v>
      </c>
      <c r="D45" s="113" t="str" cm="1">
        <f t="array" ref="D45">INDEX('Chemo-Map2-1'!$I$7:$K$100,1+B45,C45)</f>
        <v/>
      </c>
    </row>
    <row r="46" spans="1:4" x14ac:dyDescent="0.75">
      <c r="A46" s="115">
        <v>44</v>
      </c>
      <c r="B46" s="115">
        <f t="shared" si="0"/>
        <v>14</v>
      </c>
      <c r="C46" s="115">
        <f t="shared" si="1"/>
        <v>2</v>
      </c>
      <c r="D46" s="113" t="str" cm="1">
        <f t="array" ref="D46">INDEX('Chemo-Map2-1'!$I$7:$K$100,1+B46,C46)</f>
        <v/>
      </c>
    </row>
    <row r="47" spans="1:4" x14ac:dyDescent="0.75">
      <c r="A47" s="115">
        <v>45</v>
      </c>
      <c r="B47" s="115">
        <f t="shared" si="0"/>
        <v>14</v>
      </c>
      <c r="C47" s="115">
        <f t="shared" si="1"/>
        <v>3</v>
      </c>
      <c r="D47" s="113" t="str" cm="1">
        <f t="array" ref="D47">INDEX('Chemo-Map2-1'!$I$7:$K$100,1+B47,C47)</f>
        <v/>
      </c>
    </row>
    <row r="48" spans="1:4" x14ac:dyDescent="0.75">
      <c r="A48" s="115">
        <v>46</v>
      </c>
      <c r="B48" s="115">
        <f t="shared" si="0"/>
        <v>15</v>
      </c>
      <c r="C48" s="115">
        <f t="shared" si="1"/>
        <v>1</v>
      </c>
      <c r="D48" s="113" t="str" cm="1">
        <f t="array" ref="D48">INDEX('Chemo-Map2-1'!$I$7:$K$100,1+B48,C48)</f>
        <v/>
      </c>
    </row>
    <row r="49" spans="1:7" x14ac:dyDescent="0.75">
      <c r="A49" s="115">
        <v>47</v>
      </c>
      <c r="B49" s="115">
        <f t="shared" si="0"/>
        <v>15</v>
      </c>
      <c r="C49" s="115">
        <f t="shared" si="1"/>
        <v>2</v>
      </c>
      <c r="D49" s="113" t="str" cm="1">
        <f t="array" ref="D49">INDEX('Chemo-Map2-1'!$I$7:$K$100,1+B49,C49)</f>
        <v/>
      </c>
    </row>
    <row r="50" spans="1:7" x14ac:dyDescent="0.75">
      <c r="A50" s="115">
        <v>48</v>
      </c>
      <c r="B50" s="115">
        <f t="shared" si="0"/>
        <v>15</v>
      </c>
      <c r="C50" s="115">
        <f t="shared" si="1"/>
        <v>3</v>
      </c>
      <c r="D50" s="113" t="str" cm="1">
        <f t="array" ref="D50">INDEX('Chemo-Map2-1'!$I$7:$K$100,1+B50,C50)</f>
        <v/>
      </c>
    </row>
    <row r="51" spans="1:7" x14ac:dyDescent="0.75">
      <c r="A51" s="115">
        <v>49</v>
      </c>
      <c r="B51" s="115">
        <f t="shared" si="0"/>
        <v>16</v>
      </c>
      <c r="C51" s="115">
        <f t="shared" si="1"/>
        <v>1</v>
      </c>
      <c r="D51" s="113" t="str" cm="1">
        <f t="array" ref="D51">INDEX('Chemo-Map2-1'!$I$7:$K$100,1+B51,C51)</f>
        <v/>
      </c>
    </row>
    <row r="52" spans="1:7" x14ac:dyDescent="0.75">
      <c r="A52" s="115">
        <v>50</v>
      </c>
      <c r="B52" s="115">
        <f t="shared" si="0"/>
        <v>16</v>
      </c>
      <c r="C52" s="115">
        <f t="shared" si="1"/>
        <v>2</v>
      </c>
      <c r="D52" s="113" t="str" cm="1">
        <f t="array" ref="D52">INDEX('Chemo-Map2-1'!$I$7:$K$100,1+B52,C52)</f>
        <v/>
      </c>
    </row>
    <row r="53" spans="1:7" x14ac:dyDescent="0.75">
      <c r="A53" s="115">
        <v>51</v>
      </c>
      <c r="B53" s="115">
        <f t="shared" si="0"/>
        <v>16</v>
      </c>
      <c r="C53" s="115">
        <f t="shared" si="1"/>
        <v>3</v>
      </c>
      <c r="D53" s="113" t="str" cm="1">
        <f t="array" ref="D53">INDEX('Chemo-Map2-1'!$I$7:$K$100,1+B53,C53)</f>
        <v/>
      </c>
    </row>
    <row r="54" spans="1:7" x14ac:dyDescent="0.75">
      <c r="A54" s="115">
        <v>52</v>
      </c>
      <c r="B54" s="115">
        <f t="shared" si="0"/>
        <v>17</v>
      </c>
      <c r="C54" s="115">
        <f t="shared" si="1"/>
        <v>1</v>
      </c>
      <c r="D54" s="113" t="str" cm="1">
        <f t="array" ref="D54">INDEX('Chemo-Map2-1'!$I$7:$K$100,1+B54,C54)</f>
        <v/>
      </c>
    </row>
    <row r="55" spans="1:7" x14ac:dyDescent="0.75">
      <c r="A55" s="115">
        <v>53</v>
      </c>
      <c r="B55" s="115">
        <f t="shared" si="0"/>
        <v>17</v>
      </c>
      <c r="C55" s="115">
        <f t="shared" si="1"/>
        <v>2</v>
      </c>
      <c r="D55" s="113" t="str" cm="1">
        <f t="array" ref="D55">INDEX('Chemo-Map2-1'!$I$7:$K$100,1+B55,C55)</f>
        <v/>
      </c>
      <c r="G55" s="15"/>
    </row>
    <row r="56" spans="1:7" x14ac:dyDescent="0.75">
      <c r="A56" s="115">
        <v>54</v>
      </c>
      <c r="B56" s="115">
        <f t="shared" si="0"/>
        <v>17</v>
      </c>
      <c r="C56" s="115">
        <f t="shared" si="1"/>
        <v>3</v>
      </c>
      <c r="D56" s="113" t="str" cm="1">
        <f t="array" ref="D56">INDEX('Chemo-Map2-1'!$I$7:$K$100,1+B56,C56)</f>
        <v/>
      </c>
    </row>
    <row r="57" spans="1:7" x14ac:dyDescent="0.75">
      <c r="A57" s="115">
        <v>55</v>
      </c>
      <c r="B57" s="115">
        <f t="shared" si="0"/>
        <v>18</v>
      </c>
      <c r="C57" s="115">
        <f t="shared" si="1"/>
        <v>1</v>
      </c>
      <c r="D57" s="113" t="str" cm="1">
        <f t="array" ref="D57">INDEX('Chemo-Map2-1'!$I$7:$K$100,1+B57,C57)</f>
        <v/>
      </c>
    </row>
    <row r="58" spans="1:7" x14ac:dyDescent="0.75">
      <c r="A58" s="115">
        <v>56</v>
      </c>
      <c r="B58" s="115">
        <f t="shared" si="0"/>
        <v>18</v>
      </c>
      <c r="C58" s="115">
        <f t="shared" si="1"/>
        <v>2</v>
      </c>
      <c r="D58" s="113" t="str" cm="1">
        <f t="array" ref="D58">INDEX('Chemo-Map2-1'!$I$7:$K$100,1+B58,C58)</f>
        <v/>
      </c>
    </row>
    <row r="59" spans="1:7" x14ac:dyDescent="0.75">
      <c r="A59" s="115">
        <v>57</v>
      </c>
      <c r="B59" s="115">
        <f t="shared" si="0"/>
        <v>18</v>
      </c>
      <c r="C59" s="115">
        <f t="shared" si="1"/>
        <v>3</v>
      </c>
      <c r="D59" s="113" t="str" cm="1">
        <f t="array" ref="D59">INDEX('Chemo-Map2-1'!$I$7:$K$100,1+B59,C59)</f>
        <v/>
      </c>
    </row>
    <row r="60" spans="1:7" x14ac:dyDescent="0.75">
      <c r="A60" s="115">
        <v>58</v>
      </c>
      <c r="B60" s="115">
        <f t="shared" si="0"/>
        <v>19</v>
      </c>
      <c r="C60" s="115">
        <f t="shared" si="1"/>
        <v>1</v>
      </c>
      <c r="D60" s="113" t="str" cm="1">
        <f t="array" ref="D60">INDEX('Chemo-Map2-1'!$I$7:$K$100,1+B60,C60)</f>
        <v/>
      </c>
    </row>
    <row r="61" spans="1:7" x14ac:dyDescent="0.75">
      <c r="A61" s="115">
        <v>59</v>
      </c>
      <c r="B61" s="115">
        <f t="shared" si="0"/>
        <v>19</v>
      </c>
      <c r="C61" s="115">
        <f t="shared" si="1"/>
        <v>2</v>
      </c>
      <c r="D61" s="113" t="str" cm="1">
        <f t="array" ref="D61">INDEX('Chemo-Map2-1'!$I$7:$K$100,1+B61,C61)</f>
        <v/>
      </c>
    </row>
    <row r="62" spans="1:7" x14ac:dyDescent="0.75">
      <c r="A62" s="115">
        <v>60</v>
      </c>
      <c r="B62" s="115">
        <f t="shared" si="0"/>
        <v>19</v>
      </c>
      <c r="C62" s="115">
        <f t="shared" si="1"/>
        <v>3</v>
      </c>
      <c r="D62" s="113" t="str" cm="1">
        <f t="array" ref="D62">INDEX('Chemo-Map2-1'!$I$7:$K$100,1+B62,C62)</f>
        <v/>
      </c>
    </row>
    <row r="63" spans="1:7" x14ac:dyDescent="0.75">
      <c r="A63" s="115">
        <v>61</v>
      </c>
      <c r="B63" s="115">
        <f t="shared" si="0"/>
        <v>20</v>
      </c>
      <c r="C63" s="115">
        <f t="shared" si="1"/>
        <v>1</v>
      </c>
      <c r="D63" s="113" t="str" cm="1">
        <f t="array" ref="D63">INDEX('Chemo-Map2-1'!$I$7:$K$100,1+B63,C63)</f>
        <v/>
      </c>
    </row>
    <row r="64" spans="1:7" x14ac:dyDescent="0.75">
      <c r="A64" s="115">
        <v>62</v>
      </c>
      <c r="B64" s="115">
        <f t="shared" si="0"/>
        <v>20</v>
      </c>
      <c r="C64" s="115">
        <f t="shared" si="1"/>
        <v>2</v>
      </c>
      <c r="D64" s="113" t="str" cm="1">
        <f t="array" ref="D64">INDEX('Chemo-Map2-1'!$I$7:$K$100,1+B64,C64)</f>
        <v/>
      </c>
    </row>
    <row r="65" spans="1:4" x14ac:dyDescent="0.75">
      <c r="A65" s="115">
        <v>63</v>
      </c>
      <c r="B65" s="115">
        <f t="shared" si="0"/>
        <v>20</v>
      </c>
      <c r="C65" s="115">
        <f t="shared" si="1"/>
        <v>3</v>
      </c>
      <c r="D65" s="113" t="str" cm="1">
        <f t="array" ref="D65">INDEX('Chemo-Map2-1'!$I$7:$K$100,1+B65,C65)</f>
        <v/>
      </c>
    </row>
    <row r="66" spans="1:4" x14ac:dyDescent="0.75">
      <c r="A66" s="115">
        <v>64</v>
      </c>
      <c r="B66" s="115">
        <f t="shared" si="0"/>
        <v>21</v>
      </c>
      <c r="C66" s="115">
        <f t="shared" si="1"/>
        <v>1</v>
      </c>
      <c r="D66" s="113" t="str" cm="1">
        <f t="array" ref="D66">INDEX('Chemo-Map2-1'!$I$7:$K$100,1+B66,C66)</f>
        <v/>
      </c>
    </row>
    <row r="67" spans="1:4" x14ac:dyDescent="0.75">
      <c r="A67" s="115">
        <v>65</v>
      </c>
      <c r="B67" s="115">
        <f t="shared" si="0"/>
        <v>21</v>
      </c>
      <c r="C67" s="115">
        <f t="shared" si="1"/>
        <v>2</v>
      </c>
      <c r="D67" s="113" t="str" cm="1">
        <f t="array" ref="D67">INDEX('Chemo-Map2-1'!$I$7:$K$100,1+B67,C67)</f>
        <v/>
      </c>
    </row>
    <row r="68" spans="1:4" x14ac:dyDescent="0.75">
      <c r="A68" s="115">
        <v>66</v>
      </c>
      <c r="B68" s="115">
        <f t="shared" ref="B68:B131" si="2">IF(MOD(A68,3)=0,A68/3-1,INT(A68/3))</f>
        <v>21</v>
      </c>
      <c r="C68" s="115">
        <f t="shared" ref="C68:C131" si="3">IF(MOD(A68,3)=0,3,MOD(A68,3))</f>
        <v>3</v>
      </c>
      <c r="D68" s="113" t="str" cm="1">
        <f t="array" ref="D68">INDEX('Chemo-Map2-1'!$I$7:$K$100,1+B68,C68)</f>
        <v/>
      </c>
    </row>
    <row r="69" spans="1:4" x14ac:dyDescent="0.75">
      <c r="A69" s="115">
        <v>67</v>
      </c>
      <c r="B69" s="115">
        <f t="shared" si="2"/>
        <v>22</v>
      </c>
      <c r="C69" s="115">
        <f t="shared" si="3"/>
        <v>1</v>
      </c>
      <c r="D69" s="113" t="str" cm="1">
        <f t="array" ref="D69">INDEX('Chemo-Map2-1'!$I$7:$K$100,1+B69,C69)</f>
        <v/>
      </c>
    </row>
    <row r="70" spans="1:4" x14ac:dyDescent="0.75">
      <c r="A70" s="115">
        <v>68</v>
      </c>
      <c r="B70" s="115">
        <f t="shared" si="2"/>
        <v>22</v>
      </c>
      <c r="C70" s="115">
        <f t="shared" si="3"/>
        <v>2</v>
      </c>
      <c r="D70" s="113" t="str" cm="1">
        <f t="array" ref="D70">INDEX('Chemo-Map2-1'!$I$7:$K$100,1+B70,C70)</f>
        <v/>
      </c>
    </row>
    <row r="71" spans="1:4" x14ac:dyDescent="0.75">
      <c r="A71" s="115">
        <v>69</v>
      </c>
      <c r="B71" s="115">
        <f t="shared" si="2"/>
        <v>22</v>
      </c>
      <c r="C71" s="115">
        <f t="shared" si="3"/>
        <v>3</v>
      </c>
      <c r="D71" s="113" t="str" cm="1">
        <f t="array" ref="D71">INDEX('Chemo-Map2-1'!$I$7:$K$100,1+B71,C71)</f>
        <v/>
      </c>
    </row>
    <row r="72" spans="1:4" x14ac:dyDescent="0.75">
      <c r="A72" s="115">
        <v>70</v>
      </c>
      <c r="B72" s="115">
        <f t="shared" si="2"/>
        <v>23</v>
      </c>
      <c r="C72" s="115">
        <f t="shared" si="3"/>
        <v>1</v>
      </c>
      <c r="D72" s="113" t="str" cm="1">
        <f t="array" ref="D72">INDEX('Chemo-Map2-1'!$I$7:$K$100,1+B72,C72)</f>
        <v/>
      </c>
    </row>
    <row r="73" spans="1:4" x14ac:dyDescent="0.75">
      <c r="A73" s="115">
        <v>71</v>
      </c>
      <c r="B73" s="115">
        <f t="shared" si="2"/>
        <v>23</v>
      </c>
      <c r="C73" s="115">
        <f t="shared" si="3"/>
        <v>2</v>
      </c>
      <c r="D73" s="113" t="str" cm="1">
        <f t="array" ref="D73">INDEX('Chemo-Map2-1'!$I$7:$K$100,1+B73,C73)</f>
        <v/>
      </c>
    </row>
    <row r="74" spans="1:4" x14ac:dyDescent="0.75">
      <c r="A74" s="115">
        <v>72</v>
      </c>
      <c r="B74" s="115">
        <f t="shared" si="2"/>
        <v>23</v>
      </c>
      <c r="C74" s="115">
        <f t="shared" si="3"/>
        <v>3</v>
      </c>
      <c r="D74" s="113" t="str" cm="1">
        <f t="array" ref="D74">INDEX('Chemo-Map2-1'!$I$7:$K$100,1+B74,C74)</f>
        <v/>
      </c>
    </row>
    <row r="75" spans="1:4" x14ac:dyDescent="0.75">
      <c r="A75" s="115">
        <v>73</v>
      </c>
      <c r="B75" s="115">
        <f t="shared" si="2"/>
        <v>24</v>
      </c>
      <c r="C75" s="115">
        <f t="shared" si="3"/>
        <v>1</v>
      </c>
      <c r="D75" s="113" t="str" cm="1">
        <f t="array" ref="D75">INDEX('Chemo-Map2-1'!$I$7:$K$100,1+B75,C75)</f>
        <v/>
      </c>
    </row>
    <row r="76" spans="1:4" x14ac:dyDescent="0.75">
      <c r="A76" s="115">
        <v>74</v>
      </c>
      <c r="B76" s="115">
        <f t="shared" si="2"/>
        <v>24</v>
      </c>
      <c r="C76" s="115">
        <f t="shared" si="3"/>
        <v>2</v>
      </c>
      <c r="D76" s="113" t="str" cm="1">
        <f t="array" ref="D76">INDEX('Chemo-Map2-1'!$I$7:$K$100,1+B76,C76)</f>
        <v/>
      </c>
    </row>
    <row r="77" spans="1:4" x14ac:dyDescent="0.75">
      <c r="A77" s="115">
        <v>75</v>
      </c>
      <c r="B77" s="115">
        <f t="shared" si="2"/>
        <v>24</v>
      </c>
      <c r="C77" s="115">
        <f t="shared" si="3"/>
        <v>3</v>
      </c>
      <c r="D77" s="113" t="str" cm="1">
        <f t="array" ref="D77">INDEX('Chemo-Map2-1'!$I$7:$K$100,1+B77,C77)</f>
        <v/>
      </c>
    </row>
    <row r="78" spans="1:4" x14ac:dyDescent="0.75">
      <c r="A78" s="115">
        <v>76</v>
      </c>
      <c r="B78" s="115">
        <f t="shared" si="2"/>
        <v>25</v>
      </c>
      <c r="C78" s="115">
        <f t="shared" si="3"/>
        <v>1</v>
      </c>
      <c r="D78" s="113" t="str" cm="1">
        <f t="array" ref="D78">INDEX('Chemo-Map2-1'!$I$7:$K$100,1+B78,C78)</f>
        <v/>
      </c>
    </row>
    <row r="79" spans="1:4" x14ac:dyDescent="0.75">
      <c r="A79" s="115">
        <v>77</v>
      </c>
      <c r="B79" s="115">
        <f t="shared" si="2"/>
        <v>25</v>
      </c>
      <c r="C79" s="115">
        <f t="shared" si="3"/>
        <v>2</v>
      </c>
      <c r="D79" s="113" t="str" cm="1">
        <f t="array" ref="D79">INDEX('Chemo-Map2-1'!$I$7:$K$100,1+B79,C79)</f>
        <v/>
      </c>
    </row>
    <row r="80" spans="1:4" x14ac:dyDescent="0.75">
      <c r="A80" s="115">
        <v>78</v>
      </c>
      <c r="B80" s="115">
        <f t="shared" si="2"/>
        <v>25</v>
      </c>
      <c r="C80" s="115">
        <f t="shared" si="3"/>
        <v>3</v>
      </c>
      <c r="D80" s="113" t="str" cm="1">
        <f t="array" ref="D80">INDEX('Chemo-Map2-1'!$I$7:$K$100,1+B80,C80)</f>
        <v/>
      </c>
    </row>
    <row r="81" spans="1:4" x14ac:dyDescent="0.75">
      <c r="A81" s="115">
        <v>79</v>
      </c>
      <c r="B81" s="115">
        <f t="shared" si="2"/>
        <v>26</v>
      </c>
      <c r="C81" s="115">
        <f t="shared" si="3"/>
        <v>1</v>
      </c>
      <c r="D81" s="113" t="str" cm="1">
        <f t="array" ref="D81">INDEX('Chemo-Map2-1'!$I$7:$K$100,1+B81,C81)</f>
        <v/>
      </c>
    </row>
    <row r="82" spans="1:4" x14ac:dyDescent="0.75">
      <c r="A82" s="115">
        <v>80</v>
      </c>
      <c r="B82" s="115">
        <f t="shared" si="2"/>
        <v>26</v>
      </c>
      <c r="C82" s="115">
        <f t="shared" si="3"/>
        <v>2</v>
      </c>
      <c r="D82" s="113" t="str" cm="1">
        <f t="array" ref="D82">INDEX('Chemo-Map2-1'!$I$7:$K$100,1+B82,C82)</f>
        <v/>
      </c>
    </row>
    <row r="83" spans="1:4" x14ac:dyDescent="0.75">
      <c r="A83" s="115">
        <v>81</v>
      </c>
      <c r="B83" s="115">
        <f t="shared" si="2"/>
        <v>26</v>
      </c>
      <c r="C83" s="115">
        <f t="shared" si="3"/>
        <v>3</v>
      </c>
      <c r="D83" s="113" t="str" cm="1">
        <f t="array" ref="D83">INDEX('Chemo-Map2-1'!$I$7:$K$100,1+B83,C83)</f>
        <v/>
      </c>
    </row>
    <row r="84" spans="1:4" x14ac:dyDescent="0.75">
      <c r="A84" s="115">
        <v>82</v>
      </c>
      <c r="B84" s="115">
        <f t="shared" si="2"/>
        <v>27</v>
      </c>
      <c r="C84" s="115">
        <f t="shared" si="3"/>
        <v>1</v>
      </c>
      <c r="D84" s="113" t="str" cm="1">
        <f t="array" ref="D84">INDEX('Chemo-Map2-1'!$I$7:$K$100,1+B84,C84)</f>
        <v/>
      </c>
    </row>
    <row r="85" spans="1:4" x14ac:dyDescent="0.75">
      <c r="A85" s="115">
        <v>83</v>
      </c>
      <c r="B85" s="115">
        <f t="shared" si="2"/>
        <v>27</v>
      </c>
      <c r="C85" s="115">
        <f t="shared" si="3"/>
        <v>2</v>
      </c>
      <c r="D85" s="113" t="str" cm="1">
        <f t="array" ref="D85">INDEX('Chemo-Map2-1'!$I$7:$K$100,1+B85,C85)</f>
        <v/>
      </c>
    </row>
    <row r="86" spans="1:4" x14ac:dyDescent="0.75">
      <c r="A86" s="115">
        <v>84</v>
      </c>
      <c r="B86" s="115">
        <f t="shared" si="2"/>
        <v>27</v>
      </c>
      <c r="C86" s="115">
        <f t="shared" si="3"/>
        <v>3</v>
      </c>
      <c r="D86" s="113" t="str" cm="1">
        <f t="array" ref="D86">INDEX('Chemo-Map2-1'!$I$7:$K$100,1+B86,C86)</f>
        <v/>
      </c>
    </row>
    <row r="87" spans="1:4" x14ac:dyDescent="0.75">
      <c r="A87" s="115">
        <v>85</v>
      </c>
      <c r="B87" s="115">
        <f t="shared" si="2"/>
        <v>28</v>
      </c>
      <c r="C87" s="115">
        <f t="shared" si="3"/>
        <v>1</v>
      </c>
      <c r="D87" s="113" t="str" cm="1">
        <f t="array" ref="D87">INDEX('Chemo-Map2-1'!$I$7:$K$100,1+B87,C87)</f>
        <v/>
      </c>
    </row>
    <row r="88" spans="1:4" x14ac:dyDescent="0.75">
      <c r="A88" s="115">
        <v>86</v>
      </c>
      <c r="B88" s="115">
        <f t="shared" si="2"/>
        <v>28</v>
      </c>
      <c r="C88" s="115">
        <f t="shared" si="3"/>
        <v>2</v>
      </c>
      <c r="D88" s="113" t="str" cm="1">
        <f t="array" ref="D88">INDEX('Chemo-Map2-1'!$I$7:$K$100,1+B88,C88)</f>
        <v/>
      </c>
    </row>
    <row r="89" spans="1:4" x14ac:dyDescent="0.75">
      <c r="A89" s="115">
        <v>87</v>
      </c>
      <c r="B89" s="115">
        <f t="shared" si="2"/>
        <v>28</v>
      </c>
      <c r="C89" s="115">
        <f t="shared" si="3"/>
        <v>3</v>
      </c>
      <c r="D89" s="113" t="str" cm="1">
        <f t="array" ref="D89">INDEX('Chemo-Map2-1'!$I$7:$K$100,1+B89,C89)</f>
        <v/>
      </c>
    </row>
    <row r="90" spans="1:4" x14ac:dyDescent="0.75">
      <c r="A90" s="115">
        <v>88</v>
      </c>
      <c r="B90" s="115">
        <f t="shared" si="2"/>
        <v>29</v>
      </c>
      <c r="C90" s="115">
        <f t="shared" si="3"/>
        <v>1</v>
      </c>
      <c r="D90" s="113" t="str" cm="1">
        <f t="array" ref="D90">INDEX('Chemo-Map2-1'!$I$7:$K$100,1+B90,C90)</f>
        <v/>
      </c>
    </row>
    <row r="91" spans="1:4" x14ac:dyDescent="0.75">
      <c r="A91" s="115">
        <v>89</v>
      </c>
      <c r="B91" s="115">
        <f t="shared" si="2"/>
        <v>29</v>
      </c>
      <c r="C91" s="115">
        <f t="shared" si="3"/>
        <v>2</v>
      </c>
      <c r="D91" s="113" t="str" cm="1">
        <f t="array" ref="D91">INDEX('Chemo-Map2-1'!$I$7:$K$100,1+B91,C91)</f>
        <v/>
      </c>
    </row>
    <row r="92" spans="1:4" x14ac:dyDescent="0.75">
      <c r="A92" s="115">
        <v>90</v>
      </c>
      <c r="B92" s="115">
        <f t="shared" si="2"/>
        <v>29</v>
      </c>
      <c r="C92" s="115">
        <f t="shared" si="3"/>
        <v>3</v>
      </c>
      <c r="D92" s="113" t="str" cm="1">
        <f t="array" ref="D92">INDEX('Chemo-Map2-1'!$I$7:$K$100,1+B92,C92)</f>
        <v/>
      </c>
    </row>
    <row r="93" spans="1:4" x14ac:dyDescent="0.75">
      <c r="A93" s="115">
        <v>91</v>
      </c>
      <c r="B93" s="115">
        <f t="shared" si="2"/>
        <v>30</v>
      </c>
      <c r="C93" s="115">
        <f t="shared" si="3"/>
        <v>1</v>
      </c>
      <c r="D93" s="113" t="str" cm="1">
        <f t="array" ref="D93">INDEX('Chemo-Map2-1'!$I$7:$K$100,1+B93,C93)</f>
        <v/>
      </c>
    </row>
    <row r="94" spans="1:4" x14ac:dyDescent="0.75">
      <c r="A94" s="115">
        <v>92</v>
      </c>
      <c r="B94" s="115">
        <f t="shared" si="2"/>
        <v>30</v>
      </c>
      <c r="C94" s="115">
        <f t="shared" si="3"/>
        <v>2</v>
      </c>
      <c r="D94" s="113" t="str" cm="1">
        <f t="array" ref="D94">INDEX('Chemo-Map2-1'!$I$7:$K$100,1+B94,C94)</f>
        <v/>
      </c>
    </row>
    <row r="95" spans="1:4" x14ac:dyDescent="0.75">
      <c r="A95" s="115">
        <v>93</v>
      </c>
      <c r="B95" s="115">
        <f t="shared" si="2"/>
        <v>30</v>
      </c>
      <c r="C95" s="115">
        <f t="shared" si="3"/>
        <v>3</v>
      </c>
      <c r="D95" s="113" t="str" cm="1">
        <f t="array" ref="D95">INDEX('Chemo-Map2-1'!$I$7:$K$100,1+B95,C95)</f>
        <v/>
      </c>
    </row>
    <row r="96" spans="1:4" x14ac:dyDescent="0.75">
      <c r="A96" s="115">
        <v>94</v>
      </c>
      <c r="B96" s="115">
        <f t="shared" si="2"/>
        <v>31</v>
      </c>
      <c r="C96" s="115">
        <f t="shared" si="3"/>
        <v>1</v>
      </c>
      <c r="D96" s="113" t="str" cm="1">
        <f t="array" ref="D96">INDEX('Chemo-Map2-1'!$I$7:$K$100,1+B96,C96)</f>
        <v/>
      </c>
    </row>
    <row r="97" spans="1:4" x14ac:dyDescent="0.75">
      <c r="A97" s="115">
        <v>95</v>
      </c>
      <c r="B97" s="115">
        <f t="shared" si="2"/>
        <v>31</v>
      </c>
      <c r="C97" s="115">
        <f t="shared" si="3"/>
        <v>2</v>
      </c>
      <c r="D97" s="113" t="str" cm="1">
        <f t="array" ref="D97">INDEX('Chemo-Map2-1'!$I$7:$K$100,1+B97,C97)</f>
        <v/>
      </c>
    </row>
    <row r="98" spans="1:4" x14ac:dyDescent="0.75">
      <c r="A98" s="115">
        <v>96</v>
      </c>
      <c r="B98" s="115">
        <f t="shared" si="2"/>
        <v>31</v>
      </c>
      <c r="C98" s="115">
        <f t="shared" si="3"/>
        <v>3</v>
      </c>
      <c r="D98" s="113" t="str" cm="1">
        <f t="array" ref="D98">INDEX('Chemo-Map2-1'!$I$7:$K$100,1+B98,C98)</f>
        <v/>
      </c>
    </row>
    <row r="99" spans="1:4" x14ac:dyDescent="0.75">
      <c r="A99" s="115">
        <v>97</v>
      </c>
      <c r="B99" s="115">
        <f t="shared" si="2"/>
        <v>32</v>
      </c>
      <c r="C99" s="115">
        <f t="shared" si="3"/>
        <v>1</v>
      </c>
      <c r="D99" s="113" t="str" cm="1">
        <f t="array" ref="D99">INDEX('Chemo-Map2-1'!$I$7:$K$100,1+B99,C99)</f>
        <v/>
      </c>
    </row>
    <row r="100" spans="1:4" x14ac:dyDescent="0.75">
      <c r="A100" s="115">
        <v>98</v>
      </c>
      <c r="B100" s="115">
        <f t="shared" si="2"/>
        <v>32</v>
      </c>
      <c r="C100" s="115">
        <f t="shared" si="3"/>
        <v>2</v>
      </c>
      <c r="D100" s="113" t="str" cm="1">
        <f t="array" ref="D100">INDEX('Chemo-Map2-1'!$I$7:$K$100,1+B100,C100)</f>
        <v/>
      </c>
    </row>
    <row r="101" spans="1:4" x14ac:dyDescent="0.75">
      <c r="A101" s="115">
        <v>99</v>
      </c>
      <c r="B101" s="115">
        <f t="shared" si="2"/>
        <v>32</v>
      </c>
      <c r="C101" s="115">
        <f t="shared" si="3"/>
        <v>3</v>
      </c>
      <c r="D101" s="113" t="str" cm="1">
        <f t="array" ref="D101">INDEX('Chemo-Map2-1'!$I$7:$K$100,1+B101,C101)</f>
        <v/>
      </c>
    </row>
    <row r="102" spans="1:4" x14ac:dyDescent="0.75">
      <c r="A102" s="115">
        <v>100</v>
      </c>
      <c r="B102" s="115">
        <f t="shared" si="2"/>
        <v>33</v>
      </c>
      <c r="C102" s="115">
        <f t="shared" si="3"/>
        <v>1</v>
      </c>
      <c r="D102" s="113" t="str" cm="1">
        <f t="array" ref="D102">INDEX('Chemo-Map2-1'!$I$7:$K$100,1+B102,C102)</f>
        <v/>
      </c>
    </row>
    <row r="103" spans="1:4" x14ac:dyDescent="0.75">
      <c r="A103" s="115">
        <v>101</v>
      </c>
      <c r="B103" s="115">
        <f t="shared" si="2"/>
        <v>33</v>
      </c>
      <c r="C103" s="115">
        <f t="shared" si="3"/>
        <v>2</v>
      </c>
      <c r="D103" s="113" t="str" cm="1">
        <f t="array" ref="D103">INDEX('Chemo-Map2-1'!$I$7:$K$100,1+B103,C103)</f>
        <v/>
      </c>
    </row>
    <row r="104" spans="1:4" x14ac:dyDescent="0.75">
      <c r="A104" s="115">
        <v>102</v>
      </c>
      <c r="B104" s="115">
        <f t="shared" si="2"/>
        <v>33</v>
      </c>
      <c r="C104" s="115">
        <f t="shared" si="3"/>
        <v>3</v>
      </c>
      <c r="D104" s="113" t="str" cm="1">
        <f t="array" ref="D104">INDEX('Chemo-Map2-1'!$I$7:$K$100,1+B104,C104)</f>
        <v/>
      </c>
    </row>
    <row r="105" spans="1:4" x14ac:dyDescent="0.75">
      <c r="A105" s="115">
        <v>103</v>
      </c>
      <c r="B105" s="115">
        <f t="shared" si="2"/>
        <v>34</v>
      </c>
      <c r="C105" s="115">
        <f t="shared" si="3"/>
        <v>1</v>
      </c>
      <c r="D105" s="113" t="str" cm="1">
        <f t="array" ref="D105">INDEX('Chemo-Map2-1'!$I$7:$K$100,1+B105,C105)</f>
        <v/>
      </c>
    </row>
    <row r="106" spans="1:4" x14ac:dyDescent="0.75">
      <c r="A106" s="115">
        <v>104</v>
      </c>
      <c r="B106" s="115">
        <f t="shared" si="2"/>
        <v>34</v>
      </c>
      <c r="C106" s="115">
        <f t="shared" si="3"/>
        <v>2</v>
      </c>
      <c r="D106" s="113" t="str" cm="1">
        <f t="array" ref="D106">INDEX('Chemo-Map2-1'!$I$7:$K$100,1+B106,C106)</f>
        <v/>
      </c>
    </row>
    <row r="107" spans="1:4" x14ac:dyDescent="0.75">
      <c r="A107" s="115">
        <v>105</v>
      </c>
      <c r="B107" s="115">
        <f t="shared" si="2"/>
        <v>34</v>
      </c>
      <c r="C107" s="115">
        <f t="shared" si="3"/>
        <v>3</v>
      </c>
      <c r="D107" s="113" t="str" cm="1">
        <f t="array" ref="D107">INDEX('Chemo-Map2-1'!$I$7:$K$100,1+B107,C107)</f>
        <v/>
      </c>
    </row>
    <row r="108" spans="1:4" x14ac:dyDescent="0.75">
      <c r="A108" s="115">
        <v>106</v>
      </c>
      <c r="B108" s="115">
        <f t="shared" si="2"/>
        <v>35</v>
      </c>
      <c r="C108" s="115">
        <f t="shared" si="3"/>
        <v>1</v>
      </c>
      <c r="D108" s="113" t="str" cm="1">
        <f t="array" ref="D108">INDEX('Chemo-Map2-1'!$I$7:$K$100,1+B108,C108)</f>
        <v/>
      </c>
    </row>
    <row r="109" spans="1:4" x14ac:dyDescent="0.75">
      <c r="A109" s="115">
        <v>107</v>
      </c>
      <c r="B109" s="115">
        <f t="shared" si="2"/>
        <v>35</v>
      </c>
      <c r="C109" s="115">
        <f t="shared" si="3"/>
        <v>2</v>
      </c>
      <c r="D109" s="113" t="str" cm="1">
        <f t="array" ref="D109">INDEX('Chemo-Map2-1'!$I$7:$K$100,1+B109,C109)</f>
        <v/>
      </c>
    </row>
    <row r="110" spans="1:4" x14ac:dyDescent="0.75">
      <c r="A110" s="115">
        <v>108</v>
      </c>
      <c r="B110" s="115">
        <f t="shared" si="2"/>
        <v>35</v>
      </c>
      <c r="C110" s="115">
        <f t="shared" si="3"/>
        <v>3</v>
      </c>
      <c r="D110" s="113" t="str" cm="1">
        <f t="array" ref="D110">INDEX('Chemo-Map2-1'!$I$7:$K$100,1+B110,C110)</f>
        <v/>
      </c>
    </row>
    <row r="111" spans="1:4" x14ac:dyDescent="0.75">
      <c r="A111" s="115">
        <v>109</v>
      </c>
      <c r="B111" s="115">
        <f t="shared" si="2"/>
        <v>36</v>
      </c>
      <c r="C111" s="115">
        <f t="shared" si="3"/>
        <v>1</v>
      </c>
      <c r="D111" s="113" t="str" cm="1">
        <f t="array" ref="D111">INDEX('Chemo-Map2-1'!$I$7:$K$100,1+B111,C111)</f>
        <v/>
      </c>
    </row>
    <row r="112" spans="1:4" x14ac:dyDescent="0.75">
      <c r="A112" s="115">
        <v>110</v>
      </c>
      <c r="B112" s="115">
        <f t="shared" si="2"/>
        <v>36</v>
      </c>
      <c r="C112" s="115">
        <f t="shared" si="3"/>
        <v>2</v>
      </c>
      <c r="D112" s="113" t="str" cm="1">
        <f t="array" ref="D112">INDEX('Chemo-Map2-1'!$I$7:$K$100,1+B112,C112)</f>
        <v/>
      </c>
    </row>
    <row r="113" spans="1:4" x14ac:dyDescent="0.75">
      <c r="A113" s="115">
        <v>111</v>
      </c>
      <c r="B113" s="115">
        <f t="shared" si="2"/>
        <v>36</v>
      </c>
      <c r="C113" s="115">
        <f t="shared" si="3"/>
        <v>3</v>
      </c>
      <c r="D113" s="113" t="str" cm="1">
        <f t="array" ref="D113">INDEX('Chemo-Map2-1'!$I$7:$K$100,1+B113,C113)</f>
        <v/>
      </c>
    </row>
    <row r="114" spans="1:4" x14ac:dyDescent="0.75">
      <c r="A114" s="115">
        <v>112</v>
      </c>
      <c r="B114" s="115">
        <f t="shared" si="2"/>
        <v>37</v>
      </c>
      <c r="C114" s="115">
        <f t="shared" si="3"/>
        <v>1</v>
      </c>
      <c r="D114" s="113" t="str" cm="1">
        <f t="array" ref="D114">INDEX('Chemo-Map2-1'!$I$7:$K$100,1+B114,C114)</f>
        <v/>
      </c>
    </row>
    <row r="115" spans="1:4" x14ac:dyDescent="0.75">
      <c r="A115" s="115">
        <v>113</v>
      </c>
      <c r="B115" s="115">
        <f t="shared" si="2"/>
        <v>37</v>
      </c>
      <c r="C115" s="115">
        <f t="shared" si="3"/>
        <v>2</v>
      </c>
      <c r="D115" s="113" t="str" cm="1">
        <f t="array" ref="D115">INDEX('Chemo-Map2-1'!$I$7:$K$100,1+B115,C115)</f>
        <v/>
      </c>
    </row>
    <row r="116" spans="1:4" x14ac:dyDescent="0.75">
      <c r="A116" s="115">
        <v>114</v>
      </c>
      <c r="B116" s="115">
        <f t="shared" si="2"/>
        <v>37</v>
      </c>
      <c r="C116" s="115">
        <f t="shared" si="3"/>
        <v>3</v>
      </c>
      <c r="D116" s="113" t="str" cm="1">
        <f t="array" ref="D116">INDEX('Chemo-Map2-1'!$I$7:$K$100,1+B116,C116)</f>
        <v/>
      </c>
    </row>
    <row r="117" spans="1:4" x14ac:dyDescent="0.75">
      <c r="A117" s="115">
        <v>115</v>
      </c>
      <c r="B117" s="115">
        <f t="shared" si="2"/>
        <v>38</v>
      </c>
      <c r="C117" s="115">
        <f t="shared" si="3"/>
        <v>1</v>
      </c>
      <c r="D117" s="113" t="str" cm="1">
        <f t="array" ref="D117">INDEX('Chemo-Map2-1'!$I$7:$K$100,1+B117,C117)</f>
        <v/>
      </c>
    </row>
    <row r="118" spans="1:4" x14ac:dyDescent="0.75">
      <c r="A118" s="115">
        <v>116</v>
      </c>
      <c r="B118" s="115">
        <f t="shared" si="2"/>
        <v>38</v>
      </c>
      <c r="C118" s="115">
        <f t="shared" si="3"/>
        <v>2</v>
      </c>
      <c r="D118" s="113" t="str" cm="1">
        <f t="array" ref="D118">INDEX('Chemo-Map2-1'!$I$7:$K$100,1+B118,C118)</f>
        <v/>
      </c>
    </row>
    <row r="119" spans="1:4" x14ac:dyDescent="0.75">
      <c r="A119" s="115">
        <v>117</v>
      </c>
      <c r="B119" s="115">
        <f t="shared" si="2"/>
        <v>38</v>
      </c>
      <c r="C119" s="115">
        <f t="shared" si="3"/>
        <v>3</v>
      </c>
      <c r="D119" s="113" t="str" cm="1">
        <f t="array" ref="D119">INDEX('Chemo-Map2-1'!$I$7:$K$100,1+B119,C119)</f>
        <v/>
      </c>
    </row>
    <row r="120" spans="1:4" x14ac:dyDescent="0.75">
      <c r="A120" s="115">
        <v>118</v>
      </c>
      <c r="B120" s="115">
        <f t="shared" si="2"/>
        <v>39</v>
      </c>
      <c r="C120" s="115">
        <f t="shared" si="3"/>
        <v>1</v>
      </c>
      <c r="D120" s="113" t="str" cm="1">
        <f t="array" ref="D120">INDEX('Chemo-Map2-1'!$I$7:$K$100,1+B120,C120)</f>
        <v/>
      </c>
    </row>
    <row r="121" spans="1:4" x14ac:dyDescent="0.75">
      <c r="A121" s="115">
        <v>119</v>
      </c>
      <c r="B121" s="115">
        <f t="shared" si="2"/>
        <v>39</v>
      </c>
      <c r="C121" s="115">
        <f t="shared" si="3"/>
        <v>2</v>
      </c>
      <c r="D121" s="113" t="str" cm="1">
        <f t="array" ref="D121">INDEX('Chemo-Map2-1'!$I$7:$K$100,1+B121,C121)</f>
        <v/>
      </c>
    </row>
    <row r="122" spans="1:4" x14ac:dyDescent="0.75">
      <c r="A122" s="115">
        <v>120</v>
      </c>
      <c r="B122" s="115">
        <f t="shared" si="2"/>
        <v>39</v>
      </c>
      <c r="C122" s="115">
        <f t="shared" si="3"/>
        <v>3</v>
      </c>
      <c r="D122" s="113" t="str" cm="1">
        <f t="array" ref="D122">INDEX('Chemo-Map2-1'!$I$7:$K$100,1+B122,C122)</f>
        <v/>
      </c>
    </row>
    <row r="123" spans="1:4" x14ac:dyDescent="0.75">
      <c r="A123" s="115">
        <v>121</v>
      </c>
      <c r="B123" s="115">
        <f t="shared" si="2"/>
        <v>40</v>
      </c>
      <c r="C123" s="115">
        <f t="shared" si="3"/>
        <v>1</v>
      </c>
      <c r="D123" s="113" t="str" cm="1">
        <f t="array" ref="D123">INDEX('Chemo-Map2-1'!$I$7:$K$100,1+B123,C123)</f>
        <v/>
      </c>
    </row>
    <row r="124" spans="1:4" x14ac:dyDescent="0.75">
      <c r="A124" s="115">
        <v>122</v>
      </c>
      <c r="B124" s="115">
        <f t="shared" si="2"/>
        <v>40</v>
      </c>
      <c r="C124" s="115">
        <f t="shared" si="3"/>
        <v>2</v>
      </c>
      <c r="D124" s="113" t="str" cm="1">
        <f t="array" ref="D124">INDEX('Chemo-Map2-1'!$I$7:$K$100,1+B124,C124)</f>
        <v/>
      </c>
    </row>
    <row r="125" spans="1:4" x14ac:dyDescent="0.75">
      <c r="A125" s="115">
        <v>123</v>
      </c>
      <c r="B125" s="115">
        <f t="shared" si="2"/>
        <v>40</v>
      </c>
      <c r="C125" s="115">
        <f t="shared" si="3"/>
        <v>3</v>
      </c>
      <c r="D125" s="113" t="str" cm="1">
        <f t="array" ref="D125">INDEX('Chemo-Map2-1'!$I$7:$K$100,1+B125,C125)</f>
        <v/>
      </c>
    </row>
    <row r="126" spans="1:4" x14ac:dyDescent="0.75">
      <c r="A126" s="115">
        <v>124</v>
      </c>
      <c r="B126" s="115">
        <f t="shared" si="2"/>
        <v>41</v>
      </c>
      <c r="C126" s="115">
        <f t="shared" si="3"/>
        <v>1</v>
      </c>
      <c r="D126" s="113" t="str" cm="1">
        <f t="array" ref="D126">INDEX('Chemo-Map2-1'!$I$7:$K$100,1+B126,C126)</f>
        <v/>
      </c>
    </row>
    <row r="127" spans="1:4" x14ac:dyDescent="0.75">
      <c r="A127" s="115">
        <v>125</v>
      </c>
      <c r="B127" s="115">
        <f t="shared" si="2"/>
        <v>41</v>
      </c>
      <c r="C127" s="115">
        <f t="shared" si="3"/>
        <v>2</v>
      </c>
      <c r="D127" s="113" t="str" cm="1">
        <f t="array" ref="D127">INDEX('Chemo-Map2-1'!$I$7:$K$100,1+B127,C127)</f>
        <v/>
      </c>
    </row>
    <row r="128" spans="1:4" x14ac:dyDescent="0.75">
      <c r="A128" s="115">
        <v>126</v>
      </c>
      <c r="B128" s="115">
        <f t="shared" si="2"/>
        <v>41</v>
      </c>
      <c r="C128" s="115">
        <f t="shared" si="3"/>
        <v>3</v>
      </c>
      <c r="D128" s="113" t="str" cm="1">
        <f t="array" ref="D128">INDEX('Chemo-Map2-1'!$I$7:$K$100,1+B128,C128)</f>
        <v/>
      </c>
    </row>
    <row r="129" spans="1:4" x14ac:dyDescent="0.75">
      <c r="A129" s="115">
        <v>127</v>
      </c>
      <c r="B129" s="115">
        <f t="shared" si="2"/>
        <v>42</v>
      </c>
      <c r="C129" s="115">
        <f t="shared" si="3"/>
        <v>1</v>
      </c>
      <c r="D129" s="113" t="str" cm="1">
        <f t="array" ref="D129">INDEX('Chemo-Map2-1'!$I$7:$K$100,1+B129,C129)</f>
        <v/>
      </c>
    </row>
    <row r="130" spans="1:4" x14ac:dyDescent="0.75">
      <c r="A130" s="115">
        <v>128</v>
      </c>
      <c r="B130" s="115">
        <f t="shared" si="2"/>
        <v>42</v>
      </c>
      <c r="C130" s="115">
        <f t="shared" si="3"/>
        <v>2</v>
      </c>
      <c r="D130" s="113" t="str" cm="1">
        <f t="array" ref="D130">INDEX('Chemo-Map2-1'!$I$7:$K$100,1+B130,C130)</f>
        <v/>
      </c>
    </row>
    <row r="131" spans="1:4" x14ac:dyDescent="0.75">
      <c r="A131" s="115">
        <v>129</v>
      </c>
      <c r="B131" s="115">
        <f t="shared" si="2"/>
        <v>42</v>
      </c>
      <c r="C131" s="115">
        <f t="shared" si="3"/>
        <v>3</v>
      </c>
      <c r="D131" s="113" t="str" cm="1">
        <f t="array" ref="D131">INDEX('Chemo-Map2-1'!$I$7:$K$100,1+B131,C131)</f>
        <v/>
      </c>
    </row>
    <row r="132" spans="1:4" x14ac:dyDescent="0.75">
      <c r="A132" s="115">
        <v>130</v>
      </c>
      <c r="B132" s="115">
        <f t="shared" ref="B132:B195" si="4">IF(MOD(A132,3)=0,A132/3-1,INT(A132/3))</f>
        <v>43</v>
      </c>
      <c r="C132" s="115">
        <f t="shared" ref="C132:C195" si="5">IF(MOD(A132,3)=0,3,MOD(A132,3))</f>
        <v>1</v>
      </c>
      <c r="D132" s="113" t="str" cm="1">
        <f t="array" ref="D132">INDEX('Chemo-Map2-1'!$I$7:$K$100,1+B132,C132)</f>
        <v/>
      </c>
    </row>
    <row r="133" spans="1:4" x14ac:dyDescent="0.75">
      <c r="A133" s="115">
        <v>131</v>
      </c>
      <c r="B133" s="115">
        <f t="shared" si="4"/>
        <v>43</v>
      </c>
      <c r="C133" s="115">
        <f t="shared" si="5"/>
        <v>2</v>
      </c>
      <c r="D133" s="113" t="str" cm="1">
        <f t="array" ref="D133">INDEX('Chemo-Map2-1'!$I$7:$K$100,1+B133,C133)</f>
        <v/>
      </c>
    </row>
    <row r="134" spans="1:4" x14ac:dyDescent="0.75">
      <c r="A134" s="115">
        <v>132</v>
      </c>
      <c r="B134" s="115">
        <f t="shared" si="4"/>
        <v>43</v>
      </c>
      <c r="C134" s="115">
        <f t="shared" si="5"/>
        <v>3</v>
      </c>
      <c r="D134" s="113" t="str" cm="1">
        <f t="array" ref="D134">INDEX('Chemo-Map2-1'!$I$7:$K$100,1+B134,C134)</f>
        <v/>
      </c>
    </row>
    <row r="135" spans="1:4" x14ac:dyDescent="0.75">
      <c r="A135" s="115">
        <v>133</v>
      </c>
      <c r="B135" s="115">
        <f t="shared" si="4"/>
        <v>44</v>
      </c>
      <c r="C135" s="115">
        <f t="shared" si="5"/>
        <v>1</v>
      </c>
      <c r="D135" s="113" cm="1">
        <f t="array" ref="D135">INDEX('Chemo-Map2-1'!$I$7:$K$100,1+B135,C135)</f>
        <v>0</v>
      </c>
    </row>
    <row r="136" spans="1:4" x14ac:dyDescent="0.75">
      <c r="A136" s="115">
        <v>134</v>
      </c>
      <c r="B136" s="115">
        <f t="shared" si="4"/>
        <v>44</v>
      </c>
      <c r="C136" s="115">
        <f t="shared" si="5"/>
        <v>2</v>
      </c>
      <c r="D136" s="113" cm="1">
        <f t="array" ref="D136">INDEX('Chemo-Map2-1'!$I$7:$K$100,1+B136,C136)</f>
        <v>0</v>
      </c>
    </row>
    <row r="137" spans="1:4" x14ac:dyDescent="0.75">
      <c r="A137" s="115">
        <v>135</v>
      </c>
      <c r="B137" s="115">
        <f t="shared" si="4"/>
        <v>44</v>
      </c>
      <c r="C137" s="115">
        <f t="shared" si="5"/>
        <v>3</v>
      </c>
      <c r="D137" s="113" cm="1">
        <f t="array" ref="D137">INDEX('Chemo-Map2-1'!$I$7:$K$100,1+B137,C137)</f>
        <v>0</v>
      </c>
    </row>
    <row r="138" spans="1:4" x14ac:dyDescent="0.75">
      <c r="A138" s="115">
        <v>136</v>
      </c>
      <c r="B138" s="115">
        <f t="shared" si="4"/>
        <v>45</v>
      </c>
      <c r="C138" s="115">
        <f t="shared" si="5"/>
        <v>1</v>
      </c>
      <c r="D138" s="113" cm="1">
        <f t="array" ref="D138">INDEX('Chemo-Map2-1'!$I$7:$K$100,1+B138,C138)</f>
        <v>0</v>
      </c>
    </row>
    <row r="139" spans="1:4" x14ac:dyDescent="0.75">
      <c r="A139" s="115">
        <v>137</v>
      </c>
      <c r="B139" s="115">
        <f t="shared" si="4"/>
        <v>45</v>
      </c>
      <c r="C139" s="115">
        <f t="shared" si="5"/>
        <v>2</v>
      </c>
      <c r="D139" s="113" cm="1">
        <f t="array" ref="D139">INDEX('Chemo-Map2-1'!$I$7:$K$100,1+B139,C139)</f>
        <v>0</v>
      </c>
    </row>
    <row r="140" spans="1:4" x14ac:dyDescent="0.75">
      <c r="A140" s="115">
        <v>138</v>
      </c>
      <c r="B140" s="115">
        <f t="shared" si="4"/>
        <v>45</v>
      </c>
      <c r="C140" s="115">
        <f t="shared" si="5"/>
        <v>3</v>
      </c>
      <c r="D140" s="113" cm="1">
        <f t="array" ref="D140">INDEX('Chemo-Map2-1'!$I$7:$K$100,1+B140,C140)</f>
        <v>0</v>
      </c>
    </row>
    <row r="141" spans="1:4" x14ac:dyDescent="0.75">
      <c r="A141" s="115">
        <v>139</v>
      </c>
      <c r="B141" s="115">
        <f t="shared" si="4"/>
        <v>46</v>
      </c>
      <c r="C141" s="115">
        <f t="shared" si="5"/>
        <v>1</v>
      </c>
      <c r="D141" s="113" cm="1">
        <f t="array" ref="D141">INDEX('Chemo-Map2-1'!$I$7:$K$100,1+B141,C141)</f>
        <v>0</v>
      </c>
    </row>
    <row r="142" spans="1:4" x14ac:dyDescent="0.75">
      <c r="A142" s="115">
        <v>140</v>
      </c>
      <c r="B142" s="115">
        <f t="shared" si="4"/>
        <v>46</v>
      </c>
      <c r="C142" s="115">
        <f t="shared" si="5"/>
        <v>2</v>
      </c>
      <c r="D142" s="113" cm="1">
        <f t="array" ref="D142">INDEX('Chemo-Map2-1'!$I$7:$K$100,1+B142,C142)</f>
        <v>0</v>
      </c>
    </row>
    <row r="143" spans="1:4" x14ac:dyDescent="0.75">
      <c r="A143" s="115">
        <v>141</v>
      </c>
      <c r="B143" s="115">
        <f t="shared" si="4"/>
        <v>46</v>
      </c>
      <c r="C143" s="115">
        <f t="shared" si="5"/>
        <v>3</v>
      </c>
      <c r="D143" s="113" cm="1">
        <f t="array" ref="D143">INDEX('Chemo-Map2-1'!$I$7:$K$100,1+B143,C143)</f>
        <v>0</v>
      </c>
    </row>
    <row r="144" spans="1:4" x14ac:dyDescent="0.75">
      <c r="A144" s="115">
        <v>142</v>
      </c>
      <c r="B144" s="115">
        <f t="shared" si="4"/>
        <v>47</v>
      </c>
      <c r="C144" s="115">
        <f t="shared" si="5"/>
        <v>1</v>
      </c>
      <c r="D144" s="113" cm="1">
        <f t="array" ref="D144">INDEX('Chemo-Map2-1'!$I$7:$K$100,1+B144,C144)</f>
        <v>0</v>
      </c>
    </row>
    <row r="145" spans="1:4" x14ac:dyDescent="0.75">
      <c r="A145" s="115">
        <v>143</v>
      </c>
      <c r="B145" s="115">
        <f t="shared" si="4"/>
        <v>47</v>
      </c>
      <c r="C145" s="115">
        <f t="shared" si="5"/>
        <v>2</v>
      </c>
      <c r="D145" s="113" cm="1">
        <f t="array" ref="D145">INDEX('Chemo-Map2-1'!$I$7:$K$100,1+B145,C145)</f>
        <v>0</v>
      </c>
    </row>
    <row r="146" spans="1:4" x14ac:dyDescent="0.75">
      <c r="A146" s="115">
        <v>144</v>
      </c>
      <c r="B146" s="115">
        <f t="shared" si="4"/>
        <v>47</v>
      </c>
      <c r="C146" s="115">
        <f t="shared" si="5"/>
        <v>3</v>
      </c>
      <c r="D146" s="113" cm="1">
        <f t="array" ref="D146">INDEX('Chemo-Map2-1'!$I$7:$K$100,1+B146,C146)</f>
        <v>0</v>
      </c>
    </row>
    <row r="147" spans="1:4" x14ac:dyDescent="0.75">
      <c r="A147" s="115">
        <v>145</v>
      </c>
      <c r="B147" s="115">
        <f t="shared" si="4"/>
        <v>48</v>
      </c>
      <c r="C147" s="115">
        <f t="shared" si="5"/>
        <v>1</v>
      </c>
      <c r="D147" s="113" cm="1">
        <f t="array" ref="D147">INDEX('Chemo-Map2-1'!$I$7:$K$100,1+B147,C147)</f>
        <v>0</v>
      </c>
    </row>
    <row r="148" spans="1:4" x14ac:dyDescent="0.75">
      <c r="A148" s="115">
        <v>146</v>
      </c>
      <c r="B148" s="115">
        <f t="shared" si="4"/>
        <v>48</v>
      </c>
      <c r="C148" s="115">
        <f t="shared" si="5"/>
        <v>2</v>
      </c>
      <c r="D148" s="113" cm="1">
        <f t="array" ref="D148">INDEX('Chemo-Map2-1'!$I$7:$K$100,1+B148,C148)</f>
        <v>0</v>
      </c>
    </row>
    <row r="149" spans="1:4" x14ac:dyDescent="0.75">
      <c r="A149" s="115">
        <v>147</v>
      </c>
      <c r="B149" s="115">
        <f t="shared" si="4"/>
        <v>48</v>
      </c>
      <c r="C149" s="115">
        <f t="shared" si="5"/>
        <v>3</v>
      </c>
      <c r="D149" s="113" cm="1">
        <f t="array" ref="D149">INDEX('Chemo-Map2-1'!$I$7:$K$100,1+B149,C149)</f>
        <v>0</v>
      </c>
    </row>
    <row r="150" spans="1:4" x14ac:dyDescent="0.75">
      <c r="A150" s="115">
        <v>148</v>
      </c>
      <c r="B150" s="115">
        <f t="shared" si="4"/>
        <v>49</v>
      </c>
      <c r="C150" s="115">
        <f t="shared" si="5"/>
        <v>1</v>
      </c>
      <c r="D150" s="113" cm="1">
        <f t="array" ref="D150">INDEX('Chemo-Map2-1'!$I$7:$K$100,1+B150,C150)</f>
        <v>0</v>
      </c>
    </row>
    <row r="151" spans="1:4" x14ac:dyDescent="0.75">
      <c r="A151" s="115">
        <v>149</v>
      </c>
      <c r="B151" s="115">
        <f t="shared" si="4"/>
        <v>49</v>
      </c>
      <c r="C151" s="115">
        <f t="shared" si="5"/>
        <v>2</v>
      </c>
      <c r="D151" s="113" cm="1">
        <f t="array" ref="D151">INDEX('Chemo-Map2-1'!$I$7:$K$100,1+B151,C151)</f>
        <v>0</v>
      </c>
    </row>
    <row r="152" spans="1:4" x14ac:dyDescent="0.75">
      <c r="A152" s="115">
        <v>150</v>
      </c>
      <c r="B152" s="115">
        <f t="shared" si="4"/>
        <v>49</v>
      </c>
      <c r="C152" s="115">
        <f t="shared" si="5"/>
        <v>3</v>
      </c>
      <c r="D152" s="113" cm="1">
        <f t="array" ref="D152">INDEX('Chemo-Map2-1'!$I$7:$K$100,1+B152,C152)</f>
        <v>0</v>
      </c>
    </row>
    <row r="153" spans="1:4" x14ac:dyDescent="0.75">
      <c r="A153" s="115">
        <v>151</v>
      </c>
      <c r="B153" s="115">
        <f t="shared" si="4"/>
        <v>50</v>
      </c>
      <c r="C153" s="115">
        <f t="shared" si="5"/>
        <v>1</v>
      </c>
      <c r="D153" s="113" cm="1">
        <f t="array" ref="D153">INDEX('Chemo-Map2-1'!$I$7:$K$100,1+B153,C153)</f>
        <v>0</v>
      </c>
    </row>
    <row r="154" spans="1:4" x14ac:dyDescent="0.75">
      <c r="A154" s="115">
        <v>152</v>
      </c>
      <c r="B154" s="115">
        <f t="shared" si="4"/>
        <v>50</v>
      </c>
      <c r="C154" s="115">
        <f t="shared" si="5"/>
        <v>2</v>
      </c>
      <c r="D154" s="113" cm="1">
        <f t="array" ref="D154">INDEX('Chemo-Map2-1'!$I$7:$K$100,1+B154,C154)</f>
        <v>0</v>
      </c>
    </row>
    <row r="155" spans="1:4" x14ac:dyDescent="0.75">
      <c r="A155" s="115">
        <v>153</v>
      </c>
      <c r="B155" s="115">
        <f t="shared" si="4"/>
        <v>50</v>
      </c>
      <c r="C155" s="115">
        <f t="shared" si="5"/>
        <v>3</v>
      </c>
      <c r="D155" s="113" cm="1">
        <f t="array" ref="D155">INDEX('Chemo-Map2-1'!$I$7:$K$100,1+B155,C155)</f>
        <v>0</v>
      </c>
    </row>
    <row r="156" spans="1:4" x14ac:dyDescent="0.75">
      <c r="A156" s="115">
        <v>154</v>
      </c>
      <c r="B156" s="115">
        <f t="shared" si="4"/>
        <v>51</v>
      </c>
      <c r="C156" s="115">
        <f t="shared" si="5"/>
        <v>1</v>
      </c>
      <c r="D156" s="113" cm="1">
        <f t="array" ref="D156">INDEX('Chemo-Map2-1'!$I$7:$K$100,1+B156,C156)</f>
        <v>0</v>
      </c>
    </row>
    <row r="157" spans="1:4" x14ac:dyDescent="0.75">
      <c r="A157" s="115">
        <v>155</v>
      </c>
      <c r="B157" s="115">
        <f t="shared" si="4"/>
        <v>51</v>
      </c>
      <c r="C157" s="115">
        <f t="shared" si="5"/>
        <v>2</v>
      </c>
      <c r="D157" s="113" cm="1">
        <f t="array" ref="D157">INDEX('Chemo-Map2-1'!$I$7:$K$100,1+B157,C157)</f>
        <v>0</v>
      </c>
    </row>
    <row r="158" spans="1:4" x14ac:dyDescent="0.75">
      <c r="A158" s="115">
        <v>156</v>
      </c>
      <c r="B158" s="115">
        <f t="shared" si="4"/>
        <v>51</v>
      </c>
      <c r="C158" s="115">
        <f t="shared" si="5"/>
        <v>3</v>
      </c>
      <c r="D158" s="113" cm="1">
        <f t="array" ref="D158">INDEX('Chemo-Map2-1'!$I$7:$K$100,1+B158,C158)</f>
        <v>0</v>
      </c>
    </row>
    <row r="159" spans="1:4" x14ac:dyDescent="0.75">
      <c r="A159" s="115">
        <v>157</v>
      </c>
      <c r="B159" s="115">
        <f t="shared" si="4"/>
        <v>52</v>
      </c>
      <c r="C159" s="115">
        <f t="shared" si="5"/>
        <v>1</v>
      </c>
      <c r="D159" s="113" cm="1">
        <f t="array" ref="D159">INDEX('Chemo-Map2-1'!$I$7:$K$100,1+B159,C159)</f>
        <v>0</v>
      </c>
    </row>
    <row r="160" spans="1:4" x14ac:dyDescent="0.75">
      <c r="A160" s="115">
        <v>158</v>
      </c>
      <c r="B160" s="115">
        <f t="shared" si="4"/>
        <v>52</v>
      </c>
      <c r="C160" s="115">
        <f t="shared" si="5"/>
        <v>2</v>
      </c>
      <c r="D160" s="113" cm="1">
        <f t="array" ref="D160">INDEX('Chemo-Map2-1'!$I$7:$K$100,1+B160,C160)</f>
        <v>0</v>
      </c>
    </row>
    <row r="161" spans="1:4" x14ac:dyDescent="0.75">
      <c r="A161" s="115">
        <v>159</v>
      </c>
      <c r="B161" s="115">
        <f t="shared" si="4"/>
        <v>52</v>
      </c>
      <c r="C161" s="115">
        <f t="shared" si="5"/>
        <v>3</v>
      </c>
      <c r="D161" s="113" cm="1">
        <f t="array" ref="D161">INDEX('Chemo-Map2-1'!$I$7:$K$100,1+B161,C161)</f>
        <v>0</v>
      </c>
    </row>
    <row r="162" spans="1:4" x14ac:dyDescent="0.75">
      <c r="A162" s="115">
        <v>160</v>
      </c>
      <c r="B162" s="115">
        <f t="shared" si="4"/>
        <v>53</v>
      </c>
      <c r="C162" s="115">
        <f t="shared" si="5"/>
        <v>1</v>
      </c>
      <c r="D162" s="113" cm="1">
        <f t="array" ref="D162">INDEX('Chemo-Map2-1'!$I$7:$K$100,1+B162,C162)</f>
        <v>0</v>
      </c>
    </row>
    <row r="163" spans="1:4" x14ac:dyDescent="0.75">
      <c r="A163" s="115">
        <v>161</v>
      </c>
      <c r="B163" s="115">
        <f t="shared" si="4"/>
        <v>53</v>
      </c>
      <c r="C163" s="115">
        <f t="shared" si="5"/>
        <v>2</v>
      </c>
      <c r="D163" s="113" cm="1">
        <f t="array" ref="D163">INDEX('Chemo-Map2-1'!$I$7:$K$100,1+B163,C163)</f>
        <v>0</v>
      </c>
    </row>
    <row r="164" spans="1:4" x14ac:dyDescent="0.75">
      <c r="A164" s="115">
        <v>162</v>
      </c>
      <c r="B164" s="115">
        <f t="shared" si="4"/>
        <v>53</v>
      </c>
      <c r="C164" s="115">
        <f t="shared" si="5"/>
        <v>3</v>
      </c>
      <c r="D164" s="113" cm="1">
        <f t="array" ref="D164">INDEX('Chemo-Map2-1'!$I$7:$K$100,1+B164,C164)</f>
        <v>0</v>
      </c>
    </row>
    <row r="165" spans="1:4" x14ac:dyDescent="0.75">
      <c r="A165" s="115">
        <v>163</v>
      </c>
      <c r="B165" s="115">
        <f t="shared" si="4"/>
        <v>54</v>
      </c>
      <c r="C165" s="115">
        <f t="shared" si="5"/>
        <v>1</v>
      </c>
      <c r="D165" s="113" cm="1">
        <f t="array" ref="D165">INDEX('Chemo-Map2-1'!$I$7:$K$100,1+B165,C165)</f>
        <v>0</v>
      </c>
    </row>
    <row r="166" spans="1:4" x14ac:dyDescent="0.75">
      <c r="A166" s="115">
        <v>164</v>
      </c>
      <c r="B166" s="115">
        <f t="shared" si="4"/>
        <v>54</v>
      </c>
      <c r="C166" s="115">
        <f t="shared" si="5"/>
        <v>2</v>
      </c>
      <c r="D166" s="113" cm="1">
        <f t="array" ref="D166">INDEX('Chemo-Map2-1'!$I$7:$K$100,1+B166,C166)</f>
        <v>0</v>
      </c>
    </row>
    <row r="167" spans="1:4" x14ac:dyDescent="0.75">
      <c r="A167" s="115">
        <v>165</v>
      </c>
      <c r="B167" s="115">
        <f t="shared" si="4"/>
        <v>54</v>
      </c>
      <c r="C167" s="115">
        <f t="shared" si="5"/>
        <v>3</v>
      </c>
      <c r="D167" s="113" cm="1">
        <f t="array" ref="D167">INDEX('Chemo-Map2-1'!$I$7:$K$100,1+B167,C167)</f>
        <v>0</v>
      </c>
    </row>
    <row r="168" spans="1:4" x14ac:dyDescent="0.75">
      <c r="A168" s="115">
        <v>166</v>
      </c>
      <c r="B168" s="115">
        <f t="shared" si="4"/>
        <v>55</v>
      </c>
      <c r="C168" s="115">
        <f t="shared" si="5"/>
        <v>1</v>
      </c>
      <c r="D168" s="113" cm="1">
        <f t="array" ref="D168">INDEX('Chemo-Map2-1'!$I$7:$K$100,1+B168,C168)</f>
        <v>0</v>
      </c>
    </row>
    <row r="169" spans="1:4" x14ac:dyDescent="0.75">
      <c r="A169" s="115">
        <v>167</v>
      </c>
      <c r="B169" s="115">
        <f t="shared" si="4"/>
        <v>55</v>
      </c>
      <c r="C169" s="115">
        <f t="shared" si="5"/>
        <v>2</v>
      </c>
      <c r="D169" s="113" cm="1">
        <f t="array" ref="D169">INDEX('Chemo-Map2-1'!$I$7:$K$100,1+B169,C169)</f>
        <v>0</v>
      </c>
    </row>
    <row r="170" spans="1:4" x14ac:dyDescent="0.75">
      <c r="A170" s="115">
        <v>168</v>
      </c>
      <c r="B170" s="115">
        <f t="shared" si="4"/>
        <v>55</v>
      </c>
      <c r="C170" s="115">
        <f t="shared" si="5"/>
        <v>3</v>
      </c>
      <c r="D170" s="113" cm="1">
        <f t="array" ref="D170">INDEX('Chemo-Map2-1'!$I$7:$K$100,1+B170,C170)</f>
        <v>0</v>
      </c>
    </row>
    <row r="171" spans="1:4" x14ac:dyDescent="0.75">
      <c r="A171" s="115">
        <v>169</v>
      </c>
      <c r="B171" s="115">
        <f t="shared" si="4"/>
        <v>56</v>
      </c>
      <c r="C171" s="115">
        <f t="shared" si="5"/>
        <v>1</v>
      </c>
      <c r="D171" s="113" cm="1">
        <f t="array" ref="D171">INDEX('Chemo-Map2-1'!$I$7:$K$100,1+B171,C171)</f>
        <v>0</v>
      </c>
    </row>
    <row r="172" spans="1:4" x14ac:dyDescent="0.75">
      <c r="A172" s="115">
        <v>170</v>
      </c>
      <c r="B172" s="115">
        <f t="shared" si="4"/>
        <v>56</v>
      </c>
      <c r="C172" s="115">
        <f t="shared" si="5"/>
        <v>2</v>
      </c>
      <c r="D172" s="113" cm="1">
        <f t="array" ref="D172">INDEX('Chemo-Map2-1'!$I$7:$K$100,1+B172,C172)</f>
        <v>0</v>
      </c>
    </row>
    <row r="173" spans="1:4" x14ac:dyDescent="0.75">
      <c r="A173" s="115">
        <v>171</v>
      </c>
      <c r="B173" s="115">
        <f t="shared" si="4"/>
        <v>56</v>
      </c>
      <c r="C173" s="115">
        <f t="shared" si="5"/>
        <v>3</v>
      </c>
      <c r="D173" s="113" cm="1">
        <f t="array" ref="D173">INDEX('Chemo-Map2-1'!$I$7:$K$100,1+B173,C173)</f>
        <v>0</v>
      </c>
    </row>
    <row r="174" spans="1:4" x14ac:dyDescent="0.75">
      <c r="A174" s="115">
        <v>172</v>
      </c>
      <c r="B174" s="115">
        <f t="shared" si="4"/>
        <v>57</v>
      </c>
      <c r="C174" s="115">
        <f t="shared" si="5"/>
        <v>1</v>
      </c>
      <c r="D174" s="113" cm="1">
        <f t="array" ref="D174">INDEX('Chemo-Map2-1'!$I$7:$K$100,1+B174,C174)</f>
        <v>0</v>
      </c>
    </row>
    <row r="175" spans="1:4" x14ac:dyDescent="0.75">
      <c r="A175" s="115">
        <v>173</v>
      </c>
      <c r="B175" s="115">
        <f t="shared" si="4"/>
        <v>57</v>
      </c>
      <c r="C175" s="115">
        <f t="shared" si="5"/>
        <v>2</v>
      </c>
      <c r="D175" s="113" cm="1">
        <f t="array" ref="D175">INDEX('Chemo-Map2-1'!$I$7:$K$100,1+B175,C175)</f>
        <v>0</v>
      </c>
    </row>
    <row r="176" spans="1:4" x14ac:dyDescent="0.75">
      <c r="A176" s="115">
        <v>174</v>
      </c>
      <c r="B176" s="115">
        <f t="shared" si="4"/>
        <v>57</v>
      </c>
      <c r="C176" s="115">
        <f t="shared" si="5"/>
        <v>3</v>
      </c>
      <c r="D176" s="113" cm="1">
        <f t="array" ref="D176">INDEX('Chemo-Map2-1'!$I$7:$K$100,1+B176,C176)</f>
        <v>0</v>
      </c>
    </row>
    <row r="177" spans="1:4" x14ac:dyDescent="0.75">
      <c r="A177" s="115">
        <v>175</v>
      </c>
      <c r="B177" s="115">
        <f t="shared" si="4"/>
        <v>58</v>
      </c>
      <c r="C177" s="115">
        <f t="shared" si="5"/>
        <v>1</v>
      </c>
      <c r="D177" s="113" cm="1">
        <f t="array" ref="D177">INDEX('Chemo-Map2-1'!$I$7:$K$100,1+B177,C177)</f>
        <v>0</v>
      </c>
    </row>
    <row r="178" spans="1:4" x14ac:dyDescent="0.75">
      <c r="A178" s="115">
        <v>176</v>
      </c>
      <c r="B178" s="115">
        <f t="shared" si="4"/>
        <v>58</v>
      </c>
      <c r="C178" s="115">
        <f t="shared" si="5"/>
        <v>2</v>
      </c>
      <c r="D178" s="113" cm="1">
        <f t="array" ref="D178">INDEX('Chemo-Map2-1'!$I$7:$K$100,1+B178,C178)</f>
        <v>0</v>
      </c>
    </row>
    <row r="179" spans="1:4" x14ac:dyDescent="0.75">
      <c r="A179" s="115">
        <v>177</v>
      </c>
      <c r="B179" s="115">
        <f t="shared" si="4"/>
        <v>58</v>
      </c>
      <c r="C179" s="115">
        <f t="shared" si="5"/>
        <v>3</v>
      </c>
      <c r="D179" s="113" cm="1">
        <f t="array" ref="D179">INDEX('Chemo-Map2-1'!$I$7:$K$100,1+B179,C179)</f>
        <v>0</v>
      </c>
    </row>
    <row r="180" spans="1:4" x14ac:dyDescent="0.75">
      <c r="A180" s="115">
        <v>178</v>
      </c>
      <c r="B180" s="115">
        <f t="shared" si="4"/>
        <v>59</v>
      </c>
      <c r="C180" s="115">
        <f t="shared" si="5"/>
        <v>1</v>
      </c>
      <c r="D180" s="113" cm="1">
        <f t="array" ref="D180">INDEX('Chemo-Map2-1'!$I$7:$K$100,1+B180,C180)</f>
        <v>0</v>
      </c>
    </row>
    <row r="181" spans="1:4" x14ac:dyDescent="0.75">
      <c r="A181" s="115">
        <v>179</v>
      </c>
      <c r="B181" s="115">
        <f t="shared" si="4"/>
        <v>59</v>
      </c>
      <c r="C181" s="115">
        <f t="shared" si="5"/>
        <v>2</v>
      </c>
      <c r="D181" s="113" cm="1">
        <f t="array" ref="D181">INDEX('Chemo-Map2-1'!$I$7:$K$100,1+B181,C181)</f>
        <v>0</v>
      </c>
    </row>
    <row r="182" spans="1:4" x14ac:dyDescent="0.75">
      <c r="A182" s="115">
        <v>180</v>
      </c>
      <c r="B182" s="115">
        <f t="shared" si="4"/>
        <v>59</v>
      </c>
      <c r="C182" s="115">
        <f t="shared" si="5"/>
        <v>3</v>
      </c>
      <c r="D182" s="113" cm="1">
        <f t="array" ref="D182">INDEX('Chemo-Map2-1'!$I$7:$K$100,1+B182,C182)</f>
        <v>0</v>
      </c>
    </row>
    <row r="183" spans="1:4" x14ac:dyDescent="0.75">
      <c r="A183" s="115">
        <v>181</v>
      </c>
      <c r="B183" s="115">
        <f t="shared" si="4"/>
        <v>60</v>
      </c>
      <c r="C183" s="115">
        <f t="shared" si="5"/>
        <v>1</v>
      </c>
      <c r="D183" s="113" cm="1">
        <f t="array" ref="D183">INDEX('Chemo-Map2-1'!$I$7:$K$100,1+B183,C183)</f>
        <v>0</v>
      </c>
    </row>
    <row r="184" spans="1:4" x14ac:dyDescent="0.75">
      <c r="A184" s="115">
        <v>182</v>
      </c>
      <c r="B184" s="115">
        <f t="shared" si="4"/>
        <v>60</v>
      </c>
      <c r="C184" s="115">
        <f t="shared" si="5"/>
        <v>2</v>
      </c>
      <c r="D184" s="113" cm="1">
        <f t="array" ref="D184">INDEX('Chemo-Map2-1'!$I$7:$K$100,1+B184,C184)</f>
        <v>0</v>
      </c>
    </row>
    <row r="185" spans="1:4" x14ac:dyDescent="0.75">
      <c r="A185" s="115">
        <v>183</v>
      </c>
      <c r="B185" s="115">
        <f t="shared" si="4"/>
        <v>60</v>
      </c>
      <c r="C185" s="115">
        <f t="shared" si="5"/>
        <v>3</v>
      </c>
      <c r="D185" s="113" cm="1">
        <f t="array" ref="D185">INDEX('Chemo-Map2-1'!$I$7:$K$100,1+B185,C185)</f>
        <v>0</v>
      </c>
    </row>
    <row r="186" spans="1:4" x14ac:dyDescent="0.75">
      <c r="A186" s="115">
        <v>184</v>
      </c>
      <c r="B186" s="115">
        <f t="shared" si="4"/>
        <v>61</v>
      </c>
      <c r="C186" s="115">
        <f t="shared" si="5"/>
        <v>1</v>
      </c>
      <c r="D186" s="113" cm="1">
        <f t="array" ref="D186">INDEX('Chemo-Map2-1'!$I$7:$K$100,1+B186,C186)</f>
        <v>0</v>
      </c>
    </row>
    <row r="187" spans="1:4" x14ac:dyDescent="0.75">
      <c r="A187" s="115">
        <v>185</v>
      </c>
      <c r="B187" s="115">
        <f t="shared" si="4"/>
        <v>61</v>
      </c>
      <c r="C187" s="115">
        <f t="shared" si="5"/>
        <v>2</v>
      </c>
      <c r="D187" s="113" cm="1">
        <f t="array" ref="D187">INDEX('Chemo-Map2-1'!$I$7:$K$100,1+B187,C187)</f>
        <v>0</v>
      </c>
    </row>
    <row r="188" spans="1:4" x14ac:dyDescent="0.75">
      <c r="A188" s="115">
        <v>186</v>
      </c>
      <c r="B188" s="115">
        <f t="shared" si="4"/>
        <v>61</v>
      </c>
      <c r="C188" s="115">
        <f t="shared" si="5"/>
        <v>3</v>
      </c>
      <c r="D188" s="113" cm="1">
        <f t="array" ref="D188">INDEX('Chemo-Map2-1'!$I$7:$K$100,1+B188,C188)</f>
        <v>0</v>
      </c>
    </row>
    <row r="189" spans="1:4" x14ac:dyDescent="0.75">
      <c r="A189" s="115">
        <v>187</v>
      </c>
      <c r="B189" s="115">
        <f t="shared" si="4"/>
        <v>62</v>
      </c>
      <c r="C189" s="115">
        <f t="shared" si="5"/>
        <v>1</v>
      </c>
      <c r="D189" s="113" cm="1">
        <f t="array" ref="D189">INDEX('Chemo-Map2-1'!$I$7:$K$100,1+B189,C189)</f>
        <v>0</v>
      </c>
    </row>
    <row r="190" spans="1:4" x14ac:dyDescent="0.75">
      <c r="A190" s="115">
        <v>188</v>
      </c>
      <c r="B190" s="115">
        <f t="shared" si="4"/>
        <v>62</v>
      </c>
      <c r="C190" s="115">
        <f t="shared" si="5"/>
        <v>2</v>
      </c>
      <c r="D190" s="113" cm="1">
        <f t="array" ref="D190">INDEX('Chemo-Map2-1'!$I$7:$K$100,1+B190,C190)</f>
        <v>0</v>
      </c>
    </row>
    <row r="191" spans="1:4" x14ac:dyDescent="0.75">
      <c r="A191" s="115">
        <v>189</v>
      </c>
      <c r="B191" s="115">
        <f t="shared" si="4"/>
        <v>62</v>
      </c>
      <c r="C191" s="115">
        <f t="shared" si="5"/>
        <v>3</v>
      </c>
      <c r="D191" s="113" cm="1">
        <f t="array" ref="D191">INDEX('Chemo-Map2-1'!$I$7:$K$100,1+B191,C191)</f>
        <v>0</v>
      </c>
    </row>
    <row r="192" spans="1:4" x14ac:dyDescent="0.75">
      <c r="A192" s="115">
        <v>190</v>
      </c>
      <c r="B192" s="115">
        <f t="shared" si="4"/>
        <v>63</v>
      </c>
      <c r="C192" s="115">
        <f t="shared" si="5"/>
        <v>1</v>
      </c>
      <c r="D192" s="113" cm="1">
        <f t="array" ref="D192">INDEX('Chemo-Map2-1'!$I$7:$K$100,1+B192,C192)</f>
        <v>0</v>
      </c>
    </row>
    <row r="193" spans="1:4" x14ac:dyDescent="0.75">
      <c r="A193" s="115">
        <v>191</v>
      </c>
      <c r="B193" s="115">
        <f t="shared" si="4"/>
        <v>63</v>
      </c>
      <c r="C193" s="115">
        <f t="shared" si="5"/>
        <v>2</v>
      </c>
      <c r="D193" s="113" cm="1">
        <f t="array" ref="D193">INDEX('Chemo-Map2-1'!$I$7:$K$100,1+B193,C193)</f>
        <v>0</v>
      </c>
    </row>
    <row r="194" spans="1:4" x14ac:dyDescent="0.75">
      <c r="A194" s="115">
        <v>192</v>
      </c>
      <c r="B194" s="115">
        <f t="shared" si="4"/>
        <v>63</v>
      </c>
      <c r="C194" s="115">
        <f t="shared" si="5"/>
        <v>3</v>
      </c>
      <c r="D194" s="113" cm="1">
        <f t="array" ref="D194">INDEX('Chemo-Map2-1'!$I$7:$K$100,1+B194,C194)</f>
        <v>0</v>
      </c>
    </row>
    <row r="195" spans="1:4" x14ac:dyDescent="0.75">
      <c r="A195" s="115">
        <v>193</v>
      </c>
      <c r="B195" s="115">
        <f t="shared" si="4"/>
        <v>64</v>
      </c>
      <c r="C195" s="115">
        <f t="shared" si="5"/>
        <v>1</v>
      </c>
      <c r="D195" s="113" cm="1">
        <f t="array" ref="D195">INDEX('Chemo-Map2-1'!$I$7:$K$100,1+B195,C195)</f>
        <v>0</v>
      </c>
    </row>
    <row r="196" spans="1:4" x14ac:dyDescent="0.75">
      <c r="A196" s="115">
        <v>194</v>
      </c>
      <c r="B196" s="115">
        <f t="shared" ref="B196:B206" si="6">IF(MOD(A196,3)=0,A196/3-1,INT(A196/3))</f>
        <v>64</v>
      </c>
      <c r="C196" s="115">
        <f t="shared" ref="C196:C206" si="7">IF(MOD(A196,3)=0,3,MOD(A196,3))</f>
        <v>2</v>
      </c>
      <c r="D196" s="113" cm="1">
        <f t="array" ref="D196">INDEX('Chemo-Map2-1'!$I$7:$K$100,1+B196,C196)</f>
        <v>0</v>
      </c>
    </row>
    <row r="197" spans="1:4" x14ac:dyDescent="0.75">
      <c r="A197" s="115">
        <v>195</v>
      </c>
      <c r="B197" s="115">
        <f t="shared" si="6"/>
        <v>64</v>
      </c>
      <c r="C197" s="115">
        <f t="shared" si="7"/>
        <v>3</v>
      </c>
      <c r="D197" s="113" cm="1">
        <f t="array" ref="D197">INDEX('Chemo-Map2-1'!$I$7:$K$100,1+B197,C197)</f>
        <v>0</v>
      </c>
    </row>
    <row r="198" spans="1:4" x14ac:dyDescent="0.75">
      <c r="A198" s="115">
        <v>196</v>
      </c>
      <c r="B198" s="115">
        <f t="shared" si="6"/>
        <v>65</v>
      </c>
      <c r="C198" s="115">
        <f t="shared" si="7"/>
        <v>1</v>
      </c>
      <c r="D198" s="113" cm="1">
        <f t="array" ref="D198">INDEX('Chemo-Map2-1'!$I$7:$K$100,1+B198,C198)</f>
        <v>0</v>
      </c>
    </row>
    <row r="199" spans="1:4" x14ac:dyDescent="0.75">
      <c r="A199" s="115">
        <v>197</v>
      </c>
      <c r="B199" s="115">
        <f t="shared" si="6"/>
        <v>65</v>
      </c>
      <c r="C199" s="115">
        <f t="shared" si="7"/>
        <v>2</v>
      </c>
      <c r="D199" s="113" cm="1">
        <f t="array" ref="D199">INDEX('Chemo-Map2-1'!$I$7:$K$100,1+B199,C199)</f>
        <v>0</v>
      </c>
    </row>
    <row r="200" spans="1:4" x14ac:dyDescent="0.75">
      <c r="A200" s="115">
        <v>198</v>
      </c>
      <c r="B200" s="115">
        <f t="shared" si="6"/>
        <v>65</v>
      </c>
      <c r="C200" s="115">
        <f t="shared" si="7"/>
        <v>3</v>
      </c>
      <c r="D200" s="113" cm="1">
        <f t="array" ref="D200">INDEX('Chemo-Map2-1'!$I$7:$K$100,1+B200,C200)</f>
        <v>0</v>
      </c>
    </row>
    <row r="201" spans="1:4" x14ac:dyDescent="0.75">
      <c r="A201" s="115">
        <v>199</v>
      </c>
      <c r="B201" s="115">
        <f t="shared" si="6"/>
        <v>66</v>
      </c>
      <c r="C201" s="115">
        <f t="shared" si="7"/>
        <v>1</v>
      </c>
      <c r="D201" s="113" cm="1">
        <f t="array" ref="D201">INDEX('Chemo-Map2-1'!$I$7:$K$100,1+B201,C201)</f>
        <v>0</v>
      </c>
    </row>
    <row r="202" spans="1:4" x14ac:dyDescent="0.75">
      <c r="A202" s="115">
        <v>200</v>
      </c>
      <c r="B202" s="115">
        <f t="shared" si="6"/>
        <v>66</v>
      </c>
      <c r="C202" s="115">
        <f t="shared" si="7"/>
        <v>2</v>
      </c>
      <c r="D202" s="113" cm="1">
        <f t="array" ref="D202">INDEX('Chemo-Map2-1'!$I$7:$K$100,1+B202,C202)</f>
        <v>0</v>
      </c>
    </row>
    <row r="203" spans="1:4" x14ac:dyDescent="0.75">
      <c r="A203" s="115">
        <v>201</v>
      </c>
      <c r="B203" s="115">
        <f t="shared" si="6"/>
        <v>66</v>
      </c>
      <c r="C203" s="115">
        <f t="shared" si="7"/>
        <v>3</v>
      </c>
      <c r="D203" s="113" cm="1">
        <f t="array" ref="D203">INDEX('Chemo-Map2-1'!$I$7:$K$100,1+B203,C203)</f>
        <v>0</v>
      </c>
    </row>
    <row r="204" spans="1:4" x14ac:dyDescent="0.75">
      <c r="A204" s="115">
        <v>202</v>
      </c>
      <c r="B204" s="115">
        <f t="shared" si="6"/>
        <v>67</v>
      </c>
      <c r="C204" s="115">
        <f t="shared" si="7"/>
        <v>1</v>
      </c>
      <c r="D204" s="113" cm="1">
        <f t="array" ref="D204">INDEX('Chemo-Map2-1'!$I$7:$K$100,1+B204,C204)</f>
        <v>0</v>
      </c>
    </row>
    <row r="205" spans="1:4" x14ac:dyDescent="0.75">
      <c r="A205" s="115">
        <v>203</v>
      </c>
      <c r="B205" s="115">
        <f t="shared" si="6"/>
        <v>67</v>
      </c>
      <c r="C205" s="115">
        <f t="shared" si="7"/>
        <v>2</v>
      </c>
      <c r="D205" s="113" cm="1">
        <f t="array" ref="D205">INDEX('Chemo-Map2-1'!$I$7:$K$100,1+B205,C205)</f>
        <v>0</v>
      </c>
    </row>
    <row r="206" spans="1:4" x14ac:dyDescent="0.75">
      <c r="A206" s="115">
        <v>204</v>
      </c>
      <c r="B206" s="115">
        <f t="shared" si="6"/>
        <v>67</v>
      </c>
      <c r="C206" s="115">
        <f t="shared" si="7"/>
        <v>3</v>
      </c>
      <c r="D206" s="113" cm="1">
        <f t="array" ref="D206">INDEX('Chemo-Map2-1'!$I$7:$K$100,1+B206,C206)</f>
        <v>0</v>
      </c>
    </row>
    <row r="207" spans="1:4" x14ac:dyDescent="0.75">
      <c r="A207" s="115"/>
      <c r="B207" s="115"/>
      <c r="C207" s="115"/>
    </row>
    <row r="208" spans="1:4" x14ac:dyDescent="0.75">
      <c r="A208" s="115"/>
      <c r="B208" s="115"/>
      <c r="C208" s="115"/>
    </row>
    <row r="209" spans="1:3" x14ac:dyDescent="0.75">
      <c r="A209" s="115"/>
      <c r="B209" s="115"/>
      <c r="C209" s="115"/>
    </row>
    <row r="210" spans="1:3" x14ac:dyDescent="0.75">
      <c r="A210" s="115"/>
      <c r="B210" s="115"/>
      <c r="C210" s="115"/>
    </row>
    <row r="211" spans="1:3" x14ac:dyDescent="0.75">
      <c r="A211" s="115"/>
      <c r="B211" s="115"/>
      <c r="C211" s="115"/>
    </row>
    <row r="212" spans="1:3" x14ac:dyDescent="0.75">
      <c r="A212" s="115"/>
      <c r="B212" s="115"/>
      <c r="C212" s="115"/>
    </row>
    <row r="213" spans="1:3" x14ac:dyDescent="0.75">
      <c r="A213" s="115"/>
      <c r="B213" s="115"/>
      <c r="C213" s="115"/>
    </row>
    <row r="214" spans="1:3" x14ac:dyDescent="0.75">
      <c r="A214" s="115"/>
      <c r="B214" s="115"/>
      <c r="C214" s="115"/>
    </row>
    <row r="215" spans="1:3" x14ac:dyDescent="0.75">
      <c r="A215" s="115"/>
      <c r="B215" s="115"/>
      <c r="C215" s="115"/>
    </row>
    <row r="216" spans="1:3" x14ac:dyDescent="0.75">
      <c r="A216" s="115"/>
      <c r="B216" s="115"/>
      <c r="C216" s="115"/>
    </row>
    <row r="217" spans="1:3" x14ac:dyDescent="0.75">
      <c r="A217" s="115"/>
      <c r="B217" s="115"/>
      <c r="C217" s="115"/>
    </row>
    <row r="218" spans="1:3" x14ac:dyDescent="0.75">
      <c r="A218" s="115"/>
      <c r="B218" s="115"/>
      <c r="C218" s="115"/>
    </row>
    <row r="219" spans="1:3" x14ac:dyDescent="0.75">
      <c r="A219" s="115"/>
      <c r="B219" s="115"/>
      <c r="C219" s="115"/>
    </row>
    <row r="220" spans="1:3" x14ac:dyDescent="0.75">
      <c r="A220" s="115"/>
      <c r="B220" s="115"/>
      <c r="C220" s="115"/>
    </row>
    <row r="221" spans="1:3" x14ac:dyDescent="0.75">
      <c r="A221" s="115"/>
      <c r="B221" s="115"/>
      <c r="C221" s="115"/>
    </row>
    <row r="222" spans="1:3" x14ac:dyDescent="0.75">
      <c r="A222" s="115"/>
      <c r="B222" s="115"/>
      <c r="C222" s="115"/>
    </row>
    <row r="223" spans="1:3" x14ac:dyDescent="0.75">
      <c r="A223" s="115"/>
      <c r="B223" s="115"/>
      <c r="C223" s="115"/>
    </row>
    <row r="224" spans="1:3" x14ac:dyDescent="0.75">
      <c r="A224" s="115"/>
      <c r="B224" s="115"/>
      <c r="C224" s="115"/>
    </row>
    <row r="225" spans="1:3" x14ac:dyDescent="0.75">
      <c r="A225" s="115"/>
      <c r="B225" s="115"/>
      <c r="C225" s="115"/>
    </row>
    <row r="226" spans="1:3" x14ac:dyDescent="0.75">
      <c r="A226" s="115"/>
      <c r="B226" s="115"/>
      <c r="C226" s="115"/>
    </row>
    <row r="227" spans="1:3" x14ac:dyDescent="0.75">
      <c r="A227" s="115"/>
      <c r="B227" s="115"/>
      <c r="C227" s="115"/>
    </row>
    <row r="228" spans="1:3" x14ac:dyDescent="0.75">
      <c r="A228" s="115"/>
      <c r="B228" s="115"/>
      <c r="C228" s="115"/>
    </row>
    <row r="229" spans="1:3" x14ac:dyDescent="0.75">
      <c r="A229" s="115"/>
      <c r="B229" s="115"/>
      <c r="C229" s="115"/>
    </row>
    <row r="230" spans="1:3" x14ac:dyDescent="0.75">
      <c r="A230" s="115"/>
      <c r="B230" s="115"/>
      <c r="C230" s="115"/>
    </row>
    <row r="231" spans="1:3" x14ac:dyDescent="0.75">
      <c r="A231" s="115"/>
      <c r="B231" s="115"/>
      <c r="C231" s="115"/>
    </row>
    <row r="232" spans="1:3" x14ac:dyDescent="0.75">
      <c r="A232" s="115"/>
      <c r="B232" s="115"/>
      <c r="C232" s="115"/>
    </row>
    <row r="233" spans="1:3" x14ac:dyDescent="0.75">
      <c r="A233" s="115"/>
      <c r="B233" s="115"/>
      <c r="C233" s="115"/>
    </row>
    <row r="234" spans="1:3" x14ac:dyDescent="0.75">
      <c r="A234" s="115"/>
      <c r="B234" s="115"/>
      <c r="C234" s="115"/>
    </row>
    <row r="235" spans="1:3" x14ac:dyDescent="0.75">
      <c r="A235" s="115"/>
      <c r="B235" s="115"/>
      <c r="C235" s="115"/>
    </row>
    <row r="236" spans="1:3" x14ac:dyDescent="0.75">
      <c r="A236" s="115"/>
      <c r="B236" s="115"/>
      <c r="C236" s="115"/>
    </row>
    <row r="237" spans="1:3" x14ac:dyDescent="0.75">
      <c r="A237" s="115"/>
      <c r="B237" s="115"/>
      <c r="C237" s="115"/>
    </row>
    <row r="238" spans="1:3" x14ac:dyDescent="0.75">
      <c r="A238" s="115"/>
      <c r="B238" s="115"/>
      <c r="C238" s="115"/>
    </row>
    <row r="239" spans="1:3" x14ac:dyDescent="0.75">
      <c r="A239" s="115"/>
      <c r="B239" s="115"/>
      <c r="C239" s="115"/>
    </row>
    <row r="240" spans="1:3" x14ac:dyDescent="0.75">
      <c r="A240" s="115"/>
      <c r="B240" s="115"/>
      <c r="C240" s="115"/>
    </row>
    <row r="241" spans="1:3" x14ac:dyDescent="0.75">
      <c r="A241" s="115"/>
      <c r="B241" s="115"/>
      <c r="C241" s="115"/>
    </row>
    <row r="242" spans="1:3" x14ac:dyDescent="0.75">
      <c r="A242" s="115"/>
      <c r="B242" s="115"/>
      <c r="C242" s="115"/>
    </row>
    <row r="243" spans="1:3" x14ac:dyDescent="0.75">
      <c r="A243" s="115"/>
      <c r="B243" s="115"/>
      <c r="C243" s="115"/>
    </row>
    <row r="244" spans="1:3" x14ac:dyDescent="0.75">
      <c r="A244" s="115"/>
      <c r="B244" s="115"/>
      <c r="C244" s="115"/>
    </row>
    <row r="245" spans="1:3" x14ac:dyDescent="0.75">
      <c r="A245" s="115"/>
      <c r="B245" s="115"/>
      <c r="C245" s="115"/>
    </row>
    <row r="246" spans="1:3" x14ac:dyDescent="0.75">
      <c r="A246" s="115"/>
      <c r="B246" s="115"/>
      <c r="C246" s="115"/>
    </row>
    <row r="247" spans="1:3" x14ac:dyDescent="0.75">
      <c r="A247" s="115"/>
      <c r="B247" s="115"/>
      <c r="C247" s="115"/>
    </row>
    <row r="248" spans="1:3" x14ac:dyDescent="0.75">
      <c r="A248" s="115"/>
      <c r="B248" s="115"/>
      <c r="C248" s="115"/>
    </row>
    <row r="249" spans="1:3" x14ac:dyDescent="0.75">
      <c r="A249" s="115"/>
      <c r="B249" s="115"/>
      <c r="C249" s="115"/>
    </row>
    <row r="250" spans="1:3" x14ac:dyDescent="0.75">
      <c r="A250" s="115"/>
      <c r="B250" s="115"/>
      <c r="C250" s="115"/>
    </row>
    <row r="251" spans="1:3" x14ac:dyDescent="0.75">
      <c r="A251" s="115"/>
      <c r="B251" s="115"/>
      <c r="C251" s="115"/>
    </row>
    <row r="252" spans="1:3" x14ac:dyDescent="0.75">
      <c r="A252" s="115"/>
      <c r="B252" s="115"/>
      <c r="C252" s="115"/>
    </row>
    <row r="253" spans="1:3" x14ac:dyDescent="0.75">
      <c r="A253" s="115"/>
      <c r="B253" s="115"/>
      <c r="C253" s="115"/>
    </row>
    <row r="254" spans="1:3" x14ac:dyDescent="0.75">
      <c r="A254" s="115"/>
      <c r="B254" s="115"/>
      <c r="C254" s="115"/>
    </row>
    <row r="255" spans="1:3" x14ac:dyDescent="0.75">
      <c r="A255" s="115"/>
      <c r="B255" s="115"/>
      <c r="C255" s="115"/>
    </row>
    <row r="256" spans="1:3" x14ac:dyDescent="0.75">
      <c r="A256" s="115"/>
      <c r="B256" s="115"/>
      <c r="C256" s="115"/>
    </row>
    <row r="257" spans="1:3" x14ac:dyDescent="0.75">
      <c r="A257" s="115"/>
      <c r="B257" s="115"/>
      <c r="C257" s="115"/>
    </row>
    <row r="258" spans="1:3" x14ac:dyDescent="0.75">
      <c r="A258" s="115"/>
      <c r="B258" s="115"/>
      <c r="C258" s="115"/>
    </row>
    <row r="259" spans="1:3" x14ac:dyDescent="0.75">
      <c r="A259" s="115"/>
      <c r="B259" s="115"/>
      <c r="C259" s="115"/>
    </row>
    <row r="260" spans="1:3" x14ac:dyDescent="0.75">
      <c r="A260" s="115"/>
      <c r="B260" s="115"/>
      <c r="C260" s="115"/>
    </row>
    <row r="261" spans="1:3" x14ac:dyDescent="0.75">
      <c r="A261" s="115"/>
      <c r="B261" s="115"/>
      <c r="C261" s="115"/>
    </row>
    <row r="262" spans="1:3" x14ac:dyDescent="0.75">
      <c r="A262" s="115"/>
      <c r="B262" s="115"/>
      <c r="C262" s="115"/>
    </row>
    <row r="263" spans="1:3" x14ac:dyDescent="0.75">
      <c r="A263" s="115"/>
      <c r="B263" s="115"/>
      <c r="C263" s="115"/>
    </row>
    <row r="264" spans="1:3" x14ac:dyDescent="0.75">
      <c r="A264" s="115"/>
      <c r="B264" s="115"/>
      <c r="C264" s="115"/>
    </row>
    <row r="265" spans="1:3" x14ac:dyDescent="0.75">
      <c r="A265" s="115"/>
      <c r="B265" s="115"/>
      <c r="C265" s="115"/>
    </row>
    <row r="266" spans="1:3" x14ac:dyDescent="0.75">
      <c r="A266" s="115"/>
      <c r="B266" s="115"/>
      <c r="C266" s="115"/>
    </row>
    <row r="267" spans="1:3" x14ac:dyDescent="0.75">
      <c r="A267" s="115"/>
      <c r="B267" s="115"/>
      <c r="C267" s="115"/>
    </row>
    <row r="268" spans="1:3" x14ac:dyDescent="0.75">
      <c r="A268" s="115"/>
      <c r="B268" s="115"/>
      <c r="C268" s="115"/>
    </row>
    <row r="269" spans="1:3" x14ac:dyDescent="0.75">
      <c r="A269" s="115"/>
      <c r="B269" s="115"/>
      <c r="C269" s="115"/>
    </row>
    <row r="270" spans="1:3" x14ac:dyDescent="0.75">
      <c r="A270" s="115"/>
      <c r="B270" s="115"/>
      <c r="C270" s="115"/>
    </row>
    <row r="271" spans="1:3" x14ac:dyDescent="0.75">
      <c r="A271" s="115"/>
      <c r="B271" s="115"/>
      <c r="C271" s="115"/>
    </row>
    <row r="272" spans="1:3" x14ac:dyDescent="0.75">
      <c r="A272" s="115"/>
      <c r="B272" s="115"/>
      <c r="C272" s="115"/>
    </row>
    <row r="273" spans="1:3" x14ac:dyDescent="0.75">
      <c r="A273" s="115"/>
      <c r="B273" s="115"/>
      <c r="C273" s="115"/>
    </row>
    <row r="274" spans="1:3" x14ac:dyDescent="0.75">
      <c r="A274" s="115"/>
      <c r="B274" s="115"/>
      <c r="C274" s="115"/>
    </row>
    <row r="275" spans="1:3" x14ac:dyDescent="0.75">
      <c r="A275" s="115"/>
      <c r="B275" s="115"/>
      <c r="C275" s="115"/>
    </row>
    <row r="276" spans="1:3" x14ac:dyDescent="0.75">
      <c r="A276" s="115"/>
      <c r="B276" s="115"/>
      <c r="C276" s="115"/>
    </row>
    <row r="277" spans="1:3" x14ac:dyDescent="0.75">
      <c r="A277" s="115"/>
      <c r="B277" s="115"/>
      <c r="C277" s="115"/>
    </row>
    <row r="278" spans="1:3" x14ac:dyDescent="0.75">
      <c r="A278" s="115"/>
      <c r="B278" s="115"/>
      <c r="C278" s="115"/>
    </row>
    <row r="279" spans="1:3" x14ac:dyDescent="0.75">
      <c r="A279" s="115"/>
      <c r="B279" s="115"/>
      <c r="C279" s="115"/>
    </row>
    <row r="280" spans="1:3" x14ac:dyDescent="0.75">
      <c r="A280" s="115"/>
      <c r="B280" s="115"/>
      <c r="C280" s="115"/>
    </row>
    <row r="281" spans="1:3" x14ac:dyDescent="0.75">
      <c r="A281" s="115"/>
      <c r="B281" s="115"/>
      <c r="C281" s="115"/>
    </row>
    <row r="282" spans="1:3" x14ac:dyDescent="0.75">
      <c r="A282" s="115"/>
      <c r="B282" s="115"/>
      <c r="C282" s="115"/>
    </row>
    <row r="283" spans="1:3" x14ac:dyDescent="0.75">
      <c r="A283" s="115"/>
      <c r="B283" s="115"/>
      <c r="C283" s="115"/>
    </row>
    <row r="284" spans="1:3" x14ac:dyDescent="0.75">
      <c r="A284" s="115"/>
      <c r="B284" s="115"/>
      <c r="C284" s="115"/>
    </row>
    <row r="285" spans="1:3" x14ac:dyDescent="0.75">
      <c r="A285" s="115"/>
      <c r="B285" s="115"/>
      <c r="C285" s="115"/>
    </row>
    <row r="286" spans="1:3" x14ac:dyDescent="0.75">
      <c r="A286" s="115"/>
      <c r="B286" s="115"/>
      <c r="C286" s="115"/>
    </row>
    <row r="287" spans="1:3" x14ac:dyDescent="0.75">
      <c r="A287" s="115"/>
      <c r="B287" s="115"/>
      <c r="C287" s="115"/>
    </row>
    <row r="288" spans="1:3" x14ac:dyDescent="0.75">
      <c r="A288" s="115"/>
      <c r="B288" s="115"/>
      <c r="C288" s="115"/>
    </row>
    <row r="289" spans="1:3" x14ac:dyDescent="0.75">
      <c r="A289" s="115"/>
      <c r="B289" s="115"/>
      <c r="C289" s="115"/>
    </row>
    <row r="290" spans="1:3" x14ac:dyDescent="0.75">
      <c r="A290" s="115"/>
      <c r="B290" s="115"/>
      <c r="C290" s="115"/>
    </row>
    <row r="291" spans="1:3" x14ac:dyDescent="0.75">
      <c r="A291" s="115"/>
      <c r="B291" s="115"/>
      <c r="C291" s="115"/>
    </row>
    <row r="292" spans="1:3" x14ac:dyDescent="0.75">
      <c r="A292" s="115"/>
      <c r="B292" s="115"/>
      <c r="C292" s="115"/>
    </row>
    <row r="293" spans="1:3" x14ac:dyDescent="0.75">
      <c r="A293" s="115"/>
      <c r="B293" s="115"/>
      <c r="C293" s="115"/>
    </row>
    <row r="294" spans="1:3" x14ac:dyDescent="0.75">
      <c r="A294" s="115"/>
      <c r="B294" s="115"/>
      <c r="C294" s="115"/>
    </row>
    <row r="295" spans="1:3" x14ac:dyDescent="0.75">
      <c r="A295" s="115"/>
      <c r="B295" s="115"/>
      <c r="C295" s="115"/>
    </row>
    <row r="296" spans="1:3" x14ac:dyDescent="0.75">
      <c r="A296" s="115"/>
      <c r="B296" s="115"/>
      <c r="C296" s="115"/>
    </row>
    <row r="297" spans="1:3" x14ac:dyDescent="0.75">
      <c r="A297" s="115"/>
      <c r="B297" s="115"/>
      <c r="C297" s="115"/>
    </row>
    <row r="298" spans="1:3" x14ac:dyDescent="0.75">
      <c r="A298" s="115"/>
      <c r="B298" s="115"/>
      <c r="C298" s="115"/>
    </row>
    <row r="299" spans="1:3" x14ac:dyDescent="0.75">
      <c r="A299" s="115"/>
      <c r="B299" s="115"/>
      <c r="C299" s="115"/>
    </row>
    <row r="300" spans="1:3" x14ac:dyDescent="0.75">
      <c r="A300" s="115"/>
      <c r="B300" s="115"/>
      <c r="C300" s="115"/>
    </row>
    <row r="301" spans="1:3" x14ac:dyDescent="0.75">
      <c r="A301" s="115"/>
      <c r="B301" s="115"/>
      <c r="C301" s="115"/>
    </row>
    <row r="302" spans="1:3" x14ac:dyDescent="0.75">
      <c r="A302" s="115"/>
      <c r="B302" s="115"/>
      <c r="C302" s="115"/>
    </row>
    <row r="303" spans="1:3" x14ac:dyDescent="0.75">
      <c r="A303" s="115"/>
      <c r="B303" s="115"/>
      <c r="C303" s="115"/>
    </row>
    <row r="304" spans="1:3" x14ac:dyDescent="0.75">
      <c r="A304" s="115"/>
      <c r="B304" s="115"/>
      <c r="C304" s="115"/>
    </row>
    <row r="305" spans="1:3" x14ac:dyDescent="0.75">
      <c r="A305" s="115"/>
      <c r="B305" s="115"/>
      <c r="C305" s="115"/>
    </row>
    <row r="306" spans="1:3" x14ac:dyDescent="0.75">
      <c r="A306" s="115"/>
      <c r="B306" s="115"/>
      <c r="C306" s="115"/>
    </row>
    <row r="307" spans="1:3" x14ac:dyDescent="0.75">
      <c r="A307" s="115"/>
      <c r="B307" s="115"/>
      <c r="C307" s="115"/>
    </row>
    <row r="308" spans="1:3" x14ac:dyDescent="0.75">
      <c r="A308" s="115"/>
      <c r="B308" s="115"/>
      <c r="C308" s="115"/>
    </row>
    <row r="309" spans="1:3" x14ac:dyDescent="0.75">
      <c r="A309" s="115"/>
      <c r="B309" s="115"/>
      <c r="C309" s="115"/>
    </row>
    <row r="310" spans="1:3" x14ac:dyDescent="0.75">
      <c r="A310" s="115"/>
      <c r="B310" s="115"/>
      <c r="C310" s="115"/>
    </row>
    <row r="311" spans="1:3" x14ac:dyDescent="0.75">
      <c r="A311" s="115"/>
      <c r="B311" s="115"/>
      <c r="C311" s="115"/>
    </row>
    <row r="312" spans="1:3" x14ac:dyDescent="0.75">
      <c r="A312" s="115"/>
      <c r="B312" s="115"/>
      <c r="C312" s="115"/>
    </row>
    <row r="313" spans="1:3" x14ac:dyDescent="0.75">
      <c r="A313" s="115"/>
      <c r="B313" s="115"/>
      <c r="C313" s="115"/>
    </row>
    <row r="314" spans="1:3" x14ac:dyDescent="0.75">
      <c r="A314" s="115"/>
      <c r="B314" s="115"/>
      <c r="C314" s="115"/>
    </row>
    <row r="315" spans="1:3" x14ac:dyDescent="0.75">
      <c r="A315" s="115"/>
      <c r="B315" s="115"/>
      <c r="C315" s="115"/>
    </row>
    <row r="316" spans="1:3" x14ac:dyDescent="0.75">
      <c r="A316" s="115"/>
      <c r="B316" s="115"/>
      <c r="C316" s="115"/>
    </row>
    <row r="317" spans="1:3" x14ac:dyDescent="0.75">
      <c r="A317" s="115"/>
      <c r="B317" s="115"/>
      <c r="C317" s="115"/>
    </row>
    <row r="318" spans="1:3" x14ac:dyDescent="0.75">
      <c r="A318" s="115"/>
      <c r="B318" s="115"/>
      <c r="C318" s="115"/>
    </row>
    <row r="319" spans="1:3" x14ac:dyDescent="0.75">
      <c r="A319" s="115"/>
      <c r="B319" s="115"/>
      <c r="C319" s="115"/>
    </row>
    <row r="320" spans="1:3" x14ac:dyDescent="0.75">
      <c r="A320" s="115"/>
      <c r="B320" s="115"/>
      <c r="C320" s="115"/>
    </row>
    <row r="321" spans="1:3" x14ac:dyDescent="0.75">
      <c r="A321" s="115"/>
      <c r="B321" s="115"/>
      <c r="C321" s="115"/>
    </row>
    <row r="322" spans="1:3" x14ac:dyDescent="0.75">
      <c r="A322" s="115"/>
      <c r="B322" s="115"/>
      <c r="C322" s="115"/>
    </row>
    <row r="323" spans="1:3" x14ac:dyDescent="0.75">
      <c r="A323" s="115"/>
      <c r="B323" s="115"/>
      <c r="C323" s="115"/>
    </row>
    <row r="324" spans="1:3" x14ac:dyDescent="0.75">
      <c r="A324" s="115"/>
      <c r="B324" s="115"/>
      <c r="C324" s="115"/>
    </row>
    <row r="325" spans="1:3" x14ac:dyDescent="0.75">
      <c r="A325" s="115"/>
      <c r="B325" s="115"/>
      <c r="C325" s="115"/>
    </row>
    <row r="326" spans="1:3" x14ac:dyDescent="0.75">
      <c r="A326" s="115"/>
      <c r="B326" s="115"/>
      <c r="C326" s="115"/>
    </row>
    <row r="327" spans="1:3" x14ac:dyDescent="0.75">
      <c r="A327" s="115"/>
      <c r="B327" s="115"/>
      <c r="C327" s="115"/>
    </row>
    <row r="328" spans="1:3" x14ac:dyDescent="0.75">
      <c r="A328" s="115"/>
      <c r="B328" s="115"/>
      <c r="C328" s="115"/>
    </row>
    <row r="329" spans="1:3" x14ac:dyDescent="0.75">
      <c r="A329" s="115"/>
      <c r="B329" s="115"/>
      <c r="C329" s="115"/>
    </row>
    <row r="330" spans="1:3" x14ac:dyDescent="0.75">
      <c r="A330" s="115"/>
      <c r="B330" s="115"/>
      <c r="C330" s="115"/>
    </row>
    <row r="331" spans="1:3" x14ac:dyDescent="0.75">
      <c r="A331" s="115"/>
      <c r="B331" s="115"/>
      <c r="C331" s="115"/>
    </row>
    <row r="332" spans="1:3" x14ac:dyDescent="0.75">
      <c r="A332" s="115"/>
      <c r="B332" s="115"/>
      <c r="C332" s="115"/>
    </row>
    <row r="333" spans="1:3" x14ac:dyDescent="0.75">
      <c r="A333" s="115"/>
      <c r="B333" s="115"/>
      <c r="C333" s="115"/>
    </row>
    <row r="334" spans="1:3" x14ac:dyDescent="0.75">
      <c r="A334" s="115"/>
      <c r="B334" s="115"/>
      <c r="C334" s="115"/>
    </row>
    <row r="335" spans="1:3" x14ac:dyDescent="0.75">
      <c r="A335" s="115"/>
      <c r="B335" s="115"/>
      <c r="C335" s="115"/>
    </row>
    <row r="336" spans="1:3" x14ac:dyDescent="0.75">
      <c r="A336" s="115"/>
      <c r="B336" s="115"/>
      <c r="C336" s="115"/>
    </row>
    <row r="337" spans="1:3" x14ac:dyDescent="0.75">
      <c r="A337" s="115"/>
      <c r="B337" s="115"/>
      <c r="C337" s="115"/>
    </row>
    <row r="338" spans="1:3" x14ac:dyDescent="0.75">
      <c r="A338" s="115"/>
      <c r="B338" s="115"/>
      <c r="C338" s="115"/>
    </row>
    <row r="339" spans="1:3" x14ac:dyDescent="0.75">
      <c r="A339" s="115"/>
      <c r="B339" s="115"/>
      <c r="C339" s="115"/>
    </row>
    <row r="340" spans="1:3" x14ac:dyDescent="0.75">
      <c r="A340" s="115"/>
      <c r="B340" s="115"/>
      <c r="C340" s="115"/>
    </row>
    <row r="341" spans="1:3" x14ac:dyDescent="0.75">
      <c r="A341" s="115"/>
      <c r="B341" s="115"/>
      <c r="C341" s="115"/>
    </row>
    <row r="342" spans="1:3" x14ac:dyDescent="0.75">
      <c r="A342" s="115"/>
      <c r="B342" s="115"/>
      <c r="C342" s="115"/>
    </row>
    <row r="343" spans="1:3" x14ac:dyDescent="0.75">
      <c r="A343" s="115"/>
      <c r="B343" s="115"/>
      <c r="C343" s="115"/>
    </row>
    <row r="344" spans="1:3" x14ac:dyDescent="0.75">
      <c r="A344" s="115"/>
      <c r="B344" s="115"/>
      <c r="C344" s="115"/>
    </row>
    <row r="345" spans="1:3" x14ac:dyDescent="0.75">
      <c r="A345" s="115"/>
      <c r="B345" s="115"/>
      <c r="C345" s="115"/>
    </row>
    <row r="346" spans="1:3" x14ac:dyDescent="0.75">
      <c r="A346" s="115"/>
      <c r="B346" s="115"/>
      <c r="C346" s="115"/>
    </row>
    <row r="347" spans="1:3" x14ac:dyDescent="0.75">
      <c r="A347" s="115"/>
      <c r="B347" s="115"/>
      <c r="C347" s="115"/>
    </row>
    <row r="348" spans="1:3" x14ac:dyDescent="0.75">
      <c r="A348" s="115"/>
      <c r="B348" s="115"/>
      <c r="C348" s="115"/>
    </row>
    <row r="349" spans="1:3" x14ac:dyDescent="0.75">
      <c r="A349" s="115"/>
      <c r="B349" s="115"/>
      <c r="C349" s="115"/>
    </row>
    <row r="350" spans="1:3" x14ac:dyDescent="0.75">
      <c r="A350" s="115"/>
      <c r="B350" s="115"/>
      <c r="C350" s="115"/>
    </row>
    <row r="351" spans="1:3" x14ac:dyDescent="0.75">
      <c r="A351" s="115"/>
      <c r="B351" s="115"/>
      <c r="C351" s="115"/>
    </row>
    <row r="352" spans="1:3" x14ac:dyDescent="0.75">
      <c r="A352" s="115"/>
      <c r="B352" s="115"/>
      <c r="C352" s="115"/>
    </row>
    <row r="353" spans="1:3" x14ac:dyDescent="0.75">
      <c r="A353" s="115"/>
      <c r="B353" s="115"/>
      <c r="C353" s="115"/>
    </row>
    <row r="354" spans="1:3" x14ac:dyDescent="0.75">
      <c r="A354" s="115"/>
      <c r="B354" s="115"/>
      <c r="C354" s="115"/>
    </row>
    <row r="355" spans="1:3" x14ac:dyDescent="0.75">
      <c r="A355" s="115"/>
      <c r="B355" s="115"/>
      <c r="C355" s="115"/>
    </row>
    <row r="356" spans="1:3" x14ac:dyDescent="0.75">
      <c r="A356" s="115"/>
      <c r="B356" s="115"/>
      <c r="C356" s="115"/>
    </row>
    <row r="357" spans="1:3" x14ac:dyDescent="0.75">
      <c r="A357" s="115"/>
      <c r="B357" s="115"/>
      <c r="C357" s="115"/>
    </row>
    <row r="358" spans="1:3" x14ac:dyDescent="0.75">
      <c r="A358" s="115"/>
      <c r="B358" s="115"/>
      <c r="C358" s="115"/>
    </row>
    <row r="359" spans="1:3" x14ac:dyDescent="0.75">
      <c r="A359" s="115"/>
      <c r="B359" s="115"/>
      <c r="C359" s="115"/>
    </row>
    <row r="360" spans="1:3" x14ac:dyDescent="0.75">
      <c r="A360" s="115"/>
      <c r="B360" s="115"/>
      <c r="C360" s="115"/>
    </row>
    <row r="361" spans="1:3" x14ac:dyDescent="0.75">
      <c r="A361" s="115"/>
      <c r="B361" s="115"/>
      <c r="C361" s="115"/>
    </row>
    <row r="362" spans="1:3" x14ac:dyDescent="0.75">
      <c r="A362" s="115"/>
      <c r="B362" s="115"/>
      <c r="C362" s="115"/>
    </row>
    <row r="363" spans="1:3" x14ac:dyDescent="0.75">
      <c r="A363" s="115"/>
      <c r="B363" s="115"/>
      <c r="C363" s="115"/>
    </row>
    <row r="364" spans="1:3" x14ac:dyDescent="0.75">
      <c r="A364" s="115"/>
      <c r="B364" s="115"/>
      <c r="C364" s="115"/>
    </row>
    <row r="365" spans="1:3" x14ac:dyDescent="0.75">
      <c r="A365" s="115"/>
      <c r="B365" s="115"/>
      <c r="C365" s="115"/>
    </row>
    <row r="366" spans="1:3" x14ac:dyDescent="0.75">
      <c r="A366" s="115"/>
      <c r="B366" s="115"/>
      <c r="C366" s="115"/>
    </row>
    <row r="367" spans="1:3" x14ac:dyDescent="0.75">
      <c r="A367" s="115"/>
      <c r="B367" s="115"/>
      <c r="C367" s="115"/>
    </row>
    <row r="368" spans="1:3" x14ac:dyDescent="0.75">
      <c r="A368" s="115"/>
      <c r="B368" s="115"/>
      <c r="C368" s="115"/>
    </row>
    <row r="369" spans="1:3" x14ac:dyDescent="0.75">
      <c r="A369" s="115"/>
      <c r="B369" s="115"/>
      <c r="C369" s="115"/>
    </row>
    <row r="370" spans="1:3" x14ac:dyDescent="0.75">
      <c r="A370" s="115"/>
      <c r="B370" s="115"/>
      <c r="C370" s="115"/>
    </row>
    <row r="371" spans="1:3" x14ac:dyDescent="0.75">
      <c r="A371" s="115"/>
      <c r="B371" s="115"/>
      <c r="C371" s="115"/>
    </row>
    <row r="372" spans="1:3" x14ac:dyDescent="0.75">
      <c r="A372" s="115"/>
      <c r="B372" s="115"/>
      <c r="C372" s="115"/>
    </row>
    <row r="373" spans="1:3" x14ac:dyDescent="0.75">
      <c r="A373" s="115"/>
      <c r="B373" s="115"/>
      <c r="C373" s="115"/>
    </row>
    <row r="374" spans="1:3" x14ac:dyDescent="0.75">
      <c r="A374" s="115"/>
      <c r="B374" s="115"/>
      <c r="C374" s="115"/>
    </row>
    <row r="375" spans="1:3" x14ac:dyDescent="0.75">
      <c r="A375" s="115"/>
      <c r="B375" s="115"/>
      <c r="C375" s="115"/>
    </row>
    <row r="376" spans="1:3" x14ac:dyDescent="0.75">
      <c r="A376" s="115"/>
      <c r="B376" s="115"/>
      <c r="C376" s="115"/>
    </row>
    <row r="377" spans="1:3" x14ac:dyDescent="0.75">
      <c r="A377" s="115"/>
      <c r="B377" s="115"/>
      <c r="C377" s="115"/>
    </row>
    <row r="378" spans="1:3" x14ac:dyDescent="0.75">
      <c r="A378" s="115"/>
      <c r="B378" s="115"/>
      <c r="C378" s="115"/>
    </row>
    <row r="379" spans="1:3" x14ac:dyDescent="0.75">
      <c r="A379" s="115"/>
      <c r="B379" s="115"/>
      <c r="C379" s="115"/>
    </row>
    <row r="380" spans="1:3" x14ac:dyDescent="0.75">
      <c r="A380" s="115"/>
      <c r="B380" s="115"/>
      <c r="C380" s="115"/>
    </row>
    <row r="381" spans="1:3" x14ac:dyDescent="0.75">
      <c r="A381" s="115"/>
      <c r="B381" s="115"/>
      <c r="C381" s="115"/>
    </row>
    <row r="382" spans="1:3" x14ac:dyDescent="0.75">
      <c r="A382" s="115"/>
      <c r="B382" s="115"/>
      <c r="C382" s="115"/>
    </row>
    <row r="383" spans="1:3" x14ac:dyDescent="0.75">
      <c r="A383" s="115"/>
      <c r="B383" s="115"/>
      <c r="C383" s="115"/>
    </row>
    <row r="384" spans="1:3" x14ac:dyDescent="0.75">
      <c r="A384" s="115"/>
      <c r="B384" s="115"/>
      <c r="C384" s="115"/>
    </row>
    <row r="385" spans="1:3" x14ac:dyDescent="0.75">
      <c r="A385" s="115"/>
      <c r="B385" s="115"/>
      <c r="C385" s="115"/>
    </row>
    <row r="386" spans="1:3" x14ac:dyDescent="0.75">
      <c r="A386" s="115"/>
      <c r="B386" s="115"/>
      <c r="C386" s="115"/>
    </row>
    <row r="387" spans="1:3" x14ac:dyDescent="0.75">
      <c r="A387" s="115"/>
      <c r="B387" s="115"/>
      <c r="C387" s="115"/>
    </row>
    <row r="388" spans="1:3" x14ac:dyDescent="0.75">
      <c r="A388" s="115"/>
      <c r="B388" s="115"/>
      <c r="C388" s="115"/>
    </row>
    <row r="389" spans="1:3" x14ac:dyDescent="0.75">
      <c r="A389" s="115"/>
      <c r="B389" s="115"/>
      <c r="C389" s="115"/>
    </row>
    <row r="390" spans="1:3" x14ac:dyDescent="0.75">
      <c r="A390" s="115"/>
      <c r="B390" s="115"/>
      <c r="C390" s="115"/>
    </row>
    <row r="391" spans="1:3" x14ac:dyDescent="0.75">
      <c r="A391" s="115"/>
      <c r="B391" s="115"/>
      <c r="C391" s="115"/>
    </row>
    <row r="392" spans="1:3" x14ac:dyDescent="0.75">
      <c r="A392" s="115"/>
      <c r="B392" s="115"/>
      <c r="C392" s="115"/>
    </row>
    <row r="393" spans="1:3" x14ac:dyDescent="0.75">
      <c r="A393" s="115"/>
      <c r="B393" s="115"/>
      <c r="C393" s="115"/>
    </row>
  </sheetData>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5" sqref="D5"/>
    </sheetView>
  </sheetViews>
  <sheetFormatPr defaultRowHeight="14.75" x14ac:dyDescent="0.75"/>
  <cols>
    <col min="1" max="3" width="8.7265625" style="113"/>
    <col min="4" max="4" width="108.2265625" style="115" customWidth="1"/>
    <col min="5" max="16384" width="8.7265625" style="113"/>
  </cols>
  <sheetData>
    <row r="3" spans="4:4" x14ac:dyDescent="0.75">
      <c r="D3" s="115" t="str">
        <f>'Chemo-Map-2'!D3</f>
        <v>* differential.element[0].mapping[0].identity = "fhir"</v>
      </c>
    </row>
    <row r="4" spans="4:4" x14ac:dyDescent="0.75">
      <c r="D4" s="115" t="str">
        <f>'Chemo-Map-2'!D4</f>
        <v>* differential.element[0].mapping[0].map = "MedicationAdministration.conformsTo('http://hl7.eu/fhir/ig/pcsp/StructureDefinition/MedicationAdministration-eu-pcsp')"</v>
      </c>
    </row>
    <row r="5" spans="4:4" x14ac:dyDescent="0.75">
      <c r="D5" s="115" t="str">
        <f>'Chemo-Map-2'!D5</f>
        <v/>
      </c>
    </row>
    <row r="6" spans="4:4" x14ac:dyDescent="0.75">
      <c r="D6" s="115" t="str">
        <f>'Chemo-Map-2'!D6</f>
        <v>* differential.element[1].mapping[0].identity = "fhir"</v>
      </c>
    </row>
    <row r="7" spans="4:4" x14ac:dyDescent="0.75">
      <c r="D7" s="115" t="str">
        <f>'Chemo-Map-2'!D7</f>
        <v>* differential.element[1].mapping[0].map = ".reasonReference"</v>
      </c>
    </row>
    <row r="8" spans="4:4" x14ac:dyDescent="0.75">
      <c r="D8" s="115" t="str">
        <f>'Chemo-Map-2'!D8</f>
        <v/>
      </c>
    </row>
    <row r="9" spans="4:4" x14ac:dyDescent="0.75">
      <c r="D9" s="115" t="str">
        <f>'Chemo-Map-2'!D9</f>
        <v>* differential.element[2].mapping[0].identity = "fhir"</v>
      </c>
    </row>
    <row r="10" spans="4:4" x14ac:dyDescent="0.75">
      <c r="D10" s="115" t="str">
        <f>'Chemo-Map-2'!D10</f>
        <v>* differential.element[2].mapping[0].map = ".effectivePeriod.start"</v>
      </c>
    </row>
    <row r="11" spans="4:4" x14ac:dyDescent="0.75">
      <c r="D11" s="115" t="str">
        <f>'Chemo-Map-2'!D11</f>
        <v/>
      </c>
    </row>
    <row r="12" spans="4:4" x14ac:dyDescent="0.75">
      <c r="D12" s="115" t="str">
        <f>'Chemo-Map-2'!D12</f>
        <v>* differential.element[3].mapping[0].identity = "fhir"</v>
      </c>
    </row>
    <row r="13" spans="4:4" x14ac:dyDescent="0.75">
      <c r="D13" s="115" t="str">
        <f>'Chemo-Map-2'!D13</f>
        <v>* differential.element[3].mapping[0].map = ".effectivePeriod.end"</v>
      </c>
    </row>
    <row r="14" spans="4:4" x14ac:dyDescent="0.75">
      <c r="D14" s="115" t="str">
        <f>'Chemo-Map-2'!D14</f>
        <v/>
      </c>
    </row>
    <row r="15" spans="4:4" x14ac:dyDescent="0.75">
      <c r="D15" s="115" t="str">
        <f>'Chemo-Map-2'!D15</f>
        <v>* differential.element[4].mapping[0].identity = "fhir"</v>
      </c>
    </row>
    <row r="16" spans="4:4" x14ac:dyDescent="0.75">
      <c r="D16" s="115" t="str">
        <f>'Chemo-Map-2'!D16</f>
        <v>* differential.element[4].mapping[0].map = ".extension(http://hl7.eu/fhir/ig/pcsp/StructureDefinition/ActLocation-eu-pcsp).conformsTo(http://hl7.eu/fhir/ig/pcsp/StructureDefinition/Location-eu-pcsp)"</v>
      </c>
    </row>
    <row r="17" spans="4:4" x14ac:dyDescent="0.75">
      <c r="D17" s="115" t="str">
        <f>'Chemo-Map-2'!D17</f>
        <v/>
      </c>
    </row>
    <row r="18" spans="4:4" x14ac:dyDescent="0.75">
      <c r="D18" s="115" t="str">
        <f>'Chemo-Map-2'!D18</f>
        <v>* differential.element[5].mapping[0].identity = "fhir"</v>
      </c>
    </row>
    <row r="19" spans="4:4" x14ac:dyDescent="0.75">
      <c r="D19" s="115" t="str">
        <f>'Chemo-Map-2'!D19</f>
        <v>* differential.element[5].mapping[0].map = "Location.description"</v>
      </c>
    </row>
    <row r="20" spans="4:4" x14ac:dyDescent="0.75">
      <c r="D20" s="115" t="str">
        <f>'Chemo-Map-2'!D20</f>
        <v/>
      </c>
    </row>
    <row r="21" spans="4:4" x14ac:dyDescent="0.75">
      <c r="D21" s="115" t="str">
        <f>'Chemo-Map-2'!D21</f>
        <v>* differential.element[6].mapping[0].identity = "fhir"</v>
      </c>
    </row>
    <row r="22" spans="4:4" x14ac:dyDescent="0.75">
      <c r="D22" s="115" t="str">
        <f>'Chemo-Map-2'!D22</f>
        <v>* differential.element[6].mapping[0].map = "Location.name"</v>
      </c>
    </row>
    <row r="23" spans="4:4" x14ac:dyDescent="0.75">
      <c r="D23" s="115" t="str">
        <f>'Chemo-Map-2'!D23</f>
        <v/>
      </c>
    </row>
    <row r="24" spans="4:4" x14ac:dyDescent="0.75">
      <c r="D24" s="115" t="str">
        <f>'Chemo-Map-2'!D24</f>
        <v>* differential.element[7].mapping[0].identity = "fhir"</v>
      </c>
    </row>
    <row r="25" spans="4:4" x14ac:dyDescent="0.75">
      <c r="D25" s="115" t="str">
        <f>'Chemo-Map-2'!D25</f>
        <v>* differential.element[7].mapping[0].map = "Location.address.city"</v>
      </c>
    </row>
    <row r="26" spans="4:4" x14ac:dyDescent="0.75">
      <c r="D26" s="115" t="str">
        <f>'Chemo-Map-2'!D26</f>
        <v/>
      </c>
    </row>
    <row r="27" spans="4:4" x14ac:dyDescent="0.75">
      <c r="D27" s="115" t="str">
        <f>'Chemo-Map-2'!D27</f>
        <v/>
      </c>
    </row>
    <row r="28" spans="4:4" x14ac:dyDescent="0.75">
      <c r="D28" s="115" t="str">
        <f>'Chemo-Map-2'!D28</f>
        <v/>
      </c>
    </row>
    <row r="29" spans="4:4" x14ac:dyDescent="0.75">
      <c r="D29" s="115" t="str">
        <f>'Chemo-Map-2'!D29</f>
        <v/>
      </c>
    </row>
    <row r="30" spans="4:4" x14ac:dyDescent="0.75">
      <c r="D30" s="115" t="str">
        <f>'Chemo-Map-2'!D30</f>
        <v>* differential.element[9].mapping[0].identity = "fhir"</v>
      </c>
    </row>
    <row r="31" spans="4:4" x14ac:dyDescent="0.75">
      <c r="D31" s="115" t="str">
        <f>'Chemo-Map-2'!D31</f>
        <v>* differential.element[9].mapping[0].map = "Location.address.country"</v>
      </c>
    </row>
    <row r="32" spans="4:4" x14ac:dyDescent="0.75">
      <c r="D32" s="115" t="str">
        <f>'Chemo-Map-2'!D32</f>
        <v/>
      </c>
    </row>
    <row r="33" spans="4:4" x14ac:dyDescent="0.75">
      <c r="D33" s="115" t="str">
        <f>'Chemo-Map-2'!D33</f>
        <v>* differential.element[10].mapping[0].identity = "fhir"</v>
      </c>
    </row>
    <row r="34" spans="4:4" x14ac:dyDescent="0.75">
      <c r="D34" s="115" t="str">
        <f>'Chemo-Map-2'!D34</f>
        <v>* differential.element[10].mapping[0].map = ".medication[x]"</v>
      </c>
    </row>
    <row r="35" spans="4:4" x14ac:dyDescent="0.75">
      <c r="D35" s="115" t="str">
        <f>'Chemo-Map-2'!D35</f>
        <v/>
      </c>
    </row>
    <row r="36" spans="4:4" x14ac:dyDescent="0.75">
      <c r="D36" s="115" t="str">
        <f>'Chemo-Map-2'!D36</f>
        <v>* differential.element[11].mapping[0].identity = "fhir"</v>
      </c>
    </row>
    <row r="37" spans="4:4" x14ac:dyDescent="0.75">
      <c r="D37" s="115" t="str">
        <f>'Chemo-Map-2'!D37</f>
        <v>* differential.element[11].mapping[0].map = ".medicationCodeableConcept"</v>
      </c>
    </row>
    <row r="38" spans="4:4" x14ac:dyDescent="0.75">
      <c r="D38" s="115" t="str">
        <f>'Chemo-Map-2'!D38</f>
        <v/>
      </c>
    </row>
    <row r="39" spans="4:4" x14ac:dyDescent="0.75">
      <c r="D39" s="115" t="str">
        <f>'Chemo-Map-2'!D39</f>
        <v>* differential.element[12].mapping[0].identity = "fhir"</v>
      </c>
    </row>
    <row r="40" spans="4:4" x14ac:dyDescent="0.75">
      <c r="D40" s="115" t="str">
        <f>'Chemo-Map-2'!D40</f>
        <v>* differential.element[12].mapping[0].map = ".dosage.dose"</v>
      </c>
    </row>
    <row r="41" spans="4:4" x14ac:dyDescent="0.75">
      <c r="D41" s="115" t="str">
        <f>'Chemo-Map-2'!D41</f>
        <v/>
      </c>
    </row>
    <row r="42" spans="4:4" x14ac:dyDescent="0.75">
      <c r="D42" s="115" t="str">
        <f>'Chemo-Map-2'!D42</f>
        <v>* differential.element[13].mapping[0].identity = "fhir"</v>
      </c>
    </row>
    <row r="43" spans="4:4" x14ac:dyDescent="0.75">
      <c r="D43" s="115" t="str">
        <f>'Chemo-Map-2'!D43</f>
        <v>* differential.element[13].mapping[0].map = ".extension(http://hl7.eu/fhir/ig/pcsp/StructureDefinition/ResourceRelatedInfo-eu-pcsp).conformsTo(http://hl7.eu/fhir/ig/pcsp/StructureDefinition/Observation-cumulativeDoseChemo-eu-pcsp)"</v>
      </c>
    </row>
    <row r="44" spans="4:4" x14ac:dyDescent="0.75">
      <c r="D44" s="115" t="str">
        <f>'Chemo-Map-2'!D44</f>
        <v/>
      </c>
    </row>
    <row r="45" spans="4:4" x14ac:dyDescent="0.75">
      <c r="D45" s="115" t="str">
        <f>'Chemo-Map-2'!D45</f>
        <v>* differential.element[14].mapping[0].identity = "fhir"</v>
      </c>
    </row>
    <row r="46" spans="4:4" x14ac:dyDescent="0.75">
      <c r="D46" s="115" t="str">
        <f>'Chemo-Map-2'!D46</f>
        <v>* differential.element[14].mapping[0].map = ".valueCodeableConcept = http://terminology.hl7.org/CodeSystem/data-absent-reason#unknown"</v>
      </c>
    </row>
    <row r="47" spans="4:4" x14ac:dyDescent="0.75">
      <c r="D47" s="115">
        <f>'Chemo-Map-2'!D47</f>
        <v>0</v>
      </c>
    </row>
    <row r="48" spans="4:4" x14ac:dyDescent="0.75">
      <c r="D48" s="115" t="str">
        <f>'Chemo-Map-2'!D48</f>
        <v>* differential.element[14].mapping[0].identity = "fhir"</v>
      </c>
    </row>
    <row r="49" spans="4:4" x14ac:dyDescent="0.75">
      <c r="D49" s="115" t="str">
        <f>'Chemo-Map-2'!D49</f>
        <v>* differential.element[14].mapping[0].map = ".dataAbsentReason"</v>
      </c>
    </row>
    <row r="50" spans="4:4" x14ac:dyDescent="0.75">
      <c r="D50" s="115" t="str">
        <f>'Chemo-Map-2'!D50</f>
        <v/>
      </c>
    </row>
    <row r="51" spans="4:4" x14ac:dyDescent="0.75">
      <c r="D51" s="115" t="str">
        <f>'Chemo-Map-2'!D51</f>
        <v>* differential.element[15].mapping[0].identity = "fhir"</v>
      </c>
    </row>
    <row r="52" spans="4:4" x14ac:dyDescent="0.75">
      <c r="D52" s="115" t="str">
        <f>'Chemo-Map-2'!D52</f>
        <v>* differential.element[15].mapping[0].map = ".method"</v>
      </c>
    </row>
    <row r="53" spans="4:4" x14ac:dyDescent="0.75">
      <c r="D53" s="115" t="str">
        <f>'Chemo-Map-2'!D53</f>
        <v/>
      </c>
    </row>
    <row r="54" spans="4:4" x14ac:dyDescent="0.75">
      <c r="D54" s="115" t="str">
        <f>'Chemo-Map-2'!D54</f>
        <v>* differential.element[16].mapping[0].identity = "fhir"</v>
      </c>
    </row>
    <row r="55" spans="4:4" x14ac:dyDescent="0.75">
      <c r="D55" s="115" t="str">
        <f>'Chemo-Map-2'!D55</f>
        <v>* differential.element[16].mapping[0].map = ".status = #preliminary"</v>
      </c>
    </row>
    <row r="56" spans="4:4" x14ac:dyDescent="0.75">
      <c r="D56" s="115" t="str">
        <f>'Chemo-Map-2'!D56</f>
        <v/>
      </c>
    </row>
    <row r="57" spans="4:4" x14ac:dyDescent="0.75">
      <c r="D57" s="115" t="str">
        <f>'Chemo-Map-2'!D57</f>
        <v>* differential.element[17].mapping[0].identity = "fhir"</v>
      </c>
    </row>
    <row r="58" spans="4:4" x14ac:dyDescent="0.75">
      <c r="D58" s="115" t="str">
        <f>'Chemo-Map-2'!D58</f>
        <v>* differential.element[17].mapping[0].map = ".extension('http://hl7.org/fhir/StructureDefinition/event-statusReason')"</v>
      </c>
    </row>
    <row r="59" spans="4:4" x14ac:dyDescent="0.75">
      <c r="D59" s="115" t="str">
        <f>'Chemo-Map-2'!D59</f>
        <v/>
      </c>
    </row>
    <row r="60" spans="4:4" x14ac:dyDescent="0.75">
      <c r="D60" s="115" t="str">
        <f>'Chemo-Map-2'!D60</f>
        <v>* differential.element[18].mapping[0].identity = "fhir"</v>
      </c>
    </row>
    <row r="61" spans="4:4" x14ac:dyDescent="0.75">
      <c r="D61" s="115" t="str">
        <f>'Chemo-Map-2'!D61</f>
        <v>* differential.element[18].mapping[0].map = ".valueQuantity.value"</v>
      </c>
    </row>
    <row r="62" spans="4:4" x14ac:dyDescent="0.75">
      <c r="D62" s="115" t="str">
        <f>'Chemo-Map-2'!D62</f>
        <v/>
      </c>
    </row>
    <row r="63" spans="4:4" x14ac:dyDescent="0.75">
      <c r="D63" s="115" t="str">
        <f>'Chemo-Map-2'!D63</f>
        <v>* differential.element[19].mapping[0].identity = "fhir"</v>
      </c>
    </row>
    <row r="64" spans="4:4" x14ac:dyDescent="0.75">
      <c r="D64" s="115" t="str">
        <f>'Chemo-Map-2'!D64</f>
        <v>* differential.element[19].mapping[0].map = ".valueQuantity.unit (human readeable)"</v>
      </c>
    </row>
    <row r="65" spans="4:4" x14ac:dyDescent="0.75">
      <c r="D65" s="115" t="str">
        <f>'Chemo-Map-2'!D65</f>
        <v/>
      </c>
    </row>
    <row r="66" spans="4:4" x14ac:dyDescent="0.75">
      <c r="D66" s="115" t="str">
        <f>'Chemo-Map-2'!D66</f>
        <v>* differential.element[19].mapping[1].identity = "fhir"</v>
      </c>
    </row>
    <row r="67" spans="4:4" x14ac:dyDescent="0.75">
      <c r="D67" s="115" t="str">
        <f>'Chemo-Map-2'!D67</f>
        <v>* differential.element[19].mapping[1].map = ".valueQuantity.code (code)"</v>
      </c>
    </row>
    <row r="68" spans="4:4" x14ac:dyDescent="0.75">
      <c r="D68" s="115" t="str">
        <f>'Chemo-Map-2'!D68</f>
        <v/>
      </c>
    </row>
    <row r="69" spans="4:4" x14ac:dyDescent="0.75">
      <c r="D69" s="115" t="str">
        <f>'Chemo-Map-2'!D69</f>
        <v>* differential.element[20].mapping[0].identity = "fhir"</v>
      </c>
    </row>
    <row r="70" spans="4:4" x14ac:dyDescent="0.75">
      <c r="D70" s="115" t="str">
        <f>'Chemo-Map-2'!D70</f>
        <v>* differential.element[20].mapping[0].map = "MedicationStatement.where(medicationCodeableConcept = 'http://www.whocc.no/atc|H02' and dosage.timing.repeat.boundsDuration.where( value='4' and code = 'w' and comparator ='&gt;' )"</v>
      </c>
    </row>
    <row r="71" spans="4:4" x14ac:dyDescent="0.75">
      <c r="D71" s="115" t="str">
        <f>'Chemo-Map-2'!D71</f>
        <v/>
      </c>
    </row>
    <row r="72" spans="4:4" x14ac:dyDescent="0.75">
      <c r="D72" s="115" t="str">
        <f>'Chemo-Map-2'!D72</f>
        <v>* differential.element[21].mapping[0].identity = "fhir"</v>
      </c>
    </row>
    <row r="73" spans="4:4" x14ac:dyDescent="0.75">
      <c r="D73" s="115" t="str">
        <f>'Chemo-Map-2'!D73</f>
        <v>* differential.element[21].mapping[0].map = "MedicationStatement.where(dosage.route = https://standardterms.edqm.eu|20042000)"</v>
      </c>
    </row>
    <row r="74" spans="4:4" x14ac:dyDescent="0.75">
      <c r="D74" s="115" t="str">
        <f>'Chemo-Map-2'!D74</f>
        <v/>
      </c>
    </row>
    <row r="75" spans="4:4" x14ac:dyDescent="0.75">
      <c r="D75" s="115" t="str">
        <f>'Chemo-Map-2'!D75</f>
        <v>* differential.element[22].mapping[0].identity = "fhir"</v>
      </c>
    </row>
    <row r="76" spans="4:4" x14ac:dyDescent="0.75">
      <c r="D76" s="115" t="str">
        <f>'Chemo-Map-2'!D76</f>
        <v>* differential.element[22].mapping[0].map = ".exists()"</v>
      </c>
    </row>
    <row r="77" spans="4:4" x14ac:dyDescent="0.75">
      <c r="D77" s="115" t="str">
        <f>'Chemo-Map-2'!D77</f>
        <v/>
      </c>
    </row>
    <row r="78" spans="4:4" x14ac:dyDescent="0.75">
      <c r="D78" s="115" t="str">
        <f>'Chemo-Map-2'!D78</f>
        <v>* differential.element[23].mapping[0].identity = "fhir"</v>
      </c>
    </row>
    <row r="79" spans="4:4" x14ac:dyDescent="0.75">
      <c r="D79" s="115" t="str">
        <f>'Chemo-Map-2'!D79</f>
        <v>* differential.element[23].mapping[0].map = ".dosage.timing.repeat.count"</v>
      </c>
    </row>
    <row r="80" spans="4:4" x14ac:dyDescent="0.75">
      <c r="D80" s="115" t="str">
        <f>'Chemo-Map-2'!D80</f>
        <v/>
      </c>
    </row>
    <row r="81" spans="4:4" x14ac:dyDescent="0.75">
      <c r="D81" s="115" t="str">
        <f>'Chemo-Map-2'!D81</f>
        <v>* differential.element[23].mapping[1].identity = "fhir"</v>
      </c>
    </row>
    <row r="82" spans="4:4" x14ac:dyDescent="0.75">
      <c r="D82" s="115" t="str">
        <f>'Chemo-Map-2'!D82</f>
        <v>* differential.element[23].mapping[1].map = ".count()"</v>
      </c>
    </row>
    <row r="83" spans="4:4" x14ac:dyDescent="0.75">
      <c r="D83" s="115" t="str">
        <f>'Chemo-Map-2'!D83</f>
        <v/>
      </c>
    </row>
    <row r="84" spans="4:4" x14ac:dyDescent="0.75">
      <c r="D84" s="115" t="str">
        <f>'Chemo-Map-2'!D84</f>
        <v>* differential.element[24].mapping[0].identity = "fhir"</v>
      </c>
    </row>
    <row r="85" spans="4:4" x14ac:dyDescent="0.75">
      <c r="D85" s="115" t="str">
        <f>'Chemo-Map-2'!D85</f>
        <v>* differential.element[24].mapping[0].map = ".medicationCodeableConcept.text"</v>
      </c>
    </row>
    <row r="86" spans="4:4" x14ac:dyDescent="0.75">
      <c r="D86" s="115" t="str">
        <f>'Chemo-Map-2'!D86</f>
        <v/>
      </c>
    </row>
    <row r="87" spans="4:4" x14ac:dyDescent="0.75">
      <c r="D87" s="115" t="str">
        <f>'Chemo-Map-2'!D87</f>
        <v>* differential.element[25].mapping[0].identity = "fhir"</v>
      </c>
    </row>
    <row r="88" spans="4:4" x14ac:dyDescent="0.75">
      <c r="D88" s="115" t="str">
        <f>'Chemo-Map-2'!D88</f>
        <v>* differential.element[25].mapping[0].map = "MedicationStatement"</v>
      </c>
    </row>
    <row r="89" spans="4:4" x14ac:dyDescent="0.75">
      <c r="D89" s="115" t="str">
        <f>'Chemo-Map-2'!D89</f>
        <v/>
      </c>
    </row>
    <row r="90" spans="4:4" x14ac:dyDescent="0.75">
      <c r="D90" s="115" t="str">
        <f>'Chemo-Map-2'!D90</f>
        <v>* differential.element[26].mapping[0].identity = "fhir"</v>
      </c>
    </row>
    <row r="91" spans="4:4" x14ac:dyDescent="0.75">
      <c r="D91" s="115" t="str">
        <f>'Chemo-Map-2'!D91</f>
        <v>* differential.element[26].mapping[0].map = ".medicationCodeableConcept.text"</v>
      </c>
    </row>
    <row r="92" spans="4:4" x14ac:dyDescent="0.75">
      <c r="D92" s="115" t="str">
        <f>'Chemo-Map-2'!D92</f>
        <v/>
      </c>
    </row>
    <row r="93" spans="4:4" x14ac:dyDescent="0.75">
      <c r="D93" s="115" t="str">
        <f>'Chemo-Map-2'!D93</f>
        <v/>
      </c>
    </row>
    <row r="94" spans="4:4" x14ac:dyDescent="0.75">
      <c r="D94" s="115" t="str">
        <f>'Chemo-Map-2'!D94</f>
        <v/>
      </c>
    </row>
    <row r="95" spans="4:4" x14ac:dyDescent="0.75">
      <c r="D95" s="115" t="str">
        <f>'Chemo-Map-2'!D95</f>
        <v/>
      </c>
    </row>
    <row r="96" spans="4:4" x14ac:dyDescent="0.75">
      <c r="D96" s="115" t="str">
        <f>'Chemo-Map-2'!D96</f>
        <v/>
      </c>
    </row>
    <row r="97" spans="4:4" x14ac:dyDescent="0.75">
      <c r="D97" s="115" t="str">
        <f>'Chemo-Map-2'!D97</f>
        <v/>
      </c>
    </row>
    <row r="98" spans="4:4" x14ac:dyDescent="0.75">
      <c r="D98" s="115" t="str">
        <f>'Chemo-Map-2'!D98</f>
        <v/>
      </c>
    </row>
    <row r="99" spans="4:4" x14ac:dyDescent="0.75">
      <c r="D99" s="115" t="str">
        <f>'Chemo-Map-2'!D99</f>
        <v/>
      </c>
    </row>
    <row r="100" spans="4:4" x14ac:dyDescent="0.75">
      <c r="D100" s="115" t="str">
        <f>'Chemo-Map-2'!D100</f>
        <v/>
      </c>
    </row>
    <row r="101" spans="4:4" x14ac:dyDescent="0.75">
      <c r="D101" s="115" t="str">
        <f>'Chemo-Map-2'!D101</f>
        <v/>
      </c>
    </row>
    <row r="102" spans="4:4" x14ac:dyDescent="0.75">
      <c r="D102" s="115" t="str">
        <f>'Chemo-Map-2'!D102</f>
        <v/>
      </c>
    </row>
    <row r="103" spans="4:4" x14ac:dyDescent="0.75">
      <c r="D103" s="115" t="str">
        <f>'Chemo-Map-2'!D103</f>
        <v/>
      </c>
    </row>
    <row r="104" spans="4:4" x14ac:dyDescent="0.75">
      <c r="D104" s="115" t="str">
        <f>'Chemo-Map-2'!D104</f>
        <v/>
      </c>
    </row>
    <row r="105" spans="4:4" x14ac:dyDescent="0.75">
      <c r="D105" s="115" t="str">
        <f>'Chemo-Map-2'!D105</f>
        <v/>
      </c>
    </row>
    <row r="106" spans="4:4" x14ac:dyDescent="0.75">
      <c r="D106" s="115" t="str">
        <f>'Chemo-Map-2'!D106</f>
        <v/>
      </c>
    </row>
    <row r="107" spans="4:4" x14ac:dyDescent="0.75">
      <c r="D107" s="115" t="str">
        <f>'Chemo-Map-2'!D107</f>
        <v/>
      </c>
    </row>
    <row r="108" spans="4:4" x14ac:dyDescent="0.75">
      <c r="D108" s="115" t="str">
        <f>'Chemo-Map-2'!D108</f>
        <v/>
      </c>
    </row>
    <row r="109" spans="4:4" x14ac:dyDescent="0.75">
      <c r="D109" s="115" t="str">
        <f>'Chemo-Map-2'!D109</f>
        <v/>
      </c>
    </row>
    <row r="110" spans="4:4" x14ac:dyDescent="0.75">
      <c r="D110" s="115" t="str">
        <f>'Chemo-Map-2'!D110</f>
        <v/>
      </c>
    </row>
    <row r="111" spans="4:4" x14ac:dyDescent="0.75">
      <c r="D111" s="115" t="str">
        <f>'Chemo-Map-2'!D111</f>
        <v/>
      </c>
    </row>
    <row r="112" spans="4:4" x14ac:dyDescent="0.75">
      <c r="D112" s="115" t="str">
        <f>'Chemo-Map2-2'!D5</f>
        <v/>
      </c>
    </row>
    <row r="113" spans="4:4" x14ac:dyDescent="0.75">
      <c r="D113" s="115" t="str">
        <f>'Chemo-Map2-2'!D6</f>
        <v/>
      </c>
    </row>
    <row r="114" spans="4:4" x14ac:dyDescent="0.75">
      <c r="D114" s="115" t="str">
        <f>'Chemo-Map2-2'!D7</f>
        <v/>
      </c>
    </row>
    <row r="115" spans="4:4" x14ac:dyDescent="0.75">
      <c r="D115" s="115" t="str">
        <f>'Chemo-Map2-2'!D8</f>
        <v/>
      </c>
    </row>
    <row r="116" spans="4:4" x14ac:dyDescent="0.75">
      <c r="D116" s="115" t="str">
        <f>'Chemo-Map2-2'!D9</f>
        <v/>
      </c>
    </row>
    <row r="117" spans="4:4" x14ac:dyDescent="0.75">
      <c r="D117" s="115" t="str">
        <f>'Chemo-Map2-2'!D10</f>
        <v/>
      </c>
    </row>
    <row r="118" spans="4:4" x14ac:dyDescent="0.75">
      <c r="D118" s="115" t="str">
        <f>'Chemo-Map2-2'!D11</f>
        <v/>
      </c>
    </row>
    <row r="119" spans="4:4" x14ac:dyDescent="0.75">
      <c r="D119" s="115" t="str">
        <f>'Chemo-Map2-2'!D12</f>
        <v/>
      </c>
    </row>
    <row r="120" spans="4:4" x14ac:dyDescent="0.75">
      <c r="D120" s="115" t="str">
        <f>'Chemo-Map2-2'!D13</f>
        <v/>
      </c>
    </row>
    <row r="121" spans="4:4" x14ac:dyDescent="0.75">
      <c r="D121" s="115" t="str">
        <f>'Chemo-Map2-2'!D14</f>
        <v/>
      </c>
    </row>
    <row r="122" spans="4:4" x14ac:dyDescent="0.75">
      <c r="D122" s="115" t="str">
        <f>'Chemo-Map2-2'!D15</f>
        <v/>
      </c>
    </row>
    <row r="123" spans="4:4" x14ac:dyDescent="0.75">
      <c r="D123" s="115" t="str">
        <f>'Chemo-Map2-2'!D16</f>
        <v/>
      </c>
    </row>
    <row r="124" spans="4:4" x14ac:dyDescent="0.75">
      <c r="D124" s="115" t="str">
        <f>'Chemo-Map2-2'!D17</f>
        <v/>
      </c>
    </row>
    <row r="125" spans="4:4" x14ac:dyDescent="0.75">
      <c r="D125" s="115" t="str">
        <f>'Chemo-Map2-2'!D18</f>
        <v/>
      </c>
    </row>
    <row r="126" spans="4:4" x14ac:dyDescent="0.75">
      <c r="D126" s="115" t="str">
        <f>'Chemo-Map2-2'!D19</f>
        <v/>
      </c>
    </row>
    <row r="127" spans="4:4" x14ac:dyDescent="0.75">
      <c r="D127" s="115" t="str">
        <f>'Chemo-Map2-2'!D20</f>
        <v/>
      </c>
    </row>
    <row r="128" spans="4:4" x14ac:dyDescent="0.75">
      <c r="D128" s="115" t="str">
        <f>'Chemo-Map2-2'!D21</f>
        <v/>
      </c>
    </row>
    <row r="129" spans="4:4" x14ac:dyDescent="0.75">
      <c r="D129" s="115" t="str">
        <f>'Chemo-Map2-2'!D22</f>
        <v/>
      </c>
    </row>
    <row r="130" spans="4:4" x14ac:dyDescent="0.75">
      <c r="D130" s="115" t="str">
        <f>'Chemo-Map2-2'!D23</f>
        <v/>
      </c>
    </row>
    <row r="131" spans="4:4" x14ac:dyDescent="0.75">
      <c r="D131" s="115" t="str">
        <f>'Chemo-Map2-2'!D24</f>
        <v/>
      </c>
    </row>
    <row r="132" spans="4:4" x14ac:dyDescent="0.75">
      <c r="D132" s="115" t="str">
        <f>'Chemo-Map2-2'!D25</f>
        <v/>
      </c>
    </row>
    <row r="133" spans="4:4" x14ac:dyDescent="0.75">
      <c r="D133" s="115" t="str">
        <f>'Chemo-Map2-2'!D26</f>
        <v/>
      </c>
    </row>
    <row r="134" spans="4:4" x14ac:dyDescent="0.75">
      <c r="D134" s="115" t="str">
        <f>'Chemo-Map2-2'!D27</f>
        <v/>
      </c>
    </row>
    <row r="135" spans="4:4" x14ac:dyDescent="0.75">
      <c r="D135" s="115" t="str">
        <f>'Chemo-Map2-2'!D28</f>
        <v/>
      </c>
    </row>
    <row r="136" spans="4:4" x14ac:dyDescent="0.75">
      <c r="D136" s="115" t="str">
        <f>'Chemo-Map2-2'!D29</f>
        <v/>
      </c>
    </row>
    <row r="137" spans="4:4" x14ac:dyDescent="0.75">
      <c r="D137" s="115" t="str">
        <f>'Chemo-Map2-2'!D30</f>
        <v/>
      </c>
    </row>
    <row r="138" spans="4:4" x14ac:dyDescent="0.75">
      <c r="D138" s="115" t="str">
        <f>'Chemo-Map2-2'!D31</f>
        <v/>
      </c>
    </row>
    <row r="139" spans="4:4" x14ac:dyDescent="0.75">
      <c r="D139" s="115" t="str">
        <f>'Chemo-Map2-2'!D32</f>
        <v/>
      </c>
    </row>
    <row r="140" spans="4:4" x14ac:dyDescent="0.75">
      <c r="D140" s="115" t="str">
        <f>'Chemo-Map2-2'!D33</f>
        <v/>
      </c>
    </row>
    <row r="141" spans="4:4" x14ac:dyDescent="0.75">
      <c r="D141" s="115" t="str">
        <f>'Chemo-Map2-2'!D34</f>
        <v/>
      </c>
    </row>
    <row r="142" spans="4:4" x14ac:dyDescent="0.75">
      <c r="D142" s="115" t="str">
        <f>'Chemo-Map2-2'!D35</f>
        <v/>
      </c>
    </row>
    <row r="143" spans="4:4" x14ac:dyDescent="0.75">
      <c r="D143" s="115" t="str">
        <f>'Chemo-Map2-2'!D36</f>
        <v/>
      </c>
    </row>
    <row r="144" spans="4:4" x14ac:dyDescent="0.75">
      <c r="D144" s="115" t="str">
        <f>'Chemo-Map2-2'!D37</f>
        <v/>
      </c>
    </row>
    <row r="145" spans="4:4" x14ac:dyDescent="0.75">
      <c r="D145" s="115" t="str">
        <f>'Chemo-Map2-2'!D38</f>
        <v/>
      </c>
    </row>
    <row r="146" spans="4:4" x14ac:dyDescent="0.75">
      <c r="D146" s="115" t="str">
        <f>'Chemo-Map2-2'!D39</f>
        <v/>
      </c>
    </row>
    <row r="147" spans="4:4" x14ac:dyDescent="0.75">
      <c r="D147" s="115" t="str">
        <f>'Chemo-Map2-2'!D40</f>
        <v/>
      </c>
    </row>
    <row r="148" spans="4:4" x14ac:dyDescent="0.75">
      <c r="D148" s="115" t="str">
        <f>'Chemo-Map2-2'!D41</f>
        <v/>
      </c>
    </row>
    <row r="149" spans="4:4" x14ac:dyDescent="0.75">
      <c r="D149" s="115" t="str">
        <f>'Chemo-Map2-2'!D42</f>
        <v/>
      </c>
    </row>
    <row r="150" spans="4:4" x14ac:dyDescent="0.75">
      <c r="D150" s="115" t="str">
        <f>'Chemo-Map2-2'!D43</f>
        <v/>
      </c>
    </row>
    <row r="151" spans="4:4" x14ac:dyDescent="0.75">
      <c r="D151" s="115" t="str">
        <f>'Chemo-Map2-2'!D44</f>
        <v/>
      </c>
    </row>
    <row r="152" spans="4:4" x14ac:dyDescent="0.75">
      <c r="D152" s="115" t="str">
        <f>'Chemo-Map2-2'!D45</f>
        <v/>
      </c>
    </row>
    <row r="153" spans="4:4" x14ac:dyDescent="0.75">
      <c r="D153" s="115" t="str">
        <f>'Chemo-Map2-2'!D46</f>
        <v/>
      </c>
    </row>
    <row r="154" spans="4:4" x14ac:dyDescent="0.75">
      <c r="D154" s="115" t="str">
        <f>'Chemo-Map2-2'!D47</f>
        <v/>
      </c>
    </row>
    <row r="155" spans="4:4" x14ac:dyDescent="0.75">
      <c r="D155" s="115" t="str">
        <f>'Chemo-Map2-2'!D48</f>
        <v/>
      </c>
    </row>
    <row r="156" spans="4:4" x14ac:dyDescent="0.75">
      <c r="D156" s="115" t="str">
        <f>'Chemo-Map2-2'!D49</f>
        <v/>
      </c>
    </row>
    <row r="157" spans="4:4" x14ac:dyDescent="0.75">
      <c r="D157" s="115" t="str">
        <f>'Chemo-Map2-2'!D50</f>
        <v/>
      </c>
    </row>
    <row r="158" spans="4:4" x14ac:dyDescent="0.75">
      <c r="D158" s="115" t="str">
        <f>'Chemo-Map2-2'!D51</f>
        <v/>
      </c>
    </row>
    <row r="159" spans="4:4" x14ac:dyDescent="0.75">
      <c r="D159" s="115" t="str">
        <f>'Chemo-Map2-2'!D52</f>
        <v/>
      </c>
    </row>
    <row r="160" spans="4:4" x14ac:dyDescent="0.75">
      <c r="D160" s="115" t="str">
        <f>'Chemo-Map2-2'!D53</f>
        <v/>
      </c>
    </row>
    <row r="161" spans="4:4" x14ac:dyDescent="0.75">
      <c r="D161" s="115" t="str">
        <f>'Chemo-Map2-2'!D54</f>
        <v/>
      </c>
    </row>
    <row r="162" spans="4:4" x14ac:dyDescent="0.75">
      <c r="D162" s="115" t="str">
        <f>'Chemo-Map2-2'!D55</f>
        <v/>
      </c>
    </row>
    <row r="163" spans="4:4" x14ac:dyDescent="0.75">
      <c r="D163" s="115" t="str">
        <f>'Chemo-Map2-2'!D56</f>
        <v/>
      </c>
    </row>
    <row r="164" spans="4:4" x14ac:dyDescent="0.75">
      <c r="D164" s="115" t="str">
        <f>'Chemo-Map2-2'!D57</f>
        <v/>
      </c>
    </row>
    <row r="165" spans="4:4" x14ac:dyDescent="0.75">
      <c r="D165" s="115" t="str">
        <f>'Chemo-Map2-2'!D58</f>
        <v/>
      </c>
    </row>
    <row r="166" spans="4:4" x14ac:dyDescent="0.75">
      <c r="D166" s="115" t="str">
        <f>'Chemo-Map2-2'!D59</f>
        <v/>
      </c>
    </row>
    <row r="167" spans="4:4" x14ac:dyDescent="0.75">
      <c r="D167" s="115" t="str">
        <f>'Chemo-Map2-2'!D60</f>
        <v/>
      </c>
    </row>
    <row r="168" spans="4:4" x14ac:dyDescent="0.75">
      <c r="D168" s="115" t="str">
        <f>'Chemo-Map2-2'!D61</f>
        <v/>
      </c>
    </row>
    <row r="169" spans="4:4" x14ac:dyDescent="0.75">
      <c r="D169" s="115" t="str">
        <f>'Chemo-Map2-2'!D62</f>
        <v/>
      </c>
    </row>
    <row r="170" spans="4:4" x14ac:dyDescent="0.75">
      <c r="D170" s="115" t="str">
        <f>'Chemo-Map2-2'!D63</f>
        <v/>
      </c>
    </row>
    <row r="171" spans="4:4" x14ac:dyDescent="0.75">
      <c r="D171" s="115" t="str">
        <f>'Chemo-Map2-2'!D64</f>
        <v/>
      </c>
    </row>
    <row r="172" spans="4:4" x14ac:dyDescent="0.75">
      <c r="D172" s="115" t="str">
        <f>'Chemo-Map2-2'!D65</f>
        <v/>
      </c>
    </row>
    <row r="173" spans="4:4" x14ac:dyDescent="0.75">
      <c r="D173" s="115" t="str">
        <f>'Chemo-Map2-2'!D66</f>
        <v/>
      </c>
    </row>
    <row r="174" spans="4:4" x14ac:dyDescent="0.75">
      <c r="D174" s="115" t="str">
        <f>'Chemo-Map2-2'!D67</f>
        <v/>
      </c>
    </row>
    <row r="175" spans="4:4" x14ac:dyDescent="0.75">
      <c r="D175" s="115" t="str">
        <f>'Chemo-Map2-2'!D68</f>
        <v/>
      </c>
    </row>
    <row r="176" spans="4:4" x14ac:dyDescent="0.75">
      <c r="D176" s="115" t="str">
        <f>'Chemo-Map2-2'!D69</f>
        <v/>
      </c>
    </row>
    <row r="177" spans="4:4" x14ac:dyDescent="0.75">
      <c r="D177" s="115" t="str">
        <f>'Chemo-Map2-2'!D70</f>
        <v/>
      </c>
    </row>
    <row r="178" spans="4:4" x14ac:dyDescent="0.75">
      <c r="D178" s="115" t="str">
        <f>'Chemo-Map2-2'!D71</f>
        <v/>
      </c>
    </row>
    <row r="179" spans="4:4" x14ac:dyDescent="0.75">
      <c r="D179" s="115" t="str">
        <f>'Chemo-Map2-2'!D72</f>
        <v/>
      </c>
    </row>
    <row r="180" spans="4:4" x14ac:dyDescent="0.75">
      <c r="D180" s="115" t="str">
        <f>'Chemo-Map2-2'!D73</f>
        <v/>
      </c>
    </row>
    <row r="181" spans="4:4" x14ac:dyDescent="0.75">
      <c r="D181" s="115" t="str">
        <f>'Chemo-Map2-2'!D74</f>
        <v/>
      </c>
    </row>
    <row r="182" spans="4:4" x14ac:dyDescent="0.75">
      <c r="D182" s="115" t="str">
        <f>'Chemo-Map2-2'!D75</f>
        <v/>
      </c>
    </row>
    <row r="183" spans="4:4" x14ac:dyDescent="0.75">
      <c r="D183" s="115" t="str">
        <f>'Chemo-Map2-2'!D76</f>
        <v/>
      </c>
    </row>
    <row r="184" spans="4:4" x14ac:dyDescent="0.75">
      <c r="D184" s="115" t="str">
        <f>'Chemo-Map2-2'!D77</f>
        <v/>
      </c>
    </row>
    <row r="185" spans="4:4" x14ac:dyDescent="0.75">
      <c r="D185" s="115" t="str">
        <f>'Chemo-Map2-2'!D78</f>
        <v/>
      </c>
    </row>
    <row r="186" spans="4:4" x14ac:dyDescent="0.75">
      <c r="D186" s="115" t="str">
        <f>'Chemo-Map2-2'!D79</f>
        <v/>
      </c>
    </row>
    <row r="187" spans="4:4" x14ac:dyDescent="0.75">
      <c r="D187" s="115" t="str">
        <f>'Chemo-Map2-2'!D80</f>
        <v/>
      </c>
    </row>
    <row r="188" spans="4:4" x14ac:dyDescent="0.75">
      <c r="D188" s="115" t="str">
        <f>'Chemo-Map2-2'!D81</f>
        <v/>
      </c>
    </row>
    <row r="189" spans="4:4" x14ac:dyDescent="0.75">
      <c r="D189" s="115" t="str">
        <f>'Chemo-Map2-2'!D82</f>
        <v/>
      </c>
    </row>
    <row r="190" spans="4:4" x14ac:dyDescent="0.75">
      <c r="D190" s="115" t="str">
        <f>'Chemo-Map2-2'!D83</f>
        <v/>
      </c>
    </row>
    <row r="191" spans="4:4" x14ac:dyDescent="0.75">
      <c r="D191" s="115" t="str">
        <f>'Chemo-Map2-2'!D84</f>
        <v/>
      </c>
    </row>
    <row r="192" spans="4:4" x14ac:dyDescent="0.75">
      <c r="D192" s="115" t="str">
        <f>'Chemo-Map2-2'!D85</f>
        <v/>
      </c>
    </row>
    <row r="193" spans="4:4" x14ac:dyDescent="0.75">
      <c r="D193" s="115" t="str">
        <f>'Chemo-Map2-2'!D86</f>
        <v/>
      </c>
    </row>
    <row r="194" spans="4:4" x14ac:dyDescent="0.75">
      <c r="D194" s="115" t="str">
        <f>'Chemo-Map2-2'!D87</f>
        <v/>
      </c>
    </row>
    <row r="195" spans="4:4" x14ac:dyDescent="0.75">
      <c r="D195" s="115" t="str">
        <f>'Chemo-Map2-2'!D88</f>
        <v/>
      </c>
    </row>
    <row r="196" spans="4:4" x14ac:dyDescent="0.75">
      <c r="D196" s="115" t="str">
        <f>'Chemo-Map2-2'!D89</f>
        <v/>
      </c>
    </row>
    <row r="197" spans="4:4" x14ac:dyDescent="0.75">
      <c r="D197" s="115" t="str">
        <f>'Chemo-Map2-2'!D90</f>
        <v/>
      </c>
    </row>
    <row r="198" spans="4:4" x14ac:dyDescent="0.75">
      <c r="D198" s="115" t="str">
        <f>'Chemo-Map2-2'!D91</f>
        <v/>
      </c>
    </row>
    <row r="199" spans="4:4" x14ac:dyDescent="0.75">
      <c r="D199" s="115" t="str">
        <f>'Chemo-Map2-2'!D92</f>
        <v/>
      </c>
    </row>
    <row r="200" spans="4:4" x14ac:dyDescent="0.75">
      <c r="D200" s="115" t="str">
        <f>'Chemo-Map2-2'!D93</f>
        <v/>
      </c>
    </row>
    <row r="201" spans="4:4" x14ac:dyDescent="0.75">
      <c r="D201" s="115" t="str">
        <f>'Chemo-Map2-2'!D94</f>
        <v/>
      </c>
    </row>
    <row r="202" spans="4:4" x14ac:dyDescent="0.75">
      <c r="D202" s="115" t="str">
        <f>'Chemo-Map2-2'!D95</f>
        <v/>
      </c>
    </row>
    <row r="203" spans="4:4" x14ac:dyDescent="0.75">
      <c r="D203" s="115" t="str">
        <f>'Chemo-Map2-2'!D96</f>
        <v/>
      </c>
    </row>
    <row r="204" spans="4:4" x14ac:dyDescent="0.75">
      <c r="D204" s="115" t="str">
        <f>'Chemo-Map2-2'!D97</f>
        <v/>
      </c>
    </row>
    <row r="205" spans="4:4" x14ac:dyDescent="0.75">
      <c r="D205" s="115" t="str">
        <f>'Chemo-Map2-2'!D98</f>
        <v/>
      </c>
    </row>
    <row r="206" spans="4:4" x14ac:dyDescent="0.75">
      <c r="D206" s="115" t="str">
        <f>'Chemo-Map2-2'!D99</f>
        <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107"/>
  <sheetViews>
    <sheetView topLeftCell="A21" zoomScaleNormal="100" workbookViewId="0">
      <selection activeCell="D22" sqref="D22"/>
    </sheetView>
  </sheetViews>
  <sheetFormatPr defaultRowHeight="14.75" x14ac:dyDescent="0.75"/>
  <cols>
    <col min="1" max="1" width="8.7265625" style="113"/>
    <col min="2" max="2" width="52" style="114" customWidth="1"/>
    <col min="3" max="3" width="44.6328125" style="114" customWidth="1"/>
    <col min="4" max="4" width="71.58984375" style="113" bestFit="1" customWidth="1"/>
    <col min="5" max="5" width="12.1796875" style="113" customWidth="1"/>
    <col min="6" max="6" width="20.7265625" style="113" customWidth="1"/>
    <col min="7" max="7" width="56.453125" style="113" customWidth="1"/>
    <col min="8" max="8" width="55.953125" style="113" customWidth="1"/>
    <col min="9" max="9" width="19.31640625" style="113" customWidth="1"/>
    <col min="10" max="16384" width="8.7265625" style="113"/>
  </cols>
  <sheetData>
    <row r="1" spans="1:9" x14ac:dyDescent="0.75">
      <c r="B1" s="120" t="s">
        <v>34</v>
      </c>
      <c r="C1" s="125" t="s">
        <v>33</v>
      </c>
      <c r="D1" s="57" t="s">
        <v>6</v>
      </c>
    </row>
    <row r="2" spans="1:9" x14ac:dyDescent="0.75">
      <c r="B2" s="121" t="s">
        <v>69</v>
      </c>
      <c r="C2" s="126" t="s">
        <v>95</v>
      </c>
      <c r="D2" s="17" t="s">
        <v>95</v>
      </c>
    </row>
    <row r="3" spans="1:9" x14ac:dyDescent="0.75">
      <c r="B3" s="122" t="s">
        <v>35</v>
      </c>
      <c r="C3" s="127" t="s">
        <v>46</v>
      </c>
      <c r="D3" s="59"/>
    </row>
    <row r="4" spans="1:9" ht="15.5" thickBot="1" x14ac:dyDescent="0.9">
      <c r="B4" s="123" t="s">
        <v>70</v>
      </c>
      <c r="C4" s="128" t="s">
        <v>95</v>
      </c>
      <c r="D4" s="60"/>
    </row>
    <row r="5" spans="1:9" x14ac:dyDescent="0.75">
      <c r="C5" s="3" t="s">
        <v>7</v>
      </c>
      <c r="D5" s="4" t="s">
        <v>8</v>
      </c>
      <c r="E5" s="12" t="s">
        <v>17</v>
      </c>
      <c r="F5" s="12" t="s">
        <v>18</v>
      </c>
      <c r="G5" s="12" t="s">
        <v>19</v>
      </c>
      <c r="H5" s="165" t="s">
        <v>995</v>
      </c>
      <c r="I5" s="165"/>
    </row>
    <row r="6" spans="1:9" ht="15.5" thickBot="1" x14ac:dyDescent="0.9">
      <c r="A6" s="113">
        <v>0</v>
      </c>
      <c r="B6" s="128" t="s">
        <v>95</v>
      </c>
      <c r="C6" s="34" t="s">
        <v>95</v>
      </c>
      <c r="D6" s="17" t="s">
        <v>95</v>
      </c>
      <c r="E6" s="35">
        <v>1</v>
      </c>
      <c r="F6" s="35">
        <v>1</v>
      </c>
      <c r="G6" s="35"/>
    </row>
    <row r="7" spans="1:9" x14ac:dyDescent="0.75">
      <c r="A7" s="113">
        <v>1</v>
      </c>
      <c r="B7" s="115" t="s">
        <v>1147</v>
      </c>
      <c r="C7" s="116" t="s">
        <v>1149</v>
      </c>
      <c r="D7" s="116" t="s">
        <v>1152</v>
      </c>
      <c r="E7" s="115">
        <v>0</v>
      </c>
      <c r="F7" s="115">
        <v>1</v>
      </c>
      <c r="G7" s="115" t="s">
        <v>0</v>
      </c>
      <c r="H7" s="115"/>
      <c r="I7" s="115"/>
    </row>
    <row r="8" spans="1:9" ht="29.5" x14ac:dyDescent="0.75">
      <c r="A8" s="113">
        <v>2</v>
      </c>
      <c r="B8" s="115" t="s">
        <v>1150</v>
      </c>
      <c r="C8" s="116" t="s">
        <v>1151</v>
      </c>
      <c r="D8" s="116" t="s">
        <v>1153</v>
      </c>
      <c r="E8" s="115">
        <v>0</v>
      </c>
      <c r="F8" s="115">
        <v>1</v>
      </c>
      <c r="G8" s="115" t="s">
        <v>0</v>
      </c>
      <c r="H8" s="115"/>
      <c r="I8" s="115"/>
    </row>
    <row r="9" spans="1:9" ht="88.5" x14ac:dyDescent="0.75">
      <c r="A9" s="113">
        <v>3</v>
      </c>
      <c r="B9" s="115" t="s">
        <v>37</v>
      </c>
      <c r="C9" s="116" t="s">
        <v>1204</v>
      </c>
      <c r="D9" s="116" t="s">
        <v>460</v>
      </c>
      <c r="E9" s="115">
        <v>0</v>
      </c>
      <c r="F9" s="115" t="s">
        <v>20</v>
      </c>
      <c r="G9" s="115" t="s">
        <v>0</v>
      </c>
      <c r="H9" s="115"/>
      <c r="I9" s="115"/>
    </row>
    <row r="10" spans="1:9" x14ac:dyDescent="0.75">
      <c r="A10" s="113">
        <v>4</v>
      </c>
      <c r="B10" s="116" t="s">
        <v>966</v>
      </c>
      <c r="C10" s="116" t="s">
        <v>990</v>
      </c>
      <c r="D10" s="116" t="s">
        <v>461</v>
      </c>
      <c r="E10" s="115">
        <v>0</v>
      </c>
      <c r="F10" s="115">
        <v>1</v>
      </c>
      <c r="G10" s="115" t="s">
        <v>5</v>
      </c>
      <c r="H10" s="115"/>
      <c r="I10" s="115"/>
    </row>
    <row r="11" spans="1:9" x14ac:dyDescent="0.75">
      <c r="A11" s="113">
        <v>5</v>
      </c>
      <c r="B11" s="116" t="s">
        <v>969</v>
      </c>
      <c r="C11" s="116" t="s">
        <v>972</v>
      </c>
      <c r="D11" s="116" t="s">
        <v>991</v>
      </c>
      <c r="E11" s="115">
        <v>0</v>
      </c>
      <c r="F11" s="115">
        <v>1</v>
      </c>
      <c r="G11" s="115" t="s">
        <v>3</v>
      </c>
      <c r="H11" s="115"/>
      <c r="I11" s="115"/>
    </row>
    <row r="12" spans="1:9" x14ac:dyDescent="0.75">
      <c r="A12" s="113">
        <v>6</v>
      </c>
      <c r="B12" s="116" t="s">
        <v>967</v>
      </c>
      <c r="C12" s="116" t="s">
        <v>973</v>
      </c>
      <c r="D12" s="116" t="s">
        <v>973</v>
      </c>
      <c r="E12" s="115">
        <v>0</v>
      </c>
      <c r="F12" s="115">
        <v>1</v>
      </c>
      <c r="G12" s="115" t="s">
        <v>3</v>
      </c>
      <c r="H12" s="115"/>
      <c r="I12" s="115"/>
    </row>
    <row r="13" spans="1:9" x14ac:dyDescent="0.75">
      <c r="A13" s="113">
        <v>7</v>
      </c>
      <c r="B13" s="116" t="s">
        <v>968</v>
      </c>
      <c r="C13" s="116" t="s">
        <v>974</v>
      </c>
      <c r="D13" s="116" t="s">
        <v>974</v>
      </c>
      <c r="E13" s="115">
        <v>0</v>
      </c>
      <c r="F13" s="115">
        <v>1</v>
      </c>
      <c r="G13" s="115" t="s">
        <v>5</v>
      </c>
      <c r="H13" s="115"/>
      <c r="I13" s="115"/>
    </row>
    <row r="14" spans="1:9" x14ac:dyDescent="0.75">
      <c r="A14" s="113">
        <v>8</v>
      </c>
      <c r="B14" s="116" t="s">
        <v>970</v>
      </c>
      <c r="C14" s="116" t="s">
        <v>975</v>
      </c>
      <c r="D14" s="116" t="s">
        <v>975</v>
      </c>
      <c r="E14" s="115">
        <v>0</v>
      </c>
      <c r="F14" s="115">
        <v>1</v>
      </c>
      <c r="G14" s="115" t="s">
        <v>3</v>
      </c>
      <c r="H14" s="115"/>
      <c r="I14" s="115"/>
    </row>
    <row r="15" spans="1:9" x14ac:dyDescent="0.75">
      <c r="A15" s="113">
        <v>9</v>
      </c>
      <c r="B15" s="116" t="s">
        <v>971</v>
      </c>
      <c r="C15" s="116" t="s">
        <v>976</v>
      </c>
      <c r="D15" s="116" t="s">
        <v>976</v>
      </c>
      <c r="E15" s="115">
        <v>0</v>
      </c>
      <c r="F15" s="115">
        <v>1</v>
      </c>
      <c r="G15" s="115" t="s">
        <v>3</v>
      </c>
      <c r="H15" s="115"/>
      <c r="I15" s="115"/>
    </row>
    <row r="16" spans="1:9" ht="51.5" customHeight="1" x14ac:dyDescent="0.75">
      <c r="A16" s="113">
        <v>10</v>
      </c>
      <c r="B16" s="116" t="s">
        <v>977</v>
      </c>
      <c r="C16" s="131" t="s">
        <v>988</v>
      </c>
      <c r="D16" s="116" t="s">
        <v>502</v>
      </c>
      <c r="E16" s="115">
        <v>1</v>
      </c>
      <c r="F16" s="115">
        <v>1</v>
      </c>
      <c r="G16" s="115" t="s">
        <v>2</v>
      </c>
      <c r="H16" s="115"/>
      <c r="I16" s="115"/>
    </row>
    <row r="17" spans="1:9" ht="73.75" x14ac:dyDescent="0.75">
      <c r="A17" s="113">
        <v>11</v>
      </c>
      <c r="B17" s="116" t="s">
        <v>1016</v>
      </c>
      <c r="C17" s="116" t="s">
        <v>989</v>
      </c>
      <c r="D17" s="116" t="s">
        <v>504</v>
      </c>
      <c r="E17" s="115">
        <v>0</v>
      </c>
      <c r="F17" s="115">
        <v>1</v>
      </c>
      <c r="G17" s="115" t="s">
        <v>2</v>
      </c>
      <c r="H17" s="115"/>
      <c r="I17" s="115"/>
    </row>
    <row r="18" spans="1:9" ht="162.25" x14ac:dyDescent="0.75">
      <c r="A18" s="113">
        <v>12</v>
      </c>
      <c r="B18" s="116" t="s">
        <v>65</v>
      </c>
      <c r="C18" s="131" t="s">
        <v>586</v>
      </c>
      <c r="D18" s="116" t="s">
        <v>996</v>
      </c>
      <c r="E18" s="115">
        <v>1</v>
      </c>
      <c r="F18" s="115">
        <v>1</v>
      </c>
      <c r="G18" s="115" t="s">
        <v>1</v>
      </c>
      <c r="H18" s="115"/>
      <c r="I18" s="115"/>
    </row>
    <row r="19" spans="1:9" ht="177" x14ac:dyDescent="0.75">
      <c r="A19" s="113">
        <v>13</v>
      </c>
      <c r="B19" s="116" t="s">
        <v>1018</v>
      </c>
      <c r="C19" s="116" t="s">
        <v>1017</v>
      </c>
      <c r="D19" s="116" t="s">
        <v>1190</v>
      </c>
      <c r="E19" s="115">
        <v>0</v>
      </c>
      <c r="F19" s="115">
        <v>1</v>
      </c>
      <c r="G19" s="115" t="s">
        <v>1</v>
      </c>
      <c r="H19" s="115"/>
      <c r="I19" s="115"/>
    </row>
    <row r="20" spans="1:9" ht="147.5" x14ac:dyDescent="0.75">
      <c r="A20" s="113">
        <v>14</v>
      </c>
      <c r="B20" s="116" t="s">
        <v>1020</v>
      </c>
      <c r="C20" s="116" t="s">
        <v>1021</v>
      </c>
      <c r="D20" s="116" t="s">
        <v>1019</v>
      </c>
      <c r="E20" s="115">
        <v>0</v>
      </c>
      <c r="F20" s="115">
        <v>1</v>
      </c>
      <c r="G20" s="115" t="s">
        <v>1</v>
      </c>
      <c r="H20" s="115"/>
      <c r="I20" s="115"/>
    </row>
    <row r="21" spans="1:9" ht="118" x14ac:dyDescent="0.75">
      <c r="A21" s="113">
        <v>15</v>
      </c>
      <c r="B21" s="116" t="s">
        <v>1023</v>
      </c>
      <c r="C21" s="116" t="s">
        <v>1024</v>
      </c>
      <c r="D21" s="116" t="s">
        <v>1022</v>
      </c>
      <c r="E21" s="115">
        <v>0</v>
      </c>
      <c r="F21" s="115">
        <v>1</v>
      </c>
      <c r="G21" s="115" t="s">
        <v>1</v>
      </c>
      <c r="H21" s="115"/>
      <c r="I21" s="115"/>
    </row>
    <row r="22" spans="1:9" ht="147.5" x14ac:dyDescent="0.75">
      <c r="A22" s="113">
        <v>16</v>
      </c>
      <c r="B22" s="116" t="s">
        <v>1014</v>
      </c>
      <c r="C22" s="116" t="s">
        <v>1029</v>
      </c>
      <c r="D22" s="116" t="s">
        <v>1255</v>
      </c>
      <c r="E22" s="115">
        <v>0</v>
      </c>
      <c r="F22" s="115">
        <v>1</v>
      </c>
      <c r="G22" s="115" t="s">
        <v>1</v>
      </c>
      <c r="H22" s="115"/>
      <c r="I22" s="115"/>
    </row>
    <row r="23" spans="1:9" x14ac:dyDescent="0.75">
      <c r="A23" s="113">
        <v>17</v>
      </c>
      <c r="B23" s="116" t="s">
        <v>1025</v>
      </c>
      <c r="C23" s="116" t="s">
        <v>1026</v>
      </c>
      <c r="D23" s="116" t="s">
        <v>500</v>
      </c>
      <c r="E23" s="115">
        <v>0</v>
      </c>
      <c r="F23" s="115">
        <v>1</v>
      </c>
      <c r="G23" s="115" t="s">
        <v>984</v>
      </c>
      <c r="H23" s="115"/>
      <c r="I23" s="115"/>
    </row>
    <row r="24" spans="1:9" ht="73.75" x14ac:dyDescent="0.75">
      <c r="A24" s="113">
        <v>18</v>
      </c>
      <c r="B24" s="116" t="s">
        <v>997</v>
      </c>
      <c r="C24" s="131" t="s">
        <v>1156</v>
      </c>
      <c r="D24" s="132" t="s">
        <v>998</v>
      </c>
      <c r="E24" s="115">
        <v>0</v>
      </c>
      <c r="F24" s="115">
        <v>5</v>
      </c>
      <c r="G24" s="115" t="s">
        <v>5</v>
      </c>
      <c r="H24" s="115"/>
      <c r="I24" s="115"/>
    </row>
    <row r="25" spans="1:9" ht="191.75" x14ac:dyDescent="0.75">
      <c r="A25" s="113">
        <v>19</v>
      </c>
      <c r="B25" s="116" t="s">
        <v>999</v>
      </c>
      <c r="C25" s="131" t="s">
        <v>1157</v>
      </c>
      <c r="D25" s="116" t="s">
        <v>1000</v>
      </c>
      <c r="E25" s="115">
        <v>1</v>
      </c>
      <c r="F25" s="115">
        <v>1</v>
      </c>
      <c r="G25" s="115" t="s">
        <v>1</v>
      </c>
      <c r="H25" s="130" t="s">
        <v>1001</v>
      </c>
      <c r="I25" s="115" t="s">
        <v>1002</v>
      </c>
    </row>
    <row r="26" spans="1:9" ht="59" x14ac:dyDescent="0.75">
      <c r="A26" s="113">
        <v>20</v>
      </c>
      <c r="B26" s="116" t="s">
        <v>1155</v>
      </c>
      <c r="C26" s="116" t="s">
        <v>1091</v>
      </c>
      <c r="D26" s="116" t="s">
        <v>1154</v>
      </c>
      <c r="E26" s="115">
        <v>0</v>
      </c>
      <c r="F26" s="115">
        <v>1</v>
      </c>
      <c r="G26" s="115" t="s">
        <v>1</v>
      </c>
      <c r="H26" s="130"/>
      <c r="I26" s="115"/>
    </row>
    <row r="27" spans="1:9" x14ac:dyDescent="0.75">
      <c r="A27" s="113">
        <v>21</v>
      </c>
      <c r="B27" s="116" t="s">
        <v>1162</v>
      </c>
      <c r="C27" s="116" t="s">
        <v>527</v>
      </c>
      <c r="D27" s="116" t="s">
        <v>529</v>
      </c>
      <c r="E27" s="115">
        <v>0</v>
      </c>
      <c r="F27" s="115">
        <v>1</v>
      </c>
      <c r="G27" s="115" t="s">
        <v>3</v>
      </c>
      <c r="H27" s="130"/>
      <c r="I27" s="115"/>
    </row>
    <row r="28" spans="1:9" ht="59" x14ac:dyDescent="0.75">
      <c r="A28" s="113">
        <v>22</v>
      </c>
      <c r="B28" s="116" t="s">
        <v>1158</v>
      </c>
      <c r="C28" s="116" t="s">
        <v>1163</v>
      </c>
      <c r="D28" s="116" t="s">
        <v>533</v>
      </c>
      <c r="E28" s="115">
        <v>0</v>
      </c>
      <c r="F28" s="115">
        <v>1</v>
      </c>
      <c r="G28" s="115" t="s">
        <v>3</v>
      </c>
      <c r="H28" s="130"/>
      <c r="I28" s="115"/>
    </row>
    <row r="29" spans="1:9" ht="59" x14ac:dyDescent="0.75">
      <c r="A29" s="113">
        <v>23</v>
      </c>
      <c r="B29" s="116" t="s">
        <v>1159</v>
      </c>
      <c r="C29" s="116" t="s">
        <v>1164</v>
      </c>
      <c r="D29" s="116" t="s">
        <v>538</v>
      </c>
      <c r="E29" s="115">
        <v>0</v>
      </c>
      <c r="F29" s="115">
        <v>1</v>
      </c>
      <c r="G29" s="115" t="s">
        <v>3</v>
      </c>
      <c r="H29" s="130"/>
      <c r="I29" s="115"/>
    </row>
    <row r="30" spans="1:9" ht="59" x14ac:dyDescent="0.75">
      <c r="A30" s="113">
        <v>24</v>
      </c>
      <c r="B30" s="116" t="s">
        <v>1160</v>
      </c>
      <c r="C30" s="116" t="s">
        <v>540</v>
      </c>
      <c r="D30" s="116" t="s">
        <v>1161</v>
      </c>
      <c r="E30" s="115">
        <v>0</v>
      </c>
      <c r="F30" s="115">
        <v>1</v>
      </c>
      <c r="G30" s="115" t="s">
        <v>1</v>
      </c>
      <c r="H30" s="130"/>
      <c r="I30" s="115"/>
    </row>
    <row r="31" spans="1:9" ht="29.5" x14ac:dyDescent="0.75">
      <c r="A31" s="113">
        <v>25</v>
      </c>
      <c r="B31" s="116" t="s">
        <v>1192</v>
      </c>
      <c r="C31" s="116" t="s">
        <v>1003</v>
      </c>
      <c r="D31" s="116" t="s">
        <v>548</v>
      </c>
      <c r="E31" s="115">
        <v>0</v>
      </c>
      <c r="F31" s="115">
        <v>1</v>
      </c>
      <c r="G31" s="115" t="s">
        <v>5</v>
      </c>
      <c r="H31" s="115"/>
      <c r="I31" s="115"/>
    </row>
    <row r="32" spans="1:9" ht="29.5" x14ac:dyDescent="0.75">
      <c r="A32" s="113">
        <v>26</v>
      </c>
      <c r="B32" s="116" t="s">
        <v>1178</v>
      </c>
      <c r="C32" s="116" t="s">
        <v>343</v>
      </c>
      <c r="D32" s="116" t="s">
        <v>347</v>
      </c>
      <c r="E32" s="115">
        <v>0</v>
      </c>
      <c r="F32" s="115">
        <v>1</v>
      </c>
      <c r="G32" s="115" t="s">
        <v>1</v>
      </c>
    </row>
    <row r="33" spans="1:9" x14ac:dyDescent="0.75">
      <c r="A33" s="113">
        <v>27</v>
      </c>
      <c r="B33" s="116" t="s">
        <v>1177</v>
      </c>
      <c r="C33" s="116" t="s">
        <v>348</v>
      </c>
      <c r="D33" s="116" t="s">
        <v>351</v>
      </c>
      <c r="E33" s="115">
        <v>0</v>
      </c>
      <c r="F33" s="115">
        <v>1</v>
      </c>
      <c r="G33" s="115" t="s">
        <v>1</v>
      </c>
    </row>
    <row r="34" spans="1:9" x14ac:dyDescent="0.75">
      <c r="A34" s="113">
        <v>28</v>
      </c>
      <c r="B34" s="116" t="s">
        <v>1193</v>
      </c>
      <c r="C34" s="116" t="s">
        <v>1004</v>
      </c>
      <c r="D34" s="116" t="s">
        <v>1004</v>
      </c>
      <c r="E34" s="115">
        <v>0</v>
      </c>
      <c r="F34" s="115">
        <v>1</v>
      </c>
      <c r="G34" s="115" t="s">
        <v>3</v>
      </c>
      <c r="H34" s="115"/>
      <c r="I34" s="115"/>
    </row>
    <row r="35" spans="1:9" x14ac:dyDescent="0.75">
      <c r="A35" s="113">
        <v>29</v>
      </c>
      <c r="B35" s="116" t="s">
        <v>1194</v>
      </c>
      <c r="C35" s="116" t="s">
        <v>1005</v>
      </c>
      <c r="D35" s="116" t="s">
        <v>1006</v>
      </c>
      <c r="E35" s="115">
        <v>0</v>
      </c>
      <c r="F35" s="115">
        <v>1</v>
      </c>
      <c r="G35" s="115" t="s">
        <v>956</v>
      </c>
      <c r="H35" s="115"/>
      <c r="I35" s="115"/>
    </row>
    <row r="36" spans="1:9" ht="44.25" x14ac:dyDescent="0.75">
      <c r="A36" s="113">
        <v>30</v>
      </c>
      <c r="B36" s="116" t="s">
        <v>1195</v>
      </c>
      <c r="C36" s="116" t="s">
        <v>549</v>
      </c>
      <c r="D36" s="116" t="s">
        <v>1027</v>
      </c>
      <c r="E36" s="115">
        <v>0</v>
      </c>
      <c r="F36" s="115">
        <v>1</v>
      </c>
      <c r="G36" s="115" t="s">
        <v>1</v>
      </c>
      <c r="H36" s="115"/>
      <c r="I36" s="115"/>
    </row>
    <row r="37" spans="1:9" ht="29.5" x14ac:dyDescent="0.75">
      <c r="A37" s="113">
        <v>31</v>
      </c>
      <c r="B37" s="14" t="s">
        <v>1196</v>
      </c>
      <c r="C37" s="116" t="s">
        <v>1031</v>
      </c>
      <c r="D37" s="116" t="s">
        <v>1191</v>
      </c>
      <c r="E37" s="115">
        <v>0</v>
      </c>
      <c r="F37" s="115">
        <v>1</v>
      </c>
      <c r="G37" s="25" t="s">
        <v>984</v>
      </c>
    </row>
    <row r="38" spans="1:9" ht="29.5" x14ac:dyDescent="0.75">
      <c r="A38" s="113">
        <v>32</v>
      </c>
      <c r="B38" s="116" t="s">
        <v>1007</v>
      </c>
      <c r="C38" s="116" t="s">
        <v>562</v>
      </c>
      <c r="D38" s="116" t="s">
        <v>1203</v>
      </c>
      <c r="E38" s="115">
        <v>0</v>
      </c>
      <c r="F38" s="115">
        <v>5</v>
      </c>
      <c r="G38" s="115" t="s">
        <v>5</v>
      </c>
      <c r="H38" s="115"/>
      <c r="I38" s="115"/>
    </row>
    <row r="39" spans="1:9" ht="59" x14ac:dyDescent="0.75">
      <c r="A39" s="113">
        <v>33</v>
      </c>
      <c r="B39" s="116" t="s">
        <v>1032</v>
      </c>
      <c r="C39" s="116" t="s">
        <v>1033</v>
      </c>
      <c r="D39" s="14" t="s">
        <v>1034</v>
      </c>
      <c r="E39" s="115">
        <v>1</v>
      </c>
      <c r="F39" s="115">
        <v>1</v>
      </c>
      <c r="G39" s="115" t="s">
        <v>1</v>
      </c>
      <c r="H39" s="115"/>
      <c r="I39" s="115"/>
    </row>
    <row r="40" spans="1:9" x14ac:dyDescent="0.75">
      <c r="A40" s="113">
        <v>34</v>
      </c>
      <c r="B40" s="116" t="s">
        <v>1008</v>
      </c>
      <c r="C40" s="116" t="s">
        <v>1009</v>
      </c>
      <c r="D40" s="116" t="s">
        <v>1254</v>
      </c>
      <c r="E40" s="115">
        <v>0</v>
      </c>
      <c r="F40" s="115">
        <v>1</v>
      </c>
      <c r="G40" s="115" t="s">
        <v>1</v>
      </c>
      <c r="H40" s="115"/>
      <c r="I40" s="115"/>
    </row>
    <row r="41" spans="1:9" ht="88.5" x14ac:dyDescent="0.75">
      <c r="A41" s="113">
        <v>35</v>
      </c>
      <c r="B41" s="116" t="s">
        <v>1010</v>
      </c>
      <c r="C41" s="116" t="s">
        <v>1011</v>
      </c>
      <c r="D41" s="132" t="s">
        <v>1012</v>
      </c>
      <c r="E41" s="115">
        <v>0</v>
      </c>
      <c r="F41" s="115">
        <v>1</v>
      </c>
      <c r="G41" s="115" t="s">
        <v>1</v>
      </c>
      <c r="H41" s="130" t="s">
        <v>1001</v>
      </c>
      <c r="I41" s="115" t="s">
        <v>1002</v>
      </c>
    </row>
    <row r="42" spans="1:9" ht="59" x14ac:dyDescent="0.75">
      <c r="A42" s="113">
        <v>36</v>
      </c>
      <c r="B42" s="116" t="s">
        <v>1165</v>
      </c>
      <c r="C42" s="116" t="s">
        <v>1091</v>
      </c>
      <c r="D42" s="116" t="s">
        <v>1154</v>
      </c>
      <c r="E42" s="115">
        <v>0</v>
      </c>
      <c r="F42" s="115">
        <v>1</v>
      </c>
      <c r="G42" s="115" t="s">
        <v>1</v>
      </c>
      <c r="H42" s="130"/>
      <c r="I42" s="115"/>
    </row>
    <row r="43" spans="1:9" x14ac:dyDescent="0.75">
      <c r="A43" s="113">
        <v>37</v>
      </c>
      <c r="B43" s="116" t="s">
        <v>1166</v>
      </c>
      <c r="C43" s="116" t="s">
        <v>527</v>
      </c>
      <c r="D43" s="116" t="s">
        <v>529</v>
      </c>
      <c r="E43" s="115">
        <v>0</v>
      </c>
      <c r="F43" s="115">
        <v>1</v>
      </c>
      <c r="G43" s="115" t="s">
        <v>3</v>
      </c>
      <c r="H43" s="130"/>
      <c r="I43" s="115"/>
    </row>
    <row r="44" spans="1:9" ht="59" x14ac:dyDescent="0.75">
      <c r="A44" s="113">
        <v>38</v>
      </c>
      <c r="B44" s="116" t="s">
        <v>1167</v>
      </c>
      <c r="C44" s="116" t="s">
        <v>1163</v>
      </c>
      <c r="D44" s="116" t="s">
        <v>533</v>
      </c>
      <c r="E44" s="115">
        <v>0</v>
      </c>
      <c r="F44" s="115">
        <v>1</v>
      </c>
      <c r="G44" s="115" t="s">
        <v>3</v>
      </c>
      <c r="H44" s="130"/>
      <c r="I44" s="115"/>
    </row>
    <row r="45" spans="1:9" ht="59" x14ac:dyDescent="0.75">
      <c r="A45" s="113">
        <v>39</v>
      </c>
      <c r="B45" s="116" t="s">
        <v>1168</v>
      </c>
      <c r="C45" s="116" t="s">
        <v>1164</v>
      </c>
      <c r="D45" s="116" t="s">
        <v>538</v>
      </c>
      <c r="E45" s="115">
        <v>0</v>
      </c>
      <c r="F45" s="115">
        <v>1</v>
      </c>
      <c r="G45" s="115" t="s">
        <v>3</v>
      </c>
      <c r="H45" s="130"/>
      <c r="I45" s="115"/>
    </row>
    <row r="46" spans="1:9" ht="59" x14ac:dyDescent="0.75">
      <c r="A46" s="113">
        <v>40</v>
      </c>
      <c r="B46" s="116" t="s">
        <v>1169</v>
      </c>
      <c r="C46" s="116" t="s">
        <v>540</v>
      </c>
      <c r="D46" s="116" t="s">
        <v>1161</v>
      </c>
      <c r="E46" s="115">
        <v>0</v>
      </c>
      <c r="F46" s="115">
        <v>1</v>
      </c>
      <c r="G46" s="115" t="s">
        <v>1</v>
      </c>
      <c r="H46" s="130"/>
      <c r="I46" s="115"/>
    </row>
    <row r="47" spans="1:9" x14ac:dyDescent="0.75">
      <c r="A47" s="113">
        <v>41</v>
      </c>
      <c r="B47" s="116" t="s">
        <v>1197</v>
      </c>
      <c r="C47" s="116" t="s">
        <v>1003</v>
      </c>
      <c r="D47" s="116" t="s">
        <v>1013</v>
      </c>
      <c r="E47" s="115">
        <v>1</v>
      </c>
      <c r="F47" s="115">
        <v>1</v>
      </c>
      <c r="G47" s="115" t="s">
        <v>5</v>
      </c>
      <c r="H47" s="115"/>
      <c r="I47" s="115"/>
    </row>
    <row r="48" spans="1:9" ht="29.5" x14ac:dyDescent="0.75">
      <c r="A48" s="113">
        <v>42</v>
      </c>
      <c r="B48" s="116" t="s">
        <v>1180</v>
      </c>
      <c r="C48" s="116" t="s">
        <v>343</v>
      </c>
      <c r="D48" s="116" t="s">
        <v>347</v>
      </c>
      <c r="E48" s="115">
        <v>0</v>
      </c>
      <c r="F48" s="115">
        <v>1</v>
      </c>
      <c r="G48" s="115" t="s">
        <v>1</v>
      </c>
    </row>
    <row r="49" spans="1:9" x14ac:dyDescent="0.75">
      <c r="A49" s="113">
        <v>43</v>
      </c>
      <c r="B49" s="116" t="s">
        <v>1181</v>
      </c>
      <c r="C49" s="116" t="s">
        <v>348</v>
      </c>
      <c r="D49" s="116" t="s">
        <v>351</v>
      </c>
      <c r="E49" s="115">
        <v>0</v>
      </c>
      <c r="F49" s="115">
        <v>1</v>
      </c>
      <c r="G49" s="115" t="s">
        <v>1</v>
      </c>
    </row>
    <row r="50" spans="1:9" x14ac:dyDescent="0.75">
      <c r="A50" s="113">
        <v>44</v>
      </c>
      <c r="B50" s="116" t="s">
        <v>1198</v>
      </c>
      <c r="C50" s="116" t="s">
        <v>1004</v>
      </c>
      <c r="D50" s="116" t="s">
        <v>1004</v>
      </c>
      <c r="E50" s="115">
        <v>0</v>
      </c>
      <c r="F50" s="115">
        <v>1</v>
      </c>
      <c r="G50" s="115" t="s">
        <v>1</v>
      </c>
      <c r="H50" s="115"/>
      <c r="I50" s="36"/>
    </row>
    <row r="51" spans="1:9" x14ac:dyDescent="0.75">
      <c r="A51" s="113">
        <v>45</v>
      </c>
      <c r="B51" s="116" t="s">
        <v>1199</v>
      </c>
      <c r="C51" s="116" t="s">
        <v>1005</v>
      </c>
      <c r="D51" s="116" t="s">
        <v>1013</v>
      </c>
      <c r="E51" s="115">
        <v>0</v>
      </c>
      <c r="F51" s="115">
        <v>1</v>
      </c>
      <c r="G51" s="115" t="s">
        <v>956</v>
      </c>
      <c r="H51" s="115"/>
      <c r="I51" s="115"/>
    </row>
    <row r="52" spans="1:9" ht="29.5" x14ac:dyDescent="0.75">
      <c r="A52" s="113">
        <v>46</v>
      </c>
      <c r="B52" s="116" t="s">
        <v>1200</v>
      </c>
      <c r="C52" s="116" t="s">
        <v>1030</v>
      </c>
      <c r="D52" s="116" t="s">
        <v>1028</v>
      </c>
      <c r="E52" s="115">
        <v>0</v>
      </c>
      <c r="F52" s="115">
        <v>1</v>
      </c>
      <c r="G52" s="115" t="s">
        <v>1</v>
      </c>
      <c r="H52" s="115"/>
      <c r="I52" s="115"/>
    </row>
    <row r="53" spans="1:9" ht="29.5" x14ac:dyDescent="0.75">
      <c r="A53" s="113">
        <v>47</v>
      </c>
      <c r="B53" s="14" t="s">
        <v>1201</v>
      </c>
      <c r="C53" s="116" t="s">
        <v>1031</v>
      </c>
      <c r="D53" s="116" t="s">
        <v>605</v>
      </c>
      <c r="E53" s="115">
        <v>0</v>
      </c>
      <c r="F53" s="115">
        <v>1</v>
      </c>
      <c r="G53" s="25" t="s">
        <v>984</v>
      </c>
    </row>
    <row r="54" spans="1:9" x14ac:dyDescent="0.75">
      <c r="A54" s="113">
        <v>48</v>
      </c>
      <c r="B54" s="116" t="s">
        <v>1170</v>
      </c>
      <c r="C54" s="116" t="s">
        <v>606</v>
      </c>
      <c r="D54" s="115" t="s">
        <v>1173</v>
      </c>
      <c r="E54" s="115">
        <v>0</v>
      </c>
      <c r="F54" s="115">
        <v>1</v>
      </c>
      <c r="G54" s="115" t="s">
        <v>5</v>
      </c>
      <c r="H54" s="115"/>
      <c r="I54" s="115"/>
    </row>
    <row r="55" spans="1:9" ht="29.5" x14ac:dyDescent="0.75">
      <c r="A55" s="113">
        <v>49</v>
      </c>
      <c r="B55" s="116" t="s">
        <v>1171</v>
      </c>
      <c r="C55" s="116" t="s">
        <v>1172</v>
      </c>
      <c r="D55" s="116" t="s">
        <v>1174</v>
      </c>
      <c r="E55" s="115">
        <v>0</v>
      </c>
      <c r="F55" s="115">
        <v>1</v>
      </c>
      <c r="G55" s="115" t="s">
        <v>1</v>
      </c>
      <c r="H55" s="115"/>
      <c r="I55" s="115"/>
    </row>
    <row r="56" spans="1:9" x14ac:dyDescent="0.75">
      <c r="A56" s="113">
        <v>50</v>
      </c>
      <c r="B56" s="116" t="s">
        <v>1175</v>
      </c>
      <c r="C56" s="116" t="s">
        <v>610</v>
      </c>
      <c r="D56" s="116" t="s">
        <v>613</v>
      </c>
      <c r="E56" s="115">
        <v>0</v>
      </c>
      <c r="F56" s="115">
        <v>1</v>
      </c>
      <c r="G56" s="115" t="s">
        <v>3</v>
      </c>
      <c r="H56" s="115"/>
      <c r="I56" s="115"/>
    </row>
    <row r="57" spans="1:9" x14ac:dyDescent="0.75">
      <c r="A57" s="113">
        <v>51</v>
      </c>
      <c r="B57" s="116" t="s">
        <v>1176</v>
      </c>
      <c r="C57" s="116" t="s">
        <v>614</v>
      </c>
      <c r="D57" s="116" t="s">
        <v>616</v>
      </c>
      <c r="E57" s="115">
        <v>0</v>
      </c>
      <c r="F57" s="115">
        <v>1</v>
      </c>
      <c r="G57" s="115" t="s">
        <v>3</v>
      </c>
      <c r="H57" s="115"/>
      <c r="I57" s="115"/>
    </row>
    <row r="58" spans="1:9" x14ac:dyDescent="0.75">
      <c r="A58" s="113">
        <v>52</v>
      </c>
      <c r="B58" s="116" t="s">
        <v>1183</v>
      </c>
      <c r="C58" s="116" t="s">
        <v>1186</v>
      </c>
      <c r="D58" s="116" t="s">
        <v>1187</v>
      </c>
      <c r="E58" s="115">
        <v>0</v>
      </c>
      <c r="F58" s="115">
        <v>1</v>
      </c>
      <c r="G58" s="115" t="s">
        <v>5</v>
      </c>
      <c r="H58" s="115"/>
      <c r="I58" s="115"/>
    </row>
    <row r="59" spans="1:9" x14ac:dyDescent="0.75">
      <c r="A59" s="113">
        <v>53</v>
      </c>
      <c r="B59" s="116" t="s">
        <v>1252</v>
      </c>
      <c r="C59" s="116" t="s">
        <v>621</v>
      </c>
      <c r="D59" s="116" t="s">
        <v>1185</v>
      </c>
      <c r="E59" s="115">
        <v>0</v>
      </c>
      <c r="F59" s="115">
        <v>1</v>
      </c>
      <c r="G59" s="115" t="s">
        <v>1</v>
      </c>
      <c r="H59" s="115"/>
      <c r="I59" s="115"/>
    </row>
    <row r="60" spans="1:9" ht="29.5" x14ac:dyDescent="0.75">
      <c r="A60" s="113">
        <v>54</v>
      </c>
      <c r="B60" s="116" t="s">
        <v>1253</v>
      </c>
      <c r="C60" s="116" t="s">
        <v>1184</v>
      </c>
      <c r="D60" s="116" t="s">
        <v>628</v>
      </c>
      <c r="E60" s="115">
        <v>0</v>
      </c>
      <c r="F60" s="115">
        <v>2</v>
      </c>
      <c r="G60" s="115" t="s">
        <v>1188</v>
      </c>
      <c r="H60" s="115"/>
      <c r="I60" s="115"/>
    </row>
    <row r="61" spans="1:9" x14ac:dyDescent="0.75">
      <c r="A61" s="113">
        <v>55</v>
      </c>
      <c r="B61" s="116" t="s">
        <v>1182</v>
      </c>
      <c r="C61" s="116" t="s">
        <v>1234</v>
      </c>
      <c r="D61" s="116" t="s">
        <v>633</v>
      </c>
      <c r="E61" s="115">
        <v>0</v>
      </c>
      <c r="F61" s="115">
        <v>2</v>
      </c>
      <c r="G61" s="115" t="s">
        <v>1188</v>
      </c>
      <c r="H61" s="115"/>
      <c r="I61" s="115"/>
    </row>
    <row r="62" spans="1:9" x14ac:dyDescent="0.75">
      <c r="A62" s="113">
        <v>56</v>
      </c>
      <c r="B62" s="116" t="s">
        <v>1040</v>
      </c>
      <c r="C62" s="116" t="s">
        <v>261</v>
      </c>
      <c r="D62" s="116" t="s">
        <v>261</v>
      </c>
      <c r="E62" s="115">
        <v>0</v>
      </c>
      <c r="F62" s="115">
        <v>1</v>
      </c>
      <c r="G62" s="115" t="s">
        <v>3</v>
      </c>
      <c r="H62" s="115"/>
      <c r="I62" s="115"/>
    </row>
    <row r="63" spans="1:9" x14ac:dyDescent="0.75">
      <c r="B63" s="116"/>
      <c r="C63" s="116"/>
      <c r="D63" s="116"/>
      <c r="E63" s="115"/>
      <c r="F63" s="115"/>
      <c r="G63" s="115"/>
      <c r="H63" s="115"/>
      <c r="I63" s="115"/>
    </row>
    <row r="64" spans="1:9" x14ac:dyDescent="0.75">
      <c r="B64" s="116"/>
      <c r="C64" s="116"/>
      <c r="D64" s="115"/>
      <c r="E64" s="115"/>
      <c r="F64" s="115"/>
      <c r="G64" s="115"/>
      <c r="H64" s="115"/>
      <c r="I64" s="115"/>
    </row>
    <row r="65" spans="2:7" ht="18.5" x14ac:dyDescent="0.75">
      <c r="B65" s="70"/>
      <c r="C65" s="73"/>
      <c r="D65" s="70"/>
      <c r="E65" s="70"/>
      <c r="F65" s="73"/>
      <c r="G65" s="70"/>
    </row>
    <row r="66" spans="2:7" ht="18.5" x14ac:dyDescent="0.75">
      <c r="B66" s="70"/>
      <c r="C66" s="73"/>
      <c r="D66" s="70"/>
      <c r="E66" s="70"/>
      <c r="F66" s="73"/>
      <c r="G66" s="70"/>
    </row>
    <row r="67" spans="2:7" ht="18.5" x14ac:dyDescent="0.75">
      <c r="B67" s="70"/>
      <c r="C67" s="73"/>
      <c r="D67" s="70"/>
      <c r="E67" s="70"/>
      <c r="F67" s="73"/>
      <c r="G67" s="70"/>
    </row>
    <row r="68" spans="2:7" ht="18.5" x14ac:dyDescent="0.75">
      <c r="B68" s="70"/>
      <c r="C68" s="73"/>
      <c r="D68" s="70"/>
      <c r="E68" s="70"/>
      <c r="F68" s="73"/>
      <c r="G68" s="70"/>
    </row>
    <row r="69" spans="2:7" ht="18.5" x14ac:dyDescent="0.75">
      <c r="B69" s="70"/>
      <c r="C69" s="98"/>
      <c r="D69" s="98"/>
      <c r="E69" s="70"/>
      <c r="F69" s="73"/>
      <c r="G69" s="98"/>
    </row>
    <row r="70" spans="2:7" ht="18.5" x14ac:dyDescent="0.75">
      <c r="B70" s="70"/>
      <c r="C70" s="70"/>
      <c r="D70" s="70"/>
      <c r="E70" s="70"/>
      <c r="F70" s="70"/>
      <c r="G70" s="70"/>
    </row>
    <row r="71" spans="2:7" ht="18.5" x14ac:dyDescent="0.75">
      <c r="B71" s="70"/>
      <c r="C71" s="70"/>
      <c r="D71" s="70"/>
      <c r="E71" s="70"/>
      <c r="F71" s="70"/>
      <c r="G71" s="70"/>
    </row>
    <row r="72" spans="2:7" ht="18.5" x14ac:dyDescent="0.75">
      <c r="B72" s="70"/>
      <c r="C72" s="73"/>
      <c r="D72" s="70"/>
      <c r="E72" s="70"/>
      <c r="F72" s="70"/>
      <c r="G72" s="70"/>
    </row>
    <row r="73" spans="2:7" ht="18.5" x14ac:dyDescent="0.75">
      <c r="B73" s="70"/>
      <c r="C73" s="73"/>
      <c r="D73" s="70"/>
      <c r="E73" s="70"/>
      <c r="F73" s="73"/>
      <c r="G73" s="70"/>
    </row>
    <row r="74" spans="2:7" ht="18.5" x14ac:dyDescent="0.75">
      <c r="B74" s="70"/>
      <c r="C74" s="73"/>
      <c r="D74" s="70"/>
      <c r="E74" s="70"/>
      <c r="F74" s="70"/>
      <c r="G74" s="70"/>
    </row>
    <row r="75" spans="2:7" ht="18.5" x14ac:dyDescent="0.75">
      <c r="B75" s="70"/>
      <c r="C75" s="73"/>
      <c r="D75" s="70"/>
      <c r="E75" s="70"/>
      <c r="F75" s="73"/>
      <c r="G75" s="70"/>
    </row>
    <row r="76" spans="2:7" ht="18.5" x14ac:dyDescent="0.75">
      <c r="B76" s="70"/>
      <c r="C76" s="73"/>
      <c r="D76" s="70"/>
      <c r="E76" s="70"/>
      <c r="F76" s="73"/>
      <c r="G76" s="70"/>
    </row>
    <row r="77" spans="2:7" s="136" customFormat="1" ht="12.25" x14ac:dyDescent="0.65">
      <c r="B77" s="137"/>
      <c r="C77" s="137"/>
      <c r="D77" s="137"/>
      <c r="E77" s="137"/>
      <c r="F77" s="137"/>
      <c r="G77" s="137"/>
    </row>
    <row r="78" spans="2:7" s="136" customFormat="1" ht="12.25" x14ac:dyDescent="0.65">
      <c r="B78" s="137"/>
      <c r="C78" s="137"/>
      <c r="D78" s="137"/>
      <c r="E78" s="137"/>
      <c r="F78" s="137"/>
      <c r="G78" s="137"/>
    </row>
    <row r="79" spans="2:7" s="136" customFormat="1" ht="12.25" x14ac:dyDescent="0.65">
      <c r="B79" s="137"/>
      <c r="C79" s="137"/>
      <c r="D79" s="137"/>
      <c r="E79" s="137"/>
      <c r="F79" s="137"/>
      <c r="G79" s="137"/>
    </row>
    <row r="80" spans="2:7" s="136" customFormat="1" ht="12.25" x14ac:dyDescent="0.65">
      <c r="B80" s="137"/>
      <c r="C80" s="137"/>
      <c r="D80" s="137"/>
      <c r="E80" s="137"/>
      <c r="F80" s="137"/>
      <c r="G80" s="137"/>
    </row>
    <row r="81" spans="2:8" s="136" customFormat="1" ht="45.75" customHeight="1" x14ac:dyDescent="0.65">
      <c r="B81" s="137"/>
      <c r="C81" s="137"/>
      <c r="D81" s="137"/>
      <c r="E81" s="137"/>
      <c r="F81" s="137"/>
      <c r="G81" s="137"/>
    </row>
    <row r="82" spans="2:8" ht="23.5" customHeight="1" x14ac:dyDescent="0.75">
      <c r="B82" s="70"/>
      <c r="C82" s="73"/>
      <c r="D82" s="70"/>
      <c r="E82" s="70"/>
      <c r="F82" s="73"/>
      <c r="G82" s="70"/>
    </row>
    <row r="83" spans="2:8" ht="23.5" customHeight="1" x14ac:dyDescent="0.75">
      <c r="B83" s="70"/>
      <c r="C83" s="73"/>
      <c r="D83" s="70"/>
      <c r="E83" s="70"/>
      <c r="F83" s="73"/>
      <c r="G83" s="70"/>
    </row>
    <row r="84" spans="2:8" ht="23.5" customHeight="1" x14ac:dyDescent="0.75">
      <c r="B84" s="70"/>
      <c r="C84" s="70"/>
      <c r="D84" s="70"/>
      <c r="E84" s="70"/>
      <c r="F84" s="70"/>
      <c r="G84" s="70"/>
    </row>
    <row r="85" spans="2:8" ht="23.5" customHeight="1" x14ac:dyDescent="0.75">
      <c r="B85" s="70"/>
      <c r="C85" s="73"/>
      <c r="D85" s="70"/>
      <c r="E85" s="70"/>
      <c r="F85" s="73"/>
      <c r="G85" s="70"/>
    </row>
    <row r="86" spans="2:8" ht="23.5" customHeight="1" x14ac:dyDescent="0.75">
      <c r="B86" s="70"/>
      <c r="C86" s="73"/>
      <c r="D86" s="70"/>
      <c r="E86" s="70"/>
      <c r="F86" s="73"/>
      <c r="G86" s="70"/>
    </row>
    <row r="87" spans="2:8" ht="23.5" customHeight="1" x14ac:dyDescent="0.75">
      <c r="B87" s="70"/>
      <c r="C87" s="73"/>
      <c r="D87" s="70"/>
      <c r="E87" s="70"/>
      <c r="F87" s="73"/>
      <c r="G87" s="70"/>
    </row>
    <row r="88" spans="2:8" ht="18.5" x14ac:dyDescent="0.75">
      <c r="B88" s="70"/>
      <c r="C88" s="73"/>
      <c r="D88" s="70"/>
      <c r="E88" s="70"/>
      <c r="F88" s="73"/>
      <c r="G88" s="70"/>
    </row>
    <row r="89" spans="2:8" ht="18.5" x14ac:dyDescent="0.75">
      <c r="B89" s="70"/>
      <c r="C89" s="98"/>
      <c r="D89" s="98"/>
      <c r="E89" s="70"/>
      <c r="F89" s="98"/>
      <c r="G89" s="98"/>
    </row>
    <row r="90" spans="2:8" ht="18.5" x14ac:dyDescent="0.75">
      <c r="B90" s="70"/>
      <c r="C90" s="98"/>
      <c r="D90" s="98"/>
      <c r="E90" s="70"/>
      <c r="F90" s="98"/>
      <c r="G90" s="98"/>
    </row>
    <row r="91" spans="2:8" s="136" customFormat="1" ht="12.25" x14ac:dyDescent="0.65">
      <c r="B91" s="137"/>
      <c r="C91" s="137"/>
      <c r="D91" s="139"/>
      <c r="E91" s="137"/>
      <c r="F91" s="137"/>
      <c r="G91" s="139"/>
    </row>
    <row r="92" spans="2:8" s="134" customFormat="1" ht="11" x14ac:dyDescent="0.6">
      <c r="B92" s="135"/>
      <c r="C92" s="135"/>
      <c r="D92" s="135"/>
      <c r="E92" s="135"/>
      <c r="F92" s="135"/>
      <c r="G92" s="135"/>
    </row>
    <row r="93" spans="2:8" s="136" customFormat="1" ht="12.25" x14ac:dyDescent="0.65">
      <c r="B93" s="137"/>
      <c r="C93" s="137"/>
      <c r="D93" s="137"/>
      <c r="E93" s="137"/>
      <c r="F93" s="137"/>
      <c r="G93" s="137"/>
      <c r="H93" s="138"/>
    </row>
    <row r="94" spans="2:8" s="136" customFormat="1" ht="12.25" x14ac:dyDescent="0.65">
      <c r="B94" s="137"/>
      <c r="C94" s="137"/>
      <c r="D94" s="137"/>
      <c r="E94" s="137"/>
      <c r="F94" s="137"/>
      <c r="G94" s="137"/>
    </row>
    <row r="95" spans="2:8" ht="18.5" x14ac:dyDescent="0.75">
      <c r="B95" s="70"/>
      <c r="C95" s="73"/>
      <c r="D95" s="70"/>
      <c r="E95" s="70"/>
      <c r="F95" s="70"/>
      <c r="G95" s="70"/>
    </row>
    <row r="96" spans="2:8" ht="18.5" x14ac:dyDescent="0.75">
      <c r="B96" s="70"/>
      <c r="C96" s="73"/>
      <c r="D96" s="70"/>
      <c r="E96" s="70"/>
      <c r="F96" s="70"/>
      <c r="G96" s="70"/>
    </row>
    <row r="97" spans="2:7" ht="18.5" x14ac:dyDescent="0.75">
      <c r="B97" s="70"/>
      <c r="C97" s="73"/>
      <c r="D97" s="70"/>
      <c r="E97" s="70"/>
      <c r="F97" s="73"/>
      <c r="G97" s="70"/>
    </row>
    <row r="98" spans="2:7" ht="18.5" x14ac:dyDescent="0.75">
      <c r="B98" s="70"/>
      <c r="C98" s="73"/>
      <c r="D98" s="70"/>
      <c r="E98" s="70"/>
      <c r="F98" s="73"/>
      <c r="G98" s="70"/>
    </row>
    <row r="99" spans="2:7" ht="18.5" x14ac:dyDescent="0.75">
      <c r="B99" s="73"/>
      <c r="C99" s="73"/>
      <c r="D99" s="70"/>
      <c r="E99" s="73"/>
      <c r="F99" s="70"/>
      <c r="G99" s="70"/>
    </row>
    <row r="100" spans="2:7" ht="18.5" x14ac:dyDescent="0.75">
      <c r="B100" s="70"/>
      <c r="C100" s="73"/>
      <c r="D100" s="70"/>
      <c r="E100" s="70"/>
      <c r="F100" s="70"/>
      <c r="G100" s="70"/>
    </row>
    <row r="101" spans="2:7" ht="18.5" x14ac:dyDescent="0.75">
      <c r="B101" s="70"/>
      <c r="C101" s="73"/>
      <c r="D101" s="70"/>
      <c r="E101" s="70"/>
      <c r="F101" s="73"/>
      <c r="G101" s="70"/>
    </row>
    <row r="102" spans="2:7" ht="18.5" x14ac:dyDescent="0.75">
      <c r="B102" s="70"/>
      <c r="C102" s="73"/>
      <c r="D102" s="70"/>
      <c r="E102" s="70"/>
      <c r="F102" s="73"/>
      <c r="G102" s="70"/>
    </row>
    <row r="103" spans="2:7" ht="18.5" x14ac:dyDescent="0.75">
      <c r="B103" s="70"/>
      <c r="C103" s="73"/>
      <c r="D103" s="70"/>
      <c r="E103" s="70"/>
      <c r="F103" s="73"/>
      <c r="G103" s="70"/>
    </row>
    <row r="104" spans="2:7" ht="18.5" x14ac:dyDescent="0.75">
      <c r="B104" s="70"/>
      <c r="C104" s="73"/>
      <c r="D104" s="70"/>
      <c r="E104" s="70"/>
      <c r="F104" s="73"/>
      <c r="G104" s="70"/>
    </row>
    <row r="105" spans="2:7" ht="18.5" x14ac:dyDescent="0.75">
      <c r="B105" s="70"/>
      <c r="C105" s="73"/>
      <c r="D105" s="70"/>
      <c r="E105" s="70"/>
      <c r="F105" s="73"/>
      <c r="G105" s="70"/>
    </row>
    <row r="106" spans="2:7" ht="18.5" x14ac:dyDescent="0.75">
      <c r="B106" s="73"/>
      <c r="C106" s="73"/>
      <c r="D106" s="70"/>
      <c r="E106" s="73"/>
      <c r="F106" s="73"/>
      <c r="G106" s="70"/>
    </row>
    <row r="107" spans="2:7" ht="18.5" x14ac:dyDescent="0.75">
      <c r="B107" s="73"/>
      <c r="C107" s="73"/>
      <c r="D107" s="70"/>
      <c r="E107" s="70"/>
      <c r="F107" s="73"/>
      <c r="G107" s="70"/>
    </row>
  </sheetData>
  <autoFilter ref="A5:I62" xr:uid="{4F74B7C0-0340-49A6-ADA9-451D69ACDDD8}">
    <filterColumn colId="7" showButton="0"/>
  </autoFilter>
  <mergeCells count="1">
    <mergeCell ref="H5:I5"/>
  </mergeCells>
  <hyperlinks>
    <hyperlink ref="H41" r:id="rId1" xr:uid="{B01654CF-0182-4876-919C-F54CD5352D31}"/>
    <hyperlink ref="H25" r:id="rId2" xr:uid="{F1200D48-DFD4-476D-9AC1-EDC4F365DDB3}"/>
  </hyperlinks>
  <pageMargins left="0.7" right="0.7" top="0.75" bottom="0.75" header="0.3" footer="0.3"/>
  <pageSetup paperSize="9" orientation="portrait" r:id="rId3"/>
  <legacyDrawing r:id="rId4"/>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25" zoomScale="85" zoomScaleNormal="85" workbookViewId="0">
      <selection activeCell="G31" sqref="G31"/>
    </sheetView>
  </sheetViews>
  <sheetFormatPr defaultRowHeight="14.75" x14ac:dyDescent="0.75"/>
  <cols>
    <col min="1" max="1" width="8.7265625" style="113"/>
    <col min="2" max="2" width="44.26953125" style="114" customWidth="1"/>
    <col min="3" max="3" width="51.6796875" style="114" customWidth="1"/>
    <col min="4" max="4" width="45.86328125" style="114" customWidth="1"/>
    <col min="5" max="5" width="45.953125" style="114" customWidth="1"/>
    <col min="6" max="8" width="19.54296875" style="113" customWidth="1"/>
    <col min="9" max="9" width="60.76953125" style="113" customWidth="1"/>
    <col min="10" max="10" width="89.90625" style="113" customWidth="1"/>
    <col min="11" max="16384" width="8.7265625" style="113"/>
  </cols>
  <sheetData>
    <row r="1" spans="2:10" ht="44.25" x14ac:dyDescent="0.75">
      <c r="B1" s="14" t="str">
        <f>CONCATENATE("* differential.element[",'Rad-1'!A6,"].id = """,'Rad-1'!B6,"""")</f>
        <v>* differential.element[0].id = "Radiotherapy"</v>
      </c>
      <c r="C1" s="14" t="str">
        <f>CONCATENATE("* differential.element[",'Rad-1'!A6,"].path = """,'Rad-1'!$B$6,"""")</f>
        <v>* differential.element[0].path = "Radiotherapy"</v>
      </c>
      <c r="D1" s="14" t="str">
        <f>CONCATENATE("* differential.element[",'Rad-1'!A6,"].short = """,'Rad-1'!C6,"""")</f>
        <v>* differential.element[0].short = "Radiotherapy"</v>
      </c>
      <c r="E1" s="14" t="str">
        <f>CONCATENATE("* differential.element[",'Rad-1'!A6,"].definition = """,'Rad-1'!D6,"""")</f>
        <v>* differential.element[0].definition = "Radiotherapy"</v>
      </c>
      <c r="F1" s="14" t="str">
        <f>CONCATENATE("* differential.element[",'Rad-1'!A6,"].min = ",'Rad-1'!E6,"")</f>
        <v>* differential.element[0].min = 1</v>
      </c>
      <c r="G1" s="14" t="str">
        <f>CONCATENATE("* differential.element[",'Rad-1'!A6,"].max = """,'Rad-1'!F6,"""")</f>
        <v>* differential.element[0].max = "1"</v>
      </c>
      <c r="H1" s="14"/>
      <c r="I1" s="34"/>
      <c r="J1" s="34"/>
    </row>
    <row r="2" spans="2:10" ht="236" x14ac:dyDescent="0.75">
      <c r="B2" s="116" t="str">
        <f>CONCATENATE("* differential.element[",'Rad-1'!$A7,"].id = """,'Rad-1'!$B$6,".",'Rad-1'!B7,"""")</f>
        <v>* differential.element[1].id = "Radiotherapy.relatedDiagnosis"</v>
      </c>
      <c r="C2" s="116" t="str">
        <f>CONCATENATE("* differential.element[",'Rad-1'!$A7,"].path = """,'Rad-1'!$B$6,".",'Rad-1'!B7,"""")</f>
        <v>* differential.element[1].path = "Radiotherapy.relatedDiagnosis"</v>
      </c>
      <c r="D2" s="116" t="str">
        <f>CONCATENATE("* differential.element[",'Rad-1'!A7,"].short = """,'Rad-1'!C7,"""")</f>
        <v>* differential.element[1].short = "Related Diagnosis"</v>
      </c>
      <c r="E2" s="116" t="str">
        <f>CONCATENATE("* differential.element[",'Rad-1'!A7,"].definition = """,'Rad-1'!D7,"""")</f>
        <v>* differential.element[1].definition = "Identifier of the diagnosis for which this radiotherapy is performed"</v>
      </c>
      <c r="F2" s="116" t="str">
        <f>CONCATENATE("* differential.element[",'Rad-1'!A7,"].min = ",'Rad-1'!E7,"")</f>
        <v>* differential.element[1].min = 0</v>
      </c>
      <c r="G2" s="116" t="str">
        <f>CONCATENATE("* differential.element[",'Rad-1'!A7,"].max = """,'Rad-1'!F7,"""")</f>
        <v>* differential.element[1].max = "1"</v>
      </c>
      <c r="H2" s="116" t="str">
        <f>CONCATENATE("* differential.element[",'Rad-1'!A7,"].type.code = #",'Rad-1'!G7,"")</f>
        <v>* differential.element[1].type.code = #Identifier</v>
      </c>
      <c r="I2" s="116" t="str">
        <f>IF('Rad-1'!H7&gt; "", CONCATENATE("* differential.element[",'Rad-1'!A7,"].binding.valueSet = """,'Rad-1'!H7,""""),"")</f>
        <v/>
      </c>
      <c r="J2" s="116" t="str">
        <f>IF('Rad-1'!I7&gt; "", CONCATENATE("* differential.element[",'Rad-1'!A7,"].binding.strength = #",'Rad-1'!I7,""),"")</f>
        <v/>
      </c>
    </row>
    <row r="3" spans="2:10" ht="59" x14ac:dyDescent="0.75">
      <c r="B3" s="116" t="str">
        <f>CONCATENATE("* differential.element[",'Rad-1'!$A8,"].id = """,'Rad-1'!$B$6,".",'Rad-1'!B8,"""")</f>
        <v>* differential.element[2].id = "Radiotherapy.relatedRelapse"</v>
      </c>
      <c r="C3" s="116" t="str">
        <f>CONCATENATE("* differential.element[",'Rad-1'!$A8,"].path = """,'Rad-1'!$B$6,".",'Rad-1'!B8,"""")</f>
        <v>* differential.element[2].path = "Radiotherapy.relatedRelapse"</v>
      </c>
      <c r="D3" s="116" t="str">
        <f>CONCATENATE("* differential.element[",'Rad-1'!A8,"].short = """,'Rad-1'!C8,"""")</f>
        <v>* differential.element[2].short = "Related relapse/progression (after FLT)"</v>
      </c>
      <c r="E3" s="116" t="str">
        <f>CONCATENATE("* differential.element[",'Rad-1'!A8,"].definition = """,'Rad-1'!D8,"""")</f>
        <v>* differential.element[2].definition = "Identifier of the relapse/progression (after FLT) for which this radiotherapy is performed"</v>
      </c>
      <c r="F3" s="116" t="str">
        <f>CONCATENATE("* differential.element[",'Rad-1'!A8,"].min = ",'Rad-1'!E8,"")</f>
        <v>* differential.element[2].min = 0</v>
      </c>
      <c r="G3" s="116" t="str">
        <f>CONCATENATE("* differential.element[",'Rad-1'!A8,"].max = """,'Rad-1'!F8,"""")</f>
        <v>* differential.element[2].max = "1"</v>
      </c>
      <c r="H3" s="116" t="str">
        <f>CONCATENATE("* differential.element[",'Rad-1'!A8,"].type.code = #",'Rad-1'!G8,"")</f>
        <v>* differential.element[2].type.code = #Identifier</v>
      </c>
      <c r="I3" s="116" t="str">
        <f>IF('Rad-1'!H8&gt; "", CONCATENATE("* differential.element[",'Rad-1'!A8,"].binding.valueSet = """,'Rad-1'!H8,""""),"")</f>
        <v/>
      </c>
      <c r="J3" s="116" t="str">
        <f>IF('Rad-1'!I8&gt; "", CONCATENATE("* differential.element[",'Rad-1'!A8,"].binding.strength = #",'Rad-1'!I8,""),"")</f>
        <v/>
      </c>
    </row>
    <row r="4" spans="2:10" ht="162.25" x14ac:dyDescent="0.75">
      <c r="B4" s="116" t="str">
        <f>CONCATENATE("* differential.element[",'Rad-1'!$A9,"].id = """,'Rad-1'!$B$6,".",'Rad-1'!B9,"""")</f>
        <v>* differential.element[3].id = "Radiotherapy.identifier"</v>
      </c>
      <c r="C4" s="116" t="str">
        <f>CONCATENATE("* differential.element[",'Rad-1'!$A9,"].path = """,'Rad-1'!$B$6,".",'Rad-1'!B9,"""")</f>
        <v>* differential.element[3].path = "Radiotherapy.identifier"</v>
      </c>
      <c r="D4" s="116" t="str">
        <f>CONCATENATE("* differential.element[",'Rad-1'!A9,"].short = """,'Rad-1'!C9,"""")</f>
        <v>* differential.element[3].short = "Identifier of the radotherapy episode"</v>
      </c>
      <c r="E4" s="116" t="str">
        <f>CONCATENATE("* differential.element[",'Rad-1'!A9,"].definition = """,'Rad-1'!D9,"""")</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c r="F4" s="116" t="str">
        <f>CONCATENATE("* differential.element[",'Rad-1'!A9,"].min = ",'Rad-1'!E9,"")</f>
        <v>* differential.element[3].min = 0</v>
      </c>
      <c r="G4" s="116" t="str">
        <f>CONCATENATE("* differential.element[",'Rad-1'!A9,"].max = """,'Rad-1'!F9,"""")</f>
        <v>* differential.element[3].max = "*"</v>
      </c>
      <c r="H4" s="116" t="str">
        <f>CONCATENATE("* differential.element[",'Rad-1'!A9,"].type.code = #",'Rad-1'!G9,"")</f>
        <v>* differential.element[3].type.code = #Identifier</v>
      </c>
      <c r="I4" s="116" t="str">
        <f>IF('Rad-1'!H9&gt; "", CONCATENATE("* differential.element[",'Rad-1'!A9,"].binding.valueSet = """,'Rad-1'!H9,""""),"")</f>
        <v/>
      </c>
      <c r="J4" s="116" t="str">
        <f>IF('Rad-1'!I9&gt; "", CONCATENATE("* differential.element[",'Rad-1'!A9,"].binding.strength = #",'Rad-1'!I9,""),"")</f>
        <v/>
      </c>
    </row>
    <row r="5" spans="2:10" ht="59" x14ac:dyDescent="0.75">
      <c r="B5" s="116" t="str">
        <f>CONCATENATE("* differential.element[",'Rad-1'!$A10,"].id = """,'Rad-1'!$B$6,".",'Rad-1'!B10,"""")</f>
        <v>* differential.element[4].id = "Radiotherapy.istitutionOfTreatment"</v>
      </c>
      <c r="C5" s="116" t="str">
        <f>CONCATENATE("* differential.element[",'Rad-1'!$A10,"].path = """,'Rad-1'!$B$6,".",'Rad-1'!B10,"""")</f>
        <v>* differential.element[4].path = "Radiotherapy.istitutionOfTreatment"</v>
      </c>
      <c r="D5" s="116" t="str">
        <f>CONCATENATE("* differential.element[",'Rad-1'!A10,"].short = """,'Rad-1'!C10,"""")</f>
        <v>* differential.element[4].short = "Institution of treatment"</v>
      </c>
      <c r="E5" s="116" t="str">
        <f>CONCATENATE("* differential.element[",'Rad-1'!A10,"].definition = """,'Rad-1'!D10,"""")</f>
        <v>* differential.element[4].definition = "Please indicate the institution in which the radiotherapeutic treatment was given"</v>
      </c>
      <c r="F5" s="116" t="str">
        <f>CONCATENATE("* differential.element[",'Rad-1'!A10,"].min = ",'Rad-1'!E10,"")</f>
        <v>* differential.element[4].min = 0</v>
      </c>
      <c r="G5" s="116" t="str">
        <f>CONCATENATE("* differential.element[",'Rad-1'!A10,"].max = """,'Rad-1'!F10,"""")</f>
        <v>* differential.element[4].max = "1"</v>
      </c>
      <c r="H5" s="116" t="str">
        <f>CONCATENATE("* differential.element[",'Rad-1'!A10,"].type.code = #",'Rad-1'!G10,"")</f>
        <v>* differential.element[4].type.code = #BackboneElement</v>
      </c>
      <c r="I5" s="116" t="str">
        <f>IF('Rad-1'!H10&gt; "", CONCATENATE("* differential.element[",'Rad-1'!A10,"].binding.valueSet = """,'Rad-1'!H10,""""),"")</f>
        <v/>
      </c>
      <c r="J5" s="116" t="str">
        <f>IF('Rad-1'!I10&gt; "", CONCATENATE("* differential.element[",'Rad-1'!A10,"].binding.strength = #",'Rad-1'!I10,""),"")</f>
        <v/>
      </c>
    </row>
    <row r="6" spans="2:10" ht="44.25" x14ac:dyDescent="0.75">
      <c r="B6" s="116" t="str">
        <f>CONCATENATE("* differential.element[",'Rad-1'!$A11,"].id = """,'Rad-1'!$B$6,".",'Rad-1'!B11,"""")</f>
        <v>* differential.element[5].id = "Radiotherapy.istitutionOfTreatment.description"</v>
      </c>
      <c r="C6" s="116" t="str">
        <f>CONCATENATE("* differential.element[",'Rad-1'!$A11,"].path = """,'Rad-1'!$B$6,".",'Rad-1'!B11,"""")</f>
        <v>* differential.element[5].path = "Radiotherapy.istitutionOfTreatment.description"</v>
      </c>
      <c r="D6" s="116" t="str">
        <f>CONCATENATE("* differential.element[",'Rad-1'!A11,"].short = """,'Rad-1'!C11,"""")</f>
        <v>* differential.element[5].short = "Institution description"</v>
      </c>
      <c r="E6" s="116" t="str">
        <f>CONCATENATE("* differential.element[",'Rad-1'!A11,"].definition = """,'Rad-1'!D11,"""")</f>
        <v>* differential.element[5].definition = "Please provide name, city and countryof the institution"</v>
      </c>
      <c r="F6" s="116" t="str">
        <f>CONCATENATE("* differential.element[",'Rad-1'!A11,"].min = ",'Rad-1'!E11,"")</f>
        <v>* differential.element[5].min = 0</v>
      </c>
      <c r="G6" s="116" t="str">
        <f>CONCATENATE("* differential.element[",'Rad-1'!A11,"].max = """,'Rad-1'!F11,"""")</f>
        <v>* differential.element[5].max = "1"</v>
      </c>
      <c r="H6" s="116" t="str">
        <f>CONCATENATE("* differential.element[",'Rad-1'!A11,"].type.code = #",'Rad-1'!G11,"")</f>
        <v>* differential.element[5].type.code = #string</v>
      </c>
      <c r="I6" s="116" t="str">
        <f>IF('Rad-1'!H11&gt; "", CONCATENATE("* differential.element[",'Rad-1'!A11,"].binding.valueSet = """,'Rad-1'!H11,""""),"")</f>
        <v/>
      </c>
      <c r="J6" s="116" t="str">
        <f>IF('Rad-1'!I11&gt; "", CONCATENATE("* differential.element[",'Rad-1'!A11,"].binding.strength = #",'Rad-1'!I11,""),"")</f>
        <v/>
      </c>
    </row>
    <row r="7" spans="2:10" ht="44.25" x14ac:dyDescent="0.75">
      <c r="B7" s="116" t="str">
        <f>CONCATENATE("* differential.element[",'Rad-1'!$A12,"].id = """,'Rad-1'!$B$6,".",'Rad-1'!B12,"""")</f>
        <v>* differential.element[6].id = "Radiotherapy.istitutionOfTreatment.name"</v>
      </c>
      <c r="C7" s="116" t="str">
        <f>CONCATENATE("* differential.element[",'Rad-1'!$A12,"].path = """,'Rad-1'!$B$6,".",'Rad-1'!B12,"""")</f>
        <v>* differential.element[6].path = "Radiotherapy.istitutionOfTreatment.name"</v>
      </c>
      <c r="D7" s="116" t="str">
        <f>CONCATENATE("* differential.element[",'Rad-1'!A12,"].short = """,'Rad-1'!C12,"""")</f>
        <v>* differential.element[6].short = "Institution name"</v>
      </c>
      <c r="E7" s="116" t="str">
        <f>CONCATENATE("* differential.element[",'Rad-1'!A12,"].definition = """,'Rad-1'!D12,"""")</f>
        <v>* differential.element[6].definition = "Institution name"</v>
      </c>
      <c r="F7" s="116" t="str">
        <f>CONCATENATE("* differential.element[",'Rad-1'!A12,"].min = ",'Rad-1'!E12,"")</f>
        <v>* differential.element[6].min = 0</v>
      </c>
      <c r="G7" s="116" t="str">
        <f>CONCATENATE("* differential.element[",'Rad-1'!A12,"].max = """,'Rad-1'!F12,"""")</f>
        <v>* differential.element[6].max = "1"</v>
      </c>
      <c r="H7" s="116" t="str">
        <f>CONCATENATE("* differential.element[",'Rad-1'!A12,"].type.code = #",'Rad-1'!G12,"")</f>
        <v>* differential.element[6].type.code = #string</v>
      </c>
      <c r="I7" s="116" t="str">
        <f>IF('Rad-1'!H12&gt; "", CONCATENATE("* differential.element[",'Rad-1'!A12,"].binding.valueSet = """,'Rad-1'!H12,""""),"")</f>
        <v/>
      </c>
      <c r="J7" s="116" t="str">
        <f>IF('Rad-1'!I12&gt; "", CONCATENATE("* differential.element[",'Rad-1'!A12,"].binding.strength = #",'Rad-1'!I12,""),"")</f>
        <v/>
      </c>
    </row>
    <row r="8" spans="2:10" ht="59" x14ac:dyDescent="0.75">
      <c r="B8" s="116" t="str">
        <f>CONCATENATE("* differential.element[",'Rad-1'!$A13,"].id = """,'Rad-1'!$B$6,".",'Rad-1'!B13,"""")</f>
        <v>* differential.element[7].id = "Radiotherapy.istitutionOfTreatment.address"</v>
      </c>
      <c r="C8" s="116" t="str">
        <f>CONCATENATE("* differential.element[",'Rad-1'!$A13,"].path = """,'Rad-1'!$B$6,".",'Rad-1'!B13,"""")</f>
        <v>* differential.element[7].path = "Radiotherapy.istitutionOfTreatment.address"</v>
      </c>
      <c r="D8" s="116" t="str">
        <f>CONCATENATE("* differential.element[",'Rad-1'!A13,"].short = """,'Rad-1'!C13,"""")</f>
        <v>* differential.element[7].short = "Institution address"</v>
      </c>
      <c r="E8" s="116" t="str">
        <f>CONCATENATE("* differential.element[",'Rad-1'!A13,"].definition = """,'Rad-1'!D13,"""")</f>
        <v>* differential.element[7].definition = "Institution address"</v>
      </c>
      <c r="F8" s="116" t="str">
        <f>CONCATENATE("* differential.element[",'Rad-1'!A13,"].min = ",'Rad-1'!E13,"")</f>
        <v>* differential.element[7].min = 0</v>
      </c>
      <c r="G8" s="116" t="str">
        <f>CONCATENATE("* differential.element[",'Rad-1'!A13,"].max = """,'Rad-1'!F13,"""")</f>
        <v>* differential.element[7].max = "1"</v>
      </c>
      <c r="H8" s="116" t="str">
        <f>CONCATENATE("* differential.element[",'Rad-1'!A13,"].type.code = #",'Rad-1'!G13,"")</f>
        <v>* differential.element[7].type.code = #BackboneElement</v>
      </c>
      <c r="I8" s="116" t="str">
        <f>IF('Rad-1'!H13&gt; "", CONCATENATE("* differential.element[",'Rad-1'!A13,"].binding.valueSet = """,'Rad-1'!H13,""""),"")</f>
        <v/>
      </c>
      <c r="J8" s="116" t="str">
        <f>IF('Rad-1'!I13&gt; "", CONCATENATE("* differential.element[",'Rad-1'!A13,"].binding.strength = #",'Rad-1'!I13,""),"")</f>
        <v/>
      </c>
    </row>
    <row r="9" spans="2:10" ht="44.25" x14ac:dyDescent="0.75">
      <c r="B9" s="116" t="str">
        <f>CONCATENATE("* differential.element[",'Rad-1'!$A14,"].id = """,'Rad-1'!$B$6,".",'Rad-1'!B14,"""")</f>
        <v>* differential.element[8].id = "Radiotherapy.istitutionOfTreatment.address.name"</v>
      </c>
      <c r="C9" s="116" t="str">
        <f>CONCATENATE("* differential.element[",'Rad-1'!$A14,"].path = """,'Rad-1'!$B$6,".",'Rad-1'!B14,"""")</f>
        <v>* differential.element[8].path = "Radiotherapy.istitutionOfTreatment.address.name"</v>
      </c>
      <c r="D9" s="116" t="str">
        <f>CONCATENATE("* differential.element[",'Rad-1'!A14,"].short = """,'Rad-1'!C14,"""")</f>
        <v>* differential.element[8].short = "Institution city"</v>
      </c>
      <c r="E9" s="116" t="str">
        <f>CONCATENATE("* differential.element[",'Rad-1'!A14,"].definition = """,'Rad-1'!D14,"""")</f>
        <v>* differential.element[8].definition = "Institution city"</v>
      </c>
      <c r="F9" s="116" t="str">
        <f>CONCATENATE("* differential.element[",'Rad-1'!A14,"].min = ",'Rad-1'!E14,"")</f>
        <v>* differential.element[8].min = 0</v>
      </c>
      <c r="G9" s="116" t="str">
        <f>CONCATENATE("* differential.element[",'Rad-1'!A14,"].max = """,'Rad-1'!F14,"""")</f>
        <v>* differential.element[8].max = "1"</v>
      </c>
      <c r="H9" s="116" t="str">
        <f>CONCATENATE("* differential.element[",'Rad-1'!A14,"].type.code = #",'Rad-1'!G14,"")</f>
        <v>* differential.element[8].type.code = #string</v>
      </c>
      <c r="I9" s="116" t="str">
        <f>IF('Rad-1'!H14&gt; "", CONCATENATE("* differential.element[",'Rad-1'!A14,"].binding.valueSet = """,'Rad-1'!H14,""""),"")</f>
        <v/>
      </c>
      <c r="J9" s="116" t="str">
        <f>IF('Rad-1'!I14&gt; "", CONCATENATE("* differential.element[",'Rad-1'!A14,"].binding.strength = #",'Rad-1'!I14,""),"")</f>
        <v/>
      </c>
    </row>
    <row r="10" spans="2:10" ht="44.25" x14ac:dyDescent="0.75">
      <c r="B10" s="116" t="str">
        <f>CONCATENATE("* differential.element[",'Rad-1'!$A15,"].id = """,'Rad-1'!$B$6,".",'Rad-1'!B15,"""")</f>
        <v>* differential.element[9].id = "Radiotherapy.istitutionOfTreatment.address.country"</v>
      </c>
      <c r="C10" s="116" t="str">
        <f>CONCATENATE("* differential.element[",'Rad-1'!$A15,"].path = """,'Rad-1'!$B$6,".",'Rad-1'!B15,"""")</f>
        <v>* differential.element[9].path = "Radiotherapy.istitutionOfTreatment.address.country"</v>
      </c>
      <c r="D10" s="116" t="str">
        <f>CONCATENATE("* differential.element[",'Rad-1'!A15,"].short = """,'Rad-1'!C15,"""")</f>
        <v>* differential.element[9].short = "Institution country"</v>
      </c>
      <c r="E10" s="116" t="str">
        <f>CONCATENATE("* differential.element[",'Rad-1'!A15,"].definition = """,'Rad-1'!D15,"""")</f>
        <v>* differential.element[9].definition = "Institution country"</v>
      </c>
      <c r="F10" s="116" t="str">
        <f>CONCATENATE("* differential.element[",'Rad-1'!A15,"].min = ",'Rad-1'!E15,"")</f>
        <v>* differential.element[9].min = 0</v>
      </c>
      <c r="G10" s="116" t="str">
        <f>CONCATENATE("* differential.element[",'Rad-1'!A15,"].max = """,'Rad-1'!F15,"""")</f>
        <v>* differential.element[9].max = "1"</v>
      </c>
      <c r="H10" s="116" t="str">
        <f>CONCATENATE("* differential.element[",'Rad-1'!A15,"].type.code = #",'Rad-1'!G15,"")</f>
        <v>* differential.element[9].type.code = #string</v>
      </c>
      <c r="I10" s="116" t="str">
        <f>IF('Rad-1'!H15&gt; "", CONCATENATE("* differential.element[",'Rad-1'!A15,"].binding.valueSet = """,'Rad-1'!H15,""""),"")</f>
        <v/>
      </c>
      <c r="J10" s="116" t="str">
        <f>IF('Rad-1'!I15&gt; "", CONCATENATE("* differential.element[",'Rad-1'!A15,"].binding.strength = #",'Rad-1'!I15,""),"")</f>
        <v/>
      </c>
    </row>
    <row r="11" spans="2:10" ht="73.75" x14ac:dyDescent="0.75">
      <c r="B11" s="116" t="str">
        <f>CONCATENATE("* differential.element[",'Rad-1'!$A16,"].id = """,'Rad-1'!$B$6,".",'Rad-1'!B16,"""")</f>
        <v>* differential.element[10].id = "Radiotherapy.startDate"</v>
      </c>
      <c r="C11" s="116" t="str">
        <f>CONCATENATE("* differential.element[",'Rad-1'!$A16,"].path = """,'Rad-1'!$B$6,".",'Rad-1'!B16,"""")</f>
        <v>* differential.element[10].path = "Radiotherapy.startDate"</v>
      </c>
      <c r="D11" s="116" t="str">
        <f>CONCATENATE("* differential.element[",'Rad-1'!A16,"].short = """,'Rad-1'!C16,"""")</f>
        <v>* differential.element[10].short = "Start date"</v>
      </c>
      <c r="E11" s="116" t="str">
        <f>CONCATENATE("* differential.element[",'Rad-1'!A16,"].definition = """,'Rad-1'!D16,"""")</f>
        <v>* differential.element[10].definition = "Enter the date on which the first treatment (fraction) of radiotherapy was given, in a DD/MM/YYYY format. If the date is unkown or partially missed insert the year at the best of your knowledge."</v>
      </c>
      <c r="F11" s="116" t="str">
        <f>CONCATENATE("* differential.element[",'Rad-1'!A16,"].min = ",'Rad-1'!E16,"")</f>
        <v>* differential.element[10].min = 1</v>
      </c>
      <c r="G11" s="116" t="str">
        <f>CONCATENATE("* differential.element[",'Rad-1'!A16,"].max = """,'Rad-1'!F16,"""")</f>
        <v>* differential.element[10].max = "1"</v>
      </c>
      <c r="H11" s="116" t="str">
        <f>CONCATENATE("* differential.element[",'Rad-1'!A16,"].type.code = #",'Rad-1'!G16,"")</f>
        <v>* differential.element[10].type.code = #dateTime</v>
      </c>
      <c r="I11" s="116" t="str">
        <f>IF('Rad-1'!H16&gt; "", CONCATENATE("* differential.element[",'Rad-1'!A16,"].binding.valueSet = """,'Rad-1'!H16,""""),"")</f>
        <v/>
      </c>
      <c r="J11" s="116" t="str">
        <f>IF('Rad-1'!I16&gt; "", CONCATENATE("* differential.element[",'Rad-1'!A16,"].binding.strength = #",'Rad-1'!I16,""),"")</f>
        <v/>
      </c>
    </row>
    <row r="12" spans="2:10" ht="103.25" x14ac:dyDescent="0.75">
      <c r="B12" s="116" t="str">
        <f>CONCATENATE("* differential.element[",'Rad-1'!$A17,"].id = """,'Rad-1'!$B$6,".",'Rad-1'!B17,"""")</f>
        <v>* differential.element[11].id = "Radiotherapy.enddate"</v>
      </c>
      <c r="C12" s="116" t="str">
        <f>CONCATENATE("* differential.element[",'Rad-1'!$A17,"].path = """,'Rad-1'!$B$6,".",'Rad-1'!B17,"""")</f>
        <v>* differential.element[11].path = "Radiotherapy.enddate"</v>
      </c>
      <c r="D12" s="116" t="str">
        <f>CONCATENATE("* differential.element[",'Rad-1'!A17,"].short = """,'Rad-1'!C17,"""")</f>
        <v>* differential.element[11].short = "End date"</v>
      </c>
      <c r="E12" s="116" t="str">
        <f>CONCATENATE("* differential.element[",'Rad-1'!A17,"].definition = """,'Rad-1'!D17,"""")</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c r="F12" s="116" t="str">
        <f>CONCATENATE("* differential.element[",'Rad-1'!A17,"].min = ",'Rad-1'!E17,"")</f>
        <v>* differential.element[11].min = 0</v>
      </c>
      <c r="G12" s="116" t="str">
        <f>CONCATENATE("* differential.element[",'Rad-1'!A17,"].max = """,'Rad-1'!F17,"""")</f>
        <v>* differential.element[11].max = "1"</v>
      </c>
      <c r="H12" s="116" t="str">
        <f>CONCATENATE("* differential.element[",'Rad-1'!A17,"].type.code = #",'Rad-1'!G17,"")</f>
        <v>* differential.element[11].type.code = #dateTime</v>
      </c>
      <c r="I12" s="116" t="str">
        <f>IF('Rad-1'!H17&gt; "", CONCATENATE("* differential.element[",'Rad-1'!A17,"].binding.valueSet = """,'Rad-1'!H17,""""),"")</f>
        <v/>
      </c>
      <c r="J12" s="116" t="str">
        <f>IF('Rad-1'!I17&gt; "", CONCATENATE("* differential.element[",'Rad-1'!A17,"].binding.strength = #",'Rad-1'!I17,""),"")</f>
        <v/>
      </c>
    </row>
    <row r="13" spans="2:10" ht="236" x14ac:dyDescent="0.75">
      <c r="B13" s="116" t="str">
        <f>CONCATENATE("* differential.element[",'Rad-1'!$A18,"].id = """,'Rad-1'!$B$6,".",'Rad-1'!B18,"""")</f>
        <v>* differential.element[12].id = "Radiotherapy.type"</v>
      </c>
      <c r="C13" s="116" t="str">
        <f>CONCATENATE("* differential.element[",'Rad-1'!$A18,"].path = """,'Rad-1'!$B$6,".",'Rad-1'!B18,"""")</f>
        <v>* differential.element[12].path = "Radiotherapy.type"</v>
      </c>
      <c r="D13" s="116" t="str">
        <f>CONCATENATE("* differential.element[",'Rad-1'!A18,"].short = """,'Rad-1'!C18,"""")</f>
        <v>* differential.element[12].short = "Type of radiotherapy"</v>
      </c>
      <c r="E13" s="116" t="str">
        <f>CONCATENATE("* differential.element[",'Rad-1'!A18,"].definition = """,'Rad-1'!D18,"""")</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c r="F13" s="116" t="str">
        <f>CONCATENATE("* differential.element[",'Rad-1'!A18,"].min = ",'Rad-1'!E18,"")</f>
        <v>* differential.element[12].min = 1</v>
      </c>
      <c r="G13" s="116" t="str">
        <f>CONCATENATE("* differential.element[",'Rad-1'!A18,"].max = """,'Rad-1'!F18,"""")</f>
        <v>* differential.element[12].max = "1"</v>
      </c>
      <c r="H13" s="116" t="str">
        <f>CONCATENATE("* differential.element[",'Rad-1'!A18,"].type.code = #",'Rad-1'!G18,"")</f>
        <v>* differential.element[12].type.code = #CodeableConcept</v>
      </c>
      <c r="I13" s="116" t="str">
        <f>IF('Rad-1'!H18&gt; "", CONCATENATE("* differential.element[",'Rad-1'!A18,"].binding.valueSet = """,'Rad-1'!H18,""""),"")</f>
        <v/>
      </c>
      <c r="J13" s="116" t="str">
        <f>IF('Rad-1'!I18&gt; "", CONCATENATE("* differential.element[",'Rad-1'!A18,"].binding.strength = #",'Rad-1'!I18,""),"")</f>
        <v/>
      </c>
    </row>
    <row r="14" spans="2:10" ht="265.5" x14ac:dyDescent="0.75">
      <c r="B14" s="116" t="str">
        <f>CONCATENATE("* differential.element[",'Rad-1'!$A19,"].id = """,'Rad-1'!$B$6,".",'Rad-1'!B19,"""")</f>
        <v>* differential.element[13].id = "Radiotherapy.deviceType"</v>
      </c>
      <c r="C14" s="116" t="str">
        <f>CONCATENATE("* differential.element[",'Rad-1'!$A19,"].path = """,'Rad-1'!$B$6,".",'Rad-1'!B19,"""")</f>
        <v>* differential.element[13].path = "Radiotherapy.deviceType"</v>
      </c>
      <c r="D14" s="116" t="str">
        <f>CONCATENATE("* differential.element[",'Rad-1'!A19,"].short = """,'Rad-1'!C19,"""")</f>
        <v>* differential.element[13].short = "type of machine (If external beam)"</v>
      </c>
      <c r="E14" s="116" t="str">
        <f>CONCATENATE("* differential.element[",'Rad-1'!A19,"].definition = """,'Rad-1'!D19,"""")</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c r="F14" s="116" t="str">
        <f>CONCATENATE("* differential.element[",'Rad-1'!A19,"].min = ",'Rad-1'!E19,"")</f>
        <v>* differential.element[13].min = 0</v>
      </c>
      <c r="G14" s="116" t="str">
        <f>CONCATENATE("* differential.element[",'Rad-1'!A19,"].max = """,'Rad-1'!F19,"""")</f>
        <v>* differential.element[13].max = "1"</v>
      </c>
      <c r="H14" s="116" t="str">
        <f>CONCATENATE("* differential.element[",'Rad-1'!A19,"].type.code = #",'Rad-1'!G19,"")</f>
        <v>* differential.element[13].type.code = #CodeableConcept</v>
      </c>
      <c r="I14" s="116" t="str">
        <f>IF('Rad-1'!H19&gt; "", CONCATENATE("* differential.element[",'Rad-1'!A19,"].binding.valueSet = """,'Rad-1'!H19,""""),"")</f>
        <v/>
      </c>
      <c r="J14" s="116" t="str">
        <f>IF('Rad-1'!I19&gt; "", CONCATENATE("* differential.element[",'Rad-1'!A19,"].binding.strength = #",'Rad-1'!I19,""),"")</f>
        <v/>
      </c>
    </row>
    <row r="15" spans="2:10" ht="191.75" x14ac:dyDescent="0.75">
      <c r="B15" s="116" t="str">
        <f>CONCATENATE("* differential.element[",'Rad-1'!$A20,"].id = """,'Rad-1'!$B$6,".",'Rad-1'!B20,"""")</f>
        <v>* differential.element[14].id = "Radiotherapy.brachytherapyType"</v>
      </c>
      <c r="C15" s="116" t="str">
        <f>CONCATENATE("* differential.element[",'Rad-1'!$A20,"].path = """,'Rad-1'!$B$6,".",'Rad-1'!B20,"""")</f>
        <v>* differential.element[14].path = "Radiotherapy.brachytherapyType"</v>
      </c>
      <c r="D15" s="116" t="str">
        <f>CONCATENATE("* differential.element[",'Rad-1'!A20,"].short = """,'Rad-1'!C20,"""")</f>
        <v>* differential.element[14].short = "type of brachytherapy (if brachytherapy)"</v>
      </c>
      <c r="E15" s="116" t="str">
        <f>CONCATENATE("* differential.element[",'Rad-1'!A20,"].definition = """,'Rad-1'!D20,"""")</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c r="F15" s="116" t="str">
        <f>CONCATENATE("* differential.element[",'Rad-1'!A20,"].min = ",'Rad-1'!E20,"")</f>
        <v>* differential.element[14].min = 0</v>
      </c>
      <c r="G15" s="116" t="str">
        <f>CONCATENATE("* differential.element[",'Rad-1'!A20,"].max = """,'Rad-1'!F20,"""")</f>
        <v>* differential.element[14].max = "1"</v>
      </c>
      <c r="H15" s="116" t="str">
        <f>CONCATENATE("* differential.element[",'Rad-1'!A20,"].type.code = #",'Rad-1'!G20,"")</f>
        <v>* differential.element[14].type.code = #CodeableConcept</v>
      </c>
      <c r="I15" s="116" t="str">
        <f>IF('Rad-1'!H20&gt; "", CONCATENATE("* differential.element[",'Rad-1'!A20,"].binding.valueSet = """,'Rad-1'!H20,""""),"")</f>
        <v/>
      </c>
      <c r="J15" s="116" t="str">
        <f>IF('Rad-1'!I20&gt; "", CONCATENATE("* differential.element[",'Rad-1'!A20,"].binding.strength = #",'Rad-1'!I20,""),"")</f>
        <v/>
      </c>
    </row>
    <row r="16" spans="2:10" ht="132.75" x14ac:dyDescent="0.75">
      <c r="B16" s="116" t="str">
        <f>CONCATENATE("* differential.element[",'Rad-1'!$A21,"].id = """,'Rad-1'!$B$6,".",'Rad-1'!B21,"""")</f>
        <v>* differential.element[15].id = "Radiotherapy.isotopes"</v>
      </c>
      <c r="C16" s="116" t="str">
        <f>CONCATENATE("* differential.element[",'Rad-1'!$A21,"].path = """,'Rad-1'!$B$6,".",'Rad-1'!B21,"""")</f>
        <v>* differential.element[15].path = "Radiotherapy.isotopes"</v>
      </c>
      <c r="D16" s="116" t="str">
        <f>CONCATENATE("* differential.element[",'Rad-1'!A21,"].short = """,'Rad-1'!C21,"""")</f>
        <v>* differential.element[15].short = "Radioactive materials (if brachytherapy)"</v>
      </c>
      <c r="E16" s="116" t="str">
        <f>CONCATENATE("* differential.element[",'Rad-1'!A21,"].definition = """,'Rad-1'!D21,"""")</f>
        <v>* differential.element[15].definition = "Specify the radioactive material (isotopes) used: If not listed, select 'Other then specify'
1 =&gt; Iridium (Ir)
2 =&gt; Gold (Au)
3 =&gt; Iodine (I)
4 =&gt; Caesium (Cs)
5 =&gt; Other
-9922 =&gt; Unknown"</v>
      </c>
      <c r="F16" s="116" t="str">
        <f>CONCATENATE("* differential.element[",'Rad-1'!A21,"].min = ",'Rad-1'!E21,"")</f>
        <v>* differential.element[15].min = 0</v>
      </c>
      <c r="G16" s="116" t="str">
        <f>CONCATENATE("* differential.element[",'Rad-1'!A21,"].max = """,'Rad-1'!F21,"""")</f>
        <v>* differential.element[15].max = "1"</v>
      </c>
      <c r="H16" s="116" t="str">
        <f>CONCATENATE("* differential.element[",'Rad-1'!A21,"].type.code = #",'Rad-1'!G21,"")</f>
        <v>* differential.element[15].type.code = #CodeableConcept</v>
      </c>
      <c r="I16" s="116" t="str">
        <f>IF('Rad-1'!H21&gt; "", CONCATENATE("* differential.element[",'Rad-1'!A21,"].binding.valueSet = """,'Rad-1'!H21,""""),"")</f>
        <v/>
      </c>
      <c r="J16" s="116" t="str">
        <f>IF('Rad-1'!I21&gt; "", CONCATENATE("* differential.element[",'Rad-1'!A21,"].binding.strength = #",'Rad-1'!I21,""),"")</f>
        <v/>
      </c>
    </row>
    <row r="17" spans="2:10" ht="191.75" x14ac:dyDescent="0.75">
      <c r="B17" s="116" t="str">
        <f>CONCATENATE("* differential.element[",'Rad-1'!$A22,"].id = """,'Rad-1'!$B$6,".",'Rad-1'!B22,"""")</f>
        <v>* differential.element[16].id = "Radiotherapy.radionuclides"</v>
      </c>
      <c r="C17" s="116" t="str">
        <f>CONCATENATE("* differential.element[",'Rad-1'!$A22,"].path = """,'Rad-1'!$B$6,".",'Rad-1'!B22,"""")</f>
        <v>* differential.element[16].path = "Radiotherapy.radionuclides"</v>
      </c>
      <c r="D17" s="116" t="str">
        <f>CONCATENATE("* differential.element[",'Rad-1'!A22,"].short = """,'Rad-1'!C22,"""")</f>
        <v>* differential.element[16].short = "radionuclides (required If metabolic/radionuclide)"</v>
      </c>
      <c r="E17" s="116" t="str">
        <f>CONCATENATE("* differential.element[",'Rad-1'!A22,"].definition = """,'Rad-1'!D22,"""")</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c r="F17" s="116" t="str">
        <f>CONCATENATE("* differential.element[",'Rad-1'!A22,"].min = ",'Rad-1'!E22,"")</f>
        <v>* differential.element[16].min = 0</v>
      </c>
      <c r="G17" s="116" t="str">
        <f>CONCATENATE("* differential.element[",'Rad-1'!A22,"].max = """,'Rad-1'!F22,"""")</f>
        <v>* differential.element[16].max = "1"</v>
      </c>
      <c r="H17" s="116" t="str">
        <f>CONCATENATE("* differential.element[",'Rad-1'!A22,"].type.code = #",'Rad-1'!G22,"")</f>
        <v>* differential.element[16].type.code = #CodeableConcept</v>
      </c>
      <c r="I17" s="116" t="str">
        <f>IF('Rad-1'!H22&gt; "", CONCATENATE("* differential.element[",'Rad-1'!A22,"].binding.valueSet = """,'Rad-1'!H22,""""),"")</f>
        <v/>
      </c>
      <c r="J17" s="116" t="str">
        <f>IF('Rad-1'!I22&gt; "", CONCATENATE("* differential.element[",'Rad-1'!A22,"].binding.strength = #",'Rad-1'!I22,""),"")</f>
        <v/>
      </c>
    </row>
    <row r="18" spans="2:10" ht="73.75" x14ac:dyDescent="0.75">
      <c r="B18" s="116" t="str">
        <f>CONCATENATE("* differential.element[",'Rad-1'!$A23,"].id = """,'Rad-1'!$B$6,".",'Rad-1'!B23,"""")</f>
        <v>* differential.element[17].id = "Radiotherapy.numberOfCourses"</v>
      </c>
      <c r="C18" s="116" t="str">
        <f>CONCATENATE("* differential.element[",'Rad-1'!$A23,"].path = """,'Rad-1'!$B$6,".",'Rad-1'!B23,"""")</f>
        <v>* differential.element[17].path = "Radiotherapy.numberOfCourses"</v>
      </c>
      <c r="D18" s="116" t="str">
        <f>CONCATENATE("* differential.element[",'Rad-1'!A23,"].short = """,'Rad-1'!C23,"""")</f>
        <v>* differential.element[17].short = "Number of courses  (If metabolic/radionuclide)"</v>
      </c>
      <c r="E18" s="116" t="str">
        <f>CONCATENATE("* differential.element[",'Rad-1'!A23,"].definition = """,'Rad-1'!D23,"""")</f>
        <v>* differential.element[17].definition = "For Metabolic/radionuclide therapy"</v>
      </c>
      <c r="F18" s="116" t="str">
        <f>CONCATENATE("* differential.element[",'Rad-1'!A23,"].min = ",'Rad-1'!E23,"")</f>
        <v>* differential.element[17].min = 0</v>
      </c>
      <c r="G18" s="116" t="str">
        <f>CONCATENATE("* differential.element[",'Rad-1'!A23,"].max = """,'Rad-1'!F23,"""")</f>
        <v>* differential.element[17].max = "1"</v>
      </c>
      <c r="H18" s="116" t="str">
        <f>CONCATENATE("* differential.element[",'Rad-1'!A23,"].type.code = #",'Rad-1'!G23,"")</f>
        <v>* differential.element[17].type.code = #integer</v>
      </c>
      <c r="I18" s="116" t="str">
        <f>IF('Rad-1'!H23&gt; "", CONCATENATE("* differential.element[",'Rad-1'!A23,"].binding.valueSet = """,'Rad-1'!H23,""""),"")</f>
        <v/>
      </c>
      <c r="J18" s="116" t="str">
        <f>IF('Rad-1'!I23&gt; "", CONCATENATE("* differential.element[",'Rad-1'!A23,"].binding.strength = #",'Rad-1'!I23,""),"")</f>
        <v/>
      </c>
    </row>
    <row r="19" spans="2:10" ht="132.75" x14ac:dyDescent="0.75">
      <c r="B19" s="116" t="str">
        <f>CONCATENATE("* differential.element[",'Rad-1'!$A24,"].id = """,'Rad-1'!$B$6,".",'Rad-1'!B24,"""")</f>
        <v>* differential.element[18].id = "Radiotherapy.target"</v>
      </c>
      <c r="C19" s="116" t="str">
        <f>CONCATENATE("* differential.element[",'Rad-1'!$A24,"].path = """,'Rad-1'!$B$6,".",'Rad-1'!B24,"""")</f>
        <v>* differential.element[18].path = "Radiotherapy.target"</v>
      </c>
      <c r="D19" s="116" t="str">
        <f>CONCATENATE("* differential.element[",'Rad-1'!A24,"].short = """,'Rad-1'!C24,"""")</f>
        <v>* differential.element[18].short = "Target"</v>
      </c>
      <c r="E19" s="116" t="str">
        <f>CONCATENATE("* differential.element[",'Rad-1'!A24,"].definition = """,'Rad-1'!D24,"""")</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c r="F19" s="116" t="str">
        <f>CONCATENATE("* differential.element[",'Rad-1'!A24,"].min = ",'Rad-1'!E24,"")</f>
        <v>* differential.element[18].min = 0</v>
      </c>
      <c r="G19" s="116" t="str">
        <f>CONCATENATE("* differential.element[",'Rad-1'!A24,"].max = """,'Rad-1'!F24,"""")</f>
        <v>* differential.element[18].max = "5"</v>
      </c>
      <c r="H19" s="116" t="str">
        <f>CONCATENATE("* differential.element[",'Rad-1'!A24,"].type.code = #",'Rad-1'!G24,"")</f>
        <v>* differential.element[18].type.code = #BackboneElement</v>
      </c>
      <c r="I19" s="116" t="str">
        <f>IF('Rad-1'!H24&gt; "", CONCATENATE("* differential.element[",'Rad-1'!A24,"].binding.valueSet = """,'Rad-1'!H24,""""),"")</f>
        <v/>
      </c>
      <c r="J19" s="116" t="str">
        <f>IF('Rad-1'!I24&gt; "", CONCATENATE("* differential.element[",'Rad-1'!A24,"].binding.strength = #",'Rad-1'!I24,""),"")</f>
        <v/>
      </c>
    </row>
    <row r="20" spans="2:10" ht="280.25" x14ac:dyDescent="0.75">
      <c r="B20" s="116" t="str">
        <f>CONCATENATE("* differential.element[",'Rad-1'!$A25,"].id = """,'Rad-1'!$B$6,".",'Rad-1'!B25,"""")</f>
        <v>* differential.element[19].id = "Radiotherapy.target.site"</v>
      </c>
      <c r="C20" s="116" t="str">
        <f>CONCATENATE("* differential.element[",'Rad-1'!$A25,"].path = """,'Rad-1'!$B$6,".",'Rad-1'!B25,"""")</f>
        <v>* differential.element[19].path = "Radiotherapy.target.site"</v>
      </c>
      <c r="D20" s="116" t="str">
        <f>CONCATENATE("* differential.element[",'Rad-1'!A25,"].short = """,'Rad-1'!C25,"""")</f>
        <v>* differential.element[19].short = "Body Site Code"</v>
      </c>
      <c r="E20" s="116" t="str">
        <f>CONCATENATE("* differential.element[",'Rad-1'!A25,"].definition = """,'Rad-1'!D25,"""")</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c r="F20" s="116" t="str">
        <f>CONCATENATE("* differential.element[",'Rad-1'!A25,"].min = ",'Rad-1'!E25,"")</f>
        <v>* differential.element[19].min = 1</v>
      </c>
      <c r="G20" s="116" t="str">
        <f>CONCATENATE("* differential.element[",'Rad-1'!A25,"].max = """,'Rad-1'!F25,"""")</f>
        <v>* differential.element[19].max = "1"</v>
      </c>
      <c r="H20" s="116" t="str">
        <f>CONCATENATE("* differential.element[",'Rad-1'!A25,"].type.code = #",'Rad-1'!G25,"")</f>
        <v>* differential.element[19].type.code = #CodeableConcept</v>
      </c>
      <c r="I20" s="116" t="str">
        <f>IF('Rad-1'!H25&gt; "", CONCATENATE("* differential.element[",'Rad-1'!A25,"].binding.valueSet = """,'Rad-1'!H25,""""),"")</f>
        <v>* differential.element[19].binding.valueSet = "http://hl7.eu/fhir/ig/pcsp/ValueSet/vs-radiotherapy-pcsp"</v>
      </c>
      <c r="J20" s="116" t="str">
        <f>IF('Rad-1'!I25&gt; "", CONCATENATE("* differential.element[",'Rad-1'!A25,"].binding.strength = #",'Rad-1'!I25,""),"")</f>
        <v>* differential.element[19].binding.strength = #required</v>
      </c>
    </row>
    <row r="21" spans="2:10" ht="73.75" x14ac:dyDescent="0.75">
      <c r="B21" s="116" t="str">
        <f>CONCATENATE("* differential.element[",'Rad-1'!$A26,"].id = """,'Rad-1'!$B$6,".",'Rad-1'!B26,"""")</f>
        <v>* differential.element[20].id = "Radiotherapy.target.laterality"</v>
      </c>
      <c r="C21" s="116" t="str">
        <f>CONCATENATE("* differential.element[",'Rad-1'!$A26,"].path = """,'Rad-1'!$B$6,".",'Rad-1'!B26,"""")</f>
        <v>* differential.element[20].path = "Radiotherapy.target.laterality"</v>
      </c>
      <c r="D21" s="116" t="str">
        <f>CONCATENATE("* differential.element[",'Rad-1'!A26,"].short = """,'Rad-1'!C26,"""")</f>
        <v>* differential.element[20].short = "Laterality"</v>
      </c>
      <c r="E21" s="116" t="str">
        <f>CONCATENATE("* differential.element[",'Rad-1'!A26,"].definition = """,'Rad-1'!D26,"""")</f>
        <v>* differential.element[20].definition = "Report laterality of the radiation.
 R = right,
 L = left,
 B = bilateral"</v>
      </c>
      <c r="F21" s="116" t="str">
        <f>CONCATENATE("* differential.element[",'Rad-1'!A26,"].min = ",'Rad-1'!E26,"")</f>
        <v>* differential.element[20].min = 0</v>
      </c>
      <c r="G21" s="116" t="str">
        <f>CONCATENATE("* differential.element[",'Rad-1'!A26,"].max = """,'Rad-1'!F26,"""")</f>
        <v>* differential.element[20].max = "1"</v>
      </c>
      <c r="H21" s="116" t="str">
        <f>CONCATENATE("* differential.element[",'Rad-1'!A26,"].type.code = #",'Rad-1'!G26,"")</f>
        <v>* differential.element[20].type.code = #CodeableConcept</v>
      </c>
      <c r="I21" s="116" t="str">
        <f>IF('Rad-1'!H26&gt; "", CONCATENATE("* differential.element[",'Rad-1'!A26,"].binding.valueSet = """,'Rad-1'!H26,""""),"")</f>
        <v/>
      </c>
      <c r="J21" s="116" t="str">
        <f>IF('Rad-1'!I26&gt; "", CONCATENATE("* differential.element[",'Rad-1'!A26,"].binding.strength = #",'Rad-1'!I26,""),"")</f>
        <v/>
      </c>
    </row>
    <row r="22" spans="2:10" ht="44.25" x14ac:dyDescent="0.75">
      <c r="B22" s="116" t="str">
        <f>CONCATENATE("* differential.element[",'Rad-1'!$A27,"].id = """,'Rad-1'!$B$6,".",'Rad-1'!B27,"""")</f>
        <v>* differential.element[21].id = "Radiotherapy.target.details"</v>
      </c>
      <c r="C22" s="116" t="str">
        <f>CONCATENATE("* differential.element[",'Rad-1'!$A27,"].path = """,'Rad-1'!$B$6,".",'Rad-1'!B27,"""")</f>
        <v>* differential.element[21].path = "Radiotherapy.target.details"</v>
      </c>
      <c r="D22" s="116" t="str">
        <f>CONCATENATE("* differential.element[",'Rad-1'!A27,"].short = """,'Rad-1'!C27,"""")</f>
        <v>* differential.element[21].short = "Details"</v>
      </c>
      <c r="E22" s="116" t="str">
        <f>CONCATENATE("* differential.element[",'Rad-1'!A27,"].definition = """,'Rad-1'!D27,"""")</f>
        <v>* differential.element[21].definition = "If needed it is possible to add details"</v>
      </c>
      <c r="F22" s="116" t="str">
        <f>CONCATENATE("* differential.element[",'Rad-1'!A27,"].min = ",'Rad-1'!E27,"")</f>
        <v>* differential.element[21].min = 0</v>
      </c>
      <c r="G22" s="116" t="str">
        <f>CONCATENATE("* differential.element[",'Rad-1'!A27,"].max = """,'Rad-1'!F27,"""")</f>
        <v>* differential.element[21].max = "1"</v>
      </c>
      <c r="H22" s="116" t="str">
        <f>CONCATENATE("* differential.element[",'Rad-1'!A27,"].type.code = #",'Rad-1'!G27,"")</f>
        <v>* differential.element[21].type.code = #string</v>
      </c>
      <c r="I22" s="116" t="str">
        <f>IF('Rad-1'!H27&gt; "", CONCATENATE("* differential.element[",'Rad-1'!A27,"].binding.valueSet = """,'Rad-1'!H27,""""),"")</f>
        <v/>
      </c>
      <c r="J22" s="116" t="str">
        <f>IF('Rad-1'!I27&gt; "", CONCATENATE("* differential.element[",'Rad-1'!A27,"].binding.strength = #",'Rad-1'!I27,""),"")</f>
        <v/>
      </c>
    </row>
    <row r="23" spans="2:10" ht="103.25" x14ac:dyDescent="0.75">
      <c r="B23" s="116" t="str">
        <f>CONCATENATE("* differential.element[",'Rad-1'!$A28,"].id = """,'Rad-1'!$B$6,".",'Rad-1'!B28,"""")</f>
        <v>* differential.element[22].id = "Radiotherapy.target.from"</v>
      </c>
      <c r="C23" s="116" t="str">
        <f>CONCATENATE("* differential.element[",'Rad-1'!$A28,"].path = """,'Rad-1'!$B$6,".",'Rad-1'!B28,"""")</f>
        <v>* differential.element[22].path = "Radiotherapy.target.from"</v>
      </c>
      <c r="D23" s="116" t="str">
        <f>CONCATENATE("* differential.element[",'Rad-1'!A28,"].short = """,'Rad-1'!C28,"""")</f>
        <v>* differential.element[22].short = "Start point"</v>
      </c>
      <c r="E23" s="116" t="str">
        <f>CONCATENATE("* differential.element[",'Rad-1'!A28,"].definition = """,'Rad-1'!D28,"""")</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c r="F23" s="116" t="str">
        <f>CONCATENATE("* differential.element[",'Rad-1'!A28,"].min = ",'Rad-1'!E28,"")</f>
        <v>* differential.element[22].min = 0</v>
      </c>
      <c r="G23" s="116" t="str">
        <f>CONCATENATE("* differential.element[",'Rad-1'!A28,"].max = """,'Rad-1'!F28,"""")</f>
        <v>* differential.element[22].max = "1"</v>
      </c>
      <c r="H23" s="116" t="str">
        <f>CONCATENATE("* differential.element[",'Rad-1'!A28,"].type.code = #",'Rad-1'!G28,"")</f>
        <v>* differential.element[22].type.code = #string</v>
      </c>
      <c r="I23" s="116" t="str">
        <f>IF('Rad-1'!H28&gt; "", CONCATENATE("* differential.element[",'Rad-1'!A28,"].binding.valueSet = """,'Rad-1'!H28,""""),"")</f>
        <v/>
      </c>
      <c r="J23" s="116" t="str">
        <f>IF('Rad-1'!I28&gt; "", CONCATENATE("* differential.element[",'Rad-1'!A28,"].binding.strength = #",'Rad-1'!I28,""),"")</f>
        <v/>
      </c>
    </row>
    <row r="24" spans="2:10" ht="88.5" x14ac:dyDescent="0.75">
      <c r="B24" s="116" t="str">
        <f>CONCATENATE("* differential.element[",'Rad-1'!$A29,"].id = """,'Rad-1'!$B$6,".",'Rad-1'!B29,"""")</f>
        <v>* differential.element[23].id = "Radiotherapy.target.to"</v>
      </c>
      <c r="C24" s="116" t="str">
        <f>CONCATENATE("* differential.element[",'Rad-1'!$A29,"].path = """,'Rad-1'!$B$6,".",'Rad-1'!B29,"""")</f>
        <v>* differential.element[23].path = "Radiotherapy.target.to"</v>
      </c>
      <c r="D24" s="116" t="str">
        <f>CONCATENATE("* differential.element[",'Rad-1'!A29,"].short = """,'Rad-1'!C29,"""")</f>
        <v>* differential.element[23].short = "End point"</v>
      </c>
      <c r="E24" s="116" t="str">
        <f>CONCATENATE("* differential.element[",'Rad-1'!A29,"].definition = """,'Rad-1'!D29,"""")</f>
        <v>* differential.element[23].definition = "When the radiation involves more than one site, eventually covering different body areas (e.g. torax and abdomen), select the ending point using the vertebrae to identify the lower limit (e.g.: Thoraco-Abdominal (area): Paraspinal - Lumbar vertebra 3)"</v>
      </c>
      <c r="F24" s="116" t="str">
        <f>CONCATENATE("* differential.element[",'Rad-1'!A29,"].min = ",'Rad-1'!E29,"")</f>
        <v>* differential.element[23].min = 0</v>
      </c>
      <c r="G24" s="116" t="str">
        <f>CONCATENATE("* differential.element[",'Rad-1'!A29,"].max = """,'Rad-1'!F29,"""")</f>
        <v>* differential.element[23].max = "1"</v>
      </c>
      <c r="H24" s="116" t="str">
        <f>CONCATENATE("* differential.element[",'Rad-1'!A29,"].type.code = #",'Rad-1'!G29,"")</f>
        <v>* differential.element[23].type.code = #string</v>
      </c>
      <c r="I24" s="116" t="str">
        <f>IF('Rad-1'!H29&gt; "", CONCATENATE("* differential.element[",'Rad-1'!A29,"].binding.valueSet = """,'Rad-1'!H29,""""),"")</f>
        <v/>
      </c>
      <c r="J24" s="116" t="str">
        <f>IF('Rad-1'!I29&gt; "", CONCATENATE("* differential.element[",'Rad-1'!A29,"].binding.strength = #",'Rad-1'!I29,""),"")</f>
        <v/>
      </c>
    </row>
    <row r="25" spans="2:10" ht="73.75" x14ac:dyDescent="0.75">
      <c r="B25" s="116" t="str">
        <f>CONCATENATE("* differential.element[",'Rad-1'!$A30,"].id = """,'Rad-1'!$B$6,".",'Rad-1'!B30,"""")</f>
        <v>* differential.element[24].id = "Radiotherapy.target.position"</v>
      </c>
      <c r="C25" s="116" t="str">
        <f>CONCATENATE("* differential.element[",'Rad-1'!$A30,"].path = """,'Rad-1'!$B$6,".",'Rad-1'!B30,"""")</f>
        <v>* differential.element[24].path = "Radiotherapy.target.position"</v>
      </c>
      <c r="D25" s="116" t="str">
        <f>CONCATENATE("* differential.element[",'Rad-1'!A30,"].short = """,'Rad-1'!C30,"""")</f>
        <v>* differential.element[24].short = "Position"</v>
      </c>
      <c r="E25" s="116" t="str">
        <f>CONCATENATE("* differential.element[",'Rad-1'!A30,"].definition = """,'Rad-1'!D30,"""")</f>
        <v>* differential.element[24].definition = "Specify whether the radiation was anterior or posterior. 
1 =&gt; Anterior
2 =&gt; Posterior
-9922 = NK"</v>
      </c>
      <c r="F25" s="116" t="str">
        <f>CONCATENATE("* differential.element[",'Rad-1'!A30,"].min = ",'Rad-1'!E30,"")</f>
        <v>* differential.element[24].min = 0</v>
      </c>
      <c r="G25" s="116" t="str">
        <f>CONCATENATE("* differential.element[",'Rad-1'!A30,"].max = """,'Rad-1'!F30,"""")</f>
        <v>* differential.element[24].max = "1"</v>
      </c>
      <c r="H25" s="116" t="str">
        <f>CONCATENATE("* differential.element[",'Rad-1'!A30,"].type.code = #",'Rad-1'!G30,"")</f>
        <v>* differential.element[24].type.code = #CodeableConcept</v>
      </c>
      <c r="I25" s="116" t="str">
        <f>IF('Rad-1'!H30&gt; "", CONCATENATE("* differential.element[",'Rad-1'!A30,"].binding.valueSet = """,'Rad-1'!H30,""""),"")</f>
        <v/>
      </c>
      <c r="J25" s="116" t="str">
        <f>IF('Rad-1'!I30&gt; "", CONCATENATE("* differential.element[",'Rad-1'!A30,"].binding.strength = #",'Rad-1'!I30,""),"")</f>
        <v/>
      </c>
    </row>
    <row r="26" spans="2:10" ht="59" x14ac:dyDescent="0.75">
      <c r="B26" s="116" t="str">
        <f>CONCATENATE("* differential.element[",'Rad-1'!$A31,"].id = """,'Rad-1'!$B$6,".",'Rad-1'!B31,"""")</f>
        <v>* differential.element[25].id = "Radiotherapy.target.cumulativeDose"</v>
      </c>
      <c r="C26" s="116" t="str">
        <f>CONCATENATE("* differential.element[",'Rad-1'!$A31,"].path = """,'Rad-1'!$B$6,".",'Rad-1'!B31,"""")</f>
        <v>* differential.element[25].path = "Radiotherapy.target.cumulativeDose"</v>
      </c>
      <c r="D26" s="116" t="str">
        <f>CONCATENATE("* differential.element[",'Rad-1'!A31,"].short = """,'Rad-1'!C31,"""")</f>
        <v>* differential.element[25].short = "Comulative dose"</v>
      </c>
      <c r="E26" s="116" t="str">
        <f>CONCATENATE("* differential.element[",'Rad-1'!A31,"].definition = """,'Rad-1'!D31,"""")</f>
        <v>* differential.element[25].definition = "Specify the cumulative / total dose given to the primary radiation therapy site.
If the dose is not known, write NK."</v>
      </c>
      <c r="F26" s="116" t="str">
        <f>CONCATENATE("* differential.element[",'Rad-1'!A31,"].min = ",'Rad-1'!E31,"")</f>
        <v>* differential.element[25].min = 0</v>
      </c>
      <c r="G26" s="116" t="str">
        <f>CONCATENATE("* differential.element[",'Rad-1'!A31,"].max = """,'Rad-1'!F31,"""")</f>
        <v>* differential.element[25].max = "1"</v>
      </c>
      <c r="H26" s="116" t="str">
        <f>CONCATENATE("* differential.element[",'Rad-1'!A31,"].type.code = #",'Rad-1'!G31,"")</f>
        <v>* differential.element[25].type.code = #BackboneElement</v>
      </c>
      <c r="I26" s="116" t="str">
        <f>IF('Rad-1'!H31&gt; "", CONCATENATE("* differential.element[",'Rad-1'!A31,"].binding.valueSet = """,'Rad-1'!H31,""""),"")</f>
        <v/>
      </c>
      <c r="J26" s="116" t="str">
        <f>IF('Rad-1'!I31&gt; "", CONCATENATE("* differential.element[",'Rad-1'!A31,"].binding.strength = #",'Rad-1'!I31,""),"")</f>
        <v/>
      </c>
    </row>
    <row r="27" spans="2:10" ht="59" x14ac:dyDescent="0.75">
      <c r="B27" s="116" t="str">
        <f>CONCATENATE("* differential.element[",'Rad-1'!$A32,"].id = """,'Rad-1'!$B$6,".",'Rad-1'!B32,"""")</f>
        <v>* differential.element[26].id = "Radiotherapy.target.cumulativeDose.completionStatus"</v>
      </c>
      <c r="C27" s="116" t="str">
        <f>CONCATENATE("* differential.element[",'Rad-1'!$A32,"].path = """,'Rad-1'!$B$6,".",'Rad-1'!B32,"""")</f>
        <v>* differential.element[26].path = "Radiotherapy.target.cumulativeDose.completionStatus"</v>
      </c>
      <c r="D27" s="116" t="str">
        <f>CONCATENATE("* differential.element[",'Rad-1'!A32,"].short = """,'Rad-1'!C32,"""")</f>
        <v>* differential.element[26].short = "The reported doses are incomplete (either under- or over-estimated)"</v>
      </c>
      <c r="E27" s="116" t="str">
        <f>CONCATENATE("* differential.element[",'Rad-1'!A32,"].definition = """,'Rad-1'!D32,"""")</f>
        <v>* differential.element[26].definition = "Check in case of incomplete doses"</v>
      </c>
      <c r="F27" s="116" t="str">
        <f>CONCATENATE("* differential.element[",'Rad-1'!A32,"].min = ",'Rad-1'!E32,"")</f>
        <v>* differential.element[26].min = 0</v>
      </c>
      <c r="G27" s="116" t="str">
        <f>CONCATENATE("* differential.element[",'Rad-1'!A32,"].max = """,'Rad-1'!F32,"""")</f>
        <v>* differential.element[26].max = "1"</v>
      </c>
      <c r="H27" s="116" t="str">
        <f>CONCATENATE("* differential.element[",'Rad-1'!A32,"].type.code = #",'Rad-1'!G32,"")</f>
        <v>* differential.element[26].type.code = #CodeableConcept</v>
      </c>
      <c r="I27" s="116" t="str">
        <f>IF('Rad-1'!H32&gt; "", CONCATENATE("* differential.element[",'Rad-1'!A32,"].binding.valueSet = """,'Rad-1'!H32,""""),"")</f>
        <v/>
      </c>
      <c r="J27" s="116" t="str">
        <f>IF('Rad-1'!I32&gt; "", CONCATENATE("* differential.element[",'Rad-1'!A32,"].binding.strength = #",'Rad-1'!I32,""),"")</f>
        <v/>
      </c>
    </row>
    <row r="28" spans="2:10" ht="59" x14ac:dyDescent="0.75">
      <c r="B28" s="116" t="str">
        <f>CONCATENATE("* differential.element[",'Rad-1'!$A33,"].id = """,'Rad-1'!$B$6,".",'Rad-1'!B33,"""")</f>
        <v>* differential.element[27].id = "Radiotherapy.target.cumulativeDose.statusReason"</v>
      </c>
      <c r="C28" s="116" t="str">
        <f>CONCATENATE("* differential.element[",'Rad-1'!$A33,"].path = """,'Rad-1'!$B$6,".",'Rad-1'!B33,"""")</f>
        <v>* differential.element[27].path = "Radiotherapy.target.cumulativeDose.statusReason"</v>
      </c>
      <c r="D28" s="116" t="str">
        <f>CONCATENATE("* differential.element[",'Rad-1'!A33,"].short = """,'Rad-1'!C33,"""")</f>
        <v>* differential.element[27].short = "Specify reasons why"</v>
      </c>
      <c r="E28" s="116" t="str">
        <f>CONCATENATE("* differential.element[",'Rad-1'!A33,"].definition = """,'Rad-1'!D33,"""")</f>
        <v>* differential.element[27].definition = "Specify reasons of incomplete estimated doses"</v>
      </c>
      <c r="F28" s="116" t="str">
        <f>CONCATENATE("* differential.element[",'Rad-1'!A33,"].min = ",'Rad-1'!E33,"")</f>
        <v>* differential.element[27].min = 0</v>
      </c>
      <c r="G28" s="116" t="str">
        <f>CONCATENATE("* differential.element[",'Rad-1'!A33,"].max = """,'Rad-1'!F33,"""")</f>
        <v>* differential.element[27].max = "1"</v>
      </c>
      <c r="H28" s="116" t="str">
        <f>CONCATENATE("* differential.element[",'Rad-1'!A33,"].type.code = #",'Rad-1'!G33,"")</f>
        <v>* differential.element[27].type.code = #CodeableConcept</v>
      </c>
      <c r="I28" s="116" t="str">
        <f>IF('Rad-1'!H33&gt; "", CONCATENATE("* differential.element[",'Rad-1'!A33,"].binding.valueSet = """,'Rad-1'!H33,""""),"")</f>
        <v/>
      </c>
      <c r="J28" s="116" t="str">
        <f>IF('Rad-1'!I33&gt; "", CONCATENATE("* differential.element[",'Rad-1'!A33,"].binding.strength = #",'Rad-1'!I33,""),"")</f>
        <v/>
      </c>
    </row>
    <row r="29" spans="2:10" ht="44.25" x14ac:dyDescent="0.75">
      <c r="B29" s="116" t="str">
        <f>CONCATENATE("* differential.element[",'Rad-1'!$A34,"].id = """,'Rad-1'!$B$6,".",'Rad-1'!B34,"""")</f>
        <v>* differential.element[28].id = "Radiotherapy.target.cumulativeDose.notKnown"</v>
      </c>
      <c r="C29" s="116" t="str">
        <f>CONCATENATE("* differential.element[",'Rad-1'!$A34,"].path = """,'Rad-1'!$B$6,".",'Rad-1'!B34,"""")</f>
        <v>* differential.element[28].path = "Radiotherapy.target.cumulativeDose.notKnown"</v>
      </c>
      <c r="D29" s="116" t="str">
        <f>CONCATENATE("* differential.element[",'Rad-1'!A34,"].short = """,'Rad-1'!C34,"""")</f>
        <v>* differential.element[28].short = "Not known dose"</v>
      </c>
      <c r="E29" s="116" t="str">
        <f>CONCATENATE("* differential.element[",'Rad-1'!A34,"].definition = """,'Rad-1'!D34,"""")</f>
        <v>* differential.element[28].definition = "Not known dose"</v>
      </c>
      <c r="F29" s="116" t="str">
        <f>CONCATENATE("* differential.element[",'Rad-1'!A34,"].min = ",'Rad-1'!E34,"")</f>
        <v>* differential.element[28].min = 0</v>
      </c>
      <c r="G29" s="116" t="str">
        <f>CONCATENATE("* differential.element[",'Rad-1'!A34,"].max = """,'Rad-1'!F34,"""")</f>
        <v>* differential.element[28].max = "1"</v>
      </c>
      <c r="H29" s="116" t="str">
        <f>CONCATENATE("* differential.element[",'Rad-1'!A34,"].type.code = #",'Rad-1'!G34,"")</f>
        <v>* differential.element[28].type.code = #string</v>
      </c>
      <c r="I29" s="116" t="str">
        <f>IF('Rad-1'!H34&gt; "", CONCATENATE("* differential.element[",'Rad-1'!A34,"].binding.valueSet = """,'Rad-1'!H34,""""),"")</f>
        <v/>
      </c>
      <c r="J29" s="116" t="str">
        <f>IF('Rad-1'!I34&gt; "", CONCATENATE("* differential.element[",'Rad-1'!A34,"].binding.strength = #",'Rad-1'!I34,""),"")</f>
        <v/>
      </c>
    </row>
    <row r="30" spans="2:10" ht="59" x14ac:dyDescent="0.75">
      <c r="B30" s="116" t="str">
        <f>CONCATENATE("* differential.element[",'Rad-1'!$A35,"].id = """,'Rad-1'!$B$6,".",'Rad-1'!B35,"""")</f>
        <v>* differential.element[29].id = "Radiotherapy.target.cumulativeDose.dose"</v>
      </c>
      <c r="C30" s="116" t="str">
        <f>CONCATENATE("* differential.element[",'Rad-1'!$A35,"].path = """,'Rad-1'!$B$6,".",'Rad-1'!B35,"""")</f>
        <v>* differential.element[29].path = "Radiotherapy.target.cumulativeDose.dose"</v>
      </c>
      <c r="D30" s="116" t="str">
        <f>CONCATENATE("* differential.element[",'Rad-1'!A35,"].short = """,'Rad-1'!C35,"""")</f>
        <v>* differential.element[29].short = "Dose"</v>
      </c>
      <c r="E30" s="116" t="str">
        <f>CONCATENATE("* differential.element[",'Rad-1'!A35,"].definition = """,'Rad-1'!D35,"""")</f>
        <v>* differential.element[29].definition = "Specify the cumulative / total dose given to the primary radiation therapy site."</v>
      </c>
      <c r="F30" s="116" t="str">
        <f>CONCATENATE("* differential.element[",'Rad-1'!A35,"].min = ",'Rad-1'!E35,"")</f>
        <v>* differential.element[29].min = 0</v>
      </c>
      <c r="G30" s="116" t="str">
        <f>CONCATENATE("* differential.element[",'Rad-1'!A35,"].max = """,'Rad-1'!F35,"""")</f>
        <v>* differential.element[29].max = "1"</v>
      </c>
      <c r="H30" s="116" t="str">
        <f>CONCATENATE("* differential.element[",'Rad-1'!A35,"].type.code = #",'Rad-1'!G35,"")</f>
        <v>* differential.element[29].type.code = #decimal</v>
      </c>
      <c r="I30" s="116" t="str">
        <f>IF('Rad-1'!H35&gt; "", CONCATENATE("* differential.element[",'Rad-1'!A35,"].binding.valueSet = """,'Rad-1'!H35,""""),"")</f>
        <v/>
      </c>
      <c r="J30" s="116" t="str">
        <f>IF('Rad-1'!I35&gt; "", CONCATENATE("* differential.element[",'Rad-1'!A35,"].binding.strength = #",'Rad-1'!I35,""),"")</f>
        <v/>
      </c>
    </row>
    <row r="31" spans="2:10" ht="88.5" x14ac:dyDescent="0.75">
      <c r="B31" s="116" t="str">
        <f>CONCATENATE("* differential.element[",'Rad-1'!$A36,"].id = """,'Rad-1'!$B$6,".",'Rad-1'!B36,"""")</f>
        <v>* differential.element[30].id = "Radiotherapy.target.cumulativeDose.unit"</v>
      </c>
      <c r="C31" s="116" t="str">
        <f>CONCATENATE("* differential.element[",'Rad-1'!$A36,"].path = """,'Rad-1'!$B$6,".",'Rad-1'!B36,"""")</f>
        <v>* differential.element[30].path = "Radiotherapy.target.cumulativeDose.unit"</v>
      </c>
      <c r="D31" s="116" t="str">
        <f>CONCATENATE("* differential.element[",'Rad-1'!A36,"].short = """,'Rad-1'!C36,"""")</f>
        <v>* differential.element[30].short = "Measure unit"</v>
      </c>
      <c r="E31" s="116" t="str">
        <f>CONCATENATE("* differential.element[",'Rad-1'!A36,"].definition = """,'Rad-1'!D36,"""")</f>
        <v>* differential.element[30].definition = "External Beam Radiation Therapy (EBRT) and Brachytherapy doses are in Gy. If doses are reported in cGY, roughly two zeroes need to be deleted (e.g. 100 cGy = 1 Gy).
specify if dose is recorded in bequerels (MBq or GBq) or curies (Ci) or Unkwnon"</v>
      </c>
      <c r="F31" s="116" t="str">
        <f>CONCATENATE("* differential.element[",'Rad-1'!A36,"].min = ",'Rad-1'!E36,"")</f>
        <v>* differential.element[30].min = 0</v>
      </c>
      <c r="G31" s="116" t="str">
        <f>CONCATENATE("* differential.element[",'Rad-1'!A36,"].max = """,'Rad-1'!F36,"""")</f>
        <v>* differential.element[30].max = "1"</v>
      </c>
      <c r="H31" s="116" t="str">
        <f>CONCATENATE("* differential.element[",'Rad-1'!A36,"].type.code = #",'Rad-1'!G36,"")</f>
        <v>* differential.element[30].type.code = #CodeableConcept</v>
      </c>
      <c r="I31" s="116" t="str">
        <f>IF('Rad-1'!H36&gt; "", CONCATENATE("* differential.element[",'Rad-1'!A36,"].binding.valueSet = """,'Rad-1'!H36,""""),"")</f>
        <v/>
      </c>
      <c r="J31" s="116" t="str">
        <f>IF('Rad-1'!I36&gt; "", CONCATENATE("* differential.element[",'Rad-1'!A36,"].binding.strength = #",'Rad-1'!I36,""),"")</f>
        <v/>
      </c>
    </row>
    <row r="32" spans="2:10" ht="59" x14ac:dyDescent="0.75">
      <c r="B32" s="116" t="str">
        <f>CONCATENATE("* differential.element[",'Rad-1'!$A37,"].id = """,'Rad-1'!$B$6,".",'Rad-1'!B37,"""")</f>
        <v>* differential.element[31].id = "Radiotherapy.target.cumulativeDose.fractions"</v>
      </c>
      <c r="C32" s="116" t="str">
        <f>CONCATENATE("* differential.element[",'Rad-1'!$A37,"].path = """,'Rad-1'!$B$6,".",'Rad-1'!B37,"""")</f>
        <v>* differential.element[31].path = "Radiotherapy.target.cumulativeDose.fractions"</v>
      </c>
      <c r="D32" s="116" t="str">
        <f>CONCATENATE("* differential.element[",'Rad-1'!A37,"].short = """,'Rad-1'!C37,"""")</f>
        <v>* differential.element[31].short = "Number of fractions (if  external beam)"</v>
      </c>
      <c r="E32" s="116" t="str">
        <f>CONCATENATE("* differential.element[",'Rad-1'!A37,"].definition = """,'Rad-1'!D37,"""")</f>
        <v>* differential.element[31].definition = "A FRACTION of radiation treatment is a single attendance for treatment; if 'not known' insert NK"</v>
      </c>
      <c r="F32" s="116" t="str">
        <f>CONCATENATE("* differential.element[",'Rad-1'!A37,"].min = ",'Rad-1'!E37,"")</f>
        <v>* differential.element[31].min = 0</v>
      </c>
      <c r="G32" s="116" t="str">
        <f>CONCATENATE("* differential.element[",'Rad-1'!A37,"].max = """,'Rad-1'!F37,"""")</f>
        <v>* differential.element[31].max = "1"</v>
      </c>
      <c r="H32" s="116" t="str">
        <f>CONCATENATE("* differential.element[",'Rad-1'!A37,"].type.code = #",'Rad-1'!G37,"")</f>
        <v>* differential.element[31].type.code = #integer</v>
      </c>
      <c r="I32" s="116" t="str">
        <f>IF('Rad-1'!H37&gt; "", CONCATENATE("* differential.element[",'Rad-1'!A37,"].binding.valueSet = """,'Rad-1'!H37,""""),"")</f>
        <v/>
      </c>
      <c r="J32" s="116" t="str">
        <f>IF('Rad-1'!I37&gt; "", CONCATENATE("* differential.element[",'Rad-1'!A37,"].binding.strength = #",'Rad-1'!I37,""),"")</f>
        <v/>
      </c>
    </row>
    <row r="33" spans="2:10" ht="59" x14ac:dyDescent="0.75">
      <c r="B33" s="116" t="str">
        <f>CONCATENATE("* differential.element[",'Rad-1'!$A38,"].id = """,'Rad-1'!$B$6,".",'Rad-1'!B38,"""")</f>
        <v>* differential.element[32].id = "Radiotherapy.target.boost"</v>
      </c>
      <c r="C33" s="116" t="str">
        <f>CONCATENATE("* differential.element[",'Rad-1'!$A38,"].path = """,'Rad-1'!$B$6,".",'Rad-1'!B38,"""")</f>
        <v>* differential.element[32].path = "Radiotherapy.target.boost"</v>
      </c>
      <c r="D33" s="116" t="str">
        <f>CONCATENATE("* differential.element[",'Rad-1'!A38,"].short = """,'Rad-1'!C38,"""")</f>
        <v>* differential.element[32].short = "Boost"</v>
      </c>
      <c r="E33" s="116" t="str">
        <f>CONCATENATE("* differential.element[",'Rad-1'!A38,"].definition = """,'Rad-1'!D38,"""")</f>
        <v>* differential.element[32].definition = "A boost is an extra dose of radiotherapy directed to a smaller area inside the primary radiation field. (only if type is External Beam)"</v>
      </c>
      <c r="F33" s="116" t="str">
        <f>CONCATENATE("* differential.element[",'Rad-1'!A38,"].min = ",'Rad-1'!E38,"")</f>
        <v>* differential.element[32].min = 0</v>
      </c>
      <c r="G33" s="116" t="str">
        <f>CONCATENATE("* differential.element[",'Rad-1'!A38,"].max = """,'Rad-1'!F38,"""")</f>
        <v>* differential.element[32].max = "5"</v>
      </c>
      <c r="H33" s="116" t="str">
        <f>CONCATENATE("* differential.element[",'Rad-1'!A38,"].type.code = #",'Rad-1'!G38,"")</f>
        <v>* differential.element[32].type.code = #BackboneElement</v>
      </c>
      <c r="I33" s="116" t="str">
        <f>IF('Rad-1'!H38&gt; "", CONCATENATE("* differential.element[",'Rad-1'!A38,"].binding.valueSet = """,'Rad-1'!H38,""""),"")</f>
        <v/>
      </c>
      <c r="J33" s="116" t="str">
        <f>IF('Rad-1'!I38&gt; "", CONCATENATE("* differential.element[",'Rad-1'!A38,"].binding.strength = #",'Rad-1'!I38,""),"")</f>
        <v/>
      </c>
    </row>
    <row r="34" spans="2:10" ht="73.75" x14ac:dyDescent="0.75">
      <c r="B34" s="116" t="str">
        <f>CONCATENATE("* differential.element[",'Rad-1'!$A39,"].id = """,'Rad-1'!$B$6,".",'Rad-1'!B39,"""")</f>
        <v>* differential.element[33].id = "Radiotherapy.target.boost.type"</v>
      </c>
      <c r="C34" s="116" t="str">
        <f>CONCATENATE("* differential.element[",'Rad-1'!$A39,"].path = """,'Rad-1'!$B$6,".",'Rad-1'!B39,"""")</f>
        <v>* differential.element[33].path = "Radiotherapy.target.boost.type"</v>
      </c>
      <c r="D34" s="116" t="str">
        <f>CONCATENATE("* differential.element[",'Rad-1'!A39,"].short = """,'Rad-1'!C39,"""")</f>
        <v>* differential.element[33].short = "Type of Boost"</v>
      </c>
      <c r="E34" s="116" t="str">
        <f>CONCATENATE("* differential.element[",'Rad-1'!A39,"].definition = """,'Rad-1'!D39,"""")</f>
        <v>* differential.element[33].definition = "Specify radiation type of the boost.
1 =&gt; External Beam
2 =&gt; Brachytherapy
-9922 =&gt; NK  "</v>
      </c>
      <c r="F34" s="116" t="str">
        <f>CONCATENATE("* differential.element[",'Rad-1'!A39,"].min = ",'Rad-1'!E39,"")</f>
        <v>* differential.element[33].min = 1</v>
      </c>
      <c r="G34" s="116" t="str">
        <f>CONCATENATE("* differential.element[",'Rad-1'!A39,"].max = """,'Rad-1'!F39,"""")</f>
        <v>* differential.element[33].max = "1"</v>
      </c>
      <c r="H34" s="116" t="str">
        <f>CONCATENATE("* differential.element[",'Rad-1'!A39,"].type.code = #",'Rad-1'!G39,"")</f>
        <v>* differential.element[33].type.code = #CodeableConcept</v>
      </c>
      <c r="I34" s="116" t="str">
        <f>IF('Rad-1'!H39&gt; "", CONCATENATE("* differential.element[",'Rad-1'!A39,"].binding.valueSet = """,'Rad-1'!H39,""""),"")</f>
        <v/>
      </c>
      <c r="J34" s="116" t="str">
        <f>IF('Rad-1'!I39&gt; "", CONCATENATE("* differential.element[",'Rad-1'!A39,"].binding.strength = #",'Rad-1'!I39,""),"")</f>
        <v/>
      </c>
    </row>
    <row r="35" spans="2:10" ht="59" x14ac:dyDescent="0.75">
      <c r="B35" s="116" t="str">
        <f>CONCATENATE("* differential.element[",'Rad-1'!$A40,"].id = """,'Rad-1'!$B$6,".",'Rad-1'!B40,"""")</f>
        <v>* differential.element[34].id = "Radiotherapy.target.boost.given"</v>
      </c>
      <c r="C35" s="116" t="str">
        <f>CONCATENATE("* differential.element[",'Rad-1'!$A40,"].path = """,'Rad-1'!$B$6,".",'Rad-1'!B40,"""")</f>
        <v>* differential.element[34].path = "Radiotherapy.target.boost.given"</v>
      </c>
      <c r="D35" s="116" t="str">
        <f>CONCATENATE("* differential.element[",'Rad-1'!A40,"].short = """,'Rad-1'!C40,"""")</f>
        <v>* differential.element[34].short = "Boost given"</v>
      </c>
      <c r="E35" s="116" t="str">
        <f>CONCATENATE("* differential.element[",'Rad-1'!A40,"].definition = """,'Rad-1'!D40,"""")</f>
        <v>* differential.element[34].definition = "Flag indicating if a boost was given, not given or unknown"</v>
      </c>
      <c r="F35" s="116" t="str">
        <f>CONCATENATE("* differential.element[",'Rad-1'!A40,"].min = ",'Rad-1'!E40,"")</f>
        <v>* differential.element[34].min = 0</v>
      </c>
      <c r="G35" s="116" t="str">
        <f>CONCATENATE("* differential.element[",'Rad-1'!A40,"].max = """,'Rad-1'!F40,"""")</f>
        <v>* differential.element[34].max = "1"</v>
      </c>
      <c r="H35" s="116" t="str">
        <f>CONCATENATE("* differential.element[",'Rad-1'!A40,"].type.code = #",'Rad-1'!G40,"")</f>
        <v>* differential.element[34].type.code = #CodeableConcept</v>
      </c>
      <c r="I35" s="116" t="str">
        <f>IF('Rad-1'!H40&gt; "", CONCATENATE("* differential.element[",'Rad-1'!A40,"].binding.valueSet = """,'Rad-1'!H40,""""),"")</f>
        <v/>
      </c>
      <c r="J35" s="116" t="str">
        <f>IF('Rad-1'!I40&gt; "", CONCATENATE("* differential.element[",'Rad-1'!A40,"].binding.strength = #",'Rad-1'!I40,""),"")</f>
        <v/>
      </c>
    </row>
    <row r="36" spans="2:10" ht="132.75" x14ac:dyDescent="0.75">
      <c r="B36" s="116" t="str">
        <f>CONCATENATE("* differential.element[",'Rad-1'!$A41,"].id = """,'Rad-1'!$B$6,".",'Rad-1'!B41,"""")</f>
        <v>* differential.element[35].id = "Radiotherapy.target.boost.site"</v>
      </c>
      <c r="C36" s="116" t="str">
        <f>CONCATENATE("* differential.element[",'Rad-1'!$A41,"].path = """,'Rad-1'!$B$6,".",'Rad-1'!B41,"""")</f>
        <v>* differential.element[35].path = "Radiotherapy.target.boost.site"</v>
      </c>
      <c r="D36" s="116" t="str">
        <f>CONCATENATE("* differential.element[",'Rad-1'!A41,"].short = """,'Rad-1'!C41,"""")</f>
        <v>* differential.element[35].short = "Boost site"</v>
      </c>
      <c r="E36" s="116" t="str">
        <f>CONCATENATE("* differential.element[",'Rad-1'!A41,"].definition = """,'Rad-1'!D41,"""")</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c r="F36" s="116" t="str">
        <f>CONCATENATE("* differential.element[",'Rad-1'!A41,"].min = ",'Rad-1'!E41,"")</f>
        <v>* differential.element[35].min = 0</v>
      </c>
      <c r="G36" s="116" t="str">
        <f>CONCATENATE("* differential.element[",'Rad-1'!A41,"].max = """,'Rad-1'!F41,"""")</f>
        <v>* differential.element[35].max = "1"</v>
      </c>
      <c r="H36" s="116" t="str">
        <f>CONCATENATE("* differential.element[",'Rad-1'!A41,"].type.code = #",'Rad-1'!G41,"")</f>
        <v>* differential.element[35].type.code = #CodeableConcept</v>
      </c>
      <c r="I36" s="116" t="str">
        <f>IF('Rad-1'!H41&gt; "", CONCATENATE("* differential.element[",'Rad-1'!A41,"].binding.valueSet = """,'Rad-1'!H41,""""),"")</f>
        <v>* differential.element[35].binding.valueSet = "http://hl7.eu/fhir/ig/pcsp/ValueSet/vs-radiotherapy-pcsp"</v>
      </c>
      <c r="J36" s="116" t="str">
        <f>IF('Rad-1'!I41&gt; "", CONCATENATE("* differential.element[",'Rad-1'!A41,"].binding.strength = #",'Rad-1'!I41,""),"")</f>
        <v>* differential.element[35].binding.strength = #required</v>
      </c>
    </row>
    <row r="37" spans="2:10" ht="73.75" x14ac:dyDescent="0.75">
      <c r="B37" s="116" t="str">
        <f>CONCATENATE("* differential.element[",'Rad-1'!$A42,"].id = """,'Rad-1'!$B$6,".",'Rad-1'!B42,"""")</f>
        <v>* differential.element[36].id = "Radiotherapy.target.boost.laterality"</v>
      </c>
      <c r="C37" s="116" t="str">
        <f>CONCATENATE("* differential.element[",'Rad-1'!$A42,"].path = """,'Rad-1'!$B$6,".",'Rad-1'!B42,"""")</f>
        <v>* differential.element[36].path = "Radiotherapy.target.boost.laterality"</v>
      </c>
      <c r="D37" s="116" t="str">
        <f>CONCATENATE("* differential.element[",'Rad-1'!A42,"].short = """,'Rad-1'!C42,"""")</f>
        <v>* differential.element[36].short = "Laterality"</v>
      </c>
      <c r="E37" s="116" t="str">
        <f>CONCATENATE("* differential.element[",'Rad-1'!A42,"].definition = """,'Rad-1'!D42,"""")</f>
        <v>* differential.element[36].definition = "Report laterality of the radiation.
 R = right,
 L = left,
 B = bilateral"</v>
      </c>
      <c r="F37" s="116" t="str">
        <f>CONCATENATE("* differential.element[",'Rad-1'!A42,"].min = ",'Rad-1'!E42,"")</f>
        <v>* differential.element[36].min = 0</v>
      </c>
      <c r="G37" s="116" t="str">
        <f>CONCATENATE("* differential.element[",'Rad-1'!A42,"].max = """,'Rad-1'!F42,"""")</f>
        <v>* differential.element[36].max = "1"</v>
      </c>
      <c r="H37" s="116" t="str">
        <f>CONCATENATE("* differential.element[",'Rad-1'!A42,"].type.code = #",'Rad-1'!G42,"")</f>
        <v>* differential.element[36].type.code = #CodeableConcept</v>
      </c>
      <c r="I37" s="116" t="str">
        <f>IF('Rad-1'!H42&gt; "", CONCATENATE("* differential.element[",'Rad-1'!A42,"].binding.valueSet = """,'Rad-1'!H42,""""),"")</f>
        <v/>
      </c>
      <c r="J37" s="116" t="str">
        <f>IF('Rad-1'!I42&gt; "", CONCATENATE("* differential.element[",'Rad-1'!A42,"].binding.strength = #",'Rad-1'!I42,""),"")</f>
        <v/>
      </c>
    </row>
    <row r="38" spans="2:10" ht="44.25" x14ac:dyDescent="0.75">
      <c r="B38" s="116" t="str">
        <f>CONCATENATE("* differential.element[",'Rad-1'!$A43,"].id = """,'Rad-1'!$B$6,".",'Rad-1'!B43,"""")</f>
        <v>* differential.element[37].id = "Radiotherapy.target.boost.details"</v>
      </c>
      <c r="C38" s="116" t="str">
        <f>CONCATENATE("* differential.element[",'Rad-1'!$A43,"].path = """,'Rad-1'!$B$6,".",'Rad-1'!B43,"""")</f>
        <v>* differential.element[37].path = "Radiotherapy.target.boost.details"</v>
      </c>
      <c r="D38" s="116" t="str">
        <f>CONCATENATE("* differential.element[",'Rad-1'!A43,"].short = """,'Rad-1'!C43,"""")</f>
        <v>* differential.element[37].short = "Details"</v>
      </c>
      <c r="E38" s="116" t="str">
        <f>CONCATENATE("* differential.element[",'Rad-1'!A43,"].definition = """,'Rad-1'!D43,"""")</f>
        <v>* differential.element[37].definition = "If needed it is possible to add details"</v>
      </c>
      <c r="F38" s="116" t="str">
        <f>CONCATENATE("* differential.element[",'Rad-1'!A43,"].min = ",'Rad-1'!E43,"")</f>
        <v>* differential.element[37].min = 0</v>
      </c>
      <c r="G38" s="116" t="str">
        <f>CONCATENATE("* differential.element[",'Rad-1'!A43,"].max = """,'Rad-1'!F43,"""")</f>
        <v>* differential.element[37].max = "1"</v>
      </c>
      <c r="H38" s="116" t="str">
        <f>CONCATENATE("* differential.element[",'Rad-1'!A43,"].type.code = #",'Rad-1'!G43,"")</f>
        <v>* differential.element[37].type.code = #string</v>
      </c>
      <c r="I38" s="116" t="str">
        <f>IF('Rad-1'!H43&gt; "", CONCATENATE("* differential.element[",'Rad-1'!A43,"].binding.valueSet = """,'Rad-1'!H43,""""),"")</f>
        <v/>
      </c>
      <c r="J38" s="116" t="str">
        <f>IF('Rad-1'!I43&gt; "", CONCATENATE("* differential.element[",'Rad-1'!A43,"].binding.strength = #",'Rad-1'!I43,""),"")</f>
        <v/>
      </c>
    </row>
    <row r="39" spans="2:10" ht="103.25" x14ac:dyDescent="0.75">
      <c r="B39" s="116" t="str">
        <f>CONCATENATE("* differential.element[",'Rad-1'!$A44,"].id = """,'Rad-1'!$B$6,".",'Rad-1'!B44,"""")</f>
        <v>* differential.element[38].id = "Radiotherapy.target.boost.from"</v>
      </c>
      <c r="C39" s="116" t="str">
        <f>CONCATENATE("* differential.element[",'Rad-1'!$A44,"].path = """,'Rad-1'!$B$6,".",'Rad-1'!B44,"""")</f>
        <v>* differential.element[38].path = "Radiotherapy.target.boost.from"</v>
      </c>
      <c r="D39" s="116" t="str">
        <f>CONCATENATE("* differential.element[",'Rad-1'!A44,"].short = """,'Rad-1'!C44,"""")</f>
        <v>* differential.element[38].short = "Start point"</v>
      </c>
      <c r="E39" s="116" t="str">
        <f>CONCATENATE("* differential.element[",'Rad-1'!A44,"].definition = """,'Rad-1'!D44,"""")</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c r="F39" s="116" t="str">
        <f>CONCATENATE("* differential.element[",'Rad-1'!A44,"].min = ",'Rad-1'!E44,"")</f>
        <v>* differential.element[38].min = 0</v>
      </c>
      <c r="G39" s="116" t="str">
        <f>CONCATENATE("* differential.element[",'Rad-1'!A44,"].max = """,'Rad-1'!F44,"""")</f>
        <v>* differential.element[38].max = "1"</v>
      </c>
      <c r="H39" s="116" t="str">
        <f>CONCATENATE("* differential.element[",'Rad-1'!A44,"].type.code = #",'Rad-1'!G44,"")</f>
        <v>* differential.element[38].type.code = #string</v>
      </c>
      <c r="I39" s="116" t="str">
        <f>IF('Rad-1'!H44&gt; "", CONCATENATE("* differential.element[",'Rad-1'!A44,"].binding.valueSet = """,'Rad-1'!H44,""""),"")</f>
        <v/>
      </c>
      <c r="J39" s="116" t="str">
        <f>IF('Rad-1'!I44&gt; "", CONCATENATE("* differential.element[",'Rad-1'!A44,"].binding.strength = #",'Rad-1'!I44,""),"")</f>
        <v/>
      </c>
    </row>
    <row r="40" spans="2:10" ht="88.5" x14ac:dyDescent="0.75">
      <c r="B40" s="116" t="str">
        <f>CONCATENATE("* differential.element[",'Rad-1'!$A45,"].id = """,'Rad-1'!$B$6,".",'Rad-1'!B45,"""")</f>
        <v>* differential.element[39].id = "Radiotherapy.target.boost.to"</v>
      </c>
      <c r="C40" s="116" t="str">
        <f>CONCATENATE("* differential.element[",'Rad-1'!$A45,"].path = """,'Rad-1'!$B$6,".",'Rad-1'!B45,"""")</f>
        <v>* differential.element[39].path = "Radiotherapy.target.boost.to"</v>
      </c>
      <c r="D40" s="116" t="str">
        <f>CONCATENATE("* differential.element[",'Rad-1'!A45,"].short = """,'Rad-1'!C45,"""")</f>
        <v>* differential.element[39].short = "End point"</v>
      </c>
      <c r="E40" s="116" t="str">
        <f>CONCATENATE("* differential.element[",'Rad-1'!A45,"].definition = """,'Rad-1'!D45,"""")</f>
        <v>* differential.element[39].definition = "When the radiation involves more than one site, eventually covering different body areas (e.g. torax and abdomen), select the ending point using the vertebrae to identify the lower limit (e.g.: Thoraco-Abdominal (area): Paraspinal - Lumbar vertebra 3)"</v>
      </c>
      <c r="F40" s="116" t="str">
        <f>CONCATENATE("* differential.element[",'Rad-1'!A45,"].min = ",'Rad-1'!E45,"")</f>
        <v>* differential.element[39].min = 0</v>
      </c>
      <c r="G40" s="116" t="str">
        <f>CONCATENATE("* differential.element[",'Rad-1'!A45,"].max = """,'Rad-1'!F45,"""")</f>
        <v>* differential.element[39].max = "1"</v>
      </c>
      <c r="H40" s="116" t="str">
        <f>CONCATENATE("* differential.element[",'Rad-1'!A45,"].type.code = #",'Rad-1'!G45,"")</f>
        <v>* differential.element[39].type.code = #string</v>
      </c>
      <c r="I40" s="116" t="str">
        <f>IF('Rad-1'!H45&gt; "", CONCATENATE("* differential.element[",'Rad-1'!A45,"].binding.valueSet = """,'Rad-1'!H45,""""),"")</f>
        <v/>
      </c>
      <c r="J40" s="116" t="str">
        <f>IF('Rad-1'!I45&gt; "", CONCATENATE("* differential.element[",'Rad-1'!A45,"].binding.strength = #",'Rad-1'!I45,""),"")</f>
        <v/>
      </c>
    </row>
    <row r="41" spans="2:10" ht="73.75" x14ac:dyDescent="0.75">
      <c r="B41" s="116" t="str">
        <f>CONCATENATE("* differential.element[",'Rad-1'!$A46,"].id = """,'Rad-1'!$B$6,".",'Rad-1'!B46,"""")</f>
        <v>* differential.element[40].id = "Radiotherapy.target.boost.position"</v>
      </c>
      <c r="C41" s="116" t="str">
        <f>CONCATENATE("* differential.element[",'Rad-1'!$A46,"].path = """,'Rad-1'!$B$6,".",'Rad-1'!B46,"""")</f>
        <v>* differential.element[40].path = "Radiotherapy.target.boost.position"</v>
      </c>
      <c r="D41" s="116" t="str">
        <f>CONCATENATE("* differential.element[",'Rad-1'!A46,"].short = """,'Rad-1'!C46,"""")</f>
        <v>* differential.element[40].short = "Position"</v>
      </c>
      <c r="E41" s="116" t="str">
        <f>CONCATENATE("* differential.element[",'Rad-1'!A46,"].definition = """,'Rad-1'!D46,"""")</f>
        <v>* differential.element[40].definition = "Specify whether the radiation was anterior or posterior. 
1 =&gt; Anterior
2 =&gt; Posterior
-9922 = NK"</v>
      </c>
      <c r="F41" s="116" t="str">
        <f>CONCATENATE("* differential.element[",'Rad-1'!A46,"].min = ",'Rad-1'!E46,"")</f>
        <v>* differential.element[40].min = 0</v>
      </c>
      <c r="G41" s="116" t="str">
        <f>CONCATENATE("* differential.element[",'Rad-1'!A46,"].max = """,'Rad-1'!F46,"""")</f>
        <v>* differential.element[40].max = "1"</v>
      </c>
      <c r="H41" s="116" t="str">
        <f>CONCATENATE("* differential.element[",'Rad-1'!A46,"].type.code = #",'Rad-1'!G46,"")</f>
        <v>* differential.element[40].type.code = #CodeableConcept</v>
      </c>
      <c r="I41" s="116" t="str">
        <f>IF('Rad-1'!H46&gt; "", CONCATENATE("* differential.element[",'Rad-1'!A46,"].binding.valueSet = """,'Rad-1'!H46,""""),"")</f>
        <v/>
      </c>
      <c r="J41" s="116" t="str">
        <f>IF('Rad-1'!I46&gt; "", CONCATENATE("* differential.element[",'Rad-1'!A46,"].binding.strength = #",'Rad-1'!I46,""),"")</f>
        <v/>
      </c>
    </row>
    <row r="42" spans="2:10" ht="59" x14ac:dyDescent="0.75">
      <c r="B42" s="116" t="str">
        <f>CONCATENATE("* differential.element[",'Rad-1'!$A47,"].id = """,'Rad-1'!$B$6,".",'Rad-1'!B47,"""")</f>
        <v>* differential.element[41].id = "Radiotherapy.target.boost.cumulativeDose"</v>
      </c>
      <c r="C42" s="116" t="str">
        <f>CONCATENATE("* differential.element[",'Rad-1'!$A47,"].path = """,'Rad-1'!$B$6,".",'Rad-1'!B47,"""")</f>
        <v>* differential.element[41].path = "Radiotherapy.target.boost.cumulativeDose"</v>
      </c>
      <c r="D42" s="116" t="str">
        <f>CONCATENATE("* differential.element[",'Rad-1'!A47,"].short = """,'Rad-1'!C47,"""")</f>
        <v>* differential.element[41].short = "Comulative dose"</v>
      </c>
      <c r="E42" s="116" t="str">
        <f>CONCATENATE("* differential.element[",'Rad-1'!A47,"].definition = """,'Rad-1'!D47,"""")</f>
        <v>* differential.element[41].definition = "Specify the cumulative / total dose given to the boost site."</v>
      </c>
      <c r="F42" s="116" t="str">
        <f>CONCATENATE("* differential.element[",'Rad-1'!A47,"].min = ",'Rad-1'!E47,"")</f>
        <v>* differential.element[41].min = 1</v>
      </c>
      <c r="G42" s="116" t="str">
        <f>CONCATENATE("* differential.element[",'Rad-1'!A47,"].max = """,'Rad-1'!F47,"""")</f>
        <v>* differential.element[41].max = "1"</v>
      </c>
      <c r="H42" s="116" t="str">
        <f>CONCATENATE("* differential.element[",'Rad-1'!A47,"].type.code = #",'Rad-1'!G47,"")</f>
        <v>* differential.element[41].type.code = #BackboneElement</v>
      </c>
      <c r="I42" s="116" t="str">
        <f>IF('Rad-1'!H47&gt; "", CONCATENATE("* differential.element[",'Rad-1'!A47,"].binding.valueSet = """,'Rad-1'!H47,""""),"")</f>
        <v/>
      </c>
      <c r="J42" s="116" t="str">
        <f>IF('Rad-1'!I47&gt; "", CONCATENATE("* differential.element[",'Rad-1'!A47,"].binding.strength = #",'Rad-1'!I47,""),"")</f>
        <v/>
      </c>
    </row>
    <row r="43" spans="2:10" ht="59" x14ac:dyDescent="0.75">
      <c r="B43" s="116" t="str">
        <f>CONCATENATE("* differential.element[",'Rad-1'!$A48,"].id = """,'Rad-1'!$B$6,".",'Rad-1'!B48,"""")</f>
        <v>* differential.element[42].id = "Radiotherapy.target.boost.cumulativeDose.completionStatus"</v>
      </c>
      <c r="C43" s="116" t="str">
        <f>CONCATENATE("* differential.element[",'Rad-1'!$A48,"].path = """,'Rad-1'!$B$6,".",'Rad-1'!B48,"""")</f>
        <v>* differential.element[42].path = "Radiotherapy.target.boost.cumulativeDose.completionStatus"</v>
      </c>
      <c r="D43" s="116" t="str">
        <f>CONCATENATE("* differential.element[",'Rad-1'!A48,"].short = """,'Rad-1'!C48,"""")</f>
        <v>* differential.element[42].short = "The reported doses are incomplete (either under- or over-estimated)"</v>
      </c>
      <c r="E43" s="116" t="str">
        <f>CONCATENATE("* differential.element[",'Rad-1'!A48,"].definition = """,'Rad-1'!D48,"""")</f>
        <v>* differential.element[42].definition = "Check in case of incomplete doses"</v>
      </c>
      <c r="F43" s="116" t="str">
        <f>CONCATENATE("* differential.element[",'Rad-1'!A48,"].min = ",'Rad-1'!E48,"")</f>
        <v>* differential.element[42].min = 0</v>
      </c>
      <c r="G43" s="116" t="str">
        <f>CONCATENATE("* differential.element[",'Rad-1'!A48,"].max = """,'Rad-1'!F48,"""")</f>
        <v>* differential.element[42].max = "1"</v>
      </c>
      <c r="H43" s="116" t="str">
        <f>CONCATENATE("* differential.element[",'Rad-1'!A48,"].type.code = #",'Rad-1'!G48,"")</f>
        <v>* differential.element[42].type.code = #CodeableConcept</v>
      </c>
      <c r="I43" s="116" t="str">
        <f>IF('Rad-1'!H48&gt; "", CONCATENATE("* differential.element[",'Rad-1'!A48,"].binding.valueSet = """,'Rad-1'!H48,""""),"")</f>
        <v/>
      </c>
      <c r="J43" s="116" t="str">
        <f>IF('Rad-1'!I48&gt; "", CONCATENATE("* differential.element[",'Rad-1'!A48,"].binding.strength = #",'Rad-1'!I48,""),"")</f>
        <v/>
      </c>
    </row>
    <row r="44" spans="2:10" ht="59" x14ac:dyDescent="0.75">
      <c r="B44" s="116" t="str">
        <f>CONCATENATE("* differential.element[",'Rad-1'!$A49,"].id = """,'Rad-1'!$B$6,".",'Rad-1'!B49,"""")</f>
        <v>* differential.element[43].id = "Radiotherapy.target.boost.cumulativeDose.statusReason"</v>
      </c>
      <c r="C44" s="116" t="str">
        <f>CONCATENATE("* differential.element[",'Rad-1'!$A49,"].path = """,'Rad-1'!$B$6,".",'Rad-1'!B49,"""")</f>
        <v>* differential.element[43].path = "Radiotherapy.target.boost.cumulativeDose.statusReason"</v>
      </c>
      <c r="D44" s="116" t="str">
        <f>CONCATENATE("* differential.element[",'Rad-1'!A49,"].short = """,'Rad-1'!C49,"""")</f>
        <v>* differential.element[43].short = "Specify reasons why"</v>
      </c>
      <c r="E44" s="116" t="str">
        <f>CONCATENATE("* differential.element[",'Rad-1'!A49,"].definition = """,'Rad-1'!D49,"""")</f>
        <v>* differential.element[43].definition = "Specify reasons of incomplete estimated doses"</v>
      </c>
      <c r="F44" s="116" t="str">
        <f>CONCATENATE("* differential.element[",'Rad-1'!A49,"].min = ",'Rad-1'!E49,"")</f>
        <v>* differential.element[43].min = 0</v>
      </c>
      <c r="G44" s="116" t="str">
        <f>CONCATENATE("* differential.element[",'Rad-1'!A49,"].max = """,'Rad-1'!F49,"""")</f>
        <v>* differential.element[43].max = "1"</v>
      </c>
      <c r="H44" s="116" t="str">
        <f>CONCATENATE("* differential.element[",'Rad-1'!A49,"].type.code = #",'Rad-1'!G49,"")</f>
        <v>* differential.element[43].type.code = #CodeableConcept</v>
      </c>
      <c r="I44" s="116" t="str">
        <f>IF('Rad-1'!H49&gt; "", CONCATENATE("* differential.element[",'Rad-1'!A49,"].binding.valueSet = """,'Rad-1'!H49,""""),"")</f>
        <v/>
      </c>
      <c r="J44" s="116" t="str">
        <f>IF('Rad-1'!I49&gt; "", CONCATENATE("* differential.element[",'Rad-1'!A49,"].binding.strength = #",'Rad-1'!I49,""),"")</f>
        <v/>
      </c>
    </row>
    <row r="45" spans="2:10" ht="59" x14ac:dyDescent="0.75">
      <c r="B45" s="116" t="str">
        <f>CONCATENATE("* differential.element[",'Rad-1'!$A50,"].id = """,'Rad-1'!$B$6,".",'Rad-1'!B50,"""")</f>
        <v>* differential.element[44].id = "Radiotherapy.target.boost.cumulativeDose.notKnown"</v>
      </c>
      <c r="C45" s="116" t="str">
        <f>CONCATENATE("* differential.element[",'Rad-1'!$A50,"].path = """,'Rad-1'!$B$6,".",'Rad-1'!B50,"""")</f>
        <v>* differential.element[44].path = "Radiotherapy.target.boost.cumulativeDose.notKnown"</v>
      </c>
      <c r="D45" s="116" t="str">
        <f>CONCATENATE("* differential.element[",'Rad-1'!A50,"].short = """,'Rad-1'!C50,"""")</f>
        <v>* differential.element[44].short = "Not known dose"</v>
      </c>
      <c r="E45" s="116" t="str">
        <f>CONCATENATE("* differential.element[",'Rad-1'!A50,"].definition = """,'Rad-1'!D50,"""")</f>
        <v>* differential.element[44].definition = "Not known dose"</v>
      </c>
      <c r="F45" s="116" t="str">
        <f>CONCATENATE("* differential.element[",'Rad-1'!A50,"].min = ",'Rad-1'!E50,"")</f>
        <v>* differential.element[44].min = 0</v>
      </c>
      <c r="G45" s="116" t="str">
        <f>CONCATENATE("* differential.element[",'Rad-1'!A50,"].max = """,'Rad-1'!F50,"""")</f>
        <v>* differential.element[44].max = "1"</v>
      </c>
      <c r="H45" s="116" t="str">
        <f>CONCATENATE("* differential.element[",'Rad-1'!A50,"].type.code = #",'Rad-1'!G50,"")</f>
        <v>* differential.element[44].type.code = #CodeableConcept</v>
      </c>
      <c r="I45" s="116" t="str">
        <f>IF('Rad-1'!H50&gt; "", CONCATENATE("* differential.element[",'Rad-1'!A50,"].binding.valueSet = """,'Rad-1'!H50,""""),"")</f>
        <v/>
      </c>
      <c r="J45" s="116" t="str">
        <f>IF('Rad-1'!I50&gt; "", CONCATENATE("* differential.element[",'Rad-1'!A50,"].binding.strength = #",'Rad-1'!I50,""),"")</f>
        <v/>
      </c>
    </row>
    <row r="46" spans="2:10" ht="59" x14ac:dyDescent="0.75">
      <c r="B46" s="116" t="str">
        <f>CONCATENATE("* differential.element[",'Rad-1'!$A51,"].id = """,'Rad-1'!$B$6,".",'Rad-1'!B51,"""")</f>
        <v>* differential.element[45].id = "Radiotherapy.target.boost.cumulativeDose.dose"</v>
      </c>
      <c r="C46" s="116" t="str">
        <f>CONCATENATE("* differential.element[",'Rad-1'!$A51,"].path = """,'Rad-1'!$B$6,".",'Rad-1'!B51,"""")</f>
        <v>* differential.element[45].path = "Radiotherapy.target.boost.cumulativeDose.dose"</v>
      </c>
      <c r="D46" s="116" t="str">
        <f>CONCATENATE("* differential.element[",'Rad-1'!A51,"].short = """,'Rad-1'!C51,"""")</f>
        <v>* differential.element[45].short = "Dose"</v>
      </c>
      <c r="E46" s="116" t="str">
        <f>CONCATENATE("* differential.element[",'Rad-1'!A51,"].definition = """,'Rad-1'!D51,"""")</f>
        <v>* differential.element[45].definition = "Specify the cumulative / total dose given to the boost site."</v>
      </c>
      <c r="F46" s="116" t="str">
        <f>CONCATENATE("* differential.element[",'Rad-1'!A51,"].min = ",'Rad-1'!E51,"")</f>
        <v>* differential.element[45].min = 0</v>
      </c>
      <c r="G46" s="116" t="str">
        <f>CONCATENATE("* differential.element[",'Rad-1'!A51,"].max = """,'Rad-1'!F51,"""")</f>
        <v>* differential.element[45].max = "1"</v>
      </c>
      <c r="H46" s="116" t="str">
        <f>CONCATENATE("* differential.element[",'Rad-1'!A51,"].type.code = #",'Rad-1'!G51,"")</f>
        <v>* differential.element[45].type.code = #decimal</v>
      </c>
      <c r="I46" s="116" t="str">
        <f>IF('Rad-1'!H51&gt; "", CONCATENATE("* differential.element[",'Rad-1'!A51,"].binding.valueSet = """,'Rad-1'!H51,""""),"")</f>
        <v/>
      </c>
      <c r="J46" s="116" t="str">
        <f>IF('Rad-1'!I51&gt; "", CONCATENATE("* differential.element[",'Rad-1'!A51,"].binding.strength = #",'Rad-1'!I51,""),"")</f>
        <v/>
      </c>
    </row>
    <row r="47" spans="2:10" ht="73.75" x14ac:dyDescent="0.75">
      <c r="B47" s="116" t="str">
        <f>CONCATENATE("* differential.element[",'Rad-1'!$A52,"].id = """,'Rad-1'!$B$6,".",'Rad-1'!B52,"""")</f>
        <v>* differential.element[46].id = "Radiotherapy.target.boost.cumulativeDose.unit"</v>
      </c>
      <c r="C47" s="116" t="str">
        <f>CONCATENATE("* differential.element[",'Rad-1'!$A52,"].path = """,'Rad-1'!$B$6,".",'Rad-1'!B52,"""")</f>
        <v>* differential.element[46].path = "Radiotherapy.target.boost.cumulativeDose.unit"</v>
      </c>
      <c r="D47" s="116" t="str">
        <f>CONCATENATE("* differential.element[",'Rad-1'!A52,"].short = """,'Rad-1'!C52,"""")</f>
        <v>* differential.element[46].short = "Unit"</v>
      </c>
      <c r="E47" s="116" t="str">
        <f>CONCATENATE("* differential.element[",'Rad-1'!A52,"].definition = """,'Rad-1'!D52,"""")</f>
        <v>* differential.element[46].definition = "Specify the unit of the boost in case of external beam radiotherapy as  Gy. 
specify if dose is recorded in bequerels (MBq or GBq) or curies (Ci) or Unkwnon"</v>
      </c>
      <c r="F47" s="116" t="str">
        <f>CONCATENATE("* differential.element[",'Rad-1'!A52,"].min = ",'Rad-1'!E52,"")</f>
        <v>* differential.element[46].min = 0</v>
      </c>
      <c r="G47" s="116" t="str">
        <f>CONCATENATE("* differential.element[",'Rad-1'!A52,"].max = """,'Rad-1'!F52,"""")</f>
        <v>* differential.element[46].max = "1"</v>
      </c>
      <c r="H47" s="116" t="str">
        <f>CONCATENATE("* differential.element[",'Rad-1'!A52,"].type.code = #",'Rad-1'!G52,"")</f>
        <v>* differential.element[46].type.code = #CodeableConcept</v>
      </c>
      <c r="I47" s="116" t="str">
        <f>IF('Rad-1'!H52&gt; "", CONCATENATE("* differential.element[",'Rad-1'!A52,"].binding.valueSet = """,'Rad-1'!H52,""""),"")</f>
        <v/>
      </c>
      <c r="J47" s="116" t="str">
        <f>IF('Rad-1'!I52&gt; "", CONCATENATE("* differential.element[",'Rad-1'!A52,"].binding.strength = #",'Rad-1'!I52,""),"")</f>
        <v/>
      </c>
    </row>
    <row r="48" spans="2:10" ht="73.75" x14ac:dyDescent="0.75">
      <c r="B48" s="116" t="str">
        <f>CONCATENATE("* differential.element[",'Rad-1'!$A53,"].id = """,'Rad-1'!$B$6,".",'Rad-1'!B53,"""")</f>
        <v>* differential.element[47].id = "Radiotherapy.target.boost.cumulativeDose.fractions"</v>
      </c>
      <c r="C48" s="116" t="str">
        <f>CONCATENATE("* differential.element[",'Rad-1'!$A53,"].path = """,'Rad-1'!$B$6,".",'Rad-1'!B53,"""")</f>
        <v>* differential.element[47].path = "Radiotherapy.target.boost.cumulativeDose.fractions"</v>
      </c>
      <c r="D48" s="116" t="str">
        <f>CONCATENATE("* differential.element[",'Rad-1'!A53,"].short = """,'Rad-1'!C53,"""")</f>
        <v>* differential.element[47].short = "Number of fractions (if  external beam)"</v>
      </c>
      <c r="E48" s="116" t="str">
        <f>CONCATENATE("* differential.element[",'Rad-1'!A53,"].definition = """,'Rad-1'!D53,"""")</f>
        <v>* differential.element[47].definition = "A fraction of radiation treatment is a single attendance for treatment. Please specify the number of fractions given as included in the boost. If not known, insert NK."</v>
      </c>
      <c r="F48" s="116" t="str">
        <f>CONCATENATE("* differential.element[",'Rad-1'!A53,"].min = ",'Rad-1'!E53,"")</f>
        <v>* differential.element[47].min = 0</v>
      </c>
      <c r="G48" s="116" t="str">
        <f>CONCATENATE("* differential.element[",'Rad-1'!A53,"].max = """,'Rad-1'!F53,"""")</f>
        <v>* differential.element[47].max = "1"</v>
      </c>
      <c r="H48" s="116" t="str">
        <f>CONCATENATE("* differential.element[",'Rad-1'!A53,"].type.code = #",'Rad-1'!G53,"")</f>
        <v>* differential.element[47].type.code = #integer</v>
      </c>
      <c r="I48" s="116" t="str">
        <f>IF('Rad-1'!H53&gt; "", CONCATENATE("* differential.element[",'Rad-1'!A53,"].binding.valueSet = """,'Rad-1'!H53,""""),"")</f>
        <v/>
      </c>
      <c r="J48" s="116" t="str">
        <f>IF('Rad-1'!I53&gt; "", CONCATENATE("* differential.element[",'Rad-1'!A53,"].binding.strength = #",'Rad-1'!I53,""),"")</f>
        <v/>
      </c>
    </row>
    <row r="49" spans="2:10" ht="59" x14ac:dyDescent="0.75">
      <c r="B49" s="116" t="str">
        <f>CONCATENATE("* differential.element[",'Rad-1'!$A54,"].id = """,'Rad-1'!$B$6,".",'Rad-1'!B54,"""")</f>
        <v>* differential.element[48].id = "Radiotherapy.target.site.shielding"</v>
      </c>
      <c r="C49" s="116" t="str">
        <f>CONCATENATE("* differential.element[",'Rad-1'!$A54,"].path = """,'Rad-1'!$B$6,".",'Rad-1'!B54,"""")</f>
        <v>* differential.element[48].path = "Radiotherapy.target.site.shielding"</v>
      </c>
      <c r="D49" s="116" t="str">
        <f>CONCATENATE("* differential.element[",'Rad-1'!A54,"].short = """,'Rad-1'!C54,"""")</f>
        <v>* differential.element[48].short = "Shielding"</v>
      </c>
      <c r="E49" s="116" t="str">
        <f>CONCATENATE("* differential.element[",'Rad-1'!A54,"].definition = """,'Rad-1'!D54,"""")</f>
        <v>* differential.element[48].definition = "Shielding, in some records this is called “blocking” or “blocks”. "</v>
      </c>
      <c r="F49" s="116" t="str">
        <f>CONCATENATE("* differential.element[",'Rad-1'!A54,"].min = ",'Rad-1'!E54,"")</f>
        <v>* differential.element[48].min = 0</v>
      </c>
      <c r="G49" s="116" t="str">
        <f>CONCATENATE("* differential.element[",'Rad-1'!A54,"].max = """,'Rad-1'!F54,"""")</f>
        <v>* differential.element[48].max = "1"</v>
      </c>
      <c r="H49" s="116" t="str">
        <f>CONCATENATE("* differential.element[",'Rad-1'!A54,"].type.code = #",'Rad-1'!G54,"")</f>
        <v>* differential.element[48].type.code = #BackboneElement</v>
      </c>
      <c r="I49" s="116" t="str">
        <f>IF('Rad-1'!H54&gt; "", CONCATENATE("* differential.element[",'Rad-1'!A54,"].binding.valueSet = """,'Rad-1'!H54,""""),"")</f>
        <v/>
      </c>
      <c r="J49" s="116" t="str">
        <f>IF('Rad-1'!I54&gt; "", CONCATENATE("* differential.element[",'Rad-1'!A54,"].binding.strength = #",'Rad-1'!I54,""),"")</f>
        <v/>
      </c>
    </row>
    <row r="50" spans="2:10" ht="59" x14ac:dyDescent="0.75">
      <c r="B50" s="116" t="str">
        <f>CONCATENATE("* differential.element[",'Rad-1'!$A55,"].id = """,'Rad-1'!$B$6,".",'Rad-1'!B55,"""")</f>
        <v>* differential.element[49].id = "Radiotherapy.target.site.shielding.status"</v>
      </c>
      <c r="C50" s="116" t="str">
        <f>CONCATENATE("* differential.element[",'Rad-1'!$A55,"].path = """,'Rad-1'!$B$6,".",'Rad-1'!B55,"""")</f>
        <v>* differential.element[49].path = "Radiotherapy.target.site.shielding.status"</v>
      </c>
      <c r="D50" s="116" t="str">
        <f>CONCATENATE("* differential.element[",'Rad-1'!A55,"].short = """,'Rad-1'!C55,"""")</f>
        <v>* differential.element[49].short = "Shielding status"</v>
      </c>
      <c r="E50" s="116" t="str">
        <f>CONCATENATE("* differential.element[",'Rad-1'!A55,"].definition = """,'Rad-1'!D55,"""")</f>
        <v>* differential.element[49].definition = "Specify if shielding was used or not. 
Yes;  No;  NK  "</v>
      </c>
      <c r="F50" s="116" t="str">
        <f>CONCATENATE("* differential.element[",'Rad-1'!A55,"].min = ",'Rad-1'!E55,"")</f>
        <v>* differential.element[49].min = 0</v>
      </c>
      <c r="G50" s="116" t="str">
        <f>CONCATENATE("* differential.element[",'Rad-1'!A55,"].max = """,'Rad-1'!F55,"""")</f>
        <v>* differential.element[49].max = "1"</v>
      </c>
      <c r="H50" s="116" t="str">
        <f>CONCATENATE("* differential.element[",'Rad-1'!A55,"].type.code = #",'Rad-1'!G55,"")</f>
        <v>* differential.element[49].type.code = #CodeableConcept</v>
      </c>
      <c r="I50" s="116" t="str">
        <f>IF('Rad-1'!H55&gt; "", CONCATENATE("* differential.element[",'Rad-1'!A55,"].binding.valueSet = """,'Rad-1'!H55,""""),"")</f>
        <v/>
      </c>
      <c r="J50" s="116" t="str">
        <f>IF('Rad-1'!I55&gt; "", CONCATENATE("* differential.element[",'Rad-1'!A55,"].binding.strength = #",'Rad-1'!I55,""),"")</f>
        <v/>
      </c>
    </row>
    <row r="51" spans="2:10" ht="44.25" x14ac:dyDescent="0.75">
      <c r="B51" s="116" t="str">
        <f>CONCATENATE("* differential.element[",'Rad-1'!$A56,"].id = """,'Rad-1'!$B$6,".",'Rad-1'!B56,"""")</f>
        <v>* differential.element[50].id = "Radiotherapy.target.site.shielding.position"</v>
      </c>
      <c r="C51" s="116" t="str">
        <f>CONCATENATE("* differential.element[",'Rad-1'!$A56,"].path = """,'Rad-1'!$B$6,".",'Rad-1'!B56,"""")</f>
        <v>* differential.element[50].path = "Radiotherapy.target.site.shielding.position"</v>
      </c>
      <c r="D51" s="116" t="str">
        <f>CONCATENATE("* differential.element[",'Rad-1'!A56,"].short = """,'Rad-1'!C56,"""")</f>
        <v>* differential.element[50].short = "Position of shielding"</v>
      </c>
      <c r="E51" s="116" t="str">
        <f>CONCATENATE("* differential.element[",'Rad-1'!A56,"].definition = """,'Rad-1'!D56,"""")</f>
        <v>* differential.element[50].definition = "Describe the positioning of shielding"</v>
      </c>
      <c r="F51" s="116" t="str">
        <f>CONCATENATE("* differential.element[",'Rad-1'!A56,"].min = ",'Rad-1'!E56,"")</f>
        <v>* differential.element[50].min = 0</v>
      </c>
      <c r="G51" s="116" t="str">
        <f>CONCATENATE("* differential.element[",'Rad-1'!A56,"].max = """,'Rad-1'!F56,"""")</f>
        <v>* differential.element[50].max = "1"</v>
      </c>
      <c r="H51" s="116" t="str">
        <f>CONCATENATE("* differential.element[",'Rad-1'!A56,"].type.code = #",'Rad-1'!G56,"")</f>
        <v>* differential.element[50].type.code = #string</v>
      </c>
      <c r="I51" s="116" t="str">
        <f>IF('Rad-1'!H56&gt; "", CONCATENATE("* differential.element[",'Rad-1'!A56,"].binding.valueSet = """,'Rad-1'!H56,""""),"")</f>
        <v/>
      </c>
      <c r="J51" s="116" t="str">
        <f>IF('Rad-1'!I56&gt; "", CONCATENATE("* differential.element[",'Rad-1'!A56,"].binding.strength = #",'Rad-1'!I56,""),"")</f>
        <v/>
      </c>
    </row>
    <row r="52" spans="2:10" ht="44.25" x14ac:dyDescent="0.75">
      <c r="B52" s="116" t="str">
        <f>CONCATENATE("* differential.element[",'Rad-1'!$A57,"].id = """,'Rad-1'!$B$6,".",'Rad-1'!B57,"""")</f>
        <v>* differential.element[51].id = "Radiotherapy.target.site.notes"</v>
      </c>
      <c r="C52" s="116" t="str">
        <f>CONCATENATE("* differential.element[",'Rad-1'!$A57,"].path = """,'Rad-1'!$B$6,".",'Rad-1'!B57,"""")</f>
        <v>* differential.element[51].path = "Radiotherapy.target.site.notes"</v>
      </c>
      <c r="D52" s="116" t="str">
        <f>CONCATENATE("* differential.element[",'Rad-1'!A57,"].short = """,'Rad-1'!C57,"""")</f>
        <v>* differential.element[51].short = "Additional description"</v>
      </c>
      <c r="E52" s="116" t="str">
        <f>CONCATENATE("* differential.element[",'Rad-1'!A57,"].definition = """,'Rad-1'!D57,"""")</f>
        <v>* differential.element[51].definition = "Record any available details on the shielded tissue/organ (or size of shielded area)."</v>
      </c>
      <c r="F52" s="116" t="str">
        <f>CONCATENATE("* differential.element[",'Rad-1'!A57,"].min = ",'Rad-1'!E57,"")</f>
        <v>* differential.element[51].min = 0</v>
      </c>
      <c r="G52" s="116" t="str">
        <f>CONCATENATE("* differential.element[",'Rad-1'!A57,"].max = """,'Rad-1'!F57,"""")</f>
        <v>* differential.element[51].max = "1"</v>
      </c>
      <c r="H52" s="116" t="str">
        <f>CONCATENATE("* differential.element[",'Rad-1'!A57,"].type.code = #",'Rad-1'!G57,"")</f>
        <v>* differential.element[51].type.code = #string</v>
      </c>
      <c r="I52" s="116" t="str">
        <f>IF('Rad-1'!H57&gt; "", CONCATENATE("* differential.element[",'Rad-1'!A57,"].binding.valueSet = """,'Rad-1'!H57,""""),"")</f>
        <v/>
      </c>
      <c r="J52" s="116" t="str">
        <f>IF('Rad-1'!I57&gt; "", CONCATENATE("* differential.element[",'Rad-1'!A57,"].binding.strength = #",'Rad-1'!I57,""),"")</f>
        <v/>
      </c>
    </row>
    <row r="53" spans="2:10" ht="59" x14ac:dyDescent="0.75">
      <c r="B53" s="116" t="str">
        <f>CONCATENATE("* differential.element[",'Rad-1'!$A58,"].id = """,'Rad-1'!$B$6,".",'Rad-1'!B58,"""")</f>
        <v>* differential.element[52].id = "Radiotherapy.organAtRisk"</v>
      </c>
      <c r="C53" s="116" t="str">
        <f>CONCATENATE("* differential.element[",'Rad-1'!$A58,"].path = """,'Rad-1'!$B$6,".",'Rad-1'!B58,"""")</f>
        <v>* differential.element[52].path = "Radiotherapy.organAtRisk"</v>
      </c>
      <c r="D53" s="116" t="str">
        <f>CONCATENATE("* differential.element[",'Rad-1'!A58,"].short = """,'Rad-1'!C58,"""")</f>
        <v>* differential.element[52].short = "Organ at Risk"</v>
      </c>
      <c r="E53" s="116" t="str">
        <f>CONCATENATE("* differential.element[",'Rad-1'!A58,"].definition = """,'Rad-1'!D58,"""")</f>
        <v>* differential.element[52].definition = "Organs at Risk"</v>
      </c>
      <c r="F53" s="116" t="str">
        <f>CONCATENATE("* differential.element[",'Rad-1'!A58,"].min = ",'Rad-1'!E58,"")</f>
        <v>* differential.element[52].min = 0</v>
      </c>
      <c r="G53" s="116" t="str">
        <f>CONCATENATE("* differential.element[",'Rad-1'!A58,"].max = """,'Rad-1'!F58,"""")</f>
        <v>* differential.element[52].max = "1"</v>
      </c>
      <c r="H53" s="116" t="str">
        <f>CONCATENATE("* differential.element[",'Rad-1'!A58,"].type.code = #",'Rad-1'!G58,"")</f>
        <v>* differential.element[52].type.code = #BackboneElement</v>
      </c>
      <c r="I53" s="116" t="str">
        <f>IF('Rad-1'!H58&gt; "", CONCATENATE("* differential.element[",'Rad-1'!A58,"].binding.valueSet = """,'Rad-1'!H58,""""),"")</f>
        <v/>
      </c>
      <c r="J53" s="116" t="str">
        <f>IF('Rad-1'!I58&gt; "", CONCATENATE("* differential.element[",'Rad-1'!A58,"].binding.strength = #",'Rad-1'!I58,""),"")</f>
        <v/>
      </c>
    </row>
    <row r="54" spans="2:10" ht="59" x14ac:dyDescent="0.75">
      <c r="B54" s="116" t="str">
        <f>CONCATENATE("* differential.element[",'Rad-1'!$A59,"].id = """,'Rad-1'!$B$6,".",'Rad-1'!B59,"""")</f>
        <v>* differential.element[53].id = "Radiotherapy.organAtRisk.dosimetry"</v>
      </c>
      <c r="C54" s="116" t="str">
        <f>CONCATENATE("* differential.element[",'Rad-1'!$A59,"].path = """,'Rad-1'!$B$6,".",'Rad-1'!B59,"""")</f>
        <v>* differential.element[53].path = "Radiotherapy.organAtRisk.dosimetry"</v>
      </c>
      <c r="D54" s="116" t="str">
        <f>CONCATENATE("* differential.element[",'Rad-1'!A59,"].short = """,'Rad-1'!C59,"""")</f>
        <v>* differential.element[53].short = "Dosimetry on Organ at Risk"</v>
      </c>
      <c r="E54" s="116" t="str">
        <f>CONCATENATE("* differential.element[",'Rad-1'!A59,"].definition = """,'Rad-1'!D59,"""")</f>
        <v>* differential.element[53].definition = "Specify if there is available information on Dosimetry of Organs at Risk [Yes/No]"</v>
      </c>
      <c r="F54" s="116" t="str">
        <f>CONCATENATE("* differential.element[",'Rad-1'!A59,"].min = ",'Rad-1'!E59,"")</f>
        <v>* differential.element[53].min = 0</v>
      </c>
      <c r="G54" s="116" t="str">
        <f>CONCATENATE("* differential.element[",'Rad-1'!A59,"].max = """,'Rad-1'!F59,"""")</f>
        <v>* differential.element[53].max = "1"</v>
      </c>
      <c r="H54" s="116" t="str">
        <f>CONCATENATE("* differential.element[",'Rad-1'!A59,"].type.code = #",'Rad-1'!G59,"")</f>
        <v>* differential.element[53].type.code = #CodeableConcept</v>
      </c>
      <c r="I54" s="116" t="str">
        <f>IF('Rad-1'!H59&gt; "", CONCATENATE("* differential.element[",'Rad-1'!A59,"].binding.valueSet = """,'Rad-1'!H59,""""),"")</f>
        <v/>
      </c>
      <c r="J54" s="116" t="str">
        <f>IF('Rad-1'!I59&gt; "", CONCATENATE("* differential.element[",'Rad-1'!A59,"].binding.strength = #",'Rad-1'!I59,""),"")</f>
        <v/>
      </c>
    </row>
    <row r="55" spans="2:10" ht="59" x14ac:dyDescent="0.75">
      <c r="B55" s="116" t="str">
        <f>CONCATENATE("* differential.element[",'Rad-1'!$A60,"].id = """,'Rad-1'!$B$6,".",'Rad-1'!B60,"""")</f>
        <v>* differential.element[54].id = "Radiotherapy.organAtRisk.dosimetryDocument"</v>
      </c>
      <c r="C55" s="116" t="str">
        <f>CONCATENATE("* differential.element[",'Rad-1'!$A60,"].path = """,'Rad-1'!$B$6,".",'Rad-1'!B60,"""")</f>
        <v>* differential.element[54].path = "Radiotherapy.organAtRisk.dosimetryDocument"</v>
      </c>
      <c r="D55" s="116" t="str">
        <f>CONCATENATE("* differential.element[",'Rad-1'!A60,"].short = """,'Rad-1'!C60,"""")</f>
        <v>* differential.element[54].short = "Electronic / scanned version(s) of relevant document(s)"</v>
      </c>
      <c r="E55" s="116" t="str">
        <f>CONCATENATE("* differential.element[",'Rad-1'!A60,"].definition = """,'Rad-1'!D60,"""")</f>
        <v>* differential.element[54].definition = "If Dosimetry on Organ at Risk is available, upload here the electronic / scanned version(s) of any relevant document(s)"</v>
      </c>
      <c r="F55" s="116" t="str">
        <f>CONCATENATE("* differential.element[",'Rad-1'!A60,"].min = ",'Rad-1'!E60,"")</f>
        <v>* differential.element[54].min = 0</v>
      </c>
      <c r="G55" s="116" t="str">
        <f>CONCATENATE("* differential.element[",'Rad-1'!A60,"].max = """,'Rad-1'!F60,"""")</f>
        <v>* differential.element[54].max = "2"</v>
      </c>
      <c r="H55" s="116" t="str">
        <f>CONCATENATE("* differential.element[",'Rad-1'!A60,"].type.code = #",'Rad-1'!G60,"")</f>
        <v>* differential.element[54].type.code = #Binary</v>
      </c>
      <c r="I55" s="116" t="str">
        <f>IF('Rad-1'!H60&gt; "", CONCATENATE("* differential.element[",'Rad-1'!A60,"].binding.valueSet = """,'Rad-1'!H60,""""),"")</f>
        <v/>
      </c>
      <c r="J55" s="116" t="str">
        <f>IF('Rad-1'!I60&gt; "", CONCATENATE("* differential.element[",'Rad-1'!A60,"].binding.strength = #",'Rad-1'!I60,""),"")</f>
        <v/>
      </c>
    </row>
    <row r="56" spans="2:10" ht="44.25" x14ac:dyDescent="0.75">
      <c r="B56" s="116" t="str">
        <f>CONCATENATE("* differential.element[",'Rad-1'!$A61,"].id = """,'Rad-1'!$B$6,".",'Rad-1'!B61,"""")</f>
        <v>* differential.element[55].id = "Radiotherapy.files"</v>
      </c>
      <c r="C56" s="116" t="str">
        <f>CONCATENATE("* differential.element[",'Rad-1'!$A61,"].path = """,'Rad-1'!$B$6,".",'Rad-1'!B61,"""")</f>
        <v>* differential.element[55].path = "Radiotherapy.files"</v>
      </c>
      <c r="D56" s="116" t="str">
        <f>CONCATENATE("* differential.element[",'Rad-1'!A61,"].short = """,'Rad-1'!C61,"""")</f>
        <v>* differential.element[55].short = "Upload radiotherapy file (1)"</v>
      </c>
      <c r="E56" s="116" t="str">
        <f>CONCATENATE("* differential.element[",'Rad-1'!A61,"].definition = """,'Rad-1'!D61,"""")</f>
        <v>* differential.element[55].definition = "Radiotherapy file(s) can be uploaded here"</v>
      </c>
      <c r="F56" s="116" t="str">
        <f>CONCATENATE("* differential.element[",'Rad-1'!A61,"].min = ",'Rad-1'!E61,"")</f>
        <v>* differential.element[55].min = 0</v>
      </c>
      <c r="G56" s="116" t="str">
        <f>CONCATENATE("* differential.element[",'Rad-1'!A61,"].max = """,'Rad-1'!F61,"""")</f>
        <v>* differential.element[55].max = "2"</v>
      </c>
      <c r="H56" s="116" t="str">
        <f>CONCATENATE("* differential.element[",'Rad-1'!A61,"].type.code = #",'Rad-1'!G61,"")</f>
        <v>* differential.element[55].type.code = #Binary</v>
      </c>
      <c r="I56" s="116" t="str">
        <f>IF('Rad-1'!H61&gt; "", CONCATENATE("* differential.element[",'Rad-1'!A61,"].binding.valueSet = """,'Rad-1'!H61,""""),"")</f>
        <v/>
      </c>
      <c r="J56" s="116" t="str">
        <f>IF('Rad-1'!I61&gt; "", CONCATENATE("* differential.element[",'Rad-1'!A61,"].binding.strength = #",'Rad-1'!I61,""),"")</f>
        <v/>
      </c>
    </row>
    <row r="57" spans="2:10" ht="44.25" x14ac:dyDescent="0.75">
      <c r="B57" s="116" t="str">
        <f>CONCATENATE("* differential.element[",'Rad-1'!$A62,"].id = """,'Rad-1'!$B$6,".",'Rad-1'!B62,"""")</f>
        <v>* differential.element[56].id = "Radiotherapy.notes"</v>
      </c>
      <c r="C57" s="116" t="str">
        <f>CONCATENATE("* differential.element[",'Rad-1'!$A62,"].path = """,'Rad-1'!$B$6,".",'Rad-1'!B62,"""")</f>
        <v>* differential.element[56].path = "Radiotherapy.notes"</v>
      </c>
      <c r="D57" s="116" t="str">
        <f>CONCATENATE("* differential.element[",'Rad-1'!A62,"].short = """,'Rad-1'!C62,"""")</f>
        <v>* differential.element[56].short = "Notes"</v>
      </c>
      <c r="E57" s="116" t="str">
        <f>CONCATENATE("* differential.element[",'Rad-1'!A62,"].definition = """,'Rad-1'!D62,"""")</f>
        <v>* differential.element[56].definition = "Notes"</v>
      </c>
      <c r="F57" s="116" t="str">
        <f>CONCATENATE("* differential.element[",'Rad-1'!A62,"].min = ",'Rad-1'!E62,"")</f>
        <v>* differential.element[56].min = 0</v>
      </c>
      <c r="G57" s="116" t="str">
        <f>CONCATENATE("* differential.element[",'Rad-1'!A62,"].max = """,'Rad-1'!F62,"""")</f>
        <v>* differential.element[56].max = "1"</v>
      </c>
      <c r="H57" s="116" t="str">
        <f>CONCATENATE("* differential.element[",'Rad-1'!A62,"].type.code = #",'Rad-1'!G62,"")</f>
        <v>* differential.element[56].type.code = #string</v>
      </c>
      <c r="I57" s="116" t="str">
        <f>IF('Rad-1'!H62&gt; "", CONCATENATE("* differential.element[",'Rad-1'!A62,"].binding.valueSet = """,'Rad-1'!H62,""""),"")</f>
        <v/>
      </c>
      <c r="J57" s="116" t="str">
        <f>IF('Rad-1'!I62&gt; "", CONCATENATE("* differential.element[",'Rad-1'!A62,"].binding.strength = #",'Rad-1'!I62,""),"")</f>
        <v/>
      </c>
    </row>
    <row r="58" spans="2:10" x14ac:dyDescent="0.75">
      <c r="B58" s="116"/>
      <c r="C58" s="116"/>
      <c r="D58" s="116"/>
      <c r="E58" s="116"/>
      <c r="F58" s="116"/>
      <c r="G58" s="116"/>
      <c r="H58" s="116"/>
      <c r="I58" s="116"/>
      <c r="J58" s="116"/>
    </row>
    <row r="59" spans="2:10" x14ac:dyDescent="0.75">
      <c r="B59" s="116"/>
      <c r="C59" s="116"/>
      <c r="D59" s="116"/>
      <c r="E59" s="116"/>
      <c r="F59" s="116"/>
      <c r="G59" s="116"/>
      <c r="H59" s="116"/>
      <c r="I59" s="116"/>
      <c r="J59" s="116"/>
    </row>
    <row r="60" spans="2:10" x14ac:dyDescent="0.75">
      <c r="B60" s="116"/>
      <c r="C60" s="116"/>
      <c r="D60" s="116"/>
      <c r="E60" s="116"/>
      <c r="F60" s="116"/>
      <c r="G60" s="116"/>
      <c r="H60" s="116"/>
      <c r="I60" s="116"/>
      <c r="J60" s="116"/>
    </row>
    <row r="61" spans="2:10" x14ac:dyDescent="0.75">
      <c r="B61" s="116"/>
      <c r="C61" s="116"/>
      <c r="D61" s="116"/>
      <c r="E61" s="116"/>
      <c r="F61" s="116"/>
      <c r="G61" s="116"/>
      <c r="H61" s="116"/>
    </row>
    <row r="62" spans="2:10" x14ac:dyDescent="0.75">
      <c r="B62" s="116"/>
      <c r="C62" s="116"/>
      <c r="D62" s="116"/>
      <c r="E62" s="116"/>
      <c r="F62" s="116"/>
      <c r="G62" s="116"/>
      <c r="H62" s="116"/>
    </row>
    <row r="63" spans="2:10" x14ac:dyDescent="0.75">
      <c r="B63" s="116"/>
      <c r="C63" s="116"/>
      <c r="D63" s="116"/>
      <c r="E63" s="116"/>
      <c r="F63" s="116"/>
      <c r="G63" s="116"/>
      <c r="H63" s="116"/>
    </row>
    <row r="64" spans="2:10" x14ac:dyDescent="0.75">
      <c r="B64" s="116"/>
      <c r="C64" s="116"/>
      <c r="D64" s="116"/>
      <c r="E64" s="116"/>
      <c r="F64" s="116"/>
      <c r="G64" s="116"/>
      <c r="H64" s="116"/>
    </row>
    <row r="65" spans="2:8" x14ac:dyDescent="0.75">
      <c r="B65" s="116"/>
      <c r="C65" s="116"/>
      <c r="D65" s="116"/>
      <c r="E65" s="116"/>
      <c r="F65" s="116"/>
      <c r="G65" s="116"/>
      <c r="H65" s="116"/>
    </row>
    <row r="66" spans="2:8" x14ac:dyDescent="0.75">
      <c r="B66" s="116"/>
      <c r="C66" s="116"/>
      <c r="D66" s="116"/>
      <c r="E66" s="116"/>
      <c r="F66" s="116"/>
      <c r="G66" s="116"/>
      <c r="H66" s="116"/>
    </row>
    <row r="67" spans="2:8" x14ac:dyDescent="0.75">
      <c r="B67" s="116"/>
      <c r="C67" s="116"/>
      <c r="D67" s="116"/>
      <c r="E67" s="116"/>
      <c r="F67" s="116"/>
      <c r="G67" s="116"/>
      <c r="H67" s="116"/>
    </row>
    <row r="68" spans="2:8" x14ac:dyDescent="0.75">
      <c r="B68" s="116"/>
      <c r="C68" s="116"/>
      <c r="D68" s="116"/>
      <c r="E68" s="116"/>
      <c r="F68" s="116"/>
      <c r="G68" s="116"/>
      <c r="H68" s="116"/>
    </row>
    <row r="69" spans="2:8" x14ac:dyDescent="0.75">
      <c r="B69" s="116"/>
      <c r="C69" s="116"/>
      <c r="D69" s="116"/>
      <c r="E69" s="116"/>
      <c r="F69" s="116"/>
      <c r="G69" s="116"/>
      <c r="H69" s="116"/>
    </row>
    <row r="70" spans="2:8" x14ac:dyDescent="0.75">
      <c r="B70" s="116"/>
      <c r="C70" s="116"/>
      <c r="D70" s="116"/>
      <c r="E70" s="116"/>
      <c r="F70" s="116"/>
      <c r="G70" s="116"/>
      <c r="H70" s="116"/>
    </row>
    <row r="71" spans="2:8" x14ac:dyDescent="0.75">
      <c r="B71" s="116"/>
      <c r="C71" s="116"/>
      <c r="D71" s="116"/>
      <c r="E71" s="116"/>
      <c r="F71" s="116"/>
      <c r="G71" s="116"/>
      <c r="H71" s="116"/>
    </row>
    <row r="72" spans="2:8" x14ac:dyDescent="0.75">
      <c r="B72" s="116"/>
      <c r="C72" s="116"/>
      <c r="D72" s="116"/>
      <c r="E72" s="116"/>
      <c r="F72" s="116"/>
      <c r="G72" s="116"/>
      <c r="H72" s="116"/>
    </row>
    <row r="73" spans="2:8" x14ac:dyDescent="0.75">
      <c r="B73" s="116"/>
      <c r="C73" s="116"/>
      <c r="D73" s="116"/>
      <c r="E73" s="116"/>
      <c r="F73" s="116"/>
      <c r="G73" s="116"/>
      <c r="H73" s="116"/>
    </row>
    <row r="74" spans="2:8" x14ac:dyDescent="0.75">
      <c r="B74" s="116"/>
      <c r="C74" s="116"/>
      <c r="D74" s="116"/>
      <c r="E74" s="116"/>
      <c r="F74" s="116"/>
      <c r="G74" s="116"/>
      <c r="H74" s="116"/>
    </row>
    <row r="75" spans="2:8" x14ac:dyDescent="0.75">
      <c r="B75" s="116"/>
      <c r="C75" s="116"/>
      <c r="D75" s="116"/>
      <c r="E75" s="116"/>
      <c r="F75" s="116"/>
      <c r="G75" s="116"/>
      <c r="H75" s="116"/>
    </row>
    <row r="76" spans="2:8" x14ac:dyDescent="0.75">
      <c r="B76" s="116"/>
      <c r="C76" s="116"/>
      <c r="D76" s="116"/>
      <c r="E76" s="116"/>
      <c r="F76" s="116"/>
      <c r="G76" s="116"/>
      <c r="H76" s="116"/>
    </row>
    <row r="77" spans="2:8" x14ac:dyDescent="0.75">
      <c r="B77" s="116"/>
      <c r="C77" s="116"/>
      <c r="D77" s="116"/>
      <c r="E77" s="116"/>
      <c r="F77" s="116"/>
      <c r="G77" s="116"/>
      <c r="H77" s="116"/>
    </row>
    <row r="78" spans="2:8" x14ac:dyDescent="0.75">
      <c r="B78" s="116"/>
      <c r="C78" s="116"/>
      <c r="D78" s="116"/>
      <c r="E78" s="116"/>
      <c r="F78" s="116"/>
      <c r="G78" s="116"/>
      <c r="H78" s="116"/>
    </row>
    <row r="79" spans="2:8" x14ac:dyDescent="0.75">
      <c r="B79" s="116"/>
      <c r="C79" s="116"/>
      <c r="D79" s="116"/>
      <c r="E79" s="116"/>
      <c r="F79" s="116"/>
      <c r="G79" s="116"/>
      <c r="H79" s="116"/>
    </row>
    <row r="80" spans="2:8" x14ac:dyDescent="0.75">
      <c r="B80" s="116"/>
      <c r="C80" s="116"/>
      <c r="D80" s="116"/>
      <c r="E80" s="116"/>
      <c r="F80" s="116"/>
      <c r="G80" s="116"/>
      <c r="H80" s="116"/>
    </row>
    <row r="81" spans="2:8" x14ac:dyDescent="0.75">
      <c r="B81" s="116"/>
      <c r="C81" s="116"/>
      <c r="D81" s="116"/>
      <c r="E81" s="116"/>
      <c r="F81" s="116"/>
      <c r="G81" s="116"/>
      <c r="H81" s="116"/>
    </row>
    <row r="82" spans="2:8" x14ac:dyDescent="0.75">
      <c r="B82" s="116"/>
      <c r="C82" s="116"/>
      <c r="D82" s="116"/>
      <c r="E82" s="116"/>
      <c r="F82" s="116"/>
      <c r="G82" s="116"/>
      <c r="H82" s="116"/>
    </row>
    <row r="83" spans="2:8" x14ac:dyDescent="0.75">
      <c r="B83" s="116"/>
      <c r="C83" s="116"/>
      <c r="D83" s="116"/>
      <c r="E83" s="116"/>
      <c r="F83" s="116"/>
      <c r="G83" s="116"/>
      <c r="H83" s="116"/>
    </row>
    <row r="84" spans="2:8" x14ac:dyDescent="0.75">
      <c r="B84" s="116"/>
      <c r="C84" s="116"/>
      <c r="D84" s="116"/>
      <c r="E84" s="116"/>
      <c r="F84" s="116"/>
      <c r="G84" s="116"/>
      <c r="H84" s="116"/>
    </row>
    <row r="85" spans="2:8" x14ac:dyDescent="0.75">
      <c r="B85" s="116"/>
      <c r="C85" s="116"/>
      <c r="D85" s="116"/>
      <c r="E85" s="116"/>
      <c r="F85" s="116"/>
      <c r="G85" s="116"/>
      <c r="H85" s="116"/>
    </row>
    <row r="86" spans="2:8" x14ac:dyDescent="0.75">
      <c r="B86" s="116"/>
      <c r="C86" s="116"/>
      <c r="D86" s="116"/>
      <c r="E86" s="116"/>
      <c r="F86" s="116"/>
      <c r="G86" s="116"/>
      <c r="H86" s="116"/>
    </row>
    <row r="87" spans="2:8" x14ac:dyDescent="0.75">
      <c r="B87" s="116"/>
      <c r="C87" s="116"/>
      <c r="D87" s="116"/>
      <c r="E87" s="116"/>
      <c r="F87" s="116"/>
      <c r="G87" s="116"/>
      <c r="H87" s="116"/>
    </row>
    <row r="88" spans="2:8" x14ac:dyDescent="0.75">
      <c r="B88" s="116"/>
      <c r="C88" s="116"/>
      <c r="D88" s="116"/>
      <c r="E88" s="116"/>
      <c r="F88" s="116"/>
      <c r="G88" s="116"/>
      <c r="H88" s="116"/>
    </row>
    <row r="89" spans="2:8" x14ac:dyDescent="0.75">
      <c r="B89" s="116"/>
      <c r="C89" s="116"/>
      <c r="D89" s="116"/>
      <c r="E89" s="116"/>
      <c r="F89" s="116"/>
      <c r="G89" s="116"/>
      <c r="H89" s="116"/>
    </row>
    <row r="90" spans="2:8" x14ac:dyDescent="0.75">
      <c r="B90" s="116"/>
      <c r="C90" s="116"/>
      <c r="D90" s="116"/>
      <c r="E90" s="116"/>
      <c r="F90" s="116"/>
      <c r="G90" s="116"/>
      <c r="H90" s="116"/>
    </row>
    <row r="91" spans="2:8" x14ac:dyDescent="0.75">
      <c r="B91" s="116"/>
      <c r="C91" s="116"/>
      <c r="D91" s="116"/>
      <c r="E91" s="116"/>
      <c r="F91" s="116"/>
      <c r="G91" s="116"/>
      <c r="H91" s="116"/>
    </row>
    <row r="92" spans="2:8" x14ac:dyDescent="0.75">
      <c r="B92" s="116"/>
      <c r="C92" s="116"/>
      <c r="D92" s="116"/>
      <c r="E92" s="116"/>
      <c r="F92" s="116"/>
      <c r="G92" s="116"/>
      <c r="H92" s="116"/>
    </row>
    <row r="93" spans="2:8" x14ac:dyDescent="0.75">
      <c r="B93" s="116"/>
      <c r="C93" s="116"/>
      <c r="D93" s="116"/>
      <c r="E93" s="116"/>
      <c r="F93" s="116"/>
      <c r="G93" s="116"/>
      <c r="H93" s="116"/>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266" workbookViewId="0">
      <selection activeCell="D539" sqref="D539:G583"/>
    </sheetView>
  </sheetViews>
  <sheetFormatPr defaultRowHeight="14.75" x14ac:dyDescent="0.75"/>
  <cols>
    <col min="1" max="1" width="8.7265625" style="113"/>
    <col min="2" max="2" width="9.81640625" style="113" customWidth="1"/>
    <col min="3"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4:7" x14ac:dyDescent="0.75">
      <c r="D2" s="16" t="str">
        <f>CONCATENATE("Instance: ",'Rad-1'!B6)</f>
        <v>Instance: Radiotherapy</v>
      </c>
    </row>
    <row r="3" spans="4:7" x14ac:dyDescent="0.75">
      <c r="D3" s="16" t="s">
        <v>25</v>
      </c>
    </row>
    <row r="4" spans="4:7" x14ac:dyDescent="0.75">
      <c r="D4" s="16" t="str">
        <f>CONCATENATE("Description: """,'Rad-1'!D2,"""")</f>
        <v>Description: "Radiotherapy"</v>
      </c>
      <c r="E4" s="16"/>
    </row>
    <row r="5" spans="4:7" x14ac:dyDescent="0.75">
      <c r="D5" s="16" t="str">
        <f>CONCATENATE("Title: """,'Rad-1'!C2,"""")</f>
        <v>Title: "Radiotherapy"</v>
      </c>
      <c r="E5" s="16"/>
    </row>
    <row r="6" spans="4:7" x14ac:dyDescent="0.75">
      <c r="D6" s="16" t="s">
        <v>26</v>
      </c>
      <c r="E6" s="16"/>
    </row>
    <row r="7" spans="4:7" x14ac:dyDescent="0.75">
      <c r="D7" s="16"/>
      <c r="E7" s="16"/>
    </row>
    <row r="8" spans="4:7" x14ac:dyDescent="0.75">
      <c r="D8" s="16" t="str">
        <f>CONCATENATE("* publisher = """,'Rad-1'!B4,"""")</f>
        <v>* publisher = "PanCareSurPass project"</v>
      </c>
      <c r="E8" s="16"/>
    </row>
    <row r="9" spans="4:7" x14ac:dyDescent="0.75">
      <c r="D9" s="16" t="s">
        <v>27</v>
      </c>
      <c r="E9" s="16"/>
    </row>
    <row r="10" spans="4:7" x14ac:dyDescent="0.75">
      <c r="D10" s="16" t="str">
        <f>CONCATENATE("* url = """,'Rad-1'!B2,"/StructureDefinition/",'Rad-1'!B6,"""")</f>
        <v>* url = "http://hl7.eu/fhir/ig/pcsp/StructureDefinition/Radiotherapy"</v>
      </c>
      <c r="E10" s="16"/>
      <c r="G10" s="55" t="s">
        <v>66</v>
      </c>
    </row>
    <row r="11" spans="4:7" x14ac:dyDescent="0.75">
      <c r="D11" s="16" t="str">
        <f>CONCATENATE("* name = """,'Rad-1'!C4,"""")</f>
        <v>* name = "Radiotherapy"</v>
      </c>
      <c r="E11" s="16"/>
    </row>
    <row r="12" spans="4:7" x14ac:dyDescent="0.75">
      <c r="D12" s="16" t="str">
        <f>CONCATENATE("* title = """,'Rad-1'!C2,"""")</f>
        <v>* title = "Radiotherapy"</v>
      </c>
      <c r="E12" s="16"/>
    </row>
    <row r="13" spans="4:7" x14ac:dyDescent="0.75">
      <c r="D13" s="16" t="s">
        <v>27</v>
      </c>
      <c r="E13" s="16"/>
    </row>
    <row r="14" spans="4:7" x14ac:dyDescent="0.75">
      <c r="D14" s="16" t="s">
        <v>28</v>
      </c>
      <c r="E14" s="16"/>
    </row>
    <row r="15" spans="4:7" x14ac:dyDescent="0.75">
      <c r="D15" s="16" t="str">
        <f>CONCATENATE("* description = """,'Rad-1'!D2,"""")</f>
        <v>* description = "Radiotherapy"</v>
      </c>
      <c r="E15" s="16"/>
    </row>
    <row r="16" spans="4:7" x14ac:dyDescent="0.75">
      <c r="D16" s="16" t="s">
        <v>29</v>
      </c>
      <c r="E16" s="16"/>
    </row>
    <row r="18" spans="1:7" x14ac:dyDescent="0.75">
      <c r="C18" s="113">
        <v>0</v>
      </c>
      <c r="D18" s="48" t="str">
        <f>CONCATENATE("* mapping[",C18,"].identity = """,'Radio-Map-1'!F1,"""")</f>
        <v>* mapping[0].identity = "fhir"</v>
      </c>
      <c r="G18" s="114" t="s">
        <v>53</v>
      </c>
    </row>
    <row r="19" spans="1:7" x14ac:dyDescent="0.75">
      <c r="B19" s="49" t="s">
        <v>55</v>
      </c>
      <c r="C19" s="113">
        <v>0</v>
      </c>
      <c r="D19" s="48" t="str">
        <f>CONCATENATE("* mapping[",C19,"].uri = """,'Radio-Map-1'!F2,"""")</f>
        <v>* mapping[0].uri = "hl7.org/fhir/r4"</v>
      </c>
      <c r="G19" s="114" t="s">
        <v>54</v>
      </c>
    </row>
    <row r="20" spans="1:7" x14ac:dyDescent="0.75">
      <c r="C20" s="113">
        <v>0</v>
      </c>
      <c r="D20" s="48" t="str">
        <f>CONCATENATE("* mapping[",C20,"].name = """,'Radio-Map-1'!D2,"""")</f>
        <v>* mapping[0].name = "FHIR"</v>
      </c>
      <c r="G20" s="114" t="s">
        <v>56</v>
      </c>
    </row>
    <row r="22" spans="1:7" x14ac:dyDescent="0.75">
      <c r="D22" s="16" t="s">
        <v>30</v>
      </c>
      <c r="E22" s="16"/>
    </row>
    <row r="23" spans="1:7" x14ac:dyDescent="0.75">
      <c r="D23" s="16" t="s">
        <v>67</v>
      </c>
      <c r="E23" s="16"/>
    </row>
    <row r="24" spans="1:7" x14ac:dyDescent="0.75">
      <c r="D24" s="16" t="str">
        <f>CONCATENATE("* type = """,'Rad-1'!B6,"""")</f>
        <v>* type = "Radiotherapy"</v>
      </c>
      <c r="E24" s="16"/>
    </row>
    <row r="25" spans="1:7" x14ac:dyDescent="0.75">
      <c r="A25" s="111" t="s">
        <v>1015</v>
      </c>
      <c r="B25" s="111">
        <v>9</v>
      </c>
      <c r="D25" s="16" t="s">
        <v>31</v>
      </c>
    </row>
    <row r="26" spans="1:7" x14ac:dyDescent="0.75">
      <c r="D26" s="16" t="s">
        <v>32</v>
      </c>
    </row>
    <row r="28" spans="1:7" x14ac:dyDescent="0.75">
      <c r="D28" s="34" t="str">
        <f>'Rad-2'!B1</f>
        <v>* differential.element[0].id = "Radiotherapy"</v>
      </c>
    </row>
    <row r="29" spans="1:7" x14ac:dyDescent="0.75">
      <c r="D29" s="34" t="str">
        <f>'Rad-2'!C1</f>
        <v>* differential.element[0].path = "Radiotherapy"</v>
      </c>
      <c r="G29" s="113" t="s">
        <v>68</v>
      </c>
    </row>
    <row r="30" spans="1:7" x14ac:dyDescent="0.75">
      <c r="D30" s="34" t="str">
        <f>'Rad-2'!D1</f>
        <v>* differential.element[0].short = "Radiotherapy"</v>
      </c>
    </row>
    <row r="31" spans="1:7" x14ac:dyDescent="0.75">
      <c r="D31" s="34" t="str">
        <f>'Rad-2'!E1</f>
        <v>* differential.element[0].definition = "Radiotherapy"</v>
      </c>
    </row>
    <row r="32" spans="1:7" x14ac:dyDescent="0.75">
      <c r="D32" s="34" t="str">
        <f>'Rad-2'!F1</f>
        <v>* differential.element[0].min = 1</v>
      </c>
    </row>
    <row r="33" spans="1:4" x14ac:dyDescent="0.75">
      <c r="D33" s="34" t="str">
        <f>'Rad-2'!G1</f>
        <v>* differential.element[0].max = "1"</v>
      </c>
    </row>
    <row r="34" spans="1:4" x14ac:dyDescent="0.75">
      <c r="D34" s="8"/>
    </row>
    <row r="35" spans="1:4" x14ac:dyDescent="0.75">
      <c r="A35" s="115">
        <v>1</v>
      </c>
      <c r="B35" s="115">
        <f>IF(MOD(A35,$B$25)=0,A35/$B$25-1,INT(A35/$B$25))</f>
        <v>0</v>
      </c>
      <c r="C35" s="115">
        <f>IF(MOD(A35,$B$25)=0,$B$25,MOD(A35,$B$25))</f>
        <v>1</v>
      </c>
      <c r="D35" s="116" t="str" cm="1">
        <f t="array" ref="D35">INDEX('Rad-2'!$B$2:$J$100,1+B35,C35)</f>
        <v>* differential.element[1].id = "Radiotherapy.relatedDiagnosis"</v>
      </c>
    </row>
    <row r="36" spans="1:4" x14ac:dyDescent="0.75">
      <c r="A36" s="115">
        <v>2</v>
      </c>
      <c r="B36" s="115">
        <f t="shared" ref="B36:B44" si="0">IF(MOD(A36,$B$25)=0,A36/$B$25-1,INT(A36/$B$25))</f>
        <v>0</v>
      </c>
      <c r="C36" s="115">
        <f t="shared" ref="C36:C44" si="1">IF(MOD(A36,$B$25)=0,$B$25,MOD(A36,$B$25))</f>
        <v>2</v>
      </c>
      <c r="D36" s="116" t="str" cm="1">
        <f t="array" ref="D36">INDEX('Rad-2'!$B$2:$J$100,1+B36,C36)</f>
        <v>* differential.element[1].path = "Radiotherapy.relatedDiagnosis"</v>
      </c>
    </row>
    <row r="37" spans="1:4" x14ac:dyDescent="0.75">
      <c r="A37" s="115">
        <v>3</v>
      </c>
      <c r="B37" s="115">
        <f t="shared" si="0"/>
        <v>0</v>
      </c>
      <c r="C37" s="115">
        <f t="shared" si="1"/>
        <v>3</v>
      </c>
      <c r="D37" s="116" t="str" cm="1">
        <f t="array" ref="D37">INDEX('Rad-2'!$B$2:$J$100,1+B37,C37)</f>
        <v>* differential.element[1].short = "Related Diagnosis"</v>
      </c>
    </row>
    <row r="38" spans="1:4" x14ac:dyDescent="0.75">
      <c r="A38" s="115">
        <v>4</v>
      </c>
      <c r="B38" s="115">
        <f t="shared" si="0"/>
        <v>0</v>
      </c>
      <c r="C38" s="115">
        <f t="shared" si="1"/>
        <v>4</v>
      </c>
      <c r="D38" s="116" t="str" cm="1">
        <f t="array" ref="D38">INDEX('Rad-2'!$B$2:$J$100,1+B38,C38)</f>
        <v>* differential.element[1].definition = "Identifier of the diagnosis for which this radiotherapy is performed"</v>
      </c>
    </row>
    <row r="39" spans="1:4" x14ac:dyDescent="0.75">
      <c r="A39" s="115">
        <v>5</v>
      </c>
      <c r="B39" s="115">
        <f t="shared" si="0"/>
        <v>0</v>
      </c>
      <c r="C39" s="115">
        <f t="shared" si="1"/>
        <v>5</v>
      </c>
      <c r="D39" s="116" t="str" cm="1">
        <f t="array" ref="D39">INDEX('Rad-2'!$B$2:$J$100,1+B39,C39)</f>
        <v>* differential.element[1].min = 0</v>
      </c>
    </row>
    <row r="40" spans="1:4" x14ac:dyDescent="0.75">
      <c r="A40" s="115">
        <v>6</v>
      </c>
      <c r="B40" s="115">
        <f t="shared" si="0"/>
        <v>0</v>
      </c>
      <c r="C40" s="115">
        <f t="shared" si="1"/>
        <v>6</v>
      </c>
      <c r="D40" s="116" t="str" cm="1">
        <f t="array" ref="D40">INDEX('Rad-2'!$B$2:$J$100,1+B40,C40)</f>
        <v>* differential.element[1].max = "1"</v>
      </c>
    </row>
    <row r="41" spans="1:4" x14ac:dyDescent="0.75">
      <c r="A41" s="115">
        <v>7</v>
      </c>
      <c r="B41" s="115">
        <f t="shared" si="0"/>
        <v>0</v>
      </c>
      <c r="C41" s="115">
        <f t="shared" si="1"/>
        <v>7</v>
      </c>
      <c r="D41" s="116" t="str" cm="1">
        <f t="array" ref="D41">INDEX('Rad-2'!$B$2:$J$100,1+B41,C41)</f>
        <v>* differential.element[1].type.code = #Identifier</v>
      </c>
    </row>
    <row r="42" spans="1:4" x14ac:dyDescent="0.75">
      <c r="A42" s="115">
        <v>8</v>
      </c>
      <c r="B42" s="115">
        <f t="shared" si="0"/>
        <v>0</v>
      </c>
      <c r="C42" s="115">
        <f t="shared" si="1"/>
        <v>8</v>
      </c>
      <c r="D42" s="116" t="str" cm="1">
        <f t="array" ref="D42">INDEX('Rad-2'!$B$2:$J$100,1+B42,C42)</f>
        <v/>
      </c>
    </row>
    <row r="43" spans="1:4" x14ac:dyDescent="0.75">
      <c r="A43" s="115">
        <v>9</v>
      </c>
      <c r="B43" s="115">
        <f t="shared" si="0"/>
        <v>0</v>
      </c>
      <c r="C43" s="115">
        <f t="shared" si="1"/>
        <v>9</v>
      </c>
      <c r="D43" s="116" t="str" cm="1">
        <f t="array" ref="D43">INDEX('Rad-2'!$B$2:$J$100,1+B43,C43)</f>
        <v/>
      </c>
    </row>
    <row r="44" spans="1:4" x14ac:dyDescent="0.75">
      <c r="A44" s="115">
        <v>10</v>
      </c>
      <c r="B44" s="115">
        <f t="shared" si="0"/>
        <v>1</v>
      </c>
      <c r="C44" s="115">
        <f t="shared" si="1"/>
        <v>1</v>
      </c>
      <c r="D44" s="116" t="str" cm="1">
        <f t="array" ref="D44">INDEX('Rad-2'!$B$2:$J$100,1+B44,C44)</f>
        <v>* differential.element[2].id = "Radiotherapy.relatedRelapse"</v>
      </c>
    </row>
    <row r="45" spans="1:4" x14ac:dyDescent="0.75">
      <c r="A45" s="115">
        <v>11</v>
      </c>
      <c r="B45" s="115">
        <f t="shared" ref="B45:B108" si="2">IF(MOD(A45,$B$25)=0,A45/$B$25-1,INT(A45/$B$25))</f>
        <v>1</v>
      </c>
      <c r="C45" s="115">
        <f t="shared" ref="C45:C108" si="3">IF(MOD(A45,$B$25)=0,$B$25,MOD(A45,$B$25))</f>
        <v>2</v>
      </c>
      <c r="D45" s="116" t="str" cm="1">
        <f t="array" ref="D45">INDEX('Rad-2'!$B$2:$J$100,1+B45,C45)</f>
        <v>* differential.element[2].path = "Radiotherapy.relatedRelapse"</v>
      </c>
    </row>
    <row r="46" spans="1:4" x14ac:dyDescent="0.75">
      <c r="A46" s="115">
        <v>12</v>
      </c>
      <c r="B46" s="115">
        <f t="shared" si="2"/>
        <v>1</v>
      </c>
      <c r="C46" s="115">
        <f t="shared" si="3"/>
        <v>3</v>
      </c>
      <c r="D46" s="116" t="str" cm="1">
        <f t="array" ref="D46">INDEX('Rad-2'!$B$2:$J$100,1+B46,C46)</f>
        <v>* differential.element[2].short = "Related relapse/progression (after FLT)"</v>
      </c>
    </row>
    <row r="47" spans="1:4" x14ac:dyDescent="0.75">
      <c r="A47" s="115">
        <v>13</v>
      </c>
      <c r="B47" s="115">
        <f t="shared" si="2"/>
        <v>1</v>
      </c>
      <c r="C47" s="115">
        <f t="shared" si="3"/>
        <v>4</v>
      </c>
      <c r="D47" s="116" t="str" cm="1">
        <f t="array" ref="D47">INDEX('Rad-2'!$B$2:$J$100,1+B47,C47)</f>
        <v>* differential.element[2].definition = "Identifier of the relapse/progression (after FLT) for which this radiotherapy is performed"</v>
      </c>
    </row>
    <row r="48" spans="1:4" x14ac:dyDescent="0.75">
      <c r="A48" s="115">
        <v>14</v>
      </c>
      <c r="B48" s="115">
        <f t="shared" si="2"/>
        <v>1</v>
      </c>
      <c r="C48" s="115">
        <f t="shared" si="3"/>
        <v>5</v>
      </c>
      <c r="D48" s="116" t="str" cm="1">
        <f t="array" ref="D48">INDEX('Rad-2'!$B$2:$J$100,1+B48,C48)</f>
        <v>* differential.element[2].min = 0</v>
      </c>
    </row>
    <row r="49" spans="1:4" x14ac:dyDescent="0.75">
      <c r="A49" s="115">
        <v>15</v>
      </c>
      <c r="B49" s="115">
        <f t="shared" si="2"/>
        <v>1</v>
      </c>
      <c r="C49" s="115">
        <f t="shared" si="3"/>
        <v>6</v>
      </c>
      <c r="D49" s="116" t="str" cm="1">
        <f t="array" ref="D49">INDEX('Rad-2'!$B$2:$J$100,1+B49,C49)</f>
        <v>* differential.element[2].max = "1"</v>
      </c>
    </row>
    <row r="50" spans="1:4" x14ac:dyDescent="0.75">
      <c r="A50" s="115">
        <v>16</v>
      </c>
      <c r="B50" s="115">
        <f t="shared" si="2"/>
        <v>1</v>
      </c>
      <c r="C50" s="115">
        <f t="shared" si="3"/>
        <v>7</v>
      </c>
      <c r="D50" s="116" t="str" cm="1">
        <f t="array" ref="D50">INDEX('Rad-2'!$B$2:$J$100,1+B50,C50)</f>
        <v>* differential.element[2].type.code = #Identifier</v>
      </c>
    </row>
    <row r="51" spans="1:4" x14ac:dyDescent="0.75">
      <c r="A51" s="115">
        <v>17</v>
      </c>
      <c r="B51" s="115">
        <f t="shared" si="2"/>
        <v>1</v>
      </c>
      <c r="C51" s="115">
        <f t="shared" si="3"/>
        <v>8</v>
      </c>
      <c r="D51" s="116" t="str" cm="1">
        <f t="array" ref="D51">INDEX('Rad-2'!$B$2:$J$100,1+B51,C51)</f>
        <v/>
      </c>
    </row>
    <row r="52" spans="1:4" x14ac:dyDescent="0.75">
      <c r="A52" s="115">
        <v>18</v>
      </c>
      <c r="B52" s="115">
        <f t="shared" si="2"/>
        <v>1</v>
      </c>
      <c r="C52" s="115">
        <f t="shared" si="3"/>
        <v>9</v>
      </c>
      <c r="D52" s="116" t="str" cm="1">
        <f t="array" ref="D52">INDEX('Rad-2'!$B$2:$J$100,1+B52,C52)</f>
        <v/>
      </c>
    </row>
    <row r="53" spans="1:4" x14ac:dyDescent="0.75">
      <c r="A53" s="115">
        <v>19</v>
      </c>
      <c r="B53" s="115">
        <f t="shared" si="2"/>
        <v>2</v>
      </c>
      <c r="C53" s="115">
        <f t="shared" si="3"/>
        <v>1</v>
      </c>
      <c r="D53" s="116" t="str" cm="1">
        <f t="array" ref="D53">INDEX('Rad-2'!$B$2:$J$100,1+B53,C53)</f>
        <v>* differential.element[3].id = "Radiotherapy.identifier"</v>
      </c>
    </row>
    <row r="54" spans="1:4" x14ac:dyDescent="0.75">
      <c r="A54" s="115">
        <v>20</v>
      </c>
      <c r="B54" s="115">
        <f t="shared" si="2"/>
        <v>2</v>
      </c>
      <c r="C54" s="115">
        <f t="shared" si="3"/>
        <v>2</v>
      </c>
      <c r="D54" s="116" t="str" cm="1">
        <f t="array" ref="D54">INDEX('Rad-2'!$B$2:$J$100,1+B54,C54)</f>
        <v>* differential.element[3].path = "Radiotherapy.identifier"</v>
      </c>
    </row>
    <row r="55" spans="1:4" x14ac:dyDescent="0.75">
      <c r="A55" s="115">
        <v>21</v>
      </c>
      <c r="B55" s="115">
        <f t="shared" si="2"/>
        <v>2</v>
      </c>
      <c r="C55" s="115">
        <f t="shared" si="3"/>
        <v>3</v>
      </c>
      <c r="D55" s="116" t="str" cm="1">
        <f t="array" ref="D55">INDEX('Rad-2'!$B$2:$J$100,1+B55,C55)</f>
        <v>* differential.element[3].short = "Identifier of the radotherapy episode"</v>
      </c>
    </row>
    <row r="56" spans="1:4" ht="59" x14ac:dyDescent="0.75">
      <c r="A56" s="115">
        <v>22</v>
      </c>
      <c r="B56" s="115">
        <f t="shared" si="2"/>
        <v>2</v>
      </c>
      <c r="C56" s="115">
        <f t="shared" si="3"/>
        <v>4</v>
      </c>
      <c r="D56" s="116" t="str" cm="1">
        <f t="array" ref="D56">INDEX('Rad-2'!$B$2:$J$100,1+B56,C56)</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row>
    <row r="57" spans="1:4" x14ac:dyDescent="0.75">
      <c r="A57" s="115">
        <v>23</v>
      </c>
      <c r="B57" s="115">
        <f t="shared" si="2"/>
        <v>2</v>
      </c>
      <c r="C57" s="115">
        <f t="shared" si="3"/>
        <v>5</v>
      </c>
      <c r="D57" s="116" t="str" cm="1">
        <f t="array" ref="D57">INDEX('Rad-2'!$B$2:$J$100,1+B57,C57)</f>
        <v>* differential.element[3].min = 0</v>
      </c>
    </row>
    <row r="58" spans="1:4" x14ac:dyDescent="0.75">
      <c r="A58" s="115">
        <v>24</v>
      </c>
      <c r="B58" s="115">
        <f t="shared" si="2"/>
        <v>2</v>
      </c>
      <c r="C58" s="115">
        <f t="shared" si="3"/>
        <v>6</v>
      </c>
      <c r="D58" s="116" t="str" cm="1">
        <f t="array" ref="D58">INDEX('Rad-2'!$B$2:$J$100,1+B58,C58)</f>
        <v>* differential.element[3].max = "*"</v>
      </c>
    </row>
    <row r="59" spans="1:4" x14ac:dyDescent="0.75">
      <c r="A59" s="115">
        <v>25</v>
      </c>
      <c r="B59" s="115">
        <f t="shared" si="2"/>
        <v>2</v>
      </c>
      <c r="C59" s="115">
        <f t="shared" si="3"/>
        <v>7</v>
      </c>
      <c r="D59" s="116" t="str" cm="1">
        <f t="array" ref="D59">INDEX('Rad-2'!$B$2:$J$100,1+B59,C59)</f>
        <v>* differential.element[3].type.code = #Identifier</v>
      </c>
    </row>
    <row r="60" spans="1:4" x14ac:dyDescent="0.75">
      <c r="A60" s="115">
        <v>26</v>
      </c>
      <c r="B60" s="115">
        <f t="shared" si="2"/>
        <v>2</v>
      </c>
      <c r="C60" s="115">
        <f t="shared" si="3"/>
        <v>8</v>
      </c>
      <c r="D60" s="116" t="str" cm="1">
        <f t="array" ref="D60">INDEX('Rad-2'!$B$2:$J$100,1+B60,C60)</f>
        <v/>
      </c>
    </row>
    <row r="61" spans="1:4" x14ac:dyDescent="0.75">
      <c r="A61" s="115">
        <v>27</v>
      </c>
      <c r="B61" s="115">
        <f t="shared" si="2"/>
        <v>2</v>
      </c>
      <c r="C61" s="115">
        <f t="shared" si="3"/>
        <v>9</v>
      </c>
      <c r="D61" s="116" t="str" cm="1">
        <f t="array" ref="D61">INDEX('Rad-2'!$B$2:$J$100,1+B61,C61)</f>
        <v/>
      </c>
    </row>
    <row r="62" spans="1:4" x14ac:dyDescent="0.75">
      <c r="A62" s="115">
        <v>28</v>
      </c>
      <c r="B62" s="115">
        <f t="shared" si="2"/>
        <v>3</v>
      </c>
      <c r="C62" s="115">
        <f t="shared" si="3"/>
        <v>1</v>
      </c>
      <c r="D62" s="116" t="str" cm="1">
        <f t="array" ref="D62">INDEX('Rad-2'!$B$2:$J$100,1+B62,C62)</f>
        <v>* differential.element[4].id = "Radiotherapy.istitutionOfTreatment"</v>
      </c>
    </row>
    <row r="63" spans="1:4" x14ac:dyDescent="0.75">
      <c r="A63" s="115">
        <v>29</v>
      </c>
      <c r="B63" s="115">
        <f t="shared" si="2"/>
        <v>3</v>
      </c>
      <c r="C63" s="115">
        <f t="shared" si="3"/>
        <v>2</v>
      </c>
      <c r="D63" s="116" t="str" cm="1">
        <f t="array" ref="D63">INDEX('Rad-2'!$B$2:$J$100,1+B63,C63)</f>
        <v>* differential.element[4].path = "Radiotherapy.istitutionOfTreatment"</v>
      </c>
    </row>
    <row r="64" spans="1:4" x14ac:dyDescent="0.75">
      <c r="A64" s="115">
        <v>30</v>
      </c>
      <c r="B64" s="115">
        <f t="shared" si="2"/>
        <v>3</v>
      </c>
      <c r="C64" s="115">
        <f t="shared" si="3"/>
        <v>3</v>
      </c>
      <c r="D64" s="116" t="str" cm="1">
        <f t="array" ref="D64">INDEX('Rad-2'!$B$2:$J$100,1+B64,C64)</f>
        <v>* differential.element[4].short = "Institution of treatment"</v>
      </c>
    </row>
    <row r="65" spans="1:4" x14ac:dyDescent="0.75">
      <c r="A65" s="115">
        <v>31</v>
      </c>
      <c r="B65" s="115">
        <f t="shared" si="2"/>
        <v>3</v>
      </c>
      <c r="C65" s="115">
        <f t="shared" si="3"/>
        <v>4</v>
      </c>
      <c r="D65" s="116" t="str" cm="1">
        <f t="array" ref="D65">INDEX('Rad-2'!$B$2:$J$100,1+B65,C65)</f>
        <v>* differential.element[4].definition = "Please indicate the institution in which the radiotherapeutic treatment was given"</v>
      </c>
    </row>
    <row r="66" spans="1:4" x14ac:dyDescent="0.75">
      <c r="A66" s="115">
        <v>32</v>
      </c>
      <c r="B66" s="115">
        <f t="shared" si="2"/>
        <v>3</v>
      </c>
      <c r="C66" s="115">
        <f t="shared" si="3"/>
        <v>5</v>
      </c>
      <c r="D66" s="116" t="str" cm="1">
        <f t="array" ref="D66">INDEX('Rad-2'!$B$2:$J$100,1+B66,C66)</f>
        <v>* differential.element[4].min = 0</v>
      </c>
    </row>
    <row r="67" spans="1:4" x14ac:dyDescent="0.75">
      <c r="A67" s="115">
        <v>33</v>
      </c>
      <c r="B67" s="115">
        <f t="shared" si="2"/>
        <v>3</v>
      </c>
      <c r="C67" s="115">
        <f t="shared" si="3"/>
        <v>6</v>
      </c>
      <c r="D67" s="116" t="str" cm="1">
        <f t="array" ref="D67">INDEX('Rad-2'!$B$2:$J$100,1+B67,C67)</f>
        <v>* differential.element[4].max = "1"</v>
      </c>
    </row>
    <row r="68" spans="1:4" x14ac:dyDescent="0.75">
      <c r="A68" s="115">
        <v>34</v>
      </c>
      <c r="B68" s="115">
        <f t="shared" si="2"/>
        <v>3</v>
      </c>
      <c r="C68" s="115">
        <f t="shared" si="3"/>
        <v>7</v>
      </c>
      <c r="D68" s="116" t="str" cm="1">
        <f t="array" ref="D68">INDEX('Rad-2'!$B$2:$J$100,1+B68,C68)</f>
        <v>* differential.element[4].type.code = #BackboneElement</v>
      </c>
    </row>
    <row r="69" spans="1:4" x14ac:dyDescent="0.75">
      <c r="A69" s="115">
        <v>35</v>
      </c>
      <c r="B69" s="115">
        <f t="shared" si="2"/>
        <v>3</v>
      </c>
      <c r="C69" s="115">
        <f t="shared" si="3"/>
        <v>8</v>
      </c>
      <c r="D69" s="116" t="str" cm="1">
        <f t="array" ref="D69">INDEX('Rad-2'!$B$2:$J$100,1+B69,C69)</f>
        <v/>
      </c>
    </row>
    <row r="70" spans="1:4" x14ac:dyDescent="0.75">
      <c r="A70" s="115">
        <v>36</v>
      </c>
      <c r="B70" s="115">
        <f t="shared" si="2"/>
        <v>3</v>
      </c>
      <c r="C70" s="115">
        <f t="shared" si="3"/>
        <v>9</v>
      </c>
      <c r="D70" s="116" t="str" cm="1">
        <f t="array" ref="D70">INDEX('Rad-2'!$B$2:$J$100,1+B70,C70)</f>
        <v/>
      </c>
    </row>
    <row r="71" spans="1:4" x14ac:dyDescent="0.75">
      <c r="A71" s="115">
        <v>37</v>
      </c>
      <c r="B71" s="115">
        <f t="shared" si="2"/>
        <v>4</v>
      </c>
      <c r="C71" s="115">
        <f t="shared" si="3"/>
        <v>1</v>
      </c>
      <c r="D71" s="116" t="str" cm="1">
        <f t="array" ref="D71">INDEX('Rad-2'!$B$2:$J$100,1+B71,C71)</f>
        <v>* differential.element[5].id = "Radiotherapy.istitutionOfTreatment.description"</v>
      </c>
    </row>
    <row r="72" spans="1:4" x14ac:dyDescent="0.75">
      <c r="A72" s="115">
        <v>38</v>
      </c>
      <c r="B72" s="115">
        <f t="shared" si="2"/>
        <v>4</v>
      </c>
      <c r="C72" s="115">
        <f t="shared" si="3"/>
        <v>2</v>
      </c>
      <c r="D72" s="116" t="str" cm="1">
        <f t="array" ref="D72">INDEX('Rad-2'!$B$2:$J$100,1+B72,C72)</f>
        <v>* differential.element[5].path = "Radiotherapy.istitutionOfTreatment.description"</v>
      </c>
    </row>
    <row r="73" spans="1:4" x14ac:dyDescent="0.75">
      <c r="A73" s="115">
        <v>39</v>
      </c>
      <c r="B73" s="115">
        <f t="shared" si="2"/>
        <v>4</v>
      </c>
      <c r="C73" s="115">
        <f t="shared" si="3"/>
        <v>3</v>
      </c>
      <c r="D73" s="116" t="str" cm="1">
        <f t="array" ref="D73">INDEX('Rad-2'!$B$2:$J$100,1+B73,C73)</f>
        <v>* differential.element[5].short = "Institution description"</v>
      </c>
    </row>
    <row r="74" spans="1:4" x14ac:dyDescent="0.75">
      <c r="A74" s="115">
        <v>40</v>
      </c>
      <c r="B74" s="115">
        <f t="shared" si="2"/>
        <v>4</v>
      </c>
      <c r="C74" s="115">
        <f t="shared" si="3"/>
        <v>4</v>
      </c>
      <c r="D74" s="116" t="str" cm="1">
        <f t="array" ref="D74">INDEX('Rad-2'!$B$2:$J$100,1+B74,C74)</f>
        <v>* differential.element[5].definition = "Please provide name, city and countryof the institution"</v>
      </c>
    </row>
    <row r="75" spans="1:4" x14ac:dyDescent="0.75">
      <c r="A75" s="115">
        <v>41</v>
      </c>
      <c r="B75" s="115">
        <f t="shared" si="2"/>
        <v>4</v>
      </c>
      <c r="C75" s="115">
        <f t="shared" si="3"/>
        <v>5</v>
      </c>
      <c r="D75" s="116" t="str" cm="1">
        <f t="array" ref="D75">INDEX('Rad-2'!$B$2:$J$100,1+B75,C75)</f>
        <v>* differential.element[5].min = 0</v>
      </c>
    </row>
    <row r="76" spans="1:4" x14ac:dyDescent="0.75">
      <c r="A76" s="115">
        <v>42</v>
      </c>
      <c r="B76" s="115">
        <f t="shared" si="2"/>
        <v>4</v>
      </c>
      <c r="C76" s="115">
        <f t="shared" si="3"/>
        <v>6</v>
      </c>
      <c r="D76" s="116" t="str" cm="1">
        <f t="array" ref="D76">INDEX('Rad-2'!$B$2:$J$100,1+B76,C76)</f>
        <v>* differential.element[5].max = "1"</v>
      </c>
    </row>
    <row r="77" spans="1:4" x14ac:dyDescent="0.75">
      <c r="A77" s="115">
        <v>43</v>
      </c>
      <c r="B77" s="115">
        <f t="shared" si="2"/>
        <v>4</v>
      </c>
      <c r="C77" s="115">
        <f t="shared" si="3"/>
        <v>7</v>
      </c>
      <c r="D77" s="116" t="str" cm="1">
        <f t="array" ref="D77">INDEX('Rad-2'!$B$2:$J$100,1+B77,C77)</f>
        <v>* differential.element[5].type.code = #string</v>
      </c>
    </row>
    <row r="78" spans="1:4" x14ac:dyDescent="0.75">
      <c r="A78" s="115">
        <v>44</v>
      </c>
      <c r="B78" s="115">
        <f t="shared" si="2"/>
        <v>4</v>
      </c>
      <c r="C78" s="115">
        <f t="shared" si="3"/>
        <v>8</v>
      </c>
      <c r="D78" s="116" t="str" cm="1">
        <f t="array" ref="D78">INDEX('Rad-2'!$B$2:$J$100,1+B78,C78)</f>
        <v/>
      </c>
    </row>
    <row r="79" spans="1:4" x14ac:dyDescent="0.75">
      <c r="A79" s="115">
        <v>45</v>
      </c>
      <c r="B79" s="115">
        <f t="shared" si="2"/>
        <v>4</v>
      </c>
      <c r="C79" s="115">
        <f t="shared" si="3"/>
        <v>9</v>
      </c>
      <c r="D79" s="116" t="str" cm="1">
        <f t="array" ref="D79">INDEX('Rad-2'!$B$2:$J$100,1+B79,C79)</f>
        <v/>
      </c>
    </row>
    <row r="80" spans="1:4" x14ac:dyDescent="0.75">
      <c r="A80" s="115">
        <v>46</v>
      </c>
      <c r="B80" s="115">
        <f t="shared" si="2"/>
        <v>5</v>
      </c>
      <c r="C80" s="115">
        <f t="shared" si="3"/>
        <v>1</v>
      </c>
      <c r="D80" s="116" t="str" cm="1">
        <f t="array" ref="D80">INDEX('Rad-2'!$B$2:$J$100,1+B80,C80)</f>
        <v>* differential.element[6].id = "Radiotherapy.istitutionOfTreatment.name"</v>
      </c>
    </row>
    <row r="81" spans="1:7" x14ac:dyDescent="0.75">
      <c r="A81" s="115">
        <v>47</v>
      </c>
      <c r="B81" s="115">
        <f t="shared" si="2"/>
        <v>5</v>
      </c>
      <c r="C81" s="115">
        <f t="shared" si="3"/>
        <v>2</v>
      </c>
      <c r="D81" s="116" t="str" cm="1">
        <f t="array" ref="D81">INDEX('Rad-2'!$B$2:$J$100,1+B81,C81)</f>
        <v>* differential.element[6].path = "Radiotherapy.istitutionOfTreatment.name"</v>
      </c>
    </row>
    <row r="82" spans="1:7" x14ac:dyDescent="0.75">
      <c r="A82" s="115">
        <v>48</v>
      </c>
      <c r="B82" s="115">
        <f t="shared" si="2"/>
        <v>5</v>
      </c>
      <c r="C82" s="115">
        <f t="shared" si="3"/>
        <v>3</v>
      </c>
      <c r="D82" s="116" t="str" cm="1">
        <f t="array" ref="D82">INDEX('Rad-2'!$B$2:$J$100,1+B82,C82)</f>
        <v>* differential.element[6].short = "Institution name"</v>
      </c>
    </row>
    <row r="83" spans="1:7" x14ac:dyDescent="0.75">
      <c r="A83" s="115">
        <v>49</v>
      </c>
      <c r="B83" s="115">
        <f t="shared" si="2"/>
        <v>5</v>
      </c>
      <c r="C83" s="115">
        <f t="shared" si="3"/>
        <v>4</v>
      </c>
      <c r="D83" s="116" t="str" cm="1">
        <f t="array" ref="D83">INDEX('Rad-2'!$B$2:$J$100,1+B83,C83)</f>
        <v>* differential.element[6].definition = "Institution name"</v>
      </c>
    </row>
    <row r="84" spans="1:7" x14ac:dyDescent="0.75">
      <c r="A84" s="115">
        <v>50</v>
      </c>
      <c r="B84" s="115">
        <f t="shared" si="2"/>
        <v>5</v>
      </c>
      <c r="C84" s="115">
        <f t="shared" si="3"/>
        <v>5</v>
      </c>
      <c r="D84" s="116" t="str" cm="1">
        <f t="array" ref="D84">INDEX('Rad-2'!$B$2:$J$100,1+B84,C84)</f>
        <v>* differential.element[6].min = 0</v>
      </c>
    </row>
    <row r="85" spans="1:7" x14ac:dyDescent="0.75">
      <c r="A85" s="115">
        <v>51</v>
      </c>
      <c r="B85" s="115">
        <f t="shared" si="2"/>
        <v>5</v>
      </c>
      <c r="C85" s="115">
        <f t="shared" si="3"/>
        <v>6</v>
      </c>
      <c r="D85" s="116" t="str" cm="1">
        <f t="array" ref="D85">INDEX('Rad-2'!$B$2:$J$100,1+B85,C85)</f>
        <v>* differential.element[6].max = "1"</v>
      </c>
    </row>
    <row r="86" spans="1:7" x14ac:dyDescent="0.75">
      <c r="A86" s="115">
        <v>52</v>
      </c>
      <c r="B86" s="115">
        <f t="shared" si="2"/>
        <v>5</v>
      </c>
      <c r="C86" s="115">
        <f t="shared" si="3"/>
        <v>7</v>
      </c>
      <c r="D86" s="116" t="str" cm="1">
        <f t="array" ref="D86">INDEX('Rad-2'!$B$2:$J$100,1+B86,C86)</f>
        <v>* differential.element[6].type.code = #string</v>
      </c>
    </row>
    <row r="87" spans="1:7" x14ac:dyDescent="0.75">
      <c r="A87" s="115">
        <v>53</v>
      </c>
      <c r="B87" s="115">
        <f t="shared" si="2"/>
        <v>5</v>
      </c>
      <c r="C87" s="115">
        <f t="shared" si="3"/>
        <v>8</v>
      </c>
      <c r="D87" s="116" t="str" cm="1">
        <f t="array" ref="D87">INDEX('Rad-2'!$B$2:$J$100,1+B87,C87)</f>
        <v/>
      </c>
      <c r="G87" s="15"/>
    </row>
    <row r="88" spans="1:7" x14ac:dyDescent="0.75">
      <c r="A88" s="115">
        <v>54</v>
      </c>
      <c r="B88" s="115">
        <f t="shared" si="2"/>
        <v>5</v>
      </c>
      <c r="C88" s="115">
        <f t="shared" si="3"/>
        <v>9</v>
      </c>
      <c r="D88" s="116" t="str" cm="1">
        <f t="array" ref="D88">INDEX('Rad-2'!$B$2:$J$100,1+B88,C88)</f>
        <v/>
      </c>
    </row>
    <row r="89" spans="1:7" x14ac:dyDescent="0.75">
      <c r="A89" s="115">
        <v>55</v>
      </c>
      <c r="B89" s="115">
        <f t="shared" si="2"/>
        <v>6</v>
      </c>
      <c r="C89" s="115">
        <f t="shared" si="3"/>
        <v>1</v>
      </c>
      <c r="D89" s="116" t="str" cm="1">
        <f t="array" ref="D89">INDEX('Rad-2'!$B$2:$J$100,1+B89,C89)</f>
        <v>* differential.element[7].id = "Radiotherapy.istitutionOfTreatment.address"</v>
      </c>
    </row>
    <row r="90" spans="1:7" x14ac:dyDescent="0.75">
      <c r="A90" s="115">
        <v>56</v>
      </c>
      <c r="B90" s="115">
        <f t="shared" si="2"/>
        <v>6</v>
      </c>
      <c r="C90" s="115">
        <f t="shared" si="3"/>
        <v>2</v>
      </c>
      <c r="D90" s="116" t="str" cm="1">
        <f t="array" ref="D90">INDEX('Rad-2'!$B$2:$J$100,1+B90,C90)</f>
        <v>* differential.element[7].path = "Radiotherapy.istitutionOfTreatment.address"</v>
      </c>
    </row>
    <row r="91" spans="1:7" x14ac:dyDescent="0.75">
      <c r="A91" s="115">
        <v>57</v>
      </c>
      <c r="B91" s="115">
        <f t="shared" si="2"/>
        <v>6</v>
      </c>
      <c r="C91" s="115">
        <f t="shared" si="3"/>
        <v>3</v>
      </c>
      <c r="D91" s="116" t="str" cm="1">
        <f t="array" ref="D91">INDEX('Rad-2'!$B$2:$J$100,1+B91,C91)</f>
        <v>* differential.element[7].short = "Institution address"</v>
      </c>
    </row>
    <row r="92" spans="1:7" x14ac:dyDescent="0.75">
      <c r="A92" s="115">
        <v>58</v>
      </c>
      <c r="B92" s="115">
        <f t="shared" si="2"/>
        <v>6</v>
      </c>
      <c r="C92" s="115">
        <f t="shared" si="3"/>
        <v>4</v>
      </c>
      <c r="D92" s="116" t="str" cm="1">
        <f t="array" ref="D92">INDEX('Rad-2'!$B$2:$J$100,1+B92,C92)</f>
        <v>* differential.element[7].definition = "Institution address"</v>
      </c>
    </row>
    <row r="93" spans="1:7" x14ac:dyDescent="0.75">
      <c r="A93" s="115">
        <v>59</v>
      </c>
      <c r="B93" s="115">
        <f t="shared" si="2"/>
        <v>6</v>
      </c>
      <c r="C93" s="115">
        <f t="shared" si="3"/>
        <v>5</v>
      </c>
      <c r="D93" s="116" t="str" cm="1">
        <f t="array" ref="D93">INDEX('Rad-2'!$B$2:$J$100,1+B93,C93)</f>
        <v>* differential.element[7].min = 0</v>
      </c>
    </row>
    <row r="94" spans="1:7" x14ac:dyDescent="0.75">
      <c r="A94" s="115">
        <v>60</v>
      </c>
      <c r="B94" s="115">
        <f t="shared" si="2"/>
        <v>6</v>
      </c>
      <c r="C94" s="115">
        <f t="shared" si="3"/>
        <v>6</v>
      </c>
      <c r="D94" s="116" t="str" cm="1">
        <f t="array" ref="D94">INDEX('Rad-2'!$B$2:$J$100,1+B94,C94)</f>
        <v>* differential.element[7].max = "1"</v>
      </c>
    </row>
    <row r="95" spans="1:7" x14ac:dyDescent="0.75">
      <c r="A95" s="115">
        <v>61</v>
      </c>
      <c r="B95" s="115">
        <f t="shared" si="2"/>
        <v>6</v>
      </c>
      <c r="C95" s="115">
        <f t="shared" si="3"/>
        <v>7</v>
      </c>
      <c r="D95" s="116" t="str" cm="1">
        <f t="array" ref="D95">INDEX('Rad-2'!$B$2:$J$100,1+B95,C95)</f>
        <v>* differential.element[7].type.code = #BackboneElement</v>
      </c>
    </row>
    <row r="96" spans="1:7" x14ac:dyDescent="0.75">
      <c r="A96" s="115">
        <v>62</v>
      </c>
      <c r="B96" s="115">
        <f t="shared" si="2"/>
        <v>6</v>
      </c>
      <c r="C96" s="115">
        <f t="shared" si="3"/>
        <v>8</v>
      </c>
      <c r="D96" s="116" t="str" cm="1">
        <f t="array" ref="D96">INDEX('Rad-2'!$B$2:$J$100,1+B96,C96)</f>
        <v/>
      </c>
    </row>
    <row r="97" spans="1:4" x14ac:dyDescent="0.75">
      <c r="A97" s="115">
        <v>63</v>
      </c>
      <c r="B97" s="115">
        <f t="shared" si="2"/>
        <v>6</v>
      </c>
      <c r="C97" s="115">
        <f t="shared" si="3"/>
        <v>9</v>
      </c>
      <c r="D97" s="116" t="str" cm="1">
        <f t="array" ref="D97">INDEX('Rad-2'!$B$2:$J$100,1+B97,C97)</f>
        <v/>
      </c>
    </row>
    <row r="98" spans="1:4" x14ac:dyDescent="0.75">
      <c r="A98" s="115">
        <v>64</v>
      </c>
      <c r="B98" s="115">
        <f t="shared" si="2"/>
        <v>7</v>
      </c>
      <c r="C98" s="115">
        <f t="shared" si="3"/>
        <v>1</v>
      </c>
      <c r="D98" s="116" t="str" cm="1">
        <f t="array" ref="D98">INDEX('Rad-2'!$B$2:$J$100,1+B98,C98)</f>
        <v>* differential.element[8].id = "Radiotherapy.istitutionOfTreatment.address.name"</v>
      </c>
    </row>
    <row r="99" spans="1:4" x14ac:dyDescent="0.75">
      <c r="A99" s="115">
        <v>65</v>
      </c>
      <c r="B99" s="115">
        <f t="shared" si="2"/>
        <v>7</v>
      </c>
      <c r="C99" s="115">
        <f t="shared" si="3"/>
        <v>2</v>
      </c>
      <c r="D99" s="116" t="str" cm="1">
        <f t="array" ref="D99">INDEX('Rad-2'!$B$2:$J$100,1+B99,C99)</f>
        <v>* differential.element[8].path = "Radiotherapy.istitutionOfTreatment.address.name"</v>
      </c>
    </row>
    <row r="100" spans="1:4" x14ac:dyDescent="0.75">
      <c r="A100" s="115">
        <v>66</v>
      </c>
      <c r="B100" s="115">
        <f t="shared" si="2"/>
        <v>7</v>
      </c>
      <c r="C100" s="115">
        <f t="shared" si="3"/>
        <v>3</v>
      </c>
      <c r="D100" s="116" t="str" cm="1">
        <f t="array" ref="D100">INDEX('Rad-2'!$B$2:$J$100,1+B100,C100)</f>
        <v>* differential.element[8].short = "Institution city"</v>
      </c>
    </row>
    <row r="101" spans="1:4" x14ac:dyDescent="0.75">
      <c r="A101" s="115">
        <v>67</v>
      </c>
      <c r="B101" s="115">
        <f t="shared" si="2"/>
        <v>7</v>
      </c>
      <c r="C101" s="115">
        <f t="shared" si="3"/>
        <v>4</v>
      </c>
      <c r="D101" s="116" t="str" cm="1">
        <f t="array" ref="D101">INDEX('Rad-2'!$B$2:$J$100,1+B101,C101)</f>
        <v>* differential.element[8].definition = "Institution city"</v>
      </c>
    </row>
    <row r="102" spans="1:4" x14ac:dyDescent="0.75">
      <c r="A102" s="115">
        <v>68</v>
      </c>
      <c r="B102" s="115">
        <f t="shared" si="2"/>
        <v>7</v>
      </c>
      <c r="C102" s="115">
        <f t="shared" si="3"/>
        <v>5</v>
      </c>
      <c r="D102" s="116" t="str" cm="1">
        <f t="array" ref="D102">INDEX('Rad-2'!$B$2:$J$100,1+B102,C102)</f>
        <v>* differential.element[8].min = 0</v>
      </c>
    </row>
    <row r="103" spans="1:4" x14ac:dyDescent="0.75">
      <c r="A103" s="115">
        <v>69</v>
      </c>
      <c r="B103" s="115">
        <f t="shared" si="2"/>
        <v>7</v>
      </c>
      <c r="C103" s="115">
        <f t="shared" si="3"/>
        <v>6</v>
      </c>
      <c r="D103" s="116" t="str" cm="1">
        <f t="array" ref="D103">INDEX('Rad-2'!$B$2:$J$100,1+B103,C103)</f>
        <v>* differential.element[8].max = "1"</v>
      </c>
    </row>
    <row r="104" spans="1:4" x14ac:dyDescent="0.75">
      <c r="A104" s="115">
        <v>70</v>
      </c>
      <c r="B104" s="115">
        <f t="shared" si="2"/>
        <v>7</v>
      </c>
      <c r="C104" s="115">
        <f t="shared" si="3"/>
        <v>7</v>
      </c>
      <c r="D104" s="116" t="str" cm="1">
        <f t="array" ref="D104">INDEX('Rad-2'!$B$2:$J$100,1+B104,C104)</f>
        <v>* differential.element[8].type.code = #string</v>
      </c>
    </row>
    <row r="105" spans="1:4" x14ac:dyDescent="0.75">
      <c r="A105" s="115">
        <v>71</v>
      </c>
      <c r="B105" s="115">
        <f t="shared" si="2"/>
        <v>7</v>
      </c>
      <c r="C105" s="115">
        <f t="shared" si="3"/>
        <v>8</v>
      </c>
      <c r="D105" s="116" t="str" cm="1">
        <f t="array" ref="D105">INDEX('Rad-2'!$B$2:$J$100,1+B105,C105)</f>
        <v/>
      </c>
    </row>
    <row r="106" spans="1:4" x14ac:dyDescent="0.75">
      <c r="A106" s="115">
        <v>72</v>
      </c>
      <c r="B106" s="115">
        <f t="shared" si="2"/>
        <v>7</v>
      </c>
      <c r="C106" s="115">
        <f t="shared" si="3"/>
        <v>9</v>
      </c>
      <c r="D106" s="116" t="str" cm="1">
        <f t="array" ref="D106">INDEX('Rad-2'!$B$2:$J$100,1+B106,C106)</f>
        <v/>
      </c>
    </row>
    <row r="107" spans="1:4" x14ac:dyDescent="0.75">
      <c r="A107" s="115">
        <v>73</v>
      </c>
      <c r="B107" s="115">
        <f t="shared" si="2"/>
        <v>8</v>
      </c>
      <c r="C107" s="115">
        <f t="shared" si="3"/>
        <v>1</v>
      </c>
      <c r="D107" s="116" t="str" cm="1">
        <f t="array" ref="D107">INDEX('Rad-2'!$B$2:$J$100,1+B107,C107)</f>
        <v>* differential.element[9].id = "Radiotherapy.istitutionOfTreatment.address.country"</v>
      </c>
    </row>
    <row r="108" spans="1:4" x14ac:dyDescent="0.75">
      <c r="A108" s="115">
        <v>74</v>
      </c>
      <c r="B108" s="115">
        <f t="shared" si="2"/>
        <v>8</v>
      </c>
      <c r="C108" s="115">
        <f t="shared" si="3"/>
        <v>2</v>
      </c>
      <c r="D108" s="116" t="str" cm="1">
        <f t="array" ref="D108">INDEX('Rad-2'!$B$2:$J$100,1+B108,C108)</f>
        <v>* differential.element[9].path = "Radiotherapy.istitutionOfTreatment.address.country"</v>
      </c>
    </row>
    <row r="109" spans="1:4" x14ac:dyDescent="0.75">
      <c r="A109" s="115">
        <v>75</v>
      </c>
      <c r="B109" s="115">
        <f t="shared" ref="B109:B172" si="4">IF(MOD(A109,$B$25)=0,A109/$B$25-1,INT(A109/$B$25))</f>
        <v>8</v>
      </c>
      <c r="C109" s="115">
        <f t="shared" ref="C109:C172" si="5">IF(MOD(A109,$B$25)=0,$B$25,MOD(A109,$B$25))</f>
        <v>3</v>
      </c>
      <c r="D109" s="116" t="str" cm="1">
        <f t="array" ref="D109">INDEX('Rad-2'!$B$2:$J$100,1+B109,C109)</f>
        <v>* differential.element[9].short = "Institution country"</v>
      </c>
    </row>
    <row r="110" spans="1:4" x14ac:dyDescent="0.75">
      <c r="A110" s="115">
        <v>76</v>
      </c>
      <c r="B110" s="115">
        <f t="shared" si="4"/>
        <v>8</v>
      </c>
      <c r="C110" s="115">
        <f t="shared" si="5"/>
        <v>4</v>
      </c>
      <c r="D110" s="116" t="str" cm="1">
        <f t="array" ref="D110">INDEX('Rad-2'!$B$2:$J$100,1+B110,C110)</f>
        <v>* differential.element[9].definition = "Institution country"</v>
      </c>
    </row>
    <row r="111" spans="1:4" x14ac:dyDescent="0.75">
      <c r="A111" s="115">
        <v>77</v>
      </c>
      <c r="B111" s="115">
        <f t="shared" si="4"/>
        <v>8</v>
      </c>
      <c r="C111" s="115">
        <f t="shared" si="5"/>
        <v>5</v>
      </c>
      <c r="D111" s="116" t="str" cm="1">
        <f t="array" ref="D111">INDEX('Rad-2'!$B$2:$J$100,1+B111,C111)</f>
        <v>* differential.element[9].min = 0</v>
      </c>
    </row>
    <row r="112" spans="1:4" x14ac:dyDescent="0.75">
      <c r="A112" s="115">
        <v>78</v>
      </c>
      <c r="B112" s="115">
        <f t="shared" si="4"/>
        <v>8</v>
      </c>
      <c r="C112" s="115">
        <f t="shared" si="5"/>
        <v>6</v>
      </c>
      <c r="D112" s="116" t="str" cm="1">
        <f t="array" ref="D112">INDEX('Rad-2'!$B$2:$J$100,1+B112,C112)</f>
        <v>* differential.element[9].max = "1"</v>
      </c>
    </row>
    <row r="113" spans="1:4" x14ac:dyDescent="0.75">
      <c r="A113" s="115">
        <v>79</v>
      </c>
      <c r="B113" s="115">
        <f t="shared" si="4"/>
        <v>8</v>
      </c>
      <c r="C113" s="115">
        <f t="shared" si="5"/>
        <v>7</v>
      </c>
      <c r="D113" s="116" t="str" cm="1">
        <f t="array" ref="D113">INDEX('Rad-2'!$B$2:$J$100,1+B113,C113)</f>
        <v>* differential.element[9].type.code = #string</v>
      </c>
    </row>
    <row r="114" spans="1:4" x14ac:dyDescent="0.75">
      <c r="A114" s="115">
        <v>80</v>
      </c>
      <c r="B114" s="115">
        <f t="shared" si="4"/>
        <v>8</v>
      </c>
      <c r="C114" s="115">
        <f t="shared" si="5"/>
        <v>8</v>
      </c>
      <c r="D114" s="116" t="str" cm="1">
        <f t="array" ref="D114">INDEX('Rad-2'!$B$2:$J$100,1+B114,C114)</f>
        <v/>
      </c>
    </row>
    <row r="115" spans="1:4" x14ac:dyDescent="0.75">
      <c r="A115" s="115">
        <v>81</v>
      </c>
      <c r="B115" s="115">
        <f t="shared" si="4"/>
        <v>8</v>
      </c>
      <c r="C115" s="115">
        <f t="shared" si="5"/>
        <v>9</v>
      </c>
      <c r="D115" s="116" t="str" cm="1">
        <f t="array" ref="D115">INDEX('Rad-2'!$B$2:$J$100,1+B115,C115)</f>
        <v/>
      </c>
    </row>
    <row r="116" spans="1:4" x14ac:dyDescent="0.75">
      <c r="A116" s="115">
        <v>82</v>
      </c>
      <c r="B116" s="115">
        <f t="shared" si="4"/>
        <v>9</v>
      </c>
      <c r="C116" s="115">
        <f t="shared" si="5"/>
        <v>1</v>
      </c>
      <c r="D116" s="116" t="str" cm="1">
        <f t="array" ref="D116">INDEX('Rad-2'!$B$2:$J$100,1+B116,C116)</f>
        <v>* differential.element[10].id = "Radiotherapy.startDate"</v>
      </c>
    </row>
    <row r="117" spans="1:4" x14ac:dyDescent="0.75">
      <c r="A117" s="115">
        <v>83</v>
      </c>
      <c r="B117" s="115">
        <f t="shared" si="4"/>
        <v>9</v>
      </c>
      <c r="C117" s="115">
        <f t="shared" si="5"/>
        <v>2</v>
      </c>
      <c r="D117" s="116" t="str" cm="1">
        <f t="array" ref="D117">INDEX('Rad-2'!$B$2:$J$100,1+B117,C117)</f>
        <v>* differential.element[10].path = "Radiotherapy.startDate"</v>
      </c>
    </row>
    <row r="118" spans="1:4" x14ac:dyDescent="0.75">
      <c r="A118" s="115">
        <v>84</v>
      </c>
      <c r="B118" s="115">
        <f t="shared" si="4"/>
        <v>9</v>
      </c>
      <c r="C118" s="115">
        <f t="shared" si="5"/>
        <v>3</v>
      </c>
      <c r="D118" s="116" t="str" cm="1">
        <f t="array" ref="D118">INDEX('Rad-2'!$B$2:$J$100,1+B118,C118)</f>
        <v>* differential.element[10].short = "Start date"</v>
      </c>
    </row>
    <row r="119" spans="1:4" x14ac:dyDescent="0.75">
      <c r="A119" s="115">
        <v>85</v>
      </c>
      <c r="B119" s="115">
        <f t="shared" si="4"/>
        <v>9</v>
      </c>
      <c r="C119" s="115">
        <f t="shared" si="5"/>
        <v>4</v>
      </c>
      <c r="D119" s="116" t="str" cm="1">
        <f t="array" ref="D119">INDEX('Rad-2'!$B$2:$J$100,1+B119,C119)</f>
        <v>* differential.element[10].definition = "Enter the date on which the first treatment (fraction) of radiotherapy was given, in a DD/MM/YYYY format. If the date is unkown or partially missed insert the year at the best of your knowledge."</v>
      </c>
    </row>
    <row r="120" spans="1:4" x14ac:dyDescent="0.75">
      <c r="A120" s="115">
        <v>86</v>
      </c>
      <c r="B120" s="115">
        <f t="shared" si="4"/>
        <v>9</v>
      </c>
      <c r="C120" s="115">
        <f t="shared" si="5"/>
        <v>5</v>
      </c>
      <c r="D120" s="116" t="str" cm="1">
        <f t="array" ref="D120">INDEX('Rad-2'!$B$2:$J$100,1+B120,C120)</f>
        <v>* differential.element[10].min = 1</v>
      </c>
    </row>
    <row r="121" spans="1:4" x14ac:dyDescent="0.75">
      <c r="A121" s="115">
        <v>87</v>
      </c>
      <c r="B121" s="115">
        <f t="shared" si="4"/>
        <v>9</v>
      </c>
      <c r="C121" s="115">
        <f t="shared" si="5"/>
        <v>6</v>
      </c>
      <c r="D121" s="116" t="str" cm="1">
        <f t="array" ref="D121">INDEX('Rad-2'!$B$2:$J$100,1+B121,C121)</f>
        <v>* differential.element[10].max = "1"</v>
      </c>
    </row>
    <row r="122" spans="1:4" x14ac:dyDescent="0.75">
      <c r="A122" s="115">
        <v>88</v>
      </c>
      <c r="B122" s="115">
        <f t="shared" si="4"/>
        <v>9</v>
      </c>
      <c r="C122" s="115">
        <f t="shared" si="5"/>
        <v>7</v>
      </c>
      <c r="D122" s="116" t="str" cm="1">
        <f t="array" ref="D122">INDEX('Rad-2'!$B$2:$J$100,1+B122,C122)</f>
        <v>* differential.element[10].type.code = #dateTime</v>
      </c>
    </row>
    <row r="123" spans="1:4" x14ac:dyDescent="0.75">
      <c r="A123" s="115">
        <v>89</v>
      </c>
      <c r="B123" s="115">
        <f t="shared" si="4"/>
        <v>9</v>
      </c>
      <c r="C123" s="115">
        <f t="shared" si="5"/>
        <v>8</v>
      </c>
      <c r="D123" s="116" t="str" cm="1">
        <f t="array" ref="D123">INDEX('Rad-2'!$B$2:$J$100,1+B123,C123)</f>
        <v/>
      </c>
    </row>
    <row r="124" spans="1:4" x14ac:dyDescent="0.75">
      <c r="A124" s="115">
        <v>90</v>
      </c>
      <c r="B124" s="115">
        <f t="shared" si="4"/>
        <v>9</v>
      </c>
      <c r="C124" s="115">
        <f t="shared" si="5"/>
        <v>9</v>
      </c>
      <c r="D124" s="116" t="str" cm="1">
        <f t="array" ref="D124">INDEX('Rad-2'!$B$2:$J$100,1+B124,C124)</f>
        <v/>
      </c>
    </row>
    <row r="125" spans="1:4" x14ac:dyDescent="0.75">
      <c r="A125" s="115">
        <v>91</v>
      </c>
      <c r="B125" s="115">
        <f t="shared" si="4"/>
        <v>10</v>
      </c>
      <c r="C125" s="115">
        <f t="shared" si="5"/>
        <v>1</v>
      </c>
      <c r="D125" s="116" t="str" cm="1">
        <f t="array" ref="D125">INDEX('Rad-2'!$B$2:$J$100,1+B125,C125)</f>
        <v>* differential.element[11].id = "Radiotherapy.enddate"</v>
      </c>
    </row>
    <row r="126" spans="1:4" x14ac:dyDescent="0.75">
      <c r="A126" s="115">
        <v>92</v>
      </c>
      <c r="B126" s="115">
        <f t="shared" si="4"/>
        <v>10</v>
      </c>
      <c r="C126" s="115">
        <f t="shared" si="5"/>
        <v>2</v>
      </c>
      <c r="D126" s="116" t="str" cm="1">
        <f t="array" ref="D126">INDEX('Rad-2'!$B$2:$J$100,1+B126,C126)</f>
        <v>* differential.element[11].path = "Radiotherapy.enddate"</v>
      </c>
    </row>
    <row r="127" spans="1:4" x14ac:dyDescent="0.75">
      <c r="A127" s="115">
        <v>93</v>
      </c>
      <c r="B127" s="115">
        <f t="shared" si="4"/>
        <v>10</v>
      </c>
      <c r="C127" s="115">
        <f t="shared" si="5"/>
        <v>3</v>
      </c>
      <c r="D127" s="116" t="str" cm="1">
        <f t="array" ref="D127">INDEX('Rad-2'!$B$2:$J$100,1+B127,C127)</f>
        <v>* differential.element[11].short = "End date"</v>
      </c>
    </row>
    <row r="128" spans="1:4" x14ac:dyDescent="0.75">
      <c r="A128" s="115">
        <v>94</v>
      </c>
      <c r="B128" s="115">
        <f t="shared" si="4"/>
        <v>10</v>
      </c>
      <c r="C128" s="115">
        <f t="shared" si="5"/>
        <v>4</v>
      </c>
      <c r="D128" s="116" t="str" cm="1">
        <f t="array" ref="D128">INDEX('Rad-2'!$B$2:$J$100,1+B128,C128)</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row>
    <row r="129" spans="1:4" x14ac:dyDescent="0.75">
      <c r="A129" s="115">
        <v>95</v>
      </c>
      <c r="B129" s="115">
        <f t="shared" si="4"/>
        <v>10</v>
      </c>
      <c r="C129" s="115">
        <f t="shared" si="5"/>
        <v>5</v>
      </c>
      <c r="D129" s="116" t="str" cm="1">
        <f t="array" ref="D129">INDEX('Rad-2'!$B$2:$J$100,1+B129,C129)</f>
        <v>* differential.element[11].min = 0</v>
      </c>
    </row>
    <row r="130" spans="1:4" x14ac:dyDescent="0.75">
      <c r="A130" s="115">
        <v>96</v>
      </c>
      <c r="B130" s="115">
        <f t="shared" si="4"/>
        <v>10</v>
      </c>
      <c r="C130" s="115">
        <f t="shared" si="5"/>
        <v>6</v>
      </c>
      <c r="D130" s="116" t="str" cm="1">
        <f t="array" ref="D130">INDEX('Rad-2'!$B$2:$J$100,1+B130,C130)</f>
        <v>* differential.element[11].max = "1"</v>
      </c>
    </row>
    <row r="131" spans="1:4" x14ac:dyDescent="0.75">
      <c r="A131" s="115">
        <v>97</v>
      </c>
      <c r="B131" s="115">
        <f t="shared" si="4"/>
        <v>10</v>
      </c>
      <c r="C131" s="115">
        <f t="shared" si="5"/>
        <v>7</v>
      </c>
      <c r="D131" s="116" t="str" cm="1">
        <f t="array" ref="D131">INDEX('Rad-2'!$B$2:$J$100,1+B131,C131)</f>
        <v>* differential.element[11].type.code = #dateTime</v>
      </c>
    </row>
    <row r="132" spans="1:4" x14ac:dyDescent="0.75">
      <c r="A132" s="115">
        <v>98</v>
      </c>
      <c r="B132" s="115">
        <f t="shared" si="4"/>
        <v>10</v>
      </c>
      <c r="C132" s="115">
        <f t="shared" si="5"/>
        <v>8</v>
      </c>
      <c r="D132" s="116" t="str" cm="1">
        <f t="array" ref="D132">INDEX('Rad-2'!$B$2:$J$100,1+B132,C132)</f>
        <v/>
      </c>
    </row>
    <row r="133" spans="1:4" x14ac:dyDescent="0.75">
      <c r="A133" s="115">
        <v>99</v>
      </c>
      <c r="B133" s="115">
        <f t="shared" si="4"/>
        <v>10</v>
      </c>
      <c r="C133" s="115">
        <f t="shared" si="5"/>
        <v>9</v>
      </c>
      <c r="D133" s="116" t="str" cm="1">
        <f t="array" ref="D133">INDEX('Rad-2'!$B$2:$J$100,1+B133,C133)</f>
        <v/>
      </c>
    </row>
    <row r="134" spans="1:4" x14ac:dyDescent="0.75">
      <c r="A134" s="115">
        <v>100</v>
      </c>
      <c r="B134" s="115">
        <f t="shared" si="4"/>
        <v>11</v>
      </c>
      <c r="C134" s="115">
        <f t="shared" si="5"/>
        <v>1</v>
      </c>
      <c r="D134" s="116" t="str" cm="1">
        <f t="array" ref="D134">INDEX('Rad-2'!$B$2:$J$100,1+B134,C134)</f>
        <v>* differential.element[12].id = "Radiotherapy.type"</v>
      </c>
    </row>
    <row r="135" spans="1:4" x14ac:dyDescent="0.75">
      <c r="A135" s="115">
        <v>101</v>
      </c>
      <c r="B135" s="115">
        <f t="shared" si="4"/>
        <v>11</v>
      </c>
      <c r="C135" s="115">
        <f t="shared" si="5"/>
        <v>2</v>
      </c>
      <c r="D135" s="116" t="str" cm="1">
        <f t="array" ref="D135">INDEX('Rad-2'!$B$2:$J$100,1+B135,C135)</f>
        <v>* differential.element[12].path = "Radiotherapy.type"</v>
      </c>
    </row>
    <row r="136" spans="1:4" x14ac:dyDescent="0.75">
      <c r="A136" s="115">
        <v>102</v>
      </c>
      <c r="B136" s="115">
        <f t="shared" si="4"/>
        <v>11</v>
      </c>
      <c r="C136" s="115">
        <f t="shared" si="5"/>
        <v>3</v>
      </c>
      <c r="D136" s="116" t="str" cm="1">
        <f t="array" ref="D136">INDEX('Rad-2'!$B$2:$J$100,1+B136,C136)</f>
        <v>* differential.element[12].short = "Type of radiotherapy"</v>
      </c>
    </row>
    <row r="137" spans="1:4" ht="132.75" x14ac:dyDescent="0.75">
      <c r="A137" s="115">
        <v>103</v>
      </c>
      <c r="B137" s="115">
        <f t="shared" si="4"/>
        <v>11</v>
      </c>
      <c r="C137" s="115">
        <f t="shared" si="5"/>
        <v>4</v>
      </c>
      <c r="D137" s="116" t="str" cm="1">
        <f t="array" ref="D137">INDEX('Rad-2'!$B$2:$J$100,1+B137,C137)</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row>
    <row r="138" spans="1:4" x14ac:dyDescent="0.75">
      <c r="A138" s="115">
        <v>104</v>
      </c>
      <c r="B138" s="115">
        <f t="shared" si="4"/>
        <v>11</v>
      </c>
      <c r="C138" s="115">
        <f t="shared" si="5"/>
        <v>5</v>
      </c>
      <c r="D138" s="116" t="str" cm="1">
        <f t="array" ref="D138">INDEX('Rad-2'!$B$2:$J$100,1+B138,C138)</f>
        <v>* differential.element[12].min = 1</v>
      </c>
    </row>
    <row r="139" spans="1:4" x14ac:dyDescent="0.75">
      <c r="A139" s="115">
        <v>105</v>
      </c>
      <c r="B139" s="115">
        <f t="shared" si="4"/>
        <v>11</v>
      </c>
      <c r="C139" s="115">
        <f t="shared" si="5"/>
        <v>6</v>
      </c>
      <c r="D139" s="116" t="str" cm="1">
        <f t="array" ref="D139">INDEX('Rad-2'!$B$2:$J$100,1+B139,C139)</f>
        <v>* differential.element[12].max = "1"</v>
      </c>
    </row>
    <row r="140" spans="1:4" x14ac:dyDescent="0.75">
      <c r="A140" s="115">
        <v>106</v>
      </c>
      <c r="B140" s="115">
        <f t="shared" si="4"/>
        <v>11</v>
      </c>
      <c r="C140" s="115">
        <f t="shared" si="5"/>
        <v>7</v>
      </c>
      <c r="D140" s="116" t="str" cm="1">
        <f t="array" ref="D140">INDEX('Rad-2'!$B$2:$J$100,1+B140,C140)</f>
        <v>* differential.element[12].type.code = #CodeableConcept</v>
      </c>
    </row>
    <row r="141" spans="1:4" x14ac:dyDescent="0.75">
      <c r="A141" s="115">
        <v>107</v>
      </c>
      <c r="B141" s="115">
        <f t="shared" si="4"/>
        <v>11</v>
      </c>
      <c r="C141" s="115">
        <f t="shared" si="5"/>
        <v>8</v>
      </c>
      <c r="D141" s="116" t="str" cm="1">
        <f t="array" ref="D141">INDEX('Rad-2'!$B$2:$J$100,1+B141,C141)</f>
        <v/>
      </c>
    </row>
    <row r="142" spans="1:4" x14ac:dyDescent="0.75">
      <c r="A142" s="115">
        <v>108</v>
      </c>
      <c r="B142" s="115">
        <f t="shared" si="4"/>
        <v>11</v>
      </c>
      <c r="C142" s="115">
        <f t="shared" si="5"/>
        <v>9</v>
      </c>
      <c r="D142" s="116" t="str" cm="1">
        <f t="array" ref="D142">INDEX('Rad-2'!$B$2:$J$100,1+B142,C142)</f>
        <v/>
      </c>
    </row>
    <row r="143" spans="1:4" x14ac:dyDescent="0.75">
      <c r="A143" s="115">
        <v>109</v>
      </c>
      <c r="B143" s="115">
        <f t="shared" si="4"/>
        <v>12</v>
      </c>
      <c r="C143" s="115">
        <f t="shared" si="5"/>
        <v>1</v>
      </c>
      <c r="D143" s="116" t="str" cm="1">
        <f t="array" ref="D143">INDEX('Rad-2'!$B$2:$J$100,1+B143,C143)</f>
        <v>* differential.element[13].id = "Radiotherapy.deviceType"</v>
      </c>
    </row>
    <row r="144" spans="1:4" x14ac:dyDescent="0.75">
      <c r="A144" s="115">
        <v>110</v>
      </c>
      <c r="B144" s="115">
        <f t="shared" si="4"/>
        <v>12</v>
      </c>
      <c r="C144" s="115">
        <f t="shared" si="5"/>
        <v>2</v>
      </c>
      <c r="D144" s="116" t="str" cm="1">
        <f t="array" ref="D144">INDEX('Rad-2'!$B$2:$J$100,1+B144,C144)</f>
        <v>* differential.element[13].path = "Radiotherapy.deviceType"</v>
      </c>
    </row>
    <row r="145" spans="1:4" x14ac:dyDescent="0.75">
      <c r="A145" s="115">
        <v>111</v>
      </c>
      <c r="B145" s="115">
        <f t="shared" si="4"/>
        <v>12</v>
      </c>
      <c r="C145" s="115">
        <f t="shared" si="5"/>
        <v>3</v>
      </c>
      <c r="D145" s="116" t="str" cm="1">
        <f t="array" ref="D145">INDEX('Rad-2'!$B$2:$J$100,1+B145,C145)</f>
        <v>* differential.element[13].short = "type of machine (If external beam)"</v>
      </c>
    </row>
    <row r="146" spans="1:4" x14ac:dyDescent="0.75">
      <c r="A146" s="115">
        <v>112</v>
      </c>
      <c r="B146" s="115">
        <f t="shared" si="4"/>
        <v>12</v>
      </c>
      <c r="C146" s="115">
        <f t="shared" si="5"/>
        <v>4</v>
      </c>
      <c r="D146" s="116" t="str" cm="1">
        <f t="array" ref="D146">INDEX('Rad-2'!$B$2:$J$100,1+B146,C146)</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row>
    <row r="147" spans="1:4" x14ac:dyDescent="0.75">
      <c r="A147" s="115">
        <v>113</v>
      </c>
      <c r="B147" s="115">
        <f t="shared" si="4"/>
        <v>12</v>
      </c>
      <c r="C147" s="115">
        <f t="shared" si="5"/>
        <v>5</v>
      </c>
      <c r="D147" s="116" t="str" cm="1">
        <f t="array" ref="D147">INDEX('Rad-2'!$B$2:$J$100,1+B147,C147)</f>
        <v>* differential.element[13].min = 0</v>
      </c>
    </row>
    <row r="148" spans="1:4" x14ac:dyDescent="0.75">
      <c r="A148" s="115">
        <v>114</v>
      </c>
      <c r="B148" s="115">
        <f t="shared" si="4"/>
        <v>12</v>
      </c>
      <c r="C148" s="115">
        <f t="shared" si="5"/>
        <v>6</v>
      </c>
      <c r="D148" s="116" t="str" cm="1">
        <f t="array" ref="D148">INDEX('Rad-2'!$B$2:$J$100,1+B148,C148)</f>
        <v>* differential.element[13].max = "1"</v>
      </c>
    </row>
    <row r="149" spans="1:4" x14ac:dyDescent="0.75">
      <c r="A149" s="115">
        <v>115</v>
      </c>
      <c r="B149" s="115">
        <f t="shared" si="4"/>
        <v>12</v>
      </c>
      <c r="C149" s="115">
        <f t="shared" si="5"/>
        <v>7</v>
      </c>
      <c r="D149" s="116" t="str" cm="1">
        <f t="array" ref="D149">INDEX('Rad-2'!$B$2:$J$100,1+B149,C149)</f>
        <v>* differential.element[13].type.code = #CodeableConcept</v>
      </c>
    </row>
    <row r="150" spans="1:4" x14ac:dyDescent="0.75">
      <c r="A150" s="115">
        <v>116</v>
      </c>
      <c r="B150" s="115">
        <f t="shared" si="4"/>
        <v>12</v>
      </c>
      <c r="C150" s="115">
        <f t="shared" si="5"/>
        <v>8</v>
      </c>
      <c r="D150" s="116" t="str" cm="1">
        <f t="array" ref="D150">INDEX('Rad-2'!$B$2:$J$100,1+B150,C150)</f>
        <v/>
      </c>
    </row>
    <row r="151" spans="1:4" x14ac:dyDescent="0.75">
      <c r="A151" s="115">
        <v>117</v>
      </c>
      <c r="B151" s="115">
        <f t="shared" si="4"/>
        <v>12</v>
      </c>
      <c r="C151" s="115">
        <f t="shared" si="5"/>
        <v>9</v>
      </c>
      <c r="D151" s="116" t="str" cm="1">
        <f t="array" ref="D151">INDEX('Rad-2'!$B$2:$J$100,1+B151,C151)</f>
        <v/>
      </c>
    </row>
    <row r="152" spans="1:4" x14ac:dyDescent="0.75">
      <c r="A152" s="115">
        <v>118</v>
      </c>
      <c r="B152" s="115">
        <f t="shared" si="4"/>
        <v>13</v>
      </c>
      <c r="C152" s="115">
        <f t="shared" si="5"/>
        <v>1</v>
      </c>
      <c r="D152" s="116" t="str" cm="1">
        <f t="array" ref="D152">INDEX('Rad-2'!$B$2:$J$100,1+B152,C152)</f>
        <v>* differential.element[14].id = "Radiotherapy.brachytherapyType"</v>
      </c>
    </row>
    <row r="153" spans="1:4" x14ac:dyDescent="0.75">
      <c r="A153" s="115">
        <v>119</v>
      </c>
      <c r="B153" s="115">
        <f t="shared" si="4"/>
        <v>13</v>
      </c>
      <c r="C153" s="115">
        <f t="shared" si="5"/>
        <v>2</v>
      </c>
      <c r="D153" s="116" t="str" cm="1">
        <f t="array" ref="D153">INDEX('Rad-2'!$B$2:$J$100,1+B153,C153)</f>
        <v>* differential.element[14].path = "Radiotherapy.brachytherapyType"</v>
      </c>
    </row>
    <row r="154" spans="1:4" x14ac:dyDescent="0.75">
      <c r="A154" s="115">
        <v>120</v>
      </c>
      <c r="B154" s="115">
        <f t="shared" si="4"/>
        <v>13</v>
      </c>
      <c r="C154" s="115">
        <f t="shared" si="5"/>
        <v>3</v>
      </c>
      <c r="D154" s="116" t="str" cm="1">
        <f t="array" ref="D154">INDEX('Rad-2'!$B$2:$J$100,1+B154,C154)</f>
        <v>* differential.element[14].short = "type of brachytherapy (if brachytherapy)"</v>
      </c>
    </row>
    <row r="155" spans="1:4" ht="118" x14ac:dyDescent="0.75">
      <c r="A155" s="115">
        <v>121</v>
      </c>
      <c r="B155" s="115">
        <f t="shared" si="4"/>
        <v>13</v>
      </c>
      <c r="C155" s="115">
        <f t="shared" si="5"/>
        <v>4</v>
      </c>
      <c r="D155" s="116" t="str" cm="1">
        <f t="array" ref="D155">INDEX('Rad-2'!$B$2:$J$100,1+B155,C155)</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row>
    <row r="156" spans="1:4" x14ac:dyDescent="0.75">
      <c r="A156" s="115">
        <v>122</v>
      </c>
      <c r="B156" s="115">
        <f t="shared" si="4"/>
        <v>13</v>
      </c>
      <c r="C156" s="115">
        <f t="shared" si="5"/>
        <v>5</v>
      </c>
      <c r="D156" s="116" t="str" cm="1">
        <f t="array" ref="D156">INDEX('Rad-2'!$B$2:$J$100,1+B156,C156)</f>
        <v>* differential.element[14].min = 0</v>
      </c>
    </row>
    <row r="157" spans="1:4" x14ac:dyDescent="0.75">
      <c r="A157" s="115">
        <v>123</v>
      </c>
      <c r="B157" s="115">
        <f t="shared" si="4"/>
        <v>13</v>
      </c>
      <c r="C157" s="115">
        <f t="shared" si="5"/>
        <v>6</v>
      </c>
      <c r="D157" s="116" t="str" cm="1">
        <f t="array" ref="D157">INDEX('Rad-2'!$B$2:$J$100,1+B157,C157)</f>
        <v>* differential.element[14].max = "1"</v>
      </c>
    </row>
    <row r="158" spans="1:4" x14ac:dyDescent="0.75">
      <c r="A158" s="115">
        <v>124</v>
      </c>
      <c r="B158" s="115">
        <f t="shared" si="4"/>
        <v>13</v>
      </c>
      <c r="C158" s="115">
        <f t="shared" si="5"/>
        <v>7</v>
      </c>
      <c r="D158" s="116" t="str" cm="1">
        <f t="array" ref="D158">INDEX('Rad-2'!$B$2:$J$100,1+B158,C158)</f>
        <v>* differential.element[14].type.code = #CodeableConcept</v>
      </c>
    </row>
    <row r="159" spans="1:4" x14ac:dyDescent="0.75">
      <c r="A159" s="115">
        <v>125</v>
      </c>
      <c r="B159" s="115">
        <f t="shared" si="4"/>
        <v>13</v>
      </c>
      <c r="C159" s="115">
        <f t="shared" si="5"/>
        <v>8</v>
      </c>
      <c r="D159" s="116" t="str" cm="1">
        <f t="array" ref="D159">INDEX('Rad-2'!$B$2:$J$100,1+B159,C159)</f>
        <v/>
      </c>
    </row>
    <row r="160" spans="1:4" x14ac:dyDescent="0.75">
      <c r="A160" s="115">
        <v>126</v>
      </c>
      <c r="B160" s="115">
        <f t="shared" si="4"/>
        <v>13</v>
      </c>
      <c r="C160" s="115">
        <f t="shared" si="5"/>
        <v>9</v>
      </c>
      <c r="D160" s="116" t="str" cm="1">
        <f t="array" ref="D160">INDEX('Rad-2'!$B$2:$J$100,1+B160,C160)</f>
        <v/>
      </c>
    </row>
    <row r="161" spans="1:4" x14ac:dyDescent="0.75">
      <c r="A161" s="115">
        <v>127</v>
      </c>
      <c r="B161" s="115">
        <f t="shared" si="4"/>
        <v>14</v>
      </c>
      <c r="C161" s="115">
        <f t="shared" si="5"/>
        <v>1</v>
      </c>
      <c r="D161" s="116" t="str" cm="1">
        <f t="array" ref="D161">INDEX('Rad-2'!$B$2:$J$100,1+B161,C161)</f>
        <v>* differential.element[15].id = "Radiotherapy.isotopes"</v>
      </c>
    </row>
    <row r="162" spans="1:4" x14ac:dyDescent="0.75">
      <c r="A162" s="115">
        <v>128</v>
      </c>
      <c r="B162" s="115">
        <f t="shared" si="4"/>
        <v>14</v>
      </c>
      <c r="C162" s="115">
        <f t="shared" si="5"/>
        <v>2</v>
      </c>
      <c r="D162" s="116" t="str" cm="1">
        <f t="array" ref="D162">INDEX('Rad-2'!$B$2:$J$100,1+B162,C162)</f>
        <v>* differential.element[15].path = "Radiotherapy.isotopes"</v>
      </c>
    </row>
    <row r="163" spans="1:4" x14ac:dyDescent="0.75">
      <c r="A163" s="115">
        <v>129</v>
      </c>
      <c r="B163" s="115">
        <f t="shared" si="4"/>
        <v>14</v>
      </c>
      <c r="C163" s="115">
        <f t="shared" si="5"/>
        <v>3</v>
      </c>
      <c r="D163" s="116" t="str" cm="1">
        <f t="array" ref="D163">INDEX('Rad-2'!$B$2:$J$100,1+B163,C163)</f>
        <v>* differential.element[15].short = "Radioactive materials (if brachytherapy)"</v>
      </c>
    </row>
    <row r="164" spans="1:4" x14ac:dyDescent="0.75">
      <c r="A164" s="115">
        <v>130</v>
      </c>
      <c r="B164" s="115">
        <f t="shared" si="4"/>
        <v>14</v>
      </c>
      <c r="C164" s="115">
        <f t="shared" si="5"/>
        <v>4</v>
      </c>
      <c r="D164" s="116" t="str" cm="1">
        <f t="array" ref="D164">INDEX('Rad-2'!$B$2:$J$100,1+B164,C164)</f>
        <v>* differential.element[15].definition = "Specify the radioactive material (isotopes) used: If not listed, select 'Other then specify'
1 =&gt; Iridium (Ir)
2 =&gt; Gold (Au)
3 =&gt; Iodine (I)
4 =&gt; Caesium (Cs)
5 =&gt; Other
-9922 =&gt; Unknown"</v>
      </c>
    </row>
    <row r="165" spans="1:4" x14ac:dyDescent="0.75">
      <c r="A165" s="115">
        <v>131</v>
      </c>
      <c r="B165" s="115">
        <f t="shared" si="4"/>
        <v>14</v>
      </c>
      <c r="C165" s="115">
        <f t="shared" si="5"/>
        <v>5</v>
      </c>
      <c r="D165" s="116" t="str" cm="1">
        <f t="array" ref="D165">INDEX('Rad-2'!$B$2:$J$100,1+B165,C165)</f>
        <v>* differential.element[15].min = 0</v>
      </c>
    </row>
    <row r="166" spans="1:4" x14ac:dyDescent="0.75">
      <c r="A166" s="115">
        <v>132</v>
      </c>
      <c r="B166" s="115">
        <f t="shared" si="4"/>
        <v>14</v>
      </c>
      <c r="C166" s="115">
        <f t="shared" si="5"/>
        <v>6</v>
      </c>
      <c r="D166" s="116" t="str" cm="1">
        <f t="array" ref="D166">INDEX('Rad-2'!$B$2:$J$100,1+B166,C166)</f>
        <v>* differential.element[15].max = "1"</v>
      </c>
    </row>
    <row r="167" spans="1:4" x14ac:dyDescent="0.75">
      <c r="A167" s="115">
        <v>133</v>
      </c>
      <c r="B167" s="115">
        <f t="shared" si="4"/>
        <v>14</v>
      </c>
      <c r="C167" s="115">
        <f t="shared" si="5"/>
        <v>7</v>
      </c>
      <c r="D167" s="116" t="str" cm="1">
        <f t="array" ref="D167">INDEX('Rad-2'!$B$2:$J$100,1+B167,C167)</f>
        <v>* differential.element[15].type.code = #CodeableConcept</v>
      </c>
    </row>
    <row r="168" spans="1:4" x14ac:dyDescent="0.75">
      <c r="A168" s="115">
        <v>134</v>
      </c>
      <c r="B168" s="115">
        <f t="shared" si="4"/>
        <v>14</v>
      </c>
      <c r="C168" s="115">
        <f t="shared" si="5"/>
        <v>8</v>
      </c>
      <c r="D168" s="116" t="str" cm="1">
        <f t="array" ref="D168">INDEX('Rad-2'!$B$2:$J$100,1+B168,C168)</f>
        <v/>
      </c>
    </row>
    <row r="169" spans="1:4" x14ac:dyDescent="0.75">
      <c r="A169" s="115">
        <v>135</v>
      </c>
      <c r="B169" s="115">
        <f t="shared" si="4"/>
        <v>14</v>
      </c>
      <c r="C169" s="115">
        <f t="shared" si="5"/>
        <v>9</v>
      </c>
      <c r="D169" s="116" t="str" cm="1">
        <f t="array" ref="D169">INDEX('Rad-2'!$B$2:$J$100,1+B169,C169)</f>
        <v/>
      </c>
    </row>
    <row r="170" spans="1:4" x14ac:dyDescent="0.75">
      <c r="A170" s="115">
        <v>136</v>
      </c>
      <c r="B170" s="115">
        <f t="shared" si="4"/>
        <v>15</v>
      </c>
      <c r="C170" s="115">
        <f t="shared" si="5"/>
        <v>1</v>
      </c>
      <c r="D170" s="116" t="str" cm="1">
        <f t="array" ref="D170">INDEX('Rad-2'!$B$2:$J$100,1+B170,C170)</f>
        <v>* differential.element[16].id = "Radiotherapy.radionuclides"</v>
      </c>
    </row>
    <row r="171" spans="1:4" x14ac:dyDescent="0.75">
      <c r="A171" s="115">
        <v>137</v>
      </c>
      <c r="B171" s="115">
        <f t="shared" si="4"/>
        <v>15</v>
      </c>
      <c r="C171" s="115">
        <f t="shared" si="5"/>
        <v>2</v>
      </c>
      <c r="D171" s="116" t="str" cm="1">
        <f t="array" ref="D171">INDEX('Rad-2'!$B$2:$J$100,1+B171,C171)</f>
        <v>* differential.element[16].path = "Radiotherapy.radionuclides"</v>
      </c>
    </row>
    <row r="172" spans="1:4" x14ac:dyDescent="0.75">
      <c r="A172" s="115">
        <v>138</v>
      </c>
      <c r="B172" s="115">
        <f t="shared" si="4"/>
        <v>15</v>
      </c>
      <c r="C172" s="115">
        <f t="shared" si="5"/>
        <v>3</v>
      </c>
      <c r="D172" s="116" t="str" cm="1">
        <f t="array" ref="D172">INDEX('Rad-2'!$B$2:$J$100,1+B172,C172)</f>
        <v>* differential.element[16].short = "radionuclides (required If metabolic/radionuclide)"</v>
      </c>
    </row>
    <row r="173" spans="1:4" ht="118" x14ac:dyDescent="0.75">
      <c r="A173" s="115">
        <v>139</v>
      </c>
      <c r="B173" s="115">
        <f t="shared" ref="B173:B236" si="6">IF(MOD(A173,$B$25)=0,A173/$B$25-1,INT(A173/$B$25))</f>
        <v>15</v>
      </c>
      <c r="C173" s="115">
        <f t="shared" ref="C173:C236" si="7">IF(MOD(A173,$B$25)=0,$B$25,MOD(A173,$B$25))</f>
        <v>4</v>
      </c>
      <c r="D173" s="116" t="str" cm="1">
        <f t="array" ref="D173">INDEX('Rad-2'!$B$2:$J$100,1+B173,C173)</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row>
    <row r="174" spans="1:4" x14ac:dyDescent="0.75">
      <c r="A174" s="115">
        <v>140</v>
      </c>
      <c r="B174" s="115">
        <f t="shared" si="6"/>
        <v>15</v>
      </c>
      <c r="C174" s="115">
        <f t="shared" si="7"/>
        <v>5</v>
      </c>
      <c r="D174" s="116" t="str" cm="1">
        <f t="array" ref="D174">INDEX('Rad-2'!$B$2:$J$100,1+B174,C174)</f>
        <v>* differential.element[16].min = 0</v>
      </c>
    </row>
    <row r="175" spans="1:4" x14ac:dyDescent="0.75">
      <c r="A175" s="115">
        <v>141</v>
      </c>
      <c r="B175" s="115">
        <f t="shared" si="6"/>
        <v>15</v>
      </c>
      <c r="C175" s="115">
        <f t="shared" si="7"/>
        <v>6</v>
      </c>
      <c r="D175" s="116" t="str" cm="1">
        <f t="array" ref="D175">INDEX('Rad-2'!$B$2:$J$100,1+B175,C175)</f>
        <v>* differential.element[16].max = "1"</v>
      </c>
    </row>
    <row r="176" spans="1:4" x14ac:dyDescent="0.75">
      <c r="A176" s="115">
        <v>142</v>
      </c>
      <c r="B176" s="115">
        <f t="shared" si="6"/>
        <v>15</v>
      </c>
      <c r="C176" s="115">
        <f t="shared" si="7"/>
        <v>7</v>
      </c>
      <c r="D176" s="116" t="str" cm="1">
        <f t="array" ref="D176">INDEX('Rad-2'!$B$2:$J$100,1+B176,C176)</f>
        <v>* differential.element[16].type.code = #CodeableConcept</v>
      </c>
    </row>
    <row r="177" spans="1:4" x14ac:dyDescent="0.75">
      <c r="A177" s="115">
        <v>143</v>
      </c>
      <c r="B177" s="115">
        <f t="shared" si="6"/>
        <v>15</v>
      </c>
      <c r="C177" s="115">
        <f t="shared" si="7"/>
        <v>8</v>
      </c>
      <c r="D177" s="116" t="str" cm="1">
        <f t="array" ref="D177">INDEX('Rad-2'!$B$2:$J$100,1+B177,C177)</f>
        <v/>
      </c>
    </row>
    <row r="178" spans="1:4" x14ac:dyDescent="0.75">
      <c r="A178" s="115">
        <v>144</v>
      </c>
      <c r="B178" s="115">
        <f t="shared" si="6"/>
        <v>15</v>
      </c>
      <c r="C178" s="115">
        <f t="shared" si="7"/>
        <v>9</v>
      </c>
      <c r="D178" s="116" t="str" cm="1">
        <f t="array" ref="D178">INDEX('Rad-2'!$B$2:$J$100,1+B178,C178)</f>
        <v/>
      </c>
    </row>
    <row r="179" spans="1:4" x14ac:dyDescent="0.75">
      <c r="A179" s="115">
        <v>145</v>
      </c>
      <c r="B179" s="115">
        <f t="shared" si="6"/>
        <v>16</v>
      </c>
      <c r="C179" s="115">
        <f t="shared" si="7"/>
        <v>1</v>
      </c>
      <c r="D179" s="116" t="str" cm="1">
        <f t="array" ref="D179">INDEX('Rad-2'!$B$2:$J$100,1+B179,C179)</f>
        <v>* differential.element[17].id = "Radiotherapy.numberOfCourses"</v>
      </c>
    </row>
    <row r="180" spans="1:4" x14ac:dyDescent="0.75">
      <c r="A180" s="115">
        <v>146</v>
      </c>
      <c r="B180" s="115">
        <f t="shared" si="6"/>
        <v>16</v>
      </c>
      <c r="C180" s="115">
        <f t="shared" si="7"/>
        <v>2</v>
      </c>
      <c r="D180" s="116" t="str" cm="1">
        <f t="array" ref="D180">INDEX('Rad-2'!$B$2:$J$100,1+B180,C180)</f>
        <v>* differential.element[17].path = "Radiotherapy.numberOfCourses"</v>
      </c>
    </row>
    <row r="181" spans="1:4" x14ac:dyDescent="0.75">
      <c r="A181" s="115">
        <v>147</v>
      </c>
      <c r="B181" s="115">
        <f t="shared" si="6"/>
        <v>16</v>
      </c>
      <c r="C181" s="115">
        <f t="shared" si="7"/>
        <v>3</v>
      </c>
      <c r="D181" s="116" t="str" cm="1">
        <f t="array" ref="D181">INDEX('Rad-2'!$B$2:$J$100,1+B181,C181)</f>
        <v>* differential.element[17].short = "Number of courses  (If metabolic/radionuclide)"</v>
      </c>
    </row>
    <row r="182" spans="1:4" x14ac:dyDescent="0.75">
      <c r="A182" s="115">
        <v>148</v>
      </c>
      <c r="B182" s="115">
        <f t="shared" si="6"/>
        <v>16</v>
      </c>
      <c r="C182" s="115">
        <f t="shared" si="7"/>
        <v>4</v>
      </c>
      <c r="D182" s="116" t="str" cm="1">
        <f t="array" ref="D182">INDEX('Rad-2'!$B$2:$J$100,1+B182,C182)</f>
        <v>* differential.element[17].definition = "For Metabolic/radionuclide therapy"</v>
      </c>
    </row>
    <row r="183" spans="1:4" x14ac:dyDescent="0.75">
      <c r="A183" s="115">
        <v>149</v>
      </c>
      <c r="B183" s="115">
        <f t="shared" si="6"/>
        <v>16</v>
      </c>
      <c r="C183" s="115">
        <f t="shared" si="7"/>
        <v>5</v>
      </c>
      <c r="D183" s="116" t="str" cm="1">
        <f t="array" ref="D183">INDEX('Rad-2'!$B$2:$J$100,1+B183,C183)</f>
        <v>* differential.element[17].min = 0</v>
      </c>
    </row>
    <row r="184" spans="1:4" x14ac:dyDescent="0.75">
      <c r="A184" s="115">
        <v>150</v>
      </c>
      <c r="B184" s="115">
        <f t="shared" si="6"/>
        <v>16</v>
      </c>
      <c r="C184" s="115">
        <f t="shared" si="7"/>
        <v>6</v>
      </c>
      <c r="D184" s="116" t="str" cm="1">
        <f t="array" ref="D184">INDEX('Rad-2'!$B$2:$J$100,1+B184,C184)</f>
        <v>* differential.element[17].max = "1"</v>
      </c>
    </row>
    <row r="185" spans="1:4" x14ac:dyDescent="0.75">
      <c r="A185" s="115">
        <v>151</v>
      </c>
      <c r="B185" s="115">
        <f t="shared" si="6"/>
        <v>16</v>
      </c>
      <c r="C185" s="115">
        <f t="shared" si="7"/>
        <v>7</v>
      </c>
      <c r="D185" s="116" t="str" cm="1">
        <f t="array" ref="D185">INDEX('Rad-2'!$B$2:$J$100,1+B185,C185)</f>
        <v>* differential.element[17].type.code = #integer</v>
      </c>
    </row>
    <row r="186" spans="1:4" x14ac:dyDescent="0.75">
      <c r="A186" s="115">
        <v>152</v>
      </c>
      <c r="B186" s="115">
        <f t="shared" si="6"/>
        <v>16</v>
      </c>
      <c r="C186" s="115">
        <f t="shared" si="7"/>
        <v>8</v>
      </c>
      <c r="D186" s="116" t="str" cm="1">
        <f t="array" ref="D186">INDEX('Rad-2'!$B$2:$J$100,1+B186,C186)</f>
        <v/>
      </c>
    </row>
    <row r="187" spans="1:4" x14ac:dyDescent="0.75">
      <c r="A187" s="115">
        <v>153</v>
      </c>
      <c r="B187" s="115">
        <f t="shared" si="6"/>
        <v>16</v>
      </c>
      <c r="C187" s="115">
        <f t="shared" si="7"/>
        <v>9</v>
      </c>
      <c r="D187" s="116" t="str" cm="1">
        <f t="array" ref="D187">INDEX('Rad-2'!$B$2:$J$100,1+B187,C187)</f>
        <v/>
      </c>
    </row>
    <row r="188" spans="1:4" x14ac:dyDescent="0.75">
      <c r="A188" s="115">
        <v>154</v>
      </c>
      <c r="B188" s="115">
        <f t="shared" si="6"/>
        <v>17</v>
      </c>
      <c r="C188" s="115">
        <f t="shared" si="7"/>
        <v>1</v>
      </c>
      <c r="D188" s="116" t="str" cm="1">
        <f t="array" ref="D188">INDEX('Rad-2'!$B$2:$J$100,1+B188,C188)</f>
        <v>* differential.element[18].id = "Radiotherapy.target"</v>
      </c>
    </row>
    <row r="189" spans="1:4" x14ac:dyDescent="0.75">
      <c r="A189" s="115">
        <v>155</v>
      </c>
      <c r="B189" s="115">
        <f t="shared" si="6"/>
        <v>17</v>
      </c>
      <c r="C189" s="115">
        <f t="shared" si="7"/>
        <v>2</v>
      </c>
      <c r="D189" s="116" t="str" cm="1">
        <f t="array" ref="D189">INDEX('Rad-2'!$B$2:$J$100,1+B189,C189)</f>
        <v>* differential.element[18].path = "Radiotherapy.target"</v>
      </c>
    </row>
    <row r="190" spans="1:4" x14ac:dyDescent="0.75">
      <c r="A190" s="115">
        <v>156</v>
      </c>
      <c r="B190" s="115">
        <f t="shared" si="6"/>
        <v>17</v>
      </c>
      <c r="C190" s="115">
        <f t="shared" si="7"/>
        <v>3</v>
      </c>
      <c r="D190" s="116" t="str" cm="1">
        <f t="array" ref="D190">INDEX('Rad-2'!$B$2:$J$100,1+B190,C190)</f>
        <v>* differential.element[18].short = "Target"</v>
      </c>
    </row>
    <row r="191" spans="1:4" ht="59" x14ac:dyDescent="0.75">
      <c r="A191" s="115">
        <v>157</v>
      </c>
      <c r="B191" s="115">
        <f t="shared" si="6"/>
        <v>17</v>
      </c>
      <c r="C191" s="115">
        <f t="shared" si="7"/>
        <v>4</v>
      </c>
      <c r="D191" s="116" t="str" cm="1">
        <f t="array" ref="D191">INDEX('Rad-2'!$B$2:$J$100,1+B191,C191)</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row>
    <row r="192" spans="1:4" x14ac:dyDescent="0.75">
      <c r="A192" s="115">
        <v>158</v>
      </c>
      <c r="B192" s="115">
        <f t="shared" si="6"/>
        <v>17</v>
      </c>
      <c r="C192" s="115">
        <f t="shared" si="7"/>
        <v>5</v>
      </c>
      <c r="D192" s="116" t="str" cm="1">
        <f t="array" ref="D192">INDEX('Rad-2'!$B$2:$J$100,1+B192,C192)</f>
        <v>* differential.element[18].min = 0</v>
      </c>
    </row>
    <row r="193" spans="1:4" x14ac:dyDescent="0.75">
      <c r="A193" s="115">
        <v>159</v>
      </c>
      <c r="B193" s="115">
        <f t="shared" si="6"/>
        <v>17</v>
      </c>
      <c r="C193" s="115">
        <f t="shared" si="7"/>
        <v>6</v>
      </c>
      <c r="D193" s="116" t="str" cm="1">
        <f t="array" ref="D193">INDEX('Rad-2'!$B$2:$J$100,1+B193,C193)</f>
        <v>* differential.element[18].max = "5"</v>
      </c>
    </row>
    <row r="194" spans="1:4" x14ac:dyDescent="0.75">
      <c r="A194" s="115">
        <v>160</v>
      </c>
      <c r="B194" s="115">
        <f t="shared" si="6"/>
        <v>17</v>
      </c>
      <c r="C194" s="115">
        <f t="shared" si="7"/>
        <v>7</v>
      </c>
      <c r="D194" s="116" t="str" cm="1">
        <f t="array" ref="D194">INDEX('Rad-2'!$B$2:$J$100,1+B194,C194)</f>
        <v>* differential.element[18].type.code = #BackboneElement</v>
      </c>
    </row>
    <row r="195" spans="1:4" x14ac:dyDescent="0.75">
      <c r="A195" s="115">
        <v>161</v>
      </c>
      <c r="B195" s="115">
        <f t="shared" si="6"/>
        <v>17</v>
      </c>
      <c r="C195" s="115">
        <f t="shared" si="7"/>
        <v>8</v>
      </c>
      <c r="D195" s="116" t="str" cm="1">
        <f t="array" ref="D195">INDEX('Rad-2'!$B$2:$J$100,1+B195,C195)</f>
        <v/>
      </c>
    </row>
    <row r="196" spans="1:4" x14ac:dyDescent="0.75">
      <c r="A196" s="115">
        <v>162</v>
      </c>
      <c r="B196" s="115">
        <f t="shared" si="6"/>
        <v>17</v>
      </c>
      <c r="C196" s="115">
        <f t="shared" si="7"/>
        <v>9</v>
      </c>
      <c r="D196" s="116" t="str" cm="1">
        <f t="array" ref="D196">INDEX('Rad-2'!$B$2:$J$100,1+B196,C196)</f>
        <v/>
      </c>
    </row>
    <row r="197" spans="1:4" x14ac:dyDescent="0.75">
      <c r="A197" s="115">
        <v>163</v>
      </c>
      <c r="B197" s="115">
        <f t="shared" si="6"/>
        <v>18</v>
      </c>
      <c r="C197" s="115">
        <f t="shared" si="7"/>
        <v>1</v>
      </c>
      <c r="D197" s="116" t="str" cm="1">
        <f t="array" ref="D197">INDEX('Rad-2'!$B$2:$J$100,1+B197,C197)</f>
        <v>* differential.element[19].id = "Radiotherapy.target.site"</v>
      </c>
    </row>
    <row r="198" spans="1:4" x14ac:dyDescent="0.75">
      <c r="A198" s="115">
        <v>164</v>
      </c>
      <c r="B198" s="115">
        <f t="shared" si="6"/>
        <v>18</v>
      </c>
      <c r="C198" s="115">
        <f t="shared" si="7"/>
        <v>2</v>
      </c>
      <c r="D198" s="116" t="str" cm="1">
        <f t="array" ref="D198">INDEX('Rad-2'!$B$2:$J$100,1+B198,C198)</f>
        <v>* differential.element[19].path = "Radiotherapy.target.site"</v>
      </c>
    </row>
    <row r="199" spans="1:4" x14ac:dyDescent="0.75">
      <c r="A199" s="115">
        <v>165</v>
      </c>
      <c r="B199" s="115">
        <f t="shared" si="6"/>
        <v>18</v>
      </c>
      <c r="C199" s="115">
        <f t="shared" si="7"/>
        <v>3</v>
      </c>
      <c r="D199" s="116" t="str" cm="1">
        <f t="array" ref="D199">INDEX('Rad-2'!$B$2:$J$100,1+B199,C199)</f>
        <v>* differential.element[19].short = "Body Site Code"</v>
      </c>
    </row>
    <row r="200" spans="1:4" ht="118" x14ac:dyDescent="0.75">
      <c r="A200" s="115">
        <v>166</v>
      </c>
      <c r="B200" s="115">
        <f t="shared" si="6"/>
        <v>18</v>
      </c>
      <c r="C200" s="115">
        <f t="shared" si="7"/>
        <v>4</v>
      </c>
      <c r="D200" s="116" t="str" cm="1">
        <f t="array" ref="D200">INDEX('Rad-2'!$B$2:$J$100,1+B200,C200)</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row>
    <row r="201" spans="1:4" x14ac:dyDescent="0.75">
      <c r="A201" s="115">
        <v>167</v>
      </c>
      <c r="B201" s="115">
        <f t="shared" si="6"/>
        <v>18</v>
      </c>
      <c r="C201" s="115">
        <f t="shared" si="7"/>
        <v>5</v>
      </c>
      <c r="D201" s="116" t="str" cm="1">
        <f t="array" ref="D201">INDEX('Rad-2'!$B$2:$J$100,1+B201,C201)</f>
        <v>* differential.element[19].min = 1</v>
      </c>
    </row>
    <row r="202" spans="1:4" x14ac:dyDescent="0.75">
      <c r="A202" s="115">
        <v>168</v>
      </c>
      <c r="B202" s="115">
        <f t="shared" si="6"/>
        <v>18</v>
      </c>
      <c r="C202" s="115">
        <f t="shared" si="7"/>
        <v>6</v>
      </c>
      <c r="D202" s="116" t="str" cm="1">
        <f t="array" ref="D202">INDEX('Rad-2'!$B$2:$J$100,1+B202,C202)</f>
        <v>* differential.element[19].max = "1"</v>
      </c>
    </row>
    <row r="203" spans="1:4" x14ac:dyDescent="0.75">
      <c r="A203" s="115">
        <v>169</v>
      </c>
      <c r="B203" s="115">
        <f t="shared" si="6"/>
        <v>18</v>
      </c>
      <c r="C203" s="115">
        <f t="shared" si="7"/>
        <v>7</v>
      </c>
      <c r="D203" s="116" t="str" cm="1">
        <f t="array" ref="D203">INDEX('Rad-2'!$B$2:$J$100,1+B203,C203)</f>
        <v>* differential.element[19].type.code = #CodeableConcept</v>
      </c>
    </row>
    <row r="204" spans="1:4" x14ac:dyDescent="0.75">
      <c r="A204" s="115">
        <v>170</v>
      </c>
      <c r="B204" s="115">
        <f t="shared" si="6"/>
        <v>18</v>
      </c>
      <c r="C204" s="115">
        <f t="shared" si="7"/>
        <v>8</v>
      </c>
      <c r="D204" s="116" t="str" cm="1">
        <f t="array" ref="D204">INDEX('Rad-2'!$B$2:$J$100,1+B204,C204)</f>
        <v>* differential.element[19].binding.valueSet = "http://hl7.eu/fhir/ig/pcsp/ValueSet/vs-radiotherapy-pcsp"</v>
      </c>
    </row>
    <row r="205" spans="1:4" x14ac:dyDescent="0.75">
      <c r="A205" s="115">
        <v>171</v>
      </c>
      <c r="B205" s="115">
        <f t="shared" si="6"/>
        <v>18</v>
      </c>
      <c r="C205" s="115">
        <f t="shared" si="7"/>
        <v>9</v>
      </c>
      <c r="D205" s="116" t="str" cm="1">
        <f t="array" ref="D205">INDEX('Rad-2'!$B$2:$J$100,1+B205,C205)</f>
        <v>* differential.element[19].binding.strength = #required</v>
      </c>
    </row>
    <row r="206" spans="1:4" x14ac:dyDescent="0.75">
      <c r="A206" s="115">
        <v>172</v>
      </c>
      <c r="B206" s="115">
        <f t="shared" si="6"/>
        <v>19</v>
      </c>
      <c r="C206" s="115">
        <f t="shared" si="7"/>
        <v>1</v>
      </c>
      <c r="D206" s="116" t="str" cm="1">
        <f t="array" ref="D206">INDEX('Rad-2'!$B$2:$J$100,1+B206,C206)</f>
        <v>* differential.element[20].id = "Radiotherapy.target.laterality"</v>
      </c>
    </row>
    <row r="207" spans="1:4" x14ac:dyDescent="0.75">
      <c r="A207" s="115">
        <v>173</v>
      </c>
      <c r="B207" s="115">
        <f t="shared" si="6"/>
        <v>19</v>
      </c>
      <c r="C207" s="115">
        <f t="shared" si="7"/>
        <v>2</v>
      </c>
      <c r="D207" s="116" t="str" cm="1">
        <f t="array" ref="D207">INDEX('Rad-2'!$B$2:$J$100,1+B207,C207)</f>
        <v>* differential.element[20].path = "Radiotherapy.target.laterality"</v>
      </c>
    </row>
    <row r="208" spans="1:4" x14ac:dyDescent="0.75">
      <c r="A208" s="115">
        <v>174</v>
      </c>
      <c r="B208" s="115">
        <f t="shared" si="6"/>
        <v>19</v>
      </c>
      <c r="C208" s="115">
        <f t="shared" si="7"/>
        <v>3</v>
      </c>
      <c r="D208" s="116" t="str" cm="1">
        <f t="array" ref="D208">INDEX('Rad-2'!$B$2:$J$100,1+B208,C208)</f>
        <v>* differential.element[20].short = "Laterality"</v>
      </c>
    </row>
    <row r="209" spans="1:4" x14ac:dyDescent="0.75">
      <c r="A209" s="115">
        <v>175</v>
      </c>
      <c r="B209" s="115">
        <f t="shared" si="6"/>
        <v>19</v>
      </c>
      <c r="C209" s="115">
        <f t="shared" si="7"/>
        <v>4</v>
      </c>
      <c r="D209" s="116" t="str" cm="1">
        <f t="array" ref="D209">INDEX('Rad-2'!$B$2:$J$100,1+B209,C209)</f>
        <v>* differential.element[20].definition = "Report laterality of the radiation.
 R = right,
 L = left,
 B = bilateral"</v>
      </c>
    </row>
    <row r="210" spans="1:4" x14ac:dyDescent="0.75">
      <c r="A210" s="115">
        <v>176</v>
      </c>
      <c r="B210" s="115">
        <f t="shared" si="6"/>
        <v>19</v>
      </c>
      <c r="C210" s="115">
        <f t="shared" si="7"/>
        <v>5</v>
      </c>
      <c r="D210" s="116" t="str" cm="1">
        <f t="array" ref="D210">INDEX('Rad-2'!$B$2:$J$100,1+B210,C210)</f>
        <v>* differential.element[20].min = 0</v>
      </c>
    </row>
    <row r="211" spans="1:4" x14ac:dyDescent="0.75">
      <c r="A211" s="115">
        <v>177</v>
      </c>
      <c r="B211" s="115">
        <f t="shared" si="6"/>
        <v>19</v>
      </c>
      <c r="C211" s="115">
        <f t="shared" si="7"/>
        <v>6</v>
      </c>
      <c r="D211" s="116" t="str" cm="1">
        <f t="array" ref="D211">INDEX('Rad-2'!$B$2:$J$100,1+B211,C211)</f>
        <v>* differential.element[20].max = "1"</v>
      </c>
    </row>
    <row r="212" spans="1:4" x14ac:dyDescent="0.75">
      <c r="A212" s="115">
        <v>178</v>
      </c>
      <c r="B212" s="115">
        <f t="shared" si="6"/>
        <v>19</v>
      </c>
      <c r="C212" s="115">
        <f t="shared" si="7"/>
        <v>7</v>
      </c>
      <c r="D212" s="116" t="str" cm="1">
        <f t="array" ref="D212">INDEX('Rad-2'!$B$2:$J$100,1+B212,C212)</f>
        <v>* differential.element[20].type.code = #CodeableConcept</v>
      </c>
    </row>
    <row r="213" spans="1:4" x14ac:dyDescent="0.75">
      <c r="A213" s="115">
        <v>179</v>
      </c>
      <c r="B213" s="115">
        <f t="shared" si="6"/>
        <v>19</v>
      </c>
      <c r="C213" s="115">
        <f t="shared" si="7"/>
        <v>8</v>
      </c>
      <c r="D213" s="116" t="str" cm="1">
        <f t="array" ref="D213">INDEX('Rad-2'!$B$2:$J$100,1+B213,C213)</f>
        <v/>
      </c>
    </row>
    <row r="214" spans="1:4" x14ac:dyDescent="0.75">
      <c r="A214" s="115">
        <v>180</v>
      </c>
      <c r="B214" s="115">
        <f t="shared" si="6"/>
        <v>19</v>
      </c>
      <c r="C214" s="115">
        <f t="shared" si="7"/>
        <v>9</v>
      </c>
      <c r="D214" s="116" t="str" cm="1">
        <f t="array" ref="D214">INDEX('Rad-2'!$B$2:$J$100,1+B214,C214)</f>
        <v/>
      </c>
    </row>
    <row r="215" spans="1:4" x14ac:dyDescent="0.75">
      <c r="A215" s="115">
        <v>181</v>
      </c>
      <c r="B215" s="115">
        <f t="shared" si="6"/>
        <v>20</v>
      </c>
      <c r="C215" s="115">
        <f t="shared" si="7"/>
        <v>1</v>
      </c>
      <c r="D215" s="116" t="str" cm="1">
        <f t="array" ref="D215">INDEX('Rad-2'!$B$2:$J$100,1+B215,C215)</f>
        <v>* differential.element[21].id = "Radiotherapy.target.details"</v>
      </c>
    </row>
    <row r="216" spans="1:4" x14ac:dyDescent="0.75">
      <c r="A216" s="115">
        <v>182</v>
      </c>
      <c r="B216" s="115">
        <f t="shared" si="6"/>
        <v>20</v>
      </c>
      <c r="C216" s="115">
        <f t="shared" si="7"/>
        <v>2</v>
      </c>
      <c r="D216" s="116" t="str" cm="1">
        <f t="array" ref="D216">INDEX('Rad-2'!$B$2:$J$100,1+B216,C216)</f>
        <v>* differential.element[21].path = "Radiotherapy.target.details"</v>
      </c>
    </row>
    <row r="217" spans="1:4" x14ac:dyDescent="0.75">
      <c r="A217" s="115">
        <v>183</v>
      </c>
      <c r="B217" s="115">
        <f t="shared" si="6"/>
        <v>20</v>
      </c>
      <c r="C217" s="115">
        <f t="shared" si="7"/>
        <v>3</v>
      </c>
      <c r="D217" s="116" t="str" cm="1">
        <f t="array" ref="D217">INDEX('Rad-2'!$B$2:$J$100,1+B217,C217)</f>
        <v>* differential.element[21].short = "Details"</v>
      </c>
    </row>
    <row r="218" spans="1:4" x14ac:dyDescent="0.75">
      <c r="A218" s="115">
        <v>184</v>
      </c>
      <c r="B218" s="115">
        <f t="shared" si="6"/>
        <v>20</v>
      </c>
      <c r="C218" s="115">
        <f t="shared" si="7"/>
        <v>4</v>
      </c>
      <c r="D218" s="116" t="str" cm="1">
        <f t="array" ref="D218">INDEX('Rad-2'!$B$2:$J$100,1+B218,C218)</f>
        <v>* differential.element[21].definition = "If needed it is possible to add details"</v>
      </c>
    </row>
    <row r="219" spans="1:4" x14ac:dyDescent="0.75">
      <c r="A219" s="115">
        <v>185</v>
      </c>
      <c r="B219" s="115">
        <f t="shared" si="6"/>
        <v>20</v>
      </c>
      <c r="C219" s="115">
        <f t="shared" si="7"/>
        <v>5</v>
      </c>
      <c r="D219" s="116" t="str" cm="1">
        <f t="array" ref="D219">INDEX('Rad-2'!$B$2:$J$100,1+B219,C219)</f>
        <v>* differential.element[21].min = 0</v>
      </c>
    </row>
    <row r="220" spans="1:4" x14ac:dyDescent="0.75">
      <c r="A220" s="115">
        <v>186</v>
      </c>
      <c r="B220" s="115">
        <f t="shared" si="6"/>
        <v>20</v>
      </c>
      <c r="C220" s="115">
        <f t="shared" si="7"/>
        <v>6</v>
      </c>
      <c r="D220" s="116" t="str" cm="1">
        <f t="array" ref="D220">INDEX('Rad-2'!$B$2:$J$100,1+B220,C220)</f>
        <v>* differential.element[21].max = "1"</v>
      </c>
    </row>
    <row r="221" spans="1:4" x14ac:dyDescent="0.75">
      <c r="A221" s="115">
        <v>187</v>
      </c>
      <c r="B221" s="115">
        <f t="shared" si="6"/>
        <v>20</v>
      </c>
      <c r="C221" s="115">
        <f t="shared" si="7"/>
        <v>7</v>
      </c>
      <c r="D221" s="116" t="str" cm="1">
        <f t="array" ref="D221">INDEX('Rad-2'!$B$2:$J$100,1+B221,C221)</f>
        <v>* differential.element[21].type.code = #string</v>
      </c>
    </row>
    <row r="222" spans="1:4" x14ac:dyDescent="0.75">
      <c r="A222" s="115">
        <v>188</v>
      </c>
      <c r="B222" s="115">
        <f t="shared" si="6"/>
        <v>20</v>
      </c>
      <c r="C222" s="115">
        <f t="shared" si="7"/>
        <v>8</v>
      </c>
      <c r="D222" s="116" t="str" cm="1">
        <f t="array" ref="D222">INDEX('Rad-2'!$B$2:$J$100,1+B222,C222)</f>
        <v/>
      </c>
    </row>
    <row r="223" spans="1:4" x14ac:dyDescent="0.75">
      <c r="A223" s="115">
        <v>189</v>
      </c>
      <c r="B223" s="115">
        <f t="shared" si="6"/>
        <v>20</v>
      </c>
      <c r="C223" s="115">
        <f t="shared" si="7"/>
        <v>9</v>
      </c>
      <c r="D223" s="116" t="str" cm="1">
        <f t="array" ref="D223">INDEX('Rad-2'!$B$2:$J$100,1+B223,C223)</f>
        <v/>
      </c>
    </row>
    <row r="224" spans="1:4" x14ac:dyDescent="0.75">
      <c r="A224" s="115">
        <v>190</v>
      </c>
      <c r="B224" s="115">
        <f t="shared" si="6"/>
        <v>21</v>
      </c>
      <c r="C224" s="115">
        <f t="shared" si="7"/>
        <v>1</v>
      </c>
      <c r="D224" s="116" t="str" cm="1">
        <f t="array" ref="D224">INDEX('Rad-2'!$B$2:$J$100,1+B224,C224)</f>
        <v>* differential.element[22].id = "Radiotherapy.target.from"</v>
      </c>
    </row>
    <row r="225" spans="1:4" x14ac:dyDescent="0.75">
      <c r="A225" s="115">
        <v>191</v>
      </c>
      <c r="B225" s="115">
        <f t="shared" si="6"/>
        <v>21</v>
      </c>
      <c r="C225" s="115">
        <f t="shared" si="7"/>
        <v>2</v>
      </c>
      <c r="D225" s="116" t="str" cm="1">
        <f t="array" ref="D225">INDEX('Rad-2'!$B$2:$J$100,1+B225,C225)</f>
        <v>* differential.element[22].path = "Radiotherapy.target.from"</v>
      </c>
    </row>
    <row r="226" spans="1:4" x14ac:dyDescent="0.75">
      <c r="A226" s="115">
        <v>192</v>
      </c>
      <c r="B226" s="115">
        <f t="shared" si="6"/>
        <v>21</v>
      </c>
      <c r="C226" s="115">
        <f t="shared" si="7"/>
        <v>3</v>
      </c>
      <c r="D226" s="116" t="str" cm="1">
        <f t="array" ref="D226">INDEX('Rad-2'!$B$2:$J$100,1+B226,C226)</f>
        <v>* differential.element[22].short = "Start point"</v>
      </c>
    </row>
    <row r="227" spans="1:4" x14ac:dyDescent="0.75">
      <c r="A227" s="115">
        <v>193</v>
      </c>
      <c r="B227" s="115">
        <f t="shared" si="6"/>
        <v>21</v>
      </c>
      <c r="C227" s="115">
        <f t="shared" si="7"/>
        <v>4</v>
      </c>
      <c r="D227" s="116" t="str" cm="1">
        <f t="array" ref="D227">INDEX('Rad-2'!$B$2:$J$100,1+B227,C227)</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row>
    <row r="228" spans="1:4" x14ac:dyDescent="0.75">
      <c r="A228" s="115">
        <v>194</v>
      </c>
      <c r="B228" s="115">
        <f t="shared" si="6"/>
        <v>21</v>
      </c>
      <c r="C228" s="115">
        <f t="shared" si="7"/>
        <v>5</v>
      </c>
      <c r="D228" s="116" t="str" cm="1">
        <f t="array" ref="D228">INDEX('Rad-2'!$B$2:$J$100,1+B228,C228)</f>
        <v>* differential.element[22].min = 0</v>
      </c>
    </row>
    <row r="229" spans="1:4" x14ac:dyDescent="0.75">
      <c r="A229" s="115">
        <v>195</v>
      </c>
      <c r="B229" s="115">
        <f t="shared" si="6"/>
        <v>21</v>
      </c>
      <c r="C229" s="115">
        <f t="shared" si="7"/>
        <v>6</v>
      </c>
      <c r="D229" s="116" t="str" cm="1">
        <f t="array" ref="D229">INDEX('Rad-2'!$B$2:$J$100,1+B229,C229)</f>
        <v>* differential.element[22].max = "1"</v>
      </c>
    </row>
    <row r="230" spans="1:4" x14ac:dyDescent="0.75">
      <c r="A230" s="115">
        <v>196</v>
      </c>
      <c r="B230" s="115">
        <f t="shared" si="6"/>
        <v>21</v>
      </c>
      <c r="C230" s="115">
        <f t="shared" si="7"/>
        <v>7</v>
      </c>
      <c r="D230" s="116" t="str" cm="1">
        <f t="array" ref="D230">INDEX('Rad-2'!$B$2:$J$100,1+B230,C230)</f>
        <v>* differential.element[22].type.code = #string</v>
      </c>
    </row>
    <row r="231" spans="1:4" x14ac:dyDescent="0.75">
      <c r="A231" s="115">
        <v>197</v>
      </c>
      <c r="B231" s="115">
        <f t="shared" si="6"/>
        <v>21</v>
      </c>
      <c r="C231" s="115">
        <f t="shared" si="7"/>
        <v>8</v>
      </c>
      <c r="D231" s="116" t="str" cm="1">
        <f t="array" ref="D231">INDEX('Rad-2'!$B$2:$J$100,1+B231,C231)</f>
        <v/>
      </c>
    </row>
    <row r="232" spans="1:4" x14ac:dyDescent="0.75">
      <c r="A232" s="115">
        <v>198</v>
      </c>
      <c r="B232" s="115">
        <f t="shared" si="6"/>
        <v>21</v>
      </c>
      <c r="C232" s="115">
        <f t="shared" si="7"/>
        <v>9</v>
      </c>
      <c r="D232" s="116" t="str" cm="1">
        <f t="array" ref="D232">INDEX('Rad-2'!$B$2:$J$100,1+B232,C232)</f>
        <v/>
      </c>
    </row>
    <row r="233" spans="1:4" x14ac:dyDescent="0.75">
      <c r="A233" s="115">
        <v>199</v>
      </c>
      <c r="B233" s="115">
        <f t="shared" si="6"/>
        <v>22</v>
      </c>
      <c r="C233" s="115">
        <f t="shared" si="7"/>
        <v>1</v>
      </c>
      <c r="D233" s="116" t="str" cm="1">
        <f t="array" ref="D233">INDEX('Rad-2'!$B$2:$J$100,1+B233,C233)</f>
        <v>* differential.element[23].id = "Radiotherapy.target.to"</v>
      </c>
    </row>
    <row r="234" spans="1:4" x14ac:dyDescent="0.75">
      <c r="A234" s="115">
        <v>200</v>
      </c>
      <c r="B234" s="115">
        <f t="shared" si="6"/>
        <v>22</v>
      </c>
      <c r="C234" s="115">
        <f t="shared" si="7"/>
        <v>2</v>
      </c>
      <c r="D234" s="116" t="str" cm="1">
        <f t="array" ref="D234">INDEX('Rad-2'!$B$2:$J$100,1+B234,C234)</f>
        <v>* differential.element[23].path = "Radiotherapy.target.to"</v>
      </c>
    </row>
    <row r="235" spans="1:4" x14ac:dyDescent="0.75">
      <c r="A235" s="115">
        <v>201</v>
      </c>
      <c r="B235" s="115">
        <f t="shared" si="6"/>
        <v>22</v>
      </c>
      <c r="C235" s="115">
        <f t="shared" si="7"/>
        <v>3</v>
      </c>
      <c r="D235" s="116" t="str" cm="1">
        <f t="array" ref="D235">INDEX('Rad-2'!$B$2:$J$100,1+B235,C235)</f>
        <v>* differential.element[23].short = "End point"</v>
      </c>
    </row>
    <row r="236" spans="1:4" x14ac:dyDescent="0.75">
      <c r="A236" s="115">
        <v>202</v>
      </c>
      <c r="B236" s="115">
        <f t="shared" si="6"/>
        <v>22</v>
      </c>
      <c r="C236" s="115">
        <f t="shared" si="7"/>
        <v>4</v>
      </c>
      <c r="D236" s="116" t="str" cm="1">
        <f t="array" ref="D236">INDEX('Rad-2'!$B$2:$J$100,1+B236,C236)</f>
        <v>* differential.element[23].definition = "When the radiation involves more than one site, eventually covering different body areas (e.g. torax and abdomen), select the ending point using the vertebrae to identify the lower limit (e.g.: Thoraco-Abdominal (area): Paraspinal - Lumbar vertebra 3)"</v>
      </c>
    </row>
    <row r="237" spans="1:4" x14ac:dyDescent="0.75">
      <c r="A237" s="115">
        <v>203</v>
      </c>
      <c r="B237" s="115">
        <f t="shared" ref="B237:B300" si="8">IF(MOD(A237,$B$25)=0,A237/$B$25-1,INT(A237/$B$25))</f>
        <v>22</v>
      </c>
      <c r="C237" s="115">
        <f t="shared" ref="C237:C300" si="9">IF(MOD(A237,$B$25)=0,$B$25,MOD(A237,$B$25))</f>
        <v>5</v>
      </c>
      <c r="D237" s="116" t="str" cm="1">
        <f t="array" ref="D237">INDEX('Rad-2'!$B$2:$J$100,1+B237,C237)</f>
        <v>* differential.element[23].min = 0</v>
      </c>
    </row>
    <row r="238" spans="1:4" x14ac:dyDescent="0.75">
      <c r="A238" s="115">
        <v>204</v>
      </c>
      <c r="B238" s="115">
        <f t="shared" si="8"/>
        <v>22</v>
      </c>
      <c r="C238" s="115">
        <f t="shared" si="9"/>
        <v>6</v>
      </c>
      <c r="D238" s="116" t="str" cm="1">
        <f t="array" ref="D238">INDEX('Rad-2'!$B$2:$J$100,1+B238,C238)</f>
        <v>* differential.element[23].max = "1"</v>
      </c>
    </row>
    <row r="239" spans="1:4" x14ac:dyDescent="0.75">
      <c r="A239" s="115">
        <v>205</v>
      </c>
      <c r="B239" s="115">
        <f t="shared" si="8"/>
        <v>22</v>
      </c>
      <c r="C239" s="115">
        <f t="shared" si="9"/>
        <v>7</v>
      </c>
      <c r="D239" s="116" t="str" cm="1">
        <f t="array" ref="D239">INDEX('Rad-2'!$B$2:$J$100,1+B239,C239)</f>
        <v>* differential.element[23].type.code = #string</v>
      </c>
    </row>
    <row r="240" spans="1:4" x14ac:dyDescent="0.75">
      <c r="A240" s="115">
        <v>206</v>
      </c>
      <c r="B240" s="115">
        <f t="shared" si="8"/>
        <v>22</v>
      </c>
      <c r="C240" s="115">
        <f t="shared" si="9"/>
        <v>8</v>
      </c>
      <c r="D240" s="116" t="str" cm="1">
        <f t="array" ref="D240">INDEX('Rad-2'!$B$2:$J$100,1+B240,C240)</f>
        <v/>
      </c>
    </row>
    <row r="241" spans="1:4" x14ac:dyDescent="0.75">
      <c r="A241" s="115">
        <v>207</v>
      </c>
      <c r="B241" s="115">
        <f t="shared" si="8"/>
        <v>22</v>
      </c>
      <c r="C241" s="115">
        <f t="shared" si="9"/>
        <v>9</v>
      </c>
      <c r="D241" s="116" t="str" cm="1">
        <f t="array" ref="D241">INDEX('Rad-2'!$B$2:$J$100,1+B241,C241)</f>
        <v/>
      </c>
    </row>
    <row r="242" spans="1:4" x14ac:dyDescent="0.75">
      <c r="A242" s="115">
        <v>208</v>
      </c>
      <c r="B242" s="115">
        <f t="shared" si="8"/>
        <v>23</v>
      </c>
      <c r="C242" s="115">
        <f t="shared" si="9"/>
        <v>1</v>
      </c>
      <c r="D242" s="116" t="str" cm="1">
        <f t="array" ref="D242">INDEX('Rad-2'!$B$2:$J$100,1+B242,C242)</f>
        <v>* differential.element[24].id = "Radiotherapy.target.position"</v>
      </c>
    </row>
    <row r="243" spans="1:4" x14ac:dyDescent="0.75">
      <c r="A243" s="115">
        <v>209</v>
      </c>
      <c r="B243" s="115">
        <f t="shared" si="8"/>
        <v>23</v>
      </c>
      <c r="C243" s="115">
        <f t="shared" si="9"/>
        <v>2</v>
      </c>
      <c r="D243" s="116" t="str" cm="1">
        <f t="array" ref="D243">INDEX('Rad-2'!$B$2:$J$100,1+B243,C243)</f>
        <v>* differential.element[24].path = "Radiotherapy.target.position"</v>
      </c>
    </row>
    <row r="244" spans="1:4" x14ac:dyDescent="0.75">
      <c r="A244" s="115">
        <v>210</v>
      </c>
      <c r="B244" s="115">
        <f t="shared" si="8"/>
        <v>23</v>
      </c>
      <c r="C244" s="115">
        <f t="shared" si="9"/>
        <v>3</v>
      </c>
      <c r="D244" s="116" t="str" cm="1">
        <f t="array" ref="D244">INDEX('Rad-2'!$B$2:$J$100,1+B244,C244)</f>
        <v>* differential.element[24].short = "Position"</v>
      </c>
    </row>
    <row r="245" spans="1:4" x14ac:dyDescent="0.75">
      <c r="A245" s="115">
        <v>211</v>
      </c>
      <c r="B245" s="115">
        <f t="shared" si="8"/>
        <v>23</v>
      </c>
      <c r="C245" s="115">
        <f t="shared" si="9"/>
        <v>4</v>
      </c>
      <c r="D245" s="116" t="str" cm="1">
        <f t="array" ref="D245">INDEX('Rad-2'!$B$2:$J$100,1+B245,C245)</f>
        <v>* differential.element[24].definition = "Specify whether the radiation was anterior or posterior. 
1 =&gt; Anterior
2 =&gt; Posterior
-9922 = NK"</v>
      </c>
    </row>
    <row r="246" spans="1:4" x14ac:dyDescent="0.75">
      <c r="A246" s="115">
        <v>212</v>
      </c>
      <c r="B246" s="115">
        <f t="shared" si="8"/>
        <v>23</v>
      </c>
      <c r="C246" s="115">
        <f t="shared" si="9"/>
        <v>5</v>
      </c>
      <c r="D246" s="116" t="str" cm="1">
        <f t="array" ref="D246">INDEX('Rad-2'!$B$2:$J$100,1+B246,C246)</f>
        <v>* differential.element[24].min = 0</v>
      </c>
    </row>
    <row r="247" spans="1:4" x14ac:dyDescent="0.75">
      <c r="A247" s="115">
        <v>213</v>
      </c>
      <c r="B247" s="115">
        <f t="shared" si="8"/>
        <v>23</v>
      </c>
      <c r="C247" s="115">
        <f t="shared" si="9"/>
        <v>6</v>
      </c>
      <c r="D247" s="116" t="str" cm="1">
        <f t="array" ref="D247">INDEX('Rad-2'!$B$2:$J$100,1+B247,C247)</f>
        <v>* differential.element[24].max = "1"</v>
      </c>
    </row>
    <row r="248" spans="1:4" x14ac:dyDescent="0.75">
      <c r="A248" s="115">
        <v>214</v>
      </c>
      <c r="B248" s="115">
        <f t="shared" si="8"/>
        <v>23</v>
      </c>
      <c r="C248" s="115">
        <f t="shared" si="9"/>
        <v>7</v>
      </c>
      <c r="D248" s="116" t="str" cm="1">
        <f t="array" ref="D248">INDEX('Rad-2'!$B$2:$J$100,1+B248,C248)</f>
        <v>* differential.element[24].type.code = #CodeableConcept</v>
      </c>
    </row>
    <row r="249" spans="1:4" x14ac:dyDescent="0.75">
      <c r="A249" s="115">
        <v>215</v>
      </c>
      <c r="B249" s="115">
        <f t="shared" si="8"/>
        <v>23</v>
      </c>
      <c r="C249" s="115">
        <f t="shared" si="9"/>
        <v>8</v>
      </c>
      <c r="D249" s="116" t="str" cm="1">
        <f t="array" ref="D249">INDEX('Rad-2'!$B$2:$J$100,1+B249,C249)</f>
        <v/>
      </c>
    </row>
    <row r="250" spans="1:4" x14ac:dyDescent="0.75">
      <c r="A250" s="115">
        <v>216</v>
      </c>
      <c r="B250" s="115">
        <f t="shared" si="8"/>
        <v>23</v>
      </c>
      <c r="C250" s="115">
        <f t="shared" si="9"/>
        <v>9</v>
      </c>
      <c r="D250" s="116" t="str" cm="1">
        <f t="array" ref="D250">INDEX('Rad-2'!$B$2:$J$100,1+B250,C250)</f>
        <v/>
      </c>
    </row>
    <row r="251" spans="1:4" x14ac:dyDescent="0.75">
      <c r="A251" s="115">
        <v>217</v>
      </c>
      <c r="B251" s="115">
        <f t="shared" si="8"/>
        <v>24</v>
      </c>
      <c r="C251" s="115">
        <f t="shared" si="9"/>
        <v>1</v>
      </c>
      <c r="D251" s="116" t="str" cm="1">
        <f t="array" ref="D251">INDEX('Rad-2'!$B$2:$J$100,1+B251,C251)</f>
        <v>* differential.element[25].id = "Radiotherapy.target.cumulativeDose"</v>
      </c>
    </row>
    <row r="252" spans="1:4" x14ac:dyDescent="0.75">
      <c r="A252" s="115">
        <v>218</v>
      </c>
      <c r="B252" s="115">
        <f t="shared" si="8"/>
        <v>24</v>
      </c>
      <c r="C252" s="115">
        <f t="shared" si="9"/>
        <v>2</v>
      </c>
      <c r="D252" s="116" t="str" cm="1">
        <f t="array" ref="D252">INDEX('Rad-2'!$B$2:$J$100,1+B252,C252)</f>
        <v>* differential.element[25].path = "Radiotherapy.target.cumulativeDose"</v>
      </c>
    </row>
    <row r="253" spans="1:4" x14ac:dyDescent="0.75">
      <c r="A253" s="115">
        <v>219</v>
      </c>
      <c r="B253" s="115">
        <f t="shared" si="8"/>
        <v>24</v>
      </c>
      <c r="C253" s="115">
        <f t="shared" si="9"/>
        <v>3</v>
      </c>
      <c r="D253" s="116" t="str" cm="1">
        <f t="array" ref="D253">INDEX('Rad-2'!$B$2:$J$100,1+B253,C253)</f>
        <v>* differential.element[25].short = "Comulative dose"</v>
      </c>
    </row>
    <row r="254" spans="1:4" x14ac:dyDescent="0.75">
      <c r="A254" s="115">
        <v>220</v>
      </c>
      <c r="B254" s="115">
        <f t="shared" si="8"/>
        <v>24</v>
      </c>
      <c r="C254" s="115">
        <f t="shared" si="9"/>
        <v>4</v>
      </c>
      <c r="D254" s="116" t="str" cm="1">
        <f t="array" ref="D254">INDEX('Rad-2'!$B$2:$J$100,1+B254,C254)</f>
        <v>* differential.element[25].definition = "Specify the cumulative / total dose given to the primary radiation therapy site.
If the dose is not known, write NK."</v>
      </c>
    </row>
    <row r="255" spans="1:4" x14ac:dyDescent="0.75">
      <c r="A255" s="115">
        <v>221</v>
      </c>
      <c r="B255" s="115">
        <f t="shared" si="8"/>
        <v>24</v>
      </c>
      <c r="C255" s="115">
        <f t="shared" si="9"/>
        <v>5</v>
      </c>
      <c r="D255" s="116" t="str" cm="1">
        <f t="array" ref="D255">INDEX('Rad-2'!$B$2:$J$100,1+B255,C255)</f>
        <v>* differential.element[25].min = 0</v>
      </c>
    </row>
    <row r="256" spans="1:4" x14ac:dyDescent="0.75">
      <c r="A256" s="115">
        <v>222</v>
      </c>
      <c r="B256" s="115">
        <f t="shared" si="8"/>
        <v>24</v>
      </c>
      <c r="C256" s="115">
        <f t="shared" si="9"/>
        <v>6</v>
      </c>
      <c r="D256" s="116" t="str" cm="1">
        <f t="array" ref="D256">INDEX('Rad-2'!$B$2:$J$100,1+B256,C256)</f>
        <v>* differential.element[25].max = "1"</v>
      </c>
    </row>
    <row r="257" spans="1:4" x14ac:dyDescent="0.75">
      <c r="A257" s="115">
        <v>223</v>
      </c>
      <c r="B257" s="115">
        <f t="shared" si="8"/>
        <v>24</v>
      </c>
      <c r="C257" s="115">
        <f t="shared" si="9"/>
        <v>7</v>
      </c>
      <c r="D257" s="116" t="str" cm="1">
        <f t="array" ref="D257">INDEX('Rad-2'!$B$2:$J$100,1+B257,C257)</f>
        <v>* differential.element[25].type.code = #BackboneElement</v>
      </c>
    </row>
    <row r="258" spans="1:4" x14ac:dyDescent="0.75">
      <c r="A258" s="115">
        <v>224</v>
      </c>
      <c r="B258" s="115">
        <f t="shared" si="8"/>
        <v>24</v>
      </c>
      <c r="C258" s="115">
        <f t="shared" si="9"/>
        <v>8</v>
      </c>
      <c r="D258" s="116" t="str" cm="1">
        <f t="array" ref="D258">INDEX('Rad-2'!$B$2:$J$100,1+B258,C258)</f>
        <v/>
      </c>
    </row>
    <row r="259" spans="1:4" x14ac:dyDescent="0.75">
      <c r="A259" s="115">
        <v>225</v>
      </c>
      <c r="B259" s="115">
        <f t="shared" si="8"/>
        <v>24</v>
      </c>
      <c r="C259" s="115">
        <f t="shared" si="9"/>
        <v>9</v>
      </c>
      <c r="D259" s="116" t="str" cm="1">
        <f t="array" ref="D259">INDEX('Rad-2'!$B$2:$J$100,1+B259,C259)</f>
        <v/>
      </c>
    </row>
    <row r="260" spans="1:4" x14ac:dyDescent="0.75">
      <c r="A260" s="115">
        <v>226</v>
      </c>
      <c r="B260" s="115">
        <f t="shared" si="8"/>
        <v>25</v>
      </c>
      <c r="C260" s="115">
        <f t="shared" si="9"/>
        <v>1</v>
      </c>
      <c r="D260" s="116" t="str" cm="1">
        <f t="array" ref="D260">INDEX('Rad-2'!$B$2:$J$100,1+B260,C260)</f>
        <v>* differential.element[26].id = "Radiotherapy.target.cumulativeDose.completionStatus"</v>
      </c>
    </row>
    <row r="261" spans="1:4" x14ac:dyDescent="0.75">
      <c r="A261" s="115">
        <v>227</v>
      </c>
      <c r="B261" s="115">
        <f t="shared" si="8"/>
        <v>25</v>
      </c>
      <c r="C261" s="115">
        <f t="shared" si="9"/>
        <v>2</v>
      </c>
      <c r="D261" s="116" t="str" cm="1">
        <f t="array" ref="D261">INDEX('Rad-2'!$B$2:$J$100,1+B261,C261)</f>
        <v>* differential.element[26].path = "Radiotherapy.target.cumulativeDose.completionStatus"</v>
      </c>
    </row>
    <row r="262" spans="1:4" x14ac:dyDescent="0.75">
      <c r="A262" s="115">
        <v>228</v>
      </c>
      <c r="B262" s="115">
        <f t="shared" si="8"/>
        <v>25</v>
      </c>
      <c r="C262" s="115">
        <f t="shared" si="9"/>
        <v>3</v>
      </c>
      <c r="D262" s="116" t="str" cm="1">
        <f t="array" ref="D262">INDEX('Rad-2'!$B$2:$J$100,1+B262,C262)</f>
        <v>* differential.element[26].short = "The reported doses are incomplete (either under- or over-estimated)"</v>
      </c>
    </row>
    <row r="263" spans="1:4" x14ac:dyDescent="0.75">
      <c r="A263" s="115">
        <v>229</v>
      </c>
      <c r="B263" s="115">
        <f t="shared" si="8"/>
        <v>25</v>
      </c>
      <c r="C263" s="115">
        <f t="shared" si="9"/>
        <v>4</v>
      </c>
      <c r="D263" s="116" t="str" cm="1">
        <f t="array" ref="D263">INDEX('Rad-2'!$B$2:$J$100,1+B263,C263)</f>
        <v>* differential.element[26].definition = "Check in case of incomplete doses"</v>
      </c>
    </row>
    <row r="264" spans="1:4" x14ac:dyDescent="0.75">
      <c r="A264" s="115">
        <v>230</v>
      </c>
      <c r="B264" s="115">
        <f t="shared" si="8"/>
        <v>25</v>
      </c>
      <c r="C264" s="115">
        <f t="shared" si="9"/>
        <v>5</v>
      </c>
      <c r="D264" s="116" t="str" cm="1">
        <f t="array" ref="D264">INDEX('Rad-2'!$B$2:$J$100,1+B264,C264)</f>
        <v>* differential.element[26].min = 0</v>
      </c>
    </row>
    <row r="265" spans="1:4" x14ac:dyDescent="0.75">
      <c r="A265" s="115">
        <v>231</v>
      </c>
      <c r="B265" s="115">
        <f t="shared" si="8"/>
        <v>25</v>
      </c>
      <c r="C265" s="115">
        <f t="shared" si="9"/>
        <v>6</v>
      </c>
      <c r="D265" s="116" t="str" cm="1">
        <f t="array" ref="D265">INDEX('Rad-2'!$B$2:$J$100,1+B265,C265)</f>
        <v>* differential.element[26].max = "1"</v>
      </c>
    </row>
    <row r="266" spans="1:4" x14ac:dyDescent="0.75">
      <c r="A266" s="115">
        <v>232</v>
      </c>
      <c r="B266" s="115">
        <f t="shared" si="8"/>
        <v>25</v>
      </c>
      <c r="C266" s="115">
        <f t="shared" si="9"/>
        <v>7</v>
      </c>
      <c r="D266" s="116" t="str" cm="1">
        <f t="array" ref="D266">INDEX('Rad-2'!$B$2:$J$100,1+B266,C266)</f>
        <v>* differential.element[26].type.code = #CodeableConcept</v>
      </c>
    </row>
    <row r="267" spans="1:4" x14ac:dyDescent="0.75">
      <c r="A267" s="115">
        <v>233</v>
      </c>
      <c r="B267" s="115">
        <f t="shared" si="8"/>
        <v>25</v>
      </c>
      <c r="C267" s="115">
        <f t="shared" si="9"/>
        <v>8</v>
      </c>
      <c r="D267" s="116" t="str" cm="1">
        <f t="array" ref="D267">INDEX('Rad-2'!$B$2:$J$100,1+B267,C267)</f>
        <v/>
      </c>
    </row>
    <row r="268" spans="1:4" x14ac:dyDescent="0.75">
      <c r="A268" s="115">
        <v>234</v>
      </c>
      <c r="B268" s="115">
        <f t="shared" si="8"/>
        <v>25</v>
      </c>
      <c r="C268" s="115">
        <f t="shared" si="9"/>
        <v>9</v>
      </c>
      <c r="D268" s="116" t="str" cm="1">
        <f t="array" ref="D268">INDEX('Rad-2'!$B$2:$J$100,1+B268,C268)</f>
        <v/>
      </c>
    </row>
    <row r="269" spans="1:4" x14ac:dyDescent="0.75">
      <c r="A269" s="115">
        <v>235</v>
      </c>
      <c r="B269" s="115">
        <f t="shared" si="8"/>
        <v>26</v>
      </c>
      <c r="C269" s="115">
        <f t="shared" si="9"/>
        <v>1</v>
      </c>
      <c r="D269" s="116" t="str" cm="1">
        <f t="array" ref="D269">INDEX('Rad-2'!$B$2:$J$100,1+B269,C269)</f>
        <v>* differential.element[27].id = "Radiotherapy.target.cumulativeDose.statusReason"</v>
      </c>
    </row>
    <row r="270" spans="1:4" x14ac:dyDescent="0.75">
      <c r="A270" s="115">
        <v>236</v>
      </c>
      <c r="B270" s="115">
        <f t="shared" si="8"/>
        <v>26</v>
      </c>
      <c r="C270" s="115">
        <f t="shared" si="9"/>
        <v>2</v>
      </c>
      <c r="D270" s="116" t="str" cm="1">
        <f t="array" ref="D270">INDEX('Rad-2'!$B$2:$J$100,1+B270,C270)</f>
        <v>* differential.element[27].path = "Radiotherapy.target.cumulativeDose.statusReason"</v>
      </c>
    </row>
    <row r="271" spans="1:4" x14ac:dyDescent="0.75">
      <c r="A271" s="115">
        <v>237</v>
      </c>
      <c r="B271" s="115">
        <f t="shared" si="8"/>
        <v>26</v>
      </c>
      <c r="C271" s="115">
        <f t="shared" si="9"/>
        <v>3</v>
      </c>
      <c r="D271" s="116" t="str" cm="1">
        <f t="array" ref="D271">INDEX('Rad-2'!$B$2:$J$100,1+B271,C271)</f>
        <v>* differential.element[27].short = "Specify reasons why"</v>
      </c>
    </row>
    <row r="272" spans="1:4" x14ac:dyDescent="0.75">
      <c r="A272" s="115">
        <v>238</v>
      </c>
      <c r="B272" s="115">
        <f t="shared" si="8"/>
        <v>26</v>
      </c>
      <c r="C272" s="115">
        <f t="shared" si="9"/>
        <v>4</v>
      </c>
      <c r="D272" s="116" t="str" cm="1">
        <f t="array" ref="D272">INDEX('Rad-2'!$B$2:$J$100,1+B272,C272)</f>
        <v>* differential.element[27].definition = "Specify reasons of incomplete estimated doses"</v>
      </c>
    </row>
    <row r="273" spans="1:4" x14ac:dyDescent="0.75">
      <c r="A273" s="115">
        <v>239</v>
      </c>
      <c r="B273" s="115">
        <f t="shared" si="8"/>
        <v>26</v>
      </c>
      <c r="C273" s="115">
        <f t="shared" si="9"/>
        <v>5</v>
      </c>
      <c r="D273" s="116" t="str" cm="1">
        <f t="array" ref="D273">INDEX('Rad-2'!$B$2:$J$100,1+B273,C273)</f>
        <v>* differential.element[27].min = 0</v>
      </c>
    </row>
    <row r="274" spans="1:4" x14ac:dyDescent="0.75">
      <c r="A274" s="115">
        <v>240</v>
      </c>
      <c r="B274" s="115">
        <f t="shared" si="8"/>
        <v>26</v>
      </c>
      <c r="C274" s="115">
        <f t="shared" si="9"/>
        <v>6</v>
      </c>
      <c r="D274" s="116" t="str" cm="1">
        <f t="array" ref="D274">INDEX('Rad-2'!$B$2:$J$100,1+B274,C274)</f>
        <v>* differential.element[27].max = "1"</v>
      </c>
    </row>
    <row r="275" spans="1:4" x14ac:dyDescent="0.75">
      <c r="A275" s="115">
        <v>241</v>
      </c>
      <c r="B275" s="115">
        <f t="shared" si="8"/>
        <v>26</v>
      </c>
      <c r="C275" s="115">
        <f t="shared" si="9"/>
        <v>7</v>
      </c>
      <c r="D275" s="116" t="str" cm="1">
        <f t="array" ref="D275">INDEX('Rad-2'!$B$2:$J$100,1+B275,C275)</f>
        <v>* differential.element[27].type.code = #CodeableConcept</v>
      </c>
    </row>
    <row r="276" spans="1:4" x14ac:dyDescent="0.75">
      <c r="A276" s="115">
        <v>242</v>
      </c>
      <c r="B276" s="115">
        <f t="shared" si="8"/>
        <v>26</v>
      </c>
      <c r="C276" s="115">
        <f t="shared" si="9"/>
        <v>8</v>
      </c>
      <c r="D276" s="116" t="str" cm="1">
        <f t="array" ref="D276">INDEX('Rad-2'!$B$2:$J$100,1+B276,C276)</f>
        <v/>
      </c>
    </row>
    <row r="277" spans="1:4" x14ac:dyDescent="0.75">
      <c r="A277" s="115">
        <v>243</v>
      </c>
      <c r="B277" s="115">
        <f t="shared" si="8"/>
        <v>26</v>
      </c>
      <c r="C277" s="115">
        <f t="shared" si="9"/>
        <v>9</v>
      </c>
      <c r="D277" s="116" t="str" cm="1">
        <f t="array" ref="D277">INDEX('Rad-2'!$B$2:$J$100,1+B277,C277)</f>
        <v/>
      </c>
    </row>
    <row r="278" spans="1:4" x14ac:dyDescent="0.75">
      <c r="A278" s="115">
        <v>244</v>
      </c>
      <c r="B278" s="115">
        <f t="shared" si="8"/>
        <v>27</v>
      </c>
      <c r="C278" s="115">
        <f t="shared" si="9"/>
        <v>1</v>
      </c>
      <c r="D278" s="116" t="str" cm="1">
        <f t="array" ref="D278">INDEX('Rad-2'!$B$2:$J$100,1+B278,C278)</f>
        <v>* differential.element[28].id = "Radiotherapy.target.cumulativeDose.notKnown"</v>
      </c>
    </row>
    <row r="279" spans="1:4" x14ac:dyDescent="0.75">
      <c r="A279" s="115">
        <v>245</v>
      </c>
      <c r="B279" s="115">
        <f t="shared" si="8"/>
        <v>27</v>
      </c>
      <c r="C279" s="115">
        <f t="shared" si="9"/>
        <v>2</v>
      </c>
      <c r="D279" s="116" t="str" cm="1">
        <f t="array" ref="D279">INDEX('Rad-2'!$B$2:$J$100,1+B279,C279)</f>
        <v>* differential.element[28].path = "Radiotherapy.target.cumulativeDose.notKnown"</v>
      </c>
    </row>
    <row r="280" spans="1:4" x14ac:dyDescent="0.75">
      <c r="A280" s="115">
        <v>246</v>
      </c>
      <c r="B280" s="115">
        <f t="shared" si="8"/>
        <v>27</v>
      </c>
      <c r="C280" s="115">
        <f t="shared" si="9"/>
        <v>3</v>
      </c>
      <c r="D280" s="116" t="str" cm="1">
        <f t="array" ref="D280">INDEX('Rad-2'!$B$2:$J$100,1+B280,C280)</f>
        <v>* differential.element[28].short = "Not known dose"</v>
      </c>
    </row>
    <row r="281" spans="1:4" x14ac:dyDescent="0.75">
      <c r="A281" s="115">
        <v>247</v>
      </c>
      <c r="B281" s="115">
        <f t="shared" si="8"/>
        <v>27</v>
      </c>
      <c r="C281" s="115">
        <f t="shared" si="9"/>
        <v>4</v>
      </c>
      <c r="D281" s="116" t="str" cm="1">
        <f t="array" ref="D281">INDEX('Rad-2'!$B$2:$J$100,1+B281,C281)</f>
        <v>* differential.element[28].definition = "Not known dose"</v>
      </c>
    </row>
    <row r="282" spans="1:4" x14ac:dyDescent="0.75">
      <c r="A282" s="115">
        <v>248</v>
      </c>
      <c r="B282" s="115">
        <f t="shared" si="8"/>
        <v>27</v>
      </c>
      <c r="C282" s="115">
        <f t="shared" si="9"/>
        <v>5</v>
      </c>
      <c r="D282" s="116" t="str" cm="1">
        <f t="array" ref="D282">INDEX('Rad-2'!$B$2:$J$100,1+B282,C282)</f>
        <v>* differential.element[28].min = 0</v>
      </c>
    </row>
    <row r="283" spans="1:4" x14ac:dyDescent="0.75">
      <c r="A283" s="115">
        <v>249</v>
      </c>
      <c r="B283" s="115">
        <f t="shared" si="8"/>
        <v>27</v>
      </c>
      <c r="C283" s="115">
        <f t="shared" si="9"/>
        <v>6</v>
      </c>
      <c r="D283" s="116" t="str" cm="1">
        <f t="array" ref="D283">INDEX('Rad-2'!$B$2:$J$100,1+B283,C283)</f>
        <v>* differential.element[28].max = "1"</v>
      </c>
    </row>
    <row r="284" spans="1:4" x14ac:dyDescent="0.75">
      <c r="A284" s="115">
        <v>250</v>
      </c>
      <c r="B284" s="115">
        <f t="shared" si="8"/>
        <v>27</v>
      </c>
      <c r="C284" s="115">
        <f t="shared" si="9"/>
        <v>7</v>
      </c>
      <c r="D284" s="116" t="str" cm="1">
        <f t="array" ref="D284">INDEX('Rad-2'!$B$2:$J$100,1+B284,C284)</f>
        <v>* differential.element[28].type.code = #string</v>
      </c>
    </row>
    <row r="285" spans="1:4" x14ac:dyDescent="0.75">
      <c r="A285" s="115">
        <v>251</v>
      </c>
      <c r="B285" s="115">
        <f t="shared" si="8"/>
        <v>27</v>
      </c>
      <c r="C285" s="115">
        <f t="shared" si="9"/>
        <v>8</v>
      </c>
      <c r="D285" s="116" t="str" cm="1">
        <f t="array" ref="D285">INDEX('Rad-2'!$B$2:$J$100,1+B285,C285)</f>
        <v/>
      </c>
    </row>
    <row r="286" spans="1:4" x14ac:dyDescent="0.75">
      <c r="A286" s="115">
        <v>252</v>
      </c>
      <c r="B286" s="115">
        <f t="shared" si="8"/>
        <v>27</v>
      </c>
      <c r="C286" s="115">
        <f t="shared" si="9"/>
        <v>9</v>
      </c>
      <c r="D286" s="116" t="str" cm="1">
        <f t="array" ref="D286">INDEX('Rad-2'!$B$2:$J$100,1+B286,C286)</f>
        <v/>
      </c>
    </row>
    <row r="287" spans="1:4" x14ac:dyDescent="0.75">
      <c r="A287" s="115">
        <v>253</v>
      </c>
      <c r="B287" s="115">
        <f t="shared" si="8"/>
        <v>28</v>
      </c>
      <c r="C287" s="115">
        <f t="shared" si="9"/>
        <v>1</v>
      </c>
      <c r="D287" s="116" t="str" cm="1">
        <f t="array" ref="D287">INDEX('Rad-2'!$B$2:$J$100,1+B287,C287)</f>
        <v>* differential.element[29].id = "Radiotherapy.target.cumulativeDose.dose"</v>
      </c>
    </row>
    <row r="288" spans="1:4" x14ac:dyDescent="0.75">
      <c r="A288" s="115">
        <v>254</v>
      </c>
      <c r="B288" s="115">
        <f t="shared" si="8"/>
        <v>28</v>
      </c>
      <c r="C288" s="115">
        <f t="shared" si="9"/>
        <v>2</v>
      </c>
      <c r="D288" s="116" t="str" cm="1">
        <f t="array" ref="D288">INDEX('Rad-2'!$B$2:$J$100,1+B288,C288)</f>
        <v>* differential.element[29].path = "Radiotherapy.target.cumulativeDose.dose"</v>
      </c>
    </row>
    <row r="289" spans="1:4" x14ac:dyDescent="0.75">
      <c r="A289" s="115">
        <v>255</v>
      </c>
      <c r="B289" s="115">
        <f t="shared" si="8"/>
        <v>28</v>
      </c>
      <c r="C289" s="115">
        <f t="shared" si="9"/>
        <v>3</v>
      </c>
      <c r="D289" s="116" t="str" cm="1">
        <f t="array" ref="D289">INDEX('Rad-2'!$B$2:$J$100,1+B289,C289)</f>
        <v>* differential.element[29].short = "Dose"</v>
      </c>
    </row>
    <row r="290" spans="1:4" x14ac:dyDescent="0.75">
      <c r="A290" s="115">
        <v>256</v>
      </c>
      <c r="B290" s="115">
        <f t="shared" si="8"/>
        <v>28</v>
      </c>
      <c r="C290" s="115">
        <f t="shared" si="9"/>
        <v>4</v>
      </c>
      <c r="D290" s="116" t="str" cm="1">
        <f t="array" ref="D290">INDEX('Rad-2'!$B$2:$J$100,1+B290,C290)</f>
        <v>* differential.element[29].definition = "Specify the cumulative / total dose given to the primary radiation therapy site."</v>
      </c>
    </row>
    <row r="291" spans="1:4" x14ac:dyDescent="0.75">
      <c r="A291" s="115">
        <v>257</v>
      </c>
      <c r="B291" s="115">
        <f t="shared" si="8"/>
        <v>28</v>
      </c>
      <c r="C291" s="115">
        <f t="shared" si="9"/>
        <v>5</v>
      </c>
      <c r="D291" s="116" t="str" cm="1">
        <f t="array" ref="D291">INDEX('Rad-2'!$B$2:$J$100,1+B291,C291)</f>
        <v>* differential.element[29].min = 0</v>
      </c>
    </row>
    <row r="292" spans="1:4" x14ac:dyDescent="0.75">
      <c r="A292" s="115">
        <v>258</v>
      </c>
      <c r="B292" s="115">
        <f t="shared" si="8"/>
        <v>28</v>
      </c>
      <c r="C292" s="115">
        <f t="shared" si="9"/>
        <v>6</v>
      </c>
      <c r="D292" s="116" t="str" cm="1">
        <f t="array" ref="D292">INDEX('Rad-2'!$B$2:$J$100,1+B292,C292)</f>
        <v>* differential.element[29].max = "1"</v>
      </c>
    </row>
    <row r="293" spans="1:4" x14ac:dyDescent="0.75">
      <c r="A293" s="115">
        <v>259</v>
      </c>
      <c r="B293" s="115">
        <f t="shared" si="8"/>
        <v>28</v>
      </c>
      <c r="C293" s="115">
        <f t="shared" si="9"/>
        <v>7</v>
      </c>
      <c r="D293" s="116" t="str" cm="1">
        <f t="array" ref="D293">INDEX('Rad-2'!$B$2:$J$100,1+B293,C293)</f>
        <v>* differential.element[29].type.code = #decimal</v>
      </c>
    </row>
    <row r="294" spans="1:4" x14ac:dyDescent="0.75">
      <c r="A294" s="115">
        <v>260</v>
      </c>
      <c r="B294" s="115">
        <f t="shared" si="8"/>
        <v>28</v>
      </c>
      <c r="C294" s="115">
        <f t="shared" si="9"/>
        <v>8</v>
      </c>
      <c r="D294" s="116" t="str" cm="1">
        <f t="array" ref="D294">INDEX('Rad-2'!$B$2:$J$100,1+B294,C294)</f>
        <v/>
      </c>
    </row>
    <row r="295" spans="1:4" x14ac:dyDescent="0.75">
      <c r="A295" s="115">
        <v>261</v>
      </c>
      <c r="B295" s="115">
        <f t="shared" si="8"/>
        <v>28</v>
      </c>
      <c r="C295" s="115">
        <f t="shared" si="9"/>
        <v>9</v>
      </c>
      <c r="D295" s="116" t="str" cm="1">
        <f t="array" ref="D295">INDEX('Rad-2'!$B$2:$J$100,1+B295,C295)</f>
        <v/>
      </c>
    </row>
    <row r="296" spans="1:4" x14ac:dyDescent="0.75">
      <c r="A296" s="115">
        <v>262</v>
      </c>
      <c r="B296" s="115">
        <f t="shared" si="8"/>
        <v>29</v>
      </c>
      <c r="C296" s="115">
        <f t="shared" si="9"/>
        <v>1</v>
      </c>
      <c r="D296" s="116" t="str" cm="1">
        <f t="array" ref="D296">INDEX('Rad-2'!$B$2:$J$100,1+B296,C296)</f>
        <v>* differential.element[30].id = "Radiotherapy.target.cumulativeDose.unit"</v>
      </c>
    </row>
    <row r="297" spans="1:4" x14ac:dyDescent="0.75">
      <c r="A297" s="115">
        <v>263</v>
      </c>
      <c r="B297" s="115">
        <f t="shared" si="8"/>
        <v>29</v>
      </c>
      <c r="C297" s="115">
        <f t="shared" si="9"/>
        <v>2</v>
      </c>
      <c r="D297" s="116" t="str" cm="1">
        <f t="array" ref="D297">INDEX('Rad-2'!$B$2:$J$100,1+B297,C297)</f>
        <v>* differential.element[30].path = "Radiotherapy.target.cumulativeDose.unit"</v>
      </c>
    </row>
    <row r="298" spans="1:4" x14ac:dyDescent="0.75">
      <c r="A298" s="115">
        <v>264</v>
      </c>
      <c r="B298" s="115">
        <f t="shared" si="8"/>
        <v>29</v>
      </c>
      <c r="C298" s="115">
        <f t="shared" si="9"/>
        <v>3</v>
      </c>
      <c r="D298" s="116" t="str" cm="1">
        <f t="array" ref="D298">INDEX('Rad-2'!$B$2:$J$100,1+B298,C298)</f>
        <v>* differential.element[30].short = "Measure unit"</v>
      </c>
    </row>
    <row r="299" spans="1:4" ht="44.25" x14ac:dyDescent="0.75">
      <c r="A299" s="115">
        <v>265</v>
      </c>
      <c r="B299" s="115">
        <f t="shared" si="8"/>
        <v>29</v>
      </c>
      <c r="C299" s="115">
        <f t="shared" si="9"/>
        <v>4</v>
      </c>
      <c r="D299" s="116" t="str" cm="1">
        <f t="array" ref="D299">INDEX('Rad-2'!$B$2:$J$100,1+B299,C299)</f>
        <v>* differential.element[30].definition = "External Beam Radiation Therapy (EBRT) and Brachytherapy doses are in Gy. If doses are reported in cGY, roughly two zeroes need to be deleted (e.g. 100 cGy = 1 Gy).
specify if dose is recorded in bequerels (MBq or GBq) or curies (Ci) or Unkwnon"</v>
      </c>
    </row>
    <row r="300" spans="1:4" x14ac:dyDescent="0.75">
      <c r="A300" s="115">
        <v>266</v>
      </c>
      <c r="B300" s="115">
        <f t="shared" si="8"/>
        <v>29</v>
      </c>
      <c r="C300" s="115">
        <f t="shared" si="9"/>
        <v>5</v>
      </c>
      <c r="D300" s="116" t="str" cm="1">
        <f t="array" ref="D300">INDEX('Rad-2'!$B$2:$J$100,1+B300,C300)</f>
        <v>* differential.element[30].min = 0</v>
      </c>
    </row>
    <row r="301" spans="1:4" x14ac:dyDescent="0.75">
      <c r="A301" s="115">
        <v>267</v>
      </c>
      <c r="B301" s="115">
        <f t="shared" ref="B301:B364" si="10">IF(MOD(A301,$B$25)=0,A301/$B$25-1,INT(A301/$B$25))</f>
        <v>29</v>
      </c>
      <c r="C301" s="115">
        <f t="shared" ref="C301:C364" si="11">IF(MOD(A301,$B$25)=0,$B$25,MOD(A301,$B$25))</f>
        <v>6</v>
      </c>
      <c r="D301" s="116" t="str" cm="1">
        <f t="array" ref="D301">INDEX('Rad-2'!$B$2:$J$100,1+B301,C301)</f>
        <v>* differential.element[30].max = "1"</v>
      </c>
    </row>
    <row r="302" spans="1:4" x14ac:dyDescent="0.75">
      <c r="A302" s="115">
        <v>268</v>
      </c>
      <c r="B302" s="115">
        <f t="shared" si="10"/>
        <v>29</v>
      </c>
      <c r="C302" s="115">
        <f t="shared" si="11"/>
        <v>7</v>
      </c>
      <c r="D302" s="116" t="str" cm="1">
        <f t="array" ref="D302">INDEX('Rad-2'!$B$2:$J$100,1+B302,C302)</f>
        <v>* differential.element[30].type.code = #CodeableConcept</v>
      </c>
    </row>
    <row r="303" spans="1:4" x14ac:dyDescent="0.75">
      <c r="A303" s="115">
        <v>269</v>
      </c>
      <c r="B303" s="115">
        <f t="shared" si="10"/>
        <v>29</v>
      </c>
      <c r="C303" s="115">
        <f t="shared" si="11"/>
        <v>8</v>
      </c>
      <c r="D303" s="116" t="str" cm="1">
        <f t="array" ref="D303">INDEX('Rad-2'!$B$2:$J$100,1+B303,C303)</f>
        <v/>
      </c>
    </row>
    <row r="304" spans="1:4" x14ac:dyDescent="0.75">
      <c r="A304" s="115">
        <v>270</v>
      </c>
      <c r="B304" s="115">
        <f t="shared" si="10"/>
        <v>29</v>
      </c>
      <c r="C304" s="115">
        <f t="shared" si="11"/>
        <v>9</v>
      </c>
      <c r="D304" s="116" t="str" cm="1">
        <f t="array" ref="D304">INDEX('Rad-2'!$B$2:$J$100,1+B304,C304)</f>
        <v/>
      </c>
    </row>
    <row r="305" spans="1:4" x14ac:dyDescent="0.75">
      <c r="A305" s="115">
        <v>271</v>
      </c>
      <c r="B305" s="115">
        <f t="shared" si="10"/>
        <v>30</v>
      </c>
      <c r="C305" s="115">
        <f t="shared" si="11"/>
        <v>1</v>
      </c>
      <c r="D305" s="116" t="str" cm="1">
        <f t="array" ref="D305">INDEX('Rad-2'!$B$2:$J$100,1+B305,C305)</f>
        <v>* differential.element[31].id = "Radiotherapy.target.cumulativeDose.fractions"</v>
      </c>
    </row>
    <row r="306" spans="1:4" x14ac:dyDescent="0.75">
      <c r="A306" s="115">
        <v>272</v>
      </c>
      <c r="B306" s="115">
        <f t="shared" si="10"/>
        <v>30</v>
      </c>
      <c r="C306" s="115">
        <f t="shared" si="11"/>
        <v>2</v>
      </c>
      <c r="D306" s="116" t="str" cm="1">
        <f t="array" ref="D306">INDEX('Rad-2'!$B$2:$J$100,1+B306,C306)</f>
        <v>* differential.element[31].path = "Radiotherapy.target.cumulativeDose.fractions"</v>
      </c>
    </row>
    <row r="307" spans="1:4" x14ac:dyDescent="0.75">
      <c r="A307" s="115">
        <v>273</v>
      </c>
      <c r="B307" s="115">
        <f t="shared" si="10"/>
        <v>30</v>
      </c>
      <c r="C307" s="115">
        <f t="shared" si="11"/>
        <v>3</v>
      </c>
      <c r="D307" s="116" t="str" cm="1">
        <f t="array" ref="D307">INDEX('Rad-2'!$B$2:$J$100,1+B307,C307)</f>
        <v>* differential.element[31].short = "Number of fractions (if  external beam)"</v>
      </c>
    </row>
    <row r="308" spans="1:4" x14ac:dyDescent="0.75">
      <c r="A308" s="115">
        <v>274</v>
      </c>
      <c r="B308" s="115">
        <f t="shared" si="10"/>
        <v>30</v>
      </c>
      <c r="C308" s="115">
        <f t="shared" si="11"/>
        <v>4</v>
      </c>
      <c r="D308" s="116" t="str" cm="1">
        <f t="array" ref="D308">INDEX('Rad-2'!$B$2:$J$100,1+B308,C308)</f>
        <v>* differential.element[31].definition = "A FRACTION of radiation treatment is a single attendance for treatment; if 'not known' insert NK"</v>
      </c>
    </row>
    <row r="309" spans="1:4" x14ac:dyDescent="0.75">
      <c r="A309" s="115">
        <v>275</v>
      </c>
      <c r="B309" s="115">
        <f t="shared" si="10"/>
        <v>30</v>
      </c>
      <c r="C309" s="115">
        <f t="shared" si="11"/>
        <v>5</v>
      </c>
      <c r="D309" s="116" t="str" cm="1">
        <f t="array" ref="D309">INDEX('Rad-2'!$B$2:$J$100,1+B309,C309)</f>
        <v>* differential.element[31].min = 0</v>
      </c>
    </row>
    <row r="310" spans="1:4" x14ac:dyDescent="0.75">
      <c r="A310" s="115">
        <v>276</v>
      </c>
      <c r="B310" s="115">
        <f t="shared" si="10"/>
        <v>30</v>
      </c>
      <c r="C310" s="115">
        <f t="shared" si="11"/>
        <v>6</v>
      </c>
      <c r="D310" s="116" t="str" cm="1">
        <f t="array" ref="D310">INDEX('Rad-2'!$B$2:$J$100,1+B310,C310)</f>
        <v>* differential.element[31].max = "1"</v>
      </c>
    </row>
    <row r="311" spans="1:4" x14ac:dyDescent="0.75">
      <c r="A311" s="115">
        <v>277</v>
      </c>
      <c r="B311" s="115">
        <f t="shared" si="10"/>
        <v>30</v>
      </c>
      <c r="C311" s="115">
        <f t="shared" si="11"/>
        <v>7</v>
      </c>
      <c r="D311" s="116" t="str" cm="1">
        <f t="array" ref="D311">INDEX('Rad-2'!$B$2:$J$100,1+B311,C311)</f>
        <v>* differential.element[31].type.code = #integer</v>
      </c>
    </row>
    <row r="312" spans="1:4" x14ac:dyDescent="0.75">
      <c r="A312" s="115">
        <v>278</v>
      </c>
      <c r="B312" s="115">
        <f t="shared" si="10"/>
        <v>30</v>
      </c>
      <c r="C312" s="115">
        <f t="shared" si="11"/>
        <v>8</v>
      </c>
      <c r="D312" s="116" t="str" cm="1">
        <f t="array" ref="D312">INDEX('Rad-2'!$B$2:$J$100,1+B312,C312)</f>
        <v/>
      </c>
    </row>
    <row r="313" spans="1:4" x14ac:dyDescent="0.75">
      <c r="A313" s="115">
        <v>279</v>
      </c>
      <c r="B313" s="115">
        <f t="shared" si="10"/>
        <v>30</v>
      </c>
      <c r="C313" s="115">
        <f t="shared" si="11"/>
        <v>9</v>
      </c>
      <c r="D313" s="116" t="str" cm="1">
        <f t="array" ref="D313">INDEX('Rad-2'!$B$2:$J$100,1+B313,C313)</f>
        <v/>
      </c>
    </row>
    <row r="314" spans="1:4" x14ac:dyDescent="0.75">
      <c r="A314" s="115">
        <v>280</v>
      </c>
      <c r="B314" s="115">
        <f t="shared" si="10"/>
        <v>31</v>
      </c>
      <c r="C314" s="115">
        <f t="shared" si="11"/>
        <v>1</v>
      </c>
      <c r="D314" s="116" t="str" cm="1">
        <f t="array" ref="D314">INDEX('Rad-2'!$B$2:$J$100,1+B314,C314)</f>
        <v>* differential.element[32].id = "Radiotherapy.target.boost"</v>
      </c>
    </row>
    <row r="315" spans="1:4" x14ac:dyDescent="0.75">
      <c r="A315" s="115">
        <v>281</v>
      </c>
      <c r="B315" s="115">
        <f t="shared" si="10"/>
        <v>31</v>
      </c>
      <c r="C315" s="115">
        <f t="shared" si="11"/>
        <v>2</v>
      </c>
      <c r="D315" s="116" t="str" cm="1">
        <f t="array" ref="D315">INDEX('Rad-2'!$B$2:$J$100,1+B315,C315)</f>
        <v>* differential.element[32].path = "Radiotherapy.target.boost"</v>
      </c>
    </row>
    <row r="316" spans="1:4" x14ac:dyDescent="0.75">
      <c r="A316" s="115">
        <v>282</v>
      </c>
      <c r="B316" s="115">
        <f t="shared" si="10"/>
        <v>31</v>
      </c>
      <c r="C316" s="115">
        <f t="shared" si="11"/>
        <v>3</v>
      </c>
      <c r="D316" s="116" t="str" cm="1">
        <f t="array" ref="D316">INDEX('Rad-2'!$B$2:$J$100,1+B316,C316)</f>
        <v>* differential.element[32].short = "Boost"</v>
      </c>
    </row>
    <row r="317" spans="1:4" ht="29.5" x14ac:dyDescent="0.75">
      <c r="A317" s="115">
        <v>283</v>
      </c>
      <c r="B317" s="115">
        <f t="shared" si="10"/>
        <v>31</v>
      </c>
      <c r="C317" s="115">
        <f t="shared" si="11"/>
        <v>4</v>
      </c>
      <c r="D317" s="116" t="str" cm="1">
        <f t="array" ref="D317">INDEX('Rad-2'!$B$2:$J$100,1+B317,C317)</f>
        <v>* differential.element[32].definition = "A boost is an extra dose of radiotherapy directed to a smaller area inside the primary radiation field. (only if type is External Beam)"</v>
      </c>
    </row>
    <row r="318" spans="1:4" x14ac:dyDescent="0.75">
      <c r="A318" s="115">
        <v>284</v>
      </c>
      <c r="B318" s="115">
        <f t="shared" si="10"/>
        <v>31</v>
      </c>
      <c r="C318" s="115">
        <f t="shared" si="11"/>
        <v>5</v>
      </c>
      <c r="D318" s="116" t="str" cm="1">
        <f t="array" ref="D318">INDEX('Rad-2'!$B$2:$J$100,1+B318,C318)</f>
        <v>* differential.element[32].min = 0</v>
      </c>
    </row>
    <row r="319" spans="1:4" x14ac:dyDescent="0.75">
      <c r="A319" s="115">
        <v>285</v>
      </c>
      <c r="B319" s="115">
        <f t="shared" si="10"/>
        <v>31</v>
      </c>
      <c r="C319" s="115">
        <f t="shared" si="11"/>
        <v>6</v>
      </c>
      <c r="D319" s="116" t="str" cm="1">
        <f t="array" ref="D319">INDEX('Rad-2'!$B$2:$J$100,1+B319,C319)</f>
        <v>* differential.element[32].max = "5"</v>
      </c>
    </row>
    <row r="320" spans="1:4" x14ac:dyDescent="0.75">
      <c r="A320" s="115">
        <v>286</v>
      </c>
      <c r="B320" s="115">
        <f t="shared" si="10"/>
        <v>31</v>
      </c>
      <c r="C320" s="115">
        <f t="shared" si="11"/>
        <v>7</v>
      </c>
      <c r="D320" s="116" t="str" cm="1">
        <f t="array" ref="D320">INDEX('Rad-2'!$B$2:$J$100,1+B320,C320)</f>
        <v>* differential.element[32].type.code = #BackboneElement</v>
      </c>
    </row>
    <row r="321" spans="1:4" x14ac:dyDescent="0.75">
      <c r="A321" s="115">
        <v>287</v>
      </c>
      <c r="B321" s="115">
        <f t="shared" si="10"/>
        <v>31</v>
      </c>
      <c r="C321" s="115">
        <f t="shared" si="11"/>
        <v>8</v>
      </c>
      <c r="D321" s="116" t="str" cm="1">
        <f t="array" ref="D321">INDEX('Rad-2'!$B$2:$J$100,1+B321,C321)</f>
        <v/>
      </c>
    </row>
    <row r="322" spans="1:4" x14ac:dyDescent="0.75">
      <c r="A322" s="115">
        <v>288</v>
      </c>
      <c r="B322" s="115">
        <f t="shared" si="10"/>
        <v>31</v>
      </c>
      <c r="C322" s="115">
        <f t="shared" si="11"/>
        <v>9</v>
      </c>
      <c r="D322" s="116" t="str" cm="1">
        <f t="array" ref="D322">INDEX('Rad-2'!$B$2:$J$100,1+B322,C322)</f>
        <v/>
      </c>
    </row>
    <row r="323" spans="1:4" x14ac:dyDescent="0.75">
      <c r="A323" s="115">
        <v>289</v>
      </c>
      <c r="B323" s="115">
        <f t="shared" si="10"/>
        <v>32</v>
      </c>
      <c r="C323" s="115">
        <f t="shared" si="11"/>
        <v>1</v>
      </c>
      <c r="D323" s="116" t="str" cm="1">
        <f t="array" ref="D323">INDEX('Rad-2'!$B$2:$J$100,1+B323,C323)</f>
        <v>* differential.element[33].id = "Radiotherapy.target.boost.type"</v>
      </c>
    </row>
    <row r="324" spans="1:4" x14ac:dyDescent="0.75">
      <c r="A324" s="115">
        <v>290</v>
      </c>
      <c r="B324" s="115">
        <f t="shared" si="10"/>
        <v>32</v>
      </c>
      <c r="C324" s="115">
        <f t="shared" si="11"/>
        <v>2</v>
      </c>
      <c r="D324" s="116" t="str" cm="1">
        <f t="array" ref="D324">INDEX('Rad-2'!$B$2:$J$100,1+B324,C324)</f>
        <v>* differential.element[33].path = "Radiotherapy.target.boost.type"</v>
      </c>
    </row>
    <row r="325" spans="1:4" x14ac:dyDescent="0.75">
      <c r="A325" s="115">
        <v>291</v>
      </c>
      <c r="B325" s="115">
        <f t="shared" si="10"/>
        <v>32</v>
      </c>
      <c r="C325" s="115">
        <f t="shared" si="11"/>
        <v>3</v>
      </c>
      <c r="D325" s="116" t="str" cm="1">
        <f t="array" ref="D325">INDEX('Rad-2'!$B$2:$J$100,1+B325,C325)</f>
        <v>* differential.element[33].short = "Type of Boost"</v>
      </c>
    </row>
    <row r="326" spans="1:4" ht="59" x14ac:dyDescent="0.75">
      <c r="A326" s="115">
        <v>292</v>
      </c>
      <c r="B326" s="115">
        <f t="shared" si="10"/>
        <v>32</v>
      </c>
      <c r="C326" s="115">
        <f t="shared" si="11"/>
        <v>4</v>
      </c>
      <c r="D326" s="116" t="str" cm="1">
        <f t="array" ref="D326">INDEX('Rad-2'!$B$2:$J$100,1+B326,C326)</f>
        <v>* differential.element[33].definition = "Specify radiation type of the boost.
1 =&gt; External Beam
2 =&gt; Brachytherapy
-9922 =&gt; NK  "</v>
      </c>
    </row>
    <row r="327" spans="1:4" x14ac:dyDescent="0.75">
      <c r="A327" s="115">
        <v>293</v>
      </c>
      <c r="B327" s="115">
        <f t="shared" si="10"/>
        <v>32</v>
      </c>
      <c r="C327" s="115">
        <f t="shared" si="11"/>
        <v>5</v>
      </c>
      <c r="D327" s="116" t="str" cm="1">
        <f t="array" ref="D327">INDEX('Rad-2'!$B$2:$J$100,1+B327,C327)</f>
        <v>* differential.element[33].min = 1</v>
      </c>
    </row>
    <row r="328" spans="1:4" x14ac:dyDescent="0.75">
      <c r="A328" s="115">
        <v>294</v>
      </c>
      <c r="B328" s="115">
        <f t="shared" si="10"/>
        <v>32</v>
      </c>
      <c r="C328" s="115">
        <f t="shared" si="11"/>
        <v>6</v>
      </c>
      <c r="D328" s="116" t="str" cm="1">
        <f t="array" ref="D328">INDEX('Rad-2'!$B$2:$J$100,1+B328,C328)</f>
        <v>* differential.element[33].max = "1"</v>
      </c>
    </row>
    <row r="329" spans="1:4" x14ac:dyDescent="0.75">
      <c r="A329" s="115">
        <v>295</v>
      </c>
      <c r="B329" s="115">
        <f t="shared" si="10"/>
        <v>32</v>
      </c>
      <c r="C329" s="115">
        <f t="shared" si="11"/>
        <v>7</v>
      </c>
      <c r="D329" s="116" t="str" cm="1">
        <f t="array" ref="D329">INDEX('Rad-2'!$B$2:$J$100,1+B329,C329)</f>
        <v>* differential.element[33].type.code = #CodeableConcept</v>
      </c>
    </row>
    <row r="330" spans="1:4" x14ac:dyDescent="0.75">
      <c r="A330" s="115">
        <v>296</v>
      </c>
      <c r="B330" s="115">
        <f t="shared" si="10"/>
        <v>32</v>
      </c>
      <c r="C330" s="115">
        <f t="shared" si="11"/>
        <v>8</v>
      </c>
      <c r="D330" s="116" t="str" cm="1">
        <f t="array" ref="D330">INDEX('Rad-2'!$B$2:$J$100,1+B330,C330)</f>
        <v/>
      </c>
    </row>
    <row r="331" spans="1:4" x14ac:dyDescent="0.75">
      <c r="A331" s="115">
        <v>297</v>
      </c>
      <c r="B331" s="115">
        <f t="shared" si="10"/>
        <v>32</v>
      </c>
      <c r="C331" s="115">
        <f t="shared" si="11"/>
        <v>9</v>
      </c>
      <c r="D331" s="116" t="str" cm="1">
        <f t="array" ref="D331">INDEX('Rad-2'!$B$2:$J$100,1+B331,C331)</f>
        <v/>
      </c>
    </row>
    <row r="332" spans="1:4" x14ac:dyDescent="0.75">
      <c r="A332" s="115">
        <v>298</v>
      </c>
      <c r="B332" s="115">
        <f t="shared" si="10"/>
        <v>33</v>
      </c>
      <c r="C332" s="115">
        <f t="shared" si="11"/>
        <v>1</v>
      </c>
      <c r="D332" s="116" t="str" cm="1">
        <f t="array" ref="D332">INDEX('Rad-2'!$B$2:$J$100,1+B332,C332)</f>
        <v>* differential.element[34].id = "Radiotherapy.target.boost.given"</v>
      </c>
    </row>
    <row r="333" spans="1:4" x14ac:dyDescent="0.75">
      <c r="A333" s="115">
        <v>299</v>
      </c>
      <c r="B333" s="115">
        <f t="shared" si="10"/>
        <v>33</v>
      </c>
      <c r="C333" s="115">
        <f t="shared" si="11"/>
        <v>2</v>
      </c>
      <c r="D333" s="116" t="str" cm="1">
        <f t="array" ref="D333">INDEX('Rad-2'!$B$2:$J$100,1+B333,C333)</f>
        <v>* differential.element[34].path = "Radiotherapy.target.boost.given"</v>
      </c>
    </row>
    <row r="334" spans="1:4" x14ac:dyDescent="0.75">
      <c r="A334" s="115">
        <v>300</v>
      </c>
      <c r="B334" s="115">
        <f t="shared" si="10"/>
        <v>33</v>
      </c>
      <c r="C334" s="115">
        <f t="shared" si="11"/>
        <v>3</v>
      </c>
      <c r="D334" s="116" t="str" cm="1">
        <f t="array" ref="D334">INDEX('Rad-2'!$B$2:$J$100,1+B334,C334)</f>
        <v>* differential.element[34].short = "Boost given"</v>
      </c>
    </row>
    <row r="335" spans="1:4" x14ac:dyDescent="0.75">
      <c r="A335" s="115">
        <v>301</v>
      </c>
      <c r="B335" s="115">
        <f t="shared" si="10"/>
        <v>33</v>
      </c>
      <c r="C335" s="115">
        <f t="shared" si="11"/>
        <v>4</v>
      </c>
      <c r="D335" s="116" t="str" cm="1">
        <f t="array" ref="D335">INDEX('Rad-2'!$B$2:$J$100,1+B335,C335)</f>
        <v>* differential.element[34].definition = "Flag indicating if a boost was given, not given or unknown"</v>
      </c>
    </row>
    <row r="336" spans="1:4" x14ac:dyDescent="0.75">
      <c r="A336" s="115">
        <v>302</v>
      </c>
      <c r="B336" s="115">
        <f t="shared" si="10"/>
        <v>33</v>
      </c>
      <c r="C336" s="115">
        <f t="shared" si="11"/>
        <v>5</v>
      </c>
      <c r="D336" s="116" t="str" cm="1">
        <f t="array" ref="D336">INDEX('Rad-2'!$B$2:$J$100,1+B336,C336)</f>
        <v>* differential.element[34].min = 0</v>
      </c>
    </row>
    <row r="337" spans="1:4" x14ac:dyDescent="0.75">
      <c r="A337" s="115">
        <v>303</v>
      </c>
      <c r="B337" s="115">
        <f t="shared" si="10"/>
        <v>33</v>
      </c>
      <c r="C337" s="115">
        <f t="shared" si="11"/>
        <v>6</v>
      </c>
      <c r="D337" s="116" t="str" cm="1">
        <f t="array" ref="D337">INDEX('Rad-2'!$B$2:$J$100,1+B337,C337)</f>
        <v>* differential.element[34].max = "1"</v>
      </c>
    </row>
    <row r="338" spans="1:4" x14ac:dyDescent="0.75">
      <c r="A338" s="115">
        <v>304</v>
      </c>
      <c r="B338" s="115">
        <f t="shared" si="10"/>
        <v>33</v>
      </c>
      <c r="C338" s="115">
        <f t="shared" si="11"/>
        <v>7</v>
      </c>
      <c r="D338" s="116" t="str" cm="1">
        <f t="array" ref="D338">INDEX('Rad-2'!$B$2:$J$100,1+B338,C338)</f>
        <v>* differential.element[34].type.code = #CodeableConcept</v>
      </c>
    </row>
    <row r="339" spans="1:4" x14ac:dyDescent="0.75">
      <c r="A339" s="115">
        <v>305</v>
      </c>
      <c r="B339" s="115">
        <f t="shared" si="10"/>
        <v>33</v>
      </c>
      <c r="C339" s="115">
        <f t="shared" si="11"/>
        <v>8</v>
      </c>
      <c r="D339" s="116" t="str" cm="1">
        <f t="array" ref="D339">INDEX('Rad-2'!$B$2:$J$100,1+B339,C339)</f>
        <v/>
      </c>
    </row>
    <row r="340" spans="1:4" x14ac:dyDescent="0.75">
      <c r="A340" s="115">
        <v>306</v>
      </c>
      <c r="B340" s="115">
        <f t="shared" si="10"/>
        <v>33</v>
      </c>
      <c r="C340" s="115">
        <f t="shared" si="11"/>
        <v>9</v>
      </c>
      <c r="D340" s="116" t="str" cm="1">
        <f t="array" ref="D340">INDEX('Rad-2'!$B$2:$J$100,1+B340,C340)</f>
        <v/>
      </c>
    </row>
    <row r="341" spans="1:4" x14ac:dyDescent="0.75">
      <c r="A341" s="115">
        <v>307</v>
      </c>
      <c r="B341" s="115">
        <f t="shared" si="10"/>
        <v>34</v>
      </c>
      <c r="C341" s="115">
        <f t="shared" si="11"/>
        <v>1</v>
      </c>
      <c r="D341" s="116" t="str" cm="1">
        <f t="array" ref="D341">INDEX('Rad-2'!$B$2:$J$100,1+B341,C341)</f>
        <v>* differential.element[35].id = "Radiotherapy.target.boost.site"</v>
      </c>
    </row>
    <row r="342" spans="1:4" x14ac:dyDescent="0.75">
      <c r="A342" s="115">
        <v>308</v>
      </c>
      <c r="B342" s="115">
        <f t="shared" si="10"/>
        <v>34</v>
      </c>
      <c r="C342" s="115">
        <f t="shared" si="11"/>
        <v>2</v>
      </c>
      <c r="D342" s="116" t="str" cm="1">
        <f t="array" ref="D342">INDEX('Rad-2'!$B$2:$J$100,1+B342,C342)</f>
        <v>* differential.element[35].path = "Radiotherapy.target.boost.site"</v>
      </c>
    </row>
    <row r="343" spans="1:4" x14ac:dyDescent="0.75">
      <c r="A343" s="115">
        <v>309</v>
      </c>
      <c r="B343" s="115">
        <f t="shared" si="10"/>
        <v>34</v>
      </c>
      <c r="C343" s="115">
        <f t="shared" si="11"/>
        <v>3</v>
      </c>
      <c r="D343" s="116" t="str" cm="1">
        <f t="array" ref="D343">INDEX('Rad-2'!$B$2:$J$100,1+B343,C343)</f>
        <v>* differential.element[35].short = "Boost site"</v>
      </c>
    </row>
    <row r="344" spans="1:4" ht="59" x14ac:dyDescent="0.75">
      <c r="A344" s="115">
        <v>310</v>
      </c>
      <c r="B344" s="115">
        <f t="shared" si="10"/>
        <v>34</v>
      </c>
      <c r="C344" s="115">
        <f t="shared" si="11"/>
        <v>4</v>
      </c>
      <c r="D344" s="116" t="str" cm="1">
        <f t="array" ref="D344">INDEX('Rad-2'!$B$2:$J$100,1+B344,C344)</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row>
    <row r="345" spans="1:4" x14ac:dyDescent="0.75">
      <c r="A345" s="115">
        <v>311</v>
      </c>
      <c r="B345" s="115">
        <f t="shared" si="10"/>
        <v>34</v>
      </c>
      <c r="C345" s="115">
        <f t="shared" si="11"/>
        <v>5</v>
      </c>
      <c r="D345" s="116" t="str" cm="1">
        <f t="array" ref="D345">INDEX('Rad-2'!$B$2:$J$100,1+B345,C345)</f>
        <v>* differential.element[35].min = 0</v>
      </c>
    </row>
    <row r="346" spans="1:4" x14ac:dyDescent="0.75">
      <c r="A346" s="115">
        <v>312</v>
      </c>
      <c r="B346" s="115">
        <f t="shared" si="10"/>
        <v>34</v>
      </c>
      <c r="C346" s="115">
        <f t="shared" si="11"/>
        <v>6</v>
      </c>
      <c r="D346" s="116" t="str" cm="1">
        <f t="array" ref="D346">INDEX('Rad-2'!$B$2:$J$100,1+B346,C346)</f>
        <v>* differential.element[35].max = "1"</v>
      </c>
    </row>
    <row r="347" spans="1:4" x14ac:dyDescent="0.75">
      <c r="A347" s="115">
        <v>313</v>
      </c>
      <c r="B347" s="115">
        <f t="shared" si="10"/>
        <v>34</v>
      </c>
      <c r="C347" s="115">
        <f t="shared" si="11"/>
        <v>7</v>
      </c>
      <c r="D347" s="116" t="str" cm="1">
        <f t="array" ref="D347">INDEX('Rad-2'!$B$2:$J$100,1+B347,C347)</f>
        <v>* differential.element[35].type.code = #CodeableConcept</v>
      </c>
    </row>
    <row r="348" spans="1:4" x14ac:dyDescent="0.75">
      <c r="A348" s="115">
        <v>314</v>
      </c>
      <c r="B348" s="115">
        <f t="shared" si="10"/>
        <v>34</v>
      </c>
      <c r="C348" s="115">
        <f t="shared" si="11"/>
        <v>8</v>
      </c>
      <c r="D348" s="116" t="str" cm="1">
        <f t="array" ref="D348">INDEX('Rad-2'!$B$2:$J$100,1+B348,C348)</f>
        <v>* differential.element[35].binding.valueSet = "http://hl7.eu/fhir/ig/pcsp/ValueSet/vs-radiotherapy-pcsp"</v>
      </c>
    </row>
    <row r="349" spans="1:4" x14ac:dyDescent="0.75">
      <c r="A349" s="115">
        <v>315</v>
      </c>
      <c r="B349" s="115">
        <f t="shared" si="10"/>
        <v>34</v>
      </c>
      <c r="C349" s="115">
        <f t="shared" si="11"/>
        <v>9</v>
      </c>
      <c r="D349" s="116" t="str" cm="1">
        <f t="array" ref="D349">INDEX('Rad-2'!$B$2:$J$100,1+B349,C349)</f>
        <v>* differential.element[35].binding.strength = #required</v>
      </c>
    </row>
    <row r="350" spans="1:4" x14ac:dyDescent="0.75">
      <c r="A350" s="115">
        <v>316</v>
      </c>
      <c r="B350" s="115">
        <f t="shared" si="10"/>
        <v>35</v>
      </c>
      <c r="C350" s="115">
        <f t="shared" si="11"/>
        <v>1</v>
      </c>
      <c r="D350" s="116" t="str" cm="1">
        <f t="array" ref="D350">INDEX('Rad-2'!$B$2:$J$100,1+B350,C350)</f>
        <v>* differential.element[36].id = "Radiotherapy.target.boost.laterality"</v>
      </c>
    </row>
    <row r="351" spans="1:4" x14ac:dyDescent="0.75">
      <c r="A351" s="115">
        <v>317</v>
      </c>
      <c r="B351" s="115">
        <f t="shared" si="10"/>
        <v>35</v>
      </c>
      <c r="C351" s="115">
        <f t="shared" si="11"/>
        <v>2</v>
      </c>
      <c r="D351" s="116" t="str" cm="1">
        <f t="array" ref="D351">INDEX('Rad-2'!$B$2:$J$100,1+B351,C351)</f>
        <v>* differential.element[36].path = "Radiotherapy.target.boost.laterality"</v>
      </c>
    </row>
    <row r="352" spans="1:4" x14ac:dyDescent="0.75">
      <c r="A352" s="115">
        <v>318</v>
      </c>
      <c r="B352" s="115">
        <f t="shared" si="10"/>
        <v>35</v>
      </c>
      <c r="C352" s="115">
        <f t="shared" si="11"/>
        <v>3</v>
      </c>
      <c r="D352" s="116" t="str" cm="1">
        <f t="array" ref="D352">INDEX('Rad-2'!$B$2:$J$100,1+B352,C352)</f>
        <v>* differential.element[36].short = "Laterality"</v>
      </c>
    </row>
    <row r="353" spans="1:4" ht="59" x14ac:dyDescent="0.75">
      <c r="A353" s="115">
        <v>319</v>
      </c>
      <c r="B353" s="115">
        <f t="shared" si="10"/>
        <v>35</v>
      </c>
      <c r="C353" s="115">
        <f t="shared" si="11"/>
        <v>4</v>
      </c>
      <c r="D353" s="116" t="str" cm="1">
        <f t="array" ref="D353">INDEX('Rad-2'!$B$2:$J$100,1+B353,C353)</f>
        <v>* differential.element[36].definition = "Report laterality of the radiation.
 R = right,
 L = left,
 B = bilateral"</v>
      </c>
    </row>
    <row r="354" spans="1:4" x14ac:dyDescent="0.75">
      <c r="A354" s="115">
        <v>320</v>
      </c>
      <c r="B354" s="115">
        <f t="shared" si="10"/>
        <v>35</v>
      </c>
      <c r="C354" s="115">
        <f t="shared" si="11"/>
        <v>5</v>
      </c>
      <c r="D354" s="116" t="str" cm="1">
        <f t="array" ref="D354">INDEX('Rad-2'!$B$2:$J$100,1+B354,C354)</f>
        <v>* differential.element[36].min = 0</v>
      </c>
    </row>
    <row r="355" spans="1:4" x14ac:dyDescent="0.75">
      <c r="A355" s="115">
        <v>321</v>
      </c>
      <c r="B355" s="115">
        <f t="shared" si="10"/>
        <v>35</v>
      </c>
      <c r="C355" s="115">
        <f t="shared" si="11"/>
        <v>6</v>
      </c>
      <c r="D355" s="116" t="str" cm="1">
        <f t="array" ref="D355">INDEX('Rad-2'!$B$2:$J$100,1+B355,C355)</f>
        <v>* differential.element[36].max = "1"</v>
      </c>
    </row>
    <row r="356" spans="1:4" x14ac:dyDescent="0.75">
      <c r="A356" s="115">
        <v>322</v>
      </c>
      <c r="B356" s="115">
        <f t="shared" si="10"/>
        <v>35</v>
      </c>
      <c r="C356" s="115">
        <f t="shared" si="11"/>
        <v>7</v>
      </c>
      <c r="D356" s="116" t="str" cm="1">
        <f t="array" ref="D356">INDEX('Rad-2'!$B$2:$J$100,1+B356,C356)</f>
        <v>* differential.element[36].type.code = #CodeableConcept</v>
      </c>
    </row>
    <row r="357" spans="1:4" x14ac:dyDescent="0.75">
      <c r="A357" s="115">
        <v>323</v>
      </c>
      <c r="B357" s="115">
        <f t="shared" si="10"/>
        <v>35</v>
      </c>
      <c r="C357" s="115">
        <f t="shared" si="11"/>
        <v>8</v>
      </c>
      <c r="D357" s="116" t="str" cm="1">
        <f t="array" ref="D357">INDEX('Rad-2'!$B$2:$J$100,1+B357,C357)</f>
        <v/>
      </c>
    </row>
    <row r="358" spans="1:4" x14ac:dyDescent="0.75">
      <c r="A358" s="115">
        <v>324</v>
      </c>
      <c r="B358" s="115">
        <f t="shared" si="10"/>
        <v>35</v>
      </c>
      <c r="C358" s="115">
        <f t="shared" si="11"/>
        <v>9</v>
      </c>
      <c r="D358" s="116" t="str" cm="1">
        <f t="array" ref="D358">INDEX('Rad-2'!$B$2:$J$100,1+B358,C358)</f>
        <v/>
      </c>
    </row>
    <row r="359" spans="1:4" x14ac:dyDescent="0.75">
      <c r="A359" s="115">
        <v>325</v>
      </c>
      <c r="B359" s="115">
        <f t="shared" si="10"/>
        <v>36</v>
      </c>
      <c r="C359" s="115">
        <f t="shared" si="11"/>
        <v>1</v>
      </c>
      <c r="D359" s="116" t="str" cm="1">
        <f t="array" ref="D359">INDEX('Rad-2'!$B$2:$J$100,1+B359,C359)</f>
        <v>* differential.element[37].id = "Radiotherapy.target.boost.details"</v>
      </c>
    </row>
    <row r="360" spans="1:4" x14ac:dyDescent="0.75">
      <c r="A360" s="115">
        <v>326</v>
      </c>
      <c r="B360" s="115">
        <f t="shared" si="10"/>
        <v>36</v>
      </c>
      <c r="C360" s="115">
        <f t="shared" si="11"/>
        <v>2</v>
      </c>
      <c r="D360" s="116" t="str" cm="1">
        <f t="array" ref="D360">INDEX('Rad-2'!$B$2:$J$100,1+B360,C360)</f>
        <v>* differential.element[37].path = "Radiotherapy.target.boost.details"</v>
      </c>
    </row>
    <row r="361" spans="1:4" x14ac:dyDescent="0.75">
      <c r="A361" s="115">
        <v>327</v>
      </c>
      <c r="B361" s="115">
        <f t="shared" si="10"/>
        <v>36</v>
      </c>
      <c r="C361" s="115">
        <f t="shared" si="11"/>
        <v>3</v>
      </c>
      <c r="D361" s="116" t="str" cm="1">
        <f t="array" ref="D361">INDEX('Rad-2'!$B$2:$J$100,1+B361,C361)</f>
        <v>* differential.element[37].short = "Details"</v>
      </c>
    </row>
    <row r="362" spans="1:4" x14ac:dyDescent="0.75">
      <c r="A362" s="115">
        <v>328</v>
      </c>
      <c r="B362" s="115">
        <f t="shared" si="10"/>
        <v>36</v>
      </c>
      <c r="C362" s="115">
        <f t="shared" si="11"/>
        <v>4</v>
      </c>
      <c r="D362" s="116" t="str" cm="1">
        <f t="array" ref="D362">INDEX('Rad-2'!$B$2:$J$100,1+B362,C362)</f>
        <v>* differential.element[37].definition = "If needed it is possible to add details"</v>
      </c>
    </row>
    <row r="363" spans="1:4" x14ac:dyDescent="0.75">
      <c r="A363" s="115">
        <v>329</v>
      </c>
      <c r="B363" s="115">
        <f t="shared" si="10"/>
        <v>36</v>
      </c>
      <c r="C363" s="115">
        <f t="shared" si="11"/>
        <v>5</v>
      </c>
      <c r="D363" s="116" t="str" cm="1">
        <f t="array" ref="D363">INDEX('Rad-2'!$B$2:$J$100,1+B363,C363)</f>
        <v>* differential.element[37].min = 0</v>
      </c>
    </row>
    <row r="364" spans="1:4" x14ac:dyDescent="0.75">
      <c r="A364" s="115">
        <v>330</v>
      </c>
      <c r="B364" s="115">
        <f t="shared" si="10"/>
        <v>36</v>
      </c>
      <c r="C364" s="115">
        <f t="shared" si="11"/>
        <v>6</v>
      </c>
      <c r="D364" s="116" t="str" cm="1">
        <f t="array" ref="D364">INDEX('Rad-2'!$B$2:$J$100,1+B364,C364)</f>
        <v>* differential.element[37].max = "1"</v>
      </c>
    </row>
    <row r="365" spans="1:4" x14ac:dyDescent="0.75">
      <c r="A365" s="115">
        <v>331</v>
      </c>
      <c r="B365" s="115">
        <f t="shared" ref="B365:B428" si="12">IF(MOD(A365,$B$25)=0,A365/$B$25-1,INT(A365/$B$25))</f>
        <v>36</v>
      </c>
      <c r="C365" s="115">
        <f t="shared" ref="C365:C428" si="13">IF(MOD(A365,$B$25)=0,$B$25,MOD(A365,$B$25))</f>
        <v>7</v>
      </c>
      <c r="D365" s="116" t="str" cm="1">
        <f t="array" ref="D365">INDEX('Rad-2'!$B$2:$J$100,1+B365,C365)</f>
        <v>* differential.element[37].type.code = #string</v>
      </c>
    </row>
    <row r="366" spans="1:4" x14ac:dyDescent="0.75">
      <c r="A366" s="115">
        <v>332</v>
      </c>
      <c r="B366" s="115">
        <f t="shared" si="12"/>
        <v>36</v>
      </c>
      <c r="C366" s="115">
        <f t="shared" si="13"/>
        <v>8</v>
      </c>
      <c r="D366" s="116" t="str" cm="1">
        <f t="array" ref="D366">INDEX('Rad-2'!$B$2:$J$100,1+B366,C366)</f>
        <v/>
      </c>
    </row>
    <row r="367" spans="1:4" x14ac:dyDescent="0.75">
      <c r="A367" s="115">
        <v>333</v>
      </c>
      <c r="B367" s="115">
        <f t="shared" si="12"/>
        <v>36</v>
      </c>
      <c r="C367" s="115">
        <f t="shared" si="13"/>
        <v>9</v>
      </c>
      <c r="D367" s="116" t="str" cm="1">
        <f t="array" ref="D367">INDEX('Rad-2'!$B$2:$J$100,1+B367,C367)</f>
        <v/>
      </c>
    </row>
    <row r="368" spans="1:4" x14ac:dyDescent="0.75">
      <c r="A368" s="115">
        <v>334</v>
      </c>
      <c r="B368" s="115">
        <f t="shared" si="12"/>
        <v>37</v>
      </c>
      <c r="C368" s="115">
        <f t="shared" si="13"/>
        <v>1</v>
      </c>
      <c r="D368" s="116" t="str" cm="1">
        <f t="array" ref="D368">INDEX('Rad-2'!$B$2:$J$100,1+B368,C368)</f>
        <v>* differential.element[38].id = "Radiotherapy.target.boost.from"</v>
      </c>
    </row>
    <row r="369" spans="1:4" x14ac:dyDescent="0.75">
      <c r="A369" s="115">
        <v>335</v>
      </c>
      <c r="B369" s="115">
        <f t="shared" si="12"/>
        <v>37</v>
      </c>
      <c r="C369" s="115">
        <f t="shared" si="13"/>
        <v>2</v>
      </c>
      <c r="D369" s="116" t="str" cm="1">
        <f t="array" ref="D369">INDEX('Rad-2'!$B$2:$J$100,1+B369,C369)</f>
        <v>* differential.element[38].path = "Radiotherapy.target.boost.from"</v>
      </c>
    </row>
    <row r="370" spans="1:4" x14ac:dyDescent="0.75">
      <c r="A370" s="115">
        <v>336</v>
      </c>
      <c r="B370" s="115">
        <f t="shared" si="12"/>
        <v>37</v>
      </c>
      <c r="C370" s="115">
        <f t="shared" si="13"/>
        <v>3</v>
      </c>
      <c r="D370" s="116" t="str" cm="1">
        <f t="array" ref="D370">INDEX('Rad-2'!$B$2:$J$100,1+B370,C370)</f>
        <v>* differential.element[38].short = "Start point"</v>
      </c>
    </row>
    <row r="371" spans="1:4" ht="29.5" x14ac:dyDescent="0.75">
      <c r="A371" s="115">
        <v>337</v>
      </c>
      <c r="B371" s="115">
        <f t="shared" si="12"/>
        <v>37</v>
      </c>
      <c r="C371" s="115">
        <f t="shared" si="13"/>
        <v>4</v>
      </c>
      <c r="D371" s="116" t="str" cm="1">
        <f t="array" ref="D371">INDEX('Rad-2'!$B$2:$J$100,1+B371,C371)</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row>
    <row r="372" spans="1:4" x14ac:dyDescent="0.75">
      <c r="A372" s="115">
        <v>338</v>
      </c>
      <c r="B372" s="115">
        <f t="shared" si="12"/>
        <v>37</v>
      </c>
      <c r="C372" s="115">
        <f t="shared" si="13"/>
        <v>5</v>
      </c>
      <c r="D372" s="116" t="str" cm="1">
        <f t="array" ref="D372">INDEX('Rad-2'!$B$2:$J$100,1+B372,C372)</f>
        <v>* differential.element[38].min = 0</v>
      </c>
    </row>
    <row r="373" spans="1:4" x14ac:dyDescent="0.75">
      <c r="A373" s="115">
        <v>339</v>
      </c>
      <c r="B373" s="115">
        <f t="shared" si="12"/>
        <v>37</v>
      </c>
      <c r="C373" s="115">
        <f t="shared" si="13"/>
        <v>6</v>
      </c>
      <c r="D373" s="116" t="str" cm="1">
        <f t="array" ref="D373">INDEX('Rad-2'!$B$2:$J$100,1+B373,C373)</f>
        <v>* differential.element[38].max = "1"</v>
      </c>
    </row>
    <row r="374" spans="1:4" x14ac:dyDescent="0.75">
      <c r="A374" s="115">
        <v>340</v>
      </c>
      <c r="B374" s="115">
        <f t="shared" si="12"/>
        <v>37</v>
      </c>
      <c r="C374" s="115">
        <f t="shared" si="13"/>
        <v>7</v>
      </c>
      <c r="D374" s="116" t="str" cm="1">
        <f t="array" ref="D374">INDEX('Rad-2'!$B$2:$J$100,1+B374,C374)</f>
        <v>* differential.element[38].type.code = #string</v>
      </c>
    </row>
    <row r="375" spans="1:4" x14ac:dyDescent="0.75">
      <c r="A375" s="115">
        <v>341</v>
      </c>
      <c r="B375" s="115">
        <f t="shared" si="12"/>
        <v>37</v>
      </c>
      <c r="C375" s="115">
        <f t="shared" si="13"/>
        <v>8</v>
      </c>
      <c r="D375" s="116" t="str" cm="1">
        <f t="array" ref="D375">INDEX('Rad-2'!$B$2:$J$100,1+B375,C375)</f>
        <v/>
      </c>
    </row>
    <row r="376" spans="1:4" x14ac:dyDescent="0.75">
      <c r="A376" s="115">
        <v>342</v>
      </c>
      <c r="B376" s="115">
        <f t="shared" si="12"/>
        <v>37</v>
      </c>
      <c r="C376" s="115">
        <f t="shared" si="13"/>
        <v>9</v>
      </c>
      <c r="D376" s="116" t="str" cm="1">
        <f t="array" ref="D376">INDEX('Rad-2'!$B$2:$J$100,1+B376,C376)</f>
        <v/>
      </c>
    </row>
    <row r="377" spans="1:4" x14ac:dyDescent="0.75">
      <c r="A377" s="115">
        <v>343</v>
      </c>
      <c r="B377" s="115">
        <f t="shared" si="12"/>
        <v>38</v>
      </c>
      <c r="C377" s="115">
        <f t="shared" si="13"/>
        <v>1</v>
      </c>
      <c r="D377" s="116" t="str" cm="1">
        <f t="array" ref="D377">INDEX('Rad-2'!$B$2:$J$100,1+B377,C377)</f>
        <v>* differential.element[39].id = "Radiotherapy.target.boost.to"</v>
      </c>
    </row>
    <row r="378" spans="1:4" x14ac:dyDescent="0.75">
      <c r="A378" s="115">
        <v>344</v>
      </c>
      <c r="B378" s="115">
        <f t="shared" si="12"/>
        <v>38</v>
      </c>
      <c r="C378" s="115">
        <f t="shared" si="13"/>
        <v>2</v>
      </c>
      <c r="D378" s="116" t="str" cm="1">
        <f t="array" ref="D378">INDEX('Rad-2'!$B$2:$J$100,1+B378,C378)</f>
        <v>* differential.element[39].path = "Radiotherapy.target.boost.to"</v>
      </c>
    </row>
    <row r="379" spans="1:4" x14ac:dyDescent="0.75">
      <c r="A379" s="115">
        <v>345</v>
      </c>
      <c r="B379" s="115">
        <f t="shared" si="12"/>
        <v>38</v>
      </c>
      <c r="C379" s="115">
        <f t="shared" si="13"/>
        <v>3</v>
      </c>
      <c r="D379" s="116" t="str" cm="1">
        <f t="array" ref="D379">INDEX('Rad-2'!$B$2:$J$100,1+B379,C379)</f>
        <v>* differential.element[39].short = "End point"</v>
      </c>
    </row>
    <row r="380" spans="1:4" ht="29.5" x14ac:dyDescent="0.75">
      <c r="A380" s="115">
        <v>346</v>
      </c>
      <c r="B380" s="115">
        <f t="shared" si="12"/>
        <v>38</v>
      </c>
      <c r="C380" s="115">
        <f t="shared" si="13"/>
        <v>4</v>
      </c>
      <c r="D380" s="116" t="str" cm="1">
        <f t="array" ref="D380">INDEX('Rad-2'!$B$2:$J$100,1+B380,C380)</f>
        <v>* differential.element[39].definition = "When the radiation involves more than one site, eventually covering different body areas (e.g. torax and abdomen), select the ending point using the vertebrae to identify the lower limit (e.g.: Thoraco-Abdominal (area): Paraspinal - Lumbar vertebra 3)"</v>
      </c>
    </row>
    <row r="381" spans="1:4" x14ac:dyDescent="0.75">
      <c r="A381" s="115">
        <v>347</v>
      </c>
      <c r="B381" s="115">
        <f t="shared" si="12"/>
        <v>38</v>
      </c>
      <c r="C381" s="115">
        <f t="shared" si="13"/>
        <v>5</v>
      </c>
      <c r="D381" s="116" t="str" cm="1">
        <f t="array" ref="D381">INDEX('Rad-2'!$B$2:$J$100,1+B381,C381)</f>
        <v>* differential.element[39].min = 0</v>
      </c>
    </row>
    <row r="382" spans="1:4" x14ac:dyDescent="0.75">
      <c r="A382" s="115">
        <v>348</v>
      </c>
      <c r="B382" s="115">
        <f t="shared" si="12"/>
        <v>38</v>
      </c>
      <c r="C382" s="115">
        <f t="shared" si="13"/>
        <v>6</v>
      </c>
      <c r="D382" s="116" t="str" cm="1">
        <f t="array" ref="D382">INDEX('Rad-2'!$B$2:$J$100,1+B382,C382)</f>
        <v>* differential.element[39].max = "1"</v>
      </c>
    </row>
    <row r="383" spans="1:4" x14ac:dyDescent="0.75">
      <c r="A383" s="115">
        <v>349</v>
      </c>
      <c r="B383" s="115">
        <f t="shared" si="12"/>
        <v>38</v>
      </c>
      <c r="C383" s="115">
        <f t="shared" si="13"/>
        <v>7</v>
      </c>
      <c r="D383" s="116" t="str" cm="1">
        <f t="array" ref="D383">INDEX('Rad-2'!$B$2:$J$100,1+B383,C383)</f>
        <v>* differential.element[39].type.code = #string</v>
      </c>
    </row>
    <row r="384" spans="1:4" x14ac:dyDescent="0.75">
      <c r="A384" s="115">
        <v>350</v>
      </c>
      <c r="B384" s="115">
        <f t="shared" si="12"/>
        <v>38</v>
      </c>
      <c r="C384" s="115">
        <f t="shared" si="13"/>
        <v>8</v>
      </c>
      <c r="D384" s="116" t="str" cm="1">
        <f t="array" ref="D384">INDEX('Rad-2'!$B$2:$J$100,1+B384,C384)</f>
        <v/>
      </c>
    </row>
    <row r="385" spans="1:4" x14ac:dyDescent="0.75">
      <c r="A385" s="115">
        <v>351</v>
      </c>
      <c r="B385" s="115">
        <f t="shared" si="12"/>
        <v>38</v>
      </c>
      <c r="C385" s="115">
        <f t="shared" si="13"/>
        <v>9</v>
      </c>
      <c r="D385" s="116" t="str" cm="1">
        <f t="array" ref="D385">INDEX('Rad-2'!$B$2:$J$100,1+B385,C385)</f>
        <v/>
      </c>
    </row>
    <row r="386" spans="1:4" x14ac:dyDescent="0.75">
      <c r="A386" s="115">
        <v>352</v>
      </c>
      <c r="B386" s="115">
        <f t="shared" si="12"/>
        <v>39</v>
      </c>
      <c r="C386" s="115">
        <f t="shared" si="13"/>
        <v>1</v>
      </c>
      <c r="D386" s="116" t="str" cm="1">
        <f t="array" ref="D386">INDEX('Rad-2'!$B$2:$J$100,1+B386,C386)</f>
        <v>* differential.element[40].id = "Radiotherapy.target.boost.position"</v>
      </c>
    </row>
    <row r="387" spans="1:4" x14ac:dyDescent="0.75">
      <c r="A387" s="115">
        <v>353</v>
      </c>
      <c r="B387" s="115">
        <f t="shared" si="12"/>
        <v>39</v>
      </c>
      <c r="C387" s="115">
        <f t="shared" si="13"/>
        <v>2</v>
      </c>
      <c r="D387" s="116" t="str" cm="1">
        <f t="array" ref="D387">INDEX('Rad-2'!$B$2:$J$100,1+B387,C387)</f>
        <v>* differential.element[40].path = "Radiotherapy.target.boost.position"</v>
      </c>
    </row>
    <row r="388" spans="1:4" x14ac:dyDescent="0.75">
      <c r="A388" s="115">
        <v>354</v>
      </c>
      <c r="B388" s="115">
        <f t="shared" si="12"/>
        <v>39</v>
      </c>
      <c r="C388" s="115">
        <f t="shared" si="13"/>
        <v>3</v>
      </c>
      <c r="D388" s="116" t="str" cm="1">
        <f t="array" ref="D388">INDEX('Rad-2'!$B$2:$J$100,1+B388,C388)</f>
        <v>* differential.element[40].short = "Position"</v>
      </c>
    </row>
    <row r="389" spans="1:4" ht="59" x14ac:dyDescent="0.75">
      <c r="A389" s="115">
        <v>355</v>
      </c>
      <c r="B389" s="115">
        <f t="shared" si="12"/>
        <v>39</v>
      </c>
      <c r="C389" s="115">
        <f t="shared" si="13"/>
        <v>4</v>
      </c>
      <c r="D389" s="116" t="str" cm="1">
        <f t="array" ref="D389">INDEX('Rad-2'!$B$2:$J$100,1+B389,C389)</f>
        <v>* differential.element[40].definition = "Specify whether the radiation was anterior or posterior. 
1 =&gt; Anterior
2 =&gt; Posterior
-9922 = NK"</v>
      </c>
    </row>
    <row r="390" spans="1:4" x14ac:dyDescent="0.75">
      <c r="A390" s="115">
        <v>356</v>
      </c>
      <c r="B390" s="115">
        <f t="shared" si="12"/>
        <v>39</v>
      </c>
      <c r="C390" s="115">
        <f t="shared" si="13"/>
        <v>5</v>
      </c>
      <c r="D390" s="116" t="str" cm="1">
        <f t="array" ref="D390">INDEX('Rad-2'!$B$2:$J$100,1+B390,C390)</f>
        <v>* differential.element[40].min = 0</v>
      </c>
    </row>
    <row r="391" spans="1:4" x14ac:dyDescent="0.75">
      <c r="A391" s="115">
        <v>357</v>
      </c>
      <c r="B391" s="115">
        <f t="shared" si="12"/>
        <v>39</v>
      </c>
      <c r="C391" s="115">
        <f t="shared" si="13"/>
        <v>6</v>
      </c>
      <c r="D391" s="116" t="str" cm="1">
        <f t="array" ref="D391">INDEX('Rad-2'!$B$2:$J$100,1+B391,C391)</f>
        <v>* differential.element[40].max = "1"</v>
      </c>
    </row>
    <row r="392" spans="1:4" x14ac:dyDescent="0.75">
      <c r="A392" s="115">
        <v>358</v>
      </c>
      <c r="B392" s="115">
        <f t="shared" si="12"/>
        <v>39</v>
      </c>
      <c r="C392" s="115">
        <f t="shared" si="13"/>
        <v>7</v>
      </c>
      <c r="D392" s="116" t="str" cm="1">
        <f t="array" ref="D392">INDEX('Rad-2'!$B$2:$J$100,1+B392,C392)</f>
        <v>* differential.element[40].type.code = #CodeableConcept</v>
      </c>
    </row>
    <row r="393" spans="1:4" x14ac:dyDescent="0.75">
      <c r="A393" s="115">
        <v>359</v>
      </c>
      <c r="B393" s="115">
        <f t="shared" si="12"/>
        <v>39</v>
      </c>
      <c r="C393" s="115">
        <f t="shared" si="13"/>
        <v>8</v>
      </c>
      <c r="D393" s="116" t="str" cm="1">
        <f t="array" ref="D393">INDEX('Rad-2'!$B$2:$J$100,1+B393,C393)</f>
        <v/>
      </c>
    </row>
    <row r="394" spans="1:4" x14ac:dyDescent="0.75">
      <c r="A394" s="115">
        <v>360</v>
      </c>
      <c r="B394" s="115">
        <f t="shared" si="12"/>
        <v>39</v>
      </c>
      <c r="C394" s="115">
        <f t="shared" si="13"/>
        <v>9</v>
      </c>
      <c r="D394" s="116" t="str" cm="1">
        <f t="array" ref="D394">INDEX('Rad-2'!$B$2:$J$100,1+B394,C394)</f>
        <v/>
      </c>
    </row>
    <row r="395" spans="1:4" x14ac:dyDescent="0.75">
      <c r="A395" s="115">
        <v>361</v>
      </c>
      <c r="B395" s="115">
        <f t="shared" si="12"/>
        <v>40</v>
      </c>
      <c r="C395" s="115">
        <f t="shared" si="13"/>
        <v>1</v>
      </c>
      <c r="D395" s="116" t="str" cm="1">
        <f t="array" ref="D395">INDEX('Rad-2'!$B$2:$J$100,1+B395,C395)</f>
        <v>* differential.element[41].id = "Radiotherapy.target.boost.cumulativeDose"</v>
      </c>
    </row>
    <row r="396" spans="1:4" x14ac:dyDescent="0.75">
      <c r="A396" s="115">
        <v>362</v>
      </c>
      <c r="B396" s="115">
        <f t="shared" si="12"/>
        <v>40</v>
      </c>
      <c r="C396" s="115">
        <f t="shared" si="13"/>
        <v>2</v>
      </c>
      <c r="D396" s="116" t="str" cm="1">
        <f t="array" ref="D396">INDEX('Rad-2'!$B$2:$J$100,1+B396,C396)</f>
        <v>* differential.element[41].path = "Radiotherapy.target.boost.cumulativeDose"</v>
      </c>
    </row>
    <row r="397" spans="1:4" x14ac:dyDescent="0.75">
      <c r="A397" s="115">
        <v>363</v>
      </c>
      <c r="B397" s="115">
        <f t="shared" si="12"/>
        <v>40</v>
      </c>
      <c r="C397" s="115">
        <f t="shared" si="13"/>
        <v>3</v>
      </c>
      <c r="D397" s="116" t="str" cm="1">
        <f t="array" ref="D397">INDEX('Rad-2'!$B$2:$J$100,1+B397,C397)</f>
        <v>* differential.element[41].short = "Comulative dose"</v>
      </c>
    </row>
    <row r="398" spans="1:4" x14ac:dyDescent="0.75">
      <c r="A398" s="115">
        <v>364</v>
      </c>
      <c r="B398" s="115">
        <f t="shared" si="12"/>
        <v>40</v>
      </c>
      <c r="C398" s="115">
        <f t="shared" si="13"/>
        <v>4</v>
      </c>
      <c r="D398" s="116" t="str" cm="1">
        <f t="array" ref="D398">INDEX('Rad-2'!$B$2:$J$100,1+B398,C398)</f>
        <v>* differential.element[41].definition = "Specify the cumulative / total dose given to the boost site."</v>
      </c>
    </row>
    <row r="399" spans="1:4" x14ac:dyDescent="0.75">
      <c r="A399" s="115">
        <v>365</v>
      </c>
      <c r="B399" s="115">
        <f t="shared" si="12"/>
        <v>40</v>
      </c>
      <c r="C399" s="115">
        <f t="shared" si="13"/>
        <v>5</v>
      </c>
      <c r="D399" s="116" t="str" cm="1">
        <f t="array" ref="D399">INDEX('Rad-2'!$B$2:$J$100,1+B399,C399)</f>
        <v>* differential.element[41].min = 1</v>
      </c>
    </row>
    <row r="400" spans="1:4" x14ac:dyDescent="0.75">
      <c r="A400" s="115">
        <v>366</v>
      </c>
      <c r="B400" s="115">
        <f t="shared" si="12"/>
        <v>40</v>
      </c>
      <c r="C400" s="115">
        <f t="shared" si="13"/>
        <v>6</v>
      </c>
      <c r="D400" s="116" t="str" cm="1">
        <f t="array" ref="D400">INDEX('Rad-2'!$B$2:$J$100,1+B400,C400)</f>
        <v>* differential.element[41].max = "1"</v>
      </c>
    </row>
    <row r="401" spans="1:4" x14ac:dyDescent="0.75">
      <c r="A401" s="115">
        <v>367</v>
      </c>
      <c r="B401" s="115">
        <f t="shared" si="12"/>
        <v>40</v>
      </c>
      <c r="C401" s="115">
        <f t="shared" si="13"/>
        <v>7</v>
      </c>
      <c r="D401" s="116" t="str" cm="1">
        <f t="array" ref="D401">INDEX('Rad-2'!$B$2:$J$100,1+B401,C401)</f>
        <v>* differential.element[41].type.code = #BackboneElement</v>
      </c>
    </row>
    <row r="402" spans="1:4" x14ac:dyDescent="0.75">
      <c r="A402" s="115">
        <v>368</v>
      </c>
      <c r="B402" s="115">
        <f t="shared" si="12"/>
        <v>40</v>
      </c>
      <c r="C402" s="115">
        <f t="shared" si="13"/>
        <v>8</v>
      </c>
      <c r="D402" s="116" t="str" cm="1">
        <f t="array" ref="D402">INDEX('Rad-2'!$B$2:$J$100,1+B402,C402)</f>
        <v/>
      </c>
    </row>
    <row r="403" spans="1:4" x14ac:dyDescent="0.75">
      <c r="A403" s="115">
        <v>369</v>
      </c>
      <c r="B403" s="115">
        <f t="shared" si="12"/>
        <v>40</v>
      </c>
      <c r="C403" s="115">
        <f t="shared" si="13"/>
        <v>9</v>
      </c>
      <c r="D403" s="116" t="str" cm="1">
        <f t="array" ref="D403">INDEX('Rad-2'!$B$2:$J$100,1+B403,C403)</f>
        <v/>
      </c>
    </row>
    <row r="404" spans="1:4" x14ac:dyDescent="0.75">
      <c r="A404" s="115">
        <v>370</v>
      </c>
      <c r="B404" s="115">
        <f t="shared" si="12"/>
        <v>41</v>
      </c>
      <c r="C404" s="115">
        <f t="shared" si="13"/>
        <v>1</v>
      </c>
      <c r="D404" s="116" t="str" cm="1">
        <f t="array" ref="D404">INDEX('Rad-2'!$B$2:$J$100,1+B404,C404)</f>
        <v>* differential.element[42].id = "Radiotherapy.target.boost.cumulativeDose.completionStatus"</v>
      </c>
    </row>
    <row r="405" spans="1:4" x14ac:dyDescent="0.75">
      <c r="A405" s="115">
        <v>371</v>
      </c>
      <c r="B405" s="115">
        <f t="shared" si="12"/>
        <v>41</v>
      </c>
      <c r="C405" s="115">
        <f t="shared" si="13"/>
        <v>2</v>
      </c>
      <c r="D405" s="116" t="str" cm="1">
        <f t="array" ref="D405">INDEX('Rad-2'!$B$2:$J$100,1+B405,C405)</f>
        <v>* differential.element[42].path = "Radiotherapy.target.boost.cumulativeDose.completionStatus"</v>
      </c>
    </row>
    <row r="406" spans="1:4" x14ac:dyDescent="0.75">
      <c r="A406" s="115">
        <v>372</v>
      </c>
      <c r="B406" s="115">
        <f t="shared" si="12"/>
        <v>41</v>
      </c>
      <c r="C406" s="115">
        <f t="shared" si="13"/>
        <v>3</v>
      </c>
      <c r="D406" s="116" t="str" cm="1">
        <f t="array" ref="D406">INDEX('Rad-2'!$B$2:$J$100,1+B406,C406)</f>
        <v>* differential.element[42].short = "The reported doses are incomplete (either under- or over-estimated)"</v>
      </c>
    </row>
    <row r="407" spans="1:4" x14ac:dyDescent="0.75">
      <c r="A407" s="115">
        <v>373</v>
      </c>
      <c r="B407" s="115">
        <f t="shared" si="12"/>
        <v>41</v>
      </c>
      <c r="C407" s="115">
        <f t="shared" si="13"/>
        <v>4</v>
      </c>
      <c r="D407" s="116" t="str" cm="1">
        <f t="array" ref="D407">INDEX('Rad-2'!$B$2:$J$100,1+B407,C407)</f>
        <v>* differential.element[42].definition = "Check in case of incomplete doses"</v>
      </c>
    </row>
    <row r="408" spans="1:4" x14ac:dyDescent="0.75">
      <c r="A408" s="115">
        <v>374</v>
      </c>
      <c r="B408" s="115">
        <f t="shared" si="12"/>
        <v>41</v>
      </c>
      <c r="C408" s="115">
        <f t="shared" si="13"/>
        <v>5</v>
      </c>
      <c r="D408" s="116" t="str" cm="1">
        <f t="array" ref="D408">INDEX('Rad-2'!$B$2:$J$100,1+B408,C408)</f>
        <v>* differential.element[42].min = 0</v>
      </c>
    </row>
    <row r="409" spans="1:4" x14ac:dyDescent="0.75">
      <c r="A409" s="115">
        <v>375</v>
      </c>
      <c r="B409" s="115">
        <f t="shared" si="12"/>
        <v>41</v>
      </c>
      <c r="C409" s="115">
        <f t="shared" si="13"/>
        <v>6</v>
      </c>
      <c r="D409" s="116" t="str" cm="1">
        <f t="array" ref="D409">INDEX('Rad-2'!$B$2:$J$100,1+B409,C409)</f>
        <v>* differential.element[42].max = "1"</v>
      </c>
    </row>
    <row r="410" spans="1:4" x14ac:dyDescent="0.75">
      <c r="A410" s="115">
        <v>376</v>
      </c>
      <c r="B410" s="115">
        <f t="shared" si="12"/>
        <v>41</v>
      </c>
      <c r="C410" s="115">
        <f t="shared" si="13"/>
        <v>7</v>
      </c>
      <c r="D410" s="116" t="str" cm="1">
        <f t="array" ref="D410">INDEX('Rad-2'!$B$2:$J$100,1+B410,C410)</f>
        <v>* differential.element[42].type.code = #CodeableConcept</v>
      </c>
    </row>
    <row r="411" spans="1:4" x14ac:dyDescent="0.75">
      <c r="A411" s="115">
        <v>377</v>
      </c>
      <c r="B411" s="115">
        <f t="shared" si="12"/>
        <v>41</v>
      </c>
      <c r="C411" s="115">
        <f t="shared" si="13"/>
        <v>8</v>
      </c>
      <c r="D411" s="116" t="str" cm="1">
        <f t="array" ref="D411">INDEX('Rad-2'!$B$2:$J$100,1+B411,C411)</f>
        <v/>
      </c>
    </row>
    <row r="412" spans="1:4" x14ac:dyDescent="0.75">
      <c r="A412" s="115">
        <v>378</v>
      </c>
      <c r="B412" s="115">
        <f t="shared" si="12"/>
        <v>41</v>
      </c>
      <c r="C412" s="115">
        <f t="shared" si="13"/>
        <v>9</v>
      </c>
      <c r="D412" s="116" t="str" cm="1">
        <f t="array" ref="D412">INDEX('Rad-2'!$B$2:$J$100,1+B412,C412)</f>
        <v/>
      </c>
    </row>
    <row r="413" spans="1:4" x14ac:dyDescent="0.75">
      <c r="A413" s="115">
        <v>379</v>
      </c>
      <c r="B413" s="115">
        <f t="shared" si="12"/>
        <v>42</v>
      </c>
      <c r="C413" s="115">
        <f t="shared" si="13"/>
        <v>1</v>
      </c>
      <c r="D413" s="116" t="str" cm="1">
        <f t="array" ref="D413">INDEX('Rad-2'!$B$2:$J$100,1+B413,C413)</f>
        <v>* differential.element[43].id = "Radiotherapy.target.boost.cumulativeDose.statusReason"</v>
      </c>
    </row>
    <row r="414" spans="1:4" x14ac:dyDescent="0.75">
      <c r="A414" s="115">
        <v>380</v>
      </c>
      <c r="B414" s="115">
        <f t="shared" si="12"/>
        <v>42</v>
      </c>
      <c r="C414" s="115">
        <f t="shared" si="13"/>
        <v>2</v>
      </c>
      <c r="D414" s="116" t="str" cm="1">
        <f t="array" ref="D414">INDEX('Rad-2'!$B$2:$J$100,1+B414,C414)</f>
        <v>* differential.element[43].path = "Radiotherapy.target.boost.cumulativeDose.statusReason"</v>
      </c>
    </row>
    <row r="415" spans="1:4" x14ac:dyDescent="0.75">
      <c r="A415" s="115">
        <v>381</v>
      </c>
      <c r="B415" s="115">
        <f t="shared" si="12"/>
        <v>42</v>
      </c>
      <c r="C415" s="115">
        <f t="shared" si="13"/>
        <v>3</v>
      </c>
      <c r="D415" s="116" t="str" cm="1">
        <f t="array" ref="D415">INDEX('Rad-2'!$B$2:$J$100,1+B415,C415)</f>
        <v>* differential.element[43].short = "Specify reasons why"</v>
      </c>
    </row>
    <row r="416" spans="1:4" x14ac:dyDescent="0.75">
      <c r="A416" s="115">
        <v>382</v>
      </c>
      <c r="B416" s="115">
        <f t="shared" si="12"/>
        <v>42</v>
      </c>
      <c r="C416" s="115">
        <f t="shared" si="13"/>
        <v>4</v>
      </c>
      <c r="D416" s="116" t="str" cm="1">
        <f t="array" ref="D416">INDEX('Rad-2'!$B$2:$J$100,1+B416,C416)</f>
        <v>* differential.element[43].definition = "Specify reasons of incomplete estimated doses"</v>
      </c>
    </row>
    <row r="417" spans="1:4" x14ac:dyDescent="0.75">
      <c r="A417" s="115">
        <v>383</v>
      </c>
      <c r="B417" s="115">
        <f t="shared" si="12"/>
        <v>42</v>
      </c>
      <c r="C417" s="115">
        <f t="shared" si="13"/>
        <v>5</v>
      </c>
      <c r="D417" s="116" t="str" cm="1">
        <f t="array" ref="D417">INDEX('Rad-2'!$B$2:$J$100,1+B417,C417)</f>
        <v>* differential.element[43].min = 0</v>
      </c>
    </row>
    <row r="418" spans="1:4" x14ac:dyDescent="0.75">
      <c r="A418" s="115">
        <v>384</v>
      </c>
      <c r="B418" s="115">
        <f t="shared" si="12"/>
        <v>42</v>
      </c>
      <c r="C418" s="115">
        <f t="shared" si="13"/>
        <v>6</v>
      </c>
      <c r="D418" s="116" t="str" cm="1">
        <f t="array" ref="D418">INDEX('Rad-2'!$B$2:$J$100,1+B418,C418)</f>
        <v>* differential.element[43].max = "1"</v>
      </c>
    </row>
    <row r="419" spans="1:4" x14ac:dyDescent="0.75">
      <c r="A419" s="115">
        <v>385</v>
      </c>
      <c r="B419" s="115">
        <f t="shared" si="12"/>
        <v>42</v>
      </c>
      <c r="C419" s="115">
        <f t="shared" si="13"/>
        <v>7</v>
      </c>
      <c r="D419" s="116" t="str" cm="1">
        <f t="array" ref="D419">INDEX('Rad-2'!$B$2:$J$100,1+B419,C419)</f>
        <v>* differential.element[43].type.code = #CodeableConcept</v>
      </c>
    </row>
    <row r="420" spans="1:4" x14ac:dyDescent="0.75">
      <c r="A420" s="115">
        <v>386</v>
      </c>
      <c r="B420" s="115">
        <f t="shared" si="12"/>
        <v>42</v>
      </c>
      <c r="C420" s="115">
        <f t="shared" si="13"/>
        <v>8</v>
      </c>
      <c r="D420" s="116" t="str" cm="1">
        <f t="array" ref="D420">INDEX('Rad-2'!$B$2:$J$100,1+B420,C420)</f>
        <v/>
      </c>
    </row>
    <row r="421" spans="1:4" x14ac:dyDescent="0.75">
      <c r="A421" s="115">
        <v>387</v>
      </c>
      <c r="B421" s="115">
        <f t="shared" si="12"/>
        <v>42</v>
      </c>
      <c r="C421" s="115">
        <f t="shared" si="13"/>
        <v>9</v>
      </c>
      <c r="D421" s="116" t="str" cm="1">
        <f t="array" ref="D421">INDEX('Rad-2'!$B$2:$J$100,1+B421,C421)</f>
        <v/>
      </c>
    </row>
    <row r="422" spans="1:4" x14ac:dyDescent="0.75">
      <c r="A422" s="115">
        <v>388</v>
      </c>
      <c r="B422" s="115">
        <f t="shared" si="12"/>
        <v>43</v>
      </c>
      <c r="C422" s="115">
        <f t="shared" si="13"/>
        <v>1</v>
      </c>
      <c r="D422" s="116" t="str" cm="1">
        <f t="array" ref="D422">INDEX('Rad-2'!$B$2:$J$100,1+B422,C422)</f>
        <v>* differential.element[44].id = "Radiotherapy.target.boost.cumulativeDose.notKnown"</v>
      </c>
    </row>
    <row r="423" spans="1:4" x14ac:dyDescent="0.75">
      <c r="A423" s="115">
        <v>389</v>
      </c>
      <c r="B423" s="115">
        <f t="shared" si="12"/>
        <v>43</v>
      </c>
      <c r="C423" s="115">
        <f t="shared" si="13"/>
        <v>2</v>
      </c>
      <c r="D423" s="116" t="str" cm="1">
        <f t="array" ref="D423">INDEX('Rad-2'!$B$2:$J$100,1+B423,C423)</f>
        <v>* differential.element[44].path = "Radiotherapy.target.boost.cumulativeDose.notKnown"</v>
      </c>
    </row>
    <row r="424" spans="1:4" x14ac:dyDescent="0.75">
      <c r="A424" s="115">
        <v>390</v>
      </c>
      <c r="B424" s="115">
        <f t="shared" si="12"/>
        <v>43</v>
      </c>
      <c r="C424" s="115">
        <f t="shared" si="13"/>
        <v>3</v>
      </c>
      <c r="D424" s="116" t="str" cm="1">
        <f t="array" ref="D424">INDEX('Rad-2'!$B$2:$J$100,1+B424,C424)</f>
        <v>* differential.element[44].short = "Not known dose"</v>
      </c>
    </row>
    <row r="425" spans="1:4" x14ac:dyDescent="0.75">
      <c r="A425" s="115">
        <v>391</v>
      </c>
      <c r="B425" s="115">
        <f t="shared" si="12"/>
        <v>43</v>
      </c>
      <c r="C425" s="115">
        <f t="shared" si="13"/>
        <v>4</v>
      </c>
      <c r="D425" s="116" t="str" cm="1">
        <f t="array" ref="D425">INDEX('Rad-2'!$B$2:$J$100,1+B425,C425)</f>
        <v>* differential.element[44].definition = "Not known dose"</v>
      </c>
    </row>
    <row r="426" spans="1:4" x14ac:dyDescent="0.75">
      <c r="A426" s="115">
        <v>392</v>
      </c>
      <c r="B426" s="115">
        <f t="shared" si="12"/>
        <v>43</v>
      </c>
      <c r="C426" s="115">
        <f t="shared" si="13"/>
        <v>5</v>
      </c>
      <c r="D426" s="116" t="str" cm="1">
        <f t="array" ref="D426">INDEX('Rad-2'!$B$2:$J$100,1+B426,C426)</f>
        <v>* differential.element[44].min = 0</v>
      </c>
    </row>
    <row r="427" spans="1:4" x14ac:dyDescent="0.75">
      <c r="A427" s="115">
        <v>393</v>
      </c>
      <c r="B427" s="115">
        <f t="shared" si="12"/>
        <v>43</v>
      </c>
      <c r="C427" s="115">
        <f t="shared" si="13"/>
        <v>6</v>
      </c>
      <c r="D427" s="116" t="str" cm="1">
        <f t="array" ref="D427">INDEX('Rad-2'!$B$2:$J$100,1+B427,C427)</f>
        <v>* differential.element[44].max = "1"</v>
      </c>
    </row>
    <row r="428" spans="1:4" x14ac:dyDescent="0.75">
      <c r="A428" s="115">
        <v>394</v>
      </c>
      <c r="B428" s="115">
        <f t="shared" si="12"/>
        <v>43</v>
      </c>
      <c r="C428" s="115">
        <f t="shared" si="13"/>
        <v>7</v>
      </c>
      <c r="D428" s="116" t="str" cm="1">
        <f t="array" ref="D428">INDEX('Rad-2'!$B$2:$J$100,1+B428,C428)</f>
        <v>* differential.element[44].type.code = #CodeableConcept</v>
      </c>
    </row>
    <row r="429" spans="1:4" x14ac:dyDescent="0.75">
      <c r="A429" s="115">
        <v>395</v>
      </c>
      <c r="B429" s="115">
        <f t="shared" ref="B429:B492" si="14">IF(MOD(A429,$B$25)=0,A429/$B$25-1,INT(A429/$B$25))</f>
        <v>43</v>
      </c>
      <c r="C429" s="115">
        <f t="shared" ref="C429:C492" si="15">IF(MOD(A429,$B$25)=0,$B$25,MOD(A429,$B$25))</f>
        <v>8</v>
      </c>
      <c r="D429" s="116" t="str" cm="1">
        <f t="array" ref="D429">INDEX('Rad-2'!$B$2:$J$100,1+B429,C429)</f>
        <v/>
      </c>
    </row>
    <row r="430" spans="1:4" x14ac:dyDescent="0.75">
      <c r="A430" s="115">
        <v>396</v>
      </c>
      <c r="B430" s="115">
        <f t="shared" si="14"/>
        <v>43</v>
      </c>
      <c r="C430" s="115">
        <f t="shared" si="15"/>
        <v>9</v>
      </c>
      <c r="D430" s="116" t="str" cm="1">
        <f t="array" ref="D430">INDEX('Rad-2'!$B$2:$J$100,1+B430,C430)</f>
        <v/>
      </c>
    </row>
    <row r="431" spans="1:4" x14ac:dyDescent="0.75">
      <c r="A431" s="115">
        <v>397</v>
      </c>
      <c r="B431" s="115">
        <f t="shared" si="14"/>
        <v>44</v>
      </c>
      <c r="C431" s="115">
        <f t="shared" si="15"/>
        <v>1</v>
      </c>
      <c r="D431" s="116" t="str" cm="1">
        <f t="array" ref="D431">INDEX('Rad-2'!$B$2:$J$100,1+B431,C431)</f>
        <v>* differential.element[45].id = "Radiotherapy.target.boost.cumulativeDose.dose"</v>
      </c>
    </row>
    <row r="432" spans="1:4" x14ac:dyDescent="0.75">
      <c r="A432" s="115">
        <v>398</v>
      </c>
      <c r="B432" s="115">
        <f t="shared" si="14"/>
        <v>44</v>
      </c>
      <c r="C432" s="115">
        <f t="shared" si="15"/>
        <v>2</v>
      </c>
      <c r="D432" s="116" t="str" cm="1">
        <f t="array" ref="D432">INDEX('Rad-2'!$B$2:$J$100,1+B432,C432)</f>
        <v>* differential.element[45].path = "Radiotherapy.target.boost.cumulativeDose.dose"</v>
      </c>
    </row>
    <row r="433" spans="1:4" x14ac:dyDescent="0.75">
      <c r="A433" s="115">
        <v>399</v>
      </c>
      <c r="B433" s="115">
        <f t="shared" si="14"/>
        <v>44</v>
      </c>
      <c r="C433" s="115">
        <f t="shared" si="15"/>
        <v>3</v>
      </c>
      <c r="D433" s="116" t="str" cm="1">
        <f t="array" ref="D433">INDEX('Rad-2'!$B$2:$J$100,1+B433,C433)</f>
        <v>* differential.element[45].short = "Dose"</v>
      </c>
    </row>
    <row r="434" spans="1:4" x14ac:dyDescent="0.75">
      <c r="A434" s="115">
        <v>400</v>
      </c>
      <c r="B434" s="115">
        <f t="shared" si="14"/>
        <v>44</v>
      </c>
      <c r="C434" s="115">
        <f t="shared" si="15"/>
        <v>4</v>
      </c>
      <c r="D434" s="116" t="str" cm="1">
        <f t="array" ref="D434">INDEX('Rad-2'!$B$2:$J$100,1+B434,C434)</f>
        <v>* differential.element[45].definition = "Specify the cumulative / total dose given to the boost site."</v>
      </c>
    </row>
    <row r="435" spans="1:4" x14ac:dyDescent="0.75">
      <c r="A435" s="115">
        <v>401</v>
      </c>
      <c r="B435" s="115">
        <f t="shared" si="14"/>
        <v>44</v>
      </c>
      <c r="C435" s="115">
        <f t="shared" si="15"/>
        <v>5</v>
      </c>
      <c r="D435" s="116" t="str" cm="1">
        <f t="array" ref="D435">INDEX('Rad-2'!$B$2:$J$100,1+B435,C435)</f>
        <v>* differential.element[45].min = 0</v>
      </c>
    </row>
    <row r="436" spans="1:4" x14ac:dyDescent="0.75">
      <c r="A436" s="115">
        <v>402</v>
      </c>
      <c r="B436" s="115">
        <f t="shared" si="14"/>
        <v>44</v>
      </c>
      <c r="C436" s="115">
        <f t="shared" si="15"/>
        <v>6</v>
      </c>
      <c r="D436" s="116" t="str" cm="1">
        <f t="array" ref="D436">INDEX('Rad-2'!$B$2:$J$100,1+B436,C436)</f>
        <v>* differential.element[45].max = "1"</v>
      </c>
    </row>
    <row r="437" spans="1:4" x14ac:dyDescent="0.75">
      <c r="A437" s="115">
        <v>403</v>
      </c>
      <c r="B437" s="115">
        <f t="shared" si="14"/>
        <v>44</v>
      </c>
      <c r="C437" s="115">
        <f t="shared" si="15"/>
        <v>7</v>
      </c>
      <c r="D437" s="116" t="str" cm="1">
        <f t="array" ref="D437">INDEX('Rad-2'!$B$2:$J$100,1+B437,C437)</f>
        <v>* differential.element[45].type.code = #decimal</v>
      </c>
    </row>
    <row r="438" spans="1:4" x14ac:dyDescent="0.75">
      <c r="A438" s="115">
        <v>404</v>
      </c>
      <c r="B438" s="115">
        <f t="shared" si="14"/>
        <v>44</v>
      </c>
      <c r="C438" s="115">
        <f t="shared" si="15"/>
        <v>8</v>
      </c>
      <c r="D438" s="116" t="str" cm="1">
        <f t="array" ref="D438">INDEX('Rad-2'!$B$2:$J$100,1+B438,C438)</f>
        <v/>
      </c>
    </row>
    <row r="439" spans="1:4" x14ac:dyDescent="0.75">
      <c r="A439" s="115">
        <v>405</v>
      </c>
      <c r="B439" s="115">
        <f t="shared" si="14"/>
        <v>44</v>
      </c>
      <c r="C439" s="115">
        <f t="shared" si="15"/>
        <v>9</v>
      </c>
      <c r="D439" s="116" t="str" cm="1">
        <f t="array" ref="D439">INDEX('Rad-2'!$B$2:$J$100,1+B439,C439)</f>
        <v/>
      </c>
    </row>
    <row r="440" spans="1:4" x14ac:dyDescent="0.75">
      <c r="A440" s="115">
        <v>406</v>
      </c>
      <c r="B440" s="115">
        <f t="shared" si="14"/>
        <v>45</v>
      </c>
      <c r="C440" s="115">
        <f t="shared" si="15"/>
        <v>1</v>
      </c>
      <c r="D440" s="116" t="str" cm="1">
        <f t="array" ref="D440">INDEX('Rad-2'!$B$2:$J$100,1+B440,C440)</f>
        <v>* differential.element[46].id = "Radiotherapy.target.boost.cumulativeDose.unit"</v>
      </c>
    </row>
    <row r="441" spans="1:4" x14ac:dyDescent="0.75">
      <c r="A441" s="115">
        <v>407</v>
      </c>
      <c r="B441" s="115">
        <f t="shared" si="14"/>
        <v>45</v>
      </c>
      <c r="C441" s="115">
        <f t="shared" si="15"/>
        <v>2</v>
      </c>
      <c r="D441" s="116" t="str" cm="1">
        <f t="array" ref="D441">INDEX('Rad-2'!$B$2:$J$100,1+B441,C441)</f>
        <v>* differential.element[46].path = "Radiotherapy.target.boost.cumulativeDose.unit"</v>
      </c>
    </row>
    <row r="442" spans="1:4" x14ac:dyDescent="0.75">
      <c r="A442" s="115">
        <v>408</v>
      </c>
      <c r="B442" s="115">
        <f t="shared" si="14"/>
        <v>45</v>
      </c>
      <c r="C442" s="115">
        <f t="shared" si="15"/>
        <v>3</v>
      </c>
      <c r="D442" s="116" t="str" cm="1">
        <f t="array" ref="D442">INDEX('Rad-2'!$B$2:$J$100,1+B442,C442)</f>
        <v>* differential.element[46].short = "Unit"</v>
      </c>
    </row>
    <row r="443" spans="1:4" ht="29.5" x14ac:dyDescent="0.75">
      <c r="A443" s="115">
        <v>409</v>
      </c>
      <c r="B443" s="115">
        <f t="shared" si="14"/>
        <v>45</v>
      </c>
      <c r="C443" s="115">
        <f t="shared" si="15"/>
        <v>4</v>
      </c>
      <c r="D443" s="116" t="str" cm="1">
        <f t="array" ref="D443">INDEX('Rad-2'!$B$2:$J$100,1+B443,C443)</f>
        <v>* differential.element[46].definition = "Specify the unit of the boost in case of external beam radiotherapy as  Gy. 
specify if dose is recorded in bequerels (MBq or GBq) or curies (Ci) or Unkwnon"</v>
      </c>
    </row>
    <row r="444" spans="1:4" x14ac:dyDescent="0.75">
      <c r="A444" s="115">
        <v>410</v>
      </c>
      <c r="B444" s="115">
        <f t="shared" si="14"/>
        <v>45</v>
      </c>
      <c r="C444" s="115">
        <f t="shared" si="15"/>
        <v>5</v>
      </c>
      <c r="D444" s="116" t="str" cm="1">
        <f t="array" ref="D444">INDEX('Rad-2'!$B$2:$J$100,1+B444,C444)</f>
        <v>* differential.element[46].min = 0</v>
      </c>
    </row>
    <row r="445" spans="1:4" x14ac:dyDescent="0.75">
      <c r="A445" s="115">
        <v>411</v>
      </c>
      <c r="B445" s="115">
        <f t="shared" si="14"/>
        <v>45</v>
      </c>
      <c r="C445" s="115">
        <f t="shared" si="15"/>
        <v>6</v>
      </c>
      <c r="D445" s="116" t="str" cm="1">
        <f t="array" ref="D445">INDEX('Rad-2'!$B$2:$J$100,1+B445,C445)</f>
        <v>* differential.element[46].max = "1"</v>
      </c>
    </row>
    <row r="446" spans="1:4" x14ac:dyDescent="0.75">
      <c r="A446" s="115">
        <v>412</v>
      </c>
      <c r="B446" s="115">
        <f t="shared" si="14"/>
        <v>45</v>
      </c>
      <c r="C446" s="115">
        <f t="shared" si="15"/>
        <v>7</v>
      </c>
      <c r="D446" s="116" t="str" cm="1">
        <f t="array" ref="D446">INDEX('Rad-2'!$B$2:$J$100,1+B446,C446)</f>
        <v>* differential.element[46].type.code = #CodeableConcept</v>
      </c>
    </row>
    <row r="447" spans="1:4" x14ac:dyDescent="0.75">
      <c r="A447" s="115">
        <v>413</v>
      </c>
      <c r="B447" s="115">
        <f t="shared" si="14"/>
        <v>45</v>
      </c>
      <c r="C447" s="115">
        <f t="shared" si="15"/>
        <v>8</v>
      </c>
      <c r="D447" s="116" t="str" cm="1">
        <f t="array" ref="D447">INDEX('Rad-2'!$B$2:$J$100,1+B447,C447)</f>
        <v/>
      </c>
    </row>
    <row r="448" spans="1:4" x14ac:dyDescent="0.75">
      <c r="A448" s="115">
        <v>414</v>
      </c>
      <c r="B448" s="115">
        <f t="shared" si="14"/>
        <v>45</v>
      </c>
      <c r="C448" s="115">
        <f t="shared" si="15"/>
        <v>9</v>
      </c>
      <c r="D448" s="116" t="str" cm="1">
        <f t="array" ref="D448">INDEX('Rad-2'!$B$2:$J$100,1+B448,C448)</f>
        <v/>
      </c>
    </row>
    <row r="449" spans="1:4" x14ac:dyDescent="0.75">
      <c r="A449" s="115">
        <v>415</v>
      </c>
      <c r="B449" s="115">
        <f t="shared" si="14"/>
        <v>46</v>
      </c>
      <c r="C449" s="115">
        <f t="shared" si="15"/>
        <v>1</v>
      </c>
      <c r="D449" s="116" t="str" cm="1">
        <f t="array" ref="D449">INDEX('Rad-2'!$B$2:$J$100,1+B449,C449)</f>
        <v>* differential.element[47].id = "Radiotherapy.target.boost.cumulativeDose.fractions"</v>
      </c>
    </row>
    <row r="450" spans="1:4" x14ac:dyDescent="0.75">
      <c r="A450" s="115">
        <v>416</v>
      </c>
      <c r="B450" s="115">
        <f t="shared" si="14"/>
        <v>46</v>
      </c>
      <c r="C450" s="115">
        <f t="shared" si="15"/>
        <v>2</v>
      </c>
      <c r="D450" s="116" t="str" cm="1">
        <f t="array" ref="D450">INDEX('Rad-2'!$B$2:$J$100,1+B450,C450)</f>
        <v>* differential.element[47].path = "Radiotherapy.target.boost.cumulativeDose.fractions"</v>
      </c>
    </row>
    <row r="451" spans="1:4" x14ac:dyDescent="0.75">
      <c r="A451" s="115">
        <v>417</v>
      </c>
      <c r="B451" s="115">
        <f t="shared" si="14"/>
        <v>46</v>
      </c>
      <c r="C451" s="115">
        <f t="shared" si="15"/>
        <v>3</v>
      </c>
      <c r="D451" s="116" t="str" cm="1">
        <f t="array" ref="D451">INDEX('Rad-2'!$B$2:$J$100,1+B451,C451)</f>
        <v>* differential.element[47].short = "Number of fractions (if  external beam)"</v>
      </c>
    </row>
    <row r="452" spans="1:4" ht="29.5" x14ac:dyDescent="0.75">
      <c r="A452" s="115">
        <v>418</v>
      </c>
      <c r="B452" s="115">
        <f t="shared" si="14"/>
        <v>46</v>
      </c>
      <c r="C452" s="115">
        <f t="shared" si="15"/>
        <v>4</v>
      </c>
      <c r="D452" s="116" t="str" cm="1">
        <f t="array" ref="D452">INDEX('Rad-2'!$B$2:$J$100,1+B452,C452)</f>
        <v>* differential.element[47].definition = "A fraction of radiation treatment is a single attendance for treatment. Please specify the number of fractions given as included in the boost. If not known, insert NK."</v>
      </c>
    </row>
    <row r="453" spans="1:4" x14ac:dyDescent="0.75">
      <c r="A453" s="115">
        <v>419</v>
      </c>
      <c r="B453" s="115">
        <f t="shared" si="14"/>
        <v>46</v>
      </c>
      <c r="C453" s="115">
        <f t="shared" si="15"/>
        <v>5</v>
      </c>
      <c r="D453" s="116" t="str" cm="1">
        <f t="array" ref="D453">INDEX('Rad-2'!$B$2:$J$100,1+B453,C453)</f>
        <v>* differential.element[47].min = 0</v>
      </c>
    </row>
    <row r="454" spans="1:4" x14ac:dyDescent="0.75">
      <c r="A454" s="115">
        <v>420</v>
      </c>
      <c r="B454" s="115">
        <f t="shared" si="14"/>
        <v>46</v>
      </c>
      <c r="C454" s="115">
        <f t="shared" si="15"/>
        <v>6</v>
      </c>
      <c r="D454" s="116" t="str" cm="1">
        <f t="array" ref="D454">INDEX('Rad-2'!$B$2:$J$100,1+B454,C454)</f>
        <v>* differential.element[47].max = "1"</v>
      </c>
    </row>
    <row r="455" spans="1:4" x14ac:dyDescent="0.75">
      <c r="A455" s="115">
        <v>421</v>
      </c>
      <c r="B455" s="115">
        <f t="shared" si="14"/>
        <v>46</v>
      </c>
      <c r="C455" s="115">
        <f t="shared" si="15"/>
        <v>7</v>
      </c>
      <c r="D455" s="116" t="str" cm="1">
        <f t="array" ref="D455">INDEX('Rad-2'!$B$2:$J$100,1+B455,C455)</f>
        <v>* differential.element[47].type.code = #integer</v>
      </c>
    </row>
    <row r="456" spans="1:4" x14ac:dyDescent="0.75">
      <c r="A456" s="115">
        <v>422</v>
      </c>
      <c r="B456" s="115">
        <f t="shared" si="14"/>
        <v>46</v>
      </c>
      <c r="C456" s="115">
        <f t="shared" si="15"/>
        <v>8</v>
      </c>
      <c r="D456" s="116" t="str" cm="1">
        <f t="array" ref="D456">INDEX('Rad-2'!$B$2:$J$100,1+B456,C456)</f>
        <v/>
      </c>
    </row>
    <row r="457" spans="1:4" x14ac:dyDescent="0.75">
      <c r="A457" s="115">
        <v>423</v>
      </c>
      <c r="B457" s="115">
        <f t="shared" si="14"/>
        <v>46</v>
      </c>
      <c r="C457" s="115">
        <f t="shared" si="15"/>
        <v>9</v>
      </c>
      <c r="D457" s="116" t="str" cm="1">
        <f t="array" ref="D457">INDEX('Rad-2'!$B$2:$J$100,1+B457,C457)</f>
        <v/>
      </c>
    </row>
    <row r="458" spans="1:4" x14ac:dyDescent="0.75">
      <c r="A458" s="115">
        <v>424</v>
      </c>
      <c r="B458" s="115">
        <f t="shared" si="14"/>
        <v>47</v>
      </c>
      <c r="C458" s="115">
        <f t="shared" si="15"/>
        <v>1</v>
      </c>
      <c r="D458" s="116" t="str" cm="1">
        <f t="array" ref="D458">INDEX('Rad-2'!$B$2:$J$100,1+B458,C458)</f>
        <v>* differential.element[48].id = "Radiotherapy.target.site.shielding"</v>
      </c>
    </row>
    <row r="459" spans="1:4" x14ac:dyDescent="0.75">
      <c r="A459" s="115">
        <v>425</v>
      </c>
      <c r="B459" s="115">
        <f t="shared" si="14"/>
        <v>47</v>
      </c>
      <c r="C459" s="115">
        <f t="shared" si="15"/>
        <v>2</v>
      </c>
      <c r="D459" s="116" t="str" cm="1">
        <f t="array" ref="D459">INDEX('Rad-2'!$B$2:$J$100,1+B459,C459)</f>
        <v>* differential.element[48].path = "Radiotherapy.target.site.shielding"</v>
      </c>
    </row>
    <row r="460" spans="1:4" x14ac:dyDescent="0.75">
      <c r="A460" s="115">
        <v>426</v>
      </c>
      <c r="B460" s="115">
        <f t="shared" si="14"/>
        <v>47</v>
      </c>
      <c r="C460" s="115">
        <f t="shared" si="15"/>
        <v>3</v>
      </c>
      <c r="D460" s="116" t="str" cm="1">
        <f t="array" ref="D460">INDEX('Rad-2'!$B$2:$J$100,1+B460,C460)</f>
        <v>* differential.element[48].short = "Shielding"</v>
      </c>
    </row>
    <row r="461" spans="1:4" x14ac:dyDescent="0.75">
      <c r="A461" s="115">
        <v>427</v>
      </c>
      <c r="B461" s="115">
        <f t="shared" si="14"/>
        <v>47</v>
      </c>
      <c r="C461" s="115">
        <f t="shared" si="15"/>
        <v>4</v>
      </c>
      <c r="D461" s="116" t="str" cm="1">
        <f t="array" ref="D461">INDEX('Rad-2'!$B$2:$J$100,1+B461,C461)</f>
        <v>* differential.element[48].definition = "Shielding, in some records this is called “blocking” or “blocks”. "</v>
      </c>
    </row>
    <row r="462" spans="1:4" x14ac:dyDescent="0.75">
      <c r="A462" s="115">
        <v>428</v>
      </c>
      <c r="B462" s="115">
        <f t="shared" si="14"/>
        <v>47</v>
      </c>
      <c r="C462" s="115">
        <f t="shared" si="15"/>
        <v>5</v>
      </c>
      <c r="D462" s="116" t="str" cm="1">
        <f t="array" ref="D462">INDEX('Rad-2'!$B$2:$J$100,1+B462,C462)</f>
        <v>* differential.element[48].min = 0</v>
      </c>
    </row>
    <row r="463" spans="1:4" x14ac:dyDescent="0.75">
      <c r="A463" s="115">
        <v>429</v>
      </c>
      <c r="B463" s="115">
        <f t="shared" si="14"/>
        <v>47</v>
      </c>
      <c r="C463" s="115">
        <f t="shared" si="15"/>
        <v>6</v>
      </c>
      <c r="D463" s="116" t="str" cm="1">
        <f t="array" ref="D463">INDEX('Rad-2'!$B$2:$J$100,1+B463,C463)</f>
        <v>* differential.element[48].max = "1"</v>
      </c>
    </row>
    <row r="464" spans="1:4" x14ac:dyDescent="0.75">
      <c r="A464" s="115">
        <v>430</v>
      </c>
      <c r="B464" s="115">
        <f t="shared" si="14"/>
        <v>47</v>
      </c>
      <c r="C464" s="115">
        <f t="shared" si="15"/>
        <v>7</v>
      </c>
      <c r="D464" s="116" t="str" cm="1">
        <f t="array" ref="D464">INDEX('Rad-2'!$B$2:$J$100,1+B464,C464)</f>
        <v>* differential.element[48].type.code = #BackboneElement</v>
      </c>
    </row>
    <row r="465" spans="1:4" x14ac:dyDescent="0.75">
      <c r="A465" s="115">
        <v>431</v>
      </c>
      <c r="B465" s="115">
        <f t="shared" si="14"/>
        <v>47</v>
      </c>
      <c r="C465" s="115">
        <f t="shared" si="15"/>
        <v>8</v>
      </c>
      <c r="D465" s="116" t="str" cm="1">
        <f t="array" ref="D465">INDEX('Rad-2'!$B$2:$J$100,1+B465,C465)</f>
        <v/>
      </c>
    </row>
    <row r="466" spans="1:4" x14ac:dyDescent="0.75">
      <c r="A466" s="115">
        <v>432</v>
      </c>
      <c r="B466" s="115">
        <f t="shared" si="14"/>
        <v>47</v>
      </c>
      <c r="C466" s="115">
        <f t="shared" si="15"/>
        <v>9</v>
      </c>
      <c r="D466" s="116" t="str" cm="1">
        <f t="array" ref="D466">INDEX('Rad-2'!$B$2:$J$100,1+B466,C466)</f>
        <v/>
      </c>
    </row>
    <row r="467" spans="1:4" x14ac:dyDescent="0.75">
      <c r="A467" s="115">
        <v>433</v>
      </c>
      <c r="B467" s="115">
        <f t="shared" si="14"/>
        <v>48</v>
      </c>
      <c r="C467" s="115">
        <f t="shared" si="15"/>
        <v>1</v>
      </c>
      <c r="D467" s="116" t="str" cm="1">
        <f t="array" ref="D467">INDEX('Rad-2'!$B$2:$J$100,1+B467,C467)</f>
        <v>* differential.element[49].id = "Radiotherapy.target.site.shielding.status"</v>
      </c>
    </row>
    <row r="468" spans="1:4" x14ac:dyDescent="0.75">
      <c r="A468" s="115">
        <v>434</v>
      </c>
      <c r="B468" s="115">
        <f t="shared" si="14"/>
        <v>48</v>
      </c>
      <c r="C468" s="115">
        <f t="shared" si="15"/>
        <v>2</v>
      </c>
      <c r="D468" s="116" t="str" cm="1">
        <f t="array" ref="D468">INDEX('Rad-2'!$B$2:$J$100,1+B468,C468)</f>
        <v>* differential.element[49].path = "Radiotherapy.target.site.shielding.status"</v>
      </c>
    </row>
    <row r="469" spans="1:4" x14ac:dyDescent="0.75">
      <c r="A469" s="115">
        <v>435</v>
      </c>
      <c r="B469" s="115">
        <f t="shared" si="14"/>
        <v>48</v>
      </c>
      <c r="C469" s="115">
        <f t="shared" si="15"/>
        <v>3</v>
      </c>
      <c r="D469" s="116" t="str" cm="1">
        <f t="array" ref="D469">INDEX('Rad-2'!$B$2:$J$100,1+B469,C469)</f>
        <v>* differential.element[49].short = "Shielding status"</v>
      </c>
    </row>
    <row r="470" spans="1:4" ht="29.5" x14ac:dyDescent="0.75">
      <c r="A470" s="115">
        <v>436</v>
      </c>
      <c r="B470" s="115">
        <f t="shared" si="14"/>
        <v>48</v>
      </c>
      <c r="C470" s="115">
        <f t="shared" si="15"/>
        <v>4</v>
      </c>
      <c r="D470" s="116" t="str" cm="1">
        <f t="array" ref="D470">INDEX('Rad-2'!$B$2:$J$100,1+B470,C470)</f>
        <v>* differential.element[49].definition = "Specify if shielding was used or not. 
Yes;  No;  NK  "</v>
      </c>
    </row>
    <row r="471" spans="1:4" x14ac:dyDescent="0.75">
      <c r="A471" s="115">
        <v>437</v>
      </c>
      <c r="B471" s="115">
        <f t="shared" si="14"/>
        <v>48</v>
      </c>
      <c r="C471" s="115">
        <f t="shared" si="15"/>
        <v>5</v>
      </c>
      <c r="D471" s="116" t="str" cm="1">
        <f t="array" ref="D471">INDEX('Rad-2'!$B$2:$J$100,1+B471,C471)</f>
        <v>* differential.element[49].min = 0</v>
      </c>
    </row>
    <row r="472" spans="1:4" x14ac:dyDescent="0.75">
      <c r="A472" s="115">
        <v>438</v>
      </c>
      <c r="B472" s="115">
        <f t="shared" si="14"/>
        <v>48</v>
      </c>
      <c r="C472" s="115">
        <f t="shared" si="15"/>
        <v>6</v>
      </c>
      <c r="D472" s="116" t="str" cm="1">
        <f t="array" ref="D472">INDEX('Rad-2'!$B$2:$J$100,1+B472,C472)</f>
        <v>* differential.element[49].max = "1"</v>
      </c>
    </row>
    <row r="473" spans="1:4" x14ac:dyDescent="0.75">
      <c r="A473" s="115">
        <v>439</v>
      </c>
      <c r="B473" s="115">
        <f t="shared" si="14"/>
        <v>48</v>
      </c>
      <c r="C473" s="115">
        <f t="shared" si="15"/>
        <v>7</v>
      </c>
      <c r="D473" s="116" t="str" cm="1">
        <f t="array" ref="D473">INDEX('Rad-2'!$B$2:$J$100,1+B473,C473)</f>
        <v>* differential.element[49].type.code = #CodeableConcept</v>
      </c>
    </row>
    <row r="474" spans="1:4" x14ac:dyDescent="0.75">
      <c r="A474" s="115">
        <v>440</v>
      </c>
      <c r="B474" s="115">
        <f t="shared" si="14"/>
        <v>48</v>
      </c>
      <c r="C474" s="115">
        <f t="shared" si="15"/>
        <v>8</v>
      </c>
      <c r="D474" s="116" t="str" cm="1">
        <f t="array" ref="D474">INDEX('Rad-2'!$B$2:$J$100,1+B474,C474)</f>
        <v/>
      </c>
    </row>
    <row r="475" spans="1:4" x14ac:dyDescent="0.75">
      <c r="A475" s="115">
        <v>441</v>
      </c>
      <c r="B475" s="115">
        <f t="shared" si="14"/>
        <v>48</v>
      </c>
      <c r="C475" s="115">
        <f t="shared" si="15"/>
        <v>9</v>
      </c>
      <c r="D475" s="116" t="str" cm="1">
        <f t="array" ref="D475">INDEX('Rad-2'!$B$2:$J$100,1+B475,C475)</f>
        <v/>
      </c>
    </row>
    <row r="476" spans="1:4" x14ac:dyDescent="0.75">
      <c r="A476" s="115">
        <v>442</v>
      </c>
      <c r="B476" s="115">
        <f t="shared" si="14"/>
        <v>49</v>
      </c>
      <c r="C476" s="115">
        <f t="shared" si="15"/>
        <v>1</v>
      </c>
      <c r="D476" s="116" t="str" cm="1">
        <f t="array" ref="D476">INDEX('Rad-2'!$B$2:$J$100,1+B476,C476)</f>
        <v>* differential.element[50].id = "Radiotherapy.target.site.shielding.position"</v>
      </c>
    </row>
    <row r="477" spans="1:4" x14ac:dyDescent="0.75">
      <c r="A477" s="115">
        <v>443</v>
      </c>
      <c r="B477" s="115">
        <f t="shared" si="14"/>
        <v>49</v>
      </c>
      <c r="C477" s="115">
        <f t="shared" si="15"/>
        <v>2</v>
      </c>
      <c r="D477" s="116" t="str" cm="1">
        <f t="array" ref="D477">INDEX('Rad-2'!$B$2:$J$100,1+B477,C477)</f>
        <v>* differential.element[50].path = "Radiotherapy.target.site.shielding.position"</v>
      </c>
    </row>
    <row r="478" spans="1:4" x14ac:dyDescent="0.75">
      <c r="A478" s="115">
        <v>444</v>
      </c>
      <c r="B478" s="115">
        <f t="shared" si="14"/>
        <v>49</v>
      </c>
      <c r="C478" s="115">
        <f t="shared" si="15"/>
        <v>3</v>
      </c>
      <c r="D478" s="116" t="str" cm="1">
        <f t="array" ref="D478">INDEX('Rad-2'!$B$2:$J$100,1+B478,C478)</f>
        <v>* differential.element[50].short = "Position of shielding"</v>
      </c>
    </row>
    <row r="479" spans="1:4" x14ac:dyDescent="0.75">
      <c r="A479" s="115">
        <v>445</v>
      </c>
      <c r="B479" s="115">
        <f t="shared" si="14"/>
        <v>49</v>
      </c>
      <c r="C479" s="115">
        <f t="shared" si="15"/>
        <v>4</v>
      </c>
      <c r="D479" s="116" t="str" cm="1">
        <f t="array" ref="D479">INDEX('Rad-2'!$B$2:$J$100,1+B479,C479)</f>
        <v>* differential.element[50].definition = "Describe the positioning of shielding"</v>
      </c>
    </row>
    <row r="480" spans="1:4" x14ac:dyDescent="0.75">
      <c r="A480" s="115">
        <v>446</v>
      </c>
      <c r="B480" s="115">
        <f t="shared" si="14"/>
        <v>49</v>
      </c>
      <c r="C480" s="115">
        <f t="shared" si="15"/>
        <v>5</v>
      </c>
      <c r="D480" s="116" t="str" cm="1">
        <f t="array" ref="D480">INDEX('Rad-2'!$B$2:$J$100,1+B480,C480)</f>
        <v>* differential.element[50].min = 0</v>
      </c>
    </row>
    <row r="481" spans="1:4" x14ac:dyDescent="0.75">
      <c r="A481" s="115">
        <v>447</v>
      </c>
      <c r="B481" s="115">
        <f t="shared" si="14"/>
        <v>49</v>
      </c>
      <c r="C481" s="115">
        <f t="shared" si="15"/>
        <v>6</v>
      </c>
      <c r="D481" s="116" t="str" cm="1">
        <f t="array" ref="D481">INDEX('Rad-2'!$B$2:$J$100,1+B481,C481)</f>
        <v>* differential.element[50].max = "1"</v>
      </c>
    </row>
    <row r="482" spans="1:4" x14ac:dyDescent="0.75">
      <c r="A482" s="115">
        <v>448</v>
      </c>
      <c r="B482" s="115">
        <f t="shared" si="14"/>
        <v>49</v>
      </c>
      <c r="C482" s="115">
        <f t="shared" si="15"/>
        <v>7</v>
      </c>
      <c r="D482" s="116" t="str" cm="1">
        <f t="array" ref="D482">INDEX('Rad-2'!$B$2:$J$100,1+B482,C482)</f>
        <v>* differential.element[50].type.code = #string</v>
      </c>
    </row>
    <row r="483" spans="1:4" x14ac:dyDescent="0.75">
      <c r="A483" s="115">
        <v>449</v>
      </c>
      <c r="B483" s="115">
        <f t="shared" si="14"/>
        <v>49</v>
      </c>
      <c r="C483" s="115">
        <f t="shared" si="15"/>
        <v>8</v>
      </c>
      <c r="D483" s="116" t="str" cm="1">
        <f t="array" ref="D483">INDEX('Rad-2'!$B$2:$J$100,1+B483,C483)</f>
        <v/>
      </c>
    </row>
    <row r="484" spans="1:4" x14ac:dyDescent="0.75">
      <c r="A484" s="115">
        <v>450</v>
      </c>
      <c r="B484" s="115">
        <f t="shared" si="14"/>
        <v>49</v>
      </c>
      <c r="C484" s="115">
        <f t="shared" si="15"/>
        <v>9</v>
      </c>
      <c r="D484" s="116" t="str" cm="1">
        <f t="array" ref="D484">INDEX('Rad-2'!$B$2:$J$100,1+B484,C484)</f>
        <v/>
      </c>
    </row>
    <row r="485" spans="1:4" x14ac:dyDescent="0.75">
      <c r="A485" s="115">
        <v>451</v>
      </c>
      <c r="B485" s="115">
        <f t="shared" si="14"/>
        <v>50</v>
      </c>
      <c r="C485" s="115">
        <f t="shared" si="15"/>
        <v>1</v>
      </c>
      <c r="D485" s="116" t="str" cm="1">
        <f t="array" ref="D485">INDEX('Rad-2'!$B$2:$J$100,1+B485,C485)</f>
        <v>* differential.element[51].id = "Radiotherapy.target.site.notes"</v>
      </c>
    </row>
    <row r="486" spans="1:4" x14ac:dyDescent="0.75">
      <c r="A486" s="115">
        <v>452</v>
      </c>
      <c r="B486" s="115">
        <f t="shared" si="14"/>
        <v>50</v>
      </c>
      <c r="C486" s="115">
        <f t="shared" si="15"/>
        <v>2</v>
      </c>
      <c r="D486" s="116" t="str" cm="1">
        <f t="array" ref="D486">INDEX('Rad-2'!$B$2:$J$100,1+B486,C486)</f>
        <v>* differential.element[51].path = "Radiotherapy.target.site.notes"</v>
      </c>
    </row>
    <row r="487" spans="1:4" x14ac:dyDescent="0.75">
      <c r="A487" s="115">
        <v>453</v>
      </c>
      <c r="B487" s="115">
        <f t="shared" si="14"/>
        <v>50</v>
      </c>
      <c r="C487" s="115">
        <f t="shared" si="15"/>
        <v>3</v>
      </c>
      <c r="D487" s="116" t="str" cm="1">
        <f t="array" ref="D487">INDEX('Rad-2'!$B$2:$J$100,1+B487,C487)</f>
        <v>* differential.element[51].short = "Additional description"</v>
      </c>
    </row>
    <row r="488" spans="1:4" x14ac:dyDescent="0.75">
      <c r="A488" s="115">
        <v>454</v>
      </c>
      <c r="B488" s="115">
        <f t="shared" si="14"/>
        <v>50</v>
      </c>
      <c r="C488" s="115">
        <f t="shared" si="15"/>
        <v>4</v>
      </c>
      <c r="D488" s="116" t="str" cm="1">
        <f t="array" ref="D488">INDEX('Rad-2'!$B$2:$J$100,1+B488,C488)</f>
        <v>* differential.element[51].definition = "Record any available details on the shielded tissue/organ (or size of shielded area)."</v>
      </c>
    </row>
    <row r="489" spans="1:4" x14ac:dyDescent="0.75">
      <c r="A489" s="115">
        <v>455</v>
      </c>
      <c r="B489" s="115">
        <f t="shared" si="14"/>
        <v>50</v>
      </c>
      <c r="C489" s="115">
        <f t="shared" si="15"/>
        <v>5</v>
      </c>
      <c r="D489" s="116" t="str" cm="1">
        <f t="array" ref="D489">INDEX('Rad-2'!$B$2:$J$100,1+B489,C489)</f>
        <v>* differential.element[51].min = 0</v>
      </c>
    </row>
    <row r="490" spans="1:4" x14ac:dyDescent="0.75">
      <c r="A490" s="115">
        <v>456</v>
      </c>
      <c r="B490" s="115">
        <f t="shared" si="14"/>
        <v>50</v>
      </c>
      <c r="C490" s="115">
        <f t="shared" si="15"/>
        <v>6</v>
      </c>
      <c r="D490" s="116" t="str" cm="1">
        <f t="array" ref="D490">INDEX('Rad-2'!$B$2:$J$100,1+B490,C490)</f>
        <v>* differential.element[51].max = "1"</v>
      </c>
    </row>
    <row r="491" spans="1:4" x14ac:dyDescent="0.75">
      <c r="A491" s="115">
        <v>457</v>
      </c>
      <c r="B491" s="115">
        <f t="shared" si="14"/>
        <v>50</v>
      </c>
      <c r="C491" s="115">
        <f t="shared" si="15"/>
        <v>7</v>
      </c>
      <c r="D491" s="116" t="str" cm="1">
        <f t="array" ref="D491">INDEX('Rad-2'!$B$2:$J$100,1+B491,C491)</f>
        <v>* differential.element[51].type.code = #string</v>
      </c>
    </row>
    <row r="492" spans="1:4" x14ac:dyDescent="0.75">
      <c r="A492" s="115">
        <v>458</v>
      </c>
      <c r="B492" s="115">
        <f t="shared" si="14"/>
        <v>50</v>
      </c>
      <c r="C492" s="115">
        <f t="shared" si="15"/>
        <v>8</v>
      </c>
      <c r="D492" s="116" t="str" cm="1">
        <f t="array" ref="D492">INDEX('Rad-2'!$B$2:$J$100,1+B492,C492)</f>
        <v/>
      </c>
    </row>
    <row r="493" spans="1:4" x14ac:dyDescent="0.75">
      <c r="A493" s="115">
        <v>459</v>
      </c>
      <c r="B493" s="115">
        <f t="shared" ref="B493:B556" si="16">IF(MOD(A493,$B$25)=0,A493/$B$25-1,INT(A493/$B$25))</f>
        <v>50</v>
      </c>
      <c r="C493" s="115">
        <f t="shared" ref="C493:C556" si="17">IF(MOD(A493,$B$25)=0,$B$25,MOD(A493,$B$25))</f>
        <v>9</v>
      </c>
      <c r="D493" s="116" t="str" cm="1">
        <f t="array" ref="D493">INDEX('Rad-2'!$B$2:$J$100,1+B493,C493)</f>
        <v/>
      </c>
    </row>
    <row r="494" spans="1:4" x14ac:dyDescent="0.75">
      <c r="A494" s="115">
        <v>460</v>
      </c>
      <c r="B494" s="115">
        <f t="shared" si="16"/>
        <v>51</v>
      </c>
      <c r="C494" s="115">
        <f t="shared" si="17"/>
        <v>1</v>
      </c>
      <c r="D494" s="116" t="str" cm="1">
        <f t="array" ref="D494">INDEX('Rad-2'!$B$2:$J$100,1+B494,C494)</f>
        <v>* differential.element[52].id = "Radiotherapy.organAtRisk"</v>
      </c>
    </row>
    <row r="495" spans="1:4" x14ac:dyDescent="0.75">
      <c r="A495" s="115">
        <v>461</v>
      </c>
      <c r="B495" s="115">
        <f t="shared" si="16"/>
        <v>51</v>
      </c>
      <c r="C495" s="115">
        <f t="shared" si="17"/>
        <v>2</v>
      </c>
      <c r="D495" s="116" t="str" cm="1">
        <f t="array" ref="D495">INDEX('Rad-2'!$B$2:$J$100,1+B495,C495)</f>
        <v>* differential.element[52].path = "Radiotherapy.organAtRisk"</v>
      </c>
    </row>
    <row r="496" spans="1:4" x14ac:dyDescent="0.75">
      <c r="A496" s="115">
        <v>462</v>
      </c>
      <c r="B496" s="115">
        <f t="shared" si="16"/>
        <v>51</v>
      </c>
      <c r="C496" s="115">
        <f t="shared" si="17"/>
        <v>3</v>
      </c>
      <c r="D496" s="116" t="str" cm="1">
        <f t="array" ref="D496">INDEX('Rad-2'!$B$2:$J$100,1+B496,C496)</f>
        <v>* differential.element[52].short = "Organ at Risk"</v>
      </c>
    </row>
    <row r="497" spans="1:4" x14ac:dyDescent="0.75">
      <c r="A497" s="115">
        <v>463</v>
      </c>
      <c r="B497" s="115">
        <f t="shared" si="16"/>
        <v>51</v>
      </c>
      <c r="C497" s="115">
        <f t="shared" si="17"/>
        <v>4</v>
      </c>
      <c r="D497" s="116" t="str" cm="1">
        <f t="array" ref="D497">INDEX('Rad-2'!$B$2:$J$100,1+B497,C497)</f>
        <v>* differential.element[52].definition = "Organs at Risk"</v>
      </c>
    </row>
    <row r="498" spans="1:4" x14ac:dyDescent="0.75">
      <c r="A498" s="115">
        <v>464</v>
      </c>
      <c r="B498" s="115">
        <f t="shared" si="16"/>
        <v>51</v>
      </c>
      <c r="C498" s="115">
        <f t="shared" si="17"/>
        <v>5</v>
      </c>
      <c r="D498" s="116" t="str" cm="1">
        <f t="array" ref="D498">INDEX('Rad-2'!$B$2:$J$100,1+B498,C498)</f>
        <v>* differential.element[52].min = 0</v>
      </c>
    </row>
    <row r="499" spans="1:4" x14ac:dyDescent="0.75">
      <c r="A499" s="115">
        <v>465</v>
      </c>
      <c r="B499" s="115">
        <f t="shared" si="16"/>
        <v>51</v>
      </c>
      <c r="C499" s="115">
        <f t="shared" si="17"/>
        <v>6</v>
      </c>
      <c r="D499" s="116" t="str" cm="1">
        <f t="array" ref="D499">INDEX('Rad-2'!$B$2:$J$100,1+B499,C499)</f>
        <v>* differential.element[52].max = "1"</v>
      </c>
    </row>
    <row r="500" spans="1:4" x14ac:dyDescent="0.75">
      <c r="A500" s="115">
        <v>466</v>
      </c>
      <c r="B500" s="115">
        <f t="shared" si="16"/>
        <v>51</v>
      </c>
      <c r="C500" s="115">
        <f t="shared" si="17"/>
        <v>7</v>
      </c>
      <c r="D500" s="116" t="str" cm="1">
        <f t="array" ref="D500">INDEX('Rad-2'!$B$2:$J$100,1+B500,C500)</f>
        <v>* differential.element[52].type.code = #BackboneElement</v>
      </c>
    </row>
    <row r="501" spans="1:4" x14ac:dyDescent="0.75">
      <c r="A501" s="115">
        <v>467</v>
      </c>
      <c r="B501" s="115">
        <f t="shared" si="16"/>
        <v>51</v>
      </c>
      <c r="C501" s="115">
        <f t="shared" si="17"/>
        <v>8</v>
      </c>
      <c r="D501" s="116" t="str" cm="1">
        <f t="array" ref="D501">INDEX('Rad-2'!$B$2:$J$100,1+B501,C501)</f>
        <v/>
      </c>
    </row>
    <row r="502" spans="1:4" x14ac:dyDescent="0.75">
      <c r="A502" s="115">
        <v>468</v>
      </c>
      <c r="B502" s="115">
        <f t="shared" si="16"/>
        <v>51</v>
      </c>
      <c r="C502" s="115">
        <f t="shared" si="17"/>
        <v>9</v>
      </c>
      <c r="D502" s="116" t="str" cm="1">
        <f t="array" ref="D502">INDEX('Rad-2'!$B$2:$J$100,1+B502,C502)</f>
        <v/>
      </c>
    </row>
    <row r="503" spans="1:4" x14ac:dyDescent="0.75">
      <c r="A503" s="115">
        <v>469</v>
      </c>
      <c r="B503" s="115">
        <f t="shared" si="16"/>
        <v>52</v>
      </c>
      <c r="C503" s="115">
        <f t="shared" si="17"/>
        <v>1</v>
      </c>
      <c r="D503" s="116" t="str" cm="1">
        <f t="array" ref="D503">INDEX('Rad-2'!$B$2:$J$100,1+B503,C503)</f>
        <v>* differential.element[53].id = "Radiotherapy.organAtRisk.dosimetry"</v>
      </c>
    </row>
    <row r="504" spans="1:4" x14ac:dyDescent="0.75">
      <c r="A504" s="115">
        <v>470</v>
      </c>
      <c r="B504" s="115">
        <f t="shared" si="16"/>
        <v>52</v>
      </c>
      <c r="C504" s="115">
        <f t="shared" si="17"/>
        <v>2</v>
      </c>
      <c r="D504" s="116" t="str" cm="1">
        <f t="array" ref="D504">INDEX('Rad-2'!$B$2:$J$100,1+B504,C504)</f>
        <v>* differential.element[53].path = "Radiotherapy.organAtRisk.dosimetry"</v>
      </c>
    </row>
    <row r="505" spans="1:4" x14ac:dyDescent="0.75">
      <c r="A505" s="115">
        <v>471</v>
      </c>
      <c r="B505" s="115">
        <f t="shared" si="16"/>
        <v>52</v>
      </c>
      <c r="C505" s="115">
        <f t="shared" si="17"/>
        <v>3</v>
      </c>
      <c r="D505" s="116" t="str" cm="1">
        <f t="array" ref="D505">INDEX('Rad-2'!$B$2:$J$100,1+B505,C505)</f>
        <v>* differential.element[53].short = "Dosimetry on Organ at Risk"</v>
      </c>
    </row>
    <row r="506" spans="1:4" x14ac:dyDescent="0.75">
      <c r="A506" s="115">
        <v>472</v>
      </c>
      <c r="B506" s="115">
        <f t="shared" si="16"/>
        <v>52</v>
      </c>
      <c r="C506" s="115">
        <f t="shared" si="17"/>
        <v>4</v>
      </c>
      <c r="D506" s="116" t="str" cm="1">
        <f t="array" ref="D506">INDEX('Rad-2'!$B$2:$J$100,1+B506,C506)</f>
        <v>* differential.element[53].definition = "Specify if there is available information on Dosimetry of Organs at Risk [Yes/No]"</v>
      </c>
    </row>
    <row r="507" spans="1:4" x14ac:dyDescent="0.75">
      <c r="A507" s="115">
        <v>473</v>
      </c>
      <c r="B507" s="115">
        <f t="shared" si="16"/>
        <v>52</v>
      </c>
      <c r="C507" s="115">
        <f t="shared" si="17"/>
        <v>5</v>
      </c>
      <c r="D507" s="116" t="str" cm="1">
        <f t="array" ref="D507">INDEX('Rad-2'!$B$2:$J$100,1+B507,C507)</f>
        <v>* differential.element[53].min = 0</v>
      </c>
    </row>
    <row r="508" spans="1:4" x14ac:dyDescent="0.75">
      <c r="A508" s="115">
        <v>474</v>
      </c>
      <c r="B508" s="115">
        <f t="shared" si="16"/>
        <v>52</v>
      </c>
      <c r="C508" s="115">
        <f t="shared" si="17"/>
        <v>6</v>
      </c>
      <c r="D508" s="116" t="str" cm="1">
        <f t="array" ref="D508">INDEX('Rad-2'!$B$2:$J$100,1+B508,C508)</f>
        <v>* differential.element[53].max = "1"</v>
      </c>
    </row>
    <row r="509" spans="1:4" x14ac:dyDescent="0.75">
      <c r="A509" s="115">
        <v>475</v>
      </c>
      <c r="B509" s="115">
        <f t="shared" si="16"/>
        <v>52</v>
      </c>
      <c r="C509" s="115">
        <f t="shared" si="17"/>
        <v>7</v>
      </c>
      <c r="D509" s="116" t="str" cm="1">
        <f t="array" ref="D509">INDEX('Rad-2'!$B$2:$J$100,1+B509,C509)</f>
        <v>* differential.element[53].type.code = #CodeableConcept</v>
      </c>
    </row>
    <row r="510" spans="1:4" x14ac:dyDescent="0.75">
      <c r="A510" s="115">
        <v>476</v>
      </c>
      <c r="B510" s="115">
        <f t="shared" si="16"/>
        <v>52</v>
      </c>
      <c r="C510" s="115">
        <f t="shared" si="17"/>
        <v>8</v>
      </c>
      <c r="D510" s="116" t="str" cm="1">
        <f t="array" ref="D510">INDEX('Rad-2'!$B$2:$J$100,1+B510,C510)</f>
        <v/>
      </c>
    </row>
    <row r="511" spans="1:4" x14ac:dyDescent="0.75">
      <c r="A511" s="115">
        <v>477</v>
      </c>
      <c r="B511" s="115">
        <f t="shared" si="16"/>
        <v>52</v>
      </c>
      <c r="C511" s="115">
        <f t="shared" si="17"/>
        <v>9</v>
      </c>
      <c r="D511" s="116" t="str" cm="1">
        <f t="array" ref="D511">INDEX('Rad-2'!$B$2:$J$100,1+B511,C511)</f>
        <v/>
      </c>
    </row>
    <row r="512" spans="1:4" x14ac:dyDescent="0.75">
      <c r="A512" s="115">
        <v>478</v>
      </c>
      <c r="B512" s="115">
        <f t="shared" si="16"/>
        <v>53</v>
      </c>
      <c r="C512" s="115">
        <f t="shared" si="17"/>
        <v>1</v>
      </c>
      <c r="D512" s="116" t="str" cm="1">
        <f t="array" ref="D512">INDEX('Rad-2'!$B$2:$J$100,1+B512,C512)</f>
        <v>* differential.element[54].id = "Radiotherapy.organAtRisk.dosimetryDocument"</v>
      </c>
    </row>
    <row r="513" spans="1:4" x14ac:dyDescent="0.75">
      <c r="A513" s="115">
        <v>479</v>
      </c>
      <c r="B513" s="115">
        <f t="shared" si="16"/>
        <v>53</v>
      </c>
      <c r="C513" s="115">
        <f t="shared" si="17"/>
        <v>2</v>
      </c>
      <c r="D513" s="116" t="str" cm="1">
        <f t="array" ref="D513">INDEX('Rad-2'!$B$2:$J$100,1+B513,C513)</f>
        <v>* differential.element[54].path = "Radiotherapy.organAtRisk.dosimetryDocument"</v>
      </c>
    </row>
    <row r="514" spans="1:4" x14ac:dyDescent="0.75">
      <c r="A514" s="115">
        <v>480</v>
      </c>
      <c r="B514" s="115">
        <f t="shared" si="16"/>
        <v>53</v>
      </c>
      <c r="C514" s="115">
        <f t="shared" si="17"/>
        <v>3</v>
      </c>
      <c r="D514" s="116" t="str" cm="1">
        <f t="array" ref="D514">INDEX('Rad-2'!$B$2:$J$100,1+B514,C514)</f>
        <v>* differential.element[54].short = "Electronic / scanned version(s) of relevant document(s)"</v>
      </c>
    </row>
    <row r="515" spans="1:4" ht="29.5" x14ac:dyDescent="0.75">
      <c r="A515" s="115">
        <v>481</v>
      </c>
      <c r="B515" s="115">
        <f t="shared" si="16"/>
        <v>53</v>
      </c>
      <c r="C515" s="115">
        <f t="shared" si="17"/>
        <v>4</v>
      </c>
      <c r="D515" s="116" t="str" cm="1">
        <f t="array" ref="D515">INDEX('Rad-2'!$B$2:$J$100,1+B515,C515)</f>
        <v>* differential.element[54].definition = "If Dosimetry on Organ at Risk is available, upload here the electronic / scanned version(s) of any relevant document(s)"</v>
      </c>
    </row>
    <row r="516" spans="1:4" x14ac:dyDescent="0.75">
      <c r="A516" s="115">
        <v>482</v>
      </c>
      <c r="B516" s="115">
        <f t="shared" si="16"/>
        <v>53</v>
      </c>
      <c r="C516" s="115">
        <f t="shared" si="17"/>
        <v>5</v>
      </c>
      <c r="D516" s="116" t="str" cm="1">
        <f t="array" ref="D516">INDEX('Rad-2'!$B$2:$J$100,1+B516,C516)</f>
        <v>* differential.element[54].min = 0</v>
      </c>
    </row>
    <row r="517" spans="1:4" x14ac:dyDescent="0.75">
      <c r="A517" s="115">
        <v>483</v>
      </c>
      <c r="B517" s="115">
        <f t="shared" si="16"/>
        <v>53</v>
      </c>
      <c r="C517" s="115">
        <f t="shared" si="17"/>
        <v>6</v>
      </c>
      <c r="D517" s="116" t="str" cm="1">
        <f t="array" ref="D517">INDEX('Rad-2'!$B$2:$J$100,1+B517,C517)</f>
        <v>* differential.element[54].max = "2"</v>
      </c>
    </row>
    <row r="518" spans="1:4" x14ac:dyDescent="0.75">
      <c r="A518" s="115">
        <v>484</v>
      </c>
      <c r="B518" s="115">
        <f t="shared" si="16"/>
        <v>53</v>
      </c>
      <c r="C518" s="115">
        <f t="shared" si="17"/>
        <v>7</v>
      </c>
      <c r="D518" s="116" t="str" cm="1">
        <f t="array" ref="D518">INDEX('Rad-2'!$B$2:$J$100,1+B518,C518)</f>
        <v>* differential.element[54].type.code = #Binary</v>
      </c>
    </row>
    <row r="519" spans="1:4" x14ac:dyDescent="0.75">
      <c r="A519" s="115">
        <v>485</v>
      </c>
      <c r="B519" s="115">
        <f t="shared" si="16"/>
        <v>53</v>
      </c>
      <c r="C519" s="115">
        <f t="shared" si="17"/>
        <v>8</v>
      </c>
      <c r="D519" s="116" t="str" cm="1">
        <f t="array" ref="D519">INDEX('Rad-2'!$B$2:$J$100,1+B519,C519)</f>
        <v/>
      </c>
    </row>
    <row r="520" spans="1:4" x14ac:dyDescent="0.75">
      <c r="A520" s="115">
        <v>486</v>
      </c>
      <c r="B520" s="115">
        <f t="shared" si="16"/>
        <v>53</v>
      </c>
      <c r="C520" s="115">
        <f t="shared" si="17"/>
        <v>9</v>
      </c>
      <c r="D520" s="116" t="str" cm="1">
        <f t="array" ref="D520">INDEX('Rad-2'!$B$2:$J$100,1+B520,C520)</f>
        <v/>
      </c>
    </row>
    <row r="521" spans="1:4" x14ac:dyDescent="0.75">
      <c r="A521" s="115">
        <v>487</v>
      </c>
      <c r="B521" s="115">
        <f t="shared" si="16"/>
        <v>54</v>
      </c>
      <c r="C521" s="115">
        <f t="shared" si="17"/>
        <v>1</v>
      </c>
      <c r="D521" s="116" t="str" cm="1">
        <f t="array" ref="D521">INDEX('Rad-2'!$B$2:$J$100,1+B521,C521)</f>
        <v>* differential.element[55].id = "Radiotherapy.files"</v>
      </c>
    </row>
    <row r="522" spans="1:4" x14ac:dyDescent="0.75">
      <c r="A522" s="115">
        <v>488</v>
      </c>
      <c r="B522" s="115">
        <f t="shared" si="16"/>
        <v>54</v>
      </c>
      <c r="C522" s="115">
        <f t="shared" si="17"/>
        <v>2</v>
      </c>
      <c r="D522" s="116" t="str" cm="1">
        <f t="array" ref="D522">INDEX('Rad-2'!$B$2:$J$100,1+B522,C522)</f>
        <v>* differential.element[55].path = "Radiotherapy.files"</v>
      </c>
    </row>
    <row r="523" spans="1:4" x14ac:dyDescent="0.75">
      <c r="A523" s="115">
        <v>489</v>
      </c>
      <c r="B523" s="115">
        <f t="shared" si="16"/>
        <v>54</v>
      </c>
      <c r="C523" s="115">
        <f t="shared" si="17"/>
        <v>3</v>
      </c>
      <c r="D523" s="116" t="str" cm="1">
        <f t="array" ref="D523">INDEX('Rad-2'!$B$2:$J$100,1+B523,C523)</f>
        <v>* differential.element[55].short = "Upload radiotherapy file (1)"</v>
      </c>
    </row>
    <row r="524" spans="1:4" x14ac:dyDescent="0.75">
      <c r="A524" s="115">
        <v>490</v>
      </c>
      <c r="B524" s="115">
        <f t="shared" si="16"/>
        <v>54</v>
      </c>
      <c r="C524" s="115">
        <f t="shared" si="17"/>
        <v>4</v>
      </c>
      <c r="D524" s="116" t="str" cm="1">
        <f t="array" ref="D524">INDEX('Rad-2'!$B$2:$J$100,1+B524,C524)</f>
        <v>* differential.element[55].definition = "Radiotherapy file(s) can be uploaded here"</v>
      </c>
    </row>
    <row r="525" spans="1:4" x14ac:dyDescent="0.75">
      <c r="A525" s="115">
        <v>491</v>
      </c>
      <c r="B525" s="115">
        <f t="shared" si="16"/>
        <v>54</v>
      </c>
      <c r="C525" s="115">
        <f t="shared" si="17"/>
        <v>5</v>
      </c>
      <c r="D525" s="116" t="str" cm="1">
        <f t="array" ref="D525">INDEX('Rad-2'!$B$2:$J$100,1+B525,C525)</f>
        <v>* differential.element[55].min = 0</v>
      </c>
    </row>
    <row r="526" spans="1:4" x14ac:dyDescent="0.75">
      <c r="A526" s="115">
        <v>492</v>
      </c>
      <c r="B526" s="115">
        <f t="shared" si="16"/>
        <v>54</v>
      </c>
      <c r="C526" s="115">
        <f t="shared" si="17"/>
        <v>6</v>
      </c>
      <c r="D526" s="116" t="str" cm="1">
        <f t="array" ref="D526">INDEX('Rad-2'!$B$2:$J$100,1+B526,C526)</f>
        <v>* differential.element[55].max = "2"</v>
      </c>
    </row>
    <row r="527" spans="1:4" x14ac:dyDescent="0.75">
      <c r="A527" s="115">
        <v>493</v>
      </c>
      <c r="B527" s="115">
        <f t="shared" si="16"/>
        <v>54</v>
      </c>
      <c r="C527" s="115">
        <f t="shared" si="17"/>
        <v>7</v>
      </c>
      <c r="D527" s="116" t="str" cm="1">
        <f t="array" ref="D527">INDEX('Rad-2'!$B$2:$J$100,1+B527,C527)</f>
        <v>* differential.element[55].type.code = #Binary</v>
      </c>
    </row>
    <row r="528" spans="1:4" x14ac:dyDescent="0.75">
      <c r="A528" s="115">
        <v>494</v>
      </c>
      <c r="B528" s="115">
        <f t="shared" si="16"/>
        <v>54</v>
      </c>
      <c r="C528" s="115">
        <f t="shared" si="17"/>
        <v>8</v>
      </c>
      <c r="D528" s="116" t="str" cm="1">
        <f t="array" ref="D528">INDEX('Rad-2'!$B$2:$J$100,1+B528,C528)</f>
        <v/>
      </c>
    </row>
    <row r="529" spans="1:4" x14ac:dyDescent="0.75">
      <c r="A529" s="115">
        <v>495</v>
      </c>
      <c r="B529" s="115">
        <f t="shared" si="16"/>
        <v>54</v>
      </c>
      <c r="C529" s="115">
        <f t="shared" si="17"/>
        <v>9</v>
      </c>
      <c r="D529" s="116" t="str" cm="1">
        <f t="array" ref="D529">INDEX('Rad-2'!$B$2:$J$100,1+B529,C529)</f>
        <v/>
      </c>
    </row>
    <row r="530" spans="1:4" x14ac:dyDescent="0.75">
      <c r="A530" s="115">
        <v>496</v>
      </c>
      <c r="B530" s="115">
        <f t="shared" si="16"/>
        <v>55</v>
      </c>
      <c r="C530" s="115">
        <f t="shared" si="17"/>
        <v>1</v>
      </c>
      <c r="D530" s="116" t="str" cm="1">
        <f t="array" ref="D530">INDEX('Rad-2'!$B$2:$J$100,1+B530,C530)</f>
        <v>* differential.element[56].id = "Radiotherapy.notes"</v>
      </c>
    </row>
    <row r="531" spans="1:4" x14ac:dyDescent="0.75">
      <c r="A531" s="115">
        <v>497</v>
      </c>
      <c r="B531" s="115">
        <f t="shared" si="16"/>
        <v>55</v>
      </c>
      <c r="C531" s="115">
        <f t="shared" si="17"/>
        <v>2</v>
      </c>
      <c r="D531" s="116" t="str" cm="1">
        <f t="array" ref="D531">INDEX('Rad-2'!$B$2:$J$100,1+B531,C531)</f>
        <v>* differential.element[56].path = "Radiotherapy.notes"</v>
      </c>
    </row>
    <row r="532" spans="1:4" x14ac:dyDescent="0.75">
      <c r="A532" s="115">
        <v>498</v>
      </c>
      <c r="B532" s="115">
        <f t="shared" si="16"/>
        <v>55</v>
      </c>
      <c r="C532" s="115">
        <f t="shared" si="17"/>
        <v>3</v>
      </c>
      <c r="D532" s="116" t="str" cm="1">
        <f t="array" ref="D532">INDEX('Rad-2'!$B$2:$J$100,1+B532,C532)</f>
        <v>* differential.element[56].short = "Notes"</v>
      </c>
    </row>
    <row r="533" spans="1:4" x14ac:dyDescent="0.75">
      <c r="A533" s="115">
        <v>499</v>
      </c>
      <c r="B533" s="115">
        <f t="shared" si="16"/>
        <v>55</v>
      </c>
      <c r="C533" s="115">
        <f t="shared" si="17"/>
        <v>4</v>
      </c>
      <c r="D533" s="116" t="str" cm="1">
        <f t="array" ref="D533">INDEX('Rad-2'!$B$2:$J$100,1+B533,C533)</f>
        <v>* differential.element[56].definition = "Notes"</v>
      </c>
    </row>
    <row r="534" spans="1:4" x14ac:dyDescent="0.75">
      <c r="A534" s="115">
        <v>500</v>
      </c>
      <c r="B534" s="115">
        <f t="shared" si="16"/>
        <v>55</v>
      </c>
      <c r="C534" s="115">
        <f t="shared" si="17"/>
        <v>5</v>
      </c>
      <c r="D534" s="116" t="str" cm="1">
        <f t="array" ref="D534">INDEX('Rad-2'!$B$2:$J$100,1+B534,C534)</f>
        <v>* differential.element[56].min = 0</v>
      </c>
    </row>
    <row r="535" spans="1:4" x14ac:dyDescent="0.75">
      <c r="A535" s="115">
        <v>501</v>
      </c>
      <c r="B535" s="115">
        <f t="shared" si="16"/>
        <v>55</v>
      </c>
      <c r="C535" s="115">
        <f t="shared" si="17"/>
        <v>6</v>
      </c>
      <c r="D535" s="116" t="str" cm="1">
        <f t="array" ref="D535">INDEX('Rad-2'!$B$2:$J$100,1+B535,C535)</f>
        <v>* differential.element[56].max = "1"</v>
      </c>
    </row>
    <row r="536" spans="1:4" x14ac:dyDescent="0.75">
      <c r="A536" s="115">
        <v>502</v>
      </c>
      <c r="B536" s="115">
        <f t="shared" si="16"/>
        <v>55</v>
      </c>
      <c r="C536" s="115">
        <f t="shared" si="17"/>
        <v>7</v>
      </c>
      <c r="D536" s="116" t="str" cm="1">
        <f t="array" ref="D536">INDEX('Rad-2'!$B$2:$J$100,1+B536,C536)</f>
        <v>* differential.element[56].type.code = #string</v>
      </c>
    </row>
    <row r="537" spans="1:4" x14ac:dyDescent="0.75">
      <c r="A537" s="115">
        <v>503</v>
      </c>
      <c r="B537" s="115">
        <f t="shared" si="16"/>
        <v>55</v>
      </c>
      <c r="C537" s="115">
        <f t="shared" si="17"/>
        <v>8</v>
      </c>
      <c r="D537" s="116" t="str" cm="1">
        <f t="array" ref="D537">INDEX('Rad-2'!$B$2:$J$100,1+B537,C537)</f>
        <v/>
      </c>
    </row>
    <row r="538" spans="1:4" x14ac:dyDescent="0.75">
      <c r="A538" s="115">
        <v>504</v>
      </c>
      <c r="B538" s="115">
        <f t="shared" si="16"/>
        <v>55</v>
      </c>
      <c r="C538" s="115">
        <f t="shared" si="17"/>
        <v>9</v>
      </c>
      <c r="D538" s="116" t="str" cm="1">
        <f t="array" ref="D538">INDEX('Rad-2'!$B$2:$J$100,1+B538,C538)</f>
        <v/>
      </c>
    </row>
    <row r="539" spans="1:4" x14ac:dyDescent="0.75">
      <c r="A539" s="115">
        <v>505</v>
      </c>
      <c r="B539" s="115">
        <f t="shared" si="16"/>
        <v>56</v>
      </c>
      <c r="C539" s="115">
        <f t="shared" si="17"/>
        <v>1</v>
      </c>
      <c r="D539" s="116"/>
    </row>
    <row r="540" spans="1:4" x14ac:dyDescent="0.75">
      <c r="A540" s="115">
        <v>506</v>
      </c>
      <c r="B540" s="115">
        <f t="shared" si="16"/>
        <v>56</v>
      </c>
      <c r="C540" s="115">
        <f t="shared" si="17"/>
        <v>2</v>
      </c>
      <c r="D540" s="116"/>
    </row>
    <row r="541" spans="1:4" x14ac:dyDescent="0.75">
      <c r="A541" s="115">
        <v>507</v>
      </c>
      <c r="B541" s="115">
        <f t="shared" si="16"/>
        <v>56</v>
      </c>
      <c r="C541" s="115">
        <f t="shared" si="17"/>
        <v>3</v>
      </c>
      <c r="D541" s="116"/>
    </row>
    <row r="542" spans="1:4" x14ac:dyDescent="0.75">
      <c r="A542" s="115">
        <v>508</v>
      </c>
      <c r="B542" s="115">
        <f t="shared" si="16"/>
        <v>56</v>
      </c>
      <c r="C542" s="115">
        <f t="shared" si="17"/>
        <v>4</v>
      </c>
      <c r="D542" s="116"/>
    </row>
    <row r="543" spans="1:4" x14ac:dyDescent="0.75">
      <c r="A543" s="115">
        <v>509</v>
      </c>
      <c r="B543" s="115">
        <f t="shared" si="16"/>
        <v>56</v>
      </c>
      <c r="C543" s="115">
        <f t="shared" si="17"/>
        <v>5</v>
      </c>
      <c r="D543" s="116"/>
    </row>
    <row r="544" spans="1:4" x14ac:dyDescent="0.75">
      <c r="A544" s="115">
        <v>510</v>
      </c>
      <c r="B544" s="115">
        <f t="shared" si="16"/>
        <v>56</v>
      </c>
      <c r="C544" s="115">
        <f t="shared" si="17"/>
        <v>6</v>
      </c>
      <c r="D544" s="116"/>
    </row>
    <row r="545" spans="1:4" x14ac:dyDescent="0.75">
      <c r="A545" s="115">
        <v>511</v>
      </c>
      <c r="B545" s="115">
        <f t="shared" si="16"/>
        <v>56</v>
      </c>
      <c r="C545" s="115">
        <f t="shared" si="17"/>
        <v>7</v>
      </c>
      <c r="D545" s="116"/>
    </row>
    <row r="546" spans="1:4" x14ac:dyDescent="0.75">
      <c r="A546" s="115">
        <v>512</v>
      </c>
      <c r="B546" s="115">
        <f t="shared" si="16"/>
        <v>56</v>
      </c>
      <c r="C546" s="115">
        <f t="shared" si="17"/>
        <v>8</v>
      </c>
      <c r="D546" s="116"/>
    </row>
    <row r="547" spans="1:4" x14ac:dyDescent="0.75">
      <c r="A547" s="115">
        <v>513</v>
      </c>
      <c r="B547" s="115">
        <f t="shared" si="16"/>
        <v>56</v>
      </c>
      <c r="C547" s="115">
        <f t="shared" si="17"/>
        <v>9</v>
      </c>
      <c r="D547" s="116"/>
    </row>
    <row r="548" spans="1:4" x14ac:dyDescent="0.75">
      <c r="A548" s="115">
        <v>514</v>
      </c>
      <c r="B548" s="115">
        <f t="shared" si="16"/>
        <v>57</v>
      </c>
      <c r="C548" s="115">
        <f t="shared" si="17"/>
        <v>1</v>
      </c>
      <c r="D548" s="116"/>
    </row>
    <row r="549" spans="1:4" x14ac:dyDescent="0.75">
      <c r="A549" s="115">
        <v>515</v>
      </c>
      <c r="B549" s="115">
        <f t="shared" si="16"/>
        <v>57</v>
      </c>
      <c r="C549" s="115">
        <f t="shared" si="17"/>
        <v>2</v>
      </c>
      <c r="D549" s="116"/>
    </row>
    <row r="550" spans="1:4" x14ac:dyDescent="0.75">
      <c r="A550" s="115">
        <v>516</v>
      </c>
      <c r="B550" s="115">
        <f t="shared" si="16"/>
        <v>57</v>
      </c>
      <c r="C550" s="115">
        <f t="shared" si="17"/>
        <v>3</v>
      </c>
      <c r="D550" s="116"/>
    </row>
    <row r="551" spans="1:4" x14ac:dyDescent="0.75">
      <c r="A551" s="115">
        <v>517</v>
      </c>
      <c r="B551" s="115">
        <f t="shared" si="16"/>
        <v>57</v>
      </c>
      <c r="C551" s="115">
        <f t="shared" si="17"/>
        <v>4</v>
      </c>
      <c r="D551" s="116"/>
    </row>
    <row r="552" spans="1:4" x14ac:dyDescent="0.75">
      <c r="A552" s="115">
        <v>518</v>
      </c>
      <c r="B552" s="115">
        <f t="shared" si="16"/>
        <v>57</v>
      </c>
      <c r="C552" s="115">
        <f t="shared" si="17"/>
        <v>5</v>
      </c>
      <c r="D552" s="116"/>
    </row>
    <row r="553" spans="1:4" x14ac:dyDescent="0.75">
      <c r="A553" s="115">
        <v>519</v>
      </c>
      <c r="B553" s="115">
        <f t="shared" si="16"/>
        <v>57</v>
      </c>
      <c r="C553" s="115">
        <f t="shared" si="17"/>
        <v>6</v>
      </c>
      <c r="D553" s="116"/>
    </row>
    <row r="554" spans="1:4" x14ac:dyDescent="0.75">
      <c r="A554" s="115">
        <v>520</v>
      </c>
      <c r="B554" s="115">
        <f t="shared" si="16"/>
        <v>57</v>
      </c>
      <c r="C554" s="115">
        <f t="shared" si="17"/>
        <v>7</v>
      </c>
      <c r="D554" s="116"/>
    </row>
    <row r="555" spans="1:4" x14ac:dyDescent="0.75">
      <c r="A555" s="115">
        <v>521</v>
      </c>
      <c r="B555" s="115">
        <f t="shared" si="16"/>
        <v>57</v>
      </c>
      <c r="C555" s="115">
        <f t="shared" si="17"/>
        <v>8</v>
      </c>
      <c r="D555" s="116"/>
    </row>
    <row r="556" spans="1:4" x14ac:dyDescent="0.75">
      <c r="A556" s="115">
        <v>522</v>
      </c>
      <c r="B556" s="115">
        <f t="shared" si="16"/>
        <v>57</v>
      </c>
      <c r="C556" s="115">
        <f t="shared" si="17"/>
        <v>9</v>
      </c>
      <c r="D556" s="116"/>
    </row>
    <row r="557" spans="1:4" x14ac:dyDescent="0.75">
      <c r="A557" s="115">
        <v>523</v>
      </c>
      <c r="B557" s="115">
        <f t="shared" ref="B557:B583" si="18">IF(MOD(A557,$B$25)=0,A557/$B$25-1,INT(A557/$B$25))</f>
        <v>58</v>
      </c>
      <c r="C557" s="115">
        <f t="shared" ref="C557:C583" si="19">IF(MOD(A557,$B$25)=0,$B$25,MOD(A557,$B$25))</f>
        <v>1</v>
      </c>
      <c r="D557" s="116"/>
    </row>
    <row r="558" spans="1:4" x14ac:dyDescent="0.75">
      <c r="A558" s="115">
        <v>524</v>
      </c>
      <c r="B558" s="115">
        <f t="shared" si="18"/>
        <v>58</v>
      </c>
      <c r="C558" s="115">
        <f t="shared" si="19"/>
        <v>2</v>
      </c>
      <c r="D558" s="116"/>
    </row>
    <row r="559" spans="1:4" x14ac:dyDescent="0.75">
      <c r="A559" s="115">
        <v>525</v>
      </c>
      <c r="B559" s="115">
        <f t="shared" si="18"/>
        <v>58</v>
      </c>
      <c r="C559" s="115">
        <f t="shared" si="19"/>
        <v>3</v>
      </c>
      <c r="D559" s="116"/>
    </row>
    <row r="560" spans="1:4" x14ac:dyDescent="0.75">
      <c r="A560" s="115">
        <v>526</v>
      </c>
      <c r="B560" s="115">
        <f t="shared" si="18"/>
        <v>58</v>
      </c>
      <c r="C560" s="115">
        <f t="shared" si="19"/>
        <v>4</v>
      </c>
      <c r="D560" s="116"/>
    </row>
    <row r="561" spans="1:4" x14ac:dyDescent="0.75">
      <c r="A561" s="115">
        <v>527</v>
      </c>
      <c r="B561" s="115">
        <f t="shared" si="18"/>
        <v>58</v>
      </c>
      <c r="C561" s="115">
        <f t="shared" si="19"/>
        <v>5</v>
      </c>
      <c r="D561" s="116"/>
    </row>
    <row r="562" spans="1:4" x14ac:dyDescent="0.75">
      <c r="A562" s="115">
        <v>528</v>
      </c>
      <c r="B562" s="115">
        <f t="shared" si="18"/>
        <v>58</v>
      </c>
      <c r="C562" s="115">
        <f t="shared" si="19"/>
        <v>6</v>
      </c>
      <c r="D562" s="116"/>
    </row>
    <row r="563" spans="1:4" x14ac:dyDescent="0.75">
      <c r="A563" s="115">
        <v>529</v>
      </c>
      <c r="B563" s="115">
        <f t="shared" si="18"/>
        <v>58</v>
      </c>
      <c r="C563" s="115">
        <f t="shared" si="19"/>
        <v>7</v>
      </c>
      <c r="D563" s="116"/>
    </row>
    <row r="564" spans="1:4" x14ac:dyDescent="0.75">
      <c r="A564" s="115">
        <v>530</v>
      </c>
      <c r="B564" s="115">
        <f t="shared" si="18"/>
        <v>58</v>
      </c>
      <c r="C564" s="115">
        <f t="shared" si="19"/>
        <v>8</v>
      </c>
      <c r="D564" s="116"/>
    </row>
    <row r="565" spans="1:4" x14ac:dyDescent="0.75">
      <c r="A565" s="115">
        <v>531</v>
      </c>
      <c r="B565" s="115">
        <f t="shared" si="18"/>
        <v>58</v>
      </c>
      <c r="C565" s="115">
        <f t="shared" si="19"/>
        <v>9</v>
      </c>
      <c r="D565" s="116"/>
    </row>
    <row r="566" spans="1:4" x14ac:dyDescent="0.75">
      <c r="A566" s="115">
        <v>532</v>
      </c>
      <c r="B566" s="115">
        <f t="shared" si="18"/>
        <v>59</v>
      </c>
      <c r="C566" s="115">
        <f t="shared" si="19"/>
        <v>1</v>
      </c>
      <c r="D566" s="116"/>
    </row>
    <row r="567" spans="1:4" x14ac:dyDescent="0.75">
      <c r="A567" s="115">
        <v>533</v>
      </c>
      <c r="B567" s="115">
        <f t="shared" si="18"/>
        <v>59</v>
      </c>
      <c r="C567" s="115">
        <f t="shared" si="19"/>
        <v>2</v>
      </c>
      <c r="D567" s="116"/>
    </row>
    <row r="568" spans="1:4" x14ac:dyDescent="0.75">
      <c r="A568" s="115">
        <v>534</v>
      </c>
      <c r="B568" s="115">
        <f t="shared" si="18"/>
        <v>59</v>
      </c>
      <c r="C568" s="115">
        <f t="shared" si="19"/>
        <v>3</v>
      </c>
      <c r="D568" s="116"/>
    </row>
    <row r="569" spans="1:4" x14ac:dyDescent="0.75">
      <c r="A569" s="115">
        <v>535</v>
      </c>
      <c r="B569" s="115">
        <f t="shared" si="18"/>
        <v>59</v>
      </c>
      <c r="C569" s="115">
        <f t="shared" si="19"/>
        <v>4</v>
      </c>
      <c r="D569" s="116"/>
    </row>
    <row r="570" spans="1:4" x14ac:dyDescent="0.75">
      <c r="A570" s="115">
        <v>536</v>
      </c>
      <c r="B570" s="115">
        <f t="shared" si="18"/>
        <v>59</v>
      </c>
      <c r="C570" s="115">
        <f t="shared" si="19"/>
        <v>5</v>
      </c>
      <c r="D570" s="116"/>
    </row>
    <row r="571" spans="1:4" x14ac:dyDescent="0.75">
      <c r="A571" s="115">
        <v>537</v>
      </c>
      <c r="B571" s="115">
        <f t="shared" si="18"/>
        <v>59</v>
      </c>
      <c r="C571" s="115">
        <f t="shared" si="19"/>
        <v>6</v>
      </c>
      <c r="D571" s="116"/>
    </row>
    <row r="572" spans="1:4" x14ac:dyDescent="0.75">
      <c r="A572" s="115">
        <v>538</v>
      </c>
      <c r="B572" s="115">
        <f t="shared" si="18"/>
        <v>59</v>
      </c>
      <c r="C572" s="115">
        <f t="shared" si="19"/>
        <v>7</v>
      </c>
      <c r="D572" s="116"/>
    </row>
    <row r="573" spans="1:4" x14ac:dyDescent="0.75">
      <c r="A573" s="115">
        <v>539</v>
      </c>
      <c r="B573" s="115">
        <f t="shared" si="18"/>
        <v>59</v>
      </c>
      <c r="C573" s="115">
        <f t="shared" si="19"/>
        <v>8</v>
      </c>
      <c r="D573" s="116"/>
    </row>
    <row r="574" spans="1:4" x14ac:dyDescent="0.75">
      <c r="A574" s="115">
        <v>540</v>
      </c>
      <c r="B574" s="115">
        <f t="shared" si="18"/>
        <v>59</v>
      </c>
      <c r="C574" s="115">
        <f t="shared" si="19"/>
        <v>9</v>
      </c>
      <c r="D574" s="116"/>
    </row>
    <row r="575" spans="1:4" x14ac:dyDescent="0.75">
      <c r="A575" s="115">
        <v>541</v>
      </c>
      <c r="B575" s="115">
        <f t="shared" si="18"/>
        <v>60</v>
      </c>
      <c r="C575" s="115">
        <f t="shared" si="19"/>
        <v>1</v>
      </c>
      <c r="D575" s="116"/>
    </row>
    <row r="576" spans="1:4" x14ac:dyDescent="0.75">
      <c r="A576" s="115">
        <v>542</v>
      </c>
      <c r="B576" s="115">
        <f t="shared" si="18"/>
        <v>60</v>
      </c>
      <c r="C576" s="115">
        <f t="shared" si="19"/>
        <v>2</v>
      </c>
      <c r="D576" s="116"/>
    </row>
    <row r="577" spans="1:4" x14ac:dyDescent="0.75">
      <c r="A577" s="115">
        <v>543</v>
      </c>
      <c r="B577" s="115">
        <f t="shared" si="18"/>
        <v>60</v>
      </c>
      <c r="C577" s="115">
        <f t="shared" si="19"/>
        <v>3</v>
      </c>
      <c r="D577" s="116"/>
    </row>
    <row r="578" spans="1:4" x14ac:dyDescent="0.75">
      <c r="A578" s="115">
        <v>544</v>
      </c>
      <c r="B578" s="115">
        <f t="shared" si="18"/>
        <v>60</v>
      </c>
      <c r="C578" s="115">
        <f t="shared" si="19"/>
        <v>4</v>
      </c>
      <c r="D578" s="116"/>
    </row>
    <row r="579" spans="1:4" x14ac:dyDescent="0.75">
      <c r="A579" s="115">
        <v>545</v>
      </c>
      <c r="B579" s="115">
        <f t="shared" si="18"/>
        <v>60</v>
      </c>
      <c r="C579" s="115">
        <f t="shared" si="19"/>
        <v>5</v>
      </c>
      <c r="D579" s="116"/>
    </row>
    <row r="580" spans="1:4" x14ac:dyDescent="0.75">
      <c r="A580" s="115">
        <v>546</v>
      </c>
      <c r="B580" s="115">
        <f t="shared" si="18"/>
        <v>60</v>
      </c>
      <c r="C580" s="115">
        <f t="shared" si="19"/>
        <v>6</v>
      </c>
      <c r="D580" s="116"/>
    </row>
    <row r="581" spans="1:4" x14ac:dyDescent="0.75">
      <c r="A581" s="115">
        <v>547</v>
      </c>
      <c r="B581" s="115">
        <f t="shared" si="18"/>
        <v>60</v>
      </c>
      <c r="C581" s="115">
        <f t="shared" si="19"/>
        <v>7</v>
      </c>
      <c r="D581" s="116"/>
    </row>
    <row r="582" spans="1:4" x14ac:dyDescent="0.75">
      <c r="A582" s="115">
        <v>548</v>
      </c>
      <c r="B582" s="115">
        <f t="shared" si="18"/>
        <v>60</v>
      </c>
      <c r="C582" s="115">
        <f t="shared" si="19"/>
        <v>8</v>
      </c>
      <c r="D582" s="116"/>
    </row>
    <row r="583" spans="1:4" x14ac:dyDescent="0.75">
      <c r="A583" s="115">
        <v>549</v>
      </c>
      <c r="B583" s="115">
        <f t="shared" si="18"/>
        <v>60</v>
      </c>
      <c r="C583" s="115">
        <f t="shared" si="19"/>
        <v>9</v>
      </c>
      <c r="D583" s="116"/>
    </row>
  </sheetData>
  <hyperlinks>
    <hyperlink ref="G10" r:id="rId1" xr:uid="{91E2EF8D-2FB3-4AC1-874E-BA5ED0C84F75}"/>
  </hyperlinks>
  <pageMargins left="0.7" right="0.7" top="0.75" bottom="0.75" header="0.3" footer="0.3"/>
  <pageSetup paperSize="9" orientation="portrait"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2"/>
  <sheetViews>
    <sheetView workbookViewId="0">
      <selection activeCell="D35" sqref="D35"/>
    </sheetView>
  </sheetViews>
  <sheetFormatPr defaultRowHeight="14.75" x14ac:dyDescent="0.75"/>
  <cols>
    <col min="1" max="2" width="8.7265625" style="113"/>
    <col min="3" max="3" width="51.953125" style="113" customWidth="1"/>
    <col min="4" max="4" width="91.36328125" style="113" bestFit="1" customWidth="1"/>
    <col min="5" max="5" width="24.81640625" style="113" customWidth="1"/>
    <col min="6" max="6" width="16.1328125" style="113" customWidth="1"/>
    <col min="7" max="7" width="10.76953125" style="113" customWidth="1"/>
    <col min="8" max="8" width="45.26953125" style="113" customWidth="1"/>
    <col min="9" max="9" width="40.1328125" style="114" customWidth="1"/>
    <col min="10" max="10" width="26.6328125" style="114" customWidth="1"/>
    <col min="11" max="11" width="48.54296875" style="114" customWidth="1"/>
    <col min="12" max="12" width="53.36328125" style="113" customWidth="1"/>
    <col min="13" max="13" width="51.5" style="113" customWidth="1"/>
    <col min="14" max="16384" width="8.7265625" style="113"/>
  </cols>
  <sheetData>
    <row r="1" spans="1:13" ht="15.5" thickBot="1" x14ac:dyDescent="0.9">
      <c r="C1" s="107" t="str">
        <f>'Rad-1'!B1</f>
        <v>canonical</v>
      </c>
      <c r="D1" s="56" t="s">
        <v>33</v>
      </c>
      <c r="E1" s="57"/>
      <c r="F1" s="111" t="s">
        <v>51</v>
      </c>
      <c r="M1" s="113" t="s">
        <v>49</v>
      </c>
    </row>
    <row r="2" spans="1:13" ht="15.5" thickBot="1" x14ac:dyDescent="0.9">
      <c r="C2" s="133" t="str">
        <f>'Rad-1'!B2</f>
        <v>http://hl7.eu/fhir/ig/pcsp</v>
      </c>
      <c r="D2" s="17" t="s">
        <v>57</v>
      </c>
      <c r="E2" s="17"/>
      <c r="F2" s="113" t="s">
        <v>48</v>
      </c>
      <c r="M2" s="113" t="str">
        <f>CONCATENATE("Mapping: ",E2)</f>
        <v xml:space="preserve">Mapping: </v>
      </c>
    </row>
    <row r="3" spans="1:13" ht="15.5" thickBot="1" x14ac:dyDescent="0.9">
      <c r="C3" s="107" t="str">
        <f>'Rad-1'!B3</f>
        <v>Publisher</v>
      </c>
      <c r="D3" s="43"/>
      <c r="E3" s="59"/>
      <c r="M3" s="113" t="str">
        <f>CONCATENATE("Id: ",E2)</f>
        <v xml:space="preserve">Id: </v>
      </c>
    </row>
    <row r="4" spans="1:13" ht="15.5" thickBot="1" x14ac:dyDescent="0.9">
      <c r="C4" s="133" t="str">
        <f>'Rad-1'!B4</f>
        <v>PanCareSurPass project</v>
      </c>
      <c r="D4" s="45"/>
      <c r="E4" s="60"/>
      <c r="M4" s="113" t="str">
        <f>CONCATENATE("Title: """,D2,"""")</f>
        <v>Title: "FHIR"</v>
      </c>
    </row>
    <row r="5" spans="1:13" x14ac:dyDescent="0.75">
      <c r="M5" s="113" t="str">
        <f>CONCATENATE("Source: ",C2,"/",C7)</f>
        <v>Source: http://hl7.eu/fhir/ig/pcsp/Radiotherapy</v>
      </c>
    </row>
    <row r="6" spans="1:13" x14ac:dyDescent="0.75">
      <c r="D6" s="113" t="s">
        <v>47</v>
      </c>
      <c r="M6" s="113" t="str">
        <f>CONCATENATE("Target: """,D4,"""")</f>
        <v>Target: ""</v>
      </c>
    </row>
    <row r="7" spans="1:13" ht="59" x14ac:dyDescent="0.75">
      <c r="A7" s="115">
        <v>0</v>
      </c>
      <c r="B7" s="115">
        <f>'Rad-1'!A6</f>
        <v>0</v>
      </c>
      <c r="C7" s="25" t="str">
        <f>'Rad-1'!B6</f>
        <v>Radiotherapy</v>
      </c>
      <c r="D7" s="25" t="s">
        <v>1230</v>
      </c>
      <c r="G7" s="113" t="b">
        <f>IF(C7&gt;"",TRUE,FALSE)</f>
        <v>1</v>
      </c>
      <c r="H7" s="114" t="str">
        <f>IF(G7,CONCATENATE("* differential.element[",$B7,"].mapping[",$A7,"].identity = """,$F$1,""""),"")</f>
        <v>* differential.element[0].mapping[0].identity = "fhir"</v>
      </c>
      <c r="I7" s="114" t="str">
        <f>IF(G7,CONCATENATE("* differential.element[",$B7,"].mapping[",$A7,"].map = """,D7,""""),"")</f>
        <v>* differential.element[0].mapping[0].map = "Procedure.conformsTo('http://hl7.eu/fhir/ig/pcsp/StructureDefinition/Procedure-radiotheraphy-eu-pcsp')"</v>
      </c>
      <c r="J7" s="114" t="str">
        <f>IF(E7&gt;"",CONCATENATE("* differential.element[",$B7,"].mapping[",$A7,"].comment = """,E7,""""),"")</f>
        <v/>
      </c>
      <c r="L7" s="113" t="s">
        <v>50</v>
      </c>
      <c r="M7" s="113" t="s">
        <v>49</v>
      </c>
    </row>
    <row r="8" spans="1:13" ht="44.25" x14ac:dyDescent="0.75">
      <c r="A8" s="115">
        <v>0</v>
      </c>
      <c r="B8" s="115">
        <f>'Rad-1'!A7</f>
        <v>1</v>
      </c>
      <c r="C8" s="117" t="str">
        <f>'Rad-1'!B7</f>
        <v>relatedDiagnosis</v>
      </c>
      <c r="D8" s="115" t="s">
        <v>1220</v>
      </c>
      <c r="E8" s="113" t="s">
        <v>52</v>
      </c>
      <c r="G8" s="113" t="b">
        <f>IF(D8&gt;"",TRUE,FALSE)</f>
        <v>1</v>
      </c>
      <c r="H8" s="114" t="str">
        <f>IF(G8,CONCATENATE("* differential.element[",$B8,"].mapping[",$A8,"].identity = """,$F$1,""""),"")</f>
        <v>* differential.element[1].mapping[0].identity = "fhir"</v>
      </c>
      <c r="I8" s="114" t="str">
        <f>IF(G8,CONCATENATE("* differential.element[",$B8,"].mapping[",$A8,"].map = """,D8,""""),"")</f>
        <v>* differential.element[1].mapping[0].map = ".reasonReference"</v>
      </c>
      <c r="J8" s="114" t="str">
        <f>IF(E8&gt;"",CONCATENATE("* differential.element[",$B8,"].mapping[",$A8,"].comment = """,E8,""""),"")</f>
        <v>* differential.element[1].mapping[0].comment = "note"</v>
      </c>
      <c r="M8" s="113" t="str">
        <f t="shared" ref="M8:M28" si="0">CONCATENATE("* ",C8," -&gt; """,D8,"""")</f>
        <v>* relatedDiagnosis -&gt; ".reasonReference"</v>
      </c>
    </row>
    <row r="9" spans="1:13" ht="29.5" x14ac:dyDescent="0.75">
      <c r="A9" s="115">
        <v>0</v>
      </c>
      <c r="B9" s="115">
        <f>'Rad-1'!A8</f>
        <v>2</v>
      </c>
      <c r="C9" s="117" t="str">
        <f>'Rad-1'!B8</f>
        <v>relatedRelapse</v>
      </c>
      <c r="D9" s="115" t="s">
        <v>1220</v>
      </c>
      <c r="G9" s="113" t="b">
        <f t="shared" ref="G9:G70" si="1">IF(D9&gt;"",TRUE,FALSE)</f>
        <v>1</v>
      </c>
      <c r="H9" s="114" t="str">
        <f t="shared" ref="H9:H61" si="2">IF(G9,CONCATENATE("* differential.element[",$B9,"].mapping[",$A9,"].identity = """,$F$1,""""),"")</f>
        <v>* differential.element[2].mapping[0].identity = "fhir"</v>
      </c>
      <c r="I9" s="114" t="str">
        <f t="shared" ref="I9:I61" si="3">IF(G9,CONCATENATE("* differential.element[",$B9,"].mapping[",$A9,"].map = """,D9,""""),"")</f>
        <v>* differential.element[2].mapping[0].map = ".reasonReference"</v>
      </c>
      <c r="J9" s="114" t="str">
        <f t="shared" ref="J9:J62" si="4">IF(E9&gt;"",CONCATENATE("* differential.element[",$B9,"].mapping[",$A9,"].comment = """,E9,""""),"")</f>
        <v/>
      </c>
      <c r="M9" s="113" t="str">
        <f t="shared" si="0"/>
        <v>* relatedRelapse -&gt; ".reasonReference"</v>
      </c>
    </row>
    <row r="10" spans="1:13" ht="29.5" x14ac:dyDescent="0.75">
      <c r="A10" s="115">
        <v>0</v>
      </c>
      <c r="B10" s="115">
        <f>'Rad-1'!A9</f>
        <v>3</v>
      </c>
      <c r="C10" s="117" t="str">
        <f>'Rad-1'!B9</f>
        <v>identifier</v>
      </c>
      <c r="D10" s="115" t="s">
        <v>1221</v>
      </c>
      <c r="G10" s="113" t="b">
        <f t="shared" si="1"/>
        <v>1</v>
      </c>
      <c r="H10" s="114" t="str">
        <f t="shared" si="2"/>
        <v>* differential.element[3].mapping[0].identity = "fhir"</v>
      </c>
      <c r="I10" s="114" t="str">
        <f t="shared" si="3"/>
        <v>* differential.element[3].mapping[0].map = ".identifier"</v>
      </c>
      <c r="J10" s="114" t="str">
        <f t="shared" si="4"/>
        <v/>
      </c>
      <c r="M10" s="113" t="str">
        <f t="shared" si="0"/>
        <v>* identifier -&gt; ".identifier"</v>
      </c>
    </row>
    <row r="11" spans="1:13" ht="59" x14ac:dyDescent="0.75">
      <c r="A11" s="115">
        <v>0</v>
      </c>
      <c r="B11" s="115">
        <f>'Rad-1'!A10</f>
        <v>4</v>
      </c>
      <c r="C11" s="117" t="str">
        <f>'Rad-1'!B10</f>
        <v>istitutionOfTreatment</v>
      </c>
      <c r="D11" s="115" t="s">
        <v>1226</v>
      </c>
      <c r="G11" s="113" t="b">
        <f t="shared" si="1"/>
        <v>1</v>
      </c>
      <c r="H11" s="114" t="str">
        <f t="shared" si="2"/>
        <v>* differential.element[4].mapping[0].identity = "fhir"</v>
      </c>
      <c r="I11" s="114" t="str">
        <f t="shared" si="3"/>
        <v>* differential.element[4].mapping[0].map = ".location.resolve().conformsTo(http://hl7.eu/fhir/ig/pcsp/StructureDefinition/Location-eu-pcsp)"</v>
      </c>
      <c r="J11" s="114" t="str">
        <f t="shared" si="4"/>
        <v/>
      </c>
      <c r="M11" s="113" t="str">
        <f t="shared" si="0"/>
        <v>* istitutionOfTreatment -&gt; ".location.resolve().conformsTo(http://hl7.eu/fhir/ig/pcsp/StructureDefinition/Location-eu-pcsp)"</v>
      </c>
    </row>
    <row r="12" spans="1:13" ht="29.5" x14ac:dyDescent="0.75">
      <c r="A12" s="115">
        <v>0</v>
      </c>
      <c r="B12" s="115">
        <f>'Rad-1'!A11</f>
        <v>5</v>
      </c>
      <c r="C12" s="117" t="str">
        <f>'Rad-1'!B11</f>
        <v>istitutionOfTreatment.description</v>
      </c>
      <c r="D12" s="50" t="s">
        <v>1214</v>
      </c>
      <c r="G12" s="113" t="b">
        <f t="shared" si="1"/>
        <v>1</v>
      </c>
      <c r="H12" s="114" t="str">
        <f t="shared" si="2"/>
        <v>* differential.element[5].mapping[0].identity = "fhir"</v>
      </c>
      <c r="I12" s="114" t="str">
        <f t="shared" si="3"/>
        <v>* differential.element[5].mapping[0].map = "Location.description"</v>
      </c>
      <c r="J12" s="114" t="str">
        <f t="shared" si="4"/>
        <v/>
      </c>
      <c r="M12" s="113" t="str">
        <f t="shared" si="0"/>
        <v>* istitutionOfTreatment.description -&gt; "Location.description"</v>
      </c>
    </row>
    <row r="13" spans="1:13" ht="29.5" x14ac:dyDescent="0.75">
      <c r="A13" s="115">
        <v>0</v>
      </c>
      <c r="B13" s="115">
        <f>'Rad-1'!A12</f>
        <v>6</v>
      </c>
      <c r="C13" s="117" t="str">
        <f>'Rad-1'!B12</f>
        <v>istitutionOfTreatment.name</v>
      </c>
      <c r="D13" s="50" t="s">
        <v>1215</v>
      </c>
      <c r="G13" s="113" t="b">
        <f t="shared" si="1"/>
        <v>1</v>
      </c>
      <c r="H13" s="114" t="str">
        <f t="shared" si="2"/>
        <v>* differential.element[6].mapping[0].identity = "fhir"</v>
      </c>
      <c r="I13" s="114" t="str">
        <f t="shared" si="3"/>
        <v>* differential.element[6].mapping[0].map = "Location.name"</v>
      </c>
      <c r="J13" s="114" t="str">
        <f t="shared" si="4"/>
        <v/>
      </c>
      <c r="M13" s="113" t="str">
        <f t="shared" si="0"/>
        <v>* istitutionOfTreatment.name -&gt; "Location.name"</v>
      </c>
    </row>
    <row r="14" spans="1:13" ht="29.5" x14ac:dyDescent="0.75">
      <c r="A14" s="115">
        <v>0</v>
      </c>
      <c r="B14" s="115">
        <f>'Rad-1'!A13</f>
        <v>7</v>
      </c>
      <c r="C14" s="117" t="str">
        <f>'Rad-1'!B13</f>
        <v>istitutionOfTreatment.address</v>
      </c>
      <c r="D14" s="50" t="s">
        <v>1216</v>
      </c>
      <c r="G14" s="113" t="b">
        <f t="shared" si="1"/>
        <v>1</v>
      </c>
      <c r="H14" s="114" t="str">
        <f t="shared" si="2"/>
        <v>* differential.element[7].mapping[0].identity = "fhir"</v>
      </c>
      <c r="I14" s="114" t="str">
        <f t="shared" si="3"/>
        <v>* differential.element[7].mapping[0].map = "Location.address.city"</v>
      </c>
      <c r="J14" s="114" t="str">
        <f t="shared" si="4"/>
        <v/>
      </c>
      <c r="M14" s="113" t="str">
        <f t="shared" si="0"/>
        <v>* istitutionOfTreatment.address -&gt; "Location.address.city"</v>
      </c>
    </row>
    <row r="15" spans="1:13" x14ac:dyDescent="0.75">
      <c r="A15" s="115">
        <v>0</v>
      </c>
      <c r="B15" s="115">
        <f>'Rad-1'!A14</f>
        <v>8</v>
      </c>
      <c r="C15" s="117" t="str">
        <f>'Rad-1'!B14</f>
        <v>istitutionOfTreatment.address.name</v>
      </c>
      <c r="D15" s="50"/>
      <c r="G15" s="113" t="b">
        <f t="shared" si="1"/>
        <v>0</v>
      </c>
      <c r="H15" s="114" t="str">
        <f t="shared" si="2"/>
        <v/>
      </c>
      <c r="I15" s="114" t="str">
        <f t="shared" si="3"/>
        <v/>
      </c>
      <c r="J15" s="114" t="str">
        <f t="shared" si="4"/>
        <v/>
      </c>
      <c r="M15" s="113" t="str">
        <f t="shared" si="0"/>
        <v>* istitutionOfTreatment.address.name -&gt; ""</v>
      </c>
    </row>
    <row r="16" spans="1:13" ht="29.5" x14ac:dyDescent="0.75">
      <c r="A16" s="115">
        <v>0</v>
      </c>
      <c r="B16" s="115">
        <f>'Rad-1'!A15</f>
        <v>9</v>
      </c>
      <c r="C16" s="117" t="str">
        <f>'Rad-1'!B15</f>
        <v>istitutionOfTreatment.address.country</v>
      </c>
      <c r="D16" s="50" t="s">
        <v>1217</v>
      </c>
      <c r="G16" s="113" t="b">
        <f t="shared" si="1"/>
        <v>1</v>
      </c>
      <c r="H16" s="114" t="str">
        <f t="shared" si="2"/>
        <v>* differential.element[9].mapping[0].identity = "fhir"</v>
      </c>
      <c r="I16" s="114" t="str">
        <f t="shared" si="3"/>
        <v>* differential.element[9].mapping[0].map = "Location.address.country"</v>
      </c>
      <c r="J16" s="114" t="str">
        <f t="shared" si="4"/>
        <v/>
      </c>
      <c r="M16" s="113" t="str">
        <f t="shared" si="0"/>
        <v>* istitutionOfTreatment.address.country -&gt; "Location.address.country"</v>
      </c>
    </row>
    <row r="17" spans="1:13" ht="29.5" x14ac:dyDescent="0.75">
      <c r="A17" s="115">
        <v>0</v>
      </c>
      <c r="B17" s="115">
        <f>'Rad-1'!A16</f>
        <v>10</v>
      </c>
      <c r="C17" s="117" t="str">
        <f>'Rad-1'!B16</f>
        <v>startDate</v>
      </c>
      <c r="D17" s="50" t="s">
        <v>1222</v>
      </c>
      <c r="G17" s="113" t="b">
        <f t="shared" si="1"/>
        <v>1</v>
      </c>
      <c r="H17" s="114" t="str">
        <f t="shared" si="2"/>
        <v>* differential.element[10].mapping[0].identity = "fhir"</v>
      </c>
      <c r="I17" s="114" t="str">
        <f t="shared" si="3"/>
        <v>* differential.element[10].mapping[0].map = ".performedPeriod.start"</v>
      </c>
      <c r="J17" s="114" t="str">
        <f t="shared" si="4"/>
        <v/>
      </c>
      <c r="M17" s="113" t="str">
        <f t="shared" si="0"/>
        <v>* startDate -&gt; ".performedPeriod.start"</v>
      </c>
    </row>
    <row r="18" spans="1:13" ht="29.5" x14ac:dyDescent="0.75">
      <c r="A18" s="115">
        <v>0</v>
      </c>
      <c r="B18" s="115">
        <f>'Rad-1'!A17</f>
        <v>11</v>
      </c>
      <c r="C18" s="117" t="str">
        <f>'Rad-1'!B17</f>
        <v>enddate</v>
      </c>
      <c r="D18" s="50" t="s">
        <v>1223</v>
      </c>
      <c r="G18" s="113" t="b">
        <f t="shared" si="1"/>
        <v>1</v>
      </c>
      <c r="H18" s="114" t="str">
        <f t="shared" si="2"/>
        <v>* differential.element[11].mapping[0].identity = "fhir"</v>
      </c>
      <c r="I18" s="114" t="str">
        <f t="shared" si="3"/>
        <v>* differential.element[11].mapping[0].map = ".performedPeriod.end"</v>
      </c>
      <c r="J18" s="114" t="str">
        <f t="shared" si="4"/>
        <v/>
      </c>
      <c r="M18" s="113" t="str">
        <f t="shared" si="0"/>
        <v>* enddate -&gt; ".performedPeriod.end"</v>
      </c>
    </row>
    <row r="19" spans="1:13" ht="29.5" x14ac:dyDescent="0.75">
      <c r="A19" s="115">
        <v>0</v>
      </c>
      <c r="B19" s="115">
        <f>'Rad-1'!A18</f>
        <v>12</v>
      </c>
      <c r="C19" s="117" t="str">
        <f>'Rad-1'!B18</f>
        <v>type</v>
      </c>
      <c r="D19" s="115" t="s">
        <v>1224</v>
      </c>
      <c r="G19" s="113" t="b">
        <f t="shared" si="1"/>
        <v>1</v>
      </c>
      <c r="H19" s="114" t="str">
        <f t="shared" si="2"/>
        <v>* differential.element[12].mapping[0].identity = "fhir"</v>
      </c>
      <c r="I19" s="114" t="str">
        <f t="shared" si="3"/>
        <v>* differential.element[12].mapping[0].map = ".code"</v>
      </c>
      <c r="J19" s="114" t="str">
        <f t="shared" si="4"/>
        <v/>
      </c>
      <c r="M19" s="113" t="str">
        <f t="shared" si="0"/>
        <v>* type -&gt; ".code"</v>
      </c>
    </row>
    <row r="20" spans="1:13" ht="29.5" x14ac:dyDescent="0.75">
      <c r="A20" s="115">
        <v>0</v>
      </c>
      <c r="B20" s="115">
        <f>'Rad-1'!A19</f>
        <v>13</v>
      </c>
      <c r="C20" s="117" t="str">
        <f>'Rad-1'!B19</f>
        <v>deviceType</v>
      </c>
      <c r="D20" s="115" t="s">
        <v>1227</v>
      </c>
      <c r="G20" s="113" t="b">
        <f t="shared" si="1"/>
        <v>1</v>
      </c>
      <c r="H20" s="114" t="str">
        <f t="shared" si="2"/>
        <v>* differential.element[13].mapping[0].identity = "fhir"</v>
      </c>
      <c r="I20" s="114" t="str">
        <f t="shared" si="3"/>
        <v>* differential.element[13].mapping[0].map = ".usedCode"</v>
      </c>
      <c r="J20" s="114" t="str">
        <f t="shared" si="4"/>
        <v/>
      </c>
      <c r="M20" s="113" t="str">
        <f t="shared" si="0"/>
        <v>* deviceType -&gt; ".usedCode"</v>
      </c>
    </row>
    <row r="21" spans="1:13" ht="59" x14ac:dyDescent="0.75">
      <c r="A21" s="115">
        <v>0</v>
      </c>
      <c r="B21" s="115">
        <f>'Rad-1'!A20</f>
        <v>14</v>
      </c>
      <c r="C21" s="117" t="str">
        <f>'Rad-1'!B20</f>
        <v>brachytherapyType</v>
      </c>
      <c r="D21" s="115" t="s">
        <v>1229</v>
      </c>
      <c r="G21" s="113" t="b">
        <f t="shared" si="1"/>
        <v>1</v>
      </c>
      <c r="H21" s="114" t="str">
        <f t="shared" si="2"/>
        <v>* differential.element[14].mapping[0].identity = "fhir"</v>
      </c>
      <c r="I21" s="114" t="str">
        <f t="shared" si="3"/>
        <v>* differential.element[14].mapping[0].map = ".extension(http://hl7.org/fhir/StructureDefinition/procedure-method).valueCodeableConcept"</v>
      </c>
      <c r="J21" s="114" t="str">
        <f t="shared" si="4"/>
        <v/>
      </c>
      <c r="M21" s="113" t="str">
        <f t="shared" si="0"/>
        <v>* brachytherapyType -&gt; ".extension(http://hl7.org/fhir/StructureDefinition/procedure-method).valueCodeableConcept"</v>
      </c>
    </row>
    <row r="22" spans="1:13" ht="59" x14ac:dyDescent="0.75">
      <c r="A22" s="115">
        <v>0</v>
      </c>
      <c r="B22" s="115">
        <f>'Rad-1'!A21</f>
        <v>15</v>
      </c>
      <c r="C22" s="117" t="str">
        <f>'Rad-1'!B21</f>
        <v>isotopes</v>
      </c>
      <c r="D22" s="115" t="s">
        <v>1233</v>
      </c>
      <c r="G22" s="113" t="b">
        <f t="shared" si="1"/>
        <v>1</v>
      </c>
      <c r="H22" s="114" t="str">
        <f t="shared" si="2"/>
        <v>* differential.element[15].mapping[0].identity = "fhir"</v>
      </c>
      <c r="I22" s="114" t="str">
        <f t="shared" si="3"/>
        <v>* differential.element[15].mapping[0].map = ".location.resolve().conformsTo(http://hl7.eu/fhir/ig/pcsp/StructureDefinition/radiotherapy-energy-or-isotope).valueCodeableConcept"</v>
      </c>
      <c r="J22" s="114" t="str">
        <f t="shared" si="4"/>
        <v/>
      </c>
      <c r="M22" s="113" t="str">
        <f t="shared" si="0"/>
        <v>* isotopes -&gt; ".location.resolve().conformsTo(http://hl7.eu/fhir/ig/pcsp/StructureDefinition/radiotherapy-energy-or-isotope).valueCodeableConcept"</v>
      </c>
    </row>
    <row r="23" spans="1:13" ht="59" x14ac:dyDescent="0.75">
      <c r="A23" s="115">
        <v>0</v>
      </c>
      <c r="B23" s="115">
        <f>'Rad-1'!A22</f>
        <v>16</v>
      </c>
      <c r="C23" s="117" t="str">
        <f>'Rad-1'!B22</f>
        <v>radionuclides</v>
      </c>
      <c r="D23" s="115" t="s">
        <v>1233</v>
      </c>
      <c r="G23" s="113" t="b">
        <f t="shared" si="1"/>
        <v>1</v>
      </c>
      <c r="H23" s="114" t="str">
        <f t="shared" si="2"/>
        <v>* differential.element[16].mapping[0].identity = "fhir"</v>
      </c>
      <c r="I23" s="114" t="str">
        <f t="shared" si="3"/>
        <v>* differential.element[16].mapping[0].map = ".location.resolve().conformsTo(http://hl7.eu/fhir/ig/pcsp/StructureDefinition/radiotherapy-energy-or-isotope).valueCodeableConcept"</v>
      </c>
      <c r="J23" s="114" t="str">
        <f t="shared" si="4"/>
        <v/>
      </c>
      <c r="M23" s="113" t="str">
        <f t="shared" si="0"/>
        <v>* radionuclides -&gt; ".location.resolve().conformsTo(http://hl7.eu/fhir/ig/pcsp/StructureDefinition/radiotherapy-energy-or-isotope).valueCodeableConcept"</v>
      </c>
    </row>
    <row r="24" spans="1:13" ht="29.5" x14ac:dyDescent="0.75">
      <c r="A24" s="115">
        <v>0</v>
      </c>
      <c r="B24" s="115">
        <f>'Rad-1'!A23</f>
        <v>17</v>
      </c>
      <c r="C24" s="117" t="str">
        <f>'Rad-1'!B23</f>
        <v>numberOfCourses</v>
      </c>
      <c r="D24" s="115" t="s">
        <v>1256</v>
      </c>
      <c r="G24" s="113" t="b">
        <f t="shared" si="1"/>
        <v>1</v>
      </c>
      <c r="H24" s="114" t="str">
        <f t="shared" si="2"/>
        <v>* differential.element[17].mapping[0].identity = "fhir"</v>
      </c>
      <c r="I24" s="114" t="str">
        <f t="shared" si="3"/>
        <v>* differential.element[17].mapping[0].map = "TBD"</v>
      </c>
      <c r="J24" s="114" t="str">
        <f t="shared" si="4"/>
        <v/>
      </c>
      <c r="M24" s="113" t="str">
        <f t="shared" si="0"/>
        <v>* numberOfCourses -&gt; "TBD"</v>
      </c>
    </row>
    <row r="25" spans="1:13" x14ac:dyDescent="0.75">
      <c r="A25" s="115"/>
      <c r="B25" s="115"/>
      <c r="C25" s="117"/>
      <c r="D25" s="115"/>
      <c r="H25" s="114"/>
    </row>
    <row r="26" spans="1:13" ht="29.5" x14ac:dyDescent="0.75">
      <c r="A26" s="115">
        <v>0</v>
      </c>
      <c r="B26" s="115">
        <f>'Rad-1'!A24</f>
        <v>18</v>
      </c>
      <c r="C26" s="117" t="str">
        <f>'Rad-1'!B24</f>
        <v>target</v>
      </c>
      <c r="D26" s="115" t="s">
        <v>1225</v>
      </c>
      <c r="G26" s="113" t="b">
        <f t="shared" si="1"/>
        <v>1</v>
      </c>
      <c r="H26" s="114" t="str">
        <f t="shared" si="2"/>
        <v>* differential.element[18].mapping[0].identity = "fhir"</v>
      </c>
      <c r="I26" s="114" t="str">
        <f t="shared" si="3"/>
        <v>* differential.element[18].mapping[0].map = ".bodySite"</v>
      </c>
      <c r="J26" s="114" t="str">
        <f t="shared" si="4"/>
        <v/>
      </c>
      <c r="M26" s="113" t="str">
        <f t="shared" si="0"/>
        <v>* target -&gt; ".bodySite"</v>
      </c>
    </row>
    <row r="27" spans="1:13" ht="88.5" x14ac:dyDescent="0.75">
      <c r="A27" s="115">
        <v>1</v>
      </c>
      <c r="B27" s="115">
        <f>'Rad-1'!A24</f>
        <v>18</v>
      </c>
      <c r="C27" s="117" t="str">
        <f>'Rad-1'!B24</f>
        <v>target</v>
      </c>
      <c r="D27" s="116" t="s">
        <v>1228</v>
      </c>
      <c r="G27" s="113" t="b">
        <f t="shared" ref="G27" si="5">IF(D27&gt;"",TRUE,FALSE)</f>
        <v>1</v>
      </c>
      <c r="H27" s="114" t="str">
        <f t="shared" ref="H27" si="6">IF(G27,CONCATENATE("* differential.element[",$B27,"].mapping[",$A27,"].identity = """,$F$1,""""),"")</f>
        <v>* differential.element[18].mapping[1].identity = "fhir"</v>
      </c>
      <c r="I27" s="114" t="str">
        <f t="shared" ref="I27" si="7">IF(G27,CONCATENATE("* differential.element[",$B27,"].mapping[",$A27,"].map = """,D27,""""),"")</f>
        <v>* differential.element[18].mapping[1].map = ".extension(http://hl7.eu/fhir/ig/pcsp/StructureDefinition/ResourceRelatedInfo-eu-pcsp).resolve().conformsTo(http://hl7.eu/fhir/ig/pcsp/StructureDefinition/Observation-cumulativeDoseRad-eu-pcsp).bodySite"</v>
      </c>
      <c r="J27" s="114" t="str">
        <f t="shared" si="4"/>
        <v/>
      </c>
      <c r="M27" s="113" t="str">
        <f t="shared" ref="M27" si="8">CONCATENATE("* ",C27," -&gt; """,D27,"""")</f>
        <v>* target -&gt; ".extension(http://hl7.eu/fhir/ig/pcsp/StructureDefinition/ResourceRelatedInfo-eu-pcsp).resolve().conformsTo(http://hl7.eu/fhir/ig/pcsp/StructureDefinition/Observation-cumulativeDoseRad-eu-pcsp).bodySite"</v>
      </c>
    </row>
    <row r="28" spans="1:13" ht="29.5" x14ac:dyDescent="0.75">
      <c r="A28" s="115">
        <v>0</v>
      </c>
      <c r="B28" s="115">
        <f>'Rad-1'!A25</f>
        <v>19</v>
      </c>
      <c r="C28" s="117" t="str">
        <f>'Rad-1'!B25</f>
        <v>target.site</v>
      </c>
      <c r="D28" s="149" t="s">
        <v>1257</v>
      </c>
      <c r="G28" s="113" t="b">
        <f t="shared" si="1"/>
        <v>1</v>
      </c>
      <c r="H28" s="114" t="str">
        <f t="shared" si="2"/>
        <v>* differential.element[19].mapping[0].identity = "fhir"</v>
      </c>
      <c r="I28" s="114" t="str">
        <f t="shared" si="3"/>
        <v>* differential.element[19].mapping[0].map = "."</v>
      </c>
      <c r="J28" s="114" t="str">
        <f t="shared" si="4"/>
        <v/>
      </c>
      <c r="M28" s="113" t="str">
        <f t="shared" si="0"/>
        <v>* target.site -&gt; "."</v>
      </c>
    </row>
    <row r="29" spans="1:13" ht="59" x14ac:dyDescent="0.75">
      <c r="A29" s="115">
        <v>0</v>
      </c>
      <c r="B29" s="115">
        <f>'Rad-1'!A26</f>
        <v>20</v>
      </c>
      <c r="C29" s="117" t="str">
        <f>'Rad-1'!B26</f>
        <v>target.laterality</v>
      </c>
      <c r="D29" s="115" t="s">
        <v>1258</v>
      </c>
      <c r="G29" s="113" t="b">
        <f t="shared" si="1"/>
        <v>1</v>
      </c>
      <c r="H29" s="114" t="str">
        <f t="shared" si="2"/>
        <v>* differential.element[20].mapping[0].identity = "fhir"</v>
      </c>
      <c r="I29" s="114" t="str">
        <f t="shared" si="3"/>
        <v>* differential.element[20].mapping[0].map = ".extension(http://hl7.eu/fhir/ig/pcsp/StructureDefinition/mcode-laterality-qualifier).valueCodeableConcept"</v>
      </c>
      <c r="J29" s="114" t="str">
        <f t="shared" si="4"/>
        <v/>
      </c>
    </row>
    <row r="30" spans="1:13" ht="29.5" x14ac:dyDescent="0.75">
      <c r="A30" s="115">
        <v>0</v>
      </c>
      <c r="B30" s="115">
        <f>'Rad-1'!A27</f>
        <v>21</v>
      </c>
      <c r="C30" s="117" t="str">
        <f>'Rad-1'!B27</f>
        <v>target.details</v>
      </c>
      <c r="D30" s="149" t="s">
        <v>1259</v>
      </c>
      <c r="G30" s="113" t="b">
        <f t="shared" si="1"/>
        <v>1</v>
      </c>
      <c r="H30" s="114" t="str">
        <f t="shared" si="2"/>
        <v>* differential.element[21].mapping[0].identity = "fhir"</v>
      </c>
      <c r="I30" s="114" t="str">
        <f t="shared" si="3"/>
        <v>* differential.element[21].mapping[0].map = ".text"</v>
      </c>
      <c r="J30" s="114" t="str">
        <f t="shared" si="4"/>
        <v/>
      </c>
      <c r="M30" s="113" t="str">
        <f t="shared" ref="M30:M38" si="9">CONCATENATE("* ",C30," -&gt; """,D30,"""")</f>
        <v>* target.details -&gt; ".text"</v>
      </c>
    </row>
    <row r="31" spans="1:13" ht="29.5" x14ac:dyDescent="0.75">
      <c r="A31" s="115">
        <v>0</v>
      </c>
      <c r="B31" s="115">
        <f>'Rad-1'!A28</f>
        <v>22</v>
      </c>
      <c r="C31" s="117" t="str">
        <f>'Rad-1'!B28</f>
        <v>target.from</v>
      </c>
      <c r="D31" s="149" t="s">
        <v>1256</v>
      </c>
      <c r="G31" s="113" t="b">
        <f t="shared" si="1"/>
        <v>1</v>
      </c>
      <c r="H31" s="114" t="str">
        <f t="shared" si="2"/>
        <v>* differential.element[22].mapping[0].identity = "fhir"</v>
      </c>
      <c r="I31" s="114" t="str">
        <f t="shared" si="3"/>
        <v>* differential.element[22].mapping[0].map = "TBD"</v>
      </c>
      <c r="J31" s="114" t="str">
        <f t="shared" si="4"/>
        <v/>
      </c>
      <c r="M31" s="113" t="str">
        <f t="shared" si="9"/>
        <v>* target.from -&gt; "TBD"</v>
      </c>
    </row>
    <row r="32" spans="1:13" ht="29.5" x14ac:dyDescent="0.75">
      <c r="A32" s="115">
        <v>0</v>
      </c>
      <c r="B32" s="115">
        <f>'Rad-1'!A29</f>
        <v>23</v>
      </c>
      <c r="C32" s="117" t="str">
        <f>'Rad-1'!B29</f>
        <v>target.to</v>
      </c>
      <c r="D32" s="149" t="s">
        <v>1256</v>
      </c>
      <c r="G32" s="113" t="b">
        <f t="shared" si="1"/>
        <v>1</v>
      </c>
      <c r="H32" s="114" t="str">
        <f t="shared" si="2"/>
        <v>* differential.element[23].mapping[0].identity = "fhir"</v>
      </c>
      <c r="I32" s="114" t="str">
        <f t="shared" si="3"/>
        <v>* differential.element[23].mapping[0].map = "TBD"</v>
      </c>
      <c r="J32" s="114" t="str">
        <f t="shared" si="4"/>
        <v/>
      </c>
      <c r="M32" s="113" t="str">
        <f t="shared" si="9"/>
        <v>* target.to -&gt; "TBD"</v>
      </c>
    </row>
    <row r="33" spans="1:13" ht="29.5" x14ac:dyDescent="0.75">
      <c r="A33" s="115">
        <v>0</v>
      </c>
      <c r="B33" s="115">
        <f>'Rad-1'!A30</f>
        <v>24</v>
      </c>
      <c r="C33" s="117" t="str">
        <f>'Rad-1'!B30</f>
        <v>target.position</v>
      </c>
      <c r="D33" s="149" t="s">
        <v>1256</v>
      </c>
      <c r="G33" s="113" t="b">
        <f t="shared" si="1"/>
        <v>1</v>
      </c>
      <c r="H33" s="114" t="str">
        <f t="shared" si="2"/>
        <v>* differential.element[24].mapping[0].identity = "fhir"</v>
      </c>
      <c r="I33" s="114" t="str">
        <f t="shared" si="3"/>
        <v>* differential.element[24].mapping[0].map = "TBD"</v>
      </c>
      <c r="J33" s="114" t="str">
        <f t="shared" si="4"/>
        <v/>
      </c>
      <c r="M33" s="113" t="str">
        <f t="shared" si="9"/>
        <v>* target.position -&gt; "TBD"</v>
      </c>
    </row>
    <row r="34" spans="1:13" ht="88.5" x14ac:dyDescent="0.75">
      <c r="A34" s="115">
        <v>0</v>
      </c>
      <c r="B34" s="115">
        <f>'Rad-1'!A31</f>
        <v>25</v>
      </c>
      <c r="C34" s="117" t="str">
        <f>'Rad-1'!B31</f>
        <v>target.cumulativeDose</v>
      </c>
      <c r="D34" s="116" t="s">
        <v>1263</v>
      </c>
      <c r="G34" s="113" t="b">
        <f t="shared" si="1"/>
        <v>1</v>
      </c>
      <c r="H34" s="114" t="str">
        <f t="shared" si="2"/>
        <v>* differential.element[25].mapping[0].identity = "fhir"</v>
      </c>
      <c r="I34" s="114" t="str">
        <f t="shared" si="3"/>
        <v>* differential.element[25].mapping[0].map = ".extension(http://hl7.eu/fhir/ig/pcsp/StructureDefinition/ResourceRelatedInfo-eu-pcsp).resolve().conformsTo(http://hl7.eu/fhir/ig/pcsp/StructureDefinition/Observation-cumulativeDoseRad-eu-pcsp)"</v>
      </c>
      <c r="J34" s="114" t="str">
        <f t="shared" si="4"/>
        <v/>
      </c>
      <c r="M34" s="113" t="str">
        <f t="shared" si="9"/>
        <v>* target.cumulativeDose -&gt; ".extension(http://hl7.eu/fhir/ig/pcsp/StructureDefinition/ResourceRelatedInfo-eu-pcsp).resolve().conformsTo(http://hl7.eu/fhir/ig/pcsp/StructureDefinition/Observation-cumulativeDoseRad-eu-pcsp)"</v>
      </c>
    </row>
    <row r="35" spans="1:13" ht="29.5" x14ac:dyDescent="0.75">
      <c r="A35" s="115">
        <v>0</v>
      </c>
      <c r="B35" s="115">
        <f>'Rad-1'!A32</f>
        <v>26</v>
      </c>
      <c r="C35" s="117" t="str">
        <f>'Rad-1'!B32</f>
        <v>target.cumulativeDose.completionStatus</v>
      </c>
      <c r="D35" s="115" t="s">
        <v>1246</v>
      </c>
      <c r="G35" s="113" t="b">
        <f t="shared" si="1"/>
        <v>1</v>
      </c>
      <c r="H35" s="114" t="str">
        <f t="shared" si="2"/>
        <v>* differential.element[26].mapping[0].identity = "fhir"</v>
      </c>
      <c r="I35" s="114" t="str">
        <f t="shared" si="3"/>
        <v>* differential.element[26].mapping[0].map = ".status = #preliminary"</v>
      </c>
      <c r="J35" s="114" t="str">
        <f t="shared" si="4"/>
        <v/>
      </c>
      <c r="M35" s="113" t="str">
        <f t="shared" si="9"/>
        <v>* target.cumulativeDose.completionStatus -&gt; ".status = #preliminary"</v>
      </c>
    </row>
    <row r="36" spans="1:13" ht="44.25" x14ac:dyDescent="0.75">
      <c r="A36" s="115">
        <v>0</v>
      </c>
      <c r="B36" s="115">
        <f>'Rad-1'!A33</f>
        <v>27</v>
      </c>
      <c r="C36" s="117" t="str">
        <f>'Rad-1'!B33</f>
        <v>target.cumulativeDose.statusReason</v>
      </c>
      <c r="D36" s="46" t="s">
        <v>1247</v>
      </c>
      <c r="G36" s="113" t="b">
        <f t="shared" si="1"/>
        <v>1</v>
      </c>
      <c r="H36" s="114" t="str">
        <f t="shared" si="2"/>
        <v>* differential.element[27].mapping[0].identity = "fhir"</v>
      </c>
      <c r="I36" s="114" t="str">
        <f t="shared" si="3"/>
        <v>* differential.element[27].mapping[0].map = ".extension('http://hl7.org/fhir/StructureDefinition/event-statusReason')"</v>
      </c>
      <c r="J36" s="114" t="str">
        <f t="shared" si="4"/>
        <v/>
      </c>
      <c r="M36" s="113" t="str">
        <f t="shared" si="9"/>
        <v>* target.cumulativeDose.statusReason -&gt; ".extension('http://hl7.org/fhir/StructureDefinition/event-statusReason')"</v>
      </c>
    </row>
    <row r="37" spans="1:13" ht="59" x14ac:dyDescent="0.75">
      <c r="A37" s="115">
        <v>0</v>
      </c>
      <c r="B37" s="115">
        <f>'Rad-1'!A34</f>
        <v>28</v>
      </c>
      <c r="C37" s="117" t="str">
        <f>'Rad-1'!B34</f>
        <v>target.cumulativeDose.notKnown</v>
      </c>
      <c r="D37" s="115" t="s">
        <v>1251</v>
      </c>
      <c r="G37" s="113" t="b">
        <f t="shared" si="1"/>
        <v>1</v>
      </c>
      <c r="H37" s="114" t="str">
        <f t="shared" si="2"/>
        <v>* differential.element[28].mapping[0].identity = "fhir"</v>
      </c>
      <c r="I37" s="114" t="str">
        <f t="shared" si="3"/>
        <v>* differential.element[28].mapping[0].map = ".valueCodeableConcept = http://terminology.hl7.org/CodeSystem/data-absent-reason#unknown"</v>
      </c>
      <c r="J37" s="114" t="str">
        <f t="shared" si="4"/>
        <v/>
      </c>
      <c r="M37" s="113" t="str">
        <f t="shared" si="9"/>
        <v>* target.cumulativeDose.notKnown -&gt; ".valueCodeableConcept = http://terminology.hl7.org/CodeSystem/data-absent-reason#unknown"</v>
      </c>
    </row>
    <row r="38" spans="1:13" ht="29.5" x14ac:dyDescent="0.75">
      <c r="A38" s="115">
        <v>0</v>
      </c>
      <c r="B38" s="115">
        <f>'Rad-1'!A35</f>
        <v>29</v>
      </c>
      <c r="C38" s="117" t="str">
        <f>'Rad-1'!B35</f>
        <v>target.cumulativeDose.dose</v>
      </c>
      <c r="D38" s="115" t="s">
        <v>1248</v>
      </c>
      <c r="G38" s="113" t="b">
        <f t="shared" si="1"/>
        <v>1</v>
      </c>
      <c r="H38" s="114" t="str">
        <f t="shared" si="2"/>
        <v>* differential.element[29].mapping[0].identity = "fhir"</v>
      </c>
      <c r="I38" s="114" t="str">
        <f t="shared" si="3"/>
        <v>* differential.element[29].mapping[0].map = ".valueQuantity.value"</v>
      </c>
      <c r="J38" s="114" t="str">
        <f t="shared" si="4"/>
        <v/>
      </c>
      <c r="M38" s="113" t="str">
        <f t="shared" si="9"/>
        <v>* target.cumulativeDose.dose -&gt; ".valueQuantity.value"</v>
      </c>
    </row>
    <row r="39" spans="1:13" ht="29.5" x14ac:dyDescent="0.75">
      <c r="A39" s="115">
        <v>0</v>
      </c>
      <c r="B39" s="115">
        <f>'Rad-1'!A36</f>
        <v>30</v>
      </c>
      <c r="C39" s="117" t="str">
        <f>'Rad-1'!B36</f>
        <v>target.cumulativeDose.unit</v>
      </c>
      <c r="D39" s="115" t="s">
        <v>1260</v>
      </c>
      <c r="G39" s="113" t="b">
        <f t="shared" si="1"/>
        <v>1</v>
      </c>
      <c r="H39" s="114" t="str">
        <f t="shared" si="2"/>
        <v>* differential.element[30].mapping[0].identity = "fhir"</v>
      </c>
      <c r="I39" s="114" t="str">
        <f t="shared" si="3"/>
        <v>* differential.element[30].mapping[0].map = ".valueQuantity.code"</v>
      </c>
      <c r="J39" s="114" t="str">
        <f t="shared" si="4"/>
        <v/>
      </c>
    </row>
    <row r="40" spans="1:13" ht="29.5" x14ac:dyDescent="0.75">
      <c r="A40" s="115">
        <v>0</v>
      </c>
      <c r="B40" s="115">
        <f>'Rad-1'!A37</f>
        <v>31</v>
      </c>
      <c r="C40" s="117" t="str">
        <f>'Rad-1'!B37</f>
        <v>target.cumulativeDose.fractions</v>
      </c>
      <c r="D40" s="149" t="s">
        <v>1256</v>
      </c>
      <c r="G40" s="113" t="b">
        <f t="shared" si="1"/>
        <v>1</v>
      </c>
      <c r="H40" s="114" t="str">
        <f t="shared" si="2"/>
        <v>* differential.element[31].mapping[0].identity = "fhir"</v>
      </c>
      <c r="I40" s="114" t="str">
        <f t="shared" si="3"/>
        <v>* differential.element[31].mapping[0].map = "TBD"</v>
      </c>
      <c r="J40" s="114" t="str">
        <f t="shared" si="4"/>
        <v/>
      </c>
    </row>
    <row r="41" spans="1:13" ht="59" x14ac:dyDescent="0.75">
      <c r="A41" s="115">
        <v>0</v>
      </c>
      <c r="B41" s="115">
        <f>'Rad-1'!A38</f>
        <v>32</v>
      </c>
      <c r="C41" s="117" t="str">
        <f>'Rad-1'!B38</f>
        <v>target.boost</v>
      </c>
      <c r="D41" s="25" t="s">
        <v>1231</v>
      </c>
      <c r="G41" s="113" t="b">
        <f t="shared" si="1"/>
        <v>1</v>
      </c>
      <c r="H41" s="114" t="str">
        <f t="shared" si="2"/>
        <v>* differential.element[32].mapping[0].identity = "fhir"</v>
      </c>
      <c r="I41" s="114" t="str">
        <f t="shared" si="3"/>
        <v>* differential.element[32].mapping[0].map = "Procedure.conformsTo('http://hl7.eu/fhir/ig/pcsp/StructureDefinition/Procedure-radiotheraphyBoost-eu-pcsp')"</v>
      </c>
      <c r="J41" s="114" t="str">
        <f t="shared" si="4"/>
        <v/>
      </c>
    </row>
    <row r="42" spans="1:13" ht="29.5" x14ac:dyDescent="0.75">
      <c r="A42" s="115">
        <v>0</v>
      </c>
      <c r="B42" s="115">
        <f>'Rad-1'!A39</f>
        <v>33</v>
      </c>
      <c r="C42" s="117" t="str">
        <f>'Rad-1'!B39</f>
        <v>target.boost.type</v>
      </c>
      <c r="D42" s="115" t="s">
        <v>1224</v>
      </c>
      <c r="G42" s="113" t="b">
        <f t="shared" si="1"/>
        <v>1</v>
      </c>
      <c r="H42" s="114" t="str">
        <f t="shared" si="2"/>
        <v>* differential.element[33].mapping[0].identity = "fhir"</v>
      </c>
      <c r="I42" s="114" t="str">
        <f t="shared" si="3"/>
        <v>* differential.element[33].mapping[0].map = ".code"</v>
      </c>
      <c r="J42" s="114" t="str">
        <f t="shared" si="4"/>
        <v/>
      </c>
    </row>
    <row r="43" spans="1:13" ht="29.5" x14ac:dyDescent="0.75">
      <c r="A43" s="115">
        <v>0</v>
      </c>
      <c r="B43" s="115">
        <f>'Rad-1'!A40</f>
        <v>34</v>
      </c>
      <c r="C43" s="117" t="str">
        <f>'Rad-1'!B40</f>
        <v>target.boost.given</v>
      </c>
      <c r="D43" s="113" t="s">
        <v>1232</v>
      </c>
      <c r="G43" s="113" t="b">
        <f t="shared" si="1"/>
        <v>1</v>
      </c>
      <c r="H43" s="114" t="str">
        <f t="shared" si="2"/>
        <v>* differential.element[34].mapping[0].identity = "fhir"</v>
      </c>
      <c r="I43" s="114" t="str">
        <f t="shared" si="3"/>
        <v>* differential.element[34].mapping[0].map = ".status"</v>
      </c>
      <c r="J43" s="114" t="str">
        <f t="shared" si="4"/>
        <v/>
      </c>
    </row>
    <row r="44" spans="1:13" ht="29.5" x14ac:dyDescent="0.75">
      <c r="A44" s="115">
        <v>0</v>
      </c>
      <c r="B44" s="115">
        <f>'Rad-1'!A41</f>
        <v>35</v>
      </c>
      <c r="C44" s="117" t="str">
        <f>'Rad-1'!B41</f>
        <v>target.boost.site</v>
      </c>
      <c r="D44" s="115" t="s">
        <v>1225</v>
      </c>
      <c r="G44" s="113" t="b">
        <f t="shared" si="1"/>
        <v>1</v>
      </c>
      <c r="H44" s="114" t="str">
        <f t="shared" si="2"/>
        <v>* differential.element[35].mapping[0].identity = "fhir"</v>
      </c>
      <c r="I44" s="114" t="str">
        <f t="shared" si="3"/>
        <v>* differential.element[35].mapping[0].map = ".bodySite"</v>
      </c>
      <c r="J44" s="114" t="str">
        <f t="shared" si="4"/>
        <v/>
      </c>
    </row>
    <row r="45" spans="1:13" ht="88.5" x14ac:dyDescent="0.75">
      <c r="A45" s="115">
        <v>1</v>
      </c>
      <c r="B45" s="115">
        <f>'Rad-1'!A41</f>
        <v>35</v>
      </c>
      <c r="C45" s="117" t="str">
        <f>'Rad-1'!B41</f>
        <v>target.boost.site</v>
      </c>
      <c r="D45" s="116" t="s">
        <v>1228</v>
      </c>
      <c r="G45" s="113" t="b">
        <f t="shared" si="1"/>
        <v>1</v>
      </c>
      <c r="H45" s="114" t="str">
        <f t="shared" si="2"/>
        <v>* differential.element[35].mapping[1].identity = "fhir"</v>
      </c>
      <c r="I45" s="114" t="str">
        <f t="shared" si="3"/>
        <v>* differential.element[35].mapping[1].map = ".extension(http://hl7.eu/fhir/ig/pcsp/StructureDefinition/ResourceRelatedInfo-eu-pcsp).resolve().conformsTo(http://hl7.eu/fhir/ig/pcsp/StructureDefinition/Observation-cumulativeDoseRad-eu-pcsp).bodySite"</v>
      </c>
      <c r="J45" s="114" t="str">
        <f t="shared" si="4"/>
        <v/>
      </c>
    </row>
    <row r="46" spans="1:13" ht="59" x14ac:dyDescent="0.75">
      <c r="A46" s="115">
        <v>0</v>
      </c>
      <c r="B46" s="115">
        <f>'Rad-1'!A42</f>
        <v>36</v>
      </c>
      <c r="C46" s="117" t="str">
        <f>'Rad-1'!B42</f>
        <v>target.boost.laterality</v>
      </c>
      <c r="D46" s="115" t="s">
        <v>1258</v>
      </c>
      <c r="G46" s="113" t="b">
        <f t="shared" si="1"/>
        <v>1</v>
      </c>
      <c r="H46" s="114" t="str">
        <f t="shared" si="2"/>
        <v>* differential.element[36].mapping[0].identity = "fhir"</v>
      </c>
      <c r="I46" s="114" t="str">
        <f t="shared" si="3"/>
        <v>* differential.element[36].mapping[0].map = ".extension(http://hl7.eu/fhir/ig/pcsp/StructureDefinition/mcode-laterality-qualifier).valueCodeableConcept"</v>
      </c>
      <c r="J46" s="114" t="str">
        <f t="shared" si="4"/>
        <v/>
      </c>
    </row>
    <row r="47" spans="1:13" ht="29.5" x14ac:dyDescent="0.75">
      <c r="A47" s="115">
        <v>0</v>
      </c>
      <c r="B47" s="115">
        <f>'Rad-1'!A43</f>
        <v>37</v>
      </c>
      <c r="C47" s="117" t="str">
        <f>'Rad-1'!B43</f>
        <v>target.boost.details</v>
      </c>
      <c r="D47" s="149" t="s">
        <v>1259</v>
      </c>
      <c r="G47" s="113" t="b">
        <f t="shared" si="1"/>
        <v>1</v>
      </c>
      <c r="H47" s="114" t="str">
        <f t="shared" si="2"/>
        <v>* differential.element[37].mapping[0].identity = "fhir"</v>
      </c>
      <c r="I47" s="114" t="str">
        <f t="shared" si="3"/>
        <v>* differential.element[37].mapping[0].map = ".text"</v>
      </c>
      <c r="J47" s="114" t="str">
        <f t="shared" si="4"/>
        <v/>
      </c>
    </row>
    <row r="48" spans="1:13" ht="29.5" x14ac:dyDescent="0.75">
      <c r="A48" s="115">
        <v>0</v>
      </c>
      <c r="B48" s="115">
        <f>'Rad-1'!A44</f>
        <v>38</v>
      </c>
      <c r="C48" s="117" t="str">
        <f>'Rad-1'!B44</f>
        <v>target.boost.from</v>
      </c>
      <c r="D48" s="149" t="s">
        <v>1256</v>
      </c>
      <c r="G48" s="113" t="b">
        <f t="shared" si="1"/>
        <v>1</v>
      </c>
      <c r="H48" s="114" t="str">
        <f t="shared" si="2"/>
        <v>* differential.element[38].mapping[0].identity = "fhir"</v>
      </c>
      <c r="I48" s="114" t="str">
        <f t="shared" si="3"/>
        <v>* differential.element[38].mapping[0].map = "TBD"</v>
      </c>
      <c r="J48" s="114" t="str">
        <f t="shared" si="4"/>
        <v/>
      </c>
    </row>
    <row r="49" spans="1:10" ht="29.5" x14ac:dyDescent="0.75">
      <c r="A49" s="115">
        <v>0</v>
      </c>
      <c r="B49" s="115">
        <f>'Rad-1'!A45</f>
        <v>39</v>
      </c>
      <c r="C49" s="117" t="str">
        <f>'Rad-1'!B45</f>
        <v>target.boost.to</v>
      </c>
      <c r="D49" s="149" t="s">
        <v>1256</v>
      </c>
      <c r="G49" s="113" t="b">
        <f t="shared" si="1"/>
        <v>1</v>
      </c>
      <c r="H49" s="114" t="str">
        <f t="shared" si="2"/>
        <v>* differential.element[39].mapping[0].identity = "fhir"</v>
      </c>
      <c r="I49" s="114" t="str">
        <f t="shared" si="3"/>
        <v>* differential.element[39].mapping[0].map = "TBD"</v>
      </c>
      <c r="J49" s="114" t="str">
        <f t="shared" si="4"/>
        <v/>
      </c>
    </row>
    <row r="50" spans="1:10" ht="29.5" x14ac:dyDescent="0.75">
      <c r="A50" s="115">
        <v>0</v>
      </c>
      <c r="B50" s="115">
        <f>'Rad-1'!A46</f>
        <v>40</v>
      </c>
      <c r="C50" s="117" t="str">
        <f>'Rad-1'!B46</f>
        <v>target.boost.position</v>
      </c>
      <c r="D50" s="149" t="s">
        <v>1256</v>
      </c>
      <c r="G50" s="113" t="b">
        <f t="shared" si="1"/>
        <v>1</v>
      </c>
      <c r="H50" s="114" t="str">
        <f t="shared" si="2"/>
        <v>* differential.element[40].mapping[0].identity = "fhir"</v>
      </c>
      <c r="I50" s="114" t="str">
        <f t="shared" si="3"/>
        <v>* differential.element[40].mapping[0].map = "TBD"</v>
      </c>
      <c r="J50" s="114" t="str">
        <f t="shared" si="4"/>
        <v/>
      </c>
    </row>
    <row r="51" spans="1:10" ht="88.5" x14ac:dyDescent="0.75">
      <c r="A51" s="115">
        <v>0</v>
      </c>
      <c r="B51" s="115">
        <f>'Rad-1'!A47</f>
        <v>41</v>
      </c>
      <c r="C51" s="117" t="str">
        <f>'Rad-1'!B47</f>
        <v>target.boost.cumulativeDose</v>
      </c>
      <c r="D51" s="116" t="s">
        <v>1263</v>
      </c>
      <c r="G51" s="113" t="b">
        <f t="shared" si="1"/>
        <v>1</v>
      </c>
      <c r="H51" s="114" t="str">
        <f t="shared" si="2"/>
        <v>* differential.element[41].mapping[0].identity = "fhir"</v>
      </c>
      <c r="I51" s="114" t="str">
        <f t="shared" si="3"/>
        <v>* differential.element[41].mapping[0].map = ".extension(http://hl7.eu/fhir/ig/pcsp/StructureDefinition/ResourceRelatedInfo-eu-pcsp).resolve().conformsTo(http://hl7.eu/fhir/ig/pcsp/StructureDefinition/Observation-cumulativeDoseRad-eu-pcsp)"</v>
      </c>
      <c r="J51" s="114" t="str">
        <f t="shared" si="4"/>
        <v/>
      </c>
    </row>
    <row r="52" spans="1:10" ht="29.5" x14ac:dyDescent="0.75">
      <c r="A52" s="115">
        <v>0</v>
      </c>
      <c r="B52" s="115">
        <f>'Rad-1'!A48</f>
        <v>42</v>
      </c>
      <c r="C52" s="117" t="str">
        <f>'Rad-1'!B48</f>
        <v>target.boost.cumulativeDose.completionStatus</v>
      </c>
      <c r="D52" s="115" t="s">
        <v>1246</v>
      </c>
      <c r="G52" s="113" t="b">
        <f t="shared" si="1"/>
        <v>1</v>
      </c>
      <c r="H52" s="114" t="str">
        <f t="shared" si="2"/>
        <v>* differential.element[42].mapping[0].identity = "fhir"</v>
      </c>
      <c r="I52" s="114" t="str">
        <f t="shared" si="3"/>
        <v>* differential.element[42].mapping[0].map = ".status = #preliminary"</v>
      </c>
      <c r="J52" s="114" t="str">
        <f t="shared" si="4"/>
        <v/>
      </c>
    </row>
    <row r="53" spans="1:10" ht="44.25" x14ac:dyDescent="0.75">
      <c r="A53" s="115">
        <v>0</v>
      </c>
      <c r="B53" s="115">
        <f>'Rad-1'!A49</f>
        <v>43</v>
      </c>
      <c r="C53" s="117" t="str">
        <f>'Rad-1'!B49</f>
        <v>target.boost.cumulativeDose.statusReason</v>
      </c>
      <c r="D53" s="46" t="s">
        <v>1247</v>
      </c>
      <c r="G53" s="113" t="b">
        <f t="shared" si="1"/>
        <v>1</v>
      </c>
      <c r="H53" s="114" t="str">
        <f t="shared" si="2"/>
        <v>* differential.element[43].mapping[0].identity = "fhir"</v>
      </c>
      <c r="I53" s="114" t="str">
        <f t="shared" si="3"/>
        <v>* differential.element[43].mapping[0].map = ".extension('http://hl7.org/fhir/StructureDefinition/event-statusReason')"</v>
      </c>
      <c r="J53" s="114" t="str">
        <f t="shared" si="4"/>
        <v/>
      </c>
    </row>
    <row r="54" spans="1:10" ht="59" x14ac:dyDescent="0.75">
      <c r="A54" s="115">
        <v>0</v>
      </c>
      <c r="B54" s="115">
        <f>'Rad-1'!A50</f>
        <v>44</v>
      </c>
      <c r="C54" s="117" t="str">
        <f>'Rad-1'!B50</f>
        <v>target.boost.cumulativeDose.notKnown</v>
      </c>
      <c r="D54" s="115" t="s">
        <v>1251</v>
      </c>
      <c r="G54" s="113" t="b">
        <f t="shared" si="1"/>
        <v>1</v>
      </c>
      <c r="H54" s="114" t="str">
        <f t="shared" si="2"/>
        <v>* differential.element[44].mapping[0].identity = "fhir"</v>
      </c>
      <c r="I54" s="114" t="str">
        <f t="shared" si="3"/>
        <v>* differential.element[44].mapping[0].map = ".valueCodeableConcept = http://terminology.hl7.org/CodeSystem/data-absent-reason#unknown"</v>
      </c>
      <c r="J54" s="114" t="str">
        <f t="shared" si="4"/>
        <v/>
      </c>
    </row>
    <row r="55" spans="1:10" ht="29.5" x14ac:dyDescent="0.75">
      <c r="A55" s="115">
        <v>0</v>
      </c>
      <c r="B55" s="115">
        <f>'Rad-1'!A51</f>
        <v>45</v>
      </c>
      <c r="C55" s="117" t="str">
        <f>'Rad-1'!B51</f>
        <v>target.boost.cumulativeDose.dose</v>
      </c>
      <c r="D55" s="115" t="s">
        <v>1248</v>
      </c>
      <c r="G55" s="113" t="b">
        <f t="shared" si="1"/>
        <v>1</v>
      </c>
      <c r="H55" s="114" t="str">
        <f t="shared" si="2"/>
        <v>* differential.element[45].mapping[0].identity = "fhir"</v>
      </c>
      <c r="I55" s="114" t="str">
        <f t="shared" si="3"/>
        <v>* differential.element[45].mapping[0].map = ".valueQuantity.value"</v>
      </c>
      <c r="J55" s="114" t="str">
        <f t="shared" si="4"/>
        <v/>
      </c>
    </row>
    <row r="56" spans="1:10" ht="29.5" x14ac:dyDescent="0.75">
      <c r="A56" s="115">
        <v>0</v>
      </c>
      <c r="B56" s="115">
        <f>'Rad-1'!A52</f>
        <v>46</v>
      </c>
      <c r="C56" s="117" t="str">
        <f>'Rad-1'!B52</f>
        <v>target.boost.cumulativeDose.unit</v>
      </c>
      <c r="D56" s="115" t="s">
        <v>1260</v>
      </c>
      <c r="G56" s="113" t="b">
        <f t="shared" si="1"/>
        <v>1</v>
      </c>
      <c r="H56" s="114" t="str">
        <f t="shared" si="2"/>
        <v>* differential.element[46].mapping[0].identity = "fhir"</v>
      </c>
      <c r="I56" s="114" t="str">
        <f t="shared" si="3"/>
        <v>* differential.element[46].mapping[0].map = ".valueQuantity.code"</v>
      </c>
      <c r="J56" s="114" t="str">
        <f t="shared" si="4"/>
        <v/>
      </c>
    </row>
    <row r="57" spans="1:10" ht="29.5" x14ac:dyDescent="0.75">
      <c r="A57" s="115">
        <v>0</v>
      </c>
      <c r="B57" s="115">
        <f>'Rad-1'!A53</f>
        <v>47</v>
      </c>
      <c r="C57" s="117" t="str">
        <f>'Rad-1'!B53</f>
        <v>target.boost.cumulativeDose.fractions</v>
      </c>
      <c r="D57" s="150" t="s">
        <v>1256</v>
      </c>
      <c r="G57" s="113" t="b">
        <f t="shared" si="1"/>
        <v>1</v>
      </c>
      <c r="H57" s="114" t="str">
        <f t="shared" si="2"/>
        <v>* differential.element[47].mapping[0].identity = "fhir"</v>
      </c>
      <c r="I57" s="114" t="str">
        <f t="shared" si="3"/>
        <v>* differential.element[47].mapping[0].map = "TBD"</v>
      </c>
      <c r="J57" s="114" t="str">
        <f t="shared" si="4"/>
        <v/>
      </c>
    </row>
    <row r="58" spans="1:10" ht="29.5" x14ac:dyDescent="0.75">
      <c r="A58" s="115">
        <v>0</v>
      </c>
      <c r="B58" s="115">
        <f>'Rad-1'!A54</f>
        <v>48</v>
      </c>
      <c r="C58" s="117" t="str">
        <f>'Rad-1'!B54</f>
        <v>target.site.shielding</v>
      </c>
      <c r="D58" s="150" t="s">
        <v>1256</v>
      </c>
      <c r="G58" s="113" t="b">
        <f t="shared" si="1"/>
        <v>1</v>
      </c>
      <c r="H58" s="114" t="str">
        <f t="shared" si="2"/>
        <v>* differential.element[48].mapping[0].identity = "fhir"</v>
      </c>
      <c r="I58" s="114" t="str">
        <f t="shared" si="3"/>
        <v>* differential.element[48].mapping[0].map = "TBD"</v>
      </c>
      <c r="J58" s="114" t="str">
        <f t="shared" si="4"/>
        <v/>
      </c>
    </row>
    <row r="59" spans="1:10" ht="29.5" x14ac:dyDescent="0.75">
      <c r="A59" s="115">
        <v>0</v>
      </c>
      <c r="B59" s="115">
        <f>'Rad-1'!A55</f>
        <v>49</v>
      </c>
      <c r="C59" s="117" t="str">
        <f>'Rad-1'!B55</f>
        <v>target.site.shielding.status</v>
      </c>
      <c r="D59" s="150" t="s">
        <v>1256</v>
      </c>
      <c r="G59" s="113" t="b">
        <f t="shared" si="1"/>
        <v>1</v>
      </c>
      <c r="H59" s="114" t="str">
        <f t="shared" si="2"/>
        <v>* differential.element[49].mapping[0].identity = "fhir"</v>
      </c>
      <c r="I59" s="114" t="str">
        <f t="shared" si="3"/>
        <v>* differential.element[49].mapping[0].map = "TBD"</v>
      </c>
      <c r="J59" s="114" t="str">
        <f t="shared" si="4"/>
        <v/>
      </c>
    </row>
    <row r="60" spans="1:10" ht="29.5" x14ac:dyDescent="0.75">
      <c r="A60" s="115">
        <v>0</v>
      </c>
      <c r="B60" s="115">
        <f>'Rad-1'!A56</f>
        <v>50</v>
      </c>
      <c r="C60" s="117" t="str">
        <f>'Rad-1'!B56</f>
        <v>target.site.shielding.position</v>
      </c>
      <c r="D60" s="150" t="s">
        <v>1256</v>
      </c>
      <c r="G60" s="113" t="b">
        <f t="shared" si="1"/>
        <v>1</v>
      </c>
      <c r="H60" s="114" t="str">
        <f t="shared" si="2"/>
        <v>* differential.element[50].mapping[0].identity = "fhir"</v>
      </c>
      <c r="I60" s="114" t="str">
        <f t="shared" si="3"/>
        <v>* differential.element[50].mapping[0].map = "TBD"</v>
      </c>
      <c r="J60" s="114" t="str">
        <f t="shared" si="4"/>
        <v/>
      </c>
    </row>
    <row r="61" spans="1:10" x14ac:dyDescent="0.75">
      <c r="A61" s="115">
        <v>0</v>
      </c>
      <c r="B61" s="115">
        <f>'Rad-1'!A57</f>
        <v>51</v>
      </c>
      <c r="C61" s="117" t="str">
        <f>'Rad-1'!B57</f>
        <v>target.site.notes</v>
      </c>
      <c r="G61" s="113" t="b">
        <f t="shared" si="1"/>
        <v>0</v>
      </c>
      <c r="H61" s="114" t="str">
        <f t="shared" si="2"/>
        <v/>
      </c>
      <c r="I61" s="114" t="str">
        <f t="shared" si="3"/>
        <v/>
      </c>
      <c r="J61" s="114" t="str">
        <f t="shared" si="4"/>
        <v/>
      </c>
    </row>
    <row r="62" spans="1:10" ht="59" x14ac:dyDescent="0.75">
      <c r="A62" s="115">
        <v>0</v>
      </c>
      <c r="B62" s="115">
        <f>'Rad-1'!A58</f>
        <v>52</v>
      </c>
      <c r="C62" s="117" t="str">
        <f>'Rad-1'!B58</f>
        <v>organAtRisk</v>
      </c>
      <c r="D62" s="46" t="s">
        <v>1262</v>
      </c>
      <c r="G62" s="113" t="b">
        <f t="shared" si="1"/>
        <v>1</v>
      </c>
      <c r="H62" s="114" t="str">
        <f t="shared" ref="H62:H63" si="10">IF(G62,CONCATENATE("* differential.element[",$B62,"].mapping[",$A62,"].identity = """,$F$1,""""),"")</f>
        <v>* differential.element[52].mapping[0].identity = "fhir"</v>
      </c>
      <c r="I62" s="114" t="str">
        <f t="shared" ref="I62:I63" si="11">IF(G62,CONCATENATE("* differential.element[",$B62,"].mapping[",$A62,"].map = """,D62,""""),"")</f>
        <v>* differential.element[52].mapping[0].map = ".extension(http://hl7.org/fhir/StructureDefinition/workflow-supportingInfo).ofType(DocumentReference)"</v>
      </c>
      <c r="J62" s="114" t="str">
        <f t="shared" si="4"/>
        <v/>
      </c>
    </row>
    <row r="63" spans="1:10" ht="29.5" x14ac:dyDescent="0.75">
      <c r="A63" s="115">
        <v>0</v>
      </c>
      <c r="B63" s="115">
        <f>'Rad-1'!A59</f>
        <v>53</v>
      </c>
      <c r="C63" s="117" t="str">
        <f>'Rad-1'!B59</f>
        <v>organAtRisk.dosimetry</v>
      </c>
      <c r="D63" s="150" t="s">
        <v>1212</v>
      </c>
      <c r="G63" s="113" t="b">
        <f t="shared" si="1"/>
        <v>1</v>
      </c>
      <c r="H63" s="114" t="str">
        <f t="shared" si="10"/>
        <v>* differential.element[53].mapping[0].identity = "fhir"</v>
      </c>
      <c r="I63" s="114" t="str">
        <f t="shared" si="11"/>
        <v>* differential.element[53].mapping[0].map = ".exists()"</v>
      </c>
    </row>
    <row r="64" spans="1:10" ht="29.5" x14ac:dyDescent="0.75">
      <c r="A64" s="115">
        <v>0</v>
      </c>
      <c r="B64" s="115">
        <f>'Rad-1'!A60</f>
        <v>54</v>
      </c>
      <c r="C64" s="117" t="str">
        <f>'Rad-1'!B60</f>
        <v>organAtRisk.dosimetryDocument</v>
      </c>
      <c r="D64" s="150" t="s">
        <v>1257</v>
      </c>
      <c r="G64" s="113" t="b">
        <f t="shared" si="1"/>
        <v>1</v>
      </c>
      <c r="H64" s="114" t="str">
        <f t="shared" ref="H64:H70" si="12">IF(G64,CONCATENATE("* differential.element[",$B64,"].mapping[",$A64,"].identity = """,$F$1,""""),"")</f>
        <v>* differential.element[54].mapping[0].identity = "fhir"</v>
      </c>
      <c r="I64" s="114" t="str">
        <f t="shared" ref="I64:I70" si="13">IF(G64,CONCATENATE("* differential.element[",$B64,"].mapping[",$A64,"].map = """,D64,""""),"")</f>
        <v>* differential.element[54].mapping[0].map = "."</v>
      </c>
    </row>
    <row r="65" spans="1:9" ht="59" x14ac:dyDescent="0.75">
      <c r="A65" s="115">
        <v>0</v>
      </c>
      <c r="B65" s="115">
        <f>'Rad-1'!A61</f>
        <v>55</v>
      </c>
      <c r="C65" s="117" t="str">
        <f>'Rad-1'!B61</f>
        <v>files</v>
      </c>
      <c r="D65" s="46" t="s">
        <v>1262</v>
      </c>
      <c r="G65" s="113" t="b">
        <f t="shared" si="1"/>
        <v>1</v>
      </c>
      <c r="H65" s="114" t="str">
        <f t="shared" si="12"/>
        <v>* differential.element[55].mapping[0].identity = "fhir"</v>
      </c>
      <c r="I65" s="114" t="str">
        <f t="shared" si="13"/>
        <v>* differential.element[55].mapping[0].map = ".extension(http://hl7.org/fhir/StructureDefinition/workflow-supportingInfo).ofType(DocumentReference)"</v>
      </c>
    </row>
    <row r="66" spans="1:9" ht="29.5" x14ac:dyDescent="0.75">
      <c r="A66" s="115">
        <v>0</v>
      </c>
      <c r="B66" s="115">
        <f>'Rad-1'!A62</f>
        <v>56</v>
      </c>
      <c r="C66" s="117" t="str">
        <f>'Rad-1'!B62</f>
        <v>notes</v>
      </c>
      <c r="D66" s="113" t="s">
        <v>1261</v>
      </c>
      <c r="G66" s="113" t="b">
        <f t="shared" si="1"/>
        <v>1</v>
      </c>
      <c r="H66" s="114" t="str">
        <f t="shared" si="12"/>
        <v>* differential.element[56].mapping[0].identity = "fhir"</v>
      </c>
      <c r="I66" s="114" t="str">
        <f t="shared" si="13"/>
        <v>* differential.element[56].mapping[0].map = ".note"</v>
      </c>
    </row>
    <row r="67" spans="1:9" x14ac:dyDescent="0.75">
      <c r="A67" s="115"/>
      <c r="B67" s="115"/>
      <c r="C67" s="117"/>
      <c r="G67" s="113" t="b">
        <f t="shared" si="1"/>
        <v>0</v>
      </c>
      <c r="H67" s="114" t="str">
        <f t="shared" si="12"/>
        <v/>
      </c>
      <c r="I67" s="114" t="str">
        <f t="shared" si="13"/>
        <v/>
      </c>
    </row>
    <row r="68" spans="1:9" x14ac:dyDescent="0.75">
      <c r="A68" s="115"/>
      <c r="B68" s="115"/>
      <c r="C68" s="117"/>
      <c r="G68" s="113" t="b">
        <f t="shared" si="1"/>
        <v>0</v>
      </c>
      <c r="H68" s="114" t="str">
        <f t="shared" si="12"/>
        <v/>
      </c>
      <c r="I68" s="114" t="str">
        <f t="shared" si="13"/>
        <v/>
      </c>
    </row>
    <row r="69" spans="1:9" x14ac:dyDescent="0.75">
      <c r="A69" s="115"/>
      <c r="B69" s="115"/>
      <c r="C69" s="117"/>
      <c r="G69" s="113" t="b">
        <f t="shared" si="1"/>
        <v>0</v>
      </c>
      <c r="H69" s="114" t="str">
        <f t="shared" si="12"/>
        <v/>
      </c>
      <c r="I69" s="114" t="str">
        <f t="shared" si="13"/>
        <v/>
      </c>
    </row>
    <row r="70" spans="1:9" x14ac:dyDescent="0.75">
      <c r="A70" s="115"/>
      <c r="B70" s="115"/>
      <c r="C70" s="117"/>
      <c r="G70" s="113" t="b">
        <f t="shared" si="1"/>
        <v>0</v>
      </c>
      <c r="H70" s="114" t="str">
        <f t="shared" si="12"/>
        <v/>
      </c>
      <c r="I70" s="114" t="str">
        <f t="shared" si="13"/>
        <v/>
      </c>
    </row>
    <row r="71" spans="1:9" x14ac:dyDescent="0.75">
      <c r="A71" s="115"/>
      <c r="B71" s="115"/>
      <c r="C71" s="117"/>
    </row>
    <row r="72" spans="1:9" x14ac:dyDescent="0.75">
      <c r="A72" s="115"/>
      <c r="B72" s="115"/>
      <c r="C72" s="117"/>
    </row>
    <row r="73" spans="1:9" x14ac:dyDescent="0.75">
      <c r="A73" s="115"/>
      <c r="B73" s="115"/>
      <c r="C73" s="117"/>
    </row>
    <row r="74" spans="1:9" x14ac:dyDescent="0.75">
      <c r="A74" s="115"/>
      <c r="B74" s="115"/>
      <c r="C74" s="117"/>
    </row>
    <row r="75" spans="1:9" x14ac:dyDescent="0.75">
      <c r="A75" s="115"/>
      <c r="B75" s="115"/>
      <c r="C75" s="117"/>
    </row>
    <row r="76" spans="1:9" x14ac:dyDescent="0.75">
      <c r="A76" s="115"/>
      <c r="B76" s="115"/>
      <c r="C76" s="117"/>
    </row>
    <row r="77" spans="1:9" x14ac:dyDescent="0.75">
      <c r="A77" s="115"/>
      <c r="B77" s="115"/>
      <c r="C77" s="117"/>
    </row>
    <row r="78" spans="1:9" x14ac:dyDescent="0.75">
      <c r="A78" s="115"/>
      <c r="B78" s="115"/>
      <c r="C78" s="117"/>
    </row>
    <row r="79" spans="1:9" x14ac:dyDescent="0.75">
      <c r="A79" s="115"/>
      <c r="B79" s="115"/>
      <c r="C79" s="117"/>
    </row>
    <row r="80" spans="1:9" x14ac:dyDescent="0.75">
      <c r="A80" s="115"/>
      <c r="B80" s="115"/>
      <c r="C80" s="117"/>
    </row>
    <row r="81" spans="1:3" x14ac:dyDescent="0.75">
      <c r="A81" s="115"/>
      <c r="B81" s="115"/>
      <c r="C81" s="117"/>
    </row>
    <row r="82" spans="1:3" x14ac:dyDescent="0.75">
      <c r="A82" s="115"/>
      <c r="B82" s="115"/>
      <c r="C82" s="117"/>
    </row>
    <row r="83" spans="1:3" x14ac:dyDescent="0.75">
      <c r="A83" s="115"/>
      <c r="B83" s="115"/>
      <c r="C83" s="117"/>
    </row>
    <row r="84" spans="1:3" x14ac:dyDescent="0.75">
      <c r="A84" s="115"/>
      <c r="B84" s="115"/>
      <c r="C84" s="117"/>
    </row>
    <row r="85" spans="1:3" x14ac:dyDescent="0.75">
      <c r="A85" s="115"/>
      <c r="B85" s="115"/>
      <c r="C85" s="117"/>
    </row>
    <row r="86" spans="1:3" x14ac:dyDescent="0.75">
      <c r="A86" s="115"/>
      <c r="B86" s="115"/>
      <c r="C86" s="117"/>
    </row>
    <row r="87" spans="1:3" x14ac:dyDescent="0.75">
      <c r="A87" s="115"/>
      <c r="B87" s="115"/>
      <c r="C87" s="117"/>
    </row>
    <row r="88" spans="1:3" x14ac:dyDescent="0.75">
      <c r="A88" s="115"/>
      <c r="B88" s="115"/>
      <c r="C88" s="117"/>
    </row>
    <row r="89" spans="1:3" x14ac:dyDescent="0.75">
      <c r="A89" s="115"/>
      <c r="B89" s="115"/>
      <c r="C89" s="117"/>
    </row>
    <row r="90" spans="1:3" x14ac:dyDescent="0.75">
      <c r="A90" s="115"/>
      <c r="B90" s="115"/>
      <c r="C90" s="117"/>
    </row>
    <row r="91" spans="1:3" x14ac:dyDescent="0.75">
      <c r="A91" s="115"/>
      <c r="B91" s="115"/>
      <c r="C91" s="117"/>
    </row>
    <row r="92" spans="1:3" x14ac:dyDescent="0.75">
      <c r="A92" s="115"/>
      <c r="B92" s="115"/>
      <c r="C92" s="117"/>
    </row>
    <row r="93" spans="1:3" x14ac:dyDescent="0.75">
      <c r="A93" s="115"/>
      <c r="B93" s="115"/>
      <c r="C93" s="117"/>
    </row>
    <row r="94" spans="1:3" x14ac:dyDescent="0.75">
      <c r="A94" s="115"/>
      <c r="B94" s="115"/>
      <c r="C94" s="117"/>
    </row>
    <row r="95" spans="1:3" x14ac:dyDescent="0.75">
      <c r="A95" s="115"/>
      <c r="B95" s="115"/>
      <c r="C95" s="117"/>
    </row>
    <row r="96" spans="1:3" x14ac:dyDescent="0.75">
      <c r="A96" s="115"/>
      <c r="B96" s="115"/>
      <c r="C96" s="117"/>
    </row>
    <row r="97" spans="1:3" x14ac:dyDescent="0.75">
      <c r="A97" s="115"/>
      <c r="B97" s="115"/>
      <c r="C97" s="46"/>
    </row>
    <row r="98" spans="1:3" x14ac:dyDescent="0.75">
      <c r="A98" s="115"/>
      <c r="B98" s="115"/>
      <c r="C98" s="46"/>
    </row>
    <row r="99" spans="1:3" x14ac:dyDescent="0.75">
      <c r="A99" s="115"/>
      <c r="B99" s="115"/>
      <c r="C99" s="46"/>
    </row>
    <row r="100" spans="1:3" x14ac:dyDescent="0.75">
      <c r="A100" s="115"/>
      <c r="B100" s="115"/>
      <c r="C100" s="46"/>
    </row>
    <row r="101" spans="1:3" x14ac:dyDescent="0.75">
      <c r="A101" s="115"/>
      <c r="B101" s="115"/>
      <c r="C101" s="46"/>
    </row>
    <row r="102" spans="1:3" x14ac:dyDescent="0.75">
      <c r="A102" s="115"/>
      <c r="B102" s="115"/>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1:4" x14ac:dyDescent="0.75">
      <c r="D2" s="8"/>
    </row>
    <row r="3" spans="1:4" x14ac:dyDescent="0.75">
      <c r="A3" s="115">
        <v>1</v>
      </c>
      <c r="B3" s="115">
        <f>IF(MOD(A3,3)=0,A3/3-1,INT(A3/3))</f>
        <v>0</v>
      </c>
      <c r="C3" s="115">
        <f>IF(MOD(A3,3)=0,3,MOD(A3,3))</f>
        <v>1</v>
      </c>
      <c r="D3" s="113" t="str" cm="1">
        <f t="array" ref="D3">INDEX('Radio-Map-1'!$H$7:$J$97,1+B3,C3)</f>
        <v>* differential.element[0].mapping[0].identity = "fhir"</v>
      </c>
    </row>
    <row r="4" spans="1:4" x14ac:dyDescent="0.75">
      <c r="A4" s="115">
        <v>2</v>
      </c>
      <c r="B4" s="115">
        <f t="shared" ref="B4:B67" si="0">IF(MOD(A4,3)=0,A4/3-1,INT(A4/3))</f>
        <v>0</v>
      </c>
      <c r="C4" s="115">
        <f t="shared" ref="C4:C67" si="1">IF(MOD(A4,3)=0,3,MOD(A4,3))</f>
        <v>2</v>
      </c>
      <c r="D4" s="113" t="str" cm="1">
        <f t="array" ref="D4">INDEX('Radio-Map-1'!$H$7:$J$97,1+B4,C4)</f>
        <v>* differential.element[0].mapping[0].map = "Procedure.conformsTo('http://hl7.eu/fhir/ig/pcsp/StructureDefinition/Procedure-radiotheraphy-eu-pcsp')"</v>
      </c>
    </row>
    <row r="5" spans="1:4" x14ac:dyDescent="0.75">
      <c r="A5" s="115">
        <v>3</v>
      </c>
      <c r="B5" s="115">
        <f t="shared" si="0"/>
        <v>0</v>
      </c>
      <c r="C5" s="115">
        <f t="shared" si="1"/>
        <v>3</v>
      </c>
      <c r="D5" s="113" t="str" cm="1">
        <f t="array" ref="D5">INDEX('Radio-Map-1'!$H$7:$J$97,1+B5,C5)</f>
        <v/>
      </c>
    </row>
    <row r="6" spans="1:4" x14ac:dyDescent="0.75">
      <c r="A6" s="115">
        <v>4</v>
      </c>
      <c r="B6" s="115">
        <f t="shared" si="0"/>
        <v>1</v>
      </c>
      <c r="C6" s="115">
        <f t="shared" si="1"/>
        <v>1</v>
      </c>
      <c r="D6" s="113" t="str" cm="1">
        <f t="array" ref="D6">INDEX('Radio-Map-1'!$H$7:$J$97,1+B6,C6)</f>
        <v>* differential.element[1].mapping[0].identity = "fhir"</v>
      </c>
    </row>
    <row r="7" spans="1:4" x14ac:dyDescent="0.75">
      <c r="A7" s="115">
        <v>5</v>
      </c>
      <c r="B7" s="115">
        <f t="shared" si="0"/>
        <v>1</v>
      </c>
      <c r="C7" s="115">
        <f t="shared" si="1"/>
        <v>2</v>
      </c>
      <c r="D7" s="113" t="str" cm="1">
        <f t="array" ref="D7">INDEX('Radio-Map-1'!$H$7:$J$97,1+B7,C7)</f>
        <v>* differential.element[1].mapping[0].map = ".reasonReference"</v>
      </c>
    </row>
    <row r="8" spans="1:4" x14ac:dyDescent="0.75">
      <c r="A8" s="115">
        <v>6</v>
      </c>
      <c r="B8" s="115">
        <f t="shared" si="0"/>
        <v>1</v>
      </c>
      <c r="C8" s="115">
        <f t="shared" si="1"/>
        <v>3</v>
      </c>
      <c r="D8" s="113" t="str" cm="1">
        <f t="array" ref="D8">INDEX('Radio-Map-1'!$H$7:$J$97,1+B8,C8)</f>
        <v>* differential.element[1].mapping[0].comment = "note"</v>
      </c>
    </row>
    <row r="9" spans="1:4" x14ac:dyDescent="0.75">
      <c r="A9" s="115">
        <v>7</v>
      </c>
      <c r="B9" s="115">
        <f t="shared" si="0"/>
        <v>2</v>
      </c>
      <c r="C9" s="115">
        <f t="shared" si="1"/>
        <v>1</v>
      </c>
      <c r="D9" s="113" t="str" cm="1">
        <f t="array" ref="D9">INDEX('Radio-Map-1'!$H$7:$J$97,1+B9,C9)</f>
        <v>* differential.element[2].mapping[0].identity = "fhir"</v>
      </c>
    </row>
    <row r="10" spans="1:4" x14ac:dyDescent="0.75">
      <c r="A10" s="115">
        <v>8</v>
      </c>
      <c r="B10" s="115">
        <f t="shared" si="0"/>
        <v>2</v>
      </c>
      <c r="C10" s="115">
        <f t="shared" si="1"/>
        <v>2</v>
      </c>
      <c r="D10" s="113" t="str" cm="1">
        <f t="array" ref="D10">INDEX('Radio-Map-1'!$H$7:$J$97,1+B10,C10)</f>
        <v>* differential.element[2].mapping[0].map = ".reasonReference"</v>
      </c>
    </row>
    <row r="11" spans="1:4" x14ac:dyDescent="0.75">
      <c r="A11" s="115">
        <v>9</v>
      </c>
      <c r="B11" s="115">
        <f t="shared" si="0"/>
        <v>2</v>
      </c>
      <c r="C11" s="115">
        <f t="shared" si="1"/>
        <v>3</v>
      </c>
      <c r="D11" s="113" t="str" cm="1">
        <f t="array" ref="D11">INDEX('Radio-Map-1'!$H$7:$J$97,1+B11,C11)</f>
        <v/>
      </c>
    </row>
    <row r="12" spans="1:4" x14ac:dyDescent="0.75">
      <c r="A12" s="115">
        <v>10</v>
      </c>
      <c r="B12" s="115">
        <f t="shared" si="0"/>
        <v>3</v>
      </c>
      <c r="C12" s="115">
        <f t="shared" si="1"/>
        <v>1</v>
      </c>
      <c r="D12" s="113" t="str" cm="1">
        <f t="array" ref="D12">INDEX('Radio-Map-1'!$H$7:$J$97,1+B12,C12)</f>
        <v>* differential.element[3].mapping[0].identity = "fhir"</v>
      </c>
    </row>
    <row r="13" spans="1:4" x14ac:dyDescent="0.75">
      <c r="A13" s="115">
        <v>11</v>
      </c>
      <c r="B13" s="115">
        <f t="shared" si="0"/>
        <v>3</v>
      </c>
      <c r="C13" s="115">
        <f t="shared" si="1"/>
        <v>2</v>
      </c>
      <c r="D13" s="113" t="str" cm="1">
        <f t="array" ref="D13">INDEX('Radio-Map-1'!$H$7:$J$97,1+B13,C13)</f>
        <v>* differential.element[3].mapping[0].map = ".identifier"</v>
      </c>
    </row>
    <row r="14" spans="1:4" x14ac:dyDescent="0.75">
      <c r="A14" s="115">
        <v>12</v>
      </c>
      <c r="B14" s="115">
        <f t="shared" si="0"/>
        <v>3</v>
      </c>
      <c r="C14" s="115">
        <f t="shared" si="1"/>
        <v>3</v>
      </c>
      <c r="D14" s="113" t="str" cm="1">
        <f t="array" ref="D14">INDEX('Radio-Map-1'!$H$7:$J$97,1+B14,C14)</f>
        <v/>
      </c>
    </row>
    <row r="15" spans="1:4" x14ac:dyDescent="0.75">
      <c r="A15" s="115">
        <v>13</v>
      </c>
      <c r="B15" s="115">
        <f t="shared" si="0"/>
        <v>4</v>
      </c>
      <c r="C15" s="115">
        <f t="shared" si="1"/>
        <v>1</v>
      </c>
      <c r="D15" s="113" t="str" cm="1">
        <f t="array" ref="D15">INDEX('Radio-Map-1'!$H$7:$J$97,1+B15,C15)</f>
        <v>* differential.element[4].mapping[0].identity = "fhir"</v>
      </c>
    </row>
    <row r="16" spans="1:4" x14ac:dyDescent="0.75">
      <c r="A16" s="115">
        <v>14</v>
      </c>
      <c r="B16" s="115">
        <f t="shared" si="0"/>
        <v>4</v>
      </c>
      <c r="C16" s="115">
        <f t="shared" si="1"/>
        <v>2</v>
      </c>
      <c r="D16" s="113" t="str" cm="1">
        <f t="array" ref="D16">INDEX('Radio-Map-1'!$H$7:$J$97,1+B16,C16)</f>
        <v>* differential.element[4].mapping[0].map = ".location.resolve().conformsTo(http://hl7.eu/fhir/ig/pcsp/StructureDefinition/Location-eu-pcsp)"</v>
      </c>
    </row>
    <row r="17" spans="1:4" x14ac:dyDescent="0.75">
      <c r="A17" s="115">
        <v>15</v>
      </c>
      <c r="B17" s="115">
        <f t="shared" si="0"/>
        <v>4</v>
      </c>
      <c r="C17" s="115">
        <f t="shared" si="1"/>
        <v>3</v>
      </c>
      <c r="D17" s="113" t="str" cm="1">
        <f t="array" ref="D17">INDEX('Radio-Map-1'!$H$7:$J$97,1+B17,C17)</f>
        <v/>
      </c>
    </row>
    <row r="18" spans="1:4" x14ac:dyDescent="0.75">
      <c r="A18" s="115">
        <v>16</v>
      </c>
      <c r="B18" s="115">
        <f t="shared" si="0"/>
        <v>5</v>
      </c>
      <c r="C18" s="115">
        <f t="shared" si="1"/>
        <v>1</v>
      </c>
      <c r="D18" s="113" t="str" cm="1">
        <f t="array" ref="D18">INDEX('Radio-Map-1'!$H$7:$J$97,1+B18,C18)</f>
        <v>* differential.element[5].mapping[0].identity = "fhir"</v>
      </c>
    </row>
    <row r="19" spans="1:4" x14ac:dyDescent="0.75">
      <c r="A19" s="115">
        <v>17</v>
      </c>
      <c r="B19" s="115">
        <f t="shared" si="0"/>
        <v>5</v>
      </c>
      <c r="C19" s="115">
        <f t="shared" si="1"/>
        <v>2</v>
      </c>
      <c r="D19" s="113" t="str" cm="1">
        <f t="array" ref="D19">INDEX('Radio-Map-1'!$H$7:$J$97,1+B19,C19)</f>
        <v>* differential.element[5].mapping[0].map = "Location.description"</v>
      </c>
    </row>
    <row r="20" spans="1:4" x14ac:dyDescent="0.75">
      <c r="A20" s="115">
        <v>18</v>
      </c>
      <c r="B20" s="115">
        <f t="shared" si="0"/>
        <v>5</v>
      </c>
      <c r="C20" s="115">
        <f t="shared" si="1"/>
        <v>3</v>
      </c>
      <c r="D20" s="113" t="str" cm="1">
        <f t="array" ref="D20">INDEX('Radio-Map-1'!$H$7:$J$97,1+B20,C20)</f>
        <v/>
      </c>
    </row>
    <row r="21" spans="1:4" x14ac:dyDescent="0.75">
      <c r="A21" s="115">
        <v>19</v>
      </c>
      <c r="B21" s="115">
        <f t="shared" si="0"/>
        <v>6</v>
      </c>
      <c r="C21" s="115">
        <f t="shared" si="1"/>
        <v>1</v>
      </c>
      <c r="D21" s="113" t="str" cm="1">
        <f t="array" ref="D21">INDEX('Radio-Map-1'!$H$7:$J$97,1+B21,C21)</f>
        <v>* differential.element[6].mapping[0].identity = "fhir"</v>
      </c>
    </row>
    <row r="22" spans="1:4" x14ac:dyDescent="0.75">
      <c r="A22" s="115">
        <v>20</v>
      </c>
      <c r="B22" s="115">
        <f t="shared" si="0"/>
        <v>6</v>
      </c>
      <c r="C22" s="115">
        <f t="shared" si="1"/>
        <v>2</v>
      </c>
      <c r="D22" s="113" t="str" cm="1">
        <f t="array" ref="D22">INDEX('Radio-Map-1'!$H$7:$J$97,1+B22,C22)</f>
        <v>* differential.element[6].mapping[0].map = "Location.name"</v>
      </c>
    </row>
    <row r="23" spans="1:4" x14ac:dyDescent="0.75">
      <c r="A23" s="115">
        <v>21</v>
      </c>
      <c r="B23" s="115">
        <f t="shared" si="0"/>
        <v>6</v>
      </c>
      <c r="C23" s="115">
        <f t="shared" si="1"/>
        <v>3</v>
      </c>
      <c r="D23" s="113" t="str" cm="1">
        <f t="array" ref="D23">INDEX('Radio-Map-1'!$H$7:$J$97,1+B23,C23)</f>
        <v/>
      </c>
    </row>
    <row r="24" spans="1:4" x14ac:dyDescent="0.75">
      <c r="A24" s="115">
        <v>22</v>
      </c>
      <c r="B24" s="115">
        <f t="shared" si="0"/>
        <v>7</v>
      </c>
      <c r="C24" s="115">
        <f t="shared" si="1"/>
        <v>1</v>
      </c>
      <c r="D24" s="113" t="str" cm="1">
        <f t="array" ref="D24">INDEX('Radio-Map-1'!$H$7:$J$97,1+B24,C24)</f>
        <v>* differential.element[7].mapping[0].identity = "fhir"</v>
      </c>
    </row>
    <row r="25" spans="1:4" x14ac:dyDescent="0.75">
      <c r="A25" s="115">
        <v>23</v>
      </c>
      <c r="B25" s="115">
        <f t="shared" si="0"/>
        <v>7</v>
      </c>
      <c r="C25" s="115">
        <f t="shared" si="1"/>
        <v>2</v>
      </c>
      <c r="D25" s="113" t="str" cm="1">
        <f t="array" ref="D25">INDEX('Radio-Map-1'!$H$7:$J$97,1+B25,C25)</f>
        <v>* differential.element[7].mapping[0].map = "Location.address.city"</v>
      </c>
    </row>
    <row r="26" spans="1:4" x14ac:dyDescent="0.75">
      <c r="A26" s="115">
        <v>24</v>
      </c>
      <c r="B26" s="115">
        <f t="shared" si="0"/>
        <v>7</v>
      </c>
      <c r="C26" s="115">
        <f t="shared" si="1"/>
        <v>3</v>
      </c>
      <c r="D26" s="113" t="str" cm="1">
        <f t="array" ref="D26">INDEX('Radio-Map-1'!$H$7:$J$97,1+B26,C26)</f>
        <v/>
      </c>
    </row>
    <row r="27" spans="1:4" x14ac:dyDescent="0.75">
      <c r="A27" s="115">
        <v>25</v>
      </c>
      <c r="B27" s="115">
        <f t="shared" si="0"/>
        <v>8</v>
      </c>
      <c r="C27" s="115">
        <f t="shared" si="1"/>
        <v>1</v>
      </c>
      <c r="D27" s="113" t="str" cm="1">
        <f t="array" ref="D27">INDEX('Radio-Map-1'!$H$7:$J$97,1+B27,C27)</f>
        <v/>
      </c>
    </row>
    <row r="28" spans="1:4" x14ac:dyDescent="0.75">
      <c r="A28" s="115">
        <v>26</v>
      </c>
      <c r="B28" s="115">
        <f t="shared" si="0"/>
        <v>8</v>
      </c>
      <c r="C28" s="115">
        <f t="shared" si="1"/>
        <v>2</v>
      </c>
      <c r="D28" s="113" t="str" cm="1">
        <f t="array" ref="D28">INDEX('Radio-Map-1'!$H$7:$J$97,1+B28,C28)</f>
        <v/>
      </c>
    </row>
    <row r="29" spans="1:4" x14ac:dyDescent="0.75">
      <c r="A29" s="115">
        <v>27</v>
      </c>
      <c r="B29" s="115">
        <f t="shared" si="0"/>
        <v>8</v>
      </c>
      <c r="C29" s="115">
        <f t="shared" si="1"/>
        <v>3</v>
      </c>
      <c r="D29" s="113" t="str" cm="1">
        <f t="array" ref="D29">INDEX('Radio-Map-1'!$H$7:$J$97,1+B29,C29)</f>
        <v/>
      </c>
    </row>
    <row r="30" spans="1:4" x14ac:dyDescent="0.75">
      <c r="A30" s="115">
        <v>28</v>
      </c>
      <c r="B30" s="115">
        <f t="shared" si="0"/>
        <v>9</v>
      </c>
      <c r="C30" s="115">
        <f t="shared" si="1"/>
        <v>1</v>
      </c>
      <c r="D30" s="113" t="str" cm="1">
        <f t="array" ref="D30">INDEX('Radio-Map-1'!$H$7:$J$97,1+B30,C30)</f>
        <v>* differential.element[9].mapping[0].identity = "fhir"</v>
      </c>
    </row>
    <row r="31" spans="1:4" x14ac:dyDescent="0.75">
      <c r="A31" s="115">
        <v>29</v>
      </c>
      <c r="B31" s="115">
        <f t="shared" si="0"/>
        <v>9</v>
      </c>
      <c r="C31" s="115">
        <f t="shared" si="1"/>
        <v>2</v>
      </c>
      <c r="D31" s="113" t="str" cm="1">
        <f t="array" ref="D31">INDEX('Radio-Map-1'!$H$7:$J$97,1+B31,C31)</f>
        <v>* differential.element[9].mapping[0].map = "Location.address.country"</v>
      </c>
    </row>
    <row r="32" spans="1:4" x14ac:dyDescent="0.75">
      <c r="A32" s="115">
        <v>30</v>
      </c>
      <c r="B32" s="115">
        <f t="shared" si="0"/>
        <v>9</v>
      </c>
      <c r="C32" s="115">
        <f t="shared" si="1"/>
        <v>3</v>
      </c>
      <c r="D32" s="113" t="str" cm="1">
        <f t="array" ref="D32">INDEX('Radio-Map-1'!$H$7:$J$97,1+B32,C32)</f>
        <v/>
      </c>
    </row>
    <row r="33" spans="1:4" x14ac:dyDescent="0.75">
      <c r="A33" s="115">
        <v>31</v>
      </c>
      <c r="B33" s="115">
        <f t="shared" si="0"/>
        <v>10</v>
      </c>
      <c r="C33" s="115">
        <f t="shared" si="1"/>
        <v>1</v>
      </c>
      <c r="D33" s="113" t="str" cm="1">
        <f t="array" ref="D33">INDEX('Radio-Map-1'!$H$7:$J$97,1+B33,C33)</f>
        <v>* differential.element[10].mapping[0].identity = "fhir"</v>
      </c>
    </row>
    <row r="34" spans="1:4" x14ac:dyDescent="0.75">
      <c r="A34" s="115">
        <v>32</v>
      </c>
      <c r="B34" s="115">
        <f t="shared" si="0"/>
        <v>10</v>
      </c>
      <c r="C34" s="115">
        <f t="shared" si="1"/>
        <v>2</v>
      </c>
      <c r="D34" s="113" t="str" cm="1">
        <f t="array" ref="D34">INDEX('Radio-Map-1'!$H$7:$J$97,1+B34,C34)</f>
        <v>* differential.element[10].mapping[0].map = ".performedPeriod.start"</v>
      </c>
    </row>
    <row r="35" spans="1:4" x14ac:dyDescent="0.75">
      <c r="A35" s="115">
        <v>33</v>
      </c>
      <c r="B35" s="115">
        <f t="shared" si="0"/>
        <v>10</v>
      </c>
      <c r="C35" s="115">
        <f t="shared" si="1"/>
        <v>3</v>
      </c>
      <c r="D35" s="113" t="str" cm="1">
        <f t="array" ref="D35">INDEX('Radio-Map-1'!$H$7:$J$97,1+B35,C35)</f>
        <v/>
      </c>
    </row>
    <row r="36" spans="1:4" x14ac:dyDescent="0.75">
      <c r="A36" s="115">
        <v>34</v>
      </c>
      <c r="B36" s="115">
        <f t="shared" si="0"/>
        <v>11</v>
      </c>
      <c r="C36" s="115">
        <f t="shared" si="1"/>
        <v>1</v>
      </c>
      <c r="D36" s="113" t="str" cm="1">
        <f t="array" ref="D36">INDEX('Radio-Map-1'!$H$7:$J$97,1+B36,C36)</f>
        <v>* differential.element[11].mapping[0].identity = "fhir"</v>
      </c>
    </row>
    <row r="37" spans="1:4" x14ac:dyDescent="0.75">
      <c r="A37" s="115">
        <v>35</v>
      </c>
      <c r="B37" s="115">
        <f t="shared" si="0"/>
        <v>11</v>
      </c>
      <c r="C37" s="115">
        <f t="shared" si="1"/>
        <v>2</v>
      </c>
      <c r="D37" s="113" t="str" cm="1">
        <f t="array" ref="D37">INDEX('Radio-Map-1'!$H$7:$J$97,1+B37,C37)</f>
        <v>* differential.element[11].mapping[0].map = ".performedPeriod.end"</v>
      </c>
    </row>
    <row r="38" spans="1:4" x14ac:dyDescent="0.75">
      <c r="A38" s="115">
        <v>36</v>
      </c>
      <c r="B38" s="115">
        <f t="shared" si="0"/>
        <v>11</v>
      </c>
      <c r="C38" s="115">
        <f t="shared" si="1"/>
        <v>3</v>
      </c>
      <c r="D38" s="113" t="str" cm="1">
        <f t="array" ref="D38">INDEX('Radio-Map-1'!$H$7:$J$97,1+B38,C38)</f>
        <v/>
      </c>
    </row>
    <row r="39" spans="1:4" x14ac:dyDescent="0.75">
      <c r="A39" s="115">
        <v>37</v>
      </c>
      <c r="B39" s="115">
        <f t="shared" si="0"/>
        <v>12</v>
      </c>
      <c r="C39" s="115">
        <f t="shared" si="1"/>
        <v>1</v>
      </c>
      <c r="D39" s="113" t="str" cm="1">
        <f t="array" ref="D39">INDEX('Radio-Map-1'!$H$7:$J$97,1+B39,C39)</f>
        <v>* differential.element[12].mapping[0].identity = "fhir"</v>
      </c>
    </row>
    <row r="40" spans="1:4" x14ac:dyDescent="0.75">
      <c r="A40" s="115">
        <v>38</v>
      </c>
      <c r="B40" s="115">
        <f t="shared" si="0"/>
        <v>12</v>
      </c>
      <c r="C40" s="115">
        <f t="shared" si="1"/>
        <v>2</v>
      </c>
      <c r="D40" s="113" t="str" cm="1">
        <f t="array" ref="D40">INDEX('Radio-Map-1'!$H$7:$J$97,1+B40,C40)</f>
        <v>* differential.element[12].mapping[0].map = ".code"</v>
      </c>
    </row>
    <row r="41" spans="1:4" x14ac:dyDescent="0.75">
      <c r="A41" s="115">
        <v>39</v>
      </c>
      <c r="B41" s="115">
        <f t="shared" si="0"/>
        <v>12</v>
      </c>
      <c r="C41" s="115">
        <f t="shared" si="1"/>
        <v>3</v>
      </c>
      <c r="D41" s="113" t="str" cm="1">
        <f t="array" ref="D41">INDEX('Radio-Map-1'!$H$7:$J$97,1+B41,C41)</f>
        <v/>
      </c>
    </row>
    <row r="42" spans="1:4" x14ac:dyDescent="0.75">
      <c r="A42" s="115">
        <v>40</v>
      </c>
      <c r="B42" s="115">
        <f t="shared" si="0"/>
        <v>13</v>
      </c>
      <c r="C42" s="115">
        <f t="shared" si="1"/>
        <v>1</v>
      </c>
      <c r="D42" s="113" t="str" cm="1">
        <f t="array" ref="D42">INDEX('Radio-Map-1'!$H$7:$J$97,1+B42,C42)</f>
        <v>* differential.element[13].mapping[0].identity = "fhir"</v>
      </c>
    </row>
    <row r="43" spans="1:4" x14ac:dyDescent="0.75">
      <c r="A43" s="115">
        <v>41</v>
      </c>
      <c r="B43" s="115">
        <f t="shared" si="0"/>
        <v>13</v>
      </c>
      <c r="C43" s="115">
        <f t="shared" si="1"/>
        <v>2</v>
      </c>
      <c r="D43" s="113" t="str" cm="1">
        <f t="array" ref="D43">INDEX('Radio-Map-1'!$H$7:$J$97,1+B43,C43)</f>
        <v>* differential.element[13].mapping[0].map = ".usedCode"</v>
      </c>
    </row>
    <row r="44" spans="1:4" x14ac:dyDescent="0.75">
      <c r="A44" s="115">
        <v>42</v>
      </c>
      <c r="B44" s="115">
        <f t="shared" si="0"/>
        <v>13</v>
      </c>
      <c r="C44" s="115">
        <f t="shared" si="1"/>
        <v>3</v>
      </c>
      <c r="D44" s="113" t="str" cm="1">
        <f t="array" ref="D44">INDEX('Radio-Map-1'!$H$7:$J$97,1+B44,C44)</f>
        <v/>
      </c>
    </row>
    <row r="45" spans="1:4" x14ac:dyDescent="0.75">
      <c r="A45" s="115">
        <v>43</v>
      </c>
      <c r="B45" s="115">
        <f t="shared" si="0"/>
        <v>14</v>
      </c>
      <c r="C45" s="115">
        <f t="shared" si="1"/>
        <v>1</v>
      </c>
      <c r="D45" s="113" t="str" cm="1">
        <f t="array" ref="D45">INDEX('Radio-Map-1'!$H$7:$J$97,1+B45,C45)</f>
        <v>* differential.element[14].mapping[0].identity = "fhir"</v>
      </c>
    </row>
    <row r="46" spans="1:4" x14ac:dyDescent="0.75">
      <c r="A46" s="115">
        <v>44</v>
      </c>
      <c r="B46" s="115">
        <f t="shared" si="0"/>
        <v>14</v>
      </c>
      <c r="C46" s="115">
        <f t="shared" si="1"/>
        <v>2</v>
      </c>
      <c r="D46" s="113" t="str" cm="1">
        <f t="array" ref="D46">INDEX('Radio-Map-1'!$H$7:$J$97,1+B46,C46)</f>
        <v>* differential.element[14].mapping[0].map = ".extension(http://hl7.org/fhir/StructureDefinition/procedure-method).valueCodeableConcept"</v>
      </c>
    </row>
    <row r="47" spans="1:4" x14ac:dyDescent="0.75">
      <c r="A47" s="115">
        <v>45</v>
      </c>
      <c r="B47" s="115">
        <f t="shared" si="0"/>
        <v>14</v>
      </c>
      <c r="C47" s="115">
        <f t="shared" si="1"/>
        <v>3</v>
      </c>
      <c r="D47" s="113" t="str" cm="1">
        <f t="array" ref="D47">INDEX('Radio-Map-1'!$H$7:$J$97,1+B47,C47)</f>
        <v/>
      </c>
    </row>
    <row r="48" spans="1:4" x14ac:dyDescent="0.75">
      <c r="A48" s="115">
        <v>46</v>
      </c>
      <c r="B48" s="115">
        <f t="shared" si="0"/>
        <v>15</v>
      </c>
      <c r="C48" s="115">
        <f t="shared" si="1"/>
        <v>1</v>
      </c>
      <c r="D48" s="113" t="str" cm="1">
        <f t="array" ref="D48">INDEX('Radio-Map-1'!$H$7:$J$97,1+B48,C48)</f>
        <v>* differential.element[15].mapping[0].identity = "fhir"</v>
      </c>
    </row>
    <row r="49" spans="1:7" x14ac:dyDescent="0.75">
      <c r="A49" s="115">
        <v>47</v>
      </c>
      <c r="B49" s="115">
        <f t="shared" si="0"/>
        <v>15</v>
      </c>
      <c r="C49" s="115">
        <f t="shared" si="1"/>
        <v>2</v>
      </c>
      <c r="D49" s="113" t="str" cm="1">
        <f t="array" ref="D49">INDEX('Radio-Map-1'!$H$7:$J$97,1+B49,C49)</f>
        <v>* differential.element[15].mapping[0].map = ".location.resolve().conformsTo(http://hl7.eu/fhir/ig/pcsp/StructureDefinition/radiotherapy-energy-or-isotope).valueCodeableConcept"</v>
      </c>
    </row>
    <row r="50" spans="1:7" x14ac:dyDescent="0.75">
      <c r="A50" s="115">
        <v>48</v>
      </c>
      <c r="B50" s="115">
        <f t="shared" si="0"/>
        <v>15</v>
      </c>
      <c r="C50" s="115">
        <f t="shared" si="1"/>
        <v>3</v>
      </c>
      <c r="D50" s="113" t="str" cm="1">
        <f t="array" ref="D50">INDEX('Radio-Map-1'!$H$7:$J$97,1+B50,C50)</f>
        <v/>
      </c>
    </row>
    <row r="51" spans="1:7" x14ac:dyDescent="0.75">
      <c r="A51" s="115">
        <v>49</v>
      </c>
      <c r="B51" s="115">
        <f t="shared" si="0"/>
        <v>16</v>
      </c>
      <c r="C51" s="115">
        <f t="shared" si="1"/>
        <v>1</v>
      </c>
      <c r="D51" s="113" t="str" cm="1">
        <f t="array" ref="D51">INDEX('Radio-Map-1'!$H$7:$J$97,1+B51,C51)</f>
        <v>* differential.element[16].mapping[0].identity = "fhir"</v>
      </c>
    </row>
    <row r="52" spans="1:7" x14ac:dyDescent="0.75">
      <c r="A52" s="115">
        <v>50</v>
      </c>
      <c r="B52" s="115">
        <f t="shared" si="0"/>
        <v>16</v>
      </c>
      <c r="C52" s="115">
        <f t="shared" si="1"/>
        <v>2</v>
      </c>
      <c r="D52" s="113" t="str" cm="1">
        <f t="array" ref="D52">INDEX('Radio-Map-1'!$H$7:$J$97,1+B52,C52)</f>
        <v>* differential.element[16].mapping[0].map = ".location.resolve().conformsTo(http://hl7.eu/fhir/ig/pcsp/StructureDefinition/radiotherapy-energy-or-isotope).valueCodeableConcept"</v>
      </c>
    </row>
    <row r="53" spans="1:7" x14ac:dyDescent="0.75">
      <c r="A53" s="115">
        <v>51</v>
      </c>
      <c r="B53" s="115">
        <f t="shared" si="0"/>
        <v>16</v>
      </c>
      <c r="C53" s="115">
        <f t="shared" si="1"/>
        <v>3</v>
      </c>
      <c r="D53" s="113" t="str" cm="1">
        <f t="array" ref="D53">INDEX('Radio-Map-1'!$H$7:$J$97,1+B53,C53)</f>
        <v/>
      </c>
    </row>
    <row r="54" spans="1:7" x14ac:dyDescent="0.75">
      <c r="A54" s="115">
        <v>52</v>
      </c>
      <c r="B54" s="115">
        <f t="shared" si="0"/>
        <v>17</v>
      </c>
      <c r="C54" s="115">
        <f t="shared" si="1"/>
        <v>1</v>
      </c>
      <c r="D54" s="113" t="str" cm="1">
        <f t="array" ref="D54">INDEX('Radio-Map-1'!$H$7:$J$97,1+B54,C54)</f>
        <v>* differential.element[17].mapping[0].identity = "fhir"</v>
      </c>
    </row>
    <row r="55" spans="1:7" x14ac:dyDescent="0.75">
      <c r="A55" s="115">
        <v>53</v>
      </c>
      <c r="B55" s="115">
        <f t="shared" si="0"/>
        <v>17</v>
      </c>
      <c r="C55" s="115">
        <f t="shared" si="1"/>
        <v>2</v>
      </c>
      <c r="D55" s="113" t="str" cm="1">
        <f t="array" ref="D55">INDEX('Radio-Map-1'!$H$7:$J$97,1+B55,C55)</f>
        <v>* differential.element[17].mapping[0].map = "TBD"</v>
      </c>
      <c r="G55" s="15"/>
    </row>
    <row r="56" spans="1:7" x14ac:dyDescent="0.75">
      <c r="A56" s="115">
        <v>54</v>
      </c>
      <c r="B56" s="115">
        <f t="shared" si="0"/>
        <v>17</v>
      </c>
      <c r="C56" s="115">
        <f t="shared" si="1"/>
        <v>3</v>
      </c>
      <c r="D56" s="113" t="str" cm="1">
        <f t="array" ref="D56">INDEX('Radio-Map-1'!$H$7:$J$97,1+B56,C56)</f>
        <v/>
      </c>
    </row>
    <row r="57" spans="1:7" x14ac:dyDescent="0.75">
      <c r="A57" s="115">
        <v>55</v>
      </c>
      <c r="B57" s="115">
        <f t="shared" si="0"/>
        <v>18</v>
      </c>
      <c r="C57" s="115">
        <f t="shared" si="1"/>
        <v>1</v>
      </c>
      <c r="D57" s="113" cm="1">
        <f t="array" ref="D57">INDEX('Radio-Map-1'!$H$7:$J$97,1+B57,C57)</f>
        <v>0</v>
      </c>
    </row>
    <row r="58" spans="1:7" x14ac:dyDescent="0.75">
      <c r="A58" s="115">
        <v>56</v>
      </c>
      <c r="B58" s="115">
        <f t="shared" si="0"/>
        <v>18</v>
      </c>
      <c r="C58" s="115">
        <f t="shared" si="1"/>
        <v>2</v>
      </c>
      <c r="D58" s="113" cm="1">
        <f t="array" ref="D58">INDEX('Radio-Map-1'!$H$7:$J$97,1+B58,C58)</f>
        <v>0</v>
      </c>
    </row>
    <row r="59" spans="1:7" x14ac:dyDescent="0.75">
      <c r="A59" s="115">
        <v>57</v>
      </c>
      <c r="B59" s="115">
        <f t="shared" si="0"/>
        <v>18</v>
      </c>
      <c r="C59" s="115">
        <f t="shared" si="1"/>
        <v>3</v>
      </c>
      <c r="D59" s="113" cm="1">
        <f t="array" ref="D59">INDEX('Radio-Map-1'!$H$7:$J$97,1+B59,C59)</f>
        <v>0</v>
      </c>
    </row>
    <row r="60" spans="1:7" x14ac:dyDescent="0.75">
      <c r="A60" s="115">
        <v>58</v>
      </c>
      <c r="B60" s="115">
        <f t="shared" si="0"/>
        <v>19</v>
      </c>
      <c r="C60" s="115">
        <f t="shared" si="1"/>
        <v>1</v>
      </c>
      <c r="D60" s="113" t="str" cm="1">
        <f t="array" ref="D60">INDEX('Radio-Map-1'!$H$7:$J$97,1+B60,C60)</f>
        <v>* differential.element[18].mapping[0].identity = "fhir"</v>
      </c>
    </row>
    <row r="61" spans="1:7" x14ac:dyDescent="0.75">
      <c r="A61" s="115">
        <v>59</v>
      </c>
      <c r="B61" s="115">
        <f t="shared" si="0"/>
        <v>19</v>
      </c>
      <c r="C61" s="115">
        <f t="shared" si="1"/>
        <v>2</v>
      </c>
      <c r="D61" s="113" t="str" cm="1">
        <f t="array" ref="D61">INDEX('Radio-Map-1'!$H$7:$J$97,1+B61,C61)</f>
        <v>* differential.element[18].mapping[0].map = ".bodySite"</v>
      </c>
    </row>
    <row r="62" spans="1:7" x14ac:dyDescent="0.75">
      <c r="A62" s="115">
        <v>60</v>
      </c>
      <c r="B62" s="115">
        <f t="shared" si="0"/>
        <v>19</v>
      </c>
      <c r="C62" s="115">
        <f t="shared" si="1"/>
        <v>3</v>
      </c>
      <c r="D62" s="113" t="str" cm="1">
        <f t="array" ref="D62">INDEX('Radio-Map-1'!$H$7:$J$97,1+B62,C62)</f>
        <v/>
      </c>
    </row>
    <row r="63" spans="1:7" x14ac:dyDescent="0.75">
      <c r="A63" s="115">
        <v>61</v>
      </c>
      <c r="B63" s="115">
        <f t="shared" si="0"/>
        <v>20</v>
      </c>
      <c r="C63" s="115">
        <f t="shared" si="1"/>
        <v>1</v>
      </c>
      <c r="D63" s="113" t="str" cm="1">
        <f t="array" ref="D63">INDEX('Radio-Map-1'!$H$7:$J$97,1+B63,C63)</f>
        <v>* differential.element[18].mapping[1].identity = "fhir"</v>
      </c>
    </row>
    <row r="64" spans="1:7" x14ac:dyDescent="0.75">
      <c r="A64" s="115">
        <v>62</v>
      </c>
      <c r="B64" s="115">
        <f t="shared" si="0"/>
        <v>20</v>
      </c>
      <c r="C64" s="115">
        <f t="shared" si="1"/>
        <v>2</v>
      </c>
      <c r="D64" s="113" t="str" cm="1">
        <f t="array" ref="D64">INDEX('Radio-Map-1'!$H$7:$J$97,1+B64,C64)</f>
        <v>* differential.element[18].mapping[1].map = ".extension(http://hl7.eu/fhir/ig/pcsp/StructureDefinition/ResourceRelatedInfo-eu-pcsp).resolve().conformsTo(http://hl7.eu/fhir/ig/pcsp/StructureDefinition/Observation-cumulativeDoseRad-eu-pcsp).bodySite"</v>
      </c>
    </row>
    <row r="65" spans="1:4" x14ac:dyDescent="0.75">
      <c r="A65" s="115">
        <v>63</v>
      </c>
      <c r="B65" s="115">
        <f t="shared" si="0"/>
        <v>20</v>
      </c>
      <c r="C65" s="115">
        <f t="shared" si="1"/>
        <v>3</v>
      </c>
      <c r="D65" s="113" t="str" cm="1">
        <f t="array" ref="D65">INDEX('Radio-Map-1'!$H$7:$J$97,1+B65,C65)</f>
        <v/>
      </c>
    </row>
    <row r="66" spans="1:4" x14ac:dyDescent="0.75">
      <c r="A66" s="115">
        <v>64</v>
      </c>
      <c r="B66" s="115">
        <f t="shared" si="0"/>
        <v>21</v>
      </c>
      <c r="C66" s="115">
        <f t="shared" si="1"/>
        <v>1</v>
      </c>
      <c r="D66" s="113" t="str" cm="1">
        <f t="array" ref="D66">INDEX('Radio-Map-1'!$H$7:$J$97,1+B66,C66)</f>
        <v>* differential.element[19].mapping[0].identity = "fhir"</v>
      </c>
    </row>
    <row r="67" spans="1:4" x14ac:dyDescent="0.75">
      <c r="A67" s="115">
        <v>65</v>
      </c>
      <c r="B67" s="115">
        <f t="shared" si="0"/>
        <v>21</v>
      </c>
      <c r="C67" s="115">
        <f t="shared" si="1"/>
        <v>2</v>
      </c>
      <c r="D67" s="113" t="str" cm="1">
        <f t="array" ref="D67">INDEX('Radio-Map-1'!$H$7:$J$97,1+B67,C67)</f>
        <v>* differential.element[19].mapping[0].map = "."</v>
      </c>
    </row>
    <row r="68" spans="1:4" x14ac:dyDescent="0.75">
      <c r="A68" s="115">
        <v>66</v>
      </c>
      <c r="B68" s="115">
        <f t="shared" ref="B68:B131" si="2">IF(MOD(A68,3)=0,A68/3-1,INT(A68/3))</f>
        <v>21</v>
      </c>
      <c r="C68" s="115">
        <f t="shared" ref="C68:C131" si="3">IF(MOD(A68,3)=0,3,MOD(A68,3))</f>
        <v>3</v>
      </c>
      <c r="D68" s="113" t="str" cm="1">
        <f t="array" ref="D68">INDEX('Radio-Map-1'!$H$7:$J$97,1+B68,C68)</f>
        <v/>
      </c>
    </row>
    <row r="69" spans="1:4" x14ac:dyDescent="0.75">
      <c r="A69" s="115">
        <v>67</v>
      </c>
      <c r="B69" s="115">
        <f t="shared" si="2"/>
        <v>22</v>
      </c>
      <c r="C69" s="115">
        <f t="shared" si="3"/>
        <v>1</v>
      </c>
      <c r="D69" s="113" t="str" cm="1">
        <f t="array" ref="D69">INDEX('Radio-Map-1'!$H$7:$J$97,1+B69,C69)</f>
        <v>* differential.element[20].mapping[0].identity = "fhir"</v>
      </c>
    </row>
    <row r="70" spans="1:4" x14ac:dyDescent="0.75">
      <c r="A70" s="115">
        <v>68</v>
      </c>
      <c r="B70" s="115">
        <f t="shared" si="2"/>
        <v>22</v>
      </c>
      <c r="C70" s="115">
        <f t="shared" si="3"/>
        <v>2</v>
      </c>
      <c r="D70" s="113" t="str" cm="1">
        <f t="array" ref="D70">INDEX('Radio-Map-1'!$H$7:$J$97,1+B70,C70)</f>
        <v>* differential.element[20].mapping[0].map = ".extension(http://hl7.eu/fhir/ig/pcsp/StructureDefinition/mcode-laterality-qualifier).valueCodeableConcept"</v>
      </c>
    </row>
    <row r="71" spans="1:4" x14ac:dyDescent="0.75">
      <c r="A71" s="115">
        <v>69</v>
      </c>
      <c r="B71" s="115">
        <f t="shared" si="2"/>
        <v>22</v>
      </c>
      <c r="C71" s="115">
        <f t="shared" si="3"/>
        <v>3</v>
      </c>
      <c r="D71" s="113" t="str" cm="1">
        <f t="array" ref="D71">INDEX('Radio-Map-1'!$H$7:$J$97,1+B71,C71)</f>
        <v/>
      </c>
    </row>
    <row r="72" spans="1:4" x14ac:dyDescent="0.75">
      <c r="A72" s="115">
        <v>70</v>
      </c>
      <c r="B72" s="115">
        <f t="shared" si="2"/>
        <v>23</v>
      </c>
      <c r="C72" s="115">
        <f t="shared" si="3"/>
        <v>1</v>
      </c>
      <c r="D72" s="113" t="str" cm="1">
        <f t="array" ref="D72">INDEX('Radio-Map-1'!$H$7:$J$97,1+B72,C72)</f>
        <v>* differential.element[21].mapping[0].identity = "fhir"</v>
      </c>
    </row>
    <row r="73" spans="1:4" x14ac:dyDescent="0.75">
      <c r="A73" s="115">
        <v>71</v>
      </c>
      <c r="B73" s="115">
        <f t="shared" si="2"/>
        <v>23</v>
      </c>
      <c r="C73" s="115">
        <f t="shared" si="3"/>
        <v>2</v>
      </c>
      <c r="D73" s="113" t="str" cm="1">
        <f t="array" ref="D73">INDEX('Radio-Map-1'!$H$7:$J$97,1+B73,C73)</f>
        <v>* differential.element[21].mapping[0].map = ".text"</v>
      </c>
    </row>
    <row r="74" spans="1:4" x14ac:dyDescent="0.75">
      <c r="A74" s="115">
        <v>72</v>
      </c>
      <c r="B74" s="115">
        <f t="shared" si="2"/>
        <v>23</v>
      </c>
      <c r="C74" s="115">
        <f t="shared" si="3"/>
        <v>3</v>
      </c>
      <c r="D74" s="113" t="str" cm="1">
        <f t="array" ref="D74">INDEX('Radio-Map-1'!$H$7:$J$97,1+B74,C74)</f>
        <v/>
      </c>
    </row>
    <row r="75" spans="1:4" x14ac:dyDescent="0.75">
      <c r="A75" s="115">
        <v>73</v>
      </c>
      <c r="B75" s="115">
        <f t="shared" si="2"/>
        <v>24</v>
      </c>
      <c r="C75" s="115">
        <f t="shared" si="3"/>
        <v>1</v>
      </c>
      <c r="D75" s="113" t="str" cm="1">
        <f t="array" ref="D75">INDEX('Radio-Map-1'!$H$7:$J$97,1+B75,C75)</f>
        <v>* differential.element[22].mapping[0].identity = "fhir"</v>
      </c>
    </row>
    <row r="76" spans="1:4" x14ac:dyDescent="0.75">
      <c r="A76" s="115">
        <v>74</v>
      </c>
      <c r="B76" s="115">
        <f t="shared" si="2"/>
        <v>24</v>
      </c>
      <c r="C76" s="115">
        <f t="shared" si="3"/>
        <v>2</v>
      </c>
      <c r="D76" s="113" t="str" cm="1">
        <f t="array" ref="D76">INDEX('Radio-Map-1'!$H$7:$J$97,1+B76,C76)</f>
        <v>* differential.element[22].mapping[0].map = "TBD"</v>
      </c>
    </row>
    <row r="77" spans="1:4" x14ac:dyDescent="0.75">
      <c r="A77" s="115">
        <v>75</v>
      </c>
      <c r="B77" s="115">
        <f t="shared" si="2"/>
        <v>24</v>
      </c>
      <c r="C77" s="115">
        <f t="shared" si="3"/>
        <v>3</v>
      </c>
      <c r="D77" s="113" t="str" cm="1">
        <f t="array" ref="D77">INDEX('Radio-Map-1'!$H$7:$J$97,1+B77,C77)</f>
        <v/>
      </c>
    </row>
    <row r="78" spans="1:4" x14ac:dyDescent="0.75">
      <c r="A78" s="115">
        <v>76</v>
      </c>
      <c r="B78" s="115">
        <f t="shared" si="2"/>
        <v>25</v>
      </c>
      <c r="C78" s="115">
        <f t="shared" si="3"/>
        <v>1</v>
      </c>
      <c r="D78" s="113" t="str" cm="1">
        <f t="array" ref="D78">INDEX('Radio-Map-1'!$H$7:$J$97,1+B78,C78)</f>
        <v>* differential.element[23].mapping[0].identity = "fhir"</v>
      </c>
    </row>
    <row r="79" spans="1:4" x14ac:dyDescent="0.75">
      <c r="A79" s="115">
        <v>77</v>
      </c>
      <c r="B79" s="115">
        <f t="shared" si="2"/>
        <v>25</v>
      </c>
      <c r="C79" s="115">
        <f t="shared" si="3"/>
        <v>2</v>
      </c>
      <c r="D79" s="113" t="str" cm="1">
        <f t="array" ref="D79">INDEX('Radio-Map-1'!$H$7:$J$97,1+B79,C79)</f>
        <v>* differential.element[23].mapping[0].map = "TBD"</v>
      </c>
    </row>
    <row r="80" spans="1:4" x14ac:dyDescent="0.75">
      <c r="A80" s="115">
        <v>78</v>
      </c>
      <c r="B80" s="115">
        <f t="shared" si="2"/>
        <v>25</v>
      </c>
      <c r="C80" s="115">
        <f t="shared" si="3"/>
        <v>3</v>
      </c>
      <c r="D80" s="113" t="str" cm="1">
        <f t="array" ref="D80">INDEX('Radio-Map-1'!$H$7:$J$97,1+B80,C80)</f>
        <v/>
      </c>
    </row>
    <row r="81" spans="1:4" x14ac:dyDescent="0.75">
      <c r="A81" s="115">
        <v>79</v>
      </c>
      <c r="B81" s="115">
        <f t="shared" si="2"/>
        <v>26</v>
      </c>
      <c r="C81" s="115">
        <f t="shared" si="3"/>
        <v>1</v>
      </c>
      <c r="D81" s="113" t="str" cm="1">
        <f t="array" ref="D81">INDEX('Radio-Map-1'!$H$7:$J$97,1+B81,C81)</f>
        <v>* differential.element[24].mapping[0].identity = "fhir"</v>
      </c>
    </row>
    <row r="82" spans="1:4" x14ac:dyDescent="0.75">
      <c r="A82" s="115">
        <v>80</v>
      </c>
      <c r="B82" s="115">
        <f t="shared" si="2"/>
        <v>26</v>
      </c>
      <c r="C82" s="115">
        <f t="shared" si="3"/>
        <v>2</v>
      </c>
      <c r="D82" s="113" t="str" cm="1">
        <f t="array" ref="D82">INDEX('Radio-Map-1'!$H$7:$J$97,1+B82,C82)</f>
        <v>* differential.element[24].mapping[0].map = "TBD"</v>
      </c>
    </row>
    <row r="83" spans="1:4" x14ac:dyDescent="0.75">
      <c r="A83" s="115">
        <v>81</v>
      </c>
      <c r="B83" s="115">
        <f t="shared" si="2"/>
        <v>26</v>
      </c>
      <c r="C83" s="115">
        <f t="shared" si="3"/>
        <v>3</v>
      </c>
      <c r="D83" s="113" t="str" cm="1">
        <f t="array" ref="D83">INDEX('Radio-Map-1'!$H$7:$J$97,1+B83,C83)</f>
        <v/>
      </c>
    </row>
    <row r="84" spans="1:4" x14ac:dyDescent="0.75">
      <c r="A84" s="115">
        <v>82</v>
      </c>
      <c r="B84" s="115">
        <f t="shared" si="2"/>
        <v>27</v>
      </c>
      <c r="C84" s="115">
        <f t="shared" si="3"/>
        <v>1</v>
      </c>
      <c r="D84" s="113" t="str" cm="1">
        <f t="array" ref="D84">INDEX('Radio-Map-1'!$H$7:$J$97,1+B84,C84)</f>
        <v>* differential.element[25].mapping[0].identity = "fhir"</v>
      </c>
    </row>
    <row r="85" spans="1:4" x14ac:dyDescent="0.75">
      <c r="A85" s="115">
        <v>83</v>
      </c>
      <c r="B85" s="115">
        <f t="shared" si="2"/>
        <v>27</v>
      </c>
      <c r="C85" s="115">
        <f t="shared" si="3"/>
        <v>2</v>
      </c>
      <c r="D85" s="113" t="str" cm="1">
        <f t="array" ref="D85">INDEX('Radio-Map-1'!$H$7:$J$97,1+B85,C85)</f>
        <v>* differential.element[25].mapping[0].map = ".extension(http://hl7.eu/fhir/ig/pcsp/StructureDefinition/ResourceRelatedInfo-eu-pcsp).resolve().conformsTo(http://hl7.eu/fhir/ig/pcsp/StructureDefinition/Observation-cumulativeDoseRad-eu-pcsp)"</v>
      </c>
    </row>
    <row r="86" spans="1:4" x14ac:dyDescent="0.75">
      <c r="A86" s="115">
        <v>84</v>
      </c>
      <c r="B86" s="115">
        <f t="shared" si="2"/>
        <v>27</v>
      </c>
      <c r="C86" s="115">
        <f t="shared" si="3"/>
        <v>3</v>
      </c>
      <c r="D86" s="113" t="str" cm="1">
        <f t="array" ref="D86">INDEX('Radio-Map-1'!$H$7:$J$97,1+B86,C86)</f>
        <v/>
      </c>
    </row>
    <row r="87" spans="1:4" x14ac:dyDescent="0.75">
      <c r="A87" s="115">
        <v>85</v>
      </c>
      <c r="B87" s="115">
        <f t="shared" si="2"/>
        <v>28</v>
      </c>
      <c r="C87" s="115">
        <f t="shared" si="3"/>
        <v>1</v>
      </c>
      <c r="D87" s="113" t="str" cm="1">
        <f t="array" ref="D87">INDEX('Radio-Map-1'!$H$7:$J$97,1+B87,C87)</f>
        <v>* differential.element[26].mapping[0].identity = "fhir"</v>
      </c>
    </row>
    <row r="88" spans="1:4" x14ac:dyDescent="0.75">
      <c r="A88" s="115">
        <v>86</v>
      </c>
      <c r="B88" s="115">
        <f t="shared" si="2"/>
        <v>28</v>
      </c>
      <c r="C88" s="115">
        <f t="shared" si="3"/>
        <v>2</v>
      </c>
      <c r="D88" s="113" t="str" cm="1">
        <f t="array" ref="D88">INDEX('Radio-Map-1'!$H$7:$J$97,1+B88,C88)</f>
        <v>* differential.element[26].mapping[0].map = ".status = #preliminary"</v>
      </c>
    </row>
    <row r="89" spans="1:4" x14ac:dyDescent="0.75">
      <c r="A89" s="115">
        <v>87</v>
      </c>
      <c r="B89" s="115">
        <f t="shared" si="2"/>
        <v>28</v>
      </c>
      <c r="C89" s="115">
        <f t="shared" si="3"/>
        <v>3</v>
      </c>
      <c r="D89" s="113" t="str" cm="1">
        <f t="array" ref="D89">INDEX('Radio-Map-1'!$H$7:$J$97,1+B89,C89)</f>
        <v/>
      </c>
    </row>
    <row r="90" spans="1:4" x14ac:dyDescent="0.75">
      <c r="A90" s="115">
        <v>88</v>
      </c>
      <c r="B90" s="115">
        <f t="shared" si="2"/>
        <v>29</v>
      </c>
      <c r="C90" s="115">
        <f t="shared" si="3"/>
        <v>1</v>
      </c>
      <c r="D90" s="113" t="str" cm="1">
        <f t="array" ref="D90">INDEX('Radio-Map-1'!$H$7:$J$97,1+B90,C90)</f>
        <v>* differential.element[27].mapping[0].identity = "fhir"</v>
      </c>
    </row>
    <row r="91" spans="1:4" x14ac:dyDescent="0.75">
      <c r="A91" s="115">
        <v>89</v>
      </c>
      <c r="B91" s="115">
        <f t="shared" si="2"/>
        <v>29</v>
      </c>
      <c r="C91" s="115">
        <f t="shared" si="3"/>
        <v>2</v>
      </c>
      <c r="D91" s="113" t="str" cm="1">
        <f t="array" ref="D91">INDEX('Radio-Map-1'!$H$7:$J$97,1+B91,C91)</f>
        <v>* differential.element[27].mapping[0].map = ".extension('http://hl7.org/fhir/StructureDefinition/event-statusReason')"</v>
      </c>
    </row>
    <row r="92" spans="1:4" x14ac:dyDescent="0.75">
      <c r="A92" s="115">
        <v>90</v>
      </c>
      <c r="B92" s="115">
        <f t="shared" si="2"/>
        <v>29</v>
      </c>
      <c r="C92" s="115">
        <f t="shared" si="3"/>
        <v>3</v>
      </c>
      <c r="D92" s="113" t="str" cm="1">
        <f t="array" ref="D92">INDEX('Radio-Map-1'!$H$7:$J$97,1+B92,C92)</f>
        <v/>
      </c>
    </row>
    <row r="93" spans="1:4" x14ac:dyDescent="0.75">
      <c r="A93" s="115">
        <v>91</v>
      </c>
      <c r="B93" s="115">
        <f t="shared" si="2"/>
        <v>30</v>
      </c>
      <c r="C93" s="115">
        <f t="shared" si="3"/>
        <v>1</v>
      </c>
      <c r="D93" s="113" t="str" cm="1">
        <f t="array" ref="D93">INDEX('Radio-Map-1'!$H$7:$J$97,1+B93,C93)</f>
        <v>* differential.element[28].mapping[0].identity = "fhir"</v>
      </c>
    </row>
    <row r="94" spans="1:4" x14ac:dyDescent="0.75">
      <c r="A94" s="115">
        <v>92</v>
      </c>
      <c r="B94" s="115">
        <f t="shared" si="2"/>
        <v>30</v>
      </c>
      <c r="C94" s="115">
        <f t="shared" si="3"/>
        <v>2</v>
      </c>
      <c r="D94" s="113" t="str" cm="1">
        <f t="array" ref="D94">INDEX('Radio-Map-1'!$H$7:$J$97,1+B94,C94)</f>
        <v>* differential.element[28].mapping[0].map = ".valueCodeableConcept = http://terminology.hl7.org/CodeSystem/data-absent-reason#unknown"</v>
      </c>
    </row>
    <row r="95" spans="1:4" x14ac:dyDescent="0.75">
      <c r="A95" s="115">
        <v>93</v>
      </c>
      <c r="B95" s="115">
        <f t="shared" si="2"/>
        <v>30</v>
      </c>
      <c r="C95" s="115">
        <f t="shared" si="3"/>
        <v>3</v>
      </c>
      <c r="D95" s="113" t="str" cm="1">
        <f t="array" ref="D95">INDEX('Radio-Map-1'!$H$7:$J$97,1+B95,C95)</f>
        <v/>
      </c>
    </row>
    <row r="96" spans="1:4" x14ac:dyDescent="0.75">
      <c r="A96" s="115">
        <v>94</v>
      </c>
      <c r="B96" s="115">
        <f t="shared" si="2"/>
        <v>31</v>
      </c>
      <c r="C96" s="115">
        <f t="shared" si="3"/>
        <v>1</v>
      </c>
      <c r="D96" s="113" t="str" cm="1">
        <f t="array" ref="D96">INDEX('Radio-Map-1'!$H$7:$J$97,1+B96,C96)</f>
        <v>* differential.element[29].mapping[0].identity = "fhir"</v>
      </c>
    </row>
    <row r="97" spans="1:4" x14ac:dyDescent="0.75">
      <c r="A97" s="115">
        <v>95</v>
      </c>
      <c r="B97" s="115">
        <f t="shared" si="2"/>
        <v>31</v>
      </c>
      <c r="C97" s="115">
        <f t="shared" si="3"/>
        <v>2</v>
      </c>
      <c r="D97" s="113" t="str" cm="1">
        <f t="array" ref="D97">INDEX('Radio-Map-1'!$H$7:$J$97,1+B97,C97)</f>
        <v>* differential.element[29].mapping[0].map = ".valueQuantity.value"</v>
      </c>
    </row>
    <row r="98" spans="1:4" x14ac:dyDescent="0.75">
      <c r="A98" s="115">
        <v>96</v>
      </c>
      <c r="B98" s="115">
        <f t="shared" si="2"/>
        <v>31</v>
      </c>
      <c r="C98" s="115">
        <f t="shared" si="3"/>
        <v>3</v>
      </c>
      <c r="D98" s="113" t="str" cm="1">
        <f t="array" ref="D98">INDEX('Radio-Map-1'!$H$7:$J$97,1+B98,C98)</f>
        <v/>
      </c>
    </row>
    <row r="99" spans="1:4" x14ac:dyDescent="0.75">
      <c r="A99" s="115">
        <v>97</v>
      </c>
      <c r="B99" s="115">
        <f t="shared" si="2"/>
        <v>32</v>
      </c>
      <c r="C99" s="115">
        <f t="shared" si="3"/>
        <v>1</v>
      </c>
      <c r="D99" s="113" t="str" cm="1">
        <f t="array" ref="D99">INDEX('Radio-Map-1'!$H$7:$J$97,1+B99,C99)</f>
        <v>* differential.element[30].mapping[0].identity = "fhir"</v>
      </c>
    </row>
    <row r="100" spans="1:4" x14ac:dyDescent="0.75">
      <c r="A100" s="115">
        <v>98</v>
      </c>
      <c r="B100" s="115">
        <f t="shared" si="2"/>
        <v>32</v>
      </c>
      <c r="C100" s="115">
        <f t="shared" si="3"/>
        <v>2</v>
      </c>
      <c r="D100" s="113" t="str" cm="1">
        <f t="array" ref="D100">INDEX('Radio-Map-1'!$H$7:$J$97,1+B100,C100)</f>
        <v>* differential.element[30].mapping[0].map = ".valueQuantity.code"</v>
      </c>
    </row>
    <row r="101" spans="1:4" x14ac:dyDescent="0.75">
      <c r="A101" s="115">
        <v>99</v>
      </c>
      <c r="B101" s="115">
        <f t="shared" si="2"/>
        <v>32</v>
      </c>
      <c r="C101" s="115">
        <f t="shared" si="3"/>
        <v>3</v>
      </c>
      <c r="D101" s="113" t="str" cm="1">
        <f t="array" ref="D101">INDEX('Radio-Map-1'!$H$7:$J$97,1+B101,C101)</f>
        <v/>
      </c>
    </row>
    <row r="102" spans="1:4" x14ac:dyDescent="0.75">
      <c r="A102" s="115">
        <v>100</v>
      </c>
      <c r="B102" s="115">
        <f t="shared" si="2"/>
        <v>33</v>
      </c>
      <c r="C102" s="115">
        <f t="shared" si="3"/>
        <v>1</v>
      </c>
      <c r="D102" s="113" t="str" cm="1">
        <f t="array" ref="D102">INDEX('Radio-Map-1'!$H$7:$J$97,1+B102,C102)</f>
        <v>* differential.element[31].mapping[0].identity = "fhir"</v>
      </c>
    </row>
    <row r="103" spans="1:4" x14ac:dyDescent="0.75">
      <c r="A103" s="115">
        <v>101</v>
      </c>
      <c r="B103" s="115">
        <f t="shared" si="2"/>
        <v>33</v>
      </c>
      <c r="C103" s="115">
        <f t="shared" si="3"/>
        <v>2</v>
      </c>
      <c r="D103" s="113" t="str" cm="1">
        <f t="array" ref="D103">INDEX('Radio-Map-1'!$H$7:$J$97,1+B103,C103)</f>
        <v>* differential.element[31].mapping[0].map = "TBD"</v>
      </c>
    </row>
    <row r="104" spans="1:4" x14ac:dyDescent="0.75">
      <c r="A104" s="115">
        <v>102</v>
      </c>
      <c r="B104" s="115">
        <f t="shared" si="2"/>
        <v>33</v>
      </c>
      <c r="C104" s="115">
        <f t="shared" si="3"/>
        <v>3</v>
      </c>
      <c r="D104" s="113" t="str" cm="1">
        <f t="array" ref="D104">INDEX('Radio-Map-1'!$H$7:$J$97,1+B104,C104)</f>
        <v/>
      </c>
    </row>
    <row r="105" spans="1:4" x14ac:dyDescent="0.75">
      <c r="A105" s="115">
        <v>103</v>
      </c>
      <c r="B105" s="115">
        <f t="shared" si="2"/>
        <v>34</v>
      </c>
      <c r="C105" s="115">
        <f t="shared" si="3"/>
        <v>1</v>
      </c>
      <c r="D105" s="113" t="str" cm="1">
        <f t="array" ref="D105">INDEX('Radio-Map-1'!$H$7:$J$97,1+B105,C105)</f>
        <v>* differential.element[32].mapping[0].identity = "fhir"</v>
      </c>
    </row>
    <row r="106" spans="1:4" x14ac:dyDescent="0.75">
      <c r="A106" s="115">
        <v>104</v>
      </c>
      <c r="B106" s="115">
        <f t="shared" si="2"/>
        <v>34</v>
      </c>
      <c r="C106" s="115">
        <f t="shared" si="3"/>
        <v>2</v>
      </c>
      <c r="D106" s="113" t="str" cm="1">
        <f t="array" ref="D106">INDEX('Radio-Map-1'!$H$7:$J$97,1+B106,C106)</f>
        <v>* differential.element[32].mapping[0].map = "Procedure.conformsTo('http://hl7.eu/fhir/ig/pcsp/StructureDefinition/Procedure-radiotheraphyBoost-eu-pcsp')"</v>
      </c>
    </row>
    <row r="107" spans="1:4" x14ac:dyDescent="0.75">
      <c r="A107" s="115">
        <v>105</v>
      </c>
      <c r="B107" s="115">
        <f t="shared" si="2"/>
        <v>34</v>
      </c>
      <c r="C107" s="115">
        <f t="shared" si="3"/>
        <v>3</v>
      </c>
      <c r="D107" s="113" t="str" cm="1">
        <f t="array" ref="D107">INDEX('Radio-Map-1'!$H$7:$J$97,1+B107,C107)</f>
        <v/>
      </c>
    </row>
    <row r="108" spans="1:4" x14ac:dyDescent="0.75">
      <c r="A108" s="115">
        <v>106</v>
      </c>
      <c r="B108" s="115">
        <f t="shared" si="2"/>
        <v>35</v>
      </c>
      <c r="C108" s="115">
        <f t="shared" si="3"/>
        <v>1</v>
      </c>
      <c r="D108" s="113" t="str" cm="1">
        <f t="array" ref="D108">INDEX('Radio-Map-1'!$H$7:$J$97,1+B108,C108)</f>
        <v>* differential.element[33].mapping[0].identity = "fhir"</v>
      </c>
    </row>
    <row r="109" spans="1:4" x14ac:dyDescent="0.75">
      <c r="A109" s="115">
        <v>107</v>
      </c>
      <c r="B109" s="115">
        <f t="shared" si="2"/>
        <v>35</v>
      </c>
      <c r="C109" s="115">
        <f t="shared" si="3"/>
        <v>2</v>
      </c>
      <c r="D109" s="113" t="str" cm="1">
        <f t="array" ref="D109">INDEX('Radio-Map-1'!$H$7:$J$97,1+B109,C109)</f>
        <v>* differential.element[33].mapping[0].map = ".code"</v>
      </c>
    </row>
    <row r="110" spans="1:4" x14ac:dyDescent="0.75">
      <c r="A110" s="115">
        <v>108</v>
      </c>
      <c r="B110" s="115">
        <f t="shared" si="2"/>
        <v>35</v>
      </c>
      <c r="C110" s="115">
        <f t="shared" si="3"/>
        <v>3</v>
      </c>
      <c r="D110" s="113" t="str" cm="1">
        <f t="array" ref="D110">INDEX('Radio-Map-1'!$H$7:$J$97,1+B110,C110)</f>
        <v/>
      </c>
    </row>
    <row r="111" spans="1:4" x14ac:dyDescent="0.75">
      <c r="A111" s="115">
        <v>109</v>
      </c>
      <c r="B111" s="115">
        <f t="shared" si="2"/>
        <v>36</v>
      </c>
      <c r="C111" s="115">
        <f t="shared" si="3"/>
        <v>1</v>
      </c>
      <c r="D111" s="113" t="str" cm="1">
        <f t="array" ref="D111">INDEX('Radio-Map-1'!$H$7:$J$97,1+B111,C111)</f>
        <v>* differential.element[34].mapping[0].identity = "fhir"</v>
      </c>
    </row>
    <row r="112" spans="1:4" x14ac:dyDescent="0.75">
      <c r="A112" s="115">
        <v>110</v>
      </c>
      <c r="B112" s="115">
        <f t="shared" si="2"/>
        <v>36</v>
      </c>
      <c r="C112" s="115">
        <f t="shared" si="3"/>
        <v>2</v>
      </c>
      <c r="D112" s="113" t="str" cm="1">
        <f t="array" ref="D112">INDEX('Radio-Map-1'!$H$7:$J$97,1+B112,C112)</f>
        <v>* differential.element[34].mapping[0].map = ".status"</v>
      </c>
    </row>
    <row r="113" spans="1:4" x14ac:dyDescent="0.75">
      <c r="A113" s="115">
        <v>111</v>
      </c>
      <c r="B113" s="115">
        <f t="shared" si="2"/>
        <v>36</v>
      </c>
      <c r="C113" s="115">
        <f t="shared" si="3"/>
        <v>3</v>
      </c>
      <c r="D113" s="113" t="str" cm="1">
        <f t="array" ref="D113">INDEX('Radio-Map-1'!$H$7:$J$97,1+B113,C113)</f>
        <v/>
      </c>
    </row>
    <row r="114" spans="1:4" x14ac:dyDescent="0.75">
      <c r="A114" s="115">
        <v>112</v>
      </c>
      <c r="B114" s="115">
        <f t="shared" si="2"/>
        <v>37</v>
      </c>
      <c r="C114" s="115">
        <f t="shared" si="3"/>
        <v>1</v>
      </c>
      <c r="D114" s="113" t="str" cm="1">
        <f t="array" ref="D114">INDEX('Radio-Map-1'!$H$7:$J$97,1+B114,C114)</f>
        <v>* differential.element[35].mapping[0].identity = "fhir"</v>
      </c>
    </row>
    <row r="115" spans="1:4" x14ac:dyDescent="0.75">
      <c r="A115" s="115">
        <v>113</v>
      </c>
      <c r="B115" s="115">
        <f t="shared" si="2"/>
        <v>37</v>
      </c>
      <c r="C115" s="115">
        <f t="shared" si="3"/>
        <v>2</v>
      </c>
      <c r="D115" s="113" t="str" cm="1">
        <f t="array" ref="D115">INDEX('Radio-Map-1'!$H$7:$J$97,1+B115,C115)</f>
        <v>* differential.element[35].mapping[0].map = ".bodySite"</v>
      </c>
    </row>
    <row r="116" spans="1:4" x14ac:dyDescent="0.75">
      <c r="A116" s="115">
        <v>114</v>
      </c>
      <c r="B116" s="115">
        <f t="shared" si="2"/>
        <v>37</v>
      </c>
      <c r="C116" s="115">
        <f t="shared" si="3"/>
        <v>3</v>
      </c>
      <c r="D116" s="113" t="str" cm="1">
        <f t="array" ref="D116">INDEX('Radio-Map-1'!$H$7:$J$97,1+B116,C116)</f>
        <v/>
      </c>
    </row>
    <row r="117" spans="1:4" x14ac:dyDescent="0.75">
      <c r="A117" s="115">
        <v>115</v>
      </c>
      <c r="B117" s="115">
        <f t="shared" si="2"/>
        <v>38</v>
      </c>
      <c r="C117" s="115">
        <f t="shared" si="3"/>
        <v>1</v>
      </c>
      <c r="D117" s="113" t="str" cm="1">
        <f t="array" ref="D117">INDEX('Radio-Map-1'!$H$7:$J$97,1+B117,C117)</f>
        <v>* differential.element[35].mapping[1].identity = "fhir"</v>
      </c>
    </row>
    <row r="118" spans="1:4" x14ac:dyDescent="0.75">
      <c r="A118" s="115">
        <v>116</v>
      </c>
      <c r="B118" s="115">
        <f t="shared" si="2"/>
        <v>38</v>
      </c>
      <c r="C118" s="115">
        <f t="shared" si="3"/>
        <v>2</v>
      </c>
      <c r="D118" s="113" t="str" cm="1">
        <f t="array" ref="D118">INDEX('Radio-Map-1'!$H$7:$J$97,1+B118,C118)</f>
        <v>* differential.element[35].mapping[1].map = ".extension(http://hl7.eu/fhir/ig/pcsp/StructureDefinition/ResourceRelatedInfo-eu-pcsp).resolve().conformsTo(http://hl7.eu/fhir/ig/pcsp/StructureDefinition/Observation-cumulativeDoseRad-eu-pcsp).bodySite"</v>
      </c>
    </row>
    <row r="119" spans="1:4" x14ac:dyDescent="0.75">
      <c r="A119" s="115">
        <v>117</v>
      </c>
      <c r="B119" s="115">
        <f t="shared" si="2"/>
        <v>38</v>
      </c>
      <c r="C119" s="115">
        <f t="shared" si="3"/>
        <v>3</v>
      </c>
      <c r="D119" s="113" t="str" cm="1">
        <f t="array" ref="D119">INDEX('Radio-Map-1'!$H$7:$J$97,1+B119,C119)</f>
        <v/>
      </c>
    </row>
    <row r="120" spans="1:4" x14ac:dyDescent="0.75">
      <c r="A120" s="115">
        <v>118</v>
      </c>
      <c r="B120" s="115">
        <f t="shared" si="2"/>
        <v>39</v>
      </c>
      <c r="C120" s="115">
        <f t="shared" si="3"/>
        <v>1</v>
      </c>
      <c r="D120" s="113" t="str" cm="1">
        <f t="array" ref="D120">INDEX('Radio-Map-1'!$H$7:$J$97,1+B120,C120)</f>
        <v>* differential.element[36].mapping[0].identity = "fhir"</v>
      </c>
    </row>
    <row r="121" spans="1:4" x14ac:dyDescent="0.75">
      <c r="A121" s="115">
        <v>119</v>
      </c>
      <c r="B121" s="115">
        <f t="shared" si="2"/>
        <v>39</v>
      </c>
      <c r="C121" s="115">
        <f t="shared" si="3"/>
        <v>2</v>
      </c>
      <c r="D121" s="113" t="str" cm="1">
        <f t="array" ref="D121">INDEX('Radio-Map-1'!$H$7:$J$97,1+B121,C121)</f>
        <v>* differential.element[36].mapping[0].map = ".extension(http://hl7.eu/fhir/ig/pcsp/StructureDefinition/mcode-laterality-qualifier).valueCodeableConcept"</v>
      </c>
    </row>
    <row r="122" spans="1:4" x14ac:dyDescent="0.75">
      <c r="A122" s="115">
        <v>120</v>
      </c>
      <c r="B122" s="115">
        <f t="shared" si="2"/>
        <v>39</v>
      </c>
      <c r="C122" s="115">
        <f t="shared" si="3"/>
        <v>3</v>
      </c>
      <c r="D122" s="113" t="str" cm="1">
        <f t="array" ref="D122">INDEX('Radio-Map-1'!$H$7:$J$97,1+B122,C122)</f>
        <v/>
      </c>
    </row>
    <row r="123" spans="1:4" x14ac:dyDescent="0.75">
      <c r="A123" s="115">
        <v>121</v>
      </c>
      <c r="B123" s="115">
        <f t="shared" si="2"/>
        <v>40</v>
      </c>
      <c r="C123" s="115">
        <f t="shared" si="3"/>
        <v>1</v>
      </c>
      <c r="D123" s="113" t="str" cm="1">
        <f t="array" ref="D123">INDEX('Radio-Map-1'!$H$7:$J$97,1+B123,C123)</f>
        <v>* differential.element[37].mapping[0].identity = "fhir"</v>
      </c>
    </row>
    <row r="124" spans="1:4" x14ac:dyDescent="0.75">
      <c r="A124" s="115">
        <v>122</v>
      </c>
      <c r="B124" s="115">
        <f t="shared" si="2"/>
        <v>40</v>
      </c>
      <c r="C124" s="115">
        <f t="shared" si="3"/>
        <v>2</v>
      </c>
      <c r="D124" s="113" t="str" cm="1">
        <f t="array" ref="D124">INDEX('Radio-Map-1'!$H$7:$J$97,1+B124,C124)</f>
        <v>* differential.element[37].mapping[0].map = ".text"</v>
      </c>
    </row>
    <row r="125" spans="1:4" x14ac:dyDescent="0.75">
      <c r="A125" s="115">
        <v>123</v>
      </c>
      <c r="B125" s="115">
        <f t="shared" si="2"/>
        <v>40</v>
      </c>
      <c r="C125" s="115">
        <f t="shared" si="3"/>
        <v>3</v>
      </c>
      <c r="D125" s="113" t="str" cm="1">
        <f t="array" ref="D125">INDEX('Radio-Map-1'!$H$7:$J$97,1+B125,C125)</f>
        <v/>
      </c>
    </row>
    <row r="126" spans="1:4" x14ac:dyDescent="0.75">
      <c r="A126" s="115">
        <v>124</v>
      </c>
      <c r="B126" s="115">
        <f t="shared" si="2"/>
        <v>41</v>
      </c>
      <c r="C126" s="115">
        <f t="shared" si="3"/>
        <v>1</v>
      </c>
      <c r="D126" s="113" t="str" cm="1">
        <f t="array" ref="D126">INDEX('Radio-Map-1'!$H$7:$J$97,1+B126,C126)</f>
        <v>* differential.element[38].mapping[0].identity = "fhir"</v>
      </c>
    </row>
    <row r="127" spans="1:4" x14ac:dyDescent="0.75">
      <c r="A127" s="115">
        <v>125</v>
      </c>
      <c r="B127" s="115">
        <f t="shared" si="2"/>
        <v>41</v>
      </c>
      <c r="C127" s="115">
        <f t="shared" si="3"/>
        <v>2</v>
      </c>
      <c r="D127" s="113" t="str" cm="1">
        <f t="array" ref="D127">INDEX('Radio-Map-1'!$H$7:$J$97,1+B127,C127)</f>
        <v>* differential.element[38].mapping[0].map = "TBD"</v>
      </c>
    </row>
    <row r="128" spans="1:4" x14ac:dyDescent="0.75">
      <c r="A128" s="115">
        <v>126</v>
      </c>
      <c r="B128" s="115">
        <f t="shared" si="2"/>
        <v>41</v>
      </c>
      <c r="C128" s="115">
        <f t="shared" si="3"/>
        <v>3</v>
      </c>
      <c r="D128" s="113" t="str" cm="1">
        <f t="array" ref="D128">INDEX('Radio-Map-1'!$H$7:$J$97,1+B128,C128)</f>
        <v/>
      </c>
    </row>
    <row r="129" spans="1:4" x14ac:dyDescent="0.75">
      <c r="A129" s="115">
        <v>127</v>
      </c>
      <c r="B129" s="115">
        <f t="shared" si="2"/>
        <v>42</v>
      </c>
      <c r="C129" s="115">
        <f t="shared" si="3"/>
        <v>1</v>
      </c>
      <c r="D129" s="113" t="str" cm="1">
        <f t="array" ref="D129">INDEX('Radio-Map-1'!$H$7:$J$97,1+B129,C129)</f>
        <v>* differential.element[39].mapping[0].identity = "fhir"</v>
      </c>
    </row>
    <row r="130" spans="1:4" x14ac:dyDescent="0.75">
      <c r="A130" s="115">
        <v>128</v>
      </c>
      <c r="B130" s="115">
        <f t="shared" si="2"/>
        <v>42</v>
      </c>
      <c r="C130" s="115">
        <f t="shared" si="3"/>
        <v>2</v>
      </c>
      <c r="D130" s="113" t="str" cm="1">
        <f t="array" ref="D130">INDEX('Radio-Map-1'!$H$7:$J$97,1+B130,C130)</f>
        <v>* differential.element[39].mapping[0].map = "TBD"</v>
      </c>
    </row>
    <row r="131" spans="1:4" x14ac:dyDescent="0.75">
      <c r="A131" s="115">
        <v>129</v>
      </c>
      <c r="B131" s="115">
        <f t="shared" si="2"/>
        <v>42</v>
      </c>
      <c r="C131" s="115">
        <f t="shared" si="3"/>
        <v>3</v>
      </c>
      <c r="D131" s="113" t="str" cm="1">
        <f t="array" ref="D131">INDEX('Radio-Map-1'!$H$7:$J$97,1+B131,C131)</f>
        <v/>
      </c>
    </row>
    <row r="132" spans="1:4" x14ac:dyDescent="0.75">
      <c r="A132" s="115">
        <v>130</v>
      </c>
      <c r="B132" s="115">
        <f t="shared" ref="B132:B195" si="4">IF(MOD(A132,3)=0,A132/3-1,INT(A132/3))</f>
        <v>43</v>
      </c>
      <c r="C132" s="115">
        <f t="shared" ref="C132:C195" si="5">IF(MOD(A132,3)=0,3,MOD(A132,3))</f>
        <v>1</v>
      </c>
      <c r="D132" s="113" t="str" cm="1">
        <f t="array" ref="D132">INDEX('Radio-Map-1'!$H$7:$J$97,1+B132,C132)</f>
        <v>* differential.element[40].mapping[0].identity = "fhir"</v>
      </c>
    </row>
    <row r="133" spans="1:4" x14ac:dyDescent="0.75">
      <c r="A133" s="115">
        <v>131</v>
      </c>
      <c r="B133" s="115">
        <f t="shared" si="4"/>
        <v>43</v>
      </c>
      <c r="C133" s="115">
        <f t="shared" si="5"/>
        <v>2</v>
      </c>
      <c r="D133" s="113" t="str" cm="1">
        <f t="array" ref="D133">INDEX('Radio-Map-1'!$H$7:$J$97,1+B133,C133)</f>
        <v>* differential.element[40].mapping[0].map = "TBD"</v>
      </c>
    </row>
    <row r="134" spans="1:4" x14ac:dyDescent="0.75">
      <c r="A134" s="115">
        <v>132</v>
      </c>
      <c r="B134" s="115">
        <f t="shared" si="4"/>
        <v>43</v>
      </c>
      <c r="C134" s="115">
        <f t="shared" si="5"/>
        <v>3</v>
      </c>
      <c r="D134" s="113" t="str" cm="1">
        <f t="array" ref="D134">INDEX('Radio-Map-1'!$H$7:$J$97,1+B134,C134)</f>
        <v/>
      </c>
    </row>
    <row r="135" spans="1:4" x14ac:dyDescent="0.75">
      <c r="A135" s="115">
        <v>133</v>
      </c>
      <c r="B135" s="115">
        <f t="shared" si="4"/>
        <v>44</v>
      </c>
      <c r="C135" s="115">
        <f t="shared" si="5"/>
        <v>1</v>
      </c>
      <c r="D135" s="113" t="str" cm="1">
        <f t="array" ref="D135">INDEX('Radio-Map-1'!$H$7:$J$97,1+B135,C135)</f>
        <v>* differential.element[41].mapping[0].identity = "fhir"</v>
      </c>
    </row>
    <row r="136" spans="1:4" x14ac:dyDescent="0.75">
      <c r="A136" s="115">
        <v>134</v>
      </c>
      <c r="B136" s="115">
        <f t="shared" si="4"/>
        <v>44</v>
      </c>
      <c r="C136" s="115">
        <f t="shared" si="5"/>
        <v>2</v>
      </c>
      <c r="D136" s="113" t="str" cm="1">
        <f t="array" ref="D136">INDEX('Radio-Map-1'!$H$7:$J$97,1+B136,C136)</f>
        <v>* differential.element[41].mapping[0].map = ".extension(http://hl7.eu/fhir/ig/pcsp/StructureDefinition/ResourceRelatedInfo-eu-pcsp).resolve().conformsTo(http://hl7.eu/fhir/ig/pcsp/StructureDefinition/Observation-cumulativeDoseRad-eu-pcsp)"</v>
      </c>
    </row>
    <row r="137" spans="1:4" x14ac:dyDescent="0.75">
      <c r="A137" s="115">
        <v>135</v>
      </c>
      <c r="B137" s="115">
        <f t="shared" si="4"/>
        <v>44</v>
      </c>
      <c r="C137" s="115">
        <f t="shared" si="5"/>
        <v>3</v>
      </c>
      <c r="D137" s="113" t="str" cm="1">
        <f t="array" ref="D137">INDEX('Radio-Map-1'!$H$7:$J$97,1+B137,C137)</f>
        <v/>
      </c>
    </row>
    <row r="138" spans="1:4" x14ac:dyDescent="0.75">
      <c r="A138" s="115">
        <v>136</v>
      </c>
      <c r="B138" s="115">
        <f t="shared" si="4"/>
        <v>45</v>
      </c>
      <c r="C138" s="115">
        <f t="shared" si="5"/>
        <v>1</v>
      </c>
      <c r="D138" s="113" t="str" cm="1">
        <f t="array" ref="D138">INDEX('Radio-Map-1'!$H$7:$J$97,1+B138,C138)</f>
        <v>* differential.element[42].mapping[0].identity = "fhir"</v>
      </c>
    </row>
    <row r="139" spans="1:4" x14ac:dyDescent="0.75">
      <c r="A139" s="115">
        <v>137</v>
      </c>
      <c r="B139" s="115">
        <f t="shared" si="4"/>
        <v>45</v>
      </c>
      <c r="C139" s="115">
        <f t="shared" si="5"/>
        <v>2</v>
      </c>
      <c r="D139" s="113" t="str" cm="1">
        <f t="array" ref="D139">INDEX('Radio-Map-1'!$H$7:$J$97,1+B139,C139)</f>
        <v>* differential.element[42].mapping[0].map = ".status = #preliminary"</v>
      </c>
    </row>
    <row r="140" spans="1:4" x14ac:dyDescent="0.75">
      <c r="A140" s="115">
        <v>138</v>
      </c>
      <c r="B140" s="115">
        <f t="shared" si="4"/>
        <v>45</v>
      </c>
      <c r="C140" s="115">
        <f t="shared" si="5"/>
        <v>3</v>
      </c>
      <c r="D140" s="113" t="str" cm="1">
        <f t="array" ref="D140">INDEX('Radio-Map-1'!$H$7:$J$97,1+B140,C140)</f>
        <v/>
      </c>
    </row>
    <row r="141" spans="1:4" x14ac:dyDescent="0.75">
      <c r="A141" s="115">
        <v>139</v>
      </c>
      <c r="B141" s="115">
        <f t="shared" si="4"/>
        <v>46</v>
      </c>
      <c r="C141" s="115">
        <f t="shared" si="5"/>
        <v>1</v>
      </c>
      <c r="D141" s="113" t="str" cm="1">
        <f t="array" ref="D141">INDEX('Radio-Map-1'!$H$7:$J$97,1+B141,C141)</f>
        <v>* differential.element[43].mapping[0].identity = "fhir"</v>
      </c>
    </row>
    <row r="142" spans="1:4" x14ac:dyDescent="0.75">
      <c r="A142" s="115">
        <v>140</v>
      </c>
      <c r="B142" s="115">
        <f t="shared" si="4"/>
        <v>46</v>
      </c>
      <c r="C142" s="115">
        <f t="shared" si="5"/>
        <v>2</v>
      </c>
      <c r="D142" s="113" t="str" cm="1">
        <f t="array" ref="D142">INDEX('Radio-Map-1'!$H$7:$J$97,1+B142,C142)</f>
        <v>* differential.element[43].mapping[0].map = ".extension('http://hl7.org/fhir/StructureDefinition/event-statusReason')"</v>
      </c>
    </row>
    <row r="143" spans="1:4" x14ac:dyDescent="0.75">
      <c r="A143" s="115">
        <v>141</v>
      </c>
      <c r="B143" s="115">
        <f t="shared" si="4"/>
        <v>46</v>
      </c>
      <c r="C143" s="115">
        <f t="shared" si="5"/>
        <v>3</v>
      </c>
      <c r="D143" s="113" t="str" cm="1">
        <f t="array" ref="D143">INDEX('Radio-Map-1'!$H$7:$J$97,1+B143,C143)</f>
        <v/>
      </c>
    </row>
    <row r="144" spans="1:4" x14ac:dyDescent="0.75">
      <c r="A144" s="115">
        <v>142</v>
      </c>
      <c r="B144" s="115">
        <f t="shared" si="4"/>
        <v>47</v>
      </c>
      <c r="C144" s="115">
        <f t="shared" si="5"/>
        <v>1</v>
      </c>
      <c r="D144" s="113" t="str" cm="1">
        <f t="array" ref="D144">INDEX('Radio-Map-1'!$H$7:$J$97,1+B144,C144)</f>
        <v>* differential.element[44].mapping[0].identity = "fhir"</v>
      </c>
    </row>
    <row r="145" spans="1:4" x14ac:dyDescent="0.75">
      <c r="A145" s="115">
        <v>143</v>
      </c>
      <c r="B145" s="115">
        <f t="shared" si="4"/>
        <v>47</v>
      </c>
      <c r="C145" s="115">
        <f t="shared" si="5"/>
        <v>2</v>
      </c>
      <c r="D145" s="113" t="str" cm="1">
        <f t="array" ref="D145">INDEX('Radio-Map-1'!$H$7:$J$97,1+B145,C145)</f>
        <v>* differential.element[44].mapping[0].map = ".valueCodeableConcept = http://terminology.hl7.org/CodeSystem/data-absent-reason#unknown"</v>
      </c>
    </row>
    <row r="146" spans="1:4" x14ac:dyDescent="0.75">
      <c r="A146" s="115">
        <v>144</v>
      </c>
      <c r="B146" s="115">
        <f t="shared" si="4"/>
        <v>47</v>
      </c>
      <c r="C146" s="115">
        <f t="shared" si="5"/>
        <v>3</v>
      </c>
      <c r="D146" s="113" t="str" cm="1">
        <f t="array" ref="D146">INDEX('Radio-Map-1'!$H$7:$J$97,1+B146,C146)</f>
        <v/>
      </c>
    </row>
    <row r="147" spans="1:4" x14ac:dyDescent="0.75">
      <c r="A147" s="115">
        <v>145</v>
      </c>
      <c r="B147" s="115">
        <f t="shared" si="4"/>
        <v>48</v>
      </c>
      <c r="C147" s="115">
        <f t="shared" si="5"/>
        <v>1</v>
      </c>
      <c r="D147" s="113" t="str" cm="1">
        <f t="array" ref="D147">INDEX('Radio-Map-1'!$H$7:$J$97,1+B147,C147)</f>
        <v>* differential.element[45].mapping[0].identity = "fhir"</v>
      </c>
    </row>
    <row r="148" spans="1:4" x14ac:dyDescent="0.75">
      <c r="A148" s="115">
        <v>146</v>
      </c>
      <c r="B148" s="115">
        <f t="shared" si="4"/>
        <v>48</v>
      </c>
      <c r="C148" s="115">
        <f t="shared" si="5"/>
        <v>2</v>
      </c>
      <c r="D148" s="113" t="str" cm="1">
        <f t="array" ref="D148">INDEX('Radio-Map-1'!$H$7:$J$97,1+B148,C148)</f>
        <v>* differential.element[45].mapping[0].map = ".valueQuantity.value"</v>
      </c>
    </row>
    <row r="149" spans="1:4" x14ac:dyDescent="0.75">
      <c r="A149" s="115">
        <v>147</v>
      </c>
      <c r="B149" s="115">
        <f t="shared" si="4"/>
        <v>48</v>
      </c>
      <c r="C149" s="115">
        <f t="shared" si="5"/>
        <v>3</v>
      </c>
      <c r="D149" s="113" t="str" cm="1">
        <f t="array" ref="D149">INDEX('Radio-Map-1'!$H$7:$J$97,1+B149,C149)</f>
        <v/>
      </c>
    </row>
    <row r="150" spans="1:4" x14ac:dyDescent="0.75">
      <c r="A150" s="115">
        <v>148</v>
      </c>
      <c r="B150" s="115">
        <f t="shared" si="4"/>
        <v>49</v>
      </c>
      <c r="C150" s="115">
        <f t="shared" si="5"/>
        <v>1</v>
      </c>
      <c r="D150" s="113" t="str" cm="1">
        <f t="array" ref="D150">INDEX('Radio-Map-1'!$H$7:$J$97,1+B150,C150)</f>
        <v>* differential.element[46].mapping[0].identity = "fhir"</v>
      </c>
    </row>
    <row r="151" spans="1:4" x14ac:dyDescent="0.75">
      <c r="A151" s="115">
        <v>149</v>
      </c>
      <c r="B151" s="115">
        <f t="shared" si="4"/>
        <v>49</v>
      </c>
      <c r="C151" s="115">
        <f t="shared" si="5"/>
        <v>2</v>
      </c>
      <c r="D151" s="113" t="str" cm="1">
        <f t="array" ref="D151">INDEX('Radio-Map-1'!$H$7:$J$97,1+B151,C151)</f>
        <v>* differential.element[46].mapping[0].map = ".valueQuantity.code"</v>
      </c>
    </row>
    <row r="152" spans="1:4" x14ac:dyDescent="0.75">
      <c r="A152" s="115">
        <v>150</v>
      </c>
      <c r="B152" s="115">
        <f t="shared" si="4"/>
        <v>49</v>
      </c>
      <c r="C152" s="115">
        <f t="shared" si="5"/>
        <v>3</v>
      </c>
      <c r="D152" s="113" t="str" cm="1">
        <f t="array" ref="D152">INDEX('Radio-Map-1'!$H$7:$J$97,1+B152,C152)</f>
        <v/>
      </c>
    </row>
    <row r="153" spans="1:4" x14ac:dyDescent="0.75">
      <c r="A153" s="115">
        <v>151</v>
      </c>
      <c r="B153" s="115">
        <f t="shared" si="4"/>
        <v>50</v>
      </c>
      <c r="C153" s="115">
        <f t="shared" si="5"/>
        <v>1</v>
      </c>
      <c r="D153" s="113" t="str" cm="1">
        <f t="array" ref="D153">INDEX('Radio-Map-1'!$H$7:$J$97,1+B153,C153)</f>
        <v>* differential.element[47].mapping[0].identity = "fhir"</v>
      </c>
    </row>
    <row r="154" spans="1:4" x14ac:dyDescent="0.75">
      <c r="A154" s="115">
        <v>152</v>
      </c>
      <c r="B154" s="115">
        <f t="shared" si="4"/>
        <v>50</v>
      </c>
      <c r="C154" s="115">
        <f t="shared" si="5"/>
        <v>2</v>
      </c>
      <c r="D154" s="113" t="str" cm="1">
        <f t="array" ref="D154">INDEX('Radio-Map-1'!$H$7:$J$97,1+B154,C154)</f>
        <v>* differential.element[47].mapping[0].map = "TBD"</v>
      </c>
    </row>
    <row r="155" spans="1:4" x14ac:dyDescent="0.75">
      <c r="A155" s="115">
        <v>153</v>
      </c>
      <c r="B155" s="115">
        <f t="shared" si="4"/>
        <v>50</v>
      </c>
      <c r="C155" s="115">
        <f t="shared" si="5"/>
        <v>3</v>
      </c>
      <c r="D155" s="113" t="str" cm="1">
        <f t="array" ref="D155">INDEX('Radio-Map-1'!$H$7:$J$97,1+B155,C155)</f>
        <v/>
      </c>
    </row>
    <row r="156" spans="1:4" x14ac:dyDescent="0.75">
      <c r="A156" s="115">
        <v>154</v>
      </c>
      <c r="B156" s="115">
        <f t="shared" si="4"/>
        <v>51</v>
      </c>
      <c r="C156" s="115">
        <f t="shared" si="5"/>
        <v>1</v>
      </c>
      <c r="D156" s="113" t="str" cm="1">
        <f t="array" ref="D156">INDEX('Radio-Map-1'!$H$7:$J$97,1+B156,C156)</f>
        <v>* differential.element[48].mapping[0].identity = "fhir"</v>
      </c>
    </row>
    <row r="157" spans="1:4" x14ac:dyDescent="0.75">
      <c r="A157" s="115">
        <v>155</v>
      </c>
      <c r="B157" s="115">
        <f t="shared" si="4"/>
        <v>51</v>
      </c>
      <c r="C157" s="115">
        <f t="shared" si="5"/>
        <v>2</v>
      </c>
      <c r="D157" s="113" t="str" cm="1">
        <f t="array" ref="D157">INDEX('Radio-Map-1'!$H$7:$J$97,1+B157,C157)</f>
        <v>* differential.element[48].mapping[0].map = "TBD"</v>
      </c>
    </row>
    <row r="158" spans="1:4" x14ac:dyDescent="0.75">
      <c r="A158" s="115">
        <v>156</v>
      </c>
      <c r="B158" s="115">
        <f t="shared" si="4"/>
        <v>51</v>
      </c>
      <c r="C158" s="115">
        <f t="shared" si="5"/>
        <v>3</v>
      </c>
      <c r="D158" s="113" t="str" cm="1">
        <f t="array" ref="D158">INDEX('Radio-Map-1'!$H$7:$J$97,1+B158,C158)</f>
        <v/>
      </c>
    </row>
    <row r="159" spans="1:4" x14ac:dyDescent="0.75">
      <c r="A159" s="115">
        <v>157</v>
      </c>
      <c r="B159" s="115">
        <f t="shared" si="4"/>
        <v>52</v>
      </c>
      <c r="C159" s="115">
        <f t="shared" si="5"/>
        <v>1</v>
      </c>
      <c r="D159" s="113" t="str" cm="1">
        <f t="array" ref="D159">INDEX('Radio-Map-1'!$H$7:$J$97,1+B159,C159)</f>
        <v>* differential.element[49].mapping[0].identity = "fhir"</v>
      </c>
    </row>
    <row r="160" spans="1:4" x14ac:dyDescent="0.75">
      <c r="A160" s="115">
        <v>158</v>
      </c>
      <c r="B160" s="115">
        <f t="shared" si="4"/>
        <v>52</v>
      </c>
      <c r="C160" s="115">
        <f t="shared" si="5"/>
        <v>2</v>
      </c>
      <c r="D160" s="113" t="str" cm="1">
        <f t="array" ref="D160">INDEX('Radio-Map-1'!$H$7:$J$97,1+B160,C160)</f>
        <v>* differential.element[49].mapping[0].map = "TBD"</v>
      </c>
    </row>
    <row r="161" spans="1:4" x14ac:dyDescent="0.75">
      <c r="A161" s="115">
        <v>159</v>
      </c>
      <c r="B161" s="115">
        <f t="shared" si="4"/>
        <v>52</v>
      </c>
      <c r="C161" s="115">
        <f t="shared" si="5"/>
        <v>3</v>
      </c>
      <c r="D161" s="113" t="str" cm="1">
        <f t="array" ref="D161">INDEX('Radio-Map-1'!$H$7:$J$97,1+B161,C161)</f>
        <v/>
      </c>
    </row>
    <row r="162" spans="1:4" x14ac:dyDescent="0.75">
      <c r="A162" s="115">
        <v>160</v>
      </c>
      <c r="B162" s="115">
        <f t="shared" si="4"/>
        <v>53</v>
      </c>
      <c r="C162" s="115">
        <f t="shared" si="5"/>
        <v>1</v>
      </c>
      <c r="D162" s="113" t="str" cm="1">
        <f t="array" ref="D162">INDEX('Radio-Map-1'!$H$7:$J$97,1+B162,C162)</f>
        <v>* differential.element[50].mapping[0].identity = "fhir"</v>
      </c>
    </row>
    <row r="163" spans="1:4" x14ac:dyDescent="0.75">
      <c r="A163" s="115">
        <v>161</v>
      </c>
      <c r="B163" s="115">
        <f t="shared" si="4"/>
        <v>53</v>
      </c>
      <c r="C163" s="115">
        <f t="shared" si="5"/>
        <v>2</v>
      </c>
      <c r="D163" s="113" t="str" cm="1">
        <f t="array" ref="D163">INDEX('Radio-Map-1'!$H$7:$J$97,1+B163,C163)</f>
        <v>* differential.element[50].mapping[0].map = "TBD"</v>
      </c>
    </row>
    <row r="164" spans="1:4" x14ac:dyDescent="0.75">
      <c r="A164" s="115">
        <v>162</v>
      </c>
      <c r="B164" s="115">
        <f t="shared" si="4"/>
        <v>53</v>
      </c>
      <c r="C164" s="115">
        <f t="shared" si="5"/>
        <v>3</v>
      </c>
      <c r="D164" s="113" t="str" cm="1">
        <f t="array" ref="D164">INDEX('Radio-Map-1'!$H$7:$J$97,1+B164,C164)</f>
        <v/>
      </c>
    </row>
    <row r="165" spans="1:4" x14ac:dyDescent="0.75">
      <c r="A165" s="115">
        <v>163</v>
      </c>
      <c r="B165" s="115">
        <f t="shared" si="4"/>
        <v>54</v>
      </c>
      <c r="C165" s="115">
        <f t="shared" si="5"/>
        <v>1</v>
      </c>
      <c r="D165" s="113" t="str" cm="1">
        <f t="array" ref="D165">INDEX('Radio-Map-1'!$H$7:$J$97,1+B165,C165)</f>
        <v/>
      </c>
    </row>
    <row r="166" spans="1:4" x14ac:dyDescent="0.75">
      <c r="A166" s="115">
        <v>164</v>
      </c>
      <c r="B166" s="115">
        <f t="shared" si="4"/>
        <v>54</v>
      </c>
      <c r="C166" s="115">
        <f t="shared" si="5"/>
        <v>2</v>
      </c>
      <c r="D166" s="113" t="str" cm="1">
        <f t="array" ref="D166">INDEX('Radio-Map-1'!$H$7:$J$97,1+B166,C166)</f>
        <v/>
      </c>
    </row>
    <row r="167" spans="1:4" x14ac:dyDescent="0.75">
      <c r="A167" s="115">
        <v>165</v>
      </c>
      <c r="B167" s="115">
        <f t="shared" si="4"/>
        <v>54</v>
      </c>
      <c r="C167" s="115">
        <f t="shared" si="5"/>
        <v>3</v>
      </c>
      <c r="D167" s="113" t="str" cm="1">
        <f t="array" ref="D167">INDEX('Radio-Map-1'!$H$7:$J$97,1+B167,C167)</f>
        <v/>
      </c>
    </row>
    <row r="168" spans="1:4" x14ac:dyDescent="0.75">
      <c r="A168" s="115">
        <v>166</v>
      </c>
      <c r="B168" s="115">
        <f t="shared" si="4"/>
        <v>55</v>
      </c>
      <c r="C168" s="115">
        <f t="shared" si="5"/>
        <v>1</v>
      </c>
      <c r="D168" s="113" t="str" cm="1">
        <f t="array" ref="D168">INDEX('Radio-Map-1'!$H$7:$J$97,1+B168,C168)</f>
        <v>* differential.element[52].mapping[0].identity = "fhir"</v>
      </c>
    </row>
    <row r="169" spans="1:4" x14ac:dyDescent="0.75">
      <c r="A169" s="115">
        <v>167</v>
      </c>
      <c r="B169" s="115">
        <f t="shared" si="4"/>
        <v>55</v>
      </c>
      <c r="C169" s="115">
        <f t="shared" si="5"/>
        <v>2</v>
      </c>
      <c r="D169" s="113" t="str" cm="1">
        <f t="array" ref="D169">INDEX('Radio-Map-1'!$H$7:$J$97,1+B169,C169)</f>
        <v>* differential.element[52].mapping[0].map = ".extension(http://hl7.org/fhir/StructureDefinition/workflow-supportingInfo).ofType(DocumentReference)"</v>
      </c>
    </row>
    <row r="170" spans="1:4" x14ac:dyDescent="0.75">
      <c r="A170" s="115">
        <v>168</v>
      </c>
      <c r="B170" s="115">
        <f t="shared" si="4"/>
        <v>55</v>
      </c>
      <c r="C170" s="115">
        <f t="shared" si="5"/>
        <v>3</v>
      </c>
      <c r="D170" s="113" t="str" cm="1">
        <f t="array" ref="D170">INDEX('Radio-Map-1'!$H$7:$J$97,1+B170,C170)</f>
        <v/>
      </c>
    </row>
    <row r="171" spans="1:4" x14ac:dyDescent="0.75">
      <c r="A171" s="115">
        <v>169</v>
      </c>
      <c r="B171" s="115">
        <f t="shared" si="4"/>
        <v>56</v>
      </c>
      <c r="C171" s="115">
        <f t="shared" si="5"/>
        <v>1</v>
      </c>
      <c r="D171" s="113" t="str" cm="1">
        <f t="array" ref="D171">INDEX('Radio-Map-1'!$H$7:$J$97,1+B171,C171)</f>
        <v>* differential.element[53].mapping[0].identity = "fhir"</v>
      </c>
    </row>
    <row r="172" spans="1:4" x14ac:dyDescent="0.75">
      <c r="A172" s="115">
        <v>170</v>
      </c>
      <c r="B172" s="115">
        <f t="shared" si="4"/>
        <v>56</v>
      </c>
      <c r="C172" s="115">
        <f t="shared" si="5"/>
        <v>2</v>
      </c>
      <c r="D172" s="113" t="str" cm="1">
        <f t="array" ref="D172">INDEX('Radio-Map-1'!$H$7:$J$97,1+B172,C172)</f>
        <v>* differential.element[53].mapping[0].map = ".exists()"</v>
      </c>
    </row>
    <row r="173" spans="1:4" x14ac:dyDescent="0.75">
      <c r="A173" s="115">
        <v>171</v>
      </c>
      <c r="B173" s="115">
        <f t="shared" si="4"/>
        <v>56</v>
      </c>
      <c r="C173" s="115">
        <f t="shared" si="5"/>
        <v>3</v>
      </c>
      <c r="D173" s="113" cm="1">
        <f t="array" ref="D173">INDEX('Radio-Map-1'!$H$7:$J$97,1+B173,C173)</f>
        <v>0</v>
      </c>
    </row>
    <row r="174" spans="1:4" x14ac:dyDescent="0.75">
      <c r="A174" s="115">
        <v>172</v>
      </c>
      <c r="B174" s="115">
        <f t="shared" si="4"/>
        <v>57</v>
      </c>
      <c r="C174" s="115">
        <f t="shared" si="5"/>
        <v>1</v>
      </c>
      <c r="D174" s="113" t="str" cm="1">
        <f t="array" ref="D174">INDEX('Radio-Map-1'!$H$7:$J$97,1+B174,C174)</f>
        <v>* differential.element[54].mapping[0].identity = "fhir"</v>
      </c>
    </row>
    <row r="175" spans="1:4" x14ac:dyDescent="0.75">
      <c r="A175" s="115">
        <v>173</v>
      </c>
      <c r="B175" s="115">
        <f t="shared" si="4"/>
        <v>57</v>
      </c>
      <c r="C175" s="115">
        <f t="shared" si="5"/>
        <v>2</v>
      </c>
      <c r="D175" s="113" t="str" cm="1">
        <f t="array" ref="D175">INDEX('Radio-Map-1'!$H$7:$J$97,1+B175,C175)</f>
        <v>* differential.element[54].mapping[0].map = "."</v>
      </c>
    </row>
    <row r="176" spans="1:4" x14ac:dyDescent="0.75">
      <c r="A176" s="115">
        <v>174</v>
      </c>
      <c r="B176" s="115">
        <f t="shared" si="4"/>
        <v>57</v>
      </c>
      <c r="C176" s="115">
        <f t="shared" si="5"/>
        <v>3</v>
      </c>
      <c r="D176" s="113" cm="1">
        <f t="array" ref="D176">INDEX('Radio-Map-1'!$H$7:$J$97,1+B176,C176)</f>
        <v>0</v>
      </c>
    </row>
    <row r="177" spans="1:4" x14ac:dyDescent="0.75">
      <c r="A177" s="115">
        <v>175</v>
      </c>
      <c r="B177" s="115">
        <f t="shared" si="4"/>
        <v>58</v>
      </c>
      <c r="C177" s="115">
        <f t="shared" si="5"/>
        <v>1</v>
      </c>
      <c r="D177" s="113" t="str" cm="1">
        <f t="array" ref="D177">INDEX('Radio-Map-1'!$H$7:$J$97,1+B177,C177)</f>
        <v>* differential.element[55].mapping[0].identity = "fhir"</v>
      </c>
    </row>
    <row r="178" spans="1:4" x14ac:dyDescent="0.75">
      <c r="A178" s="115">
        <v>176</v>
      </c>
      <c r="B178" s="115">
        <f t="shared" si="4"/>
        <v>58</v>
      </c>
      <c r="C178" s="115">
        <f t="shared" si="5"/>
        <v>2</v>
      </c>
      <c r="D178" s="113" t="str" cm="1">
        <f t="array" ref="D178">INDEX('Radio-Map-1'!$H$7:$J$97,1+B178,C178)</f>
        <v>* differential.element[55].mapping[0].map = ".extension(http://hl7.org/fhir/StructureDefinition/workflow-supportingInfo).ofType(DocumentReference)"</v>
      </c>
    </row>
    <row r="179" spans="1:4" x14ac:dyDescent="0.75">
      <c r="A179" s="115">
        <v>177</v>
      </c>
      <c r="B179" s="115">
        <f t="shared" si="4"/>
        <v>58</v>
      </c>
      <c r="C179" s="115">
        <f t="shared" si="5"/>
        <v>3</v>
      </c>
      <c r="D179" s="113" cm="1">
        <f t="array" ref="D179">INDEX('Radio-Map-1'!$H$7:$J$97,1+B179,C179)</f>
        <v>0</v>
      </c>
    </row>
    <row r="180" spans="1:4" x14ac:dyDescent="0.75">
      <c r="A180" s="115">
        <v>178</v>
      </c>
      <c r="B180" s="115">
        <f t="shared" si="4"/>
        <v>59</v>
      </c>
      <c r="C180" s="115">
        <f t="shared" si="5"/>
        <v>1</v>
      </c>
      <c r="D180" s="113" t="str" cm="1">
        <f t="array" ref="D180">INDEX('Radio-Map-1'!$H$7:$J$97,1+B180,C180)</f>
        <v>* differential.element[56].mapping[0].identity = "fhir"</v>
      </c>
    </row>
    <row r="181" spans="1:4" x14ac:dyDescent="0.75">
      <c r="A181" s="115">
        <v>179</v>
      </c>
      <c r="B181" s="115">
        <f t="shared" si="4"/>
        <v>59</v>
      </c>
      <c r="C181" s="115">
        <f t="shared" si="5"/>
        <v>2</v>
      </c>
      <c r="D181" s="113" t="str" cm="1">
        <f t="array" ref="D181">INDEX('Radio-Map-1'!$H$7:$J$97,1+B181,C181)</f>
        <v>* differential.element[56].mapping[0].map = ".note"</v>
      </c>
    </row>
    <row r="182" spans="1:4" x14ac:dyDescent="0.75">
      <c r="A182" s="115">
        <v>180</v>
      </c>
      <c r="B182" s="115">
        <f t="shared" si="4"/>
        <v>59</v>
      </c>
      <c r="C182" s="115">
        <f t="shared" si="5"/>
        <v>3</v>
      </c>
      <c r="D182" s="113" cm="1">
        <f t="array" ref="D182">INDEX('Radio-Map-1'!$H$7:$J$97,1+B182,C182)</f>
        <v>0</v>
      </c>
    </row>
    <row r="183" spans="1:4" x14ac:dyDescent="0.75">
      <c r="A183" s="115">
        <v>181</v>
      </c>
      <c r="B183" s="115">
        <f t="shared" si="4"/>
        <v>60</v>
      </c>
      <c r="C183" s="115">
        <f t="shared" si="5"/>
        <v>1</v>
      </c>
      <c r="D183" s="113" t="str" cm="1">
        <f t="array" ref="D183">INDEX('Radio-Map-1'!$H$7:$J$97,1+B183,C183)</f>
        <v/>
      </c>
    </row>
    <row r="184" spans="1:4" x14ac:dyDescent="0.75">
      <c r="A184" s="115">
        <v>182</v>
      </c>
      <c r="B184" s="115">
        <f t="shared" si="4"/>
        <v>60</v>
      </c>
      <c r="C184" s="115">
        <f t="shared" si="5"/>
        <v>2</v>
      </c>
      <c r="D184" s="113" t="str" cm="1">
        <f t="array" ref="D184">INDEX('Radio-Map-1'!$H$7:$J$97,1+B184,C184)</f>
        <v/>
      </c>
    </row>
    <row r="185" spans="1:4" x14ac:dyDescent="0.75">
      <c r="A185" s="115">
        <v>183</v>
      </c>
      <c r="B185" s="115">
        <f t="shared" si="4"/>
        <v>60</v>
      </c>
      <c r="C185" s="115">
        <f t="shared" si="5"/>
        <v>3</v>
      </c>
      <c r="D185" s="113" cm="1">
        <f t="array" ref="D185">INDEX('Radio-Map-1'!$H$7:$J$97,1+B185,C185)</f>
        <v>0</v>
      </c>
    </row>
    <row r="186" spans="1:4" x14ac:dyDescent="0.75">
      <c r="A186" s="115">
        <v>184</v>
      </c>
      <c r="B186" s="115">
        <f t="shared" si="4"/>
        <v>61</v>
      </c>
      <c r="C186" s="115">
        <f t="shared" si="5"/>
        <v>1</v>
      </c>
      <c r="D186" s="113" t="str" cm="1">
        <f t="array" ref="D186">INDEX('Radio-Map-1'!$H$7:$J$97,1+B186,C186)</f>
        <v/>
      </c>
    </row>
    <row r="187" spans="1:4" x14ac:dyDescent="0.75">
      <c r="A187" s="115">
        <v>185</v>
      </c>
      <c r="B187" s="115">
        <f t="shared" si="4"/>
        <v>61</v>
      </c>
      <c r="C187" s="115">
        <f t="shared" si="5"/>
        <v>2</v>
      </c>
      <c r="D187" s="113" t="str" cm="1">
        <f t="array" ref="D187">INDEX('Radio-Map-1'!$H$7:$J$97,1+B187,C187)</f>
        <v/>
      </c>
    </row>
    <row r="188" spans="1:4" x14ac:dyDescent="0.75">
      <c r="A188" s="115">
        <v>186</v>
      </c>
      <c r="B188" s="115">
        <f t="shared" si="4"/>
        <v>61</v>
      </c>
      <c r="C188" s="115">
        <f t="shared" si="5"/>
        <v>3</v>
      </c>
      <c r="D188" s="113" cm="1">
        <f t="array" ref="D188">INDEX('Radio-Map-1'!$H$7:$J$97,1+B188,C188)</f>
        <v>0</v>
      </c>
    </row>
    <row r="189" spans="1:4" x14ac:dyDescent="0.75">
      <c r="A189" s="115">
        <v>187</v>
      </c>
      <c r="B189" s="115">
        <f t="shared" si="4"/>
        <v>62</v>
      </c>
      <c r="C189" s="115">
        <f t="shared" si="5"/>
        <v>1</v>
      </c>
      <c r="D189" s="113" t="str" cm="1">
        <f t="array" ref="D189">INDEX('Radio-Map-1'!$H$7:$J$97,1+B189,C189)</f>
        <v/>
      </c>
    </row>
    <row r="190" spans="1:4" x14ac:dyDescent="0.75">
      <c r="A190" s="115">
        <v>188</v>
      </c>
      <c r="B190" s="115">
        <f t="shared" si="4"/>
        <v>62</v>
      </c>
      <c r="C190" s="115">
        <f t="shared" si="5"/>
        <v>2</v>
      </c>
      <c r="D190" s="113" t="str" cm="1">
        <f t="array" ref="D190">INDEX('Radio-Map-1'!$H$7:$J$97,1+B190,C190)</f>
        <v/>
      </c>
    </row>
    <row r="191" spans="1:4" x14ac:dyDescent="0.75">
      <c r="A191" s="115">
        <v>189</v>
      </c>
      <c r="B191" s="115">
        <f t="shared" si="4"/>
        <v>62</v>
      </c>
      <c r="C191" s="115">
        <f t="shared" si="5"/>
        <v>3</v>
      </c>
      <c r="D191" s="113" cm="1">
        <f t="array" ref="D191">INDEX('Radio-Map-1'!$H$7:$J$97,1+B191,C191)</f>
        <v>0</v>
      </c>
    </row>
    <row r="192" spans="1:4" x14ac:dyDescent="0.75">
      <c r="A192" s="115">
        <v>190</v>
      </c>
      <c r="B192" s="115">
        <f t="shared" si="4"/>
        <v>63</v>
      </c>
      <c r="C192" s="115">
        <f t="shared" si="5"/>
        <v>1</v>
      </c>
      <c r="D192" s="113" t="str" cm="1">
        <f t="array" ref="D192">INDEX('Radio-Map-1'!$H$7:$J$97,1+B192,C192)</f>
        <v/>
      </c>
    </row>
    <row r="193" spans="1:4" x14ac:dyDescent="0.75">
      <c r="A193" s="115">
        <v>191</v>
      </c>
      <c r="B193" s="115">
        <f t="shared" si="4"/>
        <v>63</v>
      </c>
      <c r="C193" s="115">
        <f t="shared" si="5"/>
        <v>2</v>
      </c>
      <c r="D193" s="113" t="str" cm="1">
        <f t="array" ref="D193">INDEX('Radio-Map-1'!$H$7:$J$97,1+B193,C193)</f>
        <v/>
      </c>
    </row>
    <row r="194" spans="1:4" x14ac:dyDescent="0.75">
      <c r="A194" s="115">
        <v>192</v>
      </c>
      <c r="B194" s="115">
        <f t="shared" si="4"/>
        <v>63</v>
      </c>
      <c r="C194" s="115">
        <f t="shared" si="5"/>
        <v>3</v>
      </c>
      <c r="D194" s="113" cm="1">
        <f t="array" ref="D194">INDEX('Radio-Map-1'!$H$7:$J$97,1+B194,C194)</f>
        <v>0</v>
      </c>
    </row>
    <row r="195" spans="1:4" x14ac:dyDescent="0.75">
      <c r="A195" s="115">
        <v>193</v>
      </c>
      <c r="B195" s="115">
        <f t="shared" si="4"/>
        <v>64</v>
      </c>
      <c r="C195" s="115">
        <f t="shared" si="5"/>
        <v>1</v>
      </c>
      <c r="D195" s="113" cm="1">
        <f t="array" ref="D195">INDEX('Radio-Map-1'!$H$7:$J$97,1+B195,C195)</f>
        <v>0</v>
      </c>
    </row>
    <row r="196" spans="1:4" x14ac:dyDescent="0.75">
      <c r="A196" s="115">
        <v>194</v>
      </c>
      <c r="B196" s="115">
        <f t="shared" ref="B196:B259" si="6">IF(MOD(A196,3)=0,A196/3-1,INT(A196/3))</f>
        <v>64</v>
      </c>
      <c r="C196" s="115">
        <f t="shared" ref="C196:C259" si="7">IF(MOD(A196,3)=0,3,MOD(A196,3))</f>
        <v>2</v>
      </c>
      <c r="D196" s="113" cm="1">
        <f t="array" ref="D196">INDEX('Radio-Map-1'!$H$7:$J$97,1+B196,C196)</f>
        <v>0</v>
      </c>
    </row>
    <row r="197" spans="1:4" x14ac:dyDescent="0.75">
      <c r="A197" s="115">
        <v>195</v>
      </c>
      <c r="B197" s="115">
        <f t="shared" si="6"/>
        <v>64</v>
      </c>
      <c r="C197" s="115">
        <f t="shared" si="7"/>
        <v>3</v>
      </c>
      <c r="D197" s="113" cm="1">
        <f t="array" ref="D197">INDEX('Radio-Map-1'!$H$7:$J$97,1+B197,C197)</f>
        <v>0</v>
      </c>
    </row>
    <row r="198" spans="1:4" x14ac:dyDescent="0.75">
      <c r="A198" s="115">
        <v>196</v>
      </c>
      <c r="B198" s="115">
        <f t="shared" si="6"/>
        <v>65</v>
      </c>
      <c r="C198" s="115">
        <f t="shared" si="7"/>
        <v>1</v>
      </c>
      <c r="D198" s="113" cm="1">
        <f t="array" ref="D198">INDEX('Radio-Map-1'!$H$7:$J$97,1+B198,C198)</f>
        <v>0</v>
      </c>
    </row>
    <row r="199" spans="1:4" x14ac:dyDescent="0.75">
      <c r="A199" s="115">
        <v>197</v>
      </c>
      <c r="B199" s="115">
        <f t="shared" si="6"/>
        <v>65</v>
      </c>
      <c r="C199" s="115">
        <f t="shared" si="7"/>
        <v>2</v>
      </c>
      <c r="D199" s="113" cm="1">
        <f t="array" ref="D199">INDEX('Radio-Map-1'!$H$7:$J$97,1+B199,C199)</f>
        <v>0</v>
      </c>
    </row>
    <row r="200" spans="1:4" x14ac:dyDescent="0.75">
      <c r="A200" s="115">
        <v>198</v>
      </c>
      <c r="B200" s="115">
        <f t="shared" si="6"/>
        <v>65</v>
      </c>
      <c r="C200" s="115">
        <f t="shared" si="7"/>
        <v>3</v>
      </c>
      <c r="D200" s="113" cm="1">
        <f t="array" ref="D200">INDEX('Radio-Map-1'!$H$7:$J$97,1+B200,C200)</f>
        <v>0</v>
      </c>
    </row>
    <row r="201" spans="1:4" x14ac:dyDescent="0.75">
      <c r="A201" s="115">
        <v>199</v>
      </c>
      <c r="B201" s="115">
        <f t="shared" si="6"/>
        <v>66</v>
      </c>
      <c r="C201" s="115">
        <f t="shared" si="7"/>
        <v>1</v>
      </c>
      <c r="D201" s="113" cm="1">
        <f t="array" ref="D201">INDEX('Radio-Map-1'!$H$7:$J$97,1+B201,C201)</f>
        <v>0</v>
      </c>
    </row>
    <row r="202" spans="1:4" x14ac:dyDescent="0.75">
      <c r="A202" s="115">
        <v>200</v>
      </c>
      <c r="B202" s="115">
        <f t="shared" si="6"/>
        <v>66</v>
      </c>
      <c r="C202" s="115">
        <f t="shared" si="7"/>
        <v>2</v>
      </c>
      <c r="D202" s="113" cm="1">
        <f t="array" ref="D202">INDEX('Radio-Map-1'!$H$7:$J$97,1+B202,C202)</f>
        <v>0</v>
      </c>
    </row>
    <row r="203" spans="1:4" x14ac:dyDescent="0.75">
      <c r="A203" s="115">
        <v>201</v>
      </c>
      <c r="B203" s="115">
        <f t="shared" si="6"/>
        <v>66</v>
      </c>
      <c r="C203" s="115">
        <f t="shared" si="7"/>
        <v>3</v>
      </c>
      <c r="D203" s="113" cm="1">
        <f t="array" ref="D203">INDEX('Radio-Map-1'!$H$7:$J$97,1+B203,C203)</f>
        <v>0</v>
      </c>
    </row>
    <row r="204" spans="1:4" x14ac:dyDescent="0.75">
      <c r="A204" s="115">
        <v>202</v>
      </c>
      <c r="B204" s="115">
        <f t="shared" si="6"/>
        <v>67</v>
      </c>
      <c r="C204" s="115">
        <f t="shared" si="7"/>
        <v>1</v>
      </c>
      <c r="D204" s="113" cm="1">
        <f t="array" ref="D204">INDEX('Radio-Map-1'!$H$7:$J$97,1+B204,C204)</f>
        <v>0</v>
      </c>
    </row>
    <row r="205" spans="1:4" x14ac:dyDescent="0.75">
      <c r="A205" s="115">
        <v>203</v>
      </c>
      <c r="B205" s="115">
        <f t="shared" si="6"/>
        <v>67</v>
      </c>
      <c r="C205" s="115">
        <f t="shared" si="7"/>
        <v>2</v>
      </c>
      <c r="D205" s="113" cm="1">
        <f t="array" ref="D205">INDEX('Radio-Map-1'!$H$7:$J$97,1+B205,C205)</f>
        <v>0</v>
      </c>
    </row>
    <row r="206" spans="1:4" x14ac:dyDescent="0.75">
      <c r="A206" s="115">
        <v>204</v>
      </c>
      <c r="B206" s="115">
        <f t="shared" si="6"/>
        <v>67</v>
      </c>
      <c r="C206" s="115">
        <f t="shared" si="7"/>
        <v>3</v>
      </c>
      <c r="D206" s="113" cm="1">
        <f t="array" ref="D206">INDEX('Radio-Map-1'!$H$7:$J$97,1+B206,C206)</f>
        <v>0</v>
      </c>
    </row>
    <row r="207" spans="1:4" x14ac:dyDescent="0.75">
      <c r="A207" s="115">
        <v>205</v>
      </c>
      <c r="B207" s="115">
        <f t="shared" si="6"/>
        <v>68</v>
      </c>
      <c r="C207" s="115">
        <f t="shared" si="7"/>
        <v>1</v>
      </c>
      <c r="D207" s="113" cm="1">
        <f t="array" ref="D207">INDEX('Radio-Map-1'!$H$7:$J$97,1+B207,C207)</f>
        <v>0</v>
      </c>
    </row>
    <row r="208" spans="1:4" x14ac:dyDescent="0.75">
      <c r="A208" s="115">
        <v>206</v>
      </c>
      <c r="B208" s="115">
        <f t="shared" si="6"/>
        <v>68</v>
      </c>
      <c r="C208" s="115">
        <f t="shared" si="7"/>
        <v>2</v>
      </c>
      <c r="D208" s="113" cm="1">
        <f t="array" ref="D208">INDEX('Radio-Map-1'!$H$7:$J$97,1+B208,C208)</f>
        <v>0</v>
      </c>
    </row>
    <row r="209" spans="1:4" x14ac:dyDescent="0.75">
      <c r="A209" s="115">
        <v>207</v>
      </c>
      <c r="B209" s="115">
        <f t="shared" si="6"/>
        <v>68</v>
      </c>
      <c r="C209" s="115">
        <f t="shared" si="7"/>
        <v>3</v>
      </c>
      <c r="D209" s="113" cm="1">
        <f t="array" ref="D209">INDEX('Radio-Map-1'!$H$7:$J$97,1+B209,C209)</f>
        <v>0</v>
      </c>
    </row>
    <row r="210" spans="1:4" x14ac:dyDescent="0.75">
      <c r="A210" s="115">
        <v>208</v>
      </c>
      <c r="B210" s="115">
        <f t="shared" si="6"/>
        <v>69</v>
      </c>
      <c r="C210" s="115">
        <f t="shared" si="7"/>
        <v>1</v>
      </c>
      <c r="D210" s="113" cm="1">
        <f t="array" ref="D210">INDEX('Radio-Map-1'!$H$7:$J$97,1+B210,C210)</f>
        <v>0</v>
      </c>
    </row>
    <row r="211" spans="1:4" x14ac:dyDescent="0.75">
      <c r="A211" s="115">
        <v>209</v>
      </c>
      <c r="B211" s="115">
        <f t="shared" si="6"/>
        <v>69</v>
      </c>
      <c r="C211" s="115">
        <f t="shared" si="7"/>
        <v>2</v>
      </c>
      <c r="D211" s="113" cm="1">
        <f t="array" ref="D211">INDEX('Radio-Map-1'!$H$7:$J$97,1+B211,C211)</f>
        <v>0</v>
      </c>
    </row>
    <row r="212" spans="1:4" x14ac:dyDescent="0.75">
      <c r="A212" s="115">
        <v>210</v>
      </c>
      <c r="B212" s="115">
        <f t="shared" si="6"/>
        <v>69</v>
      </c>
      <c r="C212" s="115">
        <f t="shared" si="7"/>
        <v>3</v>
      </c>
      <c r="D212" s="113" cm="1">
        <f t="array" ref="D212">INDEX('Radio-Map-1'!$H$7:$J$97,1+B212,C212)</f>
        <v>0</v>
      </c>
    </row>
    <row r="213" spans="1:4" x14ac:dyDescent="0.75">
      <c r="A213" s="115">
        <v>211</v>
      </c>
      <c r="B213" s="115">
        <f t="shared" si="6"/>
        <v>70</v>
      </c>
      <c r="C213" s="115">
        <f t="shared" si="7"/>
        <v>1</v>
      </c>
      <c r="D213" s="113" cm="1">
        <f t="array" ref="D213">INDEX('Radio-Map-1'!$H$7:$J$97,1+B213,C213)</f>
        <v>0</v>
      </c>
    </row>
    <row r="214" spans="1:4" x14ac:dyDescent="0.75">
      <c r="A214" s="115">
        <v>212</v>
      </c>
      <c r="B214" s="115">
        <f t="shared" si="6"/>
        <v>70</v>
      </c>
      <c r="C214" s="115">
        <f t="shared" si="7"/>
        <v>2</v>
      </c>
      <c r="D214" s="113" cm="1">
        <f t="array" ref="D214">INDEX('Radio-Map-1'!$H$7:$J$97,1+B214,C214)</f>
        <v>0</v>
      </c>
    </row>
    <row r="215" spans="1:4" x14ac:dyDescent="0.75">
      <c r="A215" s="115">
        <v>213</v>
      </c>
      <c r="B215" s="115">
        <f t="shared" si="6"/>
        <v>70</v>
      </c>
      <c r="C215" s="115">
        <f t="shared" si="7"/>
        <v>3</v>
      </c>
      <c r="D215" s="113" cm="1">
        <f t="array" ref="D215">INDEX('Radio-Map-1'!$H$7:$J$97,1+B215,C215)</f>
        <v>0</v>
      </c>
    </row>
    <row r="216" spans="1:4" x14ac:dyDescent="0.75">
      <c r="A216" s="115">
        <v>214</v>
      </c>
      <c r="B216" s="115">
        <f t="shared" si="6"/>
        <v>71</v>
      </c>
      <c r="C216" s="115">
        <f t="shared" si="7"/>
        <v>1</v>
      </c>
      <c r="D216" s="113" cm="1">
        <f t="array" ref="D216">INDEX('Radio-Map-1'!$H$7:$J$97,1+B216,C216)</f>
        <v>0</v>
      </c>
    </row>
    <row r="217" spans="1:4" x14ac:dyDescent="0.75">
      <c r="A217" s="115">
        <v>215</v>
      </c>
      <c r="B217" s="115">
        <f t="shared" si="6"/>
        <v>71</v>
      </c>
      <c r="C217" s="115">
        <f t="shared" si="7"/>
        <v>2</v>
      </c>
      <c r="D217" s="113" cm="1">
        <f t="array" ref="D217">INDEX('Radio-Map-1'!$H$7:$J$97,1+B217,C217)</f>
        <v>0</v>
      </c>
    </row>
    <row r="218" spans="1:4" x14ac:dyDescent="0.75">
      <c r="A218" s="115">
        <v>216</v>
      </c>
      <c r="B218" s="115">
        <f t="shared" si="6"/>
        <v>71</v>
      </c>
      <c r="C218" s="115">
        <f t="shared" si="7"/>
        <v>3</v>
      </c>
      <c r="D218" s="113" cm="1">
        <f t="array" ref="D218">INDEX('Radio-Map-1'!$H$7:$J$97,1+B218,C218)</f>
        <v>0</v>
      </c>
    </row>
    <row r="219" spans="1:4" x14ac:dyDescent="0.75">
      <c r="A219" s="115">
        <v>217</v>
      </c>
      <c r="B219" s="115">
        <f t="shared" si="6"/>
        <v>72</v>
      </c>
      <c r="C219" s="115">
        <f t="shared" si="7"/>
        <v>1</v>
      </c>
      <c r="D219" s="113" cm="1">
        <f t="array" ref="D219">INDEX('Radio-Map-1'!$H$7:$J$97,1+B219,C219)</f>
        <v>0</v>
      </c>
    </row>
    <row r="220" spans="1:4" x14ac:dyDescent="0.75">
      <c r="A220" s="115">
        <v>218</v>
      </c>
      <c r="B220" s="115">
        <f t="shared" si="6"/>
        <v>72</v>
      </c>
      <c r="C220" s="115">
        <f t="shared" si="7"/>
        <v>2</v>
      </c>
      <c r="D220" s="113" cm="1">
        <f t="array" ref="D220">INDEX('Radio-Map-1'!$H$7:$J$97,1+B220,C220)</f>
        <v>0</v>
      </c>
    </row>
    <row r="221" spans="1:4" x14ac:dyDescent="0.75">
      <c r="A221" s="115">
        <v>219</v>
      </c>
      <c r="B221" s="115">
        <f t="shared" si="6"/>
        <v>72</v>
      </c>
      <c r="C221" s="115">
        <f t="shared" si="7"/>
        <v>3</v>
      </c>
      <c r="D221" s="113" cm="1">
        <f t="array" ref="D221">INDEX('Radio-Map-1'!$H$7:$J$97,1+B221,C221)</f>
        <v>0</v>
      </c>
    </row>
    <row r="222" spans="1:4" x14ac:dyDescent="0.75">
      <c r="A222" s="115">
        <v>220</v>
      </c>
      <c r="B222" s="115">
        <f t="shared" si="6"/>
        <v>73</v>
      </c>
      <c r="C222" s="115">
        <f t="shared" si="7"/>
        <v>1</v>
      </c>
      <c r="D222" s="113" cm="1">
        <f t="array" ref="D222">INDEX('Radio-Map-1'!$H$7:$J$97,1+B222,C222)</f>
        <v>0</v>
      </c>
    </row>
    <row r="223" spans="1:4" x14ac:dyDescent="0.75">
      <c r="A223" s="115">
        <v>221</v>
      </c>
      <c r="B223" s="115">
        <f t="shared" si="6"/>
        <v>73</v>
      </c>
      <c r="C223" s="115">
        <f t="shared" si="7"/>
        <v>2</v>
      </c>
      <c r="D223" s="113" cm="1">
        <f t="array" ref="D223">INDEX('Radio-Map-1'!$H$7:$J$97,1+B223,C223)</f>
        <v>0</v>
      </c>
    </row>
    <row r="224" spans="1:4" x14ac:dyDescent="0.75">
      <c r="A224" s="115">
        <v>222</v>
      </c>
      <c r="B224" s="115">
        <f t="shared" si="6"/>
        <v>73</v>
      </c>
      <c r="C224" s="115">
        <f t="shared" si="7"/>
        <v>3</v>
      </c>
      <c r="D224" s="113" cm="1">
        <f t="array" ref="D224">INDEX('Radio-Map-1'!$H$7:$J$97,1+B224,C224)</f>
        <v>0</v>
      </c>
    </row>
    <row r="225" spans="1:4" x14ac:dyDescent="0.75">
      <c r="A225" s="115">
        <v>223</v>
      </c>
      <c r="B225" s="115">
        <f t="shared" si="6"/>
        <v>74</v>
      </c>
      <c r="C225" s="115">
        <f t="shared" si="7"/>
        <v>1</v>
      </c>
      <c r="D225" s="113" cm="1">
        <f t="array" ref="D225">INDEX('Radio-Map-1'!$H$7:$J$97,1+B225,C225)</f>
        <v>0</v>
      </c>
    </row>
    <row r="226" spans="1:4" x14ac:dyDescent="0.75">
      <c r="A226" s="115">
        <v>224</v>
      </c>
      <c r="B226" s="115">
        <f t="shared" si="6"/>
        <v>74</v>
      </c>
      <c r="C226" s="115">
        <f t="shared" si="7"/>
        <v>2</v>
      </c>
      <c r="D226" s="113" cm="1">
        <f t="array" ref="D226">INDEX('Radio-Map-1'!$H$7:$J$97,1+B226,C226)</f>
        <v>0</v>
      </c>
    </row>
    <row r="227" spans="1:4" x14ac:dyDescent="0.75">
      <c r="A227" s="115">
        <v>225</v>
      </c>
      <c r="B227" s="115">
        <f t="shared" si="6"/>
        <v>74</v>
      </c>
      <c r="C227" s="115">
        <f t="shared" si="7"/>
        <v>3</v>
      </c>
      <c r="D227" s="113" cm="1">
        <f t="array" ref="D227">INDEX('Radio-Map-1'!$H$7:$J$97,1+B227,C227)</f>
        <v>0</v>
      </c>
    </row>
    <row r="228" spans="1:4" x14ac:dyDescent="0.75">
      <c r="A228" s="115">
        <v>226</v>
      </c>
      <c r="B228" s="115">
        <f t="shared" si="6"/>
        <v>75</v>
      </c>
      <c r="C228" s="115">
        <f t="shared" si="7"/>
        <v>1</v>
      </c>
      <c r="D228" s="113" cm="1">
        <f t="array" ref="D228">INDEX('Radio-Map-1'!$H$7:$J$97,1+B228,C228)</f>
        <v>0</v>
      </c>
    </row>
    <row r="229" spans="1:4" x14ac:dyDescent="0.75">
      <c r="A229" s="115">
        <v>227</v>
      </c>
      <c r="B229" s="115">
        <f t="shared" si="6"/>
        <v>75</v>
      </c>
      <c r="C229" s="115">
        <f t="shared" si="7"/>
        <v>2</v>
      </c>
      <c r="D229" s="113" cm="1">
        <f t="array" ref="D229">INDEX('Radio-Map-1'!$H$7:$J$97,1+B229,C229)</f>
        <v>0</v>
      </c>
    </row>
    <row r="230" spans="1:4" x14ac:dyDescent="0.75">
      <c r="A230" s="115">
        <v>228</v>
      </c>
      <c r="B230" s="115">
        <f t="shared" si="6"/>
        <v>75</v>
      </c>
      <c r="C230" s="115">
        <f t="shared" si="7"/>
        <v>3</v>
      </c>
      <c r="D230" s="113" cm="1">
        <f t="array" ref="D230">INDEX('Radio-Map-1'!$H$7:$J$97,1+B230,C230)</f>
        <v>0</v>
      </c>
    </row>
    <row r="231" spans="1:4" x14ac:dyDescent="0.75">
      <c r="A231" s="115">
        <v>229</v>
      </c>
      <c r="B231" s="115">
        <f t="shared" si="6"/>
        <v>76</v>
      </c>
      <c r="C231" s="115">
        <f t="shared" si="7"/>
        <v>1</v>
      </c>
      <c r="D231" s="113" cm="1">
        <f t="array" ref="D231">INDEX('Radio-Map-1'!$H$7:$J$97,1+B231,C231)</f>
        <v>0</v>
      </c>
    </row>
    <row r="232" spans="1:4" x14ac:dyDescent="0.75">
      <c r="A232" s="115">
        <v>230</v>
      </c>
      <c r="B232" s="115">
        <f t="shared" si="6"/>
        <v>76</v>
      </c>
      <c r="C232" s="115">
        <f t="shared" si="7"/>
        <v>2</v>
      </c>
      <c r="D232" s="113" cm="1">
        <f t="array" ref="D232">INDEX('Radio-Map-1'!$H$7:$J$97,1+B232,C232)</f>
        <v>0</v>
      </c>
    </row>
    <row r="233" spans="1:4" x14ac:dyDescent="0.75">
      <c r="A233" s="115">
        <v>231</v>
      </c>
      <c r="B233" s="115">
        <f t="shared" si="6"/>
        <v>76</v>
      </c>
      <c r="C233" s="115">
        <f t="shared" si="7"/>
        <v>3</v>
      </c>
      <c r="D233" s="113" cm="1">
        <f t="array" ref="D233">INDEX('Radio-Map-1'!$H$7:$J$97,1+B233,C233)</f>
        <v>0</v>
      </c>
    </row>
    <row r="234" spans="1:4" x14ac:dyDescent="0.75">
      <c r="A234" s="115">
        <v>232</v>
      </c>
      <c r="B234" s="115">
        <f t="shared" si="6"/>
        <v>77</v>
      </c>
      <c r="C234" s="115">
        <f t="shared" si="7"/>
        <v>1</v>
      </c>
      <c r="D234" s="113" cm="1">
        <f t="array" ref="D234">INDEX('Radio-Map-1'!$H$7:$J$97,1+B234,C234)</f>
        <v>0</v>
      </c>
    </row>
    <row r="235" spans="1:4" x14ac:dyDescent="0.75">
      <c r="A235" s="115">
        <v>233</v>
      </c>
      <c r="B235" s="115">
        <f t="shared" si="6"/>
        <v>77</v>
      </c>
      <c r="C235" s="115">
        <f t="shared" si="7"/>
        <v>2</v>
      </c>
      <c r="D235" s="113" cm="1">
        <f t="array" ref="D235">INDEX('Radio-Map-1'!$H$7:$J$97,1+B235,C235)</f>
        <v>0</v>
      </c>
    </row>
    <row r="236" spans="1:4" x14ac:dyDescent="0.75">
      <c r="A236" s="115">
        <v>234</v>
      </c>
      <c r="B236" s="115">
        <f t="shared" si="6"/>
        <v>77</v>
      </c>
      <c r="C236" s="115">
        <f t="shared" si="7"/>
        <v>3</v>
      </c>
      <c r="D236" s="113" cm="1">
        <f t="array" ref="D236">INDEX('Radio-Map-1'!$H$7:$J$97,1+B236,C236)</f>
        <v>0</v>
      </c>
    </row>
    <row r="237" spans="1:4" x14ac:dyDescent="0.75">
      <c r="A237" s="115">
        <v>235</v>
      </c>
      <c r="B237" s="115">
        <f t="shared" si="6"/>
        <v>78</v>
      </c>
      <c r="C237" s="115">
        <f t="shared" si="7"/>
        <v>1</v>
      </c>
      <c r="D237" s="113" cm="1">
        <f t="array" ref="D237">INDEX('Radio-Map-1'!$H$7:$J$97,1+B237,C237)</f>
        <v>0</v>
      </c>
    </row>
    <row r="238" spans="1:4" x14ac:dyDescent="0.75">
      <c r="A238" s="115">
        <v>236</v>
      </c>
      <c r="B238" s="115">
        <f t="shared" si="6"/>
        <v>78</v>
      </c>
      <c r="C238" s="115">
        <f t="shared" si="7"/>
        <v>2</v>
      </c>
      <c r="D238" s="113" cm="1">
        <f t="array" ref="D238">INDEX('Radio-Map-1'!$H$7:$J$97,1+B238,C238)</f>
        <v>0</v>
      </c>
    </row>
    <row r="239" spans="1:4" x14ac:dyDescent="0.75">
      <c r="A239" s="115">
        <v>237</v>
      </c>
      <c r="B239" s="115">
        <f t="shared" si="6"/>
        <v>78</v>
      </c>
      <c r="C239" s="115">
        <f t="shared" si="7"/>
        <v>3</v>
      </c>
      <c r="D239" s="113" cm="1">
        <f t="array" ref="D239">INDEX('Radio-Map-1'!$H$7:$J$97,1+B239,C239)</f>
        <v>0</v>
      </c>
    </row>
    <row r="240" spans="1:4" x14ac:dyDescent="0.75">
      <c r="A240" s="115">
        <v>238</v>
      </c>
      <c r="B240" s="115">
        <f t="shared" si="6"/>
        <v>79</v>
      </c>
      <c r="C240" s="115">
        <f t="shared" si="7"/>
        <v>1</v>
      </c>
      <c r="D240" s="113" cm="1">
        <f t="array" ref="D240">INDEX('Radio-Map-1'!$H$7:$J$97,1+B240,C240)</f>
        <v>0</v>
      </c>
    </row>
    <row r="241" spans="1:4" x14ac:dyDescent="0.75">
      <c r="A241" s="115">
        <v>239</v>
      </c>
      <c r="B241" s="115">
        <f t="shared" si="6"/>
        <v>79</v>
      </c>
      <c r="C241" s="115">
        <f t="shared" si="7"/>
        <v>2</v>
      </c>
      <c r="D241" s="113" cm="1">
        <f t="array" ref="D241">INDEX('Radio-Map-1'!$H$7:$J$97,1+B241,C241)</f>
        <v>0</v>
      </c>
    </row>
    <row r="242" spans="1:4" x14ac:dyDescent="0.75">
      <c r="A242" s="115">
        <v>240</v>
      </c>
      <c r="B242" s="115">
        <f t="shared" si="6"/>
        <v>79</v>
      </c>
      <c r="C242" s="115">
        <f t="shared" si="7"/>
        <v>3</v>
      </c>
      <c r="D242" s="113" cm="1">
        <f t="array" ref="D242">INDEX('Radio-Map-1'!$H$7:$J$97,1+B242,C242)</f>
        <v>0</v>
      </c>
    </row>
    <row r="243" spans="1:4" x14ac:dyDescent="0.75">
      <c r="A243" s="115">
        <v>241</v>
      </c>
      <c r="B243" s="115">
        <f t="shared" si="6"/>
        <v>80</v>
      </c>
      <c r="C243" s="115">
        <f t="shared" si="7"/>
        <v>1</v>
      </c>
      <c r="D243" s="113" cm="1">
        <f t="array" ref="D243">INDEX('Radio-Map-1'!$H$7:$J$97,1+B243,C243)</f>
        <v>0</v>
      </c>
    </row>
    <row r="244" spans="1:4" x14ac:dyDescent="0.75">
      <c r="A244" s="115">
        <v>242</v>
      </c>
      <c r="B244" s="115">
        <f t="shared" si="6"/>
        <v>80</v>
      </c>
      <c r="C244" s="115">
        <f t="shared" si="7"/>
        <v>2</v>
      </c>
      <c r="D244" s="113" cm="1">
        <f t="array" ref="D244">INDEX('Radio-Map-1'!$H$7:$J$97,1+B244,C244)</f>
        <v>0</v>
      </c>
    </row>
    <row r="245" spans="1:4" x14ac:dyDescent="0.75">
      <c r="A245" s="115">
        <v>243</v>
      </c>
      <c r="B245" s="115">
        <f t="shared" si="6"/>
        <v>80</v>
      </c>
      <c r="C245" s="115">
        <f t="shared" si="7"/>
        <v>3</v>
      </c>
      <c r="D245" s="113" cm="1">
        <f t="array" ref="D245">INDEX('Radio-Map-1'!$H$7:$J$97,1+B245,C245)</f>
        <v>0</v>
      </c>
    </row>
    <row r="246" spans="1:4" x14ac:dyDescent="0.75">
      <c r="A246" s="115">
        <v>244</v>
      </c>
      <c r="B246" s="115">
        <f t="shared" si="6"/>
        <v>81</v>
      </c>
      <c r="C246" s="115">
        <f t="shared" si="7"/>
        <v>1</v>
      </c>
      <c r="D246" s="113" cm="1">
        <f t="array" ref="D246">INDEX('Radio-Map-1'!$H$7:$J$97,1+B246,C246)</f>
        <v>0</v>
      </c>
    </row>
    <row r="247" spans="1:4" x14ac:dyDescent="0.75">
      <c r="A247" s="115">
        <v>245</v>
      </c>
      <c r="B247" s="115">
        <f t="shared" si="6"/>
        <v>81</v>
      </c>
      <c r="C247" s="115">
        <f t="shared" si="7"/>
        <v>2</v>
      </c>
      <c r="D247" s="113" cm="1">
        <f t="array" ref="D247">INDEX('Radio-Map-1'!$H$7:$J$97,1+B247,C247)</f>
        <v>0</v>
      </c>
    </row>
    <row r="248" spans="1:4" x14ac:dyDescent="0.75">
      <c r="A248" s="115">
        <v>246</v>
      </c>
      <c r="B248" s="115">
        <f t="shared" si="6"/>
        <v>81</v>
      </c>
      <c r="C248" s="115">
        <f t="shared" si="7"/>
        <v>3</v>
      </c>
      <c r="D248" s="113" cm="1">
        <f t="array" ref="D248">INDEX('Radio-Map-1'!$H$7:$J$97,1+B248,C248)</f>
        <v>0</v>
      </c>
    </row>
    <row r="249" spans="1:4" x14ac:dyDescent="0.75">
      <c r="A249" s="115">
        <v>247</v>
      </c>
      <c r="B249" s="115">
        <f t="shared" si="6"/>
        <v>82</v>
      </c>
      <c r="C249" s="115">
        <f t="shared" si="7"/>
        <v>1</v>
      </c>
      <c r="D249" s="113" cm="1">
        <f t="array" ref="D249">INDEX('Radio-Map-1'!$H$7:$J$97,1+B249,C249)</f>
        <v>0</v>
      </c>
    </row>
    <row r="250" spans="1:4" x14ac:dyDescent="0.75">
      <c r="A250" s="115">
        <v>248</v>
      </c>
      <c r="B250" s="115">
        <f t="shared" si="6"/>
        <v>82</v>
      </c>
      <c r="C250" s="115">
        <f t="shared" si="7"/>
        <v>2</v>
      </c>
      <c r="D250" s="113" cm="1">
        <f t="array" ref="D250">INDEX('Radio-Map-1'!$H$7:$J$97,1+B250,C250)</f>
        <v>0</v>
      </c>
    </row>
    <row r="251" spans="1:4" x14ac:dyDescent="0.75">
      <c r="A251" s="115">
        <v>249</v>
      </c>
      <c r="B251" s="115">
        <f t="shared" si="6"/>
        <v>82</v>
      </c>
      <c r="C251" s="115">
        <f t="shared" si="7"/>
        <v>3</v>
      </c>
      <c r="D251" s="113" cm="1">
        <f t="array" ref="D251">INDEX('Radio-Map-1'!$H$7:$J$97,1+B251,C251)</f>
        <v>0</v>
      </c>
    </row>
    <row r="252" spans="1:4" x14ac:dyDescent="0.75">
      <c r="A252" s="115">
        <v>250</v>
      </c>
      <c r="B252" s="115">
        <f t="shared" si="6"/>
        <v>83</v>
      </c>
      <c r="C252" s="115">
        <f t="shared" si="7"/>
        <v>1</v>
      </c>
      <c r="D252" s="113" cm="1">
        <f t="array" ref="D252">INDEX('Radio-Map-1'!$H$7:$J$97,1+B252,C252)</f>
        <v>0</v>
      </c>
    </row>
    <row r="253" spans="1:4" x14ac:dyDescent="0.75">
      <c r="A253" s="115">
        <v>251</v>
      </c>
      <c r="B253" s="115">
        <f t="shared" si="6"/>
        <v>83</v>
      </c>
      <c r="C253" s="115">
        <f t="shared" si="7"/>
        <v>2</v>
      </c>
      <c r="D253" s="113" cm="1">
        <f t="array" ref="D253">INDEX('Radio-Map-1'!$H$7:$J$97,1+B253,C253)</f>
        <v>0</v>
      </c>
    </row>
    <row r="254" spans="1:4" x14ac:dyDescent="0.75">
      <c r="A254" s="115">
        <v>252</v>
      </c>
      <c r="B254" s="115">
        <f t="shared" si="6"/>
        <v>83</v>
      </c>
      <c r="C254" s="115">
        <f t="shared" si="7"/>
        <v>3</v>
      </c>
      <c r="D254" s="113" cm="1">
        <f t="array" ref="D254">INDEX('Radio-Map-1'!$H$7:$J$97,1+B254,C254)</f>
        <v>0</v>
      </c>
    </row>
    <row r="255" spans="1:4" x14ac:dyDescent="0.75">
      <c r="A255" s="115">
        <v>253</v>
      </c>
      <c r="B255" s="115">
        <f t="shared" si="6"/>
        <v>84</v>
      </c>
      <c r="C255" s="115">
        <f t="shared" si="7"/>
        <v>1</v>
      </c>
      <c r="D255" s="113" cm="1">
        <f t="array" ref="D255">INDEX('Radio-Map-1'!$H$7:$J$97,1+B255,C255)</f>
        <v>0</v>
      </c>
    </row>
    <row r="256" spans="1:4" x14ac:dyDescent="0.75">
      <c r="A256" s="115">
        <v>254</v>
      </c>
      <c r="B256" s="115">
        <f t="shared" si="6"/>
        <v>84</v>
      </c>
      <c r="C256" s="115">
        <f t="shared" si="7"/>
        <v>2</v>
      </c>
      <c r="D256" s="113" cm="1">
        <f t="array" ref="D256">INDEX('Radio-Map-1'!$H$7:$J$97,1+B256,C256)</f>
        <v>0</v>
      </c>
    </row>
    <row r="257" spans="1:4" x14ac:dyDescent="0.75">
      <c r="A257" s="115">
        <v>255</v>
      </c>
      <c r="B257" s="115">
        <f t="shared" si="6"/>
        <v>84</v>
      </c>
      <c r="C257" s="115">
        <f t="shared" si="7"/>
        <v>3</v>
      </c>
      <c r="D257" s="113" cm="1">
        <f t="array" ref="D257">INDEX('Radio-Map-1'!$H$7:$J$97,1+B257,C257)</f>
        <v>0</v>
      </c>
    </row>
    <row r="258" spans="1:4" x14ac:dyDescent="0.75">
      <c r="A258" s="115">
        <v>256</v>
      </c>
      <c r="B258" s="115">
        <f t="shared" si="6"/>
        <v>85</v>
      </c>
      <c r="C258" s="115">
        <f t="shared" si="7"/>
        <v>1</v>
      </c>
      <c r="D258" s="113" cm="1">
        <f t="array" ref="D258">INDEX('Radio-Map-1'!$H$7:$J$97,1+B258,C258)</f>
        <v>0</v>
      </c>
    </row>
    <row r="259" spans="1:4" x14ac:dyDescent="0.75">
      <c r="A259" s="115">
        <v>257</v>
      </c>
      <c r="B259" s="115">
        <f t="shared" si="6"/>
        <v>85</v>
      </c>
      <c r="C259" s="115">
        <f t="shared" si="7"/>
        <v>2</v>
      </c>
      <c r="D259" s="113" cm="1">
        <f t="array" ref="D259">INDEX('Radio-Map-1'!$H$7:$J$97,1+B259,C259)</f>
        <v>0</v>
      </c>
    </row>
    <row r="260" spans="1:4" x14ac:dyDescent="0.75">
      <c r="A260" s="115">
        <v>258</v>
      </c>
      <c r="B260" s="115">
        <f t="shared" ref="B260:B323" si="8">IF(MOD(A260,3)=0,A260/3-1,INT(A260/3))</f>
        <v>85</v>
      </c>
      <c r="C260" s="115">
        <f t="shared" ref="C260:C323" si="9">IF(MOD(A260,3)=0,3,MOD(A260,3))</f>
        <v>3</v>
      </c>
      <c r="D260" s="113" cm="1">
        <f t="array" ref="D260">INDEX('Radio-Map-1'!$H$7:$J$97,1+B260,C260)</f>
        <v>0</v>
      </c>
    </row>
    <row r="261" spans="1:4" x14ac:dyDescent="0.75">
      <c r="A261" s="115">
        <v>259</v>
      </c>
      <c r="B261" s="115">
        <f t="shared" si="8"/>
        <v>86</v>
      </c>
      <c r="C261" s="115">
        <f t="shared" si="9"/>
        <v>1</v>
      </c>
      <c r="D261" s="113" cm="1">
        <f t="array" ref="D261">INDEX('Radio-Map-1'!$H$7:$J$97,1+B261,C261)</f>
        <v>0</v>
      </c>
    </row>
    <row r="262" spans="1:4" x14ac:dyDescent="0.75">
      <c r="A262" s="115">
        <v>260</v>
      </c>
      <c r="B262" s="115">
        <f t="shared" si="8"/>
        <v>86</v>
      </c>
      <c r="C262" s="115">
        <f t="shared" si="9"/>
        <v>2</v>
      </c>
      <c r="D262" s="113" cm="1">
        <f t="array" ref="D262">INDEX('Radio-Map-1'!$H$7:$J$97,1+B262,C262)</f>
        <v>0</v>
      </c>
    </row>
    <row r="263" spans="1:4" x14ac:dyDescent="0.75">
      <c r="A263" s="115">
        <v>261</v>
      </c>
      <c r="B263" s="115">
        <f t="shared" si="8"/>
        <v>86</v>
      </c>
      <c r="C263" s="115">
        <f t="shared" si="9"/>
        <v>3</v>
      </c>
      <c r="D263" s="113" cm="1">
        <f t="array" ref="D263">INDEX('Radio-Map-1'!$H$7:$J$97,1+B263,C263)</f>
        <v>0</v>
      </c>
    </row>
    <row r="264" spans="1:4" x14ac:dyDescent="0.75">
      <c r="A264" s="115">
        <v>262</v>
      </c>
      <c r="B264" s="115">
        <f t="shared" si="8"/>
        <v>87</v>
      </c>
      <c r="C264" s="115">
        <f t="shared" si="9"/>
        <v>1</v>
      </c>
      <c r="D264" s="113" cm="1">
        <f t="array" ref="D264">INDEX('Radio-Map-1'!$H$7:$J$97,1+B264,C264)</f>
        <v>0</v>
      </c>
    </row>
    <row r="265" spans="1:4" x14ac:dyDescent="0.75">
      <c r="A265" s="115">
        <v>263</v>
      </c>
      <c r="B265" s="115">
        <f t="shared" si="8"/>
        <v>87</v>
      </c>
      <c r="C265" s="115">
        <f t="shared" si="9"/>
        <v>2</v>
      </c>
      <c r="D265" s="113" cm="1">
        <f t="array" ref="D265">INDEX('Radio-Map-1'!$H$7:$J$97,1+B265,C265)</f>
        <v>0</v>
      </c>
    </row>
    <row r="266" spans="1:4" x14ac:dyDescent="0.75">
      <c r="A266" s="115">
        <v>264</v>
      </c>
      <c r="B266" s="115">
        <f t="shared" si="8"/>
        <v>87</v>
      </c>
      <c r="C266" s="115">
        <f t="shared" si="9"/>
        <v>3</v>
      </c>
      <c r="D266" s="113" cm="1">
        <f t="array" ref="D266">INDEX('Radio-Map-1'!$H$7:$J$97,1+B266,C266)</f>
        <v>0</v>
      </c>
    </row>
    <row r="267" spans="1:4" x14ac:dyDescent="0.75">
      <c r="A267" s="115">
        <v>265</v>
      </c>
      <c r="B267" s="115">
        <f t="shared" si="8"/>
        <v>88</v>
      </c>
      <c r="C267" s="115">
        <f t="shared" si="9"/>
        <v>1</v>
      </c>
      <c r="D267" s="113" cm="1">
        <f t="array" ref="D267">INDEX('Radio-Map-1'!$H$7:$J$97,1+B267,C267)</f>
        <v>0</v>
      </c>
    </row>
    <row r="268" spans="1:4" x14ac:dyDescent="0.75">
      <c r="A268" s="115">
        <v>266</v>
      </c>
      <c r="B268" s="115">
        <f t="shared" si="8"/>
        <v>88</v>
      </c>
      <c r="C268" s="115">
        <f t="shared" si="9"/>
        <v>2</v>
      </c>
      <c r="D268" s="113" cm="1">
        <f t="array" ref="D268">INDEX('Radio-Map-1'!$H$7:$J$97,1+B268,C268)</f>
        <v>0</v>
      </c>
    </row>
    <row r="269" spans="1:4" x14ac:dyDescent="0.75">
      <c r="A269" s="115">
        <v>267</v>
      </c>
      <c r="B269" s="115">
        <f t="shared" si="8"/>
        <v>88</v>
      </c>
      <c r="C269" s="115">
        <f t="shared" si="9"/>
        <v>3</v>
      </c>
      <c r="D269" s="113" cm="1">
        <f t="array" ref="D269">INDEX('Radio-Map-1'!$H$7:$J$97,1+B269,C269)</f>
        <v>0</v>
      </c>
    </row>
    <row r="270" spans="1:4" x14ac:dyDescent="0.75">
      <c r="A270" s="115">
        <v>268</v>
      </c>
      <c r="B270" s="115">
        <f t="shared" si="8"/>
        <v>89</v>
      </c>
      <c r="C270" s="115">
        <f t="shared" si="9"/>
        <v>1</v>
      </c>
      <c r="D270" s="113" cm="1">
        <f t="array" ref="D270">INDEX('Radio-Map-1'!$H$7:$J$97,1+B270,C270)</f>
        <v>0</v>
      </c>
    </row>
    <row r="271" spans="1:4" x14ac:dyDescent="0.75">
      <c r="A271" s="115">
        <v>269</v>
      </c>
      <c r="B271" s="115">
        <f t="shared" si="8"/>
        <v>89</v>
      </c>
      <c r="C271" s="115">
        <f t="shared" si="9"/>
        <v>2</v>
      </c>
      <c r="D271" s="113" cm="1">
        <f t="array" ref="D271">INDEX('Radio-Map-1'!$H$7:$J$97,1+B271,C271)</f>
        <v>0</v>
      </c>
    </row>
    <row r="272" spans="1:4" x14ac:dyDescent="0.75">
      <c r="A272" s="115">
        <v>270</v>
      </c>
      <c r="B272" s="115">
        <f t="shared" si="8"/>
        <v>89</v>
      </c>
      <c r="C272" s="115">
        <f t="shared" si="9"/>
        <v>3</v>
      </c>
      <c r="D272" s="113" cm="1">
        <f t="array" ref="D272">INDEX('Radio-Map-1'!$H$7:$J$97,1+B272,C272)</f>
        <v>0</v>
      </c>
    </row>
    <row r="273" spans="1:4" x14ac:dyDescent="0.75">
      <c r="A273" s="115">
        <v>271</v>
      </c>
      <c r="B273" s="115">
        <f t="shared" si="8"/>
        <v>90</v>
      </c>
      <c r="C273" s="115">
        <f t="shared" si="9"/>
        <v>1</v>
      </c>
      <c r="D273" s="113" cm="1">
        <f t="array" ref="D273">INDEX('Radio-Map-1'!$H$7:$J$97,1+B273,C273)</f>
        <v>0</v>
      </c>
    </row>
    <row r="274" spans="1:4" x14ac:dyDescent="0.75">
      <c r="A274" s="115">
        <v>272</v>
      </c>
      <c r="B274" s="115">
        <f t="shared" si="8"/>
        <v>90</v>
      </c>
      <c r="C274" s="115">
        <f t="shared" si="9"/>
        <v>2</v>
      </c>
      <c r="D274" s="113" cm="1">
        <f t="array" ref="D274">INDEX('Radio-Map-1'!$H$7:$J$97,1+B274,C274)</f>
        <v>0</v>
      </c>
    </row>
    <row r="275" spans="1:4" x14ac:dyDescent="0.75">
      <c r="A275" s="115">
        <v>273</v>
      </c>
      <c r="B275" s="115">
        <f t="shared" si="8"/>
        <v>90</v>
      </c>
      <c r="C275" s="115">
        <f t="shared" si="9"/>
        <v>3</v>
      </c>
      <c r="D275" s="113" cm="1">
        <f t="array" ref="D275">INDEX('Radio-Map-1'!$H$7:$J$97,1+B275,C275)</f>
        <v>0</v>
      </c>
    </row>
    <row r="276" spans="1:4" x14ac:dyDescent="0.75">
      <c r="A276" s="115">
        <v>274</v>
      </c>
      <c r="B276" s="115">
        <f t="shared" si="8"/>
        <v>91</v>
      </c>
      <c r="C276" s="115">
        <f t="shared" si="9"/>
        <v>1</v>
      </c>
      <c r="D276" s="113" t="e" cm="1">
        <f t="array" ref="D276">INDEX('Radio-Map-1'!$H$7:$J$97,1+B276,C276)</f>
        <v>#REF!</v>
      </c>
    </row>
    <row r="277" spans="1:4" x14ac:dyDescent="0.75">
      <c r="A277" s="115">
        <v>275</v>
      </c>
      <c r="B277" s="115">
        <f t="shared" si="8"/>
        <v>91</v>
      </c>
      <c r="C277" s="115">
        <f t="shared" si="9"/>
        <v>2</v>
      </c>
      <c r="D277" s="113" t="e" cm="1">
        <f t="array" ref="D277">INDEX('Radio-Map-1'!$H$7:$J$97,1+B277,C277)</f>
        <v>#REF!</v>
      </c>
    </row>
    <row r="278" spans="1:4" x14ac:dyDescent="0.75">
      <c r="A278" s="115">
        <v>276</v>
      </c>
      <c r="B278" s="115">
        <f t="shared" si="8"/>
        <v>91</v>
      </c>
      <c r="C278" s="115">
        <f t="shared" si="9"/>
        <v>3</v>
      </c>
      <c r="D278" s="113" t="e" cm="1">
        <f t="array" ref="D278">INDEX('Radio-Map-1'!$H$7:$J$97,1+B278,C278)</f>
        <v>#REF!</v>
      </c>
    </row>
    <row r="279" spans="1:4" x14ac:dyDescent="0.75">
      <c r="A279" s="115">
        <v>277</v>
      </c>
      <c r="B279" s="115">
        <f t="shared" si="8"/>
        <v>92</v>
      </c>
      <c r="C279" s="115">
        <f t="shared" si="9"/>
        <v>1</v>
      </c>
      <c r="D279" s="113" t="e" cm="1">
        <f t="array" ref="D279">INDEX('Radio-Map-1'!$H$7:$J$97,1+B279,C279)</f>
        <v>#REF!</v>
      </c>
    </row>
    <row r="280" spans="1:4" x14ac:dyDescent="0.75">
      <c r="A280" s="115">
        <v>278</v>
      </c>
      <c r="B280" s="115">
        <f t="shared" si="8"/>
        <v>92</v>
      </c>
      <c r="C280" s="115">
        <f t="shared" si="9"/>
        <v>2</v>
      </c>
      <c r="D280" s="113" t="e" cm="1">
        <f t="array" ref="D280">INDEX('Radio-Map-1'!$H$7:$J$97,1+B280,C280)</f>
        <v>#REF!</v>
      </c>
    </row>
    <row r="281" spans="1:4" x14ac:dyDescent="0.75">
      <c r="A281" s="115">
        <v>279</v>
      </c>
      <c r="B281" s="115">
        <f t="shared" si="8"/>
        <v>92</v>
      </c>
      <c r="C281" s="115">
        <f t="shared" si="9"/>
        <v>3</v>
      </c>
      <c r="D281" s="113" t="e" cm="1">
        <f t="array" ref="D281">INDEX('Radio-Map-1'!$H$7:$J$97,1+B281,C281)</f>
        <v>#REF!</v>
      </c>
    </row>
    <row r="282" spans="1:4" x14ac:dyDescent="0.75">
      <c r="A282" s="115">
        <v>280</v>
      </c>
      <c r="B282" s="115">
        <f t="shared" si="8"/>
        <v>93</v>
      </c>
      <c r="C282" s="115">
        <f t="shared" si="9"/>
        <v>1</v>
      </c>
      <c r="D282" s="113" t="e" cm="1">
        <f t="array" ref="D282">INDEX('Radio-Map-1'!$H$7:$J$97,1+B282,C282)</f>
        <v>#REF!</v>
      </c>
    </row>
    <row r="283" spans="1:4" x14ac:dyDescent="0.75">
      <c r="A283" s="115">
        <v>281</v>
      </c>
      <c r="B283" s="115">
        <f t="shared" si="8"/>
        <v>93</v>
      </c>
      <c r="C283" s="115">
        <f t="shared" si="9"/>
        <v>2</v>
      </c>
      <c r="D283" s="113" t="e" cm="1">
        <f t="array" ref="D283">INDEX('Radio-Map-1'!$H$7:$J$97,1+B283,C283)</f>
        <v>#REF!</v>
      </c>
    </row>
    <row r="284" spans="1:4" x14ac:dyDescent="0.75">
      <c r="A284" s="115">
        <v>282</v>
      </c>
      <c r="B284" s="115">
        <f t="shared" si="8"/>
        <v>93</v>
      </c>
      <c r="C284" s="115">
        <f t="shared" si="9"/>
        <v>3</v>
      </c>
      <c r="D284" s="113" t="e" cm="1">
        <f t="array" ref="D284">INDEX('Radio-Map-1'!$H$7:$J$97,1+B284,C284)</f>
        <v>#REF!</v>
      </c>
    </row>
    <row r="285" spans="1:4" x14ac:dyDescent="0.75">
      <c r="A285" s="115">
        <v>283</v>
      </c>
      <c r="B285" s="115">
        <f t="shared" si="8"/>
        <v>94</v>
      </c>
      <c r="C285" s="115">
        <f t="shared" si="9"/>
        <v>1</v>
      </c>
      <c r="D285" s="113" t="e" cm="1">
        <f t="array" ref="D285">INDEX('Radio-Map-1'!$H$7:$J$97,1+B285,C285)</f>
        <v>#REF!</v>
      </c>
    </row>
    <row r="286" spans="1:4" x14ac:dyDescent="0.75">
      <c r="A286" s="115">
        <v>284</v>
      </c>
      <c r="B286" s="115">
        <f t="shared" si="8"/>
        <v>94</v>
      </c>
      <c r="C286" s="115">
        <f t="shared" si="9"/>
        <v>2</v>
      </c>
      <c r="D286" s="113" t="e" cm="1">
        <f t="array" ref="D286">INDEX('Radio-Map-1'!$H$7:$J$97,1+B286,C286)</f>
        <v>#REF!</v>
      </c>
    </row>
    <row r="287" spans="1:4" x14ac:dyDescent="0.75">
      <c r="A287" s="115">
        <v>285</v>
      </c>
      <c r="B287" s="115">
        <f t="shared" si="8"/>
        <v>94</v>
      </c>
      <c r="C287" s="115">
        <f t="shared" si="9"/>
        <v>3</v>
      </c>
      <c r="D287" s="113" t="e" cm="1">
        <f t="array" ref="D287">INDEX('Radio-Map-1'!$H$7:$J$97,1+B287,C287)</f>
        <v>#REF!</v>
      </c>
    </row>
    <row r="288" spans="1:4" x14ac:dyDescent="0.75">
      <c r="A288" s="115">
        <v>286</v>
      </c>
      <c r="B288" s="115">
        <f t="shared" si="8"/>
        <v>95</v>
      </c>
      <c r="C288" s="115">
        <f t="shared" si="9"/>
        <v>1</v>
      </c>
      <c r="D288" s="113" t="e" cm="1">
        <f t="array" ref="D288">INDEX('Radio-Map-1'!$H$7:$J$97,1+B288,C288)</f>
        <v>#REF!</v>
      </c>
    </row>
    <row r="289" spans="1:4" x14ac:dyDescent="0.75">
      <c r="A289" s="115">
        <v>287</v>
      </c>
      <c r="B289" s="115">
        <f t="shared" si="8"/>
        <v>95</v>
      </c>
      <c r="C289" s="115">
        <f t="shared" si="9"/>
        <v>2</v>
      </c>
      <c r="D289" s="113" t="e" cm="1">
        <f t="array" ref="D289">INDEX('Radio-Map-1'!$H$7:$J$97,1+B289,C289)</f>
        <v>#REF!</v>
      </c>
    </row>
    <row r="290" spans="1:4" x14ac:dyDescent="0.75">
      <c r="A290" s="115">
        <v>288</v>
      </c>
      <c r="B290" s="115">
        <f t="shared" si="8"/>
        <v>95</v>
      </c>
      <c r="C290" s="115">
        <f t="shared" si="9"/>
        <v>3</v>
      </c>
      <c r="D290" s="113" t="e" cm="1">
        <f t="array" ref="D290">INDEX('Radio-Map-1'!$H$7:$J$97,1+B290,C290)</f>
        <v>#REF!</v>
      </c>
    </row>
    <row r="291" spans="1:4" x14ac:dyDescent="0.75">
      <c r="A291" s="115">
        <v>289</v>
      </c>
      <c r="B291" s="115">
        <f t="shared" si="8"/>
        <v>96</v>
      </c>
      <c r="C291" s="115">
        <f t="shared" si="9"/>
        <v>1</v>
      </c>
      <c r="D291" s="113" t="e" cm="1">
        <f t="array" ref="D291">INDEX('Radio-Map-1'!$H$7:$J$97,1+B291,C291)</f>
        <v>#REF!</v>
      </c>
    </row>
    <row r="292" spans="1:4" x14ac:dyDescent="0.75">
      <c r="A292" s="115">
        <v>290</v>
      </c>
      <c r="B292" s="115">
        <f t="shared" si="8"/>
        <v>96</v>
      </c>
      <c r="C292" s="115">
        <f t="shared" si="9"/>
        <v>2</v>
      </c>
      <c r="D292" s="113" t="e" cm="1">
        <f t="array" ref="D292">INDEX('Radio-Map-1'!$H$7:$J$97,1+B292,C292)</f>
        <v>#REF!</v>
      </c>
    </row>
    <row r="293" spans="1:4" x14ac:dyDescent="0.75">
      <c r="A293" s="115">
        <v>291</v>
      </c>
      <c r="B293" s="115">
        <f t="shared" si="8"/>
        <v>96</v>
      </c>
      <c r="C293" s="115">
        <f t="shared" si="9"/>
        <v>3</v>
      </c>
      <c r="D293" s="113" t="e" cm="1">
        <f t="array" ref="D293">INDEX('Radio-Map-1'!$H$7:$J$97,1+B293,C293)</f>
        <v>#REF!</v>
      </c>
    </row>
    <row r="294" spans="1:4" x14ac:dyDescent="0.75">
      <c r="A294" s="115">
        <v>292</v>
      </c>
      <c r="B294" s="115">
        <f t="shared" si="8"/>
        <v>97</v>
      </c>
      <c r="C294" s="115">
        <f t="shared" si="9"/>
        <v>1</v>
      </c>
      <c r="D294" s="113" t="e" cm="1">
        <f t="array" ref="D294">INDEX('Radio-Map-1'!$H$7:$J$97,1+B294,C294)</f>
        <v>#REF!</v>
      </c>
    </row>
    <row r="295" spans="1:4" x14ac:dyDescent="0.75">
      <c r="A295" s="115">
        <v>293</v>
      </c>
      <c r="B295" s="115">
        <f t="shared" si="8"/>
        <v>97</v>
      </c>
      <c r="C295" s="115">
        <f t="shared" si="9"/>
        <v>2</v>
      </c>
      <c r="D295" s="113" t="e" cm="1">
        <f t="array" ref="D295">INDEX('Radio-Map-1'!$H$7:$J$97,1+B295,C295)</f>
        <v>#REF!</v>
      </c>
    </row>
    <row r="296" spans="1:4" x14ac:dyDescent="0.75">
      <c r="A296" s="115">
        <v>294</v>
      </c>
      <c r="B296" s="115">
        <f t="shared" si="8"/>
        <v>97</v>
      </c>
      <c r="C296" s="115">
        <f t="shared" si="9"/>
        <v>3</v>
      </c>
      <c r="D296" s="113" t="e" cm="1">
        <f t="array" ref="D296">INDEX('Radio-Map-1'!$H$7:$J$97,1+B296,C296)</f>
        <v>#REF!</v>
      </c>
    </row>
    <row r="297" spans="1:4" x14ac:dyDescent="0.75">
      <c r="A297" s="115">
        <v>295</v>
      </c>
      <c r="B297" s="115">
        <f t="shared" si="8"/>
        <v>98</v>
      </c>
      <c r="C297" s="115">
        <f t="shared" si="9"/>
        <v>1</v>
      </c>
      <c r="D297" s="113" t="e" cm="1">
        <f t="array" ref="D297">INDEX('Radio-Map-1'!$H$7:$J$97,1+B297,C297)</f>
        <v>#REF!</v>
      </c>
    </row>
    <row r="298" spans="1:4" x14ac:dyDescent="0.75">
      <c r="A298" s="115">
        <v>296</v>
      </c>
      <c r="B298" s="115">
        <f t="shared" si="8"/>
        <v>98</v>
      </c>
      <c r="C298" s="115">
        <f t="shared" si="9"/>
        <v>2</v>
      </c>
      <c r="D298" s="113" t="e" cm="1">
        <f t="array" ref="D298">INDEX('Radio-Map-1'!$H$7:$J$97,1+B298,C298)</f>
        <v>#REF!</v>
      </c>
    </row>
    <row r="299" spans="1:4" x14ac:dyDescent="0.75">
      <c r="A299" s="115">
        <v>297</v>
      </c>
      <c r="B299" s="115">
        <f t="shared" si="8"/>
        <v>98</v>
      </c>
      <c r="C299" s="115">
        <f t="shared" si="9"/>
        <v>3</v>
      </c>
      <c r="D299" s="113" t="e" cm="1">
        <f t="array" ref="D299">INDEX('Radio-Map-1'!$H$7:$J$97,1+B299,C299)</f>
        <v>#REF!</v>
      </c>
    </row>
    <row r="300" spans="1:4" x14ac:dyDescent="0.75">
      <c r="A300" s="115">
        <v>298</v>
      </c>
      <c r="B300" s="115">
        <f t="shared" si="8"/>
        <v>99</v>
      </c>
      <c r="C300" s="115">
        <f t="shared" si="9"/>
        <v>1</v>
      </c>
      <c r="D300" s="113" t="e" cm="1">
        <f t="array" ref="D300">INDEX('Radio-Map-1'!$H$7:$J$97,1+B300,C300)</f>
        <v>#REF!</v>
      </c>
    </row>
    <row r="301" spans="1:4" x14ac:dyDescent="0.75">
      <c r="A301" s="115">
        <v>299</v>
      </c>
      <c r="B301" s="115">
        <f t="shared" si="8"/>
        <v>99</v>
      </c>
      <c r="C301" s="115">
        <f t="shared" si="9"/>
        <v>2</v>
      </c>
      <c r="D301" s="113" t="e" cm="1">
        <f t="array" ref="D301">INDEX('Radio-Map-1'!$H$7:$J$97,1+B301,C301)</f>
        <v>#REF!</v>
      </c>
    </row>
    <row r="302" spans="1:4" x14ac:dyDescent="0.75">
      <c r="A302" s="115">
        <v>300</v>
      </c>
      <c r="B302" s="115">
        <f t="shared" si="8"/>
        <v>99</v>
      </c>
      <c r="C302" s="115">
        <f t="shared" si="9"/>
        <v>3</v>
      </c>
      <c r="D302" s="113" t="e" cm="1">
        <f t="array" ref="D302">INDEX('Radio-Map-1'!$H$7:$J$97,1+B302,C302)</f>
        <v>#REF!</v>
      </c>
    </row>
    <row r="303" spans="1:4" x14ac:dyDescent="0.75">
      <c r="A303" s="115">
        <v>301</v>
      </c>
      <c r="B303" s="115">
        <f t="shared" si="8"/>
        <v>100</v>
      </c>
      <c r="C303" s="115">
        <f t="shared" si="9"/>
        <v>1</v>
      </c>
      <c r="D303" s="113" t="e" cm="1">
        <f t="array" ref="D303">INDEX('Radio-Map-1'!$H$7:$J$97,1+B303,C303)</f>
        <v>#REF!</v>
      </c>
    </row>
    <row r="304" spans="1:4" x14ac:dyDescent="0.75">
      <c r="A304" s="115">
        <v>302</v>
      </c>
      <c r="B304" s="115">
        <f t="shared" si="8"/>
        <v>100</v>
      </c>
      <c r="C304" s="115">
        <f t="shared" si="9"/>
        <v>2</v>
      </c>
      <c r="D304" s="113" t="e" cm="1">
        <f t="array" ref="D304">INDEX('Radio-Map-1'!$H$7:$J$97,1+B304,C304)</f>
        <v>#REF!</v>
      </c>
    </row>
    <row r="305" spans="1:4" x14ac:dyDescent="0.75">
      <c r="A305" s="115">
        <v>303</v>
      </c>
      <c r="B305" s="115">
        <f t="shared" si="8"/>
        <v>100</v>
      </c>
      <c r="C305" s="115">
        <f t="shared" si="9"/>
        <v>3</v>
      </c>
      <c r="D305" s="113" t="e" cm="1">
        <f t="array" ref="D305">INDEX('Radio-Map-1'!$H$7:$J$97,1+B305,C305)</f>
        <v>#REF!</v>
      </c>
    </row>
    <row r="306" spans="1:4" x14ac:dyDescent="0.75">
      <c r="A306" s="115">
        <v>304</v>
      </c>
      <c r="B306" s="115">
        <f t="shared" si="8"/>
        <v>101</v>
      </c>
      <c r="C306" s="115">
        <f t="shared" si="9"/>
        <v>1</v>
      </c>
      <c r="D306" s="113" t="e" cm="1">
        <f t="array" ref="D306">INDEX('Radio-Map-1'!$H$7:$J$97,1+B306,C306)</f>
        <v>#REF!</v>
      </c>
    </row>
    <row r="307" spans="1:4" x14ac:dyDescent="0.75">
      <c r="A307" s="115">
        <v>305</v>
      </c>
      <c r="B307" s="115">
        <f t="shared" si="8"/>
        <v>101</v>
      </c>
      <c r="C307" s="115">
        <f t="shared" si="9"/>
        <v>2</v>
      </c>
      <c r="D307" s="113" t="e" cm="1">
        <f t="array" ref="D307">INDEX('Radio-Map-1'!$H$7:$J$97,1+B307,C307)</f>
        <v>#REF!</v>
      </c>
    </row>
    <row r="308" spans="1:4" x14ac:dyDescent="0.75">
      <c r="A308" s="115">
        <v>306</v>
      </c>
      <c r="B308" s="115">
        <f t="shared" si="8"/>
        <v>101</v>
      </c>
      <c r="C308" s="115">
        <f t="shared" si="9"/>
        <v>3</v>
      </c>
      <c r="D308" s="113" t="e" cm="1">
        <f t="array" ref="D308">INDEX('Radio-Map-1'!$H$7:$J$97,1+B308,C308)</f>
        <v>#REF!</v>
      </c>
    </row>
    <row r="309" spans="1:4" x14ac:dyDescent="0.75">
      <c r="A309" s="115">
        <v>307</v>
      </c>
      <c r="B309" s="115">
        <f t="shared" si="8"/>
        <v>102</v>
      </c>
      <c r="C309" s="115">
        <f t="shared" si="9"/>
        <v>1</v>
      </c>
      <c r="D309" s="113" t="e" cm="1">
        <f t="array" ref="D309">INDEX('Radio-Map-1'!$H$7:$J$97,1+B309,C309)</f>
        <v>#REF!</v>
      </c>
    </row>
    <row r="310" spans="1:4" x14ac:dyDescent="0.75">
      <c r="A310" s="115">
        <v>308</v>
      </c>
      <c r="B310" s="115">
        <f t="shared" si="8"/>
        <v>102</v>
      </c>
      <c r="C310" s="115">
        <f t="shared" si="9"/>
        <v>2</v>
      </c>
      <c r="D310" s="113" t="e" cm="1">
        <f t="array" ref="D310">INDEX('Radio-Map-1'!$H$7:$J$97,1+B310,C310)</f>
        <v>#REF!</v>
      </c>
    </row>
    <row r="311" spans="1:4" x14ac:dyDescent="0.75">
      <c r="A311" s="115">
        <v>309</v>
      </c>
      <c r="B311" s="115">
        <f t="shared" si="8"/>
        <v>102</v>
      </c>
      <c r="C311" s="115">
        <f t="shared" si="9"/>
        <v>3</v>
      </c>
      <c r="D311" s="113" t="e" cm="1">
        <f t="array" ref="D311">INDEX('Radio-Map-1'!$H$7:$J$97,1+B311,C311)</f>
        <v>#REF!</v>
      </c>
    </row>
    <row r="312" spans="1:4" x14ac:dyDescent="0.75">
      <c r="A312" s="115">
        <v>310</v>
      </c>
      <c r="B312" s="115">
        <f t="shared" si="8"/>
        <v>103</v>
      </c>
      <c r="C312" s="115">
        <f t="shared" si="9"/>
        <v>1</v>
      </c>
      <c r="D312" s="113" t="e" cm="1">
        <f t="array" ref="D312">INDEX('Radio-Map-1'!$H$7:$J$97,1+B312,C312)</f>
        <v>#REF!</v>
      </c>
    </row>
    <row r="313" spans="1:4" x14ac:dyDescent="0.75">
      <c r="A313" s="115">
        <v>311</v>
      </c>
      <c r="B313" s="115">
        <f t="shared" si="8"/>
        <v>103</v>
      </c>
      <c r="C313" s="115">
        <f t="shared" si="9"/>
        <v>2</v>
      </c>
      <c r="D313" s="113" t="e" cm="1">
        <f t="array" ref="D313">INDEX('Radio-Map-1'!$H$7:$J$97,1+B313,C313)</f>
        <v>#REF!</v>
      </c>
    </row>
    <row r="314" spans="1:4" x14ac:dyDescent="0.75">
      <c r="A314" s="115">
        <v>312</v>
      </c>
      <c r="B314" s="115">
        <f t="shared" si="8"/>
        <v>103</v>
      </c>
      <c r="C314" s="115">
        <f t="shared" si="9"/>
        <v>3</v>
      </c>
      <c r="D314" s="113" t="e" cm="1">
        <f t="array" ref="D314">INDEX('Radio-Map-1'!$H$7:$J$97,1+B314,C314)</f>
        <v>#REF!</v>
      </c>
    </row>
    <row r="315" spans="1:4" x14ac:dyDescent="0.75">
      <c r="A315" s="115">
        <v>313</v>
      </c>
      <c r="B315" s="115">
        <f t="shared" si="8"/>
        <v>104</v>
      </c>
      <c r="C315" s="115">
        <f t="shared" si="9"/>
        <v>1</v>
      </c>
      <c r="D315" s="113" t="e" cm="1">
        <f t="array" ref="D315">INDEX('Radio-Map-1'!$H$7:$J$97,1+B315,C315)</f>
        <v>#REF!</v>
      </c>
    </row>
    <row r="316" spans="1:4" x14ac:dyDescent="0.75">
      <c r="A316" s="115">
        <v>314</v>
      </c>
      <c r="B316" s="115">
        <f t="shared" si="8"/>
        <v>104</v>
      </c>
      <c r="C316" s="115">
        <f t="shared" si="9"/>
        <v>2</v>
      </c>
      <c r="D316" s="113" t="e" cm="1">
        <f t="array" ref="D316">INDEX('Radio-Map-1'!$H$7:$J$97,1+B316,C316)</f>
        <v>#REF!</v>
      </c>
    </row>
    <row r="317" spans="1:4" x14ac:dyDescent="0.75">
      <c r="A317" s="115">
        <v>315</v>
      </c>
      <c r="B317" s="115">
        <f t="shared" si="8"/>
        <v>104</v>
      </c>
      <c r="C317" s="115">
        <f t="shared" si="9"/>
        <v>3</v>
      </c>
      <c r="D317" s="113" t="e" cm="1">
        <f t="array" ref="D317">INDEX('Radio-Map-1'!$H$7:$J$97,1+B317,C317)</f>
        <v>#REF!</v>
      </c>
    </row>
    <row r="318" spans="1:4" x14ac:dyDescent="0.75">
      <c r="A318" s="115">
        <v>316</v>
      </c>
      <c r="B318" s="115">
        <f t="shared" si="8"/>
        <v>105</v>
      </c>
      <c r="C318" s="115">
        <f t="shared" si="9"/>
        <v>1</v>
      </c>
      <c r="D318" s="113" t="e" cm="1">
        <f t="array" ref="D318">INDEX('Radio-Map-1'!$H$7:$J$97,1+B318,C318)</f>
        <v>#REF!</v>
      </c>
    </row>
    <row r="319" spans="1:4" x14ac:dyDescent="0.75">
      <c r="A319" s="115">
        <v>317</v>
      </c>
      <c r="B319" s="115">
        <f t="shared" si="8"/>
        <v>105</v>
      </c>
      <c r="C319" s="115">
        <f t="shared" si="9"/>
        <v>2</v>
      </c>
      <c r="D319" s="113" t="e" cm="1">
        <f t="array" ref="D319">INDEX('Radio-Map-1'!$H$7:$J$97,1+B319,C319)</f>
        <v>#REF!</v>
      </c>
    </row>
    <row r="320" spans="1:4" x14ac:dyDescent="0.75">
      <c r="A320" s="115">
        <v>318</v>
      </c>
      <c r="B320" s="115">
        <f t="shared" si="8"/>
        <v>105</v>
      </c>
      <c r="C320" s="115">
        <f t="shared" si="9"/>
        <v>3</v>
      </c>
      <c r="D320" s="113" t="e" cm="1">
        <f t="array" ref="D320">INDEX('Radio-Map-1'!$H$7:$J$97,1+B320,C320)</f>
        <v>#REF!</v>
      </c>
    </row>
    <row r="321" spans="1:4" x14ac:dyDescent="0.75">
      <c r="A321" s="115">
        <v>319</v>
      </c>
      <c r="B321" s="115">
        <f t="shared" si="8"/>
        <v>106</v>
      </c>
      <c r="C321" s="115">
        <f t="shared" si="9"/>
        <v>1</v>
      </c>
      <c r="D321" s="113" t="e" cm="1">
        <f t="array" ref="D321">INDEX('Radio-Map-1'!$H$7:$J$97,1+B321,C321)</f>
        <v>#REF!</v>
      </c>
    </row>
    <row r="322" spans="1:4" x14ac:dyDescent="0.75">
      <c r="A322" s="115">
        <v>320</v>
      </c>
      <c r="B322" s="115">
        <f t="shared" si="8"/>
        <v>106</v>
      </c>
      <c r="C322" s="115">
        <f t="shared" si="9"/>
        <v>2</v>
      </c>
      <c r="D322" s="113" t="e" cm="1">
        <f t="array" ref="D322">INDEX('Radio-Map-1'!$H$7:$J$97,1+B322,C322)</f>
        <v>#REF!</v>
      </c>
    </row>
    <row r="323" spans="1:4" x14ac:dyDescent="0.75">
      <c r="A323" s="115">
        <v>321</v>
      </c>
      <c r="B323" s="115">
        <f t="shared" si="8"/>
        <v>106</v>
      </c>
      <c r="C323" s="115">
        <f t="shared" si="9"/>
        <v>3</v>
      </c>
      <c r="D323" s="113" t="e" cm="1">
        <f t="array" ref="D323">INDEX('Radio-Map-1'!$H$7:$J$97,1+B323,C323)</f>
        <v>#REF!</v>
      </c>
    </row>
    <row r="324" spans="1:4" x14ac:dyDescent="0.75">
      <c r="A324" s="115">
        <v>322</v>
      </c>
      <c r="B324" s="115">
        <f t="shared" ref="B324:B387" si="10">IF(MOD(A324,3)=0,A324/3-1,INT(A324/3))</f>
        <v>107</v>
      </c>
      <c r="C324" s="115">
        <f t="shared" ref="C324:C387" si="11">IF(MOD(A324,3)=0,3,MOD(A324,3))</f>
        <v>1</v>
      </c>
      <c r="D324" s="113" t="e" cm="1">
        <f t="array" ref="D324">INDEX('Radio-Map-1'!$H$7:$J$97,1+B324,C324)</f>
        <v>#REF!</v>
      </c>
    </row>
    <row r="325" spans="1:4" x14ac:dyDescent="0.75">
      <c r="A325" s="115">
        <v>323</v>
      </c>
      <c r="B325" s="115">
        <f t="shared" si="10"/>
        <v>107</v>
      </c>
      <c r="C325" s="115">
        <f t="shared" si="11"/>
        <v>2</v>
      </c>
      <c r="D325" s="113" t="e" cm="1">
        <f t="array" ref="D325">INDEX('Radio-Map-1'!$H$7:$J$97,1+B325,C325)</f>
        <v>#REF!</v>
      </c>
    </row>
    <row r="326" spans="1:4" x14ac:dyDescent="0.75">
      <c r="A326" s="115">
        <v>324</v>
      </c>
      <c r="B326" s="115">
        <f t="shared" si="10"/>
        <v>107</v>
      </c>
      <c r="C326" s="115">
        <f t="shared" si="11"/>
        <v>3</v>
      </c>
      <c r="D326" s="113" t="e" cm="1">
        <f t="array" ref="D326">INDEX('Radio-Map-1'!$H$7:$J$97,1+B326,C326)</f>
        <v>#REF!</v>
      </c>
    </row>
    <row r="327" spans="1:4" x14ac:dyDescent="0.75">
      <c r="A327" s="115">
        <v>325</v>
      </c>
      <c r="B327" s="115">
        <f t="shared" si="10"/>
        <v>108</v>
      </c>
      <c r="C327" s="115">
        <f t="shared" si="11"/>
        <v>1</v>
      </c>
      <c r="D327" s="113" t="e" cm="1">
        <f t="array" ref="D327">INDEX('Radio-Map-1'!$H$7:$J$97,1+B327,C327)</f>
        <v>#REF!</v>
      </c>
    </row>
    <row r="328" spans="1:4" x14ac:dyDescent="0.75">
      <c r="A328" s="115">
        <v>326</v>
      </c>
      <c r="B328" s="115">
        <f t="shared" si="10"/>
        <v>108</v>
      </c>
      <c r="C328" s="115">
        <f t="shared" si="11"/>
        <v>2</v>
      </c>
      <c r="D328" s="113" t="e" cm="1">
        <f t="array" ref="D328">INDEX('Radio-Map-1'!$H$7:$J$97,1+B328,C328)</f>
        <v>#REF!</v>
      </c>
    </row>
    <row r="329" spans="1:4" x14ac:dyDescent="0.75">
      <c r="A329" s="115">
        <v>327</v>
      </c>
      <c r="B329" s="115">
        <f t="shared" si="10"/>
        <v>108</v>
      </c>
      <c r="C329" s="115">
        <f t="shared" si="11"/>
        <v>3</v>
      </c>
      <c r="D329" s="113" t="e" cm="1">
        <f t="array" ref="D329">INDEX('Radio-Map-1'!$H$7:$J$97,1+B329,C329)</f>
        <v>#REF!</v>
      </c>
    </row>
    <row r="330" spans="1:4" x14ac:dyDescent="0.75">
      <c r="A330" s="115">
        <v>328</v>
      </c>
      <c r="B330" s="115">
        <f t="shared" si="10"/>
        <v>109</v>
      </c>
      <c r="C330" s="115">
        <f t="shared" si="11"/>
        <v>1</v>
      </c>
      <c r="D330" s="113" t="e" cm="1">
        <f t="array" ref="D330">INDEX('Radio-Map-1'!$H$7:$J$97,1+B330,C330)</f>
        <v>#REF!</v>
      </c>
    </row>
    <row r="331" spans="1:4" x14ac:dyDescent="0.75">
      <c r="A331" s="115">
        <v>329</v>
      </c>
      <c r="B331" s="115">
        <f t="shared" si="10"/>
        <v>109</v>
      </c>
      <c r="C331" s="115">
        <f t="shared" si="11"/>
        <v>2</v>
      </c>
      <c r="D331" s="113" t="e" cm="1">
        <f t="array" ref="D331">INDEX('Radio-Map-1'!$H$7:$J$97,1+B331,C331)</f>
        <v>#REF!</v>
      </c>
    </row>
    <row r="332" spans="1:4" x14ac:dyDescent="0.75">
      <c r="A332" s="115">
        <v>330</v>
      </c>
      <c r="B332" s="115">
        <f t="shared" si="10"/>
        <v>109</v>
      </c>
      <c r="C332" s="115">
        <f t="shared" si="11"/>
        <v>3</v>
      </c>
      <c r="D332" s="113" t="e" cm="1">
        <f t="array" ref="D332">INDEX('Radio-Map-1'!$H$7:$J$97,1+B332,C332)</f>
        <v>#REF!</v>
      </c>
    </row>
    <row r="333" spans="1:4" x14ac:dyDescent="0.75">
      <c r="A333" s="115">
        <v>331</v>
      </c>
      <c r="B333" s="115">
        <f t="shared" si="10"/>
        <v>110</v>
      </c>
      <c r="C333" s="115">
        <f t="shared" si="11"/>
        <v>1</v>
      </c>
      <c r="D333" s="113" t="e" cm="1">
        <f t="array" ref="D333">INDEX('Radio-Map-1'!$H$7:$J$97,1+B333,C333)</f>
        <v>#REF!</v>
      </c>
    </row>
    <row r="334" spans="1:4" x14ac:dyDescent="0.75">
      <c r="A334" s="115">
        <v>332</v>
      </c>
      <c r="B334" s="115">
        <f t="shared" si="10"/>
        <v>110</v>
      </c>
      <c r="C334" s="115">
        <f t="shared" si="11"/>
        <v>2</v>
      </c>
      <c r="D334" s="113" t="e" cm="1">
        <f t="array" ref="D334">INDEX('Radio-Map-1'!$H$7:$J$97,1+B334,C334)</f>
        <v>#REF!</v>
      </c>
    </row>
    <row r="335" spans="1:4" x14ac:dyDescent="0.75">
      <c r="A335" s="115">
        <v>333</v>
      </c>
      <c r="B335" s="115">
        <f t="shared" si="10"/>
        <v>110</v>
      </c>
      <c r="C335" s="115">
        <f t="shared" si="11"/>
        <v>3</v>
      </c>
      <c r="D335" s="113" t="e" cm="1">
        <f t="array" ref="D335">INDEX('Radio-Map-1'!$H$7:$J$97,1+B335,C335)</f>
        <v>#REF!</v>
      </c>
    </row>
    <row r="336" spans="1:4" x14ac:dyDescent="0.75">
      <c r="A336" s="115">
        <v>334</v>
      </c>
      <c r="B336" s="115">
        <f t="shared" si="10"/>
        <v>111</v>
      </c>
      <c r="C336" s="115">
        <f t="shared" si="11"/>
        <v>1</v>
      </c>
      <c r="D336" s="113" t="e" cm="1">
        <f t="array" ref="D336">INDEX('Radio-Map-1'!$H$7:$J$97,1+B336,C336)</f>
        <v>#REF!</v>
      </c>
    </row>
    <row r="337" spans="1:4" x14ac:dyDescent="0.75">
      <c r="A337" s="115">
        <v>335</v>
      </c>
      <c r="B337" s="115">
        <f t="shared" si="10"/>
        <v>111</v>
      </c>
      <c r="C337" s="115">
        <f t="shared" si="11"/>
        <v>2</v>
      </c>
      <c r="D337" s="113" t="e" cm="1">
        <f t="array" ref="D337">INDEX('Radio-Map-1'!$H$7:$J$97,1+B337,C337)</f>
        <v>#REF!</v>
      </c>
    </row>
    <row r="338" spans="1:4" x14ac:dyDescent="0.75">
      <c r="A338" s="115">
        <v>336</v>
      </c>
      <c r="B338" s="115">
        <f t="shared" si="10"/>
        <v>111</v>
      </c>
      <c r="C338" s="115">
        <f t="shared" si="11"/>
        <v>3</v>
      </c>
      <c r="D338" s="113" t="e" cm="1">
        <f t="array" ref="D338">INDEX('Radio-Map-1'!$H$7:$J$97,1+B338,C338)</f>
        <v>#REF!</v>
      </c>
    </row>
    <row r="339" spans="1:4" x14ac:dyDescent="0.75">
      <c r="A339" s="115">
        <v>337</v>
      </c>
      <c r="B339" s="115">
        <f t="shared" si="10"/>
        <v>112</v>
      </c>
      <c r="C339" s="115">
        <f t="shared" si="11"/>
        <v>1</v>
      </c>
      <c r="D339" s="113" t="e" cm="1">
        <f t="array" ref="D339">INDEX('Radio-Map-1'!$H$7:$J$97,1+B339,C339)</f>
        <v>#REF!</v>
      </c>
    </row>
    <row r="340" spans="1:4" x14ac:dyDescent="0.75">
      <c r="A340" s="115">
        <v>338</v>
      </c>
      <c r="B340" s="115">
        <f t="shared" si="10"/>
        <v>112</v>
      </c>
      <c r="C340" s="115">
        <f t="shared" si="11"/>
        <v>2</v>
      </c>
      <c r="D340" s="113" t="e" cm="1">
        <f t="array" ref="D340">INDEX('Radio-Map-1'!$H$7:$J$97,1+B340,C340)</f>
        <v>#REF!</v>
      </c>
    </row>
    <row r="341" spans="1:4" x14ac:dyDescent="0.75">
      <c r="A341" s="115">
        <v>339</v>
      </c>
      <c r="B341" s="115">
        <f t="shared" si="10"/>
        <v>112</v>
      </c>
      <c r="C341" s="115">
        <f t="shared" si="11"/>
        <v>3</v>
      </c>
      <c r="D341" s="113" t="e" cm="1">
        <f t="array" ref="D341">INDEX('Radio-Map-1'!$H$7:$J$97,1+B341,C341)</f>
        <v>#REF!</v>
      </c>
    </row>
    <row r="342" spans="1:4" x14ac:dyDescent="0.75">
      <c r="A342" s="115">
        <v>340</v>
      </c>
      <c r="B342" s="115">
        <f t="shared" si="10"/>
        <v>113</v>
      </c>
      <c r="C342" s="115">
        <f t="shared" si="11"/>
        <v>1</v>
      </c>
      <c r="D342" s="113" t="e" cm="1">
        <f t="array" ref="D342">INDEX('Radio-Map-1'!$H$7:$J$97,1+B342,C342)</f>
        <v>#REF!</v>
      </c>
    </row>
    <row r="343" spans="1:4" x14ac:dyDescent="0.75">
      <c r="A343" s="115">
        <v>341</v>
      </c>
      <c r="B343" s="115">
        <f t="shared" si="10"/>
        <v>113</v>
      </c>
      <c r="C343" s="115">
        <f t="shared" si="11"/>
        <v>2</v>
      </c>
      <c r="D343" s="113" t="e" cm="1">
        <f t="array" ref="D343">INDEX('Radio-Map-1'!$H$7:$J$97,1+B343,C343)</f>
        <v>#REF!</v>
      </c>
    </row>
    <row r="344" spans="1:4" x14ac:dyDescent="0.75">
      <c r="A344" s="115">
        <v>342</v>
      </c>
      <c r="B344" s="115">
        <f t="shared" si="10"/>
        <v>113</v>
      </c>
      <c r="C344" s="115">
        <f t="shared" si="11"/>
        <v>3</v>
      </c>
      <c r="D344" s="113" t="e" cm="1">
        <f t="array" ref="D344">INDEX('Radio-Map-1'!$H$7:$J$97,1+B344,C344)</f>
        <v>#REF!</v>
      </c>
    </row>
    <row r="345" spans="1:4" x14ac:dyDescent="0.75">
      <c r="A345" s="115">
        <v>343</v>
      </c>
      <c r="B345" s="115">
        <f t="shared" si="10"/>
        <v>114</v>
      </c>
      <c r="C345" s="115">
        <f t="shared" si="11"/>
        <v>1</v>
      </c>
      <c r="D345" s="113" t="e" cm="1">
        <f t="array" ref="D345">INDEX('Radio-Map-1'!$H$7:$J$97,1+B345,C345)</f>
        <v>#REF!</v>
      </c>
    </row>
    <row r="346" spans="1:4" x14ac:dyDescent="0.75">
      <c r="A346" s="115">
        <v>344</v>
      </c>
      <c r="B346" s="115">
        <f t="shared" si="10"/>
        <v>114</v>
      </c>
      <c r="C346" s="115">
        <f t="shared" si="11"/>
        <v>2</v>
      </c>
    </row>
    <row r="347" spans="1:4" x14ac:dyDescent="0.75">
      <c r="A347" s="115">
        <v>345</v>
      </c>
      <c r="B347" s="115">
        <f t="shared" si="10"/>
        <v>114</v>
      </c>
      <c r="C347" s="115">
        <f t="shared" si="11"/>
        <v>3</v>
      </c>
    </row>
    <row r="348" spans="1:4" x14ac:dyDescent="0.75">
      <c r="A348" s="115">
        <v>346</v>
      </c>
      <c r="B348" s="115">
        <f t="shared" si="10"/>
        <v>115</v>
      </c>
      <c r="C348" s="115">
        <f t="shared" si="11"/>
        <v>1</v>
      </c>
    </row>
    <row r="349" spans="1:4" x14ac:dyDescent="0.75">
      <c r="A349" s="115">
        <v>347</v>
      </c>
      <c r="B349" s="115">
        <f t="shared" si="10"/>
        <v>115</v>
      </c>
      <c r="C349" s="115">
        <f t="shared" si="11"/>
        <v>2</v>
      </c>
    </row>
    <row r="350" spans="1:4" x14ac:dyDescent="0.75">
      <c r="A350" s="115">
        <v>348</v>
      </c>
      <c r="B350" s="115">
        <f t="shared" si="10"/>
        <v>115</v>
      </c>
      <c r="C350" s="115">
        <f t="shared" si="11"/>
        <v>3</v>
      </c>
    </row>
    <row r="351" spans="1:4" x14ac:dyDescent="0.75">
      <c r="A351" s="115">
        <v>349</v>
      </c>
      <c r="B351" s="115">
        <f t="shared" si="10"/>
        <v>116</v>
      </c>
      <c r="C351" s="115">
        <f t="shared" si="11"/>
        <v>1</v>
      </c>
    </row>
    <row r="352" spans="1:4" x14ac:dyDescent="0.75">
      <c r="A352" s="115">
        <v>350</v>
      </c>
      <c r="B352" s="115">
        <f t="shared" si="10"/>
        <v>116</v>
      </c>
      <c r="C352" s="115">
        <f t="shared" si="11"/>
        <v>2</v>
      </c>
    </row>
    <row r="353" spans="1:3" x14ac:dyDescent="0.75">
      <c r="A353" s="115">
        <v>351</v>
      </c>
      <c r="B353" s="115">
        <f t="shared" si="10"/>
        <v>116</v>
      </c>
      <c r="C353" s="115">
        <f t="shared" si="11"/>
        <v>3</v>
      </c>
    </row>
    <row r="354" spans="1:3" x14ac:dyDescent="0.75">
      <c r="A354" s="115">
        <v>352</v>
      </c>
      <c r="B354" s="115">
        <f t="shared" si="10"/>
        <v>117</v>
      </c>
      <c r="C354" s="115">
        <f t="shared" si="11"/>
        <v>1</v>
      </c>
    </row>
    <row r="355" spans="1:3" x14ac:dyDescent="0.75">
      <c r="A355" s="115">
        <v>353</v>
      </c>
      <c r="B355" s="115">
        <f t="shared" si="10"/>
        <v>117</v>
      </c>
      <c r="C355" s="115">
        <f t="shared" si="11"/>
        <v>2</v>
      </c>
    </row>
    <row r="356" spans="1:3" x14ac:dyDescent="0.75">
      <c r="A356" s="115">
        <v>354</v>
      </c>
      <c r="B356" s="115">
        <f t="shared" si="10"/>
        <v>117</v>
      </c>
      <c r="C356" s="115">
        <f t="shared" si="11"/>
        <v>3</v>
      </c>
    </row>
    <row r="357" spans="1:3" x14ac:dyDescent="0.75">
      <c r="A357" s="115">
        <v>355</v>
      </c>
      <c r="B357" s="115">
        <f t="shared" si="10"/>
        <v>118</v>
      </c>
      <c r="C357" s="115">
        <f t="shared" si="11"/>
        <v>1</v>
      </c>
    </row>
    <row r="358" spans="1:3" x14ac:dyDescent="0.75">
      <c r="A358" s="115">
        <v>356</v>
      </c>
      <c r="B358" s="115">
        <f t="shared" si="10"/>
        <v>118</v>
      </c>
      <c r="C358" s="115">
        <f t="shared" si="11"/>
        <v>2</v>
      </c>
    </row>
    <row r="359" spans="1:3" x14ac:dyDescent="0.75">
      <c r="A359" s="115">
        <v>357</v>
      </c>
      <c r="B359" s="115">
        <f t="shared" si="10"/>
        <v>118</v>
      </c>
      <c r="C359" s="115">
        <f t="shared" si="11"/>
        <v>3</v>
      </c>
    </row>
    <row r="360" spans="1:3" x14ac:dyDescent="0.75">
      <c r="A360" s="115">
        <v>358</v>
      </c>
      <c r="B360" s="115">
        <f t="shared" si="10"/>
        <v>119</v>
      </c>
      <c r="C360" s="115">
        <f t="shared" si="11"/>
        <v>1</v>
      </c>
    </row>
    <row r="361" spans="1:3" x14ac:dyDescent="0.75">
      <c r="A361" s="115">
        <v>359</v>
      </c>
      <c r="B361" s="115">
        <f t="shared" si="10"/>
        <v>119</v>
      </c>
      <c r="C361" s="115">
        <f t="shared" si="11"/>
        <v>2</v>
      </c>
    </row>
    <row r="362" spans="1:3" x14ac:dyDescent="0.75">
      <c r="A362" s="115">
        <v>360</v>
      </c>
      <c r="B362" s="115">
        <f t="shared" si="10"/>
        <v>119</v>
      </c>
      <c r="C362" s="115">
        <f t="shared" si="11"/>
        <v>3</v>
      </c>
    </row>
    <row r="363" spans="1:3" x14ac:dyDescent="0.75">
      <c r="A363" s="115">
        <v>361</v>
      </c>
      <c r="B363" s="115">
        <f t="shared" si="10"/>
        <v>120</v>
      </c>
      <c r="C363" s="115">
        <f t="shared" si="11"/>
        <v>1</v>
      </c>
    </row>
    <row r="364" spans="1:3" x14ac:dyDescent="0.75">
      <c r="A364" s="115">
        <v>362</v>
      </c>
      <c r="B364" s="115">
        <f t="shared" si="10"/>
        <v>120</v>
      </c>
      <c r="C364" s="115">
        <f t="shared" si="11"/>
        <v>2</v>
      </c>
    </row>
    <row r="365" spans="1:3" x14ac:dyDescent="0.75">
      <c r="A365" s="115">
        <v>363</v>
      </c>
      <c r="B365" s="115">
        <f t="shared" si="10"/>
        <v>120</v>
      </c>
      <c r="C365" s="115">
        <f t="shared" si="11"/>
        <v>3</v>
      </c>
    </row>
    <row r="366" spans="1:3" x14ac:dyDescent="0.75">
      <c r="A366" s="115">
        <v>364</v>
      </c>
      <c r="B366" s="115">
        <f t="shared" si="10"/>
        <v>121</v>
      </c>
      <c r="C366" s="115">
        <f t="shared" si="11"/>
        <v>1</v>
      </c>
    </row>
    <row r="367" spans="1:3" x14ac:dyDescent="0.75">
      <c r="A367" s="115">
        <v>365</v>
      </c>
      <c r="B367" s="115">
        <f t="shared" si="10"/>
        <v>121</v>
      </c>
      <c r="C367" s="115">
        <f t="shared" si="11"/>
        <v>2</v>
      </c>
    </row>
    <row r="368" spans="1:3" x14ac:dyDescent="0.75">
      <c r="A368" s="115">
        <v>366</v>
      </c>
      <c r="B368" s="115">
        <f t="shared" si="10"/>
        <v>121</v>
      </c>
      <c r="C368" s="115">
        <f t="shared" si="11"/>
        <v>3</v>
      </c>
    </row>
    <row r="369" spans="1:3" x14ac:dyDescent="0.75">
      <c r="A369" s="115">
        <v>367</v>
      </c>
      <c r="B369" s="115">
        <f t="shared" si="10"/>
        <v>122</v>
      </c>
      <c r="C369" s="115">
        <f t="shared" si="11"/>
        <v>1</v>
      </c>
    </row>
    <row r="370" spans="1:3" x14ac:dyDescent="0.75">
      <c r="A370" s="115">
        <v>368</v>
      </c>
      <c r="B370" s="115">
        <f t="shared" si="10"/>
        <v>122</v>
      </c>
      <c r="C370" s="115">
        <f t="shared" si="11"/>
        <v>2</v>
      </c>
    </row>
    <row r="371" spans="1:3" x14ac:dyDescent="0.75">
      <c r="A371" s="115">
        <v>369</v>
      </c>
      <c r="B371" s="115">
        <f t="shared" si="10"/>
        <v>122</v>
      </c>
      <c r="C371" s="115">
        <f t="shared" si="11"/>
        <v>3</v>
      </c>
    </row>
    <row r="372" spans="1:3" x14ac:dyDescent="0.75">
      <c r="A372" s="115">
        <v>370</v>
      </c>
      <c r="B372" s="115">
        <f t="shared" si="10"/>
        <v>123</v>
      </c>
      <c r="C372" s="115">
        <f t="shared" si="11"/>
        <v>1</v>
      </c>
    </row>
    <row r="373" spans="1:3" x14ac:dyDescent="0.75">
      <c r="A373" s="115">
        <v>371</v>
      </c>
      <c r="B373" s="115">
        <f t="shared" si="10"/>
        <v>123</v>
      </c>
      <c r="C373" s="115">
        <f t="shared" si="11"/>
        <v>2</v>
      </c>
    </row>
    <row r="374" spans="1:3" x14ac:dyDescent="0.75">
      <c r="A374" s="115">
        <v>372</v>
      </c>
      <c r="B374" s="115">
        <f t="shared" si="10"/>
        <v>123</v>
      </c>
      <c r="C374" s="115">
        <f t="shared" si="11"/>
        <v>3</v>
      </c>
    </row>
    <row r="375" spans="1:3" x14ac:dyDescent="0.75">
      <c r="A375" s="115">
        <v>373</v>
      </c>
      <c r="B375" s="115">
        <f t="shared" si="10"/>
        <v>124</v>
      </c>
      <c r="C375" s="115">
        <f t="shared" si="11"/>
        <v>1</v>
      </c>
    </row>
    <row r="376" spans="1:3" x14ac:dyDescent="0.75">
      <c r="A376" s="115">
        <v>374</v>
      </c>
      <c r="B376" s="115">
        <f t="shared" si="10"/>
        <v>124</v>
      </c>
      <c r="C376" s="115">
        <f t="shared" si="11"/>
        <v>2</v>
      </c>
    </row>
    <row r="377" spans="1:3" x14ac:dyDescent="0.75">
      <c r="A377" s="115">
        <v>375</v>
      </c>
      <c r="B377" s="115">
        <f t="shared" si="10"/>
        <v>124</v>
      </c>
      <c r="C377" s="115">
        <f t="shared" si="11"/>
        <v>3</v>
      </c>
    </row>
    <row r="378" spans="1:3" x14ac:dyDescent="0.75">
      <c r="A378" s="115">
        <v>376</v>
      </c>
      <c r="B378" s="115">
        <f t="shared" si="10"/>
        <v>125</v>
      </c>
      <c r="C378" s="115">
        <f t="shared" si="11"/>
        <v>1</v>
      </c>
    </row>
    <row r="379" spans="1:3" x14ac:dyDescent="0.75">
      <c r="A379" s="115">
        <v>377</v>
      </c>
      <c r="B379" s="115">
        <f t="shared" si="10"/>
        <v>125</v>
      </c>
      <c r="C379" s="115">
        <f t="shared" si="11"/>
        <v>2</v>
      </c>
    </row>
    <row r="380" spans="1:3" x14ac:dyDescent="0.75">
      <c r="A380" s="115">
        <v>378</v>
      </c>
      <c r="B380" s="115">
        <f t="shared" si="10"/>
        <v>125</v>
      </c>
      <c r="C380" s="115">
        <f t="shared" si="11"/>
        <v>3</v>
      </c>
    </row>
    <row r="381" spans="1:3" x14ac:dyDescent="0.75">
      <c r="A381" s="115">
        <v>379</v>
      </c>
      <c r="B381" s="115">
        <f t="shared" si="10"/>
        <v>126</v>
      </c>
      <c r="C381" s="115">
        <f t="shared" si="11"/>
        <v>1</v>
      </c>
    </row>
    <row r="382" spans="1:3" x14ac:dyDescent="0.75">
      <c r="A382" s="115">
        <v>380</v>
      </c>
      <c r="B382" s="115">
        <f t="shared" si="10"/>
        <v>126</v>
      </c>
      <c r="C382" s="115">
        <f t="shared" si="11"/>
        <v>2</v>
      </c>
    </row>
    <row r="383" spans="1:3" x14ac:dyDescent="0.75">
      <c r="A383" s="115">
        <v>381</v>
      </c>
      <c r="B383" s="115">
        <f t="shared" si="10"/>
        <v>126</v>
      </c>
      <c r="C383" s="115">
        <f t="shared" si="11"/>
        <v>3</v>
      </c>
    </row>
    <row r="384" spans="1:3" x14ac:dyDescent="0.75">
      <c r="A384" s="115">
        <v>382</v>
      </c>
      <c r="B384" s="115">
        <f t="shared" si="10"/>
        <v>127</v>
      </c>
      <c r="C384" s="115">
        <f t="shared" si="11"/>
        <v>1</v>
      </c>
    </row>
    <row r="385" spans="1:3" x14ac:dyDescent="0.75">
      <c r="A385" s="115">
        <v>383</v>
      </c>
      <c r="B385" s="115">
        <f t="shared" si="10"/>
        <v>127</v>
      </c>
      <c r="C385" s="115">
        <f t="shared" si="11"/>
        <v>2</v>
      </c>
    </row>
    <row r="386" spans="1:3" x14ac:dyDescent="0.75">
      <c r="A386" s="115">
        <v>384</v>
      </c>
      <c r="B386" s="115">
        <f t="shared" si="10"/>
        <v>127</v>
      </c>
      <c r="C386" s="115">
        <f t="shared" si="11"/>
        <v>3</v>
      </c>
    </row>
    <row r="387" spans="1:3" x14ac:dyDescent="0.75">
      <c r="A387" s="115">
        <v>385</v>
      </c>
      <c r="B387" s="115">
        <f t="shared" si="10"/>
        <v>128</v>
      </c>
      <c r="C387" s="115">
        <f t="shared" si="11"/>
        <v>1</v>
      </c>
    </row>
    <row r="388" spans="1:3" x14ac:dyDescent="0.75">
      <c r="A388" s="115">
        <v>386</v>
      </c>
      <c r="B388" s="115">
        <f t="shared" ref="B388:B393" si="12">IF(MOD(A388,7)=0,A388/7-1,INT(A388/7))</f>
        <v>55</v>
      </c>
      <c r="C388" s="115">
        <f t="shared" ref="C388:C393" si="13">IF(MOD(A388,3)=0,3,MOD(A388,3))</f>
        <v>2</v>
      </c>
    </row>
    <row r="389" spans="1:3" x14ac:dyDescent="0.75">
      <c r="A389" s="115">
        <v>387</v>
      </c>
      <c r="B389" s="115">
        <f t="shared" si="12"/>
        <v>55</v>
      </c>
      <c r="C389" s="115">
        <f t="shared" si="13"/>
        <v>3</v>
      </c>
    </row>
    <row r="390" spans="1:3" x14ac:dyDescent="0.75">
      <c r="A390" s="115">
        <v>388</v>
      </c>
      <c r="B390" s="115">
        <f t="shared" si="12"/>
        <v>55</v>
      </c>
      <c r="C390" s="115">
        <f t="shared" si="13"/>
        <v>1</v>
      </c>
    </row>
    <row r="391" spans="1:3" x14ac:dyDescent="0.75">
      <c r="A391" s="115">
        <v>389</v>
      </c>
      <c r="B391" s="115">
        <f t="shared" si="12"/>
        <v>55</v>
      </c>
      <c r="C391" s="115">
        <f t="shared" si="13"/>
        <v>2</v>
      </c>
    </row>
    <row r="392" spans="1:3" x14ac:dyDescent="0.75">
      <c r="A392" s="115">
        <v>390</v>
      </c>
      <c r="B392" s="115">
        <f t="shared" si="12"/>
        <v>55</v>
      </c>
      <c r="C392" s="115">
        <f t="shared" si="13"/>
        <v>3</v>
      </c>
    </row>
    <row r="393" spans="1:3" x14ac:dyDescent="0.75">
      <c r="A393" s="115">
        <v>391</v>
      </c>
      <c r="B393" s="115">
        <f t="shared" si="12"/>
        <v>55</v>
      </c>
      <c r="C393" s="115">
        <f t="shared" si="13"/>
        <v>1</v>
      </c>
    </row>
  </sheetData>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13"/>
    <col min="3" max="3" width="31.6796875" style="113" bestFit="1" customWidth="1"/>
    <col min="4" max="4" width="72.1328125" style="113" customWidth="1"/>
    <col min="5" max="5" width="24.81640625" style="113" customWidth="1"/>
    <col min="6" max="6" width="15.5" style="113" customWidth="1"/>
    <col min="7" max="7" width="16.1328125" style="113" customWidth="1"/>
    <col min="8" max="8" width="10.76953125" style="113" customWidth="1"/>
    <col min="9" max="9" width="45.26953125" style="113" customWidth="1"/>
    <col min="10" max="10" width="40.1328125" style="114" customWidth="1"/>
    <col min="11" max="11" width="26.6328125" style="114" customWidth="1"/>
    <col min="12" max="12" width="48.54296875" style="114" customWidth="1"/>
    <col min="13" max="13" width="53.36328125" style="113" customWidth="1"/>
    <col min="14" max="14" width="51.5" style="113" customWidth="1"/>
    <col min="15" max="16384" width="8.7265625" style="113"/>
  </cols>
  <sheetData>
    <row r="1" spans="1:14" x14ac:dyDescent="0.75">
      <c r="C1" s="107" t="str">
        <f>'Chemo-1'!B1</f>
        <v>canonical</v>
      </c>
      <c r="D1" s="19" t="s">
        <v>33</v>
      </c>
      <c r="E1" s="20"/>
      <c r="G1" s="44" t="s">
        <v>888</v>
      </c>
      <c r="N1" s="113" t="s">
        <v>49</v>
      </c>
    </row>
    <row r="2" spans="1:14" ht="15.5" thickBot="1" x14ac:dyDescent="0.9">
      <c r="C2" s="109" t="str">
        <f>'Chemo-1'!B2</f>
        <v>http://hl7.eu/fhir/ig/pcsp</v>
      </c>
      <c r="D2" s="17" t="s">
        <v>879</v>
      </c>
      <c r="E2" s="37"/>
      <c r="G2" s="55" t="s">
        <v>889</v>
      </c>
      <c r="M2" s="46"/>
      <c r="N2" s="113" t="str">
        <f>CONCATENATE("Mapping: ",E2)</f>
        <v xml:space="preserve">Mapping: </v>
      </c>
    </row>
    <row r="3" spans="1:14" x14ac:dyDescent="0.75">
      <c r="C3" s="107" t="str">
        <f>'Chemo-1'!B3</f>
        <v>Publisher</v>
      </c>
      <c r="D3" s="42"/>
      <c r="E3" s="38"/>
      <c r="M3" s="46"/>
      <c r="N3" s="113" t="str">
        <f>CONCATENATE("Id: ",E2)</f>
        <v xml:space="preserve">Id: </v>
      </c>
    </row>
    <row r="4" spans="1:14" ht="15.5" thickBot="1" x14ac:dyDescent="0.9">
      <c r="C4" s="109" t="str">
        <f>'Chemo-1'!B4</f>
        <v>PanCareSurPass project</v>
      </c>
      <c r="D4" s="45"/>
      <c r="E4" s="39"/>
      <c r="M4" s="46"/>
      <c r="N4" s="113" t="str">
        <f>CONCATENATE("Title: """,D2,"""")</f>
        <v>Title: "CDA"</v>
      </c>
    </row>
    <row r="5" spans="1:14" x14ac:dyDescent="0.75">
      <c r="M5" s="46"/>
      <c r="N5" s="113" t="str">
        <f>CONCATENATE("Source: ",C2,"/",C7)</f>
        <v>Source: http://hl7.eu/fhir/ig/pcsp/Radiotherapy</v>
      </c>
    </row>
    <row r="6" spans="1:14" x14ac:dyDescent="0.75">
      <c r="D6" s="113" t="s">
        <v>47</v>
      </c>
      <c r="M6" s="46"/>
      <c r="N6" s="113" t="str">
        <f>CONCATENATE("Target: """,D4,"""")</f>
        <v>Target: ""</v>
      </c>
    </row>
    <row r="7" spans="1:14" ht="14.75" customHeight="1" x14ac:dyDescent="0.75">
      <c r="A7" s="115">
        <v>0</v>
      </c>
      <c r="B7" s="115">
        <f>'Rad-1'!A6</f>
        <v>0</v>
      </c>
      <c r="C7" s="25" t="str">
        <f>'Rad-1'!B6</f>
        <v>Radiotherapy</v>
      </c>
      <c r="D7" s="115"/>
      <c r="H7" s="113" t="b">
        <f>IF(D7&gt;"",TRUE,FALSE)</f>
        <v>0</v>
      </c>
      <c r="I7" s="114" t="str">
        <f>IF(H7,CONCATENATE("* differential.element[",$B7,"].mapping[",$A7,"].identity = """,$G$1,""""),"")</f>
        <v/>
      </c>
      <c r="J7" s="114" t="str">
        <f>IF(H7,CONCATENATE("* differential.element[",$B7,"].mapping[",$A7,"].map = """,D7,""""),"")</f>
        <v/>
      </c>
      <c r="K7" s="114" t="str">
        <f>IF(E7&gt;"",CONCATENATE("* differential.element[",$B7,"].mapping[",$A7,"].comment = """,E7,""""),"")</f>
        <v/>
      </c>
      <c r="M7" s="113" t="s">
        <v>50</v>
      </c>
      <c r="N7" s="113" t="s">
        <v>49</v>
      </c>
    </row>
    <row r="8" spans="1:14" x14ac:dyDescent="0.75">
      <c r="A8" s="115">
        <v>0</v>
      </c>
      <c r="B8" s="115">
        <f>'Rad-1'!A7</f>
        <v>1</v>
      </c>
      <c r="C8" s="117" t="str">
        <f>'Rad-1'!B7</f>
        <v>relatedDiagnosis</v>
      </c>
      <c r="D8" s="115"/>
      <c r="H8" s="113" t="b">
        <f t="shared" ref="H8:H50" si="0">IF(D8&gt;"",TRUE,FALSE)</f>
        <v>0</v>
      </c>
      <c r="I8" s="114" t="str">
        <f t="shared" ref="I8:I71" si="1">IF(H8,CONCATENATE("* differential.element[",$B8,"].mapping[",$A8,"].identity = """,$G$1,""""),"")</f>
        <v/>
      </c>
      <c r="J8" s="114" t="str">
        <f t="shared" ref="J8:J50" si="2">IF(H8,CONCATENATE("* differential.element[",$B8,"].mapping[",$A8,"].map = """,D8,""""),"")</f>
        <v/>
      </c>
      <c r="K8" s="114" t="str">
        <f>IF(E8&gt;"",CONCATENATE("* differential.element[",$B8,"].mapping[",$A8,"].comment = """,E8,""""),"")</f>
        <v/>
      </c>
      <c r="M8" s="46"/>
      <c r="N8" s="113" t="str">
        <f t="shared" ref="N8:N41" si="3">CONCATENATE("* ",C8," -&gt; """,D8,"""")</f>
        <v>* relatedDiagnosis -&gt; ""</v>
      </c>
    </row>
    <row r="9" spans="1:14" x14ac:dyDescent="0.75">
      <c r="A9" s="115">
        <v>0</v>
      </c>
      <c r="B9" s="115">
        <f>'Rad-1'!A8</f>
        <v>2</v>
      </c>
      <c r="C9" s="117" t="str">
        <f>'Rad-1'!B8</f>
        <v>relatedRelapse</v>
      </c>
      <c r="D9" s="117"/>
      <c r="H9" s="113" t="b">
        <f t="shared" si="0"/>
        <v>0</v>
      </c>
      <c r="I9" s="114" t="str">
        <f t="shared" si="1"/>
        <v/>
      </c>
      <c r="J9" s="114" t="str">
        <f t="shared" si="2"/>
        <v/>
      </c>
      <c r="K9" s="114" t="str">
        <f t="shared" ref="K9:K50" si="4">IF(E9&gt;"",CONCATENATE("* differential.element[",$B9,"].mapping[",$A9,"].comment = """,E9,""""),"")</f>
        <v/>
      </c>
      <c r="M9" s="46"/>
      <c r="N9" s="113" t="str">
        <f t="shared" si="3"/>
        <v>* relatedRelapse -&gt; ""</v>
      </c>
    </row>
    <row r="10" spans="1:14" ht="29.5" customHeight="1" x14ac:dyDescent="0.75">
      <c r="A10" s="115">
        <v>0</v>
      </c>
      <c r="B10" s="115">
        <f>'Rad-1'!A9</f>
        <v>3</v>
      </c>
      <c r="C10" s="117" t="str">
        <f>'Rad-1'!B9</f>
        <v>identifier</v>
      </c>
      <c r="D10" s="117"/>
      <c r="H10" s="113" t="b">
        <f t="shared" si="0"/>
        <v>0</v>
      </c>
      <c r="I10" s="114" t="str">
        <f t="shared" si="1"/>
        <v/>
      </c>
      <c r="J10" s="114" t="str">
        <f t="shared" si="2"/>
        <v/>
      </c>
      <c r="K10" s="114" t="str">
        <f t="shared" si="4"/>
        <v/>
      </c>
      <c r="M10" s="46"/>
      <c r="N10" s="113" t="str">
        <f t="shared" si="3"/>
        <v>* identifier -&gt; ""</v>
      </c>
    </row>
    <row r="11" spans="1:14" x14ac:dyDescent="0.75">
      <c r="A11" s="115">
        <v>0</v>
      </c>
      <c r="B11" s="115">
        <f>'Rad-1'!A10</f>
        <v>4</v>
      </c>
      <c r="C11" s="117" t="str">
        <f>'Rad-1'!B10</f>
        <v>istitutionOfTreatment</v>
      </c>
      <c r="D11" s="117"/>
      <c r="H11" s="113" t="b">
        <f t="shared" si="0"/>
        <v>0</v>
      </c>
      <c r="I11" s="114" t="str">
        <f t="shared" si="1"/>
        <v/>
      </c>
      <c r="J11" s="114" t="str">
        <f t="shared" si="2"/>
        <v/>
      </c>
      <c r="K11" s="114" t="str">
        <f t="shared" si="4"/>
        <v/>
      </c>
      <c r="M11" s="46"/>
      <c r="N11" s="113" t="str">
        <f t="shared" si="3"/>
        <v>* istitutionOfTreatment -&gt; ""</v>
      </c>
    </row>
    <row r="12" spans="1:14" x14ac:dyDescent="0.75">
      <c r="A12" s="115">
        <v>0</v>
      </c>
      <c r="B12" s="115">
        <f>'Rad-1'!A11</f>
        <v>5</v>
      </c>
      <c r="C12" s="117" t="str">
        <f>'Rad-1'!B11</f>
        <v>istitutionOfTreatment.description</v>
      </c>
      <c r="D12" s="117"/>
      <c r="H12" s="113" t="b">
        <f t="shared" si="0"/>
        <v>0</v>
      </c>
      <c r="I12" s="114" t="str">
        <f t="shared" si="1"/>
        <v/>
      </c>
      <c r="J12" s="114" t="str">
        <f t="shared" si="2"/>
        <v/>
      </c>
      <c r="K12" s="114" t="str">
        <f t="shared" si="4"/>
        <v/>
      </c>
      <c r="M12" s="46"/>
      <c r="N12" s="113" t="str">
        <f t="shared" si="3"/>
        <v>* istitutionOfTreatment.description -&gt; ""</v>
      </c>
    </row>
    <row r="13" spans="1:14" x14ac:dyDescent="0.75">
      <c r="A13" s="115">
        <v>0</v>
      </c>
      <c r="B13" s="115">
        <f>'Rad-1'!A12</f>
        <v>6</v>
      </c>
      <c r="C13" s="117" t="str">
        <f>'Rad-1'!B12</f>
        <v>istitutionOfTreatment.name</v>
      </c>
      <c r="D13" s="117"/>
      <c r="H13" s="113" t="b">
        <f t="shared" si="0"/>
        <v>0</v>
      </c>
      <c r="I13" s="114" t="str">
        <f t="shared" si="1"/>
        <v/>
      </c>
      <c r="J13" s="114" t="str">
        <f t="shared" si="2"/>
        <v/>
      </c>
      <c r="K13" s="114" t="str">
        <f t="shared" si="4"/>
        <v/>
      </c>
      <c r="M13" s="46"/>
      <c r="N13" s="113" t="str">
        <f t="shared" si="3"/>
        <v>* istitutionOfTreatment.name -&gt; ""</v>
      </c>
    </row>
    <row r="14" spans="1:14" x14ac:dyDescent="0.75">
      <c r="A14" s="115">
        <v>0</v>
      </c>
      <c r="B14" s="115">
        <f>'Rad-1'!A13</f>
        <v>7</v>
      </c>
      <c r="C14" s="117" t="str">
        <f>'Rad-1'!B13</f>
        <v>istitutionOfTreatment.address</v>
      </c>
      <c r="D14" s="115"/>
      <c r="H14" s="113" t="b">
        <f t="shared" si="0"/>
        <v>0</v>
      </c>
      <c r="I14" s="114" t="str">
        <f t="shared" si="1"/>
        <v/>
      </c>
      <c r="J14" s="114" t="str">
        <f t="shared" si="2"/>
        <v/>
      </c>
      <c r="K14" s="114" t="str">
        <f t="shared" si="4"/>
        <v/>
      </c>
      <c r="M14" s="46"/>
      <c r="N14" s="113" t="str">
        <f t="shared" si="3"/>
        <v>* istitutionOfTreatment.address -&gt; ""</v>
      </c>
    </row>
    <row r="15" spans="1:14" x14ac:dyDescent="0.75">
      <c r="A15" s="115">
        <v>0</v>
      </c>
      <c r="B15" s="115">
        <f>'Rad-1'!A14</f>
        <v>8</v>
      </c>
      <c r="C15" s="117" t="str">
        <f>'Rad-1'!B14</f>
        <v>istitutionOfTreatment.address.name</v>
      </c>
      <c r="D15" s="115"/>
      <c r="H15" s="113" t="b">
        <f t="shared" si="0"/>
        <v>0</v>
      </c>
      <c r="I15" s="114" t="str">
        <f t="shared" si="1"/>
        <v/>
      </c>
      <c r="J15" s="114" t="str">
        <f t="shared" si="2"/>
        <v/>
      </c>
      <c r="K15" s="114" t="str">
        <f t="shared" si="4"/>
        <v/>
      </c>
      <c r="N15" s="113" t="str">
        <f t="shared" si="3"/>
        <v>* istitutionOfTreatment.address.name -&gt; ""</v>
      </c>
    </row>
    <row r="16" spans="1:14" x14ac:dyDescent="0.75">
      <c r="A16" s="115">
        <v>0</v>
      </c>
      <c r="B16" s="115">
        <f>'Rad-1'!A15</f>
        <v>9</v>
      </c>
      <c r="C16" s="117" t="str">
        <f>'Rad-1'!B15</f>
        <v>istitutionOfTreatment.address.country</v>
      </c>
      <c r="D16" s="115"/>
      <c r="H16" s="113" t="b">
        <f t="shared" si="0"/>
        <v>0</v>
      </c>
      <c r="I16" s="114" t="str">
        <f t="shared" si="1"/>
        <v/>
      </c>
      <c r="J16" s="114" t="str">
        <f t="shared" si="2"/>
        <v/>
      </c>
      <c r="K16" s="114" t="str">
        <f t="shared" si="4"/>
        <v/>
      </c>
      <c r="N16" s="113" t="str">
        <f t="shared" si="3"/>
        <v>* istitutionOfTreatment.address.country -&gt; ""</v>
      </c>
    </row>
    <row r="17" spans="1:14" x14ac:dyDescent="0.75">
      <c r="A17" s="115">
        <v>0</v>
      </c>
      <c r="B17" s="115">
        <f>'Rad-1'!A16</f>
        <v>10</v>
      </c>
      <c r="C17" s="117" t="str">
        <f>'Rad-1'!B16</f>
        <v>startDate</v>
      </c>
      <c r="D17" s="115"/>
      <c r="H17" s="113" t="b">
        <f t="shared" si="0"/>
        <v>0</v>
      </c>
      <c r="I17" s="114" t="str">
        <f t="shared" si="1"/>
        <v/>
      </c>
      <c r="J17" s="114" t="str">
        <f t="shared" si="2"/>
        <v/>
      </c>
      <c r="K17" s="114" t="str">
        <f t="shared" si="4"/>
        <v/>
      </c>
      <c r="N17" s="113" t="str">
        <f t="shared" si="3"/>
        <v>* startDate -&gt; ""</v>
      </c>
    </row>
    <row r="18" spans="1:14" x14ac:dyDescent="0.75">
      <c r="A18" s="115">
        <v>0</v>
      </c>
      <c r="B18" s="115">
        <f>'Rad-1'!A17</f>
        <v>11</v>
      </c>
      <c r="C18" s="117" t="str">
        <f>'Rad-1'!B17</f>
        <v>enddate</v>
      </c>
      <c r="D18" s="115"/>
      <c r="H18" s="113" t="b">
        <f t="shared" si="0"/>
        <v>0</v>
      </c>
      <c r="I18" s="114" t="str">
        <f t="shared" si="1"/>
        <v/>
      </c>
      <c r="J18" s="114" t="str">
        <f t="shared" si="2"/>
        <v/>
      </c>
      <c r="K18" s="114" t="str">
        <f t="shared" si="4"/>
        <v/>
      </c>
      <c r="N18" s="113" t="str">
        <f t="shared" si="3"/>
        <v>* enddate -&gt; ""</v>
      </c>
    </row>
    <row r="19" spans="1:14" x14ac:dyDescent="0.75">
      <c r="A19" s="115">
        <v>0</v>
      </c>
      <c r="B19" s="115">
        <f>'Rad-1'!A18</f>
        <v>12</v>
      </c>
      <c r="C19" s="117" t="str">
        <f>'Rad-1'!B18</f>
        <v>type</v>
      </c>
      <c r="D19" s="115"/>
      <c r="H19" s="113" t="b">
        <f t="shared" si="0"/>
        <v>0</v>
      </c>
      <c r="I19" s="114" t="str">
        <f t="shared" si="1"/>
        <v/>
      </c>
      <c r="J19" s="114" t="str">
        <f t="shared" si="2"/>
        <v/>
      </c>
      <c r="K19" s="114" t="str">
        <f t="shared" si="4"/>
        <v/>
      </c>
      <c r="N19" s="113" t="str">
        <f t="shared" si="3"/>
        <v>* type -&gt; ""</v>
      </c>
    </row>
    <row r="20" spans="1:14" x14ac:dyDescent="0.75">
      <c r="A20" s="115">
        <v>0</v>
      </c>
      <c r="B20" s="115">
        <f>'Rad-1'!A19</f>
        <v>13</v>
      </c>
      <c r="C20" s="117" t="str">
        <f>'Rad-1'!B19</f>
        <v>deviceType</v>
      </c>
      <c r="D20" s="115"/>
      <c r="H20" s="113" t="b">
        <f t="shared" si="0"/>
        <v>0</v>
      </c>
      <c r="I20" s="114" t="str">
        <f t="shared" si="1"/>
        <v/>
      </c>
      <c r="J20" s="114" t="str">
        <f t="shared" si="2"/>
        <v/>
      </c>
      <c r="K20" s="114" t="str">
        <f t="shared" si="4"/>
        <v/>
      </c>
      <c r="N20" s="113" t="str">
        <f t="shared" si="3"/>
        <v>* deviceType -&gt; ""</v>
      </c>
    </row>
    <row r="21" spans="1:14" x14ac:dyDescent="0.75">
      <c r="A21" s="115">
        <v>0</v>
      </c>
      <c r="B21" s="115">
        <f>'Rad-1'!A20</f>
        <v>14</v>
      </c>
      <c r="C21" s="117" t="str">
        <f>'Rad-1'!B20</f>
        <v>brachytherapyType</v>
      </c>
      <c r="D21" s="115"/>
      <c r="H21" s="113" t="b">
        <f t="shared" si="0"/>
        <v>0</v>
      </c>
      <c r="I21" s="114" t="str">
        <f t="shared" si="1"/>
        <v/>
      </c>
      <c r="J21" s="114" t="str">
        <f t="shared" si="2"/>
        <v/>
      </c>
      <c r="K21" s="114" t="str">
        <f t="shared" si="4"/>
        <v/>
      </c>
      <c r="N21" s="113" t="str">
        <f t="shared" si="3"/>
        <v>* brachytherapyType -&gt; ""</v>
      </c>
    </row>
    <row r="22" spans="1:14" x14ac:dyDescent="0.75">
      <c r="A22" s="115">
        <v>0</v>
      </c>
      <c r="B22" s="115">
        <f>'Rad-1'!A21</f>
        <v>15</v>
      </c>
      <c r="C22" s="117" t="str">
        <f>'Rad-1'!B21</f>
        <v>isotopes</v>
      </c>
      <c r="D22" s="115"/>
      <c r="H22" s="113" t="b">
        <f t="shared" si="0"/>
        <v>0</v>
      </c>
      <c r="I22" s="114" t="str">
        <f t="shared" si="1"/>
        <v/>
      </c>
      <c r="J22" s="114" t="str">
        <f t="shared" si="2"/>
        <v/>
      </c>
      <c r="K22" s="114" t="str">
        <f t="shared" si="4"/>
        <v/>
      </c>
      <c r="N22" s="113" t="str">
        <f t="shared" si="3"/>
        <v>* isotopes -&gt; ""</v>
      </c>
    </row>
    <row r="23" spans="1:14" x14ac:dyDescent="0.75">
      <c r="A23" s="115">
        <v>0</v>
      </c>
      <c r="B23" s="115">
        <f>'Rad-1'!A22</f>
        <v>16</v>
      </c>
      <c r="C23" s="117" t="str">
        <f>'Rad-1'!B22</f>
        <v>radionuclides</v>
      </c>
      <c r="D23" s="115"/>
      <c r="H23" s="113" t="b">
        <f t="shared" si="0"/>
        <v>0</v>
      </c>
      <c r="I23" s="114" t="str">
        <f t="shared" si="1"/>
        <v/>
      </c>
      <c r="J23" s="114" t="str">
        <f t="shared" si="2"/>
        <v/>
      </c>
      <c r="K23" s="114" t="str">
        <f t="shared" si="4"/>
        <v/>
      </c>
      <c r="N23" s="113" t="str">
        <f t="shared" si="3"/>
        <v>* radionuclides -&gt; ""</v>
      </c>
    </row>
    <row r="24" spans="1:14" x14ac:dyDescent="0.75">
      <c r="A24" s="115">
        <v>0</v>
      </c>
      <c r="B24" s="115">
        <f>'Rad-1'!A23</f>
        <v>17</v>
      </c>
      <c r="C24" s="117" t="str">
        <f>'Rad-1'!B23</f>
        <v>numberOfCourses</v>
      </c>
      <c r="D24" s="115"/>
      <c r="H24" s="113" t="b">
        <f t="shared" si="0"/>
        <v>0</v>
      </c>
      <c r="I24" s="114" t="str">
        <f t="shared" si="1"/>
        <v/>
      </c>
      <c r="J24" s="114" t="str">
        <f t="shared" si="2"/>
        <v/>
      </c>
      <c r="K24" s="114" t="str">
        <f t="shared" si="4"/>
        <v/>
      </c>
      <c r="N24" s="113" t="str">
        <f t="shared" si="3"/>
        <v>* numberOfCourses -&gt; ""</v>
      </c>
    </row>
    <row r="25" spans="1:14" x14ac:dyDescent="0.75">
      <c r="A25" s="115">
        <v>0</v>
      </c>
      <c r="B25" s="115">
        <f>'Rad-1'!A24</f>
        <v>18</v>
      </c>
      <c r="C25" s="117" t="str">
        <f>'Rad-1'!B24</f>
        <v>target</v>
      </c>
      <c r="D25" s="115"/>
      <c r="H25" s="113" t="b">
        <f t="shared" si="0"/>
        <v>0</v>
      </c>
      <c r="I25" s="114" t="str">
        <f t="shared" si="1"/>
        <v/>
      </c>
      <c r="J25" s="114" t="str">
        <f t="shared" si="2"/>
        <v/>
      </c>
      <c r="K25" s="114" t="str">
        <f t="shared" si="4"/>
        <v/>
      </c>
      <c r="N25" s="113" t="str">
        <f t="shared" si="3"/>
        <v>* target -&gt; ""</v>
      </c>
    </row>
    <row r="26" spans="1:14" x14ac:dyDescent="0.75">
      <c r="A26" s="115">
        <v>0</v>
      </c>
      <c r="B26" s="115">
        <f>'Rad-1'!A25</f>
        <v>19</v>
      </c>
      <c r="C26" s="117" t="str">
        <f>'Rad-1'!B25</f>
        <v>target.site</v>
      </c>
      <c r="D26" s="115"/>
      <c r="H26" s="113" t="b">
        <f t="shared" si="0"/>
        <v>0</v>
      </c>
      <c r="I26" s="114" t="str">
        <f t="shared" si="1"/>
        <v/>
      </c>
      <c r="J26" s="114" t="str">
        <f t="shared" si="2"/>
        <v/>
      </c>
      <c r="K26" s="114" t="str">
        <f t="shared" si="4"/>
        <v/>
      </c>
      <c r="N26" s="113" t="str">
        <f t="shared" si="3"/>
        <v>* target.site -&gt; ""</v>
      </c>
    </row>
    <row r="27" spans="1:14" x14ac:dyDescent="0.75">
      <c r="A27" s="115">
        <v>0</v>
      </c>
      <c r="B27" s="115">
        <f>'Rad-1'!A26</f>
        <v>20</v>
      </c>
      <c r="C27" s="117" t="str">
        <f>'Rad-1'!B26</f>
        <v>target.laterality</v>
      </c>
      <c r="D27" s="115"/>
      <c r="H27" s="113" t="b">
        <f t="shared" si="0"/>
        <v>0</v>
      </c>
      <c r="I27" s="114" t="str">
        <f t="shared" si="1"/>
        <v/>
      </c>
      <c r="J27" s="114" t="str">
        <f t="shared" si="2"/>
        <v/>
      </c>
      <c r="K27" s="114" t="str">
        <f t="shared" si="4"/>
        <v/>
      </c>
      <c r="N27" s="113" t="str">
        <f t="shared" si="3"/>
        <v>* target.laterality -&gt; ""</v>
      </c>
    </row>
    <row r="28" spans="1:14" x14ac:dyDescent="0.75">
      <c r="A28" s="115">
        <v>0</v>
      </c>
      <c r="B28" s="115">
        <f>'Rad-1'!A27</f>
        <v>21</v>
      </c>
      <c r="C28" s="117" t="str">
        <f>'Rad-1'!B27</f>
        <v>target.details</v>
      </c>
      <c r="D28" s="115"/>
      <c r="H28" s="113" t="b">
        <f t="shared" si="0"/>
        <v>0</v>
      </c>
      <c r="I28" s="114" t="str">
        <f t="shared" si="1"/>
        <v/>
      </c>
      <c r="J28" s="114" t="str">
        <f t="shared" si="2"/>
        <v/>
      </c>
      <c r="K28" s="114" t="str">
        <f t="shared" si="4"/>
        <v/>
      </c>
      <c r="N28" s="113" t="str">
        <f t="shared" si="3"/>
        <v>* target.details -&gt; ""</v>
      </c>
    </row>
    <row r="29" spans="1:14" x14ac:dyDescent="0.75">
      <c r="A29" s="115">
        <v>0</v>
      </c>
      <c r="B29" s="115">
        <f>'Rad-1'!A28</f>
        <v>22</v>
      </c>
      <c r="C29" s="117" t="str">
        <f>'Rad-1'!B28</f>
        <v>target.from</v>
      </c>
      <c r="D29" s="115"/>
      <c r="H29" s="113" t="b">
        <f t="shared" si="0"/>
        <v>0</v>
      </c>
      <c r="I29" s="114" t="str">
        <f t="shared" si="1"/>
        <v/>
      </c>
      <c r="J29" s="114" t="str">
        <f t="shared" si="2"/>
        <v/>
      </c>
      <c r="K29" s="114" t="str">
        <f t="shared" si="4"/>
        <v/>
      </c>
      <c r="N29" s="113" t="str">
        <f t="shared" si="3"/>
        <v>* target.from -&gt; ""</v>
      </c>
    </row>
    <row r="30" spans="1:14" x14ac:dyDescent="0.75">
      <c r="A30" s="115">
        <v>0</v>
      </c>
      <c r="B30" s="115">
        <f>'Rad-1'!A29</f>
        <v>23</v>
      </c>
      <c r="C30" s="117" t="str">
        <f>'Rad-1'!B29</f>
        <v>target.to</v>
      </c>
      <c r="D30" s="25"/>
      <c r="H30" s="113" t="b">
        <f t="shared" si="0"/>
        <v>0</v>
      </c>
      <c r="I30" s="114" t="str">
        <f t="shared" si="1"/>
        <v/>
      </c>
      <c r="J30" s="114" t="str">
        <f t="shared" si="2"/>
        <v/>
      </c>
      <c r="K30" s="114" t="str">
        <f t="shared" si="4"/>
        <v/>
      </c>
      <c r="N30" s="113" t="str">
        <f t="shared" si="3"/>
        <v>* target.to -&gt; ""</v>
      </c>
    </row>
    <row r="31" spans="1:14" x14ac:dyDescent="0.75">
      <c r="A31" s="115">
        <v>0</v>
      </c>
      <c r="B31" s="115">
        <f>'Rad-1'!A30</f>
        <v>24</v>
      </c>
      <c r="C31" s="117" t="str">
        <f>'Rad-1'!B30</f>
        <v>target.position</v>
      </c>
      <c r="D31" s="115"/>
      <c r="H31" s="113" t="b">
        <f t="shared" si="0"/>
        <v>0</v>
      </c>
      <c r="I31" s="114" t="str">
        <f t="shared" si="1"/>
        <v/>
      </c>
      <c r="J31" s="114" t="str">
        <f t="shared" si="2"/>
        <v/>
      </c>
      <c r="K31" s="114" t="str">
        <f t="shared" si="4"/>
        <v/>
      </c>
      <c r="N31" s="113" t="str">
        <f t="shared" si="3"/>
        <v>* target.position -&gt; ""</v>
      </c>
    </row>
    <row r="32" spans="1:14" x14ac:dyDescent="0.75">
      <c r="A32" s="115">
        <v>0</v>
      </c>
      <c r="B32" s="115">
        <f>'Rad-1'!A31</f>
        <v>25</v>
      </c>
      <c r="C32" s="117" t="str">
        <f>'Rad-1'!B31</f>
        <v>target.cumulativeDose</v>
      </c>
      <c r="D32" s="115"/>
      <c r="H32" s="113" t="b">
        <f t="shared" si="0"/>
        <v>0</v>
      </c>
      <c r="I32" s="114" t="str">
        <f t="shared" si="1"/>
        <v/>
      </c>
      <c r="J32" s="114" t="str">
        <f t="shared" si="2"/>
        <v/>
      </c>
      <c r="K32" s="114" t="str">
        <f t="shared" si="4"/>
        <v/>
      </c>
      <c r="N32" s="113" t="str">
        <f t="shared" si="3"/>
        <v>* target.cumulativeDose -&gt; ""</v>
      </c>
    </row>
    <row r="33" spans="1:14" x14ac:dyDescent="0.75">
      <c r="A33" s="115">
        <v>0</v>
      </c>
      <c r="B33" s="115">
        <f>'Rad-1'!A32</f>
        <v>26</v>
      </c>
      <c r="C33" s="117" t="str">
        <f>'Rad-1'!B32</f>
        <v>target.cumulativeDose.completionStatus</v>
      </c>
      <c r="D33" s="115"/>
      <c r="H33" s="113" t="b">
        <f t="shared" si="0"/>
        <v>0</v>
      </c>
      <c r="I33" s="114" t="str">
        <f t="shared" si="1"/>
        <v/>
      </c>
      <c r="J33" s="114" t="str">
        <f t="shared" si="2"/>
        <v/>
      </c>
      <c r="K33" s="114" t="str">
        <f t="shared" si="4"/>
        <v/>
      </c>
      <c r="N33" s="113" t="str">
        <f t="shared" si="3"/>
        <v>* target.cumulativeDose.completionStatus -&gt; ""</v>
      </c>
    </row>
    <row r="34" spans="1:14" x14ac:dyDescent="0.75">
      <c r="A34" s="115">
        <v>0</v>
      </c>
      <c r="B34" s="115">
        <f>'Rad-1'!A33</f>
        <v>27</v>
      </c>
      <c r="C34" s="117" t="str">
        <f>'Rad-1'!B33</f>
        <v>target.cumulativeDose.statusReason</v>
      </c>
      <c r="D34" s="115"/>
      <c r="H34" s="113" t="b">
        <f t="shared" si="0"/>
        <v>0</v>
      </c>
      <c r="I34" s="114" t="str">
        <f t="shared" si="1"/>
        <v/>
      </c>
      <c r="J34" s="114" t="str">
        <f t="shared" si="2"/>
        <v/>
      </c>
      <c r="K34" s="114" t="str">
        <f t="shared" si="4"/>
        <v/>
      </c>
      <c r="N34" s="113" t="str">
        <f t="shared" si="3"/>
        <v>* target.cumulativeDose.statusReason -&gt; ""</v>
      </c>
    </row>
    <row r="35" spans="1:14" x14ac:dyDescent="0.75">
      <c r="A35" s="115">
        <v>0</v>
      </c>
      <c r="B35" s="115">
        <f>'Rad-1'!A34</f>
        <v>28</v>
      </c>
      <c r="C35" s="117" t="str">
        <f>'Rad-1'!B34</f>
        <v>target.cumulativeDose.notKnown</v>
      </c>
      <c r="D35" s="25"/>
      <c r="H35" s="113" t="b">
        <f t="shared" si="0"/>
        <v>0</v>
      </c>
      <c r="I35" s="114" t="str">
        <f t="shared" si="1"/>
        <v/>
      </c>
      <c r="J35" s="114" t="str">
        <f t="shared" si="2"/>
        <v/>
      </c>
      <c r="K35" s="114" t="str">
        <f t="shared" si="4"/>
        <v/>
      </c>
      <c r="N35" s="113" t="str">
        <f t="shared" si="3"/>
        <v>* target.cumulativeDose.notKnown -&gt; ""</v>
      </c>
    </row>
    <row r="36" spans="1:14" x14ac:dyDescent="0.75">
      <c r="A36" s="115">
        <v>0</v>
      </c>
      <c r="B36" s="115">
        <f>'Rad-1'!A35</f>
        <v>29</v>
      </c>
      <c r="C36" s="117" t="str">
        <f>'Rad-1'!B35</f>
        <v>target.cumulativeDose.dose</v>
      </c>
      <c r="D36" s="115"/>
      <c r="H36" s="113" t="b">
        <f t="shared" si="0"/>
        <v>0</v>
      </c>
      <c r="I36" s="114" t="str">
        <f t="shared" si="1"/>
        <v/>
      </c>
      <c r="J36" s="114" t="str">
        <f t="shared" si="2"/>
        <v/>
      </c>
      <c r="K36" s="114" t="str">
        <f t="shared" si="4"/>
        <v/>
      </c>
      <c r="N36" s="113" t="str">
        <f t="shared" si="3"/>
        <v>* target.cumulativeDose.dose -&gt; ""</v>
      </c>
    </row>
    <row r="37" spans="1:14" x14ac:dyDescent="0.75">
      <c r="A37" s="115">
        <v>0</v>
      </c>
      <c r="B37" s="115">
        <f>'Rad-1'!A36</f>
        <v>30</v>
      </c>
      <c r="C37" s="117" t="str">
        <f>'Rad-1'!B36</f>
        <v>target.cumulativeDose.unit</v>
      </c>
      <c r="D37" s="115"/>
      <c r="H37" s="113" t="b">
        <f t="shared" si="0"/>
        <v>0</v>
      </c>
      <c r="I37" s="114" t="str">
        <f t="shared" si="1"/>
        <v/>
      </c>
      <c r="J37" s="114" t="str">
        <f t="shared" si="2"/>
        <v/>
      </c>
      <c r="K37" s="114" t="str">
        <f t="shared" si="4"/>
        <v/>
      </c>
      <c r="N37" s="113" t="str">
        <f t="shared" si="3"/>
        <v>* target.cumulativeDose.unit -&gt; ""</v>
      </c>
    </row>
    <row r="38" spans="1:14" x14ac:dyDescent="0.75">
      <c r="A38" s="115">
        <v>0</v>
      </c>
      <c r="B38" s="115">
        <f>'Rad-1'!A37</f>
        <v>31</v>
      </c>
      <c r="C38" s="117" t="str">
        <f>'Rad-1'!B37</f>
        <v>target.cumulativeDose.fractions</v>
      </c>
      <c r="D38" s="115"/>
      <c r="H38" s="113" t="b">
        <f t="shared" si="0"/>
        <v>0</v>
      </c>
      <c r="I38" s="114" t="str">
        <f t="shared" si="1"/>
        <v/>
      </c>
      <c r="J38" s="114" t="str">
        <f t="shared" si="2"/>
        <v/>
      </c>
      <c r="K38" s="114" t="str">
        <f t="shared" si="4"/>
        <v/>
      </c>
      <c r="N38" s="113" t="str">
        <f t="shared" si="3"/>
        <v>* target.cumulativeDose.fractions -&gt; ""</v>
      </c>
    </row>
    <row r="39" spans="1:14" x14ac:dyDescent="0.75">
      <c r="A39" s="115">
        <v>0</v>
      </c>
      <c r="B39" s="115">
        <f>'Rad-1'!A38</f>
        <v>32</v>
      </c>
      <c r="C39" s="117" t="str">
        <f>'Rad-1'!B38</f>
        <v>target.boost</v>
      </c>
      <c r="D39" s="115"/>
      <c r="H39" s="113" t="b">
        <f t="shared" si="0"/>
        <v>0</v>
      </c>
      <c r="I39" s="114" t="str">
        <f t="shared" si="1"/>
        <v/>
      </c>
      <c r="J39" s="114" t="str">
        <f t="shared" si="2"/>
        <v/>
      </c>
      <c r="K39" s="114" t="str">
        <f t="shared" si="4"/>
        <v/>
      </c>
      <c r="N39" s="113" t="str">
        <f t="shared" si="3"/>
        <v>* target.boost -&gt; ""</v>
      </c>
    </row>
    <row r="40" spans="1:14" x14ac:dyDescent="0.75">
      <c r="A40" s="115">
        <v>0</v>
      </c>
      <c r="B40" s="115">
        <f>'Rad-1'!A39</f>
        <v>33</v>
      </c>
      <c r="C40" s="117" t="str">
        <f>'Rad-1'!B39</f>
        <v>target.boost.type</v>
      </c>
      <c r="D40" s="115"/>
      <c r="H40" s="113" t="b">
        <f t="shared" si="0"/>
        <v>0</v>
      </c>
      <c r="I40" s="114" t="str">
        <f t="shared" si="1"/>
        <v/>
      </c>
      <c r="J40" s="114" t="str">
        <f t="shared" si="2"/>
        <v/>
      </c>
      <c r="K40" s="114" t="str">
        <f t="shared" si="4"/>
        <v/>
      </c>
      <c r="N40" s="113" t="str">
        <f t="shared" si="3"/>
        <v>* target.boost.type -&gt; ""</v>
      </c>
    </row>
    <row r="41" spans="1:14" x14ac:dyDescent="0.75">
      <c r="A41" s="115">
        <v>0</v>
      </c>
      <c r="B41" s="115">
        <f>'Rad-1'!A40</f>
        <v>34</v>
      </c>
      <c r="C41" s="117" t="str">
        <f>'Rad-1'!B40</f>
        <v>target.boost.given</v>
      </c>
      <c r="D41" s="47"/>
      <c r="H41" s="113" t="b">
        <f t="shared" si="0"/>
        <v>0</v>
      </c>
      <c r="I41" s="114" t="str">
        <f t="shared" si="1"/>
        <v/>
      </c>
      <c r="J41" s="114" t="str">
        <f t="shared" si="2"/>
        <v/>
      </c>
      <c r="K41" s="114" t="str">
        <f t="shared" si="4"/>
        <v/>
      </c>
      <c r="N41" s="113" t="str">
        <f t="shared" si="3"/>
        <v>* target.boost.given -&gt; ""</v>
      </c>
    </row>
    <row r="42" spans="1:14" x14ac:dyDescent="0.75">
      <c r="A42" s="115">
        <v>0</v>
      </c>
      <c r="B42" s="115">
        <f>'Rad-1'!A41</f>
        <v>35</v>
      </c>
      <c r="C42" s="117" t="str">
        <f>'Rad-1'!B41</f>
        <v>target.boost.site</v>
      </c>
      <c r="D42" s="115"/>
      <c r="H42" s="113" t="b">
        <f t="shared" si="0"/>
        <v>0</v>
      </c>
      <c r="I42" s="114" t="str">
        <f t="shared" si="1"/>
        <v/>
      </c>
      <c r="J42" s="114" t="str">
        <f t="shared" si="2"/>
        <v/>
      </c>
      <c r="K42" s="114" t="str">
        <f t="shared" si="4"/>
        <v/>
      </c>
    </row>
    <row r="43" spans="1:14" x14ac:dyDescent="0.75">
      <c r="A43" s="115">
        <v>0</v>
      </c>
      <c r="B43" s="115">
        <f>'Rad-1'!A42</f>
        <v>36</v>
      </c>
      <c r="C43" s="117" t="str">
        <f>'Rad-1'!B42</f>
        <v>target.boost.laterality</v>
      </c>
      <c r="D43" s="115"/>
      <c r="H43" s="113" t="b">
        <f t="shared" si="0"/>
        <v>0</v>
      </c>
      <c r="I43" s="114" t="str">
        <f t="shared" si="1"/>
        <v/>
      </c>
      <c r="J43" s="114" t="str">
        <f t="shared" si="2"/>
        <v/>
      </c>
      <c r="K43" s="114" t="str">
        <f t="shared" si="4"/>
        <v/>
      </c>
    </row>
    <row r="44" spans="1:14" x14ac:dyDescent="0.75">
      <c r="A44" s="115">
        <v>0</v>
      </c>
      <c r="B44" s="115">
        <f>'Rad-1'!A43</f>
        <v>37</v>
      </c>
      <c r="C44" s="117" t="str">
        <f>'Rad-1'!B43</f>
        <v>target.boost.details</v>
      </c>
      <c r="D44" s="115"/>
      <c r="H44" s="113" t="b">
        <f t="shared" si="0"/>
        <v>0</v>
      </c>
      <c r="I44" s="114" t="str">
        <f t="shared" si="1"/>
        <v/>
      </c>
      <c r="J44" s="114" t="str">
        <f t="shared" si="2"/>
        <v/>
      </c>
      <c r="K44" s="114" t="str">
        <f t="shared" si="4"/>
        <v/>
      </c>
    </row>
    <row r="45" spans="1:14" x14ac:dyDescent="0.75">
      <c r="A45" s="115">
        <v>0</v>
      </c>
      <c r="B45" s="115">
        <f>'Rad-1'!A44</f>
        <v>38</v>
      </c>
      <c r="C45" s="117" t="str">
        <f>'Rad-1'!B44</f>
        <v>target.boost.from</v>
      </c>
      <c r="D45" s="115"/>
      <c r="H45" s="113" t="b">
        <f t="shared" si="0"/>
        <v>0</v>
      </c>
      <c r="I45" s="114" t="str">
        <f t="shared" si="1"/>
        <v/>
      </c>
      <c r="J45" s="114" t="str">
        <f t="shared" si="2"/>
        <v/>
      </c>
      <c r="K45" s="114" t="str">
        <f t="shared" si="4"/>
        <v/>
      </c>
    </row>
    <row r="46" spans="1:14" x14ac:dyDescent="0.75">
      <c r="A46" s="115">
        <v>0</v>
      </c>
      <c r="B46" s="115">
        <f>'Rad-1'!A45</f>
        <v>39</v>
      </c>
      <c r="C46" s="117" t="str">
        <f>'Rad-1'!B45</f>
        <v>target.boost.to</v>
      </c>
      <c r="H46" s="113" t="b">
        <f t="shared" si="0"/>
        <v>0</v>
      </c>
      <c r="I46" s="114" t="str">
        <f t="shared" si="1"/>
        <v/>
      </c>
      <c r="J46" s="114" t="str">
        <f t="shared" si="2"/>
        <v/>
      </c>
      <c r="K46" s="114" t="str">
        <f t="shared" si="4"/>
        <v/>
      </c>
    </row>
    <row r="47" spans="1:14" x14ac:dyDescent="0.75">
      <c r="A47" s="115">
        <v>0</v>
      </c>
      <c r="B47" s="115">
        <f>'Rad-1'!A46</f>
        <v>40</v>
      </c>
      <c r="C47" s="117" t="str">
        <f>'Rad-1'!B46</f>
        <v>target.boost.position</v>
      </c>
      <c r="H47" s="113" t="b">
        <f t="shared" si="0"/>
        <v>0</v>
      </c>
      <c r="I47" s="114" t="str">
        <f t="shared" si="1"/>
        <v/>
      </c>
      <c r="J47" s="114" t="str">
        <f t="shared" si="2"/>
        <v/>
      </c>
      <c r="K47" s="114" t="str">
        <f t="shared" si="4"/>
        <v/>
      </c>
    </row>
    <row r="48" spans="1:14" x14ac:dyDescent="0.75">
      <c r="A48" s="115">
        <v>0</v>
      </c>
      <c r="B48" s="115">
        <f>'Rad-1'!A47</f>
        <v>41</v>
      </c>
      <c r="C48" s="117" t="str">
        <f>'Rad-1'!B47</f>
        <v>target.boost.cumulativeDose</v>
      </c>
      <c r="H48" s="113" t="b">
        <f t="shared" si="0"/>
        <v>0</v>
      </c>
      <c r="I48" s="114" t="str">
        <f t="shared" si="1"/>
        <v/>
      </c>
      <c r="J48" s="114" t="str">
        <f t="shared" si="2"/>
        <v/>
      </c>
      <c r="K48" s="114" t="str">
        <f t="shared" si="4"/>
        <v/>
      </c>
    </row>
    <row r="49" spans="1:11" x14ac:dyDescent="0.75">
      <c r="A49" s="115">
        <v>0</v>
      </c>
      <c r="B49" s="115">
        <f>'Rad-1'!A48</f>
        <v>42</v>
      </c>
      <c r="C49" s="117" t="str">
        <f>'Rad-1'!B48</f>
        <v>target.boost.cumulativeDose.completionStatus</v>
      </c>
      <c r="H49" s="113" t="b">
        <f t="shared" si="0"/>
        <v>0</v>
      </c>
      <c r="I49" s="114" t="str">
        <f t="shared" si="1"/>
        <v/>
      </c>
      <c r="J49" s="114" t="str">
        <f t="shared" si="2"/>
        <v/>
      </c>
      <c r="K49" s="114" t="str">
        <f t="shared" si="4"/>
        <v/>
      </c>
    </row>
    <row r="50" spans="1:11" x14ac:dyDescent="0.75">
      <c r="A50" s="115">
        <v>0</v>
      </c>
      <c r="B50" s="115">
        <f>'Rad-1'!A49</f>
        <v>43</v>
      </c>
      <c r="C50" s="117" t="str">
        <f>'Rad-1'!B49</f>
        <v>target.boost.cumulativeDose.statusReason</v>
      </c>
      <c r="H50" s="113" t="b">
        <f t="shared" si="0"/>
        <v>0</v>
      </c>
      <c r="I50" s="114" t="str">
        <f t="shared" si="1"/>
        <v/>
      </c>
      <c r="J50" s="114" t="str">
        <f t="shared" si="2"/>
        <v/>
      </c>
      <c r="K50" s="114" t="str">
        <f t="shared" si="4"/>
        <v/>
      </c>
    </row>
    <row r="51" spans="1:11" x14ac:dyDescent="0.75">
      <c r="A51" s="115">
        <v>0</v>
      </c>
      <c r="B51" s="115">
        <f>'Rad-1'!A50</f>
        <v>44</v>
      </c>
      <c r="C51" s="117" t="str">
        <f>'Rad-1'!B50</f>
        <v>target.boost.cumulativeDose.notKnown</v>
      </c>
      <c r="H51" s="113" t="b">
        <f>IF(D51&gt;"",TRUE,FALSE)</f>
        <v>0</v>
      </c>
      <c r="I51" s="114" t="str">
        <f>IF(H51,CONCATENATE("* differential.element[",$B51,"].mapping[",$A51,"].identity = """,$G$1,""""),"")</f>
        <v/>
      </c>
      <c r="J51" s="114" t="str">
        <f>IF(H51,CONCATENATE("* differential.element[",$B51,"].mapping[",$A51,"].map = """,D51,""""),"")</f>
        <v/>
      </c>
    </row>
    <row r="52" spans="1:11" x14ac:dyDescent="0.75">
      <c r="A52" s="115">
        <v>0</v>
      </c>
      <c r="B52" s="115">
        <f>'Rad-1'!A51</f>
        <v>45</v>
      </c>
      <c r="C52" s="117" t="str">
        <f>'Rad-1'!B51</f>
        <v>target.boost.cumulativeDose.dose</v>
      </c>
      <c r="H52" s="113" t="b">
        <f t="shared" ref="H52:H74" si="5">IF(D52&gt;"",TRUE,FALSE)</f>
        <v>0</v>
      </c>
      <c r="I52" s="114" t="str">
        <f t="shared" si="1"/>
        <v/>
      </c>
      <c r="J52" s="114" t="str">
        <f t="shared" ref="J52:J74" si="6">IF(H52,CONCATENATE("* differential.element[",$B52,"].mapping[",$A52,"].map = """,D52,""""),"")</f>
        <v/>
      </c>
    </row>
    <row r="53" spans="1:11" x14ac:dyDescent="0.75">
      <c r="A53" s="115">
        <v>0</v>
      </c>
      <c r="B53" s="115">
        <f>'Rad-1'!A52</f>
        <v>46</v>
      </c>
      <c r="C53" s="117" t="str">
        <f>'Rad-1'!B52</f>
        <v>target.boost.cumulativeDose.unit</v>
      </c>
      <c r="H53" s="113" t="b">
        <f t="shared" si="5"/>
        <v>0</v>
      </c>
      <c r="I53" s="114" t="str">
        <f t="shared" si="1"/>
        <v/>
      </c>
      <c r="J53" s="114" t="str">
        <f t="shared" si="6"/>
        <v/>
      </c>
    </row>
    <row r="54" spans="1:11" x14ac:dyDescent="0.75">
      <c r="A54" s="115">
        <v>0</v>
      </c>
      <c r="B54" s="115">
        <f>'Rad-1'!A53</f>
        <v>47</v>
      </c>
      <c r="C54" s="117" t="str">
        <f>'Rad-1'!B53</f>
        <v>target.boost.cumulativeDose.fractions</v>
      </c>
      <c r="H54" s="113" t="b">
        <f t="shared" si="5"/>
        <v>0</v>
      </c>
      <c r="I54" s="114" t="str">
        <f t="shared" si="1"/>
        <v/>
      </c>
      <c r="J54" s="114" t="str">
        <f t="shared" si="6"/>
        <v/>
      </c>
    </row>
    <row r="55" spans="1:11" x14ac:dyDescent="0.75">
      <c r="A55" s="115">
        <v>0</v>
      </c>
      <c r="B55" s="115">
        <f>'Rad-1'!A54</f>
        <v>48</v>
      </c>
      <c r="C55" s="117" t="str">
        <f>'Rad-1'!B54</f>
        <v>target.site.shielding</v>
      </c>
      <c r="H55" s="113" t="b">
        <f t="shared" si="5"/>
        <v>0</v>
      </c>
      <c r="I55" s="114" t="str">
        <f t="shared" si="1"/>
        <v/>
      </c>
      <c r="J55" s="114" t="str">
        <f t="shared" si="6"/>
        <v/>
      </c>
    </row>
    <row r="56" spans="1:11" x14ac:dyDescent="0.75">
      <c r="A56" s="115">
        <v>0</v>
      </c>
      <c r="B56" s="115">
        <f>'Rad-1'!A55</f>
        <v>49</v>
      </c>
      <c r="C56" s="117" t="str">
        <f>'Rad-1'!B55</f>
        <v>target.site.shielding.status</v>
      </c>
      <c r="H56" s="113" t="b">
        <f t="shared" si="5"/>
        <v>0</v>
      </c>
      <c r="I56" s="114" t="str">
        <f t="shared" si="1"/>
        <v/>
      </c>
      <c r="J56" s="114" t="str">
        <f t="shared" si="6"/>
        <v/>
      </c>
    </row>
    <row r="57" spans="1:11" x14ac:dyDescent="0.75">
      <c r="A57" s="115">
        <v>0</v>
      </c>
      <c r="B57" s="115">
        <f>'Rad-1'!A56</f>
        <v>50</v>
      </c>
      <c r="C57" s="117" t="str">
        <f>'Rad-1'!B56</f>
        <v>target.site.shielding.position</v>
      </c>
      <c r="H57" s="113" t="b">
        <f t="shared" si="5"/>
        <v>0</v>
      </c>
      <c r="I57" s="114" t="str">
        <f t="shared" si="1"/>
        <v/>
      </c>
      <c r="J57" s="114" t="str">
        <f t="shared" si="6"/>
        <v/>
      </c>
    </row>
    <row r="58" spans="1:11" x14ac:dyDescent="0.75">
      <c r="A58" s="115">
        <v>0</v>
      </c>
      <c r="B58" s="115">
        <f>'Rad-1'!A57</f>
        <v>51</v>
      </c>
      <c r="C58" s="117" t="str">
        <f>'Rad-1'!B57</f>
        <v>target.site.notes</v>
      </c>
      <c r="H58" s="113" t="b">
        <f t="shared" si="5"/>
        <v>0</v>
      </c>
      <c r="I58" s="114" t="str">
        <f t="shared" si="1"/>
        <v/>
      </c>
      <c r="J58" s="114" t="str">
        <f t="shared" si="6"/>
        <v/>
      </c>
    </row>
    <row r="59" spans="1:11" x14ac:dyDescent="0.75">
      <c r="A59" s="115">
        <v>0</v>
      </c>
      <c r="B59" s="115">
        <f>'Rad-1'!A58</f>
        <v>52</v>
      </c>
      <c r="C59" s="117" t="str">
        <f>'Rad-1'!B58</f>
        <v>organAtRisk</v>
      </c>
      <c r="H59" s="113" t="b">
        <f t="shared" si="5"/>
        <v>0</v>
      </c>
      <c r="I59" s="114" t="str">
        <f t="shared" si="1"/>
        <v/>
      </c>
      <c r="J59" s="114" t="str">
        <f t="shared" si="6"/>
        <v/>
      </c>
    </row>
    <row r="60" spans="1:11" x14ac:dyDescent="0.75">
      <c r="A60" s="115">
        <v>0</v>
      </c>
      <c r="B60" s="115">
        <f>'Rad-1'!A59</f>
        <v>53</v>
      </c>
      <c r="C60" s="117" t="str">
        <f>'Rad-1'!B59</f>
        <v>organAtRisk.dosimetry</v>
      </c>
      <c r="H60" s="113" t="b">
        <f t="shared" si="5"/>
        <v>0</v>
      </c>
      <c r="I60" s="114" t="str">
        <f t="shared" si="1"/>
        <v/>
      </c>
      <c r="J60" s="114" t="str">
        <f t="shared" si="6"/>
        <v/>
      </c>
    </row>
    <row r="61" spans="1:11" x14ac:dyDescent="0.75">
      <c r="A61" s="115">
        <v>0</v>
      </c>
      <c r="B61" s="115">
        <f>'Rad-1'!A60</f>
        <v>54</v>
      </c>
      <c r="C61" s="117" t="str">
        <f>'Rad-1'!B60</f>
        <v>organAtRisk.dosimetryDocument</v>
      </c>
      <c r="H61" s="113" t="b">
        <f t="shared" si="5"/>
        <v>0</v>
      </c>
      <c r="I61" s="114" t="str">
        <f t="shared" si="1"/>
        <v/>
      </c>
      <c r="J61" s="114" t="str">
        <f t="shared" si="6"/>
        <v/>
      </c>
    </row>
    <row r="62" spans="1:11" x14ac:dyDescent="0.75">
      <c r="A62" s="115">
        <v>0</v>
      </c>
      <c r="B62" s="115">
        <f>'Rad-1'!A61</f>
        <v>55</v>
      </c>
      <c r="C62" s="117" t="str">
        <f>'Rad-1'!B61</f>
        <v>files</v>
      </c>
      <c r="H62" s="113" t="b">
        <f t="shared" si="5"/>
        <v>0</v>
      </c>
      <c r="I62" s="114" t="str">
        <f t="shared" si="1"/>
        <v/>
      </c>
      <c r="J62" s="114" t="str">
        <f t="shared" si="6"/>
        <v/>
      </c>
    </row>
    <row r="63" spans="1:11" x14ac:dyDescent="0.75">
      <c r="A63" s="115">
        <v>0</v>
      </c>
      <c r="B63" s="115">
        <f>'Rad-1'!A62</f>
        <v>56</v>
      </c>
      <c r="C63" s="117" t="str">
        <f>'Rad-1'!B62</f>
        <v>notes</v>
      </c>
      <c r="H63" s="113" t="b">
        <f t="shared" si="5"/>
        <v>0</v>
      </c>
      <c r="I63" s="114" t="str">
        <f t="shared" si="1"/>
        <v/>
      </c>
      <c r="J63" s="114" t="str">
        <f t="shared" si="6"/>
        <v/>
      </c>
    </row>
    <row r="64" spans="1:11" x14ac:dyDescent="0.75">
      <c r="A64" s="115"/>
      <c r="B64" s="115"/>
      <c r="C64" s="117"/>
      <c r="H64" s="113" t="b">
        <f t="shared" si="5"/>
        <v>0</v>
      </c>
      <c r="I64" s="114" t="str">
        <f t="shared" si="1"/>
        <v/>
      </c>
      <c r="J64" s="114" t="str">
        <f t="shared" si="6"/>
        <v/>
      </c>
    </row>
    <row r="65" spans="1:10" x14ac:dyDescent="0.75">
      <c r="A65" s="115"/>
      <c r="B65" s="115"/>
      <c r="C65" s="117"/>
      <c r="H65" s="113" t="b">
        <f t="shared" si="5"/>
        <v>0</v>
      </c>
      <c r="I65" s="114" t="str">
        <f t="shared" si="1"/>
        <v/>
      </c>
      <c r="J65" s="114" t="str">
        <f t="shared" si="6"/>
        <v/>
      </c>
    </row>
    <row r="66" spans="1:10" x14ac:dyDescent="0.75">
      <c r="A66" s="115"/>
      <c r="B66" s="115"/>
      <c r="C66" s="117"/>
      <c r="H66" s="113" t="b">
        <f t="shared" si="5"/>
        <v>0</v>
      </c>
      <c r="I66" s="114" t="str">
        <f t="shared" si="1"/>
        <v/>
      </c>
      <c r="J66" s="114" t="str">
        <f t="shared" si="6"/>
        <v/>
      </c>
    </row>
    <row r="67" spans="1:10" x14ac:dyDescent="0.75">
      <c r="A67" s="115"/>
      <c r="B67" s="115"/>
      <c r="C67" s="117"/>
      <c r="H67" s="113" t="b">
        <f t="shared" si="5"/>
        <v>0</v>
      </c>
      <c r="I67" s="114" t="str">
        <f t="shared" si="1"/>
        <v/>
      </c>
      <c r="J67" s="114" t="str">
        <f t="shared" si="6"/>
        <v/>
      </c>
    </row>
    <row r="68" spans="1:10" x14ac:dyDescent="0.75">
      <c r="A68" s="115"/>
      <c r="B68" s="115"/>
      <c r="C68" s="117"/>
      <c r="H68" s="113" t="b">
        <f t="shared" si="5"/>
        <v>0</v>
      </c>
      <c r="I68" s="114" t="str">
        <f t="shared" si="1"/>
        <v/>
      </c>
      <c r="J68" s="114" t="str">
        <f t="shared" si="6"/>
        <v/>
      </c>
    </row>
    <row r="69" spans="1:10" x14ac:dyDescent="0.75">
      <c r="A69" s="115"/>
      <c r="B69" s="115"/>
      <c r="C69" s="117"/>
      <c r="H69" s="113" t="b">
        <f t="shared" si="5"/>
        <v>0</v>
      </c>
      <c r="I69" s="114" t="str">
        <f t="shared" si="1"/>
        <v/>
      </c>
      <c r="J69" s="114" t="str">
        <f t="shared" si="6"/>
        <v/>
      </c>
    </row>
    <row r="70" spans="1:10" x14ac:dyDescent="0.75">
      <c r="A70" s="115"/>
      <c r="B70" s="115"/>
      <c r="C70" s="117"/>
      <c r="H70" s="113" t="b">
        <f t="shared" si="5"/>
        <v>0</v>
      </c>
      <c r="I70" s="114" t="str">
        <f t="shared" si="1"/>
        <v/>
      </c>
      <c r="J70" s="114" t="str">
        <f t="shared" si="6"/>
        <v/>
      </c>
    </row>
    <row r="71" spans="1:10" x14ac:dyDescent="0.75">
      <c r="A71" s="115"/>
      <c r="B71" s="115"/>
      <c r="C71" s="117"/>
      <c r="H71" s="113" t="b">
        <f t="shared" si="5"/>
        <v>0</v>
      </c>
      <c r="I71" s="114" t="str">
        <f t="shared" si="1"/>
        <v/>
      </c>
      <c r="J71" s="114" t="str">
        <f t="shared" si="6"/>
        <v/>
      </c>
    </row>
    <row r="72" spans="1:10" x14ac:dyDescent="0.75">
      <c r="A72" s="115"/>
      <c r="B72" s="115"/>
      <c r="C72" s="117"/>
      <c r="H72" s="113" t="b">
        <f t="shared" si="5"/>
        <v>0</v>
      </c>
      <c r="I72" s="114" t="str">
        <f t="shared" ref="I72:I74" si="7">IF(H72,CONCATENATE("* differential.element[",$B72,"].mapping[",$A72,"].identity = """,$G$1,""""),"")</f>
        <v/>
      </c>
      <c r="J72" s="114" t="str">
        <f t="shared" si="6"/>
        <v/>
      </c>
    </row>
    <row r="73" spans="1:10" x14ac:dyDescent="0.75">
      <c r="A73" s="115"/>
      <c r="B73" s="115"/>
      <c r="C73" s="117"/>
      <c r="H73" s="113" t="b">
        <f t="shared" si="5"/>
        <v>0</v>
      </c>
      <c r="I73" s="114" t="str">
        <f t="shared" si="7"/>
        <v/>
      </c>
      <c r="J73" s="114" t="str">
        <f t="shared" si="6"/>
        <v/>
      </c>
    </row>
    <row r="74" spans="1:10" x14ac:dyDescent="0.75">
      <c r="A74" s="115"/>
      <c r="B74" s="115"/>
      <c r="C74" s="117"/>
      <c r="H74" s="113" t="b">
        <f t="shared" si="5"/>
        <v>0</v>
      </c>
      <c r="I74" s="114" t="str">
        <f t="shared" si="7"/>
        <v/>
      </c>
      <c r="J74" s="114" t="str">
        <f t="shared" si="6"/>
        <v/>
      </c>
    </row>
    <row r="75" spans="1:10" x14ac:dyDescent="0.75">
      <c r="A75" s="115"/>
      <c r="B75" s="115"/>
      <c r="C75" s="117"/>
    </row>
    <row r="76" spans="1:10" x14ac:dyDescent="0.75">
      <c r="A76" s="115"/>
      <c r="B76" s="115"/>
      <c r="C76" s="117"/>
    </row>
    <row r="77" spans="1:10" x14ac:dyDescent="0.75">
      <c r="A77" s="115"/>
      <c r="B77" s="115"/>
      <c r="C77" s="117"/>
    </row>
    <row r="78" spans="1:10" x14ac:dyDescent="0.75">
      <c r="A78" s="115"/>
      <c r="B78" s="115"/>
      <c r="C78" s="117"/>
    </row>
    <row r="79" spans="1:10" x14ac:dyDescent="0.75">
      <c r="A79" s="115"/>
      <c r="B79" s="115"/>
      <c r="C79" s="117"/>
    </row>
    <row r="80" spans="1:10" x14ac:dyDescent="0.75">
      <c r="A80" s="115">
        <v>0</v>
      </c>
      <c r="B80" s="115">
        <f>'Rad-1'!A79</f>
        <v>0</v>
      </c>
      <c r="C80" s="117">
        <f>'Rad-1'!B79</f>
        <v>0</v>
      </c>
    </row>
    <row r="81" spans="1:3" x14ac:dyDescent="0.75">
      <c r="A81" s="115">
        <v>0</v>
      </c>
      <c r="B81" s="115">
        <f>'Rad-1'!A80</f>
        <v>0</v>
      </c>
      <c r="C81" s="117">
        <f>'Rad-1'!B80</f>
        <v>0</v>
      </c>
    </row>
    <row r="82" spans="1:3" x14ac:dyDescent="0.75">
      <c r="A82" s="115">
        <v>0</v>
      </c>
      <c r="B82" s="115">
        <f>'Rad-1'!A81</f>
        <v>0</v>
      </c>
      <c r="C82" s="117">
        <f>'Rad-1'!B81</f>
        <v>0</v>
      </c>
    </row>
    <row r="83" spans="1:3" x14ac:dyDescent="0.75">
      <c r="A83" s="115">
        <v>0</v>
      </c>
      <c r="B83" s="115">
        <f>'Rad-1'!A82</f>
        <v>0</v>
      </c>
      <c r="C83" s="117">
        <f>'Rad-1'!B82</f>
        <v>0</v>
      </c>
    </row>
    <row r="84" spans="1:3" x14ac:dyDescent="0.75">
      <c r="A84" s="115">
        <v>0</v>
      </c>
      <c r="B84" s="115">
        <f>'Rad-1'!A83</f>
        <v>0</v>
      </c>
      <c r="C84" s="117">
        <f>'Rad-1'!B83</f>
        <v>0</v>
      </c>
    </row>
    <row r="85" spans="1:3" x14ac:dyDescent="0.75">
      <c r="A85" s="115">
        <v>0</v>
      </c>
      <c r="B85" s="115">
        <f>'Rad-1'!A84</f>
        <v>0</v>
      </c>
      <c r="C85" s="117">
        <f>'Rad-1'!B84</f>
        <v>0</v>
      </c>
    </row>
    <row r="86" spans="1:3" x14ac:dyDescent="0.75">
      <c r="A86" s="115">
        <v>0</v>
      </c>
      <c r="B86" s="115">
        <f>'Rad-1'!A85</f>
        <v>0</v>
      </c>
      <c r="C86" s="117">
        <f>'Rad-1'!B85</f>
        <v>0</v>
      </c>
    </row>
    <row r="87" spans="1:3" x14ac:dyDescent="0.75">
      <c r="A87" s="115">
        <v>0</v>
      </c>
      <c r="B87" s="115">
        <f>'Rad-1'!A86</f>
        <v>0</v>
      </c>
      <c r="C87" s="117">
        <f>'Rad-1'!B86</f>
        <v>0</v>
      </c>
    </row>
    <row r="88" spans="1:3" x14ac:dyDescent="0.75">
      <c r="A88" s="115">
        <v>0</v>
      </c>
      <c r="B88" s="115">
        <f>'Rad-1'!A87</f>
        <v>0</v>
      </c>
      <c r="C88" s="117">
        <f>'Rad-1'!B87</f>
        <v>0</v>
      </c>
    </row>
    <row r="89" spans="1:3" x14ac:dyDescent="0.75">
      <c r="A89" s="115">
        <v>0</v>
      </c>
      <c r="B89" s="115">
        <f>'Rad-1'!A88</f>
        <v>0</v>
      </c>
      <c r="C89" s="117">
        <f>'Rad-1'!B88</f>
        <v>0</v>
      </c>
    </row>
    <row r="90" spans="1:3" x14ac:dyDescent="0.75">
      <c r="A90" s="115">
        <v>0</v>
      </c>
      <c r="B90" s="115">
        <f>'Rad-1'!A89</f>
        <v>0</v>
      </c>
      <c r="C90" s="117">
        <f>'Rad-1'!B89</f>
        <v>0</v>
      </c>
    </row>
    <row r="91" spans="1:3" x14ac:dyDescent="0.75">
      <c r="A91" s="115">
        <v>0</v>
      </c>
      <c r="B91" s="115">
        <f>'Rad-1'!A90</f>
        <v>0</v>
      </c>
      <c r="C91" s="117">
        <f>'Rad-1'!B90</f>
        <v>0</v>
      </c>
    </row>
    <row r="92" spans="1:3" x14ac:dyDescent="0.75">
      <c r="A92" s="115">
        <v>0</v>
      </c>
      <c r="B92" s="115">
        <f>'Rad-1'!A91</f>
        <v>0</v>
      </c>
      <c r="C92" s="117">
        <f>'Rad-1'!B91</f>
        <v>0</v>
      </c>
    </row>
    <row r="93" spans="1:3" x14ac:dyDescent="0.75">
      <c r="B93" s="113">
        <f>'Base-1'!A79</f>
        <v>0</v>
      </c>
      <c r="C93" s="113">
        <f>'Base-1'!B79</f>
        <v>0</v>
      </c>
    </row>
    <row r="94" spans="1:3" x14ac:dyDescent="0.75">
      <c r="B94" s="113">
        <f>'Base-1'!A80</f>
        <v>0</v>
      </c>
      <c r="C94" s="113">
        <f>'Base-1'!B80</f>
        <v>0</v>
      </c>
    </row>
    <row r="95" spans="1:3" x14ac:dyDescent="0.75">
      <c r="B95" s="113">
        <f>'Base-1'!A81</f>
        <v>0</v>
      </c>
      <c r="C95" s="113">
        <f>'Base-1'!B81</f>
        <v>0</v>
      </c>
    </row>
    <row r="96" spans="1:3" x14ac:dyDescent="0.75">
      <c r="B96" s="113">
        <f>'Base-1'!A82</f>
        <v>0</v>
      </c>
      <c r="C96" s="113">
        <f>'Base-1'!B82</f>
        <v>0</v>
      </c>
    </row>
    <row r="97" spans="2:3" x14ac:dyDescent="0.75">
      <c r="B97" s="113">
        <f>'Base-1'!A83</f>
        <v>0</v>
      </c>
      <c r="C97" s="113">
        <f>'Base-1'!B83</f>
        <v>0</v>
      </c>
    </row>
    <row r="98" spans="2:3" x14ac:dyDescent="0.75">
      <c r="B98" s="113">
        <f>'Base-1'!A84</f>
        <v>0</v>
      </c>
      <c r="C98" s="113">
        <f>'Base-1'!B84</f>
        <v>0</v>
      </c>
    </row>
    <row r="99" spans="2:3" x14ac:dyDescent="0.75">
      <c r="B99" s="113">
        <f>'Base-1'!A85</f>
        <v>0</v>
      </c>
      <c r="C99" s="113">
        <f>'Base-1'!B85</f>
        <v>0</v>
      </c>
    </row>
    <row r="100" spans="2:3" x14ac:dyDescent="0.75">
      <c r="B100" s="113">
        <f>'Base-1'!A86</f>
        <v>0</v>
      </c>
      <c r="C100" s="113">
        <f>'Base-1'!B86</f>
        <v>0</v>
      </c>
    </row>
    <row r="101" spans="2:3" x14ac:dyDescent="0.75">
      <c r="B101" s="113">
        <f>'Base-1'!A87</f>
        <v>0</v>
      </c>
      <c r="C101" s="113">
        <f>'Base-1'!B87</f>
        <v>0</v>
      </c>
    </row>
    <row r="102" spans="2:3" x14ac:dyDescent="0.75">
      <c r="B102" s="113">
        <f>'Base-1'!A88</f>
        <v>0</v>
      </c>
      <c r="C102" s="113">
        <f>'Base-1'!B88</f>
        <v>0</v>
      </c>
    </row>
    <row r="103" spans="2:3" x14ac:dyDescent="0.75">
      <c r="B103" s="113">
        <f>'Base-1'!A89</f>
        <v>0</v>
      </c>
      <c r="C103" s="113">
        <f>'Base-1'!B89</f>
        <v>0</v>
      </c>
    </row>
    <row r="104" spans="2:3" x14ac:dyDescent="0.75">
      <c r="B104" s="113">
        <f>'Base-1'!A90</f>
        <v>0</v>
      </c>
      <c r="C104" s="113">
        <f>'Base-1'!B90</f>
        <v>0</v>
      </c>
    </row>
    <row r="105" spans="2:3" x14ac:dyDescent="0.75">
      <c r="B105" s="113">
        <f>'Base-1'!A91</f>
        <v>0</v>
      </c>
      <c r="C105" s="113">
        <f>'Base-1'!B91</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13"/>
    <col min="4" max="4" width="130.81640625" style="113" customWidth="1"/>
    <col min="5" max="5" width="19.86328125" style="113" customWidth="1"/>
    <col min="6" max="6" width="8.7265625" style="113"/>
    <col min="7" max="7" width="69.36328125" style="113" customWidth="1"/>
    <col min="8" max="16384" width="8.7265625" style="113"/>
  </cols>
  <sheetData>
    <row r="2" spans="1:5" x14ac:dyDescent="0.75">
      <c r="D2" s="8"/>
    </row>
    <row r="3" spans="1:5" x14ac:dyDescent="0.75">
      <c r="A3" s="115">
        <v>1</v>
      </c>
      <c r="B3" s="115">
        <f>IF(MOD(A3,3)=0,A3/3-1,INT(A3/3))</f>
        <v>0</v>
      </c>
      <c r="C3" s="115">
        <f>IF(MOD(A3,3)=0,3,MOD(A3,3))</f>
        <v>1</v>
      </c>
      <c r="D3" s="113" t="str" cm="1">
        <f t="array" ref="D3">INDEX('Radio-Map2-1'!$I$7:$K$100,1+B3,C3)</f>
        <v/>
      </c>
      <c r="E3" s="113" t="str">
        <f>INDEX('Radio-Map2-1'!$I$8:$K$17,1,1)</f>
        <v/>
      </c>
    </row>
    <row r="4" spans="1:5" x14ac:dyDescent="0.75">
      <c r="A4" s="115">
        <v>2</v>
      </c>
      <c r="B4" s="115">
        <f t="shared" ref="B4:B67" si="0">IF(MOD(A4,3)=0,A4/3-1,INT(A4/3))</f>
        <v>0</v>
      </c>
      <c r="C4" s="115">
        <f t="shared" ref="C4:C67" si="1">IF(MOD(A4,3)=0,3,MOD(A4,3))</f>
        <v>2</v>
      </c>
      <c r="D4" s="113" t="str" cm="1">
        <f t="array" ref="D4">INDEX('Radio-Map2-1'!$I$7:$K$100,1+B4,C4)</f>
        <v/>
      </c>
    </row>
    <row r="5" spans="1:5" x14ac:dyDescent="0.75">
      <c r="A5" s="115">
        <v>3</v>
      </c>
      <c r="B5" s="115">
        <f t="shared" si="0"/>
        <v>0</v>
      </c>
      <c r="C5" s="115">
        <f t="shared" si="1"/>
        <v>3</v>
      </c>
      <c r="D5" s="113" t="str" cm="1">
        <f t="array" ref="D5">INDEX('Radio-Map2-1'!$I$7:$K$100,1+B5,C5)</f>
        <v/>
      </c>
    </row>
    <row r="6" spans="1:5" x14ac:dyDescent="0.75">
      <c r="A6" s="115">
        <v>4</v>
      </c>
      <c r="B6" s="115">
        <f t="shared" si="0"/>
        <v>1</v>
      </c>
      <c r="C6" s="115">
        <f t="shared" si="1"/>
        <v>1</v>
      </c>
      <c r="D6" s="113" t="str" cm="1">
        <f t="array" ref="D6">INDEX('Radio-Map2-1'!$I$7:$K$100,1+B6,C6)</f>
        <v/>
      </c>
    </row>
    <row r="7" spans="1:5" x14ac:dyDescent="0.75">
      <c r="A7" s="115">
        <v>5</v>
      </c>
      <c r="B7" s="115">
        <f t="shared" si="0"/>
        <v>1</v>
      </c>
      <c r="C7" s="115">
        <f t="shared" si="1"/>
        <v>2</v>
      </c>
      <c r="D7" s="113" t="str" cm="1">
        <f t="array" ref="D7">INDEX('Radio-Map2-1'!$I$7:$K$100,1+B7,C7)</f>
        <v/>
      </c>
    </row>
    <row r="8" spans="1:5" x14ac:dyDescent="0.75">
      <c r="A8" s="115">
        <v>6</v>
      </c>
      <c r="B8" s="115">
        <f t="shared" si="0"/>
        <v>1</v>
      </c>
      <c r="C8" s="115">
        <f t="shared" si="1"/>
        <v>3</v>
      </c>
      <c r="D8" s="113" t="str" cm="1">
        <f t="array" ref="D8">INDEX('Radio-Map2-1'!$I$7:$K$100,1+B8,C8)</f>
        <v/>
      </c>
    </row>
    <row r="9" spans="1:5" x14ac:dyDescent="0.75">
      <c r="A9" s="115">
        <v>7</v>
      </c>
      <c r="B9" s="115">
        <f t="shared" si="0"/>
        <v>2</v>
      </c>
      <c r="C9" s="115">
        <f t="shared" si="1"/>
        <v>1</v>
      </c>
      <c r="D9" s="113" t="str" cm="1">
        <f t="array" ref="D9">INDEX('Radio-Map2-1'!$I$7:$K$100,1+B9,C9)</f>
        <v/>
      </c>
    </row>
    <row r="10" spans="1:5" x14ac:dyDescent="0.75">
      <c r="A10" s="115">
        <v>8</v>
      </c>
      <c r="B10" s="115">
        <f t="shared" si="0"/>
        <v>2</v>
      </c>
      <c r="C10" s="115">
        <f t="shared" si="1"/>
        <v>2</v>
      </c>
      <c r="D10" s="113" t="str" cm="1">
        <f t="array" ref="D10">INDEX('Radio-Map2-1'!$I$7:$K$100,1+B10,C10)</f>
        <v/>
      </c>
    </row>
    <row r="11" spans="1:5" x14ac:dyDescent="0.75">
      <c r="A11" s="115">
        <v>9</v>
      </c>
      <c r="B11" s="115">
        <f t="shared" si="0"/>
        <v>2</v>
      </c>
      <c r="C11" s="115">
        <f t="shared" si="1"/>
        <v>3</v>
      </c>
      <c r="D11" s="113" t="str" cm="1">
        <f t="array" ref="D11">INDEX('Radio-Map2-1'!$I$7:$K$100,1+B11,C11)</f>
        <v/>
      </c>
    </row>
    <row r="12" spans="1:5" x14ac:dyDescent="0.75">
      <c r="A12" s="115">
        <v>10</v>
      </c>
      <c r="B12" s="115">
        <f t="shared" si="0"/>
        <v>3</v>
      </c>
      <c r="C12" s="115">
        <f t="shared" si="1"/>
        <v>1</v>
      </c>
      <c r="D12" s="113" t="str" cm="1">
        <f t="array" ref="D12">INDEX('Radio-Map2-1'!$I$7:$K$100,1+B12,C12)</f>
        <v/>
      </c>
    </row>
    <row r="13" spans="1:5" x14ac:dyDescent="0.75">
      <c r="A13" s="115">
        <v>11</v>
      </c>
      <c r="B13" s="115">
        <f t="shared" si="0"/>
        <v>3</v>
      </c>
      <c r="C13" s="115">
        <f t="shared" si="1"/>
        <v>2</v>
      </c>
      <c r="D13" s="113" t="str" cm="1">
        <f t="array" ref="D13">INDEX('Radio-Map2-1'!$I$7:$K$100,1+B13,C13)</f>
        <v/>
      </c>
    </row>
    <row r="14" spans="1:5" x14ac:dyDescent="0.75">
      <c r="A14" s="115">
        <v>12</v>
      </c>
      <c r="B14" s="115">
        <f t="shared" si="0"/>
        <v>3</v>
      </c>
      <c r="C14" s="115">
        <f t="shared" si="1"/>
        <v>3</v>
      </c>
      <c r="D14" s="113" t="str" cm="1">
        <f t="array" ref="D14">INDEX('Radio-Map2-1'!$I$7:$K$100,1+B14,C14)</f>
        <v/>
      </c>
    </row>
    <row r="15" spans="1:5" x14ac:dyDescent="0.75">
      <c r="A15" s="115">
        <v>13</v>
      </c>
      <c r="B15" s="115">
        <f t="shared" si="0"/>
        <v>4</v>
      </c>
      <c r="C15" s="115">
        <f t="shared" si="1"/>
        <v>1</v>
      </c>
      <c r="D15" s="113" t="str" cm="1">
        <f t="array" ref="D15">INDEX('Radio-Map2-1'!$I$7:$K$100,1+B15,C15)</f>
        <v/>
      </c>
    </row>
    <row r="16" spans="1:5" x14ac:dyDescent="0.75">
      <c r="A16" s="115">
        <v>14</v>
      </c>
      <c r="B16" s="115">
        <f t="shared" si="0"/>
        <v>4</v>
      </c>
      <c r="C16" s="115">
        <f t="shared" si="1"/>
        <v>2</v>
      </c>
      <c r="D16" s="113" t="str" cm="1">
        <f t="array" ref="D16">INDEX('Radio-Map2-1'!$I$7:$K$100,1+B16,C16)</f>
        <v/>
      </c>
    </row>
    <row r="17" spans="1:4" x14ac:dyDescent="0.75">
      <c r="A17" s="115">
        <v>15</v>
      </c>
      <c r="B17" s="115">
        <f t="shared" si="0"/>
        <v>4</v>
      </c>
      <c r="C17" s="115">
        <f t="shared" si="1"/>
        <v>3</v>
      </c>
      <c r="D17" s="113" t="str" cm="1">
        <f t="array" ref="D17">INDEX('Radio-Map2-1'!$I$7:$K$100,1+B17,C17)</f>
        <v/>
      </c>
    </row>
    <row r="18" spans="1:4" x14ac:dyDescent="0.75">
      <c r="A18" s="115">
        <v>16</v>
      </c>
      <c r="B18" s="115">
        <f t="shared" si="0"/>
        <v>5</v>
      </c>
      <c r="C18" s="115">
        <f t="shared" si="1"/>
        <v>1</v>
      </c>
      <c r="D18" s="113" t="str" cm="1">
        <f t="array" ref="D18">INDEX('Radio-Map2-1'!$I$7:$K$100,1+B18,C18)</f>
        <v/>
      </c>
    </row>
    <row r="19" spans="1:4" x14ac:dyDescent="0.75">
      <c r="A19" s="115">
        <v>17</v>
      </c>
      <c r="B19" s="115">
        <f t="shared" si="0"/>
        <v>5</v>
      </c>
      <c r="C19" s="115">
        <f t="shared" si="1"/>
        <v>2</v>
      </c>
      <c r="D19" s="113" t="str" cm="1">
        <f t="array" ref="D19">INDEX('Radio-Map2-1'!$I$7:$K$100,1+B19,C19)</f>
        <v/>
      </c>
    </row>
    <row r="20" spans="1:4" x14ac:dyDescent="0.75">
      <c r="A20" s="115">
        <v>18</v>
      </c>
      <c r="B20" s="115">
        <f t="shared" si="0"/>
        <v>5</v>
      </c>
      <c r="C20" s="115">
        <f t="shared" si="1"/>
        <v>3</v>
      </c>
      <c r="D20" s="113" t="str" cm="1">
        <f t="array" ref="D20">INDEX('Radio-Map2-1'!$I$7:$K$100,1+B20,C20)</f>
        <v/>
      </c>
    </row>
    <row r="21" spans="1:4" x14ac:dyDescent="0.75">
      <c r="A21" s="115">
        <v>19</v>
      </c>
      <c r="B21" s="115">
        <f t="shared" si="0"/>
        <v>6</v>
      </c>
      <c r="C21" s="115">
        <f t="shared" si="1"/>
        <v>1</v>
      </c>
      <c r="D21" s="113" t="str" cm="1">
        <f t="array" ref="D21">INDEX('Radio-Map2-1'!$I$7:$K$100,1+B21,C21)</f>
        <v/>
      </c>
    </row>
    <row r="22" spans="1:4" x14ac:dyDescent="0.75">
      <c r="A22" s="115">
        <v>20</v>
      </c>
      <c r="B22" s="115">
        <f t="shared" si="0"/>
        <v>6</v>
      </c>
      <c r="C22" s="115">
        <f t="shared" si="1"/>
        <v>2</v>
      </c>
      <c r="D22" s="113" t="str" cm="1">
        <f t="array" ref="D22">INDEX('Radio-Map2-1'!$I$7:$K$100,1+B22,C22)</f>
        <v/>
      </c>
    </row>
    <row r="23" spans="1:4" x14ac:dyDescent="0.75">
      <c r="A23" s="115">
        <v>21</v>
      </c>
      <c r="B23" s="115">
        <f t="shared" si="0"/>
        <v>6</v>
      </c>
      <c r="C23" s="115">
        <f t="shared" si="1"/>
        <v>3</v>
      </c>
      <c r="D23" s="113" t="str" cm="1">
        <f t="array" ref="D23">INDEX('Radio-Map2-1'!$I$7:$K$100,1+B23,C23)</f>
        <v/>
      </c>
    </row>
    <row r="24" spans="1:4" x14ac:dyDescent="0.75">
      <c r="A24" s="115">
        <v>22</v>
      </c>
      <c r="B24" s="115">
        <f t="shared" si="0"/>
        <v>7</v>
      </c>
      <c r="C24" s="115">
        <f t="shared" si="1"/>
        <v>1</v>
      </c>
      <c r="D24" s="113" t="str" cm="1">
        <f t="array" ref="D24">INDEX('Radio-Map2-1'!$I$7:$K$100,1+B24,C24)</f>
        <v/>
      </c>
    </row>
    <row r="25" spans="1:4" x14ac:dyDescent="0.75">
      <c r="A25" s="115">
        <v>23</v>
      </c>
      <c r="B25" s="115">
        <f t="shared" si="0"/>
        <v>7</v>
      </c>
      <c r="C25" s="115">
        <f t="shared" si="1"/>
        <v>2</v>
      </c>
      <c r="D25" s="113" t="str" cm="1">
        <f t="array" ref="D25">INDEX('Radio-Map2-1'!$I$7:$K$100,1+B25,C25)</f>
        <v/>
      </c>
    </row>
    <row r="26" spans="1:4" x14ac:dyDescent="0.75">
      <c r="A26" s="115">
        <v>24</v>
      </c>
      <c r="B26" s="115">
        <f t="shared" si="0"/>
        <v>7</v>
      </c>
      <c r="C26" s="115">
        <f t="shared" si="1"/>
        <v>3</v>
      </c>
      <c r="D26" s="113" t="str" cm="1">
        <f t="array" ref="D26">INDEX('Radio-Map2-1'!$I$7:$K$100,1+B26,C26)</f>
        <v/>
      </c>
    </row>
    <row r="27" spans="1:4" x14ac:dyDescent="0.75">
      <c r="A27" s="115">
        <v>25</v>
      </c>
      <c r="B27" s="115">
        <f t="shared" si="0"/>
        <v>8</v>
      </c>
      <c r="C27" s="115">
        <f t="shared" si="1"/>
        <v>1</v>
      </c>
      <c r="D27" s="113" t="str" cm="1">
        <f t="array" ref="D27">INDEX('Radio-Map2-1'!$I$7:$K$100,1+B27,C27)</f>
        <v/>
      </c>
    </row>
    <row r="28" spans="1:4" x14ac:dyDescent="0.75">
      <c r="A28" s="115">
        <v>26</v>
      </c>
      <c r="B28" s="115">
        <f t="shared" si="0"/>
        <v>8</v>
      </c>
      <c r="C28" s="115">
        <f t="shared" si="1"/>
        <v>2</v>
      </c>
      <c r="D28" s="113" t="str" cm="1">
        <f t="array" ref="D28">INDEX('Radio-Map2-1'!$I$7:$K$100,1+B28,C28)</f>
        <v/>
      </c>
    </row>
    <row r="29" spans="1:4" x14ac:dyDescent="0.75">
      <c r="A29" s="115">
        <v>27</v>
      </c>
      <c r="B29" s="115">
        <f t="shared" si="0"/>
        <v>8</v>
      </c>
      <c r="C29" s="115">
        <f t="shared" si="1"/>
        <v>3</v>
      </c>
      <c r="D29" s="113" t="str" cm="1">
        <f t="array" ref="D29">INDEX('Radio-Map2-1'!$I$7:$K$100,1+B29,C29)</f>
        <v/>
      </c>
    </row>
    <row r="30" spans="1:4" x14ac:dyDescent="0.75">
      <c r="A30" s="115">
        <v>28</v>
      </c>
      <c r="B30" s="115">
        <f t="shared" si="0"/>
        <v>9</v>
      </c>
      <c r="C30" s="115">
        <f t="shared" si="1"/>
        <v>1</v>
      </c>
      <c r="D30" s="113" t="str" cm="1">
        <f t="array" ref="D30">INDEX('Radio-Map2-1'!$I$7:$K$100,1+B30,C30)</f>
        <v/>
      </c>
    </row>
    <row r="31" spans="1:4" x14ac:dyDescent="0.75">
      <c r="A31" s="115">
        <v>29</v>
      </c>
      <c r="B31" s="115">
        <f t="shared" si="0"/>
        <v>9</v>
      </c>
      <c r="C31" s="115">
        <f t="shared" si="1"/>
        <v>2</v>
      </c>
      <c r="D31" s="113" t="str" cm="1">
        <f t="array" ref="D31">INDEX('Radio-Map2-1'!$I$7:$K$100,1+B31,C31)</f>
        <v/>
      </c>
    </row>
    <row r="32" spans="1:4" x14ac:dyDescent="0.75">
      <c r="A32" s="115">
        <v>30</v>
      </c>
      <c r="B32" s="115">
        <f t="shared" si="0"/>
        <v>9</v>
      </c>
      <c r="C32" s="115">
        <f t="shared" si="1"/>
        <v>3</v>
      </c>
      <c r="D32" s="113" t="str" cm="1">
        <f t="array" ref="D32">INDEX('Radio-Map2-1'!$I$7:$K$100,1+B32,C32)</f>
        <v/>
      </c>
    </row>
    <row r="33" spans="1:4" x14ac:dyDescent="0.75">
      <c r="A33" s="115">
        <v>31</v>
      </c>
      <c r="B33" s="115">
        <f t="shared" si="0"/>
        <v>10</v>
      </c>
      <c r="C33" s="115">
        <f t="shared" si="1"/>
        <v>1</v>
      </c>
      <c r="D33" s="113" t="str" cm="1">
        <f t="array" ref="D33">INDEX('Radio-Map2-1'!$I$7:$K$100,1+B33,C33)</f>
        <v/>
      </c>
    </row>
    <row r="34" spans="1:4" x14ac:dyDescent="0.75">
      <c r="A34" s="115">
        <v>32</v>
      </c>
      <c r="B34" s="115">
        <f t="shared" si="0"/>
        <v>10</v>
      </c>
      <c r="C34" s="115">
        <f t="shared" si="1"/>
        <v>2</v>
      </c>
      <c r="D34" s="113" t="str" cm="1">
        <f t="array" ref="D34">INDEX('Radio-Map2-1'!$I$7:$K$100,1+B34,C34)</f>
        <v/>
      </c>
    </row>
    <row r="35" spans="1:4" x14ac:dyDescent="0.75">
      <c r="A35" s="115">
        <v>33</v>
      </c>
      <c r="B35" s="115">
        <f t="shared" si="0"/>
        <v>10</v>
      </c>
      <c r="C35" s="115">
        <f t="shared" si="1"/>
        <v>3</v>
      </c>
      <c r="D35" s="113" t="str" cm="1">
        <f t="array" ref="D35">INDEX('Radio-Map2-1'!$I$7:$K$100,1+B35,C35)</f>
        <v/>
      </c>
    </row>
    <row r="36" spans="1:4" x14ac:dyDescent="0.75">
      <c r="A36" s="115">
        <v>34</v>
      </c>
      <c r="B36" s="115">
        <f t="shared" si="0"/>
        <v>11</v>
      </c>
      <c r="C36" s="115">
        <f t="shared" si="1"/>
        <v>1</v>
      </c>
      <c r="D36" s="113" t="str" cm="1">
        <f t="array" ref="D36">INDEX('Radio-Map2-1'!$I$7:$K$100,1+B36,C36)</f>
        <v/>
      </c>
    </row>
    <row r="37" spans="1:4" x14ac:dyDescent="0.75">
      <c r="A37" s="115">
        <v>35</v>
      </c>
      <c r="B37" s="115">
        <f t="shared" si="0"/>
        <v>11</v>
      </c>
      <c r="C37" s="115">
        <f t="shared" si="1"/>
        <v>2</v>
      </c>
      <c r="D37" s="113" t="str" cm="1">
        <f t="array" ref="D37">INDEX('Radio-Map2-1'!$I$7:$K$100,1+B37,C37)</f>
        <v/>
      </c>
    </row>
    <row r="38" spans="1:4" x14ac:dyDescent="0.75">
      <c r="A38" s="115">
        <v>36</v>
      </c>
      <c r="B38" s="115">
        <f t="shared" si="0"/>
        <v>11</v>
      </c>
      <c r="C38" s="115">
        <f t="shared" si="1"/>
        <v>3</v>
      </c>
      <c r="D38" s="113" t="str" cm="1">
        <f t="array" ref="D38">INDEX('Radio-Map2-1'!$I$7:$K$100,1+B38,C38)</f>
        <v/>
      </c>
    </row>
    <row r="39" spans="1:4" x14ac:dyDescent="0.75">
      <c r="A39" s="115">
        <v>37</v>
      </c>
      <c r="B39" s="115">
        <f t="shared" si="0"/>
        <v>12</v>
      </c>
      <c r="C39" s="115">
        <f t="shared" si="1"/>
        <v>1</v>
      </c>
      <c r="D39" s="113" t="str" cm="1">
        <f t="array" ref="D39">INDEX('Radio-Map2-1'!$I$7:$K$100,1+B39,C39)</f>
        <v/>
      </c>
    </row>
    <row r="40" spans="1:4" x14ac:dyDescent="0.75">
      <c r="A40" s="115">
        <v>38</v>
      </c>
      <c r="B40" s="115">
        <f t="shared" si="0"/>
        <v>12</v>
      </c>
      <c r="C40" s="115">
        <f t="shared" si="1"/>
        <v>2</v>
      </c>
      <c r="D40" s="113" t="str" cm="1">
        <f t="array" ref="D40">INDEX('Radio-Map2-1'!$I$7:$K$100,1+B40,C40)</f>
        <v/>
      </c>
    </row>
    <row r="41" spans="1:4" x14ac:dyDescent="0.75">
      <c r="A41" s="115">
        <v>39</v>
      </c>
      <c r="B41" s="115">
        <f t="shared" si="0"/>
        <v>12</v>
      </c>
      <c r="C41" s="115">
        <f t="shared" si="1"/>
        <v>3</v>
      </c>
      <c r="D41" s="113" t="str" cm="1">
        <f t="array" ref="D41">INDEX('Radio-Map2-1'!$I$7:$K$100,1+B41,C41)</f>
        <v/>
      </c>
    </row>
    <row r="42" spans="1:4" x14ac:dyDescent="0.75">
      <c r="A42" s="115">
        <v>40</v>
      </c>
      <c r="B42" s="115">
        <f t="shared" si="0"/>
        <v>13</v>
      </c>
      <c r="C42" s="115">
        <f t="shared" si="1"/>
        <v>1</v>
      </c>
      <c r="D42" s="113" t="str" cm="1">
        <f t="array" ref="D42">INDEX('Radio-Map2-1'!$I$7:$K$100,1+B42,C42)</f>
        <v/>
      </c>
    </row>
    <row r="43" spans="1:4" x14ac:dyDescent="0.75">
      <c r="A43" s="115">
        <v>41</v>
      </c>
      <c r="B43" s="115">
        <f t="shared" si="0"/>
        <v>13</v>
      </c>
      <c r="C43" s="115">
        <f t="shared" si="1"/>
        <v>2</v>
      </c>
      <c r="D43" s="113" t="str" cm="1">
        <f t="array" ref="D43">INDEX('Radio-Map2-1'!$I$7:$K$100,1+B43,C43)</f>
        <v/>
      </c>
    </row>
    <row r="44" spans="1:4" x14ac:dyDescent="0.75">
      <c r="A44" s="115">
        <v>42</v>
      </c>
      <c r="B44" s="115">
        <f t="shared" si="0"/>
        <v>13</v>
      </c>
      <c r="C44" s="115">
        <f t="shared" si="1"/>
        <v>3</v>
      </c>
      <c r="D44" s="113" t="str" cm="1">
        <f t="array" ref="D44">INDEX('Radio-Map2-1'!$I$7:$K$100,1+B44,C44)</f>
        <v/>
      </c>
    </row>
    <row r="45" spans="1:4" x14ac:dyDescent="0.75">
      <c r="A45" s="115">
        <v>43</v>
      </c>
      <c r="B45" s="115">
        <f t="shared" si="0"/>
        <v>14</v>
      </c>
      <c r="C45" s="115">
        <f t="shared" si="1"/>
        <v>1</v>
      </c>
      <c r="D45" s="113" t="str" cm="1">
        <f t="array" ref="D45">INDEX('Radio-Map2-1'!$I$7:$K$100,1+B45,C45)</f>
        <v/>
      </c>
    </row>
    <row r="46" spans="1:4" x14ac:dyDescent="0.75">
      <c r="A46" s="115">
        <v>44</v>
      </c>
      <c r="B46" s="115">
        <f t="shared" si="0"/>
        <v>14</v>
      </c>
      <c r="C46" s="115">
        <f t="shared" si="1"/>
        <v>2</v>
      </c>
      <c r="D46" s="113" t="str" cm="1">
        <f t="array" ref="D46">INDEX('Radio-Map2-1'!$I$7:$K$100,1+B46,C46)</f>
        <v/>
      </c>
    </row>
    <row r="47" spans="1:4" x14ac:dyDescent="0.75">
      <c r="A47" s="115">
        <v>45</v>
      </c>
      <c r="B47" s="115">
        <f t="shared" si="0"/>
        <v>14</v>
      </c>
      <c r="C47" s="115">
        <f t="shared" si="1"/>
        <v>3</v>
      </c>
      <c r="D47" s="113" t="str" cm="1">
        <f t="array" ref="D47">INDEX('Radio-Map2-1'!$I$7:$K$100,1+B47,C47)</f>
        <v/>
      </c>
    </row>
    <row r="48" spans="1:4" x14ac:dyDescent="0.75">
      <c r="A48" s="115">
        <v>46</v>
      </c>
      <c r="B48" s="115">
        <f t="shared" si="0"/>
        <v>15</v>
      </c>
      <c r="C48" s="115">
        <f t="shared" si="1"/>
        <v>1</v>
      </c>
      <c r="D48" s="113" t="str" cm="1">
        <f t="array" ref="D48">INDEX('Radio-Map2-1'!$I$7:$K$100,1+B48,C48)</f>
        <v/>
      </c>
    </row>
    <row r="49" spans="1:7" x14ac:dyDescent="0.75">
      <c r="A49" s="115">
        <v>47</v>
      </c>
      <c r="B49" s="115">
        <f t="shared" si="0"/>
        <v>15</v>
      </c>
      <c r="C49" s="115">
        <f t="shared" si="1"/>
        <v>2</v>
      </c>
      <c r="D49" s="113" t="str" cm="1">
        <f t="array" ref="D49">INDEX('Radio-Map2-1'!$I$7:$K$100,1+B49,C49)</f>
        <v/>
      </c>
    </row>
    <row r="50" spans="1:7" x14ac:dyDescent="0.75">
      <c r="A50" s="115">
        <v>48</v>
      </c>
      <c r="B50" s="115">
        <f t="shared" si="0"/>
        <v>15</v>
      </c>
      <c r="C50" s="115">
        <f t="shared" si="1"/>
        <v>3</v>
      </c>
      <c r="D50" s="113" t="str" cm="1">
        <f t="array" ref="D50">INDEX('Radio-Map2-1'!$I$7:$K$100,1+B50,C50)</f>
        <v/>
      </c>
    </row>
    <row r="51" spans="1:7" x14ac:dyDescent="0.75">
      <c r="A51" s="115">
        <v>49</v>
      </c>
      <c r="B51" s="115">
        <f t="shared" si="0"/>
        <v>16</v>
      </c>
      <c r="C51" s="115">
        <f t="shared" si="1"/>
        <v>1</v>
      </c>
      <c r="D51" s="113" t="str" cm="1">
        <f t="array" ref="D51">INDEX('Radio-Map2-1'!$I$7:$K$100,1+B51,C51)</f>
        <v/>
      </c>
    </row>
    <row r="52" spans="1:7" x14ac:dyDescent="0.75">
      <c r="A52" s="115">
        <v>50</v>
      </c>
      <c r="B52" s="115">
        <f t="shared" si="0"/>
        <v>16</v>
      </c>
      <c r="C52" s="115">
        <f t="shared" si="1"/>
        <v>2</v>
      </c>
      <c r="D52" s="113" t="str" cm="1">
        <f t="array" ref="D52">INDEX('Radio-Map2-1'!$I$7:$K$100,1+B52,C52)</f>
        <v/>
      </c>
    </row>
    <row r="53" spans="1:7" x14ac:dyDescent="0.75">
      <c r="A53" s="115">
        <v>51</v>
      </c>
      <c r="B53" s="115">
        <f t="shared" si="0"/>
        <v>16</v>
      </c>
      <c r="C53" s="115">
        <f t="shared" si="1"/>
        <v>3</v>
      </c>
      <c r="D53" s="113" t="str" cm="1">
        <f t="array" ref="D53">INDEX('Radio-Map2-1'!$I$7:$K$100,1+B53,C53)</f>
        <v/>
      </c>
    </row>
    <row r="54" spans="1:7" x14ac:dyDescent="0.75">
      <c r="A54" s="115">
        <v>52</v>
      </c>
      <c r="B54" s="115">
        <f t="shared" si="0"/>
        <v>17</v>
      </c>
      <c r="C54" s="115">
        <f t="shared" si="1"/>
        <v>1</v>
      </c>
      <c r="D54" s="113" t="str" cm="1">
        <f t="array" ref="D54">INDEX('Radio-Map2-1'!$I$7:$K$100,1+B54,C54)</f>
        <v/>
      </c>
    </row>
    <row r="55" spans="1:7" x14ac:dyDescent="0.75">
      <c r="A55" s="115">
        <v>53</v>
      </c>
      <c r="B55" s="115">
        <f t="shared" si="0"/>
        <v>17</v>
      </c>
      <c r="C55" s="115">
        <f t="shared" si="1"/>
        <v>2</v>
      </c>
      <c r="D55" s="113" t="str" cm="1">
        <f t="array" ref="D55">INDEX('Radio-Map2-1'!$I$7:$K$100,1+B55,C55)</f>
        <v/>
      </c>
      <c r="G55" s="15"/>
    </row>
    <row r="56" spans="1:7" x14ac:dyDescent="0.75">
      <c r="A56" s="115">
        <v>54</v>
      </c>
      <c r="B56" s="115">
        <f t="shared" si="0"/>
        <v>17</v>
      </c>
      <c r="C56" s="115">
        <f t="shared" si="1"/>
        <v>3</v>
      </c>
      <c r="D56" s="113" t="str" cm="1">
        <f t="array" ref="D56">INDEX('Radio-Map2-1'!$I$7:$K$100,1+B56,C56)</f>
        <v/>
      </c>
    </row>
    <row r="57" spans="1:7" x14ac:dyDescent="0.75">
      <c r="A57" s="115">
        <v>55</v>
      </c>
      <c r="B57" s="115">
        <f t="shared" si="0"/>
        <v>18</v>
      </c>
      <c r="C57" s="115">
        <f t="shared" si="1"/>
        <v>1</v>
      </c>
      <c r="D57" s="113" t="str" cm="1">
        <f t="array" ref="D57">INDEX('Radio-Map2-1'!$I$7:$K$100,1+B57,C57)</f>
        <v/>
      </c>
    </row>
    <row r="58" spans="1:7" x14ac:dyDescent="0.75">
      <c r="A58" s="115">
        <v>56</v>
      </c>
      <c r="B58" s="115">
        <f t="shared" si="0"/>
        <v>18</v>
      </c>
      <c r="C58" s="115">
        <f t="shared" si="1"/>
        <v>2</v>
      </c>
      <c r="D58" s="113" t="str" cm="1">
        <f t="array" ref="D58">INDEX('Radio-Map2-1'!$I$7:$K$100,1+B58,C58)</f>
        <v/>
      </c>
    </row>
    <row r="59" spans="1:7" x14ac:dyDescent="0.75">
      <c r="A59" s="115">
        <v>57</v>
      </c>
      <c r="B59" s="115">
        <f t="shared" si="0"/>
        <v>18</v>
      </c>
      <c r="C59" s="115">
        <f t="shared" si="1"/>
        <v>3</v>
      </c>
      <c r="D59" s="113" t="str" cm="1">
        <f t="array" ref="D59">INDEX('Radio-Map2-1'!$I$7:$K$100,1+B59,C59)</f>
        <v/>
      </c>
    </row>
    <row r="60" spans="1:7" x14ac:dyDescent="0.75">
      <c r="A60" s="115">
        <v>58</v>
      </c>
      <c r="B60" s="115">
        <f t="shared" si="0"/>
        <v>19</v>
      </c>
      <c r="C60" s="115">
        <f t="shared" si="1"/>
        <v>1</v>
      </c>
      <c r="D60" s="113" t="str" cm="1">
        <f t="array" ref="D60">INDEX('Radio-Map2-1'!$I$7:$K$100,1+B60,C60)</f>
        <v/>
      </c>
    </row>
    <row r="61" spans="1:7" x14ac:dyDescent="0.75">
      <c r="A61" s="115">
        <v>59</v>
      </c>
      <c r="B61" s="115">
        <f t="shared" si="0"/>
        <v>19</v>
      </c>
      <c r="C61" s="115">
        <f t="shared" si="1"/>
        <v>2</v>
      </c>
      <c r="D61" s="113" t="str" cm="1">
        <f t="array" ref="D61">INDEX('Radio-Map2-1'!$I$7:$K$100,1+B61,C61)</f>
        <v/>
      </c>
    </row>
    <row r="62" spans="1:7" x14ac:dyDescent="0.75">
      <c r="A62" s="115">
        <v>60</v>
      </c>
      <c r="B62" s="115">
        <f t="shared" si="0"/>
        <v>19</v>
      </c>
      <c r="C62" s="115">
        <f t="shared" si="1"/>
        <v>3</v>
      </c>
      <c r="D62" s="113" t="str" cm="1">
        <f t="array" ref="D62">INDEX('Radio-Map2-1'!$I$7:$K$100,1+B62,C62)</f>
        <v/>
      </c>
    </row>
    <row r="63" spans="1:7" x14ac:dyDescent="0.75">
      <c r="A63" s="115">
        <v>61</v>
      </c>
      <c r="B63" s="115">
        <f t="shared" si="0"/>
        <v>20</v>
      </c>
      <c r="C63" s="115">
        <f t="shared" si="1"/>
        <v>1</v>
      </c>
      <c r="D63" s="113" t="str" cm="1">
        <f t="array" ref="D63">INDEX('Radio-Map2-1'!$I$7:$K$100,1+B63,C63)</f>
        <v/>
      </c>
    </row>
    <row r="64" spans="1:7" x14ac:dyDescent="0.75">
      <c r="A64" s="115">
        <v>62</v>
      </c>
      <c r="B64" s="115">
        <f t="shared" si="0"/>
        <v>20</v>
      </c>
      <c r="C64" s="115">
        <f t="shared" si="1"/>
        <v>2</v>
      </c>
      <c r="D64" s="113" t="str" cm="1">
        <f t="array" ref="D64">INDEX('Radio-Map2-1'!$I$7:$K$100,1+B64,C64)</f>
        <v/>
      </c>
    </row>
    <row r="65" spans="1:4" x14ac:dyDescent="0.75">
      <c r="A65" s="115">
        <v>63</v>
      </c>
      <c r="B65" s="115">
        <f t="shared" si="0"/>
        <v>20</v>
      </c>
      <c r="C65" s="115">
        <f t="shared" si="1"/>
        <v>3</v>
      </c>
      <c r="D65" s="113" t="str" cm="1">
        <f t="array" ref="D65">INDEX('Radio-Map2-1'!$I$7:$K$100,1+B65,C65)</f>
        <v/>
      </c>
    </row>
    <row r="66" spans="1:4" x14ac:dyDescent="0.75">
      <c r="A66" s="115">
        <v>64</v>
      </c>
      <c r="B66" s="115">
        <f t="shared" si="0"/>
        <v>21</v>
      </c>
      <c r="C66" s="115">
        <f t="shared" si="1"/>
        <v>1</v>
      </c>
      <c r="D66" s="113" t="str" cm="1">
        <f t="array" ref="D66">INDEX('Radio-Map2-1'!$I$7:$K$100,1+B66,C66)</f>
        <v/>
      </c>
    </row>
    <row r="67" spans="1:4" x14ac:dyDescent="0.75">
      <c r="A67" s="115">
        <v>65</v>
      </c>
      <c r="B67" s="115">
        <f t="shared" si="0"/>
        <v>21</v>
      </c>
      <c r="C67" s="115">
        <f t="shared" si="1"/>
        <v>2</v>
      </c>
      <c r="D67" s="113" t="str" cm="1">
        <f t="array" ref="D67">INDEX('Radio-Map2-1'!$I$7:$K$100,1+B67,C67)</f>
        <v/>
      </c>
    </row>
    <row r="68" spans="1:4" x14ac:dyDescent="0.75">
      <c r="A68" s="115">
        <v>66</v>
      </c>
      <c r="B68" s="115">
        <f t="shared" ref="B68:B131" si="2">IF(MOD(A68,3)=0,A68/3-1,INT(A68/3))</f>
        <v>21</v>
      </c>
      <c r="C68" s="115">
        <f t="shared" ref="C68:C131" si="3">IF(MOD(A68,3)=0,3,MOD(A68,3))</f>
        <v>3</v>
      </c>
      <c r="D68" s="113" t="str" cm="1">
        <f t="array" ref="D68">INDEX('Radio-Map2-1'!$I$7:$K$100,1+B68,C68)</f>
        <v/>
      </c>
    </row>
    <row r="69" spans="1:4" x14ac:dyDescent="0.75">
      <c r="A69" s="115">
        <v>67</v>
      </c>
      <c r="B69" s="115">
        <f t="shared" si="2"/>
        <v>22</v>
      </c>
      <c r="C69" s="115">
        <f t="shared" si="3"/>
        <v>1</v>
      </c>
      <c r="D69" s="113" t="str" cm="1">
        <f t="array" ref="D69">INDEX('Radio-Map2-1'!$I$7:$K$100,1+B69,C69)</f>
        <v/>
      </c>
    </row>
    <row r="70" spans="1:4" x14ac:dyDescent="0.75">
      <c r="A70" s="115">
        <v>68</v>
      </c>
      <c r="B70" s="115">
        <f t="shared" si="2"/>
        <v>22</v>
      </c>
      <c r="C70" s="115">
        <f t="shared" si="3"/>
        <v>2</v>
      </c>
      <c r="D70" s="113" t="str" cm="1">
        <f t="array" ref="D70">INDEX('Radio-Map2-1'!$I$7:$K$100,1+B70,C70)</f>
        <v/>
      </c>
    </row>
    <row r="71" spans="1:4" x14ac:dyDescent="0.75">
      <c r="A71" s="115">
        <v>69</v>
      </c>
      <c r="B71" s="115">
        <f t="shared" si="2"/>
        <v>22</v>
      </c>
      <c r="C71" s="115">
        <f t="shared" si="3"/>
        <v>3</v>
      </c>
      <c r="D71" s="113" t="str" cm="1">
        <f t="array" ref="D71">INDEX('Radio-Map2-1'!$I$7:$K$100,1+B71,C71)</f>
        <v/>
      </c>
    </row>
    <row r="72" spans="1:4" x14ac:dyDescent="0.75">
      <c r="A72" s="115">
        <v>70</v>
      </c>
      <c r="B72" s="115">
        <f t="shared" si="2"/>
        <v>23</v>
      </c>
      <c r="C72" s="115">
        <f t="shared" si="3"/>
        <v>1</v>
      </c>
      <c r="D72" s="113" t="str" cm="1">
        <f t="array" ref="D72">INDEX('Radio-Map2-1'!$I$7:$K$100,1+B72,C72)</f>
        <v/>
      </c>
    </row>
    <row r="73" spans="1:4" x14ac:dyDescent="0.75">
      <c r="A73" s="115">
        <v>71</v>
      </c>
      <c r="B73" s="115">
        <f t="shared" si="2"/>
        <v>23</v>
      </c>
      <c r="C73" s="115">
        <f t="shared" si="3"/>
        <v>2</v>
      </c>
      <c r="D73" s="113" t="str" cm="1">
        <f t="array" ref="D73">INDEX('Radio-Map2-1'!$I$7:$K$100,1+B73,C73)</f>
        <v/>
      </c>
    </row>
    <row r="74" spans="1:4" x14ac:dyDescent="0.75">
      <c r="A74" s="115">
        <v>72</v>
      </c>
      <c r="B74" s="115">
        <f t="shared" si="2"/>
        <v>23</v>
      </c>
      <c r="C74" s="115">
        <f t="shared" si="3"/>
        <v>3</v>
      </c>
      <c r="D74" s="113" t="str" cm="1">
        <f t="array" ref="D74">INDEX('Radio-Map2-1'!$I$7:$K$100,1+B74,C74)</f>
        <v/>
      </c>
    </row>
    <row r="75" spans="1:4" x14ac:dyDescent="0.75">
      <c r="A75" s="115">
        <v>73</v>
      </c>
      <c r="B75" s="115">
        <f t="shared" si="2"/>
        <v>24</v>
      </c>
      <c r="C75" s="115">
        <f t="shared" si="3"/>
        <v>1</v>
      </c>
      <c r="D75" s="113" t="str" cm="1">
        <f t="array" ref="D75">INDEX('Radio-Map2-1'!$I$7:$K$100,1+B75,C75)</f>
        <v/>
      </c>
    </row>
    <row r="76" spans="1:4" x14ac:dyDescent="0.75">
      <c r="A76" s="115">
        <v>74</v>
      </c>
      <c r="B76" s="115">
        <f t="shared" si="2"/>
        <v>24</v>
      </c>
      <c r="C76" s="115">
        <f t="shared" si="3"/>
        <v>2</v>
      </c>
      <c r="D76" s="113" t="str" cm="1">
        <f t="array" ref="D76">INDEX('Radio-Map2-1'!$I$7:$K$100,1+B76,C76)</f>
        <v/>
      </c>
    </row>
    <row r="77" spans="1:4" x14ac:dyDescent="0.75">
      <c r="A77" s="115">
        <v>75</v>
      </c>
      <c r="B77" s="115">
        <f t="shared" si="2"/>
        <v>24</v>
      </c>
      <c r="C77" s="115">
        <f t="shared" si="3"/>
        <v>3</v>
      </c>
      <c r="D77" s="113" t="str" cm="1">
        <f t="array" ref="D77">INDEX('Radio-Map2-1'!$I$7:$K$100,1+B77,C77)</f>
        <v/>
      </c>
    </row>
    <row r="78" spans="1:4" x14ac:dyDescent="0.75">
      <c r="A78" s="115">
        <v>76</v>
      </c>
      <c r="B78" s="115">
        <f t="shared" si="2"/>
        <v>25</v>
      </c>
      <c r="C78" s="115">
        <f t="shared" si="3"/>
        <v>1</v>
      </c>
      <c r="D78" s="113" t="str" cm="1">
        <f t="array" ref="D78">INDEX('Radio-Map2-1'!$I$7:$K$100,1+B78,C78)</f>
        <v/>
      </c>
    </row>
    <row r="79" spans="1:4" x14ac:dyDescent="0.75">
      <c r="A79" s="115">
        <v>77</v>
      </c>
      <c r="B79" s="115">
        <f t="shared" si="2"/>
        <v>25</v>
      </c>
      <c r="C79" s="115">
        <f t="shared" si="3"/>
        <v>2</v>
      </c>
      <c r="D79" s="113" t="str" cm="1">
        <f t="array" ref="D79">INDEX('Radio-Map2-1'!$I$7:$K$100,1+B79,C79)</f>
        <v/>
      </c>
    </row>
    <row r="80" spans="1:4" x14ac:dyDescent="0.75">
      <c r="A80" s="115">
        <v>78</v>
      </c>
      <c r="B80" s="115">
        <f t="shared" si="2"/>
        <v>25</v>
      </c>
      <c r="C80" s="115">
        <f t="shared" si="3"/>
        <v>3</v>
      </c>
      <c r="D80" s="113" t="str" cm="1">
        <f t="array" ref="D80">INDEX('Radio-Map2-1'!$I$7:$K$100,1+B80,C80)</f>
        <v/>
      </c>
    </row>
    <row r="81" spans="1:4" x14ac:dyDescent="0.75">
      <c r="A81" s="115">
        <v>79</v>
      </c>
      <c r="B81" s="115">
        <f t="shared" si="2"/>
        <v>26</v>
      </c>
      <c r="C81" s="115">
        <f t="shared" si="3"/>
        <v>1</v>
      </c>
      <c r="D81" s="113" t="str" cm="1">
        <f t="array" ref="D81">INDEX('Radio-Map2-1'!$I$7:$K$100,1+B81,C81)</f>
        <v/>
      </c>
    </row>
    <row r="82" spans="1:4" x14ac:dyDescent="0.75">
      <c r="A82" s="115">
        <v>80</v>
      </c>
      <c r="B82" s="115">
        <f t="shared" si="2"/>
        <v>26</v>
      </c>
      <c r="C82" s="115">
        <f t="shared" si="3"/>
        <v>2</v>
      </c>
      <c r="D82" s="113" t="str" cm="1">
        <f t="array" ref="D82">INDEX('Radio-Map2-1'!$I$7:$K$100,1+B82,C82)</f>
        <v/>
      </c>
    </row>
    <row r="83" spans="1:4" x14ac:dyDescent="0.75">
      <c r="A83" s="115">
        <v>81</v>
      </c>
      <c r="B83" s="115">
        <f t="shared" si="2"/>
        <v>26</v>
      </c>
      <c r="C83" s="115">
        <f t="shared" si="3"/>
        <v>3</v>
      </c>
      <c r="D83" s="113" t="str" cm="1">
        <f t="array" ref="D83">INDEX('Radio-Map2-1'!$I$7:$K$100,1+B83,C83)</f>
        <v/>
      </c>
    </row>
    <row r="84" spans="1:4" x14ac:dyDescent="0.75">
      <c r="A84" s="115">
        <v>82</v>
      </c>
      <c r="B84" s="115">
        <f t="shared" si="2"/>
        <v>27</v>
      </c>
      <c r="C84" s="115">
        <f t="shared" si="3"/>
        <v>1</v>
      </c>
      <c r="D84" s="113" t="str" cm="1">
        <f t="array" ref="D84">INDEX('Radio-Map2-1'!$I$7:$K$100,1+B84,C84)</f>
        <v/>
      </c>
    </row>
    <row r="85" spans="1:4" x14ac:dyDescent="0.75">
      <c r="A85" s="115">
        <v>83</v>
      </c>
      <c r="B85" s="115">
        <f t="shared" si="2"/>
        <v>27</v>
      </c>
      <c r="C85" s="115">
        <f t="shared" si="3"/>
        <v>2</v>
      </c>
      <c r="D85" s="113" t="str" cm="1">
        <f t="array" ref="D85">INDEX('Radio-Map2-1'!$I$7:$K$100,1+B85,C85)</f>
        <v/>
      </c>
    </row>
    <row r="86" spans="1:4" x14ac:dyDescent="0.75">
      <c r="A86" s="115">
        <v>84</v>
      </c>
      <c r="B86" s="115">
        <f t="shared" si="2"/>
        <v>27</v>
      </c>
      <c r="C86" s="115">
        <f t="shared" si="3"/>
        <v>3</v>
      </c>
      <c r="D86" s="113" t="str" cm="1">
        <f t="array" ref="D86">INDEX('Radio-Map2-1'!$I$7:$K$100,1+B86,C86)</f>
        <v/>
      </c>
    </row>
    <row r="87" spans="1:4" x14ac:dyDescent="0.75">
      <c r="A87" s="115">
        <v>85</v>
      </c>
      <c r="B87" s="115">
        <f t="shared" si="2"/>
        <v>28</v>
      </c>
      <c r="C87" s="115">
        <f t="shared" si="3"/>
        <v>1</v>
      </c>
      <c r="D87" s="113" t="str" cm="1">
        <f t="array" ref="D87">INDEX('Radio-Map2-1'!$I$7:$K$100,1+B87,C87)</f>
        <v/>
      </c>
    </row>
    <row r="88" spans="1:4" x14ac:dyDescent="0.75">
      <c r="A88" s="115">
        <v>86</v>
      </c>
      <c r="B88" s="115">
        <f t="shared" si="2"/>
        <v>28</v>
      </c>
      <c r="C88" s="115">
        <f t="shared" si="3"/>
        <v>2</v>
      </c>
      <c r="D88" s="113" t="str" cm="1">
        <f t="array" ref="D88">INDEX('Radio-Map2-1'!$I$7:$K$100,1+B88,C88)</f>
        <v/>
      </c>
    </row>
    <row r="89" spans="1:4" x14ac:dyDescent="0.75">
      <c r="A89" s="115">
        <v>87</v>
      </c>
      <c r="B89" s="115">
        <f t="shared" si="2"/>
        <v>28</v>
      </c>
      <c r="C89" s="115">
        <f t="shared" si="3"/>
        <v>3</v>
      </c>
      <c r="D89" s="113" t="str" cm="1">
        <f t="array" ref="D89">INDEX('Radio-Map2-1'!$I$7:$K$100,1+B89,C89)</f>
        <v/>
      </c>
    </row>
    <row r="90" spans="1:4" x14ac:dyDescent="0.75">
      <c r="A90" s="115">
        <v>88</v>
      </c>
      <c r="B90" s="115">
        <f t="shared" si="2"/>
        <v>29</v>
      </c>
      <c r="C90" s="115">
        <f t="shared" si="3"/>
        <v>1</v>
      </c>
      <c r="D90" s="113" t="str" cm="1">
        <f t="array" ref="D90">INDEX('Radio-Map2-1'!$I$7:$K$100,1+B90,C90)</f>
        <v/>
      </c>
    </row>
    <row r="91" spans="1:4" x14ac:dyDescent="0.75">
      <c r="A91" s="115">
        <v>89</v>
      </c>
      <c r="B91" s="115">
        <f t="shared" si="2"/>
        <v>29</v>
      </c>
      <c r="C91" s="115">
        <f t="shared" si="3"/>
        <v>2</v>
      </c>
      <c r="D91" s="113" t="str" cm="1">
        <f t="array" ref="D91">INDEX('Radio-Map2-1'!$I$7:$K$100,1+B91,C91)</f>
        <v/>
      </c>
    </row>
    <row r="92" spans="1:4" x14ac:dyDescent="0.75">
      <c r="A92" s="115">
        <v>90</v>
      </c>
      <c r="B92" s="115">
        <f t="shared" si="2"/>
        <v>29</v>
      </c>
      <c r="C92" s="115">
        <f t="shared" si="3"/>
        <v>3</v>
      </c>
      <c r="D92" s="113" t="str" cm="1">
        <f t="array" ref="D92">INDEX('Radio-Map2-1'!$I$7:$K$100,1+B92,C92)</f>
        <v/>
      </c>
    </row>
    <row r="93" spans="1:4" x14ac:dyDescent="0.75">
      <c r="A93" s="115">
        <v>91</v>
      </c>
      <c r="B93" s="115">
        <f t="shared" si="2"/>
        <v>30</v>
      </c>
      <c r="C93" s="115">
        <f t="shared" si="3"/>
        <v>1</v>
      </c>
      <c r="D93" s="113" t="str" cm="1">
        <f t="array" ref="D93">INDEX('Radio-Map2-1'!$I$7:$K$100,1+B93,C93)</f>
        <v/>
      </c>
    </row>
    <row r="94" spans="1:4" x14ac:dyDescent="0.75">
      <c r="A94" s="115">
        <v>92</v>
      </c>
      <c r="B94" s="115">
        <f t="shared" si="2"/>
        <v>30</v>
      </c>
      <c r="C94" s="115">
        <f t="shared" si="3"/>
        <v>2</v>
      </c>
      <c r="D94" s="113" t="str" cm="1">
        <f t="array" ref="D94">INDEX('Radio-Map2-1'!$I$7:$K$100,1+B94,C94)</f>
        <v/>
      </c>
    </row>
    <row r="95" spans="1:4" x14ac:dyDescent="0.75">
      <c r="A95" s="115">
        <v>93</v>
      </c>
      <c r="B95" s="115">
        <f t="shared" si="2"/>
        <v>30</v>
      </c>
      <c r="C95" s="115">
        <f t="shared" si="3"/>
        <v>3</v>
      </c>
      <c r="D95" s="113" t="str" cm="1">
        <f t="array" ref="D95">INDEX('Radio-Map2-1'!$I$7:$K$100,1+B95,C95)</f>
        <v/>
      </c>
    </row>
    <row r="96" spans="1:4" x14ac:dyDescent="0.75">
      <c r="A96" s="115">
        <v>94</v>
      </c>
      <c r="B96" s="115">
        <f t="shared" si="2"/>
        <v>31</v>
      </c>
      <c r="C96" s="115">
        <f t="shared" si="3"/>
        <v>1</v>
      </c>
      <c r="D96" s="113" t="str" cm="1">
        <f t="array" ref="D96">INDEX('Radio-Map2-1'!$I$7:$K$100,1+B96,C96)</f>
        <v/>
      </c>
    </row>
    <row r="97" spans="1:4" x14ac:dyDescent="0.75">
      <c r="A97" s="115">
        <v>95</v>
      </c>
      <c r="B97" s="115">
        <f t="shared" si="2"/>
        <v>31</v>
      </c>
      <c r="C97" s="115">
        <f t="shared" si="3"/>
        <v>2</v>
      </c>
      <c r="D97" s="113" t="str" cm="1">
        <f t="array" ref="D97">INDEX('Radio-Map2-1'!$I$7:$K$100,1+B97,C97)</f>
        <v/>
      </c>
    </row>
    <row r="98" spans="1:4" x14ac:dyDescent="0.75">
      <c r="A98" s="115">
        <v>96</v>
      </c>
      <c r="B98" s="115">
        <f t="shared" si="2"/>
        <v>31</v>
      </c>
      <c r="C98" s="115">
        <f t="shared" si="3"/>
        <v>3</v>
      </c>
      <c r="D98" s="113" t="str" cm="1">
        <f t="array" ref="D98">INDEX('Radio-Map2-1'!$I$7:$K$100,1+B98,C98)</f>
        <v/>
      </c>
    </row>
    <row r="99" spans="1:4" x14ac:dyDescent="0.75">
      <c r="A99" s="115">
        <v>97</v>
      </c>
      <c r="B99" s="115">
        <f t="shared" si="2"/>
        <v>32</v>
      </c>
      <c r="C99" s="115">
        <f t="shared" si="3"/>
        <v>1</v>
      </c>
      <c r="D99" s="113" t="str" cm="1">
        <f t="array" ref="D99">INDEX('Radio-Map2-1'!$I$7:$K$100,1+B99,C99)</f>
        <v/>
      </c>
    </row>
    <row r="100" spans="1:4" x14ac:dyDescent="0.75">
      <c r="A100" s="115">
        <v>98</v>
      </c>
      <c r="B100" s="115">
        <f t="shared" si="2"/>
        <v>32</v>
      </c>
      <c r="C100" s="115">
        <f t="shared" si="3"/>
        <v>2</v>
      </c>
      <c r="D100" s="113" t="str" cm="1">
        <f t="array" ref="D100">INDEX('Radio-Map2-1'!$I$7:$K$100,1+B100,C100)</f>
        <v/>
      </c>
    </row>
    <row r="101" spans="1:4" x14ac:dyDescent="0.75">
      <c r="A101" s="115">
        <v>99</v>
      </c>
      <c r="B101" s="115">
        <f t="shared" si="2"/>
        <v>32</v>
      </c>
      <c r="C101" s="115">
        <f t="shared" si="3"/>
        <v>3</v>
      </c>
      <c r="D101" s="113" t="str" cm="1">
        <f t="array" ref="D101">INDEX('Radio-Map2-1'!$I$7:$K$100,1+B101,C101)</f>
        <v/>
      </c>
    </row>
    <row r="102" spans="1:4" x14ac:dyDescent="0.75">
      <c r="A102" s="115">
        <v>100</v>
      </c>
      <c r="B102" s="115">
        <f t="shared" si="2"/>
        <v>33</v>
      </c>
      <c r="C102" s="115">
        <f t="shared" si="3"/>
        <v>1</v>
      </c>
      <c r="D102" s="113" t="str" cm="1">
        <f t="array" ref="D102">INDEX('Radio-Map2-1'!$I$7:$K$100,1+B102,C102)</f>
        <v/>
      </c>
    </row>
    <row r="103" spans="1:4" x14ac:dyDescent="0.75">
      <c r="A103" s="115">
        <v>101</v>
      </c>
      <c r="B103" s="115">
        <f t="shared" si="2"/>
        <v>33</v>
      </c>
      <c r="C103" s="115">
        <f t="shared" si="3"/>
        <v>2</v>
      </c>
      <c r="D103" s="113" t="str" cm="1">
        <f t="array" ref="D103">INDEX('Radio-Map2-1'!$I$7:$K$100,1+B103,C103)</f>
        <v/>
      </c>
    </row>
    <row r="104" spans="1:4" x14ac:dyDescent="0.75">
      <c r="A104" s="115">
        <v>102</v>
      </c>
      <c r="B104" s="115">
        <f t="shared" si="2"/>
        <v>33</v>
      </c>
      <c r="C104" s="115">
        <f t="shared" si="3"/>
        <v>3</v>
      </c>
      <c r="D104" s="113" t="str" cm="1">
        <f t="array" ref="D104">INDEX('Radio-Map2-1'!$I$7:$K$100,1+B104,C104)</f>
        <v/>
      </c>
    </row>
    <row r="105" spans="1:4" x14ac:dyDescent="0.75">
      <c r="A105" s="115">
        <v>103</v>
      </c>
      <c r="B105" s="115">
        <f t="shared" si="2"/>
        <v>34</v>
      </c>
      <c r="C105" s="115">
        <f t="shared" si="3"/>
        <v>1</v>
      </c>
      <c r="D105" s="113" t="str" cm="1">
        <f t="array" ref="D105">INDEX('Radio-Map2-1'!$I$7:$K$100,1+B105,C105)</f>
        <v/>
      </c>
    </row>
    <row r="106" spans="1:4" x14ac:dyDescent="0.75">
      <c r="A106" s="115">
        <v>104</v>
      </c>
      <c r="B106" s="115">
        <f t="shared" si="2"/>
        <v>34</v>
      </c>
      <c r="C106" s="115">
        <f t="shared" si="3"/>
        <v>2</v>
      </c>
      <c r="D106" s="113" t="str" cm="1">
        <f t="array" ref="D106">INDEX('Radio-Map2-1'!$I$7:$K$100,1+B106,C106)</f>
        <v/>
      </c>
    </row>
    <row r="107" spans="1:4" x14ac:dyDescent="0.75">
      <c r="A107" s="115">
        <v>105</v>
      </c>
      <c r="B107" s="115">
        <f t="shared" si="2"/>
        <v>34</v>
      </c>
      <c r="C107" s="115">
        <f t="shared" si="3"/>
        <v>3</v>
      </c>
      <c r="D107" s="113" t="str" cm="1">
        <f t="array" ref="D107">INDEX('Radio-Map2-1'!$I$7:$K$100,1+B107,C107)</f>
        <v/>
      </c>
    </row>
    <row r="108" spans="1:4" x14ac:dyDescent="0.75">
      <c r="A108" s="115">
        <v>106</v>
      </c>
      <c r="B108" s="115">
        <f t="shared" si="2"/>
        <v>35</v>
      </c>
      <c r="C108" s="115">
        <f t="shared" si="3"/>
        <v>1</v>
      </c>
      <c r="D108" s="113" t="str" cm="1">
        <f t="array" ref="D108">INDEX('Radio-Map2-1'!$I$7:$K$100,1+B108,C108)</f>
        <v/>
      </c>
    </row>
    <row r="109" spans="1:4" x14ac:dyDescent="0.75">
      <c r="A109" s="115">
        <v>107</v>
      </c>
      <c r="B109" s="115">
        <f t="shared" si="2"/>
        <v>35</v>
      </c>
      <c r="C109" s="115">
        <f t="shared" si="3"/>
        <v>2</v>
      </c>
      <c r="D109" s="113" t="str" cm="1">
        <f t="array" ref="D109">INDEX('Radio-Map2-1'!$I$7:$K$100,1+B109,C109)</f>
        <v/>
      </c>
    </row>
    <row r="110" spans="1:4" x14ac:dyDescent="0.75">
      <c r="A110" s="115">
        <v>108</v>
      </c>
      <c r="B110" s="115">
        <f t="shared" si="2"/>
        <v>35</v>
      </c>
      <c r="C110" s="115">
        <f t="shared" si="3"/>
        <v>3</v>
      </c>
      <c r="D110" s="113" t="str" cm="1">
        <f t="array" ref="D110">INDEX('Radio-Map2-1'!$I$7:$K$100,1+B110,C110)</f>
        <v/>
      </c>
    </row>
    <row r="111" spans="1:4" x14ac:dyDescent="0.75">
      <c r="A111" s="115">
        <v>109</v>
      </c>
      <c r="B111" s="115">
        <f t="shared" si="2"/>
        <v>36</v>
      </c>
      <c r="C111" s="115">
        <f t="shared" si="3"/>
        <v>1</v>
      </c>
      <c r="D111" s="113" t="str" cm="1">
        <f t="array" ref="D111">INDEX('Radio-Map2-1'!$I$7:$K$100,1+B111,C111)</f>
        <v/>
      </c>
    </row>
    <row r="112" spans="1:4" x14ac:dyDescent="0.75">
      <c r="A112" s="115">
        <v>110</v>
      </c>
      <c r="B112" s="115">
        <f t="shared" si="2"/>
        <v>36</v>
      </c>
      <c r="C112" s="115">
        <f t="shared" si="3"/>
        <v>2</v>
      </c>
      <c r="D112" s="113" t="str" cm="1">
        <f t="array" ref="D112">INDEX('Radio-Map2-1'!$I$7:$K$100,1+B112,C112)</f>
        <v/>
      </c>
    </row>
    <row r="113" spans="1:4" x14ac:dyDescent="0.75">
      <c r="A113" s="115">
        <v>111</v>
      </c>
      <c r="B113" s="115">
        <f t="shared" si="2"/>
        <v>36</v>
      </c>
      <c r="C113" s="115">
        <f t="shared" si="3"/>
        <v>3</v>
      </c>
      <c r="D113" s="113" t="str" cm="1">
        <f t="array" ref="D113">INDEX('Radio-Map2-1'!$I$7:$K$100,1+B113,C113)</f>
        <v/>
      </c>
    </row>
    <row r="114" spans="1:4" x14ac:dyDescent="0.75">
      <c r="A114" s="115">
        <v>112</v>
      </c>
      <c r="B114" s="115">
        <f t="shared" si="2"/>
        <v>37</v>
      </c>
      <c r="C114" s="115">
        <f t="shared" si="3"/>
        <v>1</v>
      </c>
      <c r="D114" s="113" t="str" cm="1">
        <f t="array" ref="D114">INDEX('Radio-Map2-1'!$I$7:$K$100,1+B114,C114)</f>
        <v/>
      </c>
    </row>
    <row r="115" spans="1:4" x14ac:dyDescent="0.75">
      <c r="A115" s="115">
        <v>113</v>
      </c>
      <c r="B115" s="115">
        <f t="shared" si="2"/>
        <v>37</v>
      </c>
      <c r="C115" s="115">
        <f t="shared" si="3"/>
        <v>2</v>
      </c>
      <c r="D115" s="113" t="str" cm="1">
        <f t="array" ref="D115">INDEX('Radio-Map2-1'!$I$7:$K$100,1+B115,C115)</f>
        <v/>
      </c>
    </row>
    <row r="116" spans="1:4" x14ac:dyDescent="0.75">
      <c r="A116" s="115">
        <v>114</v>
      </c>
      <c r="B116" s="115">
        <f t="shared" si="2"/>
        <v>37</v>
      </c>
      <c r="C116" s="115">
        <f t="shared" si="3"/>
        <v>3</v>
      </c>
      <c r="D116" s="113" t="str" cm="1">
        <f t="array" ref="D116">INDEX('Radio-Map2-1'!$I$7:$K$100,1+B116,C116)</f>
        <v/>
      </c>
    </row>
    <row r="117" spans="1:4" x14ac:dyDescent="0.75">
      <c r="A117" s="115">
        <v>115</v>
      </c>
      <c r="B117" s="115">
        <f t="shared" si="2"/>
        <v>38</v>
      </c>
      <c r="C117" s="115">
        <f t="shared" si="3"/>
        <v>1</v>
      </c>
      <c r="D117" s="113" t="str" cm="1">
        <f t="array" ref="D117">INDEX('Radio-Map2-1'!$I$7:$K$100,1+B117,C117)</f>
        <v/>
      </c>
    </row>
    <row r="118" spans="1:4" x14ac:dyDescent="0.75">
      <c r="A118" s="115">
        <v>116</v>
      </c>
      <c r="B118" s="115">
        <f t="shared" si="2"/>
        <v>38</v>
      </c>
      <c r="C118" s="115">
        <f t="shared" si="3"/>
        <v>2</v>
      </c>
      <c r="D118" s="113" t="str" cm="1">
        <f t="array" ref="D118">INDEX('Radio-Map2-1'!$I$7:$K$100,1+B118,C118)</f>
        <v/>
      </c>
    </row>
    <row r="119" spans="1:4" x14ac:dyDescent="0.75">
      <c r="A119" s="115">
        <v>117</v>
      </c>
      <c r="B119" s="115">
        <f t="shared" si="2"/>
        <v>38</v>
      </c>
      <c r="C119" s="115">
        <f t="shared" si="3"/>
        <v>3</v>
      </c>
      <c r="D119" s="113" t="str" cm="1">
        <f t="array" ref="D119">INDEX('Radio-Map2-1'!$I$7:$K$100,1+B119,C119)</f>
        <v/>
      </c>
    </row>
    <row r="120" spans="1:4" x14ac:dyDescent="0.75">
      <c r="A120" s="115">
        <v>118</v>
      </c>
      <c r="B120" s="115">
        <f t="shared" si="2"/>
        <v>39</v>
      </c>
      <c r="C120" s="115">
        <f t="shared" si="3"/>
        <v>1</v>
      </c>
      <c r="D120" s="113" t="str" cm="1">
        <f t="array" ref="D120">INDEX('Radio-Map2-1'!$I$7:$K$100,1+B120,C120)</f>
        <v/>
      </c>
    </row>
    <row r="121" spans="1:4" x14ac:dyDescent="0.75">
      <c r="A121" s="115">
        <v>119</v>
      </c>
      <c r="B121" s="115">
        <f t="shared" si="2"/>
        <v>39</v>
      </c>
      <c r="C121" s="115">
        <f t="shared" si="3"/>
        <v>2</v>
      </c>
      <c r="D121" s="113" t="str" cm="1">
        <f t="array" ref="D121">INDEX('Radio-Map2-1'!$I$7:$K$100,1+B121,C121)</f>
        <v/>
      </c>
    </row>
    <row r="122" spans="1:4" x14ac:dyDescent="0.75">
      <c r="A122" s="115">
        <v>120</v>
      </c>
      <c r="B122" s="115">
        <f t="shared" si="2"/>
        <v>39</v>
      </c>
      <c r="C122" s="115">
        <f t="shared" si="3"/>
        <v>3</v>
      </c>
      <c r="D122" s="113" t="str" cm="1">
        <f t="array" ref="D122">INDEX('Radio-Map2-1'!$I$7:$K$100,1+B122,C122)</f>
        <v/>
      </c>
    </row>
    <row r="123" spans="1:4" x14ac:dyDescent="0.75">
      <c r="A123" s="115">
        <v>121</v>
      </c>
      <c r="B123" s="115">
        <f t="shared" si="2"/>
        <v>40</v>
      </c>
      <c r="C123" s="115">
        <f t="shared" si="3"/>
        <v>1</v>
      </c>
      <c r="D123" s="113" t="str" cm="1">
        <f t="array" ref="D123">INDEX('Radio-Map2-1'!$I$7:$K$100,1+B123,C123)</f>
        <v/>
      </c>
    </row>
    <row r="124" spans="1:4" x14ac:dyDescent="0.75">
      <c r="A124" s="115">
        <v>122</v>
      </c>
      <c r="B124" s="115">
        <f t="shared" si="2"/>
        <v>40</v>
      </c>
      <c r="C124" s="115">
        <f t="shared" si="3"/>
        <v>2</v>
      </c>
      <c r="D124" s="113" t="str" cm="1">
        <f t="array" ref="D124">INDEX('Radio-Map2-1'!$I$7:$K$100,1+B124,C124)</f>
        <v/>
      </c>
    </row>
    <row r="125" spans="1:4" x14ac:dyDescent="0.75">
      <c r="A125" s="115">
        <v>123</v>
      </c>
      <c r="B125" s="115">
        <f t="shared" si="2"/>
        <v>40</v>
      </c>
      <c r="C125" s="115">
        <f t="shared" si="3"/>
        <v>3</v>
      </c>
      <c r="D125" s="113" t="str" cm="1">
        <f t="array" ref="D125">INDEX('Radio-Map2-1'!$I$7:$K$100,1+B125,C125)</f>
        <v/>
      </c>
    </row>
    <row r="126" spans="1:4" x14ac:dyDescent="0.75">
      <c r="A126" s="115">
        <v>124</v>
      </c>
      <c r="B126" s="115">
        <f t="shared" si="2"/>
        <v>41</v>
      </c>
      <c r="C126" s="115">
        <f t="shared" si="3"/>
        <v>1</v>
      </c>
      <c r="D126" s="113" t="str" cm="1">
        <f t="array" ref="D126">INDEX('Radio-Map2-1'!$I$7:$K$100,1+B126,C126)</f>
        <v/>
      </c>
    </row>
    <row r="127" spans="1:4" x14ac:dyDescent="0.75">
      <c r="A127" s="115">
        <v>125</v>
      </c>
      <c r="B127" s="115">
        <f t="shared" si="2"/>
        <v>41</v>
      </c>
      <c r="C127" s="115">
        <f t="shared" si="3"/>
        <v>2</v>
      </c>
      <c r="D127" s="113" t="str" cm="1">
        <f t="array" ref="D127">INDEX('Radio-Map2-1'!$I$7:$K$100,1+B127,C127)</f>
        <v/>
      </c>
    </row>
    <row r="128" spans="1:4" x14ac:dyDescent="0.75">
      <c r="A128" s="115">
        <v>126</v>
      </c>
      <c r="B128" s="115">
        <f t="shared" si="2"/>
        <v>41</v>
      </c>
      <c r="C128" s="115">
        <f t="shared" si="3"/>
        <v>3</v>
      </c>
      <c r="D128" s="113" t="str" cm="1">
        <f t="array" ref="D128">INDEX('Radio-Map2-1'!$I$7:$K$100,1+B128,C128)</f>
        <v/>
      </c>
    </row>
    <row r="129" spans="1:4" x14ac:dyDescent="0.75">
      <c r="A129" s="115">
        <v>127</v>
      </c>
      <c r="B129" s="115">
        <f t="shared" si="2"/>
        <v>42</v>
      </c>
      <c r="C129" s="115">
        <f t="shared" si="3"/>
        <v>1</v>
      </c>
      <c r="D129" s="113" t="str" cm="1">
        <f t="array" ref="D129">INDEX('Radio-Map2-1'!$I$7:$K$100,1+B129,C129)</f>
        <v/>
      </c>
    </row>
    <row r="130" spans="1:4" x14ac:dyDescent="0.75">
      <c r="A130" s="115">
        <v>128</v>
      </c>
      <c r="B130" s="115">
        <f t="shared" si="2"/>
        <v>42</v>
      </c>
      <c r="C130" s="115">
        <f t="shared" si="3"/>
        <v>2</v>
      </c>
      <c r="D130" s="113" t="str" cm="1">
        <f t="array" ref="D130">INDEX('Radio-Map2-1'!$I$7:$K$100,1+B130,C130)</f>
        <v/>
      </c>
    </row>
    <row r="131" spans="1:4" x14ac:dyDescent="0.75">
      <c r="A131" s="115">
        <v>129</v>
      </c>
      <c r="B131" s="115">
        <f t="shared" si="2"/>
        <v>42</v>
      </c>
      <c r="C131" s="115">
        <f t="shared" si="3"/>
        <v>3</v>
      </c>
      <c r="D131" s="113" t="str" cm="1">
        <f t="array" ref="D131">INDEX('Radio-Map2-1'!$I$7:$K$100,1+B131,C131)</f>
        <v/>
      </c>
    </row>
    <row r="132" spans="1:4" x14ac:dyDescent="0.75">
      <c r="A132" s="115">
        <v>130</v>
      </c>
      <c r="B132" s="115">
        <f t="shared" ref="B132:B195" si="4">IF(MOD(A132,3)=0,A132/3-1,INT(A132/3))</f>
        <v>43</v>
      </c>
      <c r="C132" s="115">
        <f t="shared" ref="C132:C195" si="5">IF(MOD(A132,3)=0,3,MOD(A132,3))</f>
        <v>1</v>
      </c>
      <c r="D132" s="113" t="str" cm="1">
        <f t="array" ref="D132">INDEX('Radio-Map2-1'!$I$7:$K$100,1+B132,C132)</f>
        <v/>
      </c>
    </row>
    <row r="133" spans="1:4" x14ac:dyDescent="0.75">
      <c r="A133" s="115">
        <v>131</v>
      </c>
      <c r="B133" s="115">
        <f t="shared" si="4"/>
        <v>43</v>
      </c>
      <c r="C133" s="115">
        <f t="shared" si="5"/>
        <v>2</v>
      </c>
      <c r="D133" s="113" t="str" cm="1">
        <f t="array" ref="D133">INDEX('Radio-Map2-1'!$I$7:$K$100,1+B133,C133)</f>
        <v/>
      </c>
    </row>
    <row r="134" spans="1:4" x14ac:dyDescent="0.75">
      <c r="A134" s="115">
        <v>132</v>
      </c>
      <c r="B134" s="115">
        <f t="shared" si="4"/>
        <v>43</v>
      </c>
      <c r="C134" s="115">
        <f t="shared" si="5"/>
        <v>3</v>
      </c>
      <c r="D134" s="113" t="str" cm="1">
        <f t="array" ref="D134">INDEX('Radio-Map2-1'!$I$7:$K$100,1+B134,C134)</f>
        <v/>
      </c>
    </row>
    <row r="135" spans="1:4" x14ac:dyDescent="0.75">
      <c r="A135" s="115">
        <v>133</v>
      </c>
      <c r="B135" s="115">
        <f t="shared" si="4"/>
        <v>44</v>
      </c>
      <c r="C135" s="115">
        <f t="shared" si="5"/>
        <v>1</v>
      </c>
      <c r="D135" s="113" t="str" cm="1">
        <f t="array" ref="D135">INDEX('Radio-Map2-1'!$I$7:$K$100,1+B135,C135)</f>
        <v/>
      </c>
    </row>
    <row r="136" spans="1:4" x14ac:dyDescent="0.75">
      <c r="A136" s="115">
        <v>134</v>
      </c>
      <c r="B136" s="115">
        <f t="shared" si="4"/>
        <v>44</v>
      </c>
      <c r="C136" s="115">
        <f t="shared" si="5"/>
        <v>2</v>
      </c>
      <c r="D136" s="113" t="str" cm="1">
        <f t="array" ref="D136">INDEX('Radio-Map2-1'!$I$7:$K$100,1+B136,C136)</f>
        <v/>
      </c>
    </row>
    <row r="137" spans="1:4" x14ac:dyDescent="0.75">
      <c r="A137" s="115">
        <v>135</v>
      </c>
      <c r="B137" s="115">
        <f t="shared" si="4"/>
        <v>44</v>
      </c>
      <c r="C137" s="115">
        <f t="shared" si="5"/>
        <v>3</v>
      </c>
      <c r="D137" s="113" cm="1">
        <f t="array" ref="D137">INDEX('Radio-Map2-1'!$I$7:$K$100,1+B137,C137)</f>
        <v>0</v>
      </c>
    </row>
    <row r="138" spans="1:4" x14ac:dyDescent="0.75">
      <c r="A138" s="115">
        <v>136</v>
      </c>
      <c r="B138" s="115">
        <f t="shared" si="4"/>
        <v>45</v>
      </c>
      <c r="C138" s="115">
        <f t="shared" si="5"/>
        <v>1</v>
      </c>
      <c r="D138" s="113" t="str" cm="1">
        <f t="array" ref="D138">INDEX('Radio-Map2-1'!$I$7:$K$100,1+B138,C138)</f>
        <v/>
      </c>
    </row>
    <row r="139" spans="1:4" x14ac:dyDescent="0.75">
      <c r="A139" s="115">
        <v>137</v>
      </c>
      <c r="B139" s="115">
        <f t="shared" si="4"/>
        <v>45</v>
      </c>
      <c r="C139" s="115">
        <f t="shared" si="5"/>
        <v>2</v>
      </c>
      <c r="D139" s="113" t="str" cm="1">
        <f t="array" ref="D139">INDEX('Radio-Map2-1'!$I$7:$K$100,1+B139,C139)</f>
        <v/>
      </c>
    </row>
    <row r="140" spans="1:4" x14ac:dyDescent="0.75">
      <c r="A140" s="115">
        <v>138</v>
      </c>
      <c r="B140" s="115">
        <f t="shared" si="4"/>
        <v>45</v>
      </c>
      <c r="C140" s="115">
        <f t="shared" si="5"/>
        <v>3</v>
      </c>
      <c r="D140" s="113" cm="1">
        <f t="array" ref="D140">INDEX('Radio-Map2-1'!$I$7:$K$100,1+B140,C140)</f>
        <v>0</v>
      </c>
    </row>
    <row r="141" spans="1:4" x14ac:dyDescent="0.75">
      <c r="A141" s="115">
        <v>139</v>
      </c>
      <c r="B141" s="115">
        <f t="shared" si="4"/>
        <v>46</v>
      </c>
      <c r="C141" s="115">
        <f t="shared" si="5"/>
        <v>1</v>
      </c>
      <c r="D141" s="113" t="str" cm="1">
        <f t="array" ref="D141">INDEX('Radio-Map2-1'!$I$7:$K$100,1+B141,C141)</f>
        <v/>
      </c>
    </row>
    <row r="142" spans="1:4" x14ac:dyDescent="0.75">
      <c r="A142" s="115">
        <v>140</v>
      </c>
      <c r="B142" s="115">
        <f t="shared" si="4"/>
        <v>46</v>
      </c>
      <c r="C142" s="115">
        <f t="shared" si="5"/>
        <v>2</v>
      </c>
      <c r="D142" s="113" t="str" cm="1">
        <f t="array" ref="D142">INDEX('Radio-Map2-1'!$I$7:$K$100,1+B142,C142)</f>
        <v/>
      </c>
    </row>
    <row r="143" spans="1:4" x14ac:dyDescent="0.75">
      <c r="A143" s="115">
        <v>141</v>
      </c>
      <c r="B143" s="115">
        <f t="shared" si="4"/>
        <v>46</v>
      </c>
      <c r="C143" s="115">
        <f t="shared" si="5"/>
        <v>3</v>
      </c>
      <c r="D143" s="113" cm="1">
        <f t="array" ref="D143">INDEX('Radio-Map2-1'!$I$7:$K$100,1+B143,C143)</f>
        <v>0</v>
      </c>
    </row>
    <row r="144" spans="1:4" x14ac:dyDescent="0.75">
      <c r="A144" s="115">
        <v>142</v>
      </c>
      <c r="B144" s="115">
        <f t="shared" si="4"/>
        <v>47</v>
      </c>
      <c r="C144" s="115">
        <f t="shared" si="5"/>
        <v>1</v>
      </c>
      <c r="D144" s="113" t="str" cm="1">
        <f t="array" ref="D144">INDEX('Radio-Map2-1'!$I$7:$K$100,1+B144,C144)</f>
        <v/>
      </c>
    </row>
    <row r="145" spans="1:4" x14ac:dyDescent="0.75">
      <c r="A145" s="115">
        <v>143</v>
      </c>
      <c r="B145" s="115">
        <f t="shared" si="4"/>
        <v>47</v>
      </c>
      <c r="C145" s="115">
        <f t="shared" si="5"/>
        <v>2</v>
      </c>
      <c r="D145" s="113" t="str" cm="1">
        <f t="array" ref="D145">INDEX('Radio-Map2-1'!$I$7:$K$100,1+B145,C145)</f>
        <v/>
      </c>
    </row>
    <row r="146" spans="1:4" x14ac:dyDescent="0.75">
      <c r="A146" s="115">
        <v>144</v>
      </c>
      <c r="B146" s="115">
        <f t="shared" si="4"/>
        <v>47</v>
      </c>
      <c r="C146" s="115">
        <f t="shared" si="5"/>
        <v>3</v>
      </c>
      <c r="D146" s="113" cm="1">
        <f t="array" ref="D146">INDEX('Radio-Map2-1'!$I$7:$K$100,1+B146,C146)</f>
        <v>0</v>
      </c>
    </row>
    <row r="147" spans="1:4" x14ac:dyDescent="0.75">
      <c r="A147" s="115">
        <v>145</v>
      </c>
      <c r="B147" s="115">
        <f t="shared" si="4"/>
        <v>48</v>
      </c>
      <c r="C147" s="115">
        <f t="shared" si="5"/>
        <v>1</v>
      </c>
      <c r="D147" s="113" t="str" cm="1">
        <f t="array" ref="D147">INDEX('Radio-Map2-1'!$I$7:$K$100,1+B147,C147)</f>
        <v/>
      </c>
    </row>
    <row r="148" spans="1:4" x14ac:dyDescent="0.75">
      <c r="A148" s="115">
        <v>146</v>
      </c>
      <c r="B148" s="115">
        <f t="shared" si="4"/>
        <v>48</v>
      </c>
      <c r="C148" s="115">
        <f t="shared" si="5"/>
        <v>2</v>
      </c>
      <c r="D148" s="113" t="str" cm="1">
        <f t="array" ref="D148">INDEX('Radio-Map2-1'!$I$7:$K$100,1+B148,C148)</f>
        <v/>
      </c>
    </row>
    <row r="149" spans="1:4" x14ac:dyDescent="0.75">
      <c r="A149" s="115">
        <v>147</v>
      </c>
      <c r="B149" s="115">
        <f t="shared" si="4"/>
        <v>48</v>
      </c>
      <c r="C149" s="115">
        <f t="shared" si="5"/>
        <v>3</v>
      </c>
      <c r="D149" s="113" cm="1">
        <f t="array" ref="D149">INDEX('Radio-Map2-1'!$I$7:$K$100,1+B149,C149)</f>
        <v>0</v>
      </c>
    </row>
    <row r="150" spans="1:4" x14ac:dyDescent="0.75">
      <c r="A150" s="115">
        <v>148</v>
      </c>
      <c r="B150" s="115">
        <f t="shared" si="4"/>
        <v>49</v>
      </c>
      <c r="C150" s="115">
        <f t="shared" si="5"/>
        <v>1</v>
      </c>
      <c r="D150" s="113" t="str" cm="1">
        <f t="array" ref="D150">INDEX('Radio-Map2-1'!$I$7:$K$100,1+B150,C150)</f>
        <v/>
      </c>
    </row>
    <row r="151" spans="1:4" x14ac:dyDescent="0.75">
      <c r="A151" s="115">
        <v>149</v>
      </c>
      <c r="B151" s="115">
        <f t="shared" si="4"/>
        <v>49</v>
      </c>
      <c r="C151" s="115">
        <f t="shared" si="5"/>
        <v>2</v>
      </c>
      <c r="D151" s="113" t="str" cm="1">
        <f t="array" ref="D151">INDEX('Radio-Map2-1'!$I$7:$K$100,1+B151,C151)</f>
        <v/>
      </c>
    </row>
    <row r="152" spans="1:4" x14ac:dyDescent="0.75">
      <c r="A152" s="115">
        <v>150</v>
      </c>
      <c r="B152" s="115">
        <f t="shared" si="4"/>
        <v>49</v>
      </c>
      <c r="C152" s="115">
        <f t="shared" si="5"/>
        <v>3</v>
      </c>
      <c r="D152" s="113" cm="1">
        <f t="array" ref="D152">INDEX('Radio-Map2-1'!$I$7:$K$100,1+B152,C152)</f>
        <v>0</v>
      </c>
    </row>
    <row r="153" spans="1:4" x14ac:dyDescent="0.75">
      <c r="A153" s="115">
        <v>151</v>
      </c>
      <c r="B153" s="115">
        <f t="shared" si="4"/>
        <v>50</v>
      </c>
      <c r="C153" s="115">
        <f t="shared" si="5"/>
        <v>1</v>
      </c>
      <c r="D153" s="113" t="str" cm="1">
        <f t="array" ref="D153">INDEX('Radio-Map2-1'!$I$7:$K$100,1+B153,C153)</f>
        <v/>
      </c>
    </row>
    <row r="154" spans="1:4" x14ac:dyDescent="0.75">
      <c r="A154" s="115">
        <v>152</v>
      </c>
      <c r="B154" s="115">
        <f t="shared" si="4"/>
        <v>50</v>
      </c>
      <c r="C154" s="115">
        <f t="shared" si="5"/>
        <v>2</v>
      </c>
      <c r="D154" s="113" t="str" cm="1">
        <f t="array" ref="D154">INDEX('Radio-Map2-1'!$I$7:$K$100,1+B154,C154)</f>
        <v/>
      </c>
    </row>
    <row r="155" spans="1:4" x14ac:dyDescent="0.75">
      <c r="A155" s="115">
        <v>153</v>
      </c>
      <c r="B155" s="115">
        <f t="shared" si="4"/>
        <v>50</v>
      </c>
      <c r="C155" s="115">
        <f t="shared" si="5"/>
        <v>3</v>
      </c>
      <c r="D155" s="113" cm="1">
        <f t="array" ref="D155">INDEX('Radio-Map2-1'!$I$7:$K$100,1+B155,C155)</f>
        <v>0</v>
      </c>
    </row>
    <row r="156" spans="1:4" x14ac:dyDescent="0.75">
      <c r="A156" s="115">
        <v>154</v>
      </c>
      <c r="B156" s="115">
        <f t="shared" si="4"/>
        <v>51</v>
      </c>
      <c r="C156" s="115">
        <f t="shared" si="5"/>
        <v>1</v>
      </c>
      <c r="D156" s="113" t="str" cm="1">
        <f t="array" ref="D156">INDEX('Radio-Map2-1'!$I$7:$K$100,1+B156,C156)</f>
        <v/>
      </c>
    </row>
    <row r="157" spans="1:4" x14ac:dyDescent="0.75">
      <c r="A157" s="115">
        <v>155</v>
      </c>
      <c r="B157" s="115">
        <f t="shared" si="4"/>
        <v>51</v>
      </c>
      <c r="C157" s="115">
        <f t="shared" si="5"/>
        <v>2</v>
      </c>
      <c r="D157" s="113" t="str" cm="1">
        <f t="array" ref="D157">INDEX('Radio-Map2-1'!$I$7:$K$100,1+B157,C157)</f>
        <v/>
      </c>
    </row>
    <row r="158" spans="1:4" x14ac:dyDescent="0.75">
      <c r="A158" s="115">
        <v>156</v>
      </c>
      <c r="B158" s="115">
        <f t="shared" si="4"/>
        <v>51</v>
      </c>
      <c r="C158" s="115">
        <f t="shared" si="5"/>
        <v>3</v>
      </c>
      <c r="D158" s="113" cm="1">
        <f t="array" ref="D158">INDEX('Radio-Map2-1'!$I$7:$K$100,1+B158,C158)</f>
        <v>0</v>
      </c>
    </row>
    <row r="159" spans="1:4" x14ac:dyDescent="0.75">
      <c r="A159" s="115">
        <v>157</v>
      </c>
      <c r="B159" s="115">
        <f t="shared" si="4"/>
        <v>52</v>
      </c>
      <c r="C159" s="115">
        <f t="shared" si="5"/>
        <v>1</v>
      </c>
      <c r="D159" s="113" t="str" cm="1">
        <f t="array" ref="D159">INDEX('Radio-Map2-1'!$I$7:$K$100,1+B159,C159)</f>
        <v/>
      </c>
    </row>
    <row r="160" spans="1:4" x14ac:dyDescent="0.75">
      <c r="A160" s="115">
        <v>158</v>
      </c>
      <c r="B160" s="115">
        <f t="shared" si="4"/>
        <v>52</v>
      </c>
      <c r="C160" s="115">
        <f t="shared" si="5"/>
        <v>2</v>
      </c>
      <c r="D160" s="113" t="str" cm="1">
        <f t="array" ref="D160">INDEX('Radio-Map2-1'!$I$7:$K$100,1+B160,C160)</f>
        <v/>
      </c>
    </row>
    <row r="161" spans="1:4" x14ac:dyDescent="0.75">
      <c r="A161" s="115">
        <v>159</v>
      </c>
      <c r="B161" s="115">
        <f t="shared" si="4"/>
        <v>52</v>
      </c>
      <c r="C161" s="115">
        <f t="shared" si="5"/>
        <v>3</v>
      </c>
      <c r="D161" s="113" cm="1">
        <f t="array" ref="D161">INDEX('Radio-Map2-1'!$I$7:$K$100,1+B161,C161)</f>
        <v>0</v>
      </c>
    </row>
    <row r="162" spans="1:4" x14ac:dyDescent="0.75">
      <c r="A162" s="115">
        <v>160</v>
      </c>
      <c r="B162" s="115">
        <f t="shared" si="4"/>
        <v>53</v>
      </c>
      <c r="C162" s="115">
        <f t="shared" si="5"/>
        <v>1</v>
      </c>
      <c r="D162" s="113" t="str" cm="1">
        <f t="array" ref="D162">INDEX('Radio-Map2-1'!$I$7:$K$100,1+B162,C162)</f>
        <v/>
      </c>
    </row>
    <row r="163" spans="1:4" x14ac:dyDescent="0.75">
      <c r="A163" s="115">
        <v>161</v>
      </c>
      <c r="B163" s="115">
        <f t="shared" si="4"/>
        <v>53</v>
      </c>
      <c r="C163" s="115">
        <f t="shared" si="5"/>
        <v>2</v>
      </c>
      <c r="D163" s="113" t="str" cm="1">
        <f t="array" ref="D163">INDEX('Radio-Map2-1'!$I$7:$K$100,1+B163,C163)</f>
        <v/>
      </c>
    </row>
    <row r="164" spans="1:4" x14ac:dyDescent="0.75">
      <c r="A164" s="115">
        <v>162</v>
      </c>
      <c r="B164" s="115">
        <f t="shared" si="4"/>
        <v>53</v>
      </c>
      <c r="C164" s="115">
        <f t="shared" si="5"/>
        <v>3</v>
      </c>
      <c r="D164" s="113" cm="1">
        <f t="array" ref="D164">INDEX('Radio-Map2-1'!$I$7:$K$100,1+B164,C164)</f>
        <v>0</v>
      </c>
    </row>
    <row r="165" spans="1:4" x14ac:dyDescent="0.75">
      <c r="A165" s="115">
        <v>163</v>
      </c>
      <c r="B165" s="115">
        <f t="shared" si="4"/>
        <v>54</v>
      </c>
      <c r="C165" s="115">
        <f t="shared" si="5"/>
        <v>1</v>
      </c>
      <c r="D165" s="113" t="str" cm="1">
        <f t="array" ref="D165">INDEX('Radio-Map2-1'!$I$7:$K$100,1+B165,C165)</f>
        <v/>
      </c>
    </row>
    <row r="166" spans="1:4" x14ac:dyDescent="0.75">
      <c r="A166" s="115">
        <v>164</v>
      </c>
      <c r="B166" s="115">
        <f t="shared" si="4"/>
        <v>54</v>
      </c>
      <c r="C166" s="115">
        <f t="shared" si="5"/>
        <v>2</v>
      </c>
      <c r="D166" s="113" t="str" cm="1">
        <f t="array" ref="D166">INDEX('Radio-Map2-1'!$I$7:$K$100,1+B166,C166)</f>
        <v/>
      </c>
    </row>
    <row r="167" spans="1:4" x14ac:dyDescent="0.75">
      <c r="A167" s="115">
        <v>165</v>
      </c>
      <c r="B167" s="115">
        <f t="shared" si="4"/>
        <v>54</v>
      </c>
      <c r="C167" s="115">
        <f t="shared" si="5"/>
        <v>3</v>
      </c>
      <c r="D167" s="113" cm="1">
        <f t="array" ref="D167">INDEX('Radio-Map2-1'!$I$7:$K$100,1+B167,C167)</f>
        <v>0</v>
      </c>
    </row>
    <row r="168" spans="1:4" x14ac:dyDescent="0.75">
      <c r="A168" s="115">
        <v>166</v>
      </c>
      <c r="B168" s="115">
        <f t="shared" si="4"/>
        <v>55</v>
      </c>
      <c r="C168" s="115">
        <f t="shared" si="5"/>
        <v>1</v>
      </c>
      <c r="D168" s="113" t="str" cm="1">
        <f t="array" ref="D168">INDEX('Radio-Map2-1'!$I$7:$K$100,1+B168,C168)</f>
        <v/>
      </c>
    </row>
    <row r="169" spans="1:4" x14ac:dyDescent="0.75">
      <c r="A169" s="115">
        <v>167</v>
      </c>
      <c r="B169" s="115">
        <f t="shared" si="4"/>
        <v>55</v>
      </c>
      <c r="C169" s="115">
        <f t="shared" si="5"/>
        <v>2</v>
      </c>
      <c r="D169" s="113" t="str" cm="1">
        <f t="array" ref="D169">INDEX('Radio-Map2-1'!$I$7:$K$100,1+B169,C169)</f>
        <v/>
      </c>
    </row>
    <row r="170" spans="1:4" x14ac:dyDescent="0.75">
      <c r="A170" s="115">
        <v>168</v>
      </c>
      <c r="B170" s="115">
        <f t="shared" si="4"/>
        <v>55</v>
      </c>
      <c r="C170" s="115">
        <f t="shared" si="5"/>
        <v>3</v>
      </c>
      <c r="D170" s="113" cm="1">
        <f t="array" ref="D170">INDEX('Radio-Map2-1'!$I$7:$K$100,1+B170,C170)</f>
        <v>0</v>
      </c>
    </row>
    <row r="171" spans="1:4" x14ac:dyDescent="0.75">
      <c r="A171" s="115">
        <v>169</v>
      </c>
      <c r="B171" s="115">
        <f t="shared" si="4"/>
        <v>56</v>
      </c>
      <c r="C171" s="115">
        <f t="shared" si="5"/>
        <v>1</v>
      </c>
      <c r="D171" s="113" t="str" cm="1">
        <f t="array" ref="D171">INDEX('Radio-Map2-1'!$I$7:$K$100,1+B171,C171)</f>
        <v/>
      </c>
    </row>
    <row r="172" spans="1:4" x14ac:dyDescent="0.75">
      <c r="A172" s="115">
        <v>170</v>
      </c>
      <c r="B172" s="115">
        <f t="shared" si="4"/>
        <v>56</v>
      </c>
      <c r="C172" s="115">
        <f t="shared" si="5"/>
        <v>2</v>
      </c>
      <c r="D172" s="113" t="str" cm="1">
        <f t="array" ref="D172">INDEX('Radio-Map2-1'!$I$7:$K$100,1+B172,C172)</f>
        <v/>
      </c>
    </row>
    <row r="173" spans="1:4" x14ac:dyDescent="0.75">
      <c r="A173" s="115">
        <v>171</v>
      </c>
      <c r="B173" s="115">
        <f t="shared" si="4"/>
        <v>56</v>
      </c>
      <c r="C173" s="115">
        <f t="shared" si="5"/>
        <v>3</v>
      </c>
      <c r="D173" s="113" cm="1">
        <f t="array" ref="D173">INDEX('Radio-Map2-1'!$I$7:$K$100,1+B173,C173)</f>
        <v>0</v>
      </c>
    </row>
    <row r="174" spans="1:4" x14ac:dyDescent="0.75">
      <c r="A174" s="115">
        <v>172</v>
      </c>
      <c r="B174" s="115">
        <f t="shared" si="4"/>
        <v>57</v>
      </c>
      <c r="C174" s="115">
        <f t="shared" si="5"/>
        <v>1</v>
      </c>
      <c r="D174" s="113" t="str" cm="1">
        <f t="array" ref="D174">INDEX('Radio-Map2-1'!$I$7:$K$100,1+B174,C174)</f>
        <v/>
      </c>
    </row>
    <row r="175" spans="1:4" x14ac:dyDescent="0.75">
      <c r="A175" s="115">
        <v>173</v>
      </c>
      <c r="B175" s="115">
        <f t="shared" si="4"/>
        <v>57</v>
      </c>
      <c r="C175" s="115">
        <f t="shared" si="5"/>
        <v>2</v>
      </c>
      <c r="D175" s="113" t="str" cm="1">
        <f t="array" ref="D175">INDEX('Radio-Map2-1'!$I$7:$K$100,1+B175,C175)</f>
        <v/>
      </c>
    </row>
    <row r="176" spans="1:4" x14ac:dyDescent="0.75">
      <c r="A176" s="115">
        <v>174</v>
      </c>
      <c r="B176" s="115">
        <f t="shared" si="4"/>
        <v>57</v>
      </c>
      <c r="C176" s="115">
        <f t="shared" si="5"/>
        <v>3</v>
      </c>
      <c r="D176" s="113" cm="1">
        <f t="array" ref="D176">INDEX('Radio-Map2-1'!$I$7:$K$100,1+B176,C176)</f>
        <v>0</v>
      </c>
    </row>
    <row r="177" spans="1:4" x14ac:dyDescent="0.75">
      <c r="A177" s="115">
        <v>175</v>
      </c>
      <c r="B177" s="115">
        <f t="shared" si="4"/>
        <v>58</v>
      </c>
      <c r="C177" s="115">
        <f t="shared" si="5"/>
        <v>1</v>
      </c>
      <c r="D177" s="113" t="str" cm="1">
        <f t="array" ref="D177">INDEX('Radio-Map2-1'!$I$7:$K$100,1+B177,C177)</f>
        <v/>
      </c>
    </row>
    <row r="178" spans="1:4" x14ac:dyDescent="0.75">
      <c r="A178" s="115">
        <v>176</v>
      </c>
      <c r="B178" s="115">
        <f t="shared" si="4"/>
        <v>58</v>
      </c>
      <c r="C178" s="115">
        <f t="shared" si="5"/>
        <v>2</v>
      </c>
      <c r="D178" s="113" t="str" cm="1">
        <f t="array" ref="D178">INDEX('Radio-Map2-1'!$I$7:$K$100,1+B178,C178)</f>
        <v/>
      </c>
    </row>
    <row r="179" spans="1:4" x14ac:dyDescent="0.75">
      <c r="A179" s="115">
        <v>177</v>
      </c>
      <c r="B179" s="115">
        <f t="shared" si="4"/>
        <v>58</v>
      </c>
      <c r="C179" s="115">
        <f t="shared" si="5"/>
        <v>3</v>
      </c>
      <c r="D179" s="113" cm="1">
        <f t="array" ref="D179">INDEX('Radio-Map2-1'!$I$7:$K$100,1+B179,C179)</f>
        <v>0</v>
      </c>
    </row>
    <row r="180" spans="1:4" x14ac:dyDescent="0.75">
      <c r="A180" s="115">
        <v>178</v>
      </c>
      <c r="B180" s="115">
        <f t="shared" si="4"/>
        <v>59</v>
      </c>
      <c r="C180" s="115">
        <f t="shared" si="5"/>
        <v>1</v>
      </c>
      <c r="D180" s="113" t="str" cm="1">
        <f t="array" ref="D180">INDEX('Radio-Map2-1'!$I$7:$K$100,1+B180,C180)</f>
        <v/>
      </c>
    </row>
    <row r="181" spans="1:4" x14ac:dyDescent="0.75">
      <c r="A181" s="115">
        <v>179</v>
      </c>
      <c r="B181" s="115">
        <f t="shared" si="4"/>
        <v>59</v>
      </c>
      <c r="C181" s="115">
        <f t="shared" si="5"/>
        <v>2</v>
      </c>
      <c r="D181" s="113" t="str" cm="1">
        <f t="array" ref="D181">INDEX('Radio-Map2-1'!$I$7:$K$100,1+B181,C181)</f>
        <v/>
      </c>
    </row>
    <row r="182" spans="1:4" x14ac:dyDescent="0.75">
      <c r="A182" s="115">
        <v>180</v>
      </c>
      <c r="B182" s="115">
        <f t="shared" si="4"/>
        <v>59</v>
      </c>
      <c r="C182" s="115">
        <f t="shared" si="5"/>
        <v>3</v>
      </c>
      <c r="D182" s="113" cm="1">
        <f t="array" ref="D182">INDEX('Radio-Map2-1'!$I$7:$K$100,1+B182,C182)</f>
        <v>0</v>
      </c>
    </row>
    <row r="183" spans="1:4" x14ac:dyDescent="0.75">
      <c r="A183" s="115">
        <v>181</v>
      </c>
      <c r="B183" s="115">
        <f t="shared" si="4"/>
        <v>60</v>
      </c>
      <c r="C183" s="115">
        <f t="shared" si="5"/>
        <v>1</v>
      </c>
      <c r="D183" s="113" t="str" cm="1">
        <f t="array" ref="D183">INDEX('Radio-Map2-1'!$I$7:$K$100,1+B183,C183)</f>
        <v/>
      </c>
    </row>
    <row r="184" spans="1:4" x14ac:dyDescent="0.75">
      <c r="A184" s="115">
        <v>182</v>
      </c>
      <c r="B184" s="115">
        <f t="shared" si="4"/>
        <v>60</v>
      </c>
      <c r="C184" s="115">
        <f t="shared" si="5"/>
        <v>2</v>
      </c>
      <c r="D184" s="113" t="str" cm="1">
        <f t="array" ref="D184">INDEX('Radio-Map2-1'!$I$7:$K$100,1+B184,C184)</f>
        <v/>
      </c>
    </row>
    <row r="185" spans="1:4" x14ac:dyDescent="0.75">
      <c r="A185" s="115">
        <v>183</v>
      </c>
      <c r="B185" s="115">
        <f t="shared" si="4"/>
        <v>60</v>
      </c>
      <c r="C185" s="115">
        <f t="shared" si="5"/>
        <v>3</v>
      </c>
      <c r="D185" s="113" cm="1">
        <f t="array" ref="D185">INDEX('Radio-Map2-1'!$I$7:$K$100,1+B185,C185)</f>
        <v>0</v>
      </c>
    </row>
    <row r="186" spans="1:4" x14ac:dyDescent="0.75">
      <c r="A186" s="115">
        <v>184</v>
      </c>
      <c r="B186" s="115">
        <f t="shared" si="4"/>
        <v>61</v>
      </c>
      <c r="C186" s="115">
        <f t="shared" si="5"/>
        <v>1</v>
      </c>
      <c r="D186" s="113" t="str" cm="1">
        <f t="array" ref="D186">INDEX('Radio-Map2-1'!$I$7:$K$100,1+B186,C186)</f>
        <v/>
      </c>
    </row>
    <row r="187" spans="1:4" x14ac:dyDescent="0.75">
      <c r="A187" s="115">
        <v>185</v>
      </c>
      <c r="B187" s="115">
        <f t="shared" si="4"/>
        <v>61</v>
      </c>
      <c r="C187" s="115">
        <f t="shared" si="5"/>
        <v>2</v>
      </c>
      <c r="D187" s="113" t="str" cm="1">
        <f t="array" ref="D187">INDEX('Radio-Map2-1'!$I$7:$K$100,1+B187,C187)</f>
        <v/>
      </c>
    </row>
    <row r="188" spans="1:4" x14ac:dyDescent="0.75">
      <c r="A188" s="115">
        <v>186</v>
      </c>
      <c r="B188" s="115">
        <f t="shared" si="4"/>
        <v>61</v>
      </c>
      <c r="C188" s="115">
        <f t="shared" si="5"/>
        <v>3</v>
      </c>
      <c r="D188" s="113" cm="1">
        <f t="array" ref="D188">INDEX('Radio-Map2-1'!$I$7:$K$100,1+B188,C188)</f>
        <v>0</v>
      </c>
    </row>
    <row r="189" spans="1:4" x14ac:dyDescent="0.75">
      <c r="A189" s="115">
        <v>187</v>
      </c>
      <c r="B189" s="115">
        <f t="shared" si="4"/>
        <v>62</v>
      </c>
      <c r="C189" s="115">
        <f t="shared" si="5"/>
        <v>1</v>
      </c>
      <c r="D189" s="113" t="str" cm="1">
        <f t="array" ref="D189">INDEX('Radio-Map2-1'!$I$7:$K$100,1+B189,C189)</f>
        <v/>
      </c>
    </row>
    <row r="190" spans="1:4" x14ac:dyDescent="0.75">
      <c r="A190" s="115">
        <v>188</v>
      </c>
      <c r="B190" s="115">
        <f t="shared" si="4"/>
        <v>62</v>
      </c>
      <c r="C190" s="115">
        <f t="shared" si="5"/>
        <v>2</v>
      </c>
      <c r="D190" s="113" t="str" cm="1">
        <f t="array" ref="D190">INDEX('Radio-Map2-1'!$I$7:$K$100,1+B190,C190)</f>
        <v/>
      </c>
    </row>
    <row r="191" spans="1:4" x14ac:dyDescent="0.75">
      <c r="A191" s="115">
        <v>189</v>
      </c>
      <c r="B191" s="115">
        <f t="shared" si="4"/>
        <v>62</v>
      </c>
      <c r="C191" s="115">
        <f t="shared" si="5"/>
        <v>3</v>
      </c>
      <c r="D191" s="113" cm="1">
        <f t="array" ref="D191">INDEX('Radio-Map2-1'!$I$7:$K$100,1+B191,C191)</f>
        <v>0</v>
      </c>
    </row>
    <row r="192" spans="1:4" x14ac:dyDescent="0.75">
      <c r="A192" s="115">
        <v>190</v>
      </c>
      <c r="B192" s="115">
        <f t="shared" si="4"/>
        <v>63</v>
      </c>
      <c r="C192" s="115">
        <f t="shared" si="5"/>
        <v>1</v>
      </c>
      <c r="D192" s="113" t="str" cm="1">
        <f t="array" ref="D192">INDEX('Radio-Map2-1'!$I$7:$K$100,1+B192,C192)</f>
        <v/>
      </c>
    </row>
    <row r="193" spans="1:4" x14ac:dyDescent="0.75">
      <c r="A193" s="115">
        <v>191</v>
      </c>
      <c r="B193" s="115">
        <f t="shared" si="4"/>
        <v>63</v>
      </c>
      <c r="C193" s="115">
        <f t="shared" si="5"/>
        <v>2</v>
      </c>
      <c r="D193" s="113" t="str" cm="1">
        <f t="array" ref="D193">INDEX('Radio-Map2-1'!$I$7:$K$100,1+B193,C193)</f>
        <v/>
      </c>
    </row>
    <row r="194" spans="1:4" x14ac:dyDescent="0.75">
      <c r="A194" s="115">
        <v>192</v>
      </c>
      <c r="B194" s="115">
        <f t="shared" si="4"/>
        <v>63</v>
      </c>
      <c r="C194" s="115">
        <f t="shared" si="5"/>
        <v>3</v>
      </c>
      <c r="D194" s="113" cm="1">
        <f t="array" ref="D194">INDEX('Radio-Map2-1'!$I$7:$K$100,1+B194,C194)</f>
        <v>0</v>
      </c>
    </row>
    <row r="195" spans="1:4" x14ac:dyDescent="0.75">
      <c r="A195" s="115">
        <v>193</v>
      </c>
      <c r="B195" s="115">
        <f t="shared" si="4"/>
        <v>64</v>
      </c>
      <c r="C195" s="115">
        <f t="shared" si="5"/>
        <v>1</v>
      </c>
      <c r="D195" s="113" t="str" cm="1">
        <f t="array" ref="D195">INDEX('Radio-Map2-1'!$I$7:$K$100,1+B195,C195)</f>
        <v/>
      </c>
    </row>
    <row r="196" spans="1:4" x14ac:dyDescent="0.75">
      <c r="A196" s="115">
        <v>194</v>
      </c>
      <c r="B196" s="115">
        <f t="shared" ref="B196:B206" si="6">IF(MOD(A196,3)=0,A196/3-1,INT(A196/3))</f>
        <v>64</v>
      </c>
      <c r="C196" s="115">
        <f t="shared" ref="C196:C206" si="7">IF(MOD(A196,3)=0,3,MOD(A196,3))</f>
        <v>2</v>
      </c>
      <c r="D196" s="113" t="str" cm="1">
        <f t="array" ref="D196">INDEX('Radio-Map2-1'!$I$7:$K$100,1+B196,C196)</f>
        <v/>
      </c>
    </row>
    <row r="197" spans="1:4" x14ac:dyDescent="0.75">
      <c r="A197" s="115">
        <v>195</v>
      </c>
      <c r="B197" s="115">
        <f t="shared" si="6"/>
        <v>64</v>
      </c>
      <c r="C197" s="115">
        <f t="shared" si="7"/>
        <v>3</v>
      </c>
      <c r="D197" s="113" cm="1">
        <f t="array" ref="D197">INDEX('Radio-Map2-1'!$I$7:$K$100,1+B197,C197)</f>
        <v>0</v>
      </c>
    </row>
    <row r="198" spans="1:4" x14ac:dyDescent="0.75">
      <c r="A198" s="115">
        <v>196</v>
      </c>
      <c r="B198" s="115">
        <f t="shared" si="6"/>
        <v>65</v>
      </c>
      <c r="C198" s="115">
        <f t="shared" si="7"/>
        <v>1</v>
      </c>
      <c r="D198" s="113" t="str" cm="1">
        <f t="array" ref="D198">INDEX('Radio-Map2-1'!$I$7:$K$100,1+B198,C198)</f>
        <v/>
      </c>
    </row>
    <row r="199" spans="1:4" x14ac:dyDescent="0.75">
      <c r="A199" s="115">
        <v>197</v>
      </c>
      <c r="B199" s="115">
        <f t="shared" si="6"/>
        <v>65</v>
      </c>
      <c r="C199" s="115">
        <f t="shared" si="7"/>
        <v>2</v>
      </c>
      <c r="D199" s="113" t="str" cm="1">
        <f t="array" ref="D199">INDEX('Radio-Map2-1'!$I$7:$K$100,1+B199,C199)</f>
        <v/>
      </c>
    </row>
    <row r="200" spans="1:4" x14ac:dyDescent="0.75">
      <c r="A200" s="115">
        <v>198</v>
      </c>
      <c r="B200" s="115">
        <f t="shared" si="6"/>
        <v>65</v>
      </c>
      <c r="C200" s="115">
        <f t="shared" si="7"/>
        <v>3</v>
      </c>
      <c r="D200" s="113" cm="1">
        <f t="array" ref="D200">INDEX('Radio-Map2-1'!$I$7:$K$100,1+B200,C200)</f>
        <v>0</v>
      </c>
    </row>
    <row r="201" spans="1:4" x14ac:dyDescent="0.75">
      <c r="A201" s="115">
        <v>199</v>
      </c>
      <c r="B201" s="115">
        <f t="shared" si="6"/>
        <v>66</v>
      </c>
      <c r="C201" s="115">
        <f t="shared" si="7"/>
        <v>1</v>
      </c>
      <c r="D201" s="113" t="str" cm="1">
        <f t="array" ref="D201">INDEX('Radio-Map2-1'!$I$7:$K$100,1+B201,C201)</f>
        <v/>
      </c>
    </row>
    <row r="202" spans="1:4" x14ac:dyDescent="0.75">
      <c r="A202" s="115">
        <v>200</v>
      </c>
      <c r="B202" s="115">
        <f t="shared" si="6"/>
        <v>66</v>
      </c>
      <c r="C202" s="115">
        <f t="shared" si="7"/>
        <v>2</v>
      </c>
      <c r="D202" s="113" t="str" cm="1">
        <f t="array" ref="D202">INDEX('Radio-Map2-1'!$I$7:$K$100,1+B202,C202)</f>
        <v/>
      </c>
    </row>
    <row r="203" spans="1:4" x14ac:dyDescent="0.75">
      <c r="A203" s="115">
        <v>201</v>
      </c>
      <c r="B203" s="115">
        <f t="shared" si="6"/>
        <v>66</v>
      </c>
      <c r="C203" s="115">
        <f t="shared" si="7"/>
        <v>3</v>
      </c>
      <c r="D203" s="113" cm="1">
        <f t="array" ref="D203">INDEX('Radio-Map2-1'!$I$7:$K$100,1+B203,C203)</f>
        <v>0</v>
      </c>
    </row>
    <row r="204" spans="1:4" x14ac:dyDescent="0.75">
      <c r="A204" s="115">
        <v>202</v>
      </c>
      <c r="B204" s="115">
        <f t="shared" si="6"/>
        <v>67</v>
      </c>
      <c r="C204" s="115">
        <f t="shared" si="7"/>
        <v>1</v>
      </c>
      <c r="D204" s="113" t="str" cm="1">
        <f t="array" ref="D204">INDEX('Radio-Map2-1'!$I$7:$K$100,1+B204,C204)</f>
        <v/>
      </c>
    </row>
    <row r="205" spans="1:4" x14ac:dyDescent="0.75">
      <c r="A205" s="115">
        <v>203</v>
      </c>
      <c r="B205" s="115">
        <f t="shared" si="6"/>
        <v>67</v>
      </c>
      <c r="C205" s="115">
        <f t="shared" si="7"/>
        <v>2</v>
      </c>
      <c r="D205" s="113" t="str" cm="1">
        <f t="array" ref="D205">INDEX('Radio-Map2-1'!$I$7:$K$100,1+B205,C205)</f>
        <v/>
      </c>
    </row>
    <row r="206" spans="1:4" x14ac:dyDescent="0.75">
      <c r="A206" s="115">
        <v>204</v>
      </c>
      <c r="B206" s="115">
        <f t="shared" si="6"/>
        <v>67</v>
      </c>
      <c r="C206" s="115">
        <f t="shared" si="7"/>
        <v>3</v>
      </c>
      <c r="D206" s="113" cm="1">
        <f t="array" ref="D206">INDEX('Radio-Map2-1'!$I$7:$K$100,1+B206,C206)</f>
        <v>0</v>
      </c>
    </row>
    <row r="207" spans="1:4" x14ac:dyDescent="0.75">
      <c r="A207" s="115"/>
      <c r="B207" s="115"/>
      <c r="C207" s="115"/>
    </row>
    <row r="208" spans="1:4" x14ac:dyDescent="0.75">
      <c r="A208" s="115"/>
      <c r="B208" s="115"/>
      <c r="C208" s="115"/>
    </row>
    <row r="209" spans="1:3" x14ac:dyDescent="0.75">
      <c r="A209" s="115"/>
      <c r="B209" s="115"/>
      <c r="C209" s="115"/>
    </row>
    <row r="210" spans="1:3" x14ac:dyDescent="0.75">
      <c r="A210" s="115"/>
      <c r="B210" s="115"/>
      <c r="C210" s="115"/>
    </row>
    <row r="211" spans="1:3" x14ac:dyDescent="0.75">
      <c r="A211" s="115"/>
      <c r="B211" s="115"/>
      <c r="C211" s="115"/>
    </row>
    <row r="212" spans="1:3" x14ac:dyDescent="0.75">
      <c r="A212" s="115"/>
      <c r="B212" s="115"/>
      <c r="C212" s="115"/>
    </row>
    <row r="213" spans="1:3" x14ac:dyDescent="0.75">
      <c r="A213" s="115"/>
      <c r="B213" s="115"/>
      <c r="C213" s="115"/>
    </row>
    <row r="214" spans="1:3" x14ac:dyDescent="0.75">
      <c r="A214" s="115"/>
      <c r="B214" s="115"/>
      <c r="C214" s="115"/>
    </row>
    <row r="215" spans="1:3" x14ac:dyDescent="0.75">
      <c r="A215" s="115"/>
      <c r="B215" s="115"/>
      <c r="C215" s="115"/>
    </row>
    <row r="216" spans="1:3" x14ac:dyDescent="0.75">
      <c r="A216" s="115"/>
      <c r="B216" s="115"/>
      <c r="C216" s="115"/>
    </row>
    <row r="217" spans="1:3" x14ac:dyDescent="0.75">
      <c r="A217" s="115"/>
      <c r="B217" s="115"/>
      <c r="C217" s="115"/>
    </row>
    <row r="218" spans="1:3" x14ac:dyDescent="0.75">
      <c r="A218" s="115"/>
      <c r="B218" s="115"/>
      <c r="C218" s="115"/>
    </row>
    <row r="219" spans="1:3" x14ac:dyDescent="0.75">
      <c r="A219" s="115"/>
      <c r="B219" s="115"/>
      <c r="C219" s="115"/>
    </row>
    <row r="220" spans="1:3" x14ac:dyDescent="0.75">
      <c r="A220" s="115"/>
      <c r="B220" s="115"/>
      <c r="C220" s="115"/>
    </row>
    <row r="221" spans="1:3" x14ac:dyDescent="0.75">
      <c r="A221" s="115"/>
      <c r="B221" s="115"/>
      <c r="C221" s="115"/>
    </row>
    <row r="222" spans="1:3" x14ac:dyDescent="0.75">
      <c r="A222" s="115"/>
      <c r="B222" s="115"/>
      <c r="C222" s="115"/>
    </row>
    <row r="223" spans="1:3" x14ac:dyDescent="0.75">
      <c r="A223" s="115"/>
      <c r="B223" s="115"/>
      <c r="C223" s="115"/>
    </row>
    <row r="224" spans="1:3" x14ac:dyDescent="0.75">
      <c r="A224" s="115"/>
      <c r="B224" s="115"/>
      <c r="C224" s="115"/>
    </row>
    <row r="225" spans="1:3" x14ac:dyDescent="0.75">
      <c r="A225" s="115"/>
      <c r="B225" s="115"/>
      <c r="C225" s="115"/>
    </row>
    <row r="226" spans="1:3" x14ac:dyDescent="0.75">
      <c r="A226" s="115"/>
      <c r="B226" s="115"/>
      <c r="C226" s="115"/>
    </row>
    <row r="227" spans="1:3" x14ac:dyDescent="0.75">
      <c r="A227" s="115"/>
      <c r="B227" s="115"/>
      <c r="C227" s="115"/>
    </row>
    <row r="228" spans="1:3" x14ac:dyDescent="0.75">
      <c r="A228" s="115"/>
      <c r="B228" s="115"/>
      <c r="C228" s="115"/>
    </row>
    <row r="229" spans="1:3" x14ac:dyDescent="0.75">
      <c r="A229" s="115"/>
      <c r="B229" s="115"/>
      <c r="C229" s="115"/>
    </row>
    <row r="230" spans="1:3" x14ac:dyDescent="0.75">
      <c r="A230" s="115"/>
      <c r="B230" s="115"/>
      <c r="C230" s="115"/>
    </row>
    <row r="231" spans="1:3" x14ac:dyDescent="0.75">
      <c r="A231" s="115"/>
      <c r="B231" s="115"/>
      <c r="C231" s="115"/>
    </row>
    <row r="232" spans="1:3" x14ac:dyDescent="0.75">
      <c r="A232" s="115"/>
      <c r="B232" s="115"/>
      <c r="C232" s="115"/>
    </row>
    <row r="233" spans="1:3" x14ac:dyDescent="0.75">
      <c r="A233" s="115"/>
      <c r="B233" s="115"/>
      <c r="C233" s="115"/>
    </row>
    <row r="234" spans="1:3" x14ac:dyDescent="0.75">
      <c r="A234" s="115"/>
      <c r="B234" s="115"/>
      <c r="C234" s="115"/>
    </row>
    <row r="235" spans="1:3" x14ac:dyDescent="0.75">
      <c r="A235" s="115"/>
      <c r="B235" s="115"/>
      <c r="C235" s="115"/>
    </row>
    <row r="236" spans="1:3" x14ac:dyDescent="0.75">
      <c r="A236" s="115"/>
      <c r="B236" s="115"/>
      <c r="C236" s="115"/>
    </row>
    <row r="237" spans="1:3" x14ac:dyDescent="0.75">
      <c r="A237" s="115"/>
      <c r="B237" s="115"/>
      <c r="C237" s="115"/>
    </row>
    <row r="238" spans="1:3" x14ac:dyDescent="0.75">
      <c r="A238" s="115"/>
      <c r="B238" s="115"/>
      <c r="C238" s="115"/>
    </row>
    <row r="239" spans="1:3" x14ac:dyDescent="0.75">
      <c r="A239" s="115"/>
      <c r="B239" s="115"/>
      <c r="C239" s="115"/>
    </row>
    <row r="240" spans="1:3" x14ac:dyDescent="0.75">
      <c r="A240" s="115"/>
      <c r="B240" s="115"/>
      <c r="C240" s="115"/>
    </row>
    <row r="241" spans="1:3" x14ac:dyDescent="0.75">
      <c r="A241" s="115"/>
      <c r="B241" s="115"/>
      <c r="C241" s="115"/>
    </row>
    <row r="242" spans="1:3" x14ac:dyDescent="0.75">
      <c r="A242" s="115"/>
      <c r="B242" s="115"/>
      <c r="C242" s="115"/>
    </row>
    <row r="243" spans="1:3" x14ac:dyDescent="0.75">
      <c r="A243" s="115"/>
      <c r="B243" s="115"/>
      <c r="C243" s="115"/>
    </row>
    <row r="244" spans="1:3" x14ac:dyDescent="0.75">
      <c r="A244" s="115"/>
      <c r="B244" s="115"/>
      <c r="C244" s="115"/>
    </row>
    <row r="245" spans="1:3" x14ac:dyDescent="0.75">
      <c r="A245" s="115"/>
      <c r="B245" s="115"/>
      <c r="C245" s="115"/>
    </row>
    <row r="246" spans="1:3" x14ac:dyDescent="0.75">
      <c r="A246" s="115"/>
      <c r="B246" s="115"/>
      <c r="C246" s="115"/>
    </row>
    <row r="247" spans="1:3" x14ac:dyDescent="0.75">
      <c r="A247" s="115"/>
      <c r="B247" s="115"/>
      <c r="C247" s="115"/>
    </row>
    <row r="248" spans="1:3" x14ac:dyDescent="0.75">
      <c r="A248" s="115"/>
      <c r="B248" s="115"/>
      <c r="C248" s="115"/>
    </row>
    <row r="249" spans="1:3" x14ac:dyDescent="0.75">
      <c r="A249" s="115"/>
      <c r="B249" s="115"/>
      <c r="C249" s="115"/>
    </row>
    <row r="250" spans="1:3" x14ac:dyDescent="0.75">
      <c r="A250" s="115"/>
      <c r="B250" s="115"/>
      <c r="C250" s="115"/>
    </row>
    <row r="251" spans="1:3" x14ac:dyDescent="0.75">
      <c r="A251" s="115"/>
      <c r="B251" s="115"/>
      <c r="C251" s="115"/>
    </row>
    <row r="252" spans="1:3" x14ac:dyDescent="0.75">
      <c r="A252" s="115"/>
      <c r="B252" s="115"/>
      <c r="C252" s="115"/>
    </row>
    <row r="253" spans="1:3" x14ac:dyDescent="0.75">
      <c r="A253" s="115"/>
      <c r="B253" s="115"/>
      <c r="C253" s="115"/>
    </row>
    <row r="254" spans="1:3" x14ac:dyDescent="0.75">
      <c r="A254" s="115"/>
      <c r="B254" s="115"/>
      <c r="C254" s="115"/>
    </row>
    <row r="255" spans="1:3" x14ac:dyDescent="0.75">
      <c r="A255" s="115"/>
      <c r="B255" s="115"/>
      <c r="C255" s="115"/>
    </row>
    <row r="256" spans="1:3" x14ac:dyDescent="0.75">
      <c r="A256" s="115"/>
      <c r="B256" s="115"/>
      <c r="C256" s="115"/>
    </row>
    <row r="257" spans="1:3" x14ac:dyDescent="0.75">
      <c r="A257" s="115"/>
      <c r="B257" s="115"/>
      <c r="C257" s="115"/>
    </row>
    <row r="258" spans="1:3" x14ac:dyDescent="0.75">
      <c r="A258" s="115"/>
      <c r="B258" s="115"/>
      <c r="C258" s="115"/>
    </row>
    <row r="259" spans="1:3" x14ac:dyDescent="0.75">
      <c r="A259" s="115"/>
      <c r="B259" s="115"/>
      <c r="C259" s="115"/>
    </row>
    <row r="260" spans="1:3" x14ac:dyDescent="0.75">
      <c r="A260" s="115"/>
      <c r="B260" s="115"/>
      <c r="C260" s="115"/>
    </row>
    <row r="261" spans="1:3" x14ac:dyDescent="0.75">
      <c r="A261" s="115"/>
      <c r="B261" s="115"/>
      <c r="C261" s="115"/>
    </row>
    <row r="262" spans="1:3" x14ac:dyDescent="0.75">
      <c r="A262" s="115"/>
      <c r="B262" s="115"/>
      <c r="C262" s="115"/>
    </row>
    <row r="263" spans="1:3" x14ac:dyDescent="0.75">
      <c r="A263" s="115"/>
      <c r="B263" s="115"/>
      <c r="C263" s="115"/>
    </row>
    <row r="264" spans="1:3" x14ac:dyDescent="0.75">
      <c r="A264" s="115"/>
      <c r="B264" s="115"/>
      <c r="C264" s="115"/>
    </row>
    <row r="265" spans="1:3" x14ac:dyDescent="0.75">
      <c r="A265" s="115"/>
      <c r="B265" s="115"/>
      <c r="C265" s="115"/>
    </row>
    <row r="266" spans="1:3" x14ac:dyDescent="0.75">
      <c r="A266" s="115"/>
      <c r="B266" s="115"/>
      <c r="C266" s="115"/>
    </row>
    <row r="267" spans="1:3" x14ac:dyDescent="0.75">
      <c r="A267" s="115"/>
      <c r="B267" s="115"/>
      <c r="C267" s="115"/>
    </row>
    <row r="268" spans="1:3" x14ac:dyDescent="0.75">
      <c r="A268" s="115"/>
      <c r="B268" s="115"/>
      <c r="C268" s="115"/>
    </row>
    <row r="269" spans="1:3" x14ac:dyDescent="0.75">
      <c r="A269" s="115"/>
      <c r="B269" s="115"/>
      <c r="C269" s="115"/>
    </row>
    <row r="270" spans="1:3" x14ac:dyDescent="0.75">
      <c r="A270" s="115"/>
      <c r="B270" s="115"/>
      <c r="C270" s="115"/>
    </row>
    <row r="271" spans="1:3" x14ac:dyDescent="0.75">
      <c r="A271" s="115"/>
      <c r="B271" s="115"/>
      <c r="C271" s="115"/>
    </row>
    <row r="272" spans="1:3" x14ac:dyDescent="0.75">
      <c r="A272" s="115"/>
      <c r="B272" s="115"/>
      <c r="C272" s="115"/>
    </row>
    <row r="273" spans="1:3" x14ac:dyDescent="0.75">
      <c r="A273" s="115"/>
      <c r="B273" s="115"/>
      <c r="C273" s="115"/>
    </row>
    <row r="274" spans="1:3" x14ac:dyDescent="0.75">
      <c r="A274" s="115"/>
      <c r="B274" s="115"/>
      <c r="C274" s="115"/>
    </row>
    <row r="275" spans="1:3" x14ac:dyDescent="0.75">
      <c r="A275" s="115"/>
      <c r="B275" s="115"/>
      <c r="C275" s="115"/>
    </row>
    <row r="276" spans="1:3" x14ac:dyDescent="0.75">
      <c r="A276" s="115"/>
      <c r="B276" s="115"/>
      <c r="C276" s="115"/>
    </row>
    <row r="277" spans="1:3" x14ac:dyDescent="0.75">
      <c r="A277" s="115"/>
      <c r="B277" s="115"/>
      <c r="C277" s="115"/>
    </row>
    <row r="278" spans="1:3" x14ac:dyDescent="0.75">
      <c r="A278" s="115"/>
      <c r="B278" s="115"/>
      <c r="C278" s="115"/>
    </row>
    <row r="279" spans="1:3" x14ac:dyDescent="0.75">
      <c r="A279" s="115"/>
      <c r="B279" s="115"/>
      <c r="C279" s="115"/>
    </row>
    <row r="280" spans="1:3" x14ac:dyDescent="0.75">
      <c r="A280" s="115"/>
      <c r="B280" s="115"/>
      <c r="C280" s="115"/>
    </row>
    <row r="281" spans="1:3" x14ac:dyDescent="0.75">
      <c r="A281" s="115"/>
      <c r="B281" s="115"/>
      <c r="C281" s="115"/>
    </row>
    <row r="282" spans="1:3" x14ac:dyDescent="0.75">
      <c r="A282" s="115"/>
      <c r="B282" s="115"/>
      <c r="C282" s="115"/>
    </row>
    <row r="283" spans="1:3" x14ac:dyDescent="0.75">
      <c r="A283" s="115"/>
      <c r="B283" s="115"/>
      <c r="C283" s="115"/>
    </row>
    <row r="284" spans="1:3" x14ac:dyDescent="0.75">
      <c r="A284" s="115"/>
      <c r="B284" s="115"/>
      <c r="C284" s="115"/>
    </row>
    <row r="285" spans="1:3" x14ac:dyDescent="0.75">
      <c r="A285" s="115"/>
      <c r="B285" s="115"/>
      <c r="C285" s="115"/>
    </row>
    <row r="286" spans="1:3" x14ac:dyDescent="0.75">
      <c r="A286" s="115"/>
      <c r="B286" s="115"/>
      <c r="C286" s="115"/>
    </row>
    <row r="287" spans="1:3" x14ac:dyDescent="0.75">
      <c r="A287" s="115"/>
      <c r="B287" s="115"/>
      <c r="C287" s="115"/>
    </row>
    <row r="288" spans="1:3" x14ac:dyDescent="0.75">
      <c r="A288" s="115"/>
      <c r="B288" s="115"/>
      <c r="C288" s="115"/>
    </row>
    <row r="289" spans="1:3" x14ac:dyDescent="0.75">
      <c r="A289" s="115"/>
      <c r="B289" s="115"/>
      <c r="C289" s="115"/>
    </row>
    <row r="290" spans="1:3" x14ac:dyDescent="0.75">
      <c r="A290" s="115"/>
      <c r="B290" s="115"/>
      <c r="C290" s="115"/>
    </row>
    <row r="291" spans="1:3" x14ac:dyDescent="0.75">
      <c r="A291" s="115"/>
      <c r="B291" s="115"/>
      <c r="C291" s="115"/>
    </row>
    <row r="292" spans="1:3" x14ac:dyDescent="0.75">
      <c r="A292" s="115"/>
      <c r="B292" s="115"/>
      <c r="C292" s="115"/>
    </row>
    <row r="293" spans="1:3" x14ac:dyDescent="0.75">
      <c r="A293" s="115"/>
      <c r="B293" s="115"/>
      <c r="C293" s="115"/>
    </row>
    <row r="294" spans="1:3" x14ac:dyDescent="0.75">
      <c r="A294" s="115"/>
      <c r="B294" s="115"/>
      <c r="C294" s="115"/>
    </row>
    <row r="295" spans="1:3" x14ac:dyDescent="0.75">
      <c r="A295" s="115"/>
      <c r="B295" s="115"/>
      <c r="C295" s="115"/>
    </row>
    <row r="296" spans="1:3" x14ac:dyDescent="0.75">
      <c r="A296" s="115"/>
      <c r="B296" s="115"/>
      <c r="C296" s="115"/>
    </row>
    <row r="297" spans="1:3" x14ac:dyDescent="0.75">
      <c r="A297" s="115"/>
      <c r="B297" s="115"/>
      <c r="C297" s="115"/>
    </row>
    <row r="298" spans="1:3" x14ac:dyDescent="0.75">
      <c r="A298" s="115"/>
      <c r="B298" s="115"/>
      <c r="C298" s="115"/>
    </row>
    <row r="299" spans="1:3" x14ac:dyDescent="0.75">
      <c r="A299" s="115"/>
      <c r="B299" s="115"/>
      <c r="C299" s="115"/>
    </row>
    <row r="300" spans="1:3" x14ac:dyDescent="0.75">
      <c r="A300" s="115"/>
      <c r="B300" s="115"/>
      <c r="C300" s="115"/>
    </row>
    <row r="301" spans="1:3" x14ac:dyDescent="0.75">
      <c r="A301" s="115"/>
      <c r="B301" s="115"/>
      <c r="C301" s="115"/>
    </row>
    <row r="302" spans="1:3" x14ac:dyDescent="0.75">
      <c r="A302" s="115"/>
      <c r="B302" s="115"/>
      <c r="C302" s="115"/>
    </row>
    <row r="303" spans="1:3" x14ac:dyDescent="0.75">
      <c r="A303" s="115"/>
      <c r="B303" s="115"/>
      <c r="C303" s="115"/>
    </row>
    <row r="304" spans="1:3" x14ac:dyDescent="0.75">
      <c r="A304" s="115"/>
      <c r="B304" s="115"/>
      <c r="C304" s="115"/>
    </row>
    <row r="305" spans="1:3" x14ac:dyDescent="0.75">
      <c r="A305" s="115"/>
      <c r="B305" s="115"/>
      <c r="C305" s="115"/>
    </row>
    <row r="306" spans="1:3" x14ac:dyDescent="0.75">
      <c r="A306" s="115"/>
      <c r="B306" s="115"/>
      <c r="C306" s="115"/>
    </row>
    <row r="307" spans="1:3" x14ac:dyDescent="0.75">
      <c r="A307" s="115"/>
      <c r="B307" s="115"/>
      <c r="C307" s="115"/>
    </row>
    <row r="308" spans="1:3" x14ac:dyDescent="0.75">
      <c r="A308" s="115"/>
      <c r="B308" s="115"/>
      <c r="C308" s="115"/>
    </row>
    <row r="309" spans="1:3" x14ac:dyDescent="0.75">
      <c r="A309" s="115"/>
      <c r="B309" s="115"/>
      <c r="C309" s="115"/>
    </row>
    <row r="310" spans="1:3" x14ac:dyDescent="0.75">
      <c r="A310" s="115"/>
      <c r="B310" s="115"/>
      <c r="C310" s="115"/>
    </row>
    <row r="311" spans="1:3" x14ac:dyDescent="0.75">
      <c r="A311" s="115"/>
      <c r="B311" s="115"/>
      <c r="C311" s="115"/>
    </row>
    <row r="312" spans="1:3" x14ac:dyDescent="0.75">
      <c r="A312" s="115"/>
      <c r="B312" s="115"/>
      <c r="C312" s="115"/>
    </row>
    <row r="313" spans="1:3" x14ac:dyDescent="0.75">
      <c r="A313" s="115"/>
      <c r="B313" s="115"/>
      <c r="C313" s="115"/>
    </row>
    <row r="314" spans="1:3" x14ac:dyDescent="0.75">
      <c r="A314" s="115"/>
      <c r="B314" s="115"/>
      <c r="C314" s="115"/>
    </row>
    <row r="315" spans="1:3" x14ac:dyDescent="0.75">
      <c r="A315" s="115"/>
      <c r="B315" s="115"/>
      <c r="C315" s="115"/>
    </row>
    <row r="316" spans="1:3" x14ac:dyDescent="0.75">
      <c r="A316" s="115"/>
      <c r="B316" s="115"/>
      <c r="C316" s="115"/>
    </row>
    <row r="317" spans="1:3" x14ac:dyDescent="0.75">
      <c r="A317" s="115"/>
      <c r="B317" s="115"/>
      <c r="C317" s="115"/>
    </row>
    <row r="318" spans="1:3" x14ac:dyDescent="0.75">
      <c r="A318" s="115"/>
      <c r="B318" s="115"/>
      <c r="C318" s="115"/>
    </row>
    <row r="319" spans="1:3" x14ac:dyDescent="0.75">
      <c r="A319" s="115"/>
      <c r="B319" s="115"/>
      <c r="C319" s="115"/>
    </row>
    <row r="320" spans="1:3" x14ac:dyDescent="0.75">
      <c r="A320" s="115"/>
      <c r="B320" s="115"/>
      <c r="C320" s="115"/>
    </row>
    <row r="321" spans="1:3" x14ac:dyDescent="0.75">
      <c r="A321" s="115"/>
      <c r="B321" s="115"/>
      <c r="C321" s="115"/>
    </row>
    <row r="322" spans="1:3" x14ac:dyDescent="0.75">
      <c r="A322" s="115"/>
      <c r="B322" s="115"/>
      <c r="C322" s="115"/>
    </row>
    <row r="323" spans="1:3" x14ac:dyDescent="0.75">
      <c r="A323" s="115"/>
      <c r="B323" s="115"/>
      <c r="C323" s="115"/>
    </row>
    <row r="324" spans="1:3" x14ac:dyDescent="0.75">
      <c r="A324" s="115"/>
      <c r="B324" s="115"/>
      <c r="C324" s="115"/>
    </row>
    <row r="325" spans="1:3" x14ac:dyDescent="0.75">
      <c r="A325" s="115"/>
      <c r="B325" s="115"/>
      <c r="C325" s="115"/>
    </row>
    <row r="326" spans="1:3" x14ac:dyDescent="0.75">
      <c r="A326" s="115"/>
      <c r="B326" s="115"/>
      <c r="C326" s="115"/>
    </row>
    <row r="327" spans="1:3" x14ac:dyDescent="0.75">
      <c r="A327" s="115"/>
      <c r="B327" s="115"/>
      <c r="C327" s="115"/>
    </row>
    <row r="328" spans="1:3" x14ac:dyDescent="0.75">
      <c r="A328" s="115"/>
      <c r="B328" s="115"/>
      <c r="C328" s="115"/>
    </row>
    <row r="329" spans="1:3" x14ac:dyDescent="0.75">
      <c r="A329" s="115"/>
      <c r="B329" s="115"/>
      <c r="C329" s="115"/>
    </row>
    <row r="330" spans="1:3" x14ac:dyDescent="0.75">
      <c r="A330" s="115"/>
      <c r="B330" s="115"/>
      <c r="C330" s="115"/>
    </row>
    <row r="331" spans="1:3" x14ac:dyDescent="0.75">
      <c r="A331" s="115"/>
      <c r="B331" s="115"/>
      <c r="C331" s="115"/>
    </row>
    <row r="332" spans="1:3" x14ac:dyDescent="0.75">
      <c r="A332" s="115"/>
      <c r="B332" s="115"/>
      <c r="C332" s="115"/>
    </row>
    <row r="333" spans="1:3" x14ac:dyDescent="0.75">
      <c r="A333" s="115"/>
      <c r="B333" s="115"/>
      <c r="C333" s="115"/>
    </row>
    <row r="334" spans="1:3" x14ac:dyDescent="0.75">
      <c r="A334" s="115"/>
      <c r="B334" s="115"/>
      <c r="C334" s="115"/>
    </row>
    <row r="335" spans="1:3" x14ac:dyDescent="0.75">
      <c r="A335" s="115"/>
      <c r="B335" s="115"/>
      <c r="C335" s="115"/>
    </row>
    <row r="336" spans="1:3" x14ac:dyDescent="0.75">
      <c r="A336" s="115"/>
      <c r="B336" s="115"/>
      <c r="C336" s="115"/>
    </row>
    <row r="337" spans="1:3" x14ac:dyDescent="0.75">
      <c r="A337" s="115"/>
      <c r="B337" s="115"/>
      <c r="C337" s="115"/>
    </row>
    <row r="338" spans="1:3" x14ac:dyDescent="0.75">
      <c r="A338" s="115"/>
      <c r="B338" s="115"/>
      <c r="C338" s="115"/>
    </row>
    <row r="339" spans="1:3" x14ac:dyDescent="0.75">
      <c r="A339" s="115"/>
      <c r="B339" s="115"/>
      <c r="C339" s="115"/>
    </row>
    <row r="340" spans="1:3" x14ac:dyDescent="0.75">
      <c r="A340" s="115"/>
      <c r="B340" s="115"/>
      <c r="C340" s="115"/>
    </row>
    <row r="341" spans="1:3" x14ac:dyDescent="0.75">
      <c r="A341" s="115"/>
      <c r="B341" s="115"/>
      <c r="C341" s="115"/>
    </row>
    <row r="342" spans="1:3" x14ac:dyDescent="0.75">
      <c r="A342" s="115"/>
      <c r="B342" s="115"/>
      <c r="C342" s="115"/>
    </row>
    <row r="343" spans="1:3" x14ac:dyDescent="0.75">
      <c r="A343" s="115"/>
      <c r="B343" s="115"/>
      <c r="C343" s="115"/>
    </row>
    <row r="344" spans="1:3" x14ac:dyDescent="0.75">
      <c r="A344" s="115"/>
      <c r="B344" s="115"/>
      <c r="C344" s="115"/>
    </row>
    <row r="345" spans="1:3" x14ac:dyDescent="0.75">
      <c r="A345" s="115"/>
      <c r="B345" s="115"/>
      <c r="C345" s="115"/>
    </row>
    <row r="346" spans="1:3" x14ac:dyDescent="0.75">
      <c r="A346" s="115"/>
      <c r="B346" s="115"/>
      <c r="C346" s="115"/>
    </row>
    <row r="347" spans="1:3" x14ac:dyDescent="0.75">
      <c r="A347" s="115"/>
      <c r="B347" s="115"/>
      <c r="C347" s="115"/>
    </row>
    <row r="348" spans="1:3" x14ac:dyDescent="0.75">
      <c r="A348" s="115"/>
      <c r="B348" s="115"/>
      <c r="C348" s="115"/>
    </row>
    <row r="349" spans="1:3" x14ac:dyDescent="0.75">
      <c r="A349" s="115"/>
      <c r="B349" s="115"/>
      <c r="C349" s="115"/>
    </row>
    <row r="350" spans="1:3" x14ac:dyDescent="0.75">
      <c r="A350" s="115"/>
      <c r="B350" s="115"/>
      <c r="C350" s="115"/>
    </row>
    <row r="351" spans="1:3" x14ac:dyDescent="0.75">
      <c r="A351" s="115"/>
      <c r="B351" s="115"/>
      <c r="C351" s="115"/>
    </row>
    <row r="352" spans="1:3" x14ac:dyDescent="0.75">
      <c r="A352" s="115"/>
      <c r="B352" s="115"/>
      <c r="C352" s="115"/>
    </row>
    <row r="353" spans="1:3" x14ac:dyDescent="0.75">
      <c r="A353" s="115"/>
      <c r="B353" s="115"/>
      <c r="C353" s="115"/>
    </row>
    <row r="354" spans="1:3" x14ac:dyDescent="0.75">
      <c r="A354" s="115"/>
      <c r="B354" s="115"/>
      <c r="C354" s="115"/>
    </row>
    <row r="355" spans="1:3" x14ac:dyDescent="0.75">
      <c r="A355" s="115"/>
      <c r="B355" s="115"/>
      <c r="C355" s="115"/>
    </row>
    <row r="356" spans="1:3" x14ac:dyDescent="0.75">
      <c r="A356" s="115"/>
      <c r="B356" s="115"/>
      <c r="C356" s="115"/>
    </row>
    <row r="357" spans="1:3" x14ac:dyDescent="0.75">
      <c r="A357" s="115"/>
      <c r="B357" s="115"/>
      <c r="C357" s="115"/>
    </row>
    <row r="358" spans="1:3" x14ac:dyDescent="0.75">
      <c r="A358" s="115"/>
      <c r="B358" s="115"/>
      <c r="C358" s="115"/>
    </row>
    <row r="359" spans="1:3" x14ac:dyDescent="0.75">
      <c r="A359" s="115"/>
      <c r="B359" s="115"/>
      <c r="C359" s="115"/>
    </row>
    <row r="360" spans="1:3" x14ac:dyDescent="0.75">
      <c r="A360" s="115"/>
      <c r="B360" s="115"/>
      <c r="C360" s="115"/>
    </row>
    <row r="361" spans="1:3" x14ac:dyDescent="0.75">
      <c r="A361" s="115"/>
      <c r="B361" s="115"/>
      <c r="C361" s="115"/>
    </row>
    <row r="362" spans="1:3" x14ac:dyDescent="0.75">
      <c r="A362" s="115"/>
      <c r="B362" s="115"/>
      <c r="C362" s="115"/>
    </row>
    <row r="363" spans="1:3" x14ac:dyDescent="0.75">
      <c r="A363" s="115"/>
      <c r="B363" s="115"/>
      <c r="C363" s="115"/>
    </row>
    <row r="364" spans="1:3" x14ac:dyDescent="0.75">
      <c r="A364" s="115"/>
      <c r="B364" s="115"/>
      <c r="C364" s="115"/>
    </row>
    <row r="365" spans="1:3" x14ac:dyDescent="0.75">
      <c r="A365" s="115"/>
      <c r="B365" s="115"/>
      <c r="C365" s="115"/>
    </row>
    <row r="366" spans="1:3" x14ac:dyDescent="0.75">
      <c r="A366" s="115"/>
      <c r="B366" s="115"/>
      <c r="C366" s="115"/>
    </row>
    <row r="367" spans="1:3" x14ac:dyDescent="0.75">
      <c r="A367" s="115"/>
      <c r="B367" s="115"/>
      <c r="C367" s="115"/>
    </row>
    <row r="368" spans="1:3" x14ac:dyDescent="0.75">
      <c r="A368" s="115"/>
      <c r="B368" s="115"/>
      <c r="C368" s="115"/>
    </row>
    <row r="369" spans="1:3" x14ac:dyDescent="0.75">
      <c r="A369" s="115"/>
      <c r="B369" s="115"/>
      <c r="C369" s="115"/>
    </row>
    <row r="370" spans="1:3" x14ac:dyDescent="0.75">
      <c r="A370" s="115"/>
      <c r="B370" s="115"/>
      <c r="C370" s="115"/>
    </row>
    <row r="371" spans="1:3" x14ac:dyDescent="0.75">
      <c r="A371" s="115"/>
      <c r="B371" s="115"/>
      <c r="C371" s="115"/>
    </row>
    <row r="372" spans="1:3" x14ac:dyDescent="0.75">
      <c r="A372" s="115"/>
      <c r="B372" s="115"/>
      <c r="C372" s="115"/>
    </row>
    <row r="373" spans="1:3" x14ac:dyDescent="0.75">
      <c r="A373" s="115"/>
      <c r="B373" s="115"/>
      <c r="C373" s="115"/>
    </row>
    <row r="374" spans="1:3" x14ac:dyDescent="0.75">
      <c r="A374" s="115"/>
      <c r="B374" s="115"/>
      <c r="C374" s="115"/>
    </row>
    <row r="375" spans="1:3" x14ac:dyDescent="0.75">
      <c r="A375" s="115"/>
      <c r="B375" s="115"/>
      <c r="C375" s="115"/>
    </row>
    <row r="376" spans="1:3" x14ac:dyDescent="0.75">
      <c r="A376" s="115"/>
      <c r="B376" s="115"/>
      <c r="C376" s="115"/>
    </row>
    <row r="377" spans="1:3" x14ac:dyDescent="0.75">
      <c r="A377" s="115"/>
      <c r="B377" s="115"/>
      <c r="C377" s="115"/>
    </row>
    <row r="378" spans="1:3" x14ac:dyDescent="0.75">
      <c r="A378" s="115"/>
      <c r="B378" s="115"/>
      <c r="C378" s="115"/>
    </row>
    <row r="379" spans="1:3" x14ac:dyDescent="0.75">
      <c r="A379" s="115"/>
      <c r="B379" s="115"/>
      <c r="C379" s="115"/>
    </row>
    <row r="380" spans="1:3" x14ac:dyDescent="0.75">
      <c r="A380" s="115"/>
      <c r="B380" s="115"/>
      <c r="C380" s="115"/>
    </row>
    <row r="381" spans="1:3" x14ac:dyDescent="0.75">
      <c r="A381" s="115"/>
      <c r="B381" s="115"/>
      <c r="C381" s="115"/>
    </row>
    <row r="382" spans="1:3" x14ac:dyDescent="0.75">
      <c r="A382" s="115"/>
      <c r="B382" s="115"/>
      <c r="C382" s="115"/>
    </row>
    <row r="383" spans="1:3" x14ac:dyDescent="0.75">
      <c r="A383" s="115"/>
      <c r="B383" s="115"/>
      <c r="C383" s="115"/>
    </row>
    <row r="384" spans="1:3" x14ac:dyDescent="0.75">
      <c r="A384" s="115"/>
      <c r="B384" s="115"/>
      <c r="C384" s="115"/>
    </row>
    <row r="385" spans="1:3" x14ac:dyDescent="0.75">
      <c r="A385" s="115"/>
      <c r="B385" s="115"/>
      <c r="C385" s="115"/>
    </row>
    <row r="386" spans="1:3" x14ac:dyDescent="0.75">
      <c r="A386" s="115"/>
      <c r="B386" s="115"/>
      <c r="C386" s="115"/>
    </row>
    <row r="387" spans="1:3" x14ac:dyDescent="0.75">
      <c r="A387" s="115"/>
      <c r="B387" s="115"/>
      <c r="C387" s="115"/>
    </row>
    <row r="388" spans="1:3" x14ac:dyDescent="0.75">
      <c r="A388" s="115"/>
      <c r="B388" s="115"/>
      <c r="C388" s="115"/>
    </row>
    <row r="389" spans="1:3" x14ac:dyDescent="0.75">
      <c r="A389" s="115"/>
      <c r="B389" s="115"/>
      <c r="C389" s="115"/>
    </row>
    <row r="390" spans="1:3" x14ac:dyDescent="0.75">
      <c r="A390" s="115"/>
      <c r="B390" s="115"/>
      <c r="C390" s="115"/>
    </row>
    <row r="391" spans="1:3" x14ac:dyDescent="0.75">
      <c r="A391" s="115"/>
      <c r="B391" s="115"/>
      <c r="C391" s="115"/>
    </row>
    <row r="392" spans="1:3" x14ac:dyDescent="0.75">
      <c r="A392" s="115"/>
      <c r="B392" s="115"/>
      <c r="C392" s="115"/>
    </row>
    <row r="393" spans="1:3" x14ac:dyDescent="0.75">
      <c r="A393" s="115"/>
      <c r="B393" s="115"/>
      <c r="C393" s="115"/>
    </row>
  </sheetData>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13"/>
    <col min="4" max="4" width="108.2265625" style="115" customWidth="1"/>
    <col min="5" max="16384" width="8.7265625" style="113"/>
  </cols>
  <sheetData>
    <row r="1" spans="4:4" x14ac:dyDescent="0.75">
      <c r="D1" s="115">
        <f>'Radio-Map-2'!D1</f>
        <v>0</v>
      </c>
    </row>
    <row r="2" spans="4:4" x14ac:dyDescent="0.75">
      <c r="D2" s="115">
        <f>'Radio-Map-2'!D2</f>
        <v>0</v>
      </c>
    </row>
    <row r="3" spans="4:4" x14ac:dyDescent="0.75">
      <c r="D3" s="115" t="str">
        <f>'Radio-Map-2'!D3</f>
        <v>* differential.element[0].mapping[0].identity = "fhir"</v>
      </c>
    </row>
    <row r="4" spans="4:4" x14ac:dyDescent="0.75">
      <c r="D4" s="115" t="str">
        <f>'Radio-Map-2'!D4</f>
        <v>* differential.element[0].mapping[0].map = "Procedure.conformsTo('http://hl7.eu/fhir/ig/pcsp/StructureDefinition/Procedure-radiotheraphy-eu-pcsp')"</v>
      </c>
    </row>
    <row r="5" spans="4:4" x14ac:dyDescent="0.75">
      <c r="D5" s="115" t="str">
        <f>'Radio-Map-2'!D5</f>
        <v/>
      </c>
    </row>
    <row r="6" spans="4:4" x14ac:dyDescent="0.75">
      <c r="D6" s="115" t="str">
        <f>'Radio-Map-2'!D6</f>
        <v>* differential.element[1].mapping[0].identity = "fhir"</v>
      </c>
    </row>
    <row r="7" spans="4:4" x14ac:dyDescent="0.75">
      <c r="D7" s="115" t="str">
        <f>'Radio-Map-2'!D7</f>
        <v>* differential.element[1].mapping[0].map = ".reasonReference"</v>
      </c>
    </row>
    <row r="8" spans="4:4" x14ac:dyDescent="0.75">
      <c r="D8" s="115" t="str">
        <f>'Radio-Map-2'!D8</f>
        <v>* differential.element[1].mapping[0].comment = "note"</v>
      </c>
    </row>
    <row r="9" spans="4:4" x14ac:dyDescent="0.75">
      <c r="D9" s="115" t="str">
        <f>'Radio-Map-2'!D9</f>
        <v>* differential.element[2].mapping[0].identity = "fhir"</v>
      </c>
    </row>
    <row r="10" spans="4:4" x14ac:dyDescent="0.75">
      <c r="D10" s="115" t="str">
        <f>'Radio-Map-2'!D10</f>
        <v>* differential.element[2].mapping[0].map = ".reasonReference"</v>
      </c>
    </row>
    <row r="11" spans="4:4" x14ac:dyDescent="0.75">
      <c r="D11" s="115" t="str">
        <f>'Radio-Map-2'!D11</f>
        <v/>
      </c>
    </row>
    <row r="12" spans="4:4" x14ac:dyDescent="0.75">
      <c r="D12" s="115" t="str">
        <f>'Radio-Map-2'!D12</f>
        <v>* differential.element[3].mapping[0].identity = "fhir"</v>
      </c>
    </row>
    <row r="13" spans="4:4" x14ac:dyDescent="0.75">
      <c r="D13" s="115" t="str">
        <f>'Radio-Map-2'!D13</f>
        <v>* differential.element[3].mapping[0].map = ".identifier"</v>
      </c>
    </row>
    <row r="14" spans="4:4" x14ac:dyDescent="0.75">
      <c r="D14" s="115" t="str">
        <f>'Radio-Map-2'!D14</f>
        <v/>
      </c>
    </row>
    <row r="15" spans="4:4" x14ac:dyDescent="0.75">
      <c r="D15" s="115" t="str">
        <f>'Radio-Map-2'!D15</f>
        <v>* differential.element[4].mapping[0].identity = "fhir"</v>
      </c>
    </row>
    <row r="16" spans="4:4" x14ac:dyDescent="0.75">
      <c r="D16" s="115" t="str">
        <f>'Radio-Map-2'!D16</f>
        <v>* differential.element[4].mapping[0].map = ".location.resolve().conformsTo(http://hl7.eu/fhir/ig/pcsp/StructureDefinition/Location-eu-pcsp)"</v>
      </c>
    </row>
    <row r="17" spans="4:4" x14ac:dyDescent="0.75">
      <c r="D17" s="115" t="str">
        <f>'Radio-Map-2'!D17</f>
        <v/>
      </c>
    </row>
    <row r="18" spans="4:4" x14ac:dyDescent="0.75">
      <c r="D18" s="115" t="str">
        <f>'Radio-Map-2'!D18</f>
        <v>* differential.element[5].mapping[0].identity = "fhir"</v>
      </c>
    </row>
    <row r="19" spans="4:4" x14ac:dyDescent="0.75">
      <c r="D19" s="115" t="str">
        <f>'Radio-Map-2'!D19</f>
        <v>* differential.element[5].mapping[0].map = "Location.description"</v>
      </c>
    </row>
    <row r="20" spans="4:4" x14ac:dyDescent="0.75">
      <c r="D20" s="115" t="str">
        <f>'Radio-Map-2'!D20</f>
        <v/>
      </c>
    </row>
    <row r="21" spans="4:4" x14ac:dyDescent="0.75">
      <c r="D21" s="115" t="str">
        <f>'Radio-Map-2'!D21</f>
        <v>* differential.element[6].mapping[0].identity = "fhir"</v>
      </c>
    </row>
    <row r="22" spans="4:4" x14ac:dyDescent="0.75">
      <c r="D22" s="115" t="str">
        <f>'Radio-Map-2'!D22</f>
        <v>* differential.element[6].mapping[0].map = "Location.name"</v>
      </c>
    </row>
    <row r="23" spans="4:4" x14ac:dyDescent="0.75">
      <c r="D23" s="115" t="str">
        <f>'Radio-Map-2'!D23</f>
        <v/>
      </c>
    </row>
    <row r="24" spans="4:4" x14ac:dyDescent="0.75">
      <c r="D24" s="115" t="str">
        <f>'Radio-Map-2'!D24</f>
        <v>* differential.element[7].mapping[0].identity = "fhir"</v>
      </c>
    </row>
    <row r="25" spans="4:4" x14ac:dyDescent="0.75">
      <c r="D25" s="115" t="str">
        <f>'Radio-Map-2'!D25</f>
        <v>* differential.element[7].mapping[0].map = "Location.address.city"</v>
      </c>
    </row>
    <row r="26" spans="4:4" x14ac:dyDescent="0.75">
      <c r="D26" s="115" t="str">
        <f>'Radio-Map-2'!D26</f>
        <v/>
      </c>
    </row>
    <row r="27" spans="4:4" x14ac:dyDescent="0.75">
      <c r="D27" s="115" t="str">
        <f>'Radio-Map-2'!D27</f>
        <v/>
      </c>
    </row>
    <row r="28" spans="4:4" x14ac:dyDescent="0.75">
      <c r="D28" s="115" t="str">
        <f>'Radio-Map-2'!D28</f>
        <v/>
      </c>
    </row>
    <row r="29" spans="4:4" x14ac:dyDescent="0.75">
      <c r="D29" s="115" t="str">
        <f>'Radio-Map-2'!D29</f>
        <v/>
      </c>
    </row>
    <row r="30" spans="4:4" x14ac:dyDescent="0.75">
      <c r="D30" s="115" t="str">
        <f>'Radio-Map-2'!D30</f>
        <v>* differential.element[9].mapping[0].identity = "fhir"</v>
      </c>
    </row>
    <row r="31" spans="4:4" x14ac:dyDescent="0.75">
      <c r="D31" s="115" t="str">
        <f>'Radio-Map-2'!D31</f>
        <v>* differential.element[9].mapping[0].map = "Location.address.country"</v>
      </c>
    </row>
    <row r="32" spans="4:4" x14ac:dyDescent="0.75">
      <c r="D32" s="115" t="str">
        <f>'Radio-Map-2'!D32</f>
        <v/>
      </c>
    </row>
    <row r="33" spans="4:4" x14ac:dyDescent="0.75">
      <c r="D33" s="115" t="str">
        <f>'Radio-Map-2'!D33</f>
        <v>* differential.element[10].mapping[0].identity = "fhir"</v>
      </c>
    </row>
    <row r="34" spans="4:4" x14ac:dyDescent="0.75">
      <c r="D34" s="115" t="str">
        <f>'Radio-Map-2'!D34</f>
        <v>* differential.element[10].mapping[0].map = ".performedPeriod.start"</v>
      </c>
    </row>
    <row r="35" spans="4:4" x14ac:dyDescent="0.75">
      <c r="D35" s="115" t="str">
        <f>'Radio-Map-2'!D35</f>
        <v/>
      </c>
    </row>
    <row r="36" spans="4:4" x14ac:dyDescent="0.75">
      <c r="D36" s="115" t="str">
        <f>'Radio-Map-2'!D36</f>
        <v>* differential.element[11].mapping[0].identity = "fhir"</v>
      </c>
    </row>
    <row r="37" spans="4:4" x14ac:dyDescent="0.75">
      <c r="D37" s="115" t="str">
        <f>'Radio-Map-2'!D37</f>
        <v>* differential.element[11].mapping[0].map = ".performedPeriod.end"</v>
      </c>
    </row>
    <row r="38" spans="4:4" x14ac:dyDescent="0.75">
      <c r="D38" s="115" t="str">
        <f>'Radio-Map-2'!D38</f>
        <v/>
      </c>
    </row>
    <row r="39" spans="4:4" x14ac:dyDescent="0.75">
      <c r="D39" s="115" t="str">
        <f>'Radio-Map-2'!D39</f>
        <v>* differential.element[12].mapping[0].identity = "fhir"</v>
      </c>
    </row>
    <row r="40" spans="4:4" x14ac:dyDescent="0.75">
      <c r="D40" s="115" t="str">
        <f>'Radio-Map-2'!D40</f>
        <v>* differential.element[12].mapping[0].map = ".code"</v>
      </c>
    </row>
    <row r="41" spans="4:4" x14ac:dyDescent="0.75">
      <c r="D41" s="115" t="str">
        <f>'Radio-Map-2'!D41</f>
        <v/>
      </c>
    </row>
    <row r="42" spans="4:4" x14ac:dyDescent="0.75">
      <c r="D42" s="115" t="str">
        <f>'Radio-Map-2'!D42</f>
        <v>* differential.element[13].mapping[0].identity = "fhir"</v>
      </c>
    </row>
    <row r="43" spans="4:4" x14ac:dyDescent="0.75">
      <c r="D43" s="115" t="str">
        <f>'Radio-Map-2'!D43</f>
        <v>* differential.element[13].mapping[0].map = ".usedCode"</v>
      </c>
    </row>
    <row r="44" spans="4:4" x14ac:dyDescent="0.75">
      <c r="D44" s="115" t="str">
        <f>'Radio-Map-2'!D44</f>
        <v/>
      </c>
    </row>
    <row r="45" spans="4:4" x14ac:dyDescent="0.75">
      <c r="D45" s="115" t="str">
        <f>'Radio-Map-2'!D45</f>
        <v>* differential.element[14].mapping[0].identity = "fhir"</v>
      </c>
    </row>
    <row r="46" spans="4:4" x14ac:dyDescent="0.75">
      <c r="D46" s="115" t="str">
        <f>'Radio-Map-2'!D46</f>
        <v>* differential.element[14].mapping[0].map = ".extension(http://hl7.org/fhir/StructureDefinition/procedure-method).valueCodeableConcept"</v>
      </c>
    </row>
    <row r="47" spans="4:4" x14ac:dyDescent="0.75">
      <c r="D47" s="115" t="str">
        <f>'Radio-Map-2'!D47</f>
        <v/>
      </c>
    </row>
    <row r="48" spans="4:4" x14ac:dyDescent="0.75">
      <c r="D48" s="115" t="str">
        <f>'Radio-Map-2'!D48</f>
        <v>* differential.element[15].mapping[0].identity = "fhir"</v>
      </c>
    </row>
    <row r="49" spans="4:4" x14ac:dyDescent="0.75">
      <c r="D49" s="115" t="str">
        <f>'Radio-Map-2'!D49</f>
        <v>* differential.element[15].mapping[0].map = ".location.resolve().conformsTo(http://hl7.eu/fhir/ig/pcsp/StructureDefinition/radiotherapy-energy-or-isotope).valueCodeableConcept"</v>
      </c>
    </row>
    <row r="50" spans="4:4" x14ac:dyDescent="0.75">
      <c r="D50" s="115" t="str">
        <f>'Radio-Map-2'!D50</f>
        <v/>
      </c>
    </row>
    <row r="51" spans="4:4" x14ac:dyDescent="0.75">
      <c r="D51" s="115" t="str">
        <f>'Radio-Map-2'!D51</f>
        <v>* differential.element[16].mapping[0].identity = "fhir"</v>
      </c>
    </row>
    <row r="52" spans="4:4" x14ac:dyDescent="0.75">
      <c r="D52" s="115" t="str">
        <f>'Radio-Map-2'!D52</f>
        <v>* differential.element[16].mapping[0].map = ".location.resolve().conformsTo(http://hl7.eu/fhir/ig/pcsp/StructureDefinition/radiotherapy-energy-or-isotope).valueCodeableConcept"</v>
      </c>
    </row>
    <row r="53" spans="4:4" x14ac:dyDescent="0.75">
      <c r="D53" s="115" t="str">
        <f>'Radio-Map-2'!D53</f>
        <v/>
      </c>
    </row>
    <row r="54" spans="4:4" x14ac:dyDescent="0.75">
      <c r="D54" s="115" t="str">
        <f>'Radio-Map-2'!D54</f>
        <v>* differential.element[17].mapping[0].identity = "fhir"</v>
      </c>
    </row>
    <row r="55" spans="4:4" x14ac:dyDescent="0.75">
      <c r="D55" s="115" t="str">
        <f>'Radio-Map-2'!D55</f>
        <v>* differential.element[17].mapping[0].map = "TBD"</v>
      </c>
    </row>
    <row r="56" spans="4:4" x14ac:dyDescent="0.75">
      <c r="D56" s="115" t="str">
        <f>'Radio-Map-2'!D56</f>
        <v/>
      </c>
    </row>
    <row r="57" spans="4:4" x14ac:dyDescent="0.75">
      <c r="D57" s="115">
        <f>'Radio-Map-2'!D57</f>
        <v>0</v>
      </c>
    </row>
    <row r="58" spans="4:4" x14ac:dyDescent="0.75">
      <c r="D58" s="115">
        <f>'Radio-Map-2'!D58</f>
        <v>0</v>
      </c>
    </row>
    <row r="59" spans="4:4" x14ac:dyDescent="0.75">
      <c r="D59" s="115">
        <f>'Radio-Map-2'!D59</f>
        <v>0</v>
      </c>
    </row>
    <row r="60" spans="4:4" x14ac:dyDescent="0.75">
      <c r="D60" s="115" t="str">
        <f>'Radio-Map-2'!D60</f>
        <v>* differential.element[18].mapping[0].identity = "fhir"</v>
      </c>
    </row>
    <row r="61" spans="4:4" x14ac:dyDescent="0.75">
      <c r="D61" s="115" t="str">
        <f>'Radio-Map-2'!D61</f>
        <v>* differential.element[18].mapping[0].map = ".bodySite"</v>
      </c>
    </row>
    <row r="62" spans="4:4" x14ac:dyDescent="0.75">
      <c r="D62" s="115" t="str">
        <f>'Radio-Map-2'!D62</f>
        <v/>
      </c>
    </row>
    <row r="63" spans="4:4" x14ac:dyDescent="0.75">
      <c r="D63" s="115" t="str">
        <f>'Radio-Map-2'!D63</f>
        <v>* differential.element[18].mapping[1].identity = "fhir"</v>
      </c>
    </row>
    <row r="64" spans="4:4" x14ac:dyDescent="0.75">
      <c r="D64" s="115" t="str">
        <f>'Radio-Map-2'!D64</f>
        <v>* differential.element[18].mapping[1].map = ".extension(http://hl7.eu/fhir/ig/pcsp/StructureDefinition/ResourceRelatedInfo-eu-pcsp).resolve().conformsTo(http://hl7.eu/fhir/ig/pcsp/StructureDefinition/Observation-cumulativeDoseRad-eu-pcsp).bodySite"</v>
      </c>
    </row>
    <row r="65" spans="4:4" x14ac:dyDescent="0.75">
      <c r="D65" s="115" t="str">
        <f>'Radio-Map-2'!D65</f>
        <v/>
      </c>
    </row>
    <row r="66" spans="4:4" x14ac:dyDescent="0.75">
      <c r="D66" s="115" t="str">
        <f>'Radio-Map-2'!D66</f>
        <v>* differential.element[19].mapping[0].identity = "fhir"</v>
      </c>
    </row>
    <row r="67" spans="4:4" x14ac:dyDescent="0.75">
      <c r="D67" s="115" t="str">
        <f>'Radio-Map-2'!D67</f>
        <v>* differential.element[19].mapping[0].map = "."</v>
      </c>
    </row>
    <row r="68" spans="4:4" x14ac:dyDescent="0.75">
      <c r="D68" s="115" t="str">
        <f>'Radio-Map-2'!D68</f>
        <v/>
      </c>
    </row>
    <row r="69" spans="4:4" x14ac:dyDescent="0.75">
      <c r="D69" s="115" t="str">
        <f>'Radio-Map-2'!D69</f>
        <v>* differential.element[20].mapping[0].identity = "fhir"</v>
      </c>
    </row>
    <row r="70" spans="4:4" x14ac:dyDescent="0.75">
      <c r="D70" s="115" t="str">
        <f>'Radio-Map-2'!D70</f>
        <v>* differential.element[20].mapping[0].map = ".extension(http://hl7.eu/fhir/ig/pcsp/StructureDefinition/mcode-laterality-qualifier).valueCodeableConcept"</v>
      </c>
    </row>
    <row r="71" spans="4:4" x14ac:dyDescent="0.75">
      <c r="D71" s="115" t="str">
        <f>'Radio-Map-2'!D71</f>
        <v/>
      </c>
    </row>
    <row r="72" spans="4:4" x14ac:dyDescent="0.75">
      <c r="D72" s="115" t="str">
        <f>'Radio-Map-2'!D72</f>
        <v>* differential.element[21].mapping[0].identity = "fhir"</v>
      </c>
    </row>
    <row r="73" spans="4:4" x14ac:dyDescent="0.75">
      <c r="D73" s="115" t="str">
        <f>'Radio-Map-2'!D73</f>
        <v>* differential.element[21].mapping[0].map = ".text"</v>
      </c>
    </row>
    <row r="74" spans="4:4" x14ac:dyDescent="0.75">
      <c r="D74" s="115" t="str">
        <f>'Radio-Map-2'!D74</f>
        <v/>
      </c>
    </row>
    <row r="75" spans="4:4" x14ac:dyDescent="0.75">
      <c r="D75" s="115" t="str">
        <f>'Radio-Map-2'!D75</f>
        <v>* differential.element[22].mapping[0].identity = "fhir"</v>
      </c>
    </row>
    <row r="76" spans="4:4" x14ac:dyDescent="0.75">
      <c r="D76" s="115" t="str">
        <f>'Radio-Map-2'!D76</f>
        <v>* differential.element[22].mapping[0].map = "TBD"</v>
      </c>
    </row>
    <row r="77" spans="4:4" x14ac:dyDescent="0.75">
      <c r="D77" s="115" t="str">
        <f>'Radio-Map-2'!D77</f>
        <v/>
      </c>
    </row>
    <row r="78" spans="4:4" x14ac:dyDescent="0.75">
      <c r="D78" s="115" t="str">
        <f>'Radio-Map-2'!D78</f>
        <v>* differential.element[23].mapping[0].identity = "fhir"</v>
      </c>
    </row>
    <row r="79" spans="4:4" x14ac:dyDescent="0.75">
      <c r="D79" s="115" t="str">
        <f>'Radio-Map-2'!D79</f>
        <v>* differential.element[23].mapping[0].map = "TBD"</v>
      </c>
    </row>
    <row r="80" spans="4:4" x14ac:dyDescent="0.75">
      <c r="D80" s="115" t="str">
        <f>'Radio-Map-2'!D80</f>
        <v/>
      </c>
    </row>
    <row r="81" spans="4:4" x14ac:dyDescent="0.75">
      <c r="D81" s="115" t="str">
        <f>'Radio-Map-2'!D81</f>
        <v>* differential.element[24].mapping[0].identity = "fhir"</v>
      </c>
    </row>
    <row r="82" spans="4:4" x14ac:dyDescent="0.75">
      <c r="D82" s="115" t="str">
        <f>'Radio-Map-2'!D82</f>
        <v>* differential.element[24].mapping[0].map = "TBD"</v>
      </c>
    </row>
    <row r="83" spans="4:4" x14ac:dyDescent="0.75">
      <c r="D83" s="115" t="str">
        <f>'Radio-Map-2'!D83</f>
        <v/>
      </c>
    </row>
    <row r="84" spans="4:4" x14ac:dyDescent="0.75">
      <c r="D84" s="115" t="str">
        <f>'Radio-Map-2'!D84</f>
        <v>* differential.element[25].mapping[0].identity = "fhir"</v>
      </c>
    </row>
    <row r="85" spans="4:4" x14ac:dyDescent="0.75">
      <c r="D85" s="115" t="str">
        <f>'Radio-Map-2'!D85</f>
        <v>* differential.element[25].mapping[0].map = ".extension(http://hl7.eu/fhir/ig/pcsp/StructureDefinition/ResourceRelatedInfo-eu-pcsp).resolve().conformsTo(http://hl7.eu/fhir/ig/pcsp/StructureDefinition/Observation-cumulativeDoseRad-eu-pcsp)"</v>
      </c>
    </row>
    <row r="86" spans="4:4" x14ac:dyDescent="0.75">
      <c r="D86" s="115" t="str">
        <f>'Radio-Map-2'!D86</f>
        <v/>
      </c>
    </row>
    <row r="87" spans="4:4" x14ac:dyDescent="0.75">
      <c r="D87" s="115" t="str">
        <f>'Radio-Map-2'!D87</f>
        <v>* differential.element[26].mapping[0].identity = "fhir"</v>
      </c>
    </row>
    <row r="88" spans="4:4" x14ac:dyDescent="0.75">
      <c r="D88" s="115" t="str">
        <f>'Radio-Map-2'!D88</f>
        <v>* differential.element[26].mapping[0].map = ".status = #preliminary"</v>
      </c>
    </row>
    <row r="89" spans="4:4" x14ac:dyDescent="0.75">
      <c r="D89" s="115" t="str">
        <f>'Radio-Map-2'!D89</f>
        <v/>
      </c>
    </row>
    <row r="90" spans="4:4" x14ac:dyDescent="0.75">
      <c r="D90" s="115" t="str">
        <f>'Radio-Map-2'!D90</f>
        <v>* differential.element[27].mapping[0].identity = "fhir"</v>
      </c>
    </row>
    <row r="91" spans="4:4" x14ac:dyDescent="0.75">
      <c r="D91" s="115" t="str">
        <f>'Radio-Map-2'!D91</f>
        <v>* differential.element[27].mapping[0].map = ".extension('http://hl7.org/fhir/StructureDefinition/event-statusReason')"</v>
      </c>
    </row>
    <row r="92" spans="4:4" x14ac:dyDescent="0.75">
      <c r="D92" s="115" t="str">
        <f>'Radio-Map-2'!D92</f>
        <v/>
      </c>
    </row>
    <row r="93" spans="4:4" x14ac:dyDescent="0.75">
      <c r="D93" s="115" t="str">
        <f>'Radio-Map-2'!D93</f>
        <v>* differential.element[28].mapping[0].identity = "fhir"</v>
      </c>
    </row>
    <row r="94" spans="4:4" x14ac:dyDescent="0.75">
      <c r="D94" s="115" t="str">
        <f>'Radio-Map-2'!D94</f>
        <v>* differential.element[28].mapping[0].map = ".valueCodeableConcept = http://terminology.hl7.org/CodeSystem/data-absent-reason#unknown"</v>
      </c>
    </row>
    <row r="95" spans="4:4" x14ac:dyDescent="0.75">
      <c r="D95" s="115" t="str">
        <f>'Radio-Map-2'!D95</f>
        <v/>
      </c>
    </row>
    <row r="96" spans="4:4" x14ac:dyDescent="0.75">
      <c r="D96" s="115" t="str">
        <f>'Radio-Map-2'!D96</f>
        <v>* differential.element[29].mapping[0].identity = "fhir"</v>
      </c>
    </row>
    <row r="97" spans="4:4" x14ac:dyDescent="0.75">
      <c r="D97" s="115" t="str">
        <f>'Radio-Map-2'!D97</f>
        <v>* differential.element[29].mapping[0].map = ".valueQuantity.value"</v>
      </c>
    </row>
    <row r="98" spans="4:4" x14ac:dyDescent="0.75">
      <c r="D98" s="115" t="str">
        <f>'Radio-Map-2'!D98</f>
        <v/>
      </c>
    </row>
    <row r="99" spans="4:4" x14ac:dyDescent="0.75">
      <c r="D99" s="115" t="str">
        <f>'Radio-Map-2'!D99</f>
        <v>* differential.element[30].mapping[0].identity = "fhir"</v>
      </c>
    </row>
    <row r="100" spans="4:4" x14ac:dyDescent="0.75">
      <c r="D100" s="115" t="str">
        <f>'Radio-Map-2'!D100</f>
        <v>* differential.element[30].mapping[0].map = ".valueQuantity.code"</v>
      </c>
    </row>
    <row r="101" spans="4:4" x14ac:dyDescent="0.75">
      <c r="D101" s="115" t="str">
        <f>'Radio-Map-2'!D101</f>
        <v/>
      </c>
    </row>
    <row r="102" spans="4:4" x14ac:dyDescent="0.75">
      <c r="D102" s="115" t="str">
        <f>'Radio-Map-2'!D102</f>
        <v>* differential.element[31].mapping[0].identity = "fhir"</v>
      </c>
    </row>
    <row r="103" spans="4:4" x14ac:dyDescent="0.75">
      <c r="D103" s="115" t="str">
        <f>'Radio-Map-2'!D103</f>
        <v>* differential.element[31].mapping[0].map = "TBD"</v>
      </c>
    </row>
    <row r="104" spans="4:4" x14ac:dyDescent="0.75">
      <c r="D104" s="115" t="str">
        <f>'Radio-Map-2'!D104</f>
        <v/>
      </c>
    </row>
    <row r="105" spans="4:4" x14ac:dyDescent="0.75">
      <c r="D105" s="115" t="str">
        <f>'Radio-Map-2'!D105</f>
        <v>* differential.element[32].mapping[0].identity = "fhir"</v>
      </c>
    </row>
    <row r="106" spans="4:4" x14ac:dyDescent="0.75">
      <c r="D106" s="115" t="str">
        <f>'Radio-Map-2'!D106</f>
        <v>* differential.element[32].mapping[0].map = "Procedure.conformsTo('http://hl7.eu/fhir/ig/pcsp/StructureDefinition/Procedure-radiotheraphyBoost-eu-pcsp')"</v>
      </c>
    </row>
    <row r="107" spans="4:4" x14ac:dyDescent="0.75">
      <c r="D107" s="115" t="str">
        <f>'Radio-Map-2'!D107</f>
        <v/>
      </c>
    </row>
    <row r="108" spans="4:4" x14ac:dyDescent="0.75">
      <c r="D108" s="115" t="str">
        <f>'Radio-Map-2'!D108</f>
        <v>* differential.element[33].mapping[0].identity = "fhir"</v>
      </c>
    </row>
    <row r="109" spans="4:4" x14ac:dyDescent="0.75">
      <c r="D109" s="115" t="str">
        <f>'Radio-Map-2'!D109</f>
        <v>* differential.element[33].mapping[0].map = ".code"</v>
      </c>
    </row>
    <row r="110" spans="4:4" x14ac:dyDescent="0.75">
      <c r="D110" s="115" t="str">
        <f>'Radio-Map-2'!D110</f>
        <v/>
      </c>
    </row>
    <row r="111" spans="4:4" x14ac:dyDescent="0.75">
      <c r="D111" s="115" t="str">
        <f>'Radio-Map-2'!D111</f>
        <v>* differential.element[34].mapping[0].identity = "fhir"</v>
      </c>
    </row>
    <row r="112" spans="4:4" x14ac:dyDescent="0.75">
      <c r="D112" s="115" t="str">
        <f>'Radio-Map-2'!D112</f>
        <v>* differential.element[34].mapping[0].map = ".status"</v>
      </c>
    </row>
    <row r="113" spans="4:4" x14ac:dyDescent="0.75">
      <c r="D113" s="115" t="str">
        <f>'Radio-Map-2'!D113</f>
        <v/>
      </c>
    </row>
    <row r="114" spans="4:4" x14ac:dyDescent="0.75">
      <c r="D114" s="115" t="str">
        <f>'Radio-Map-2'!D114</f>
        <v>* differential.element[35].mapping[0].identity = "fhir"</v>
      </c>
    </row>
    <row r="115" spans="4:4" x14ac:dyDescent="0.75">
      <c r="D115" s="115" t="str">
        <f>'Radio-Map-2'!D115</f>
        <v>* differential.element[35].mapping[0].map = ".bodySite"</v>
      </c>
    </row>
    <row r="116" spans="4:4" x14ac:dyDescent="0.75">
      <c r="D116" s="115" t="str">
        <f>'Radio-Map-2'!D116</f>
        <v/>
      </c>
    </row>
    <row r="117" spans="4:4" x14ac:dyDescent="0.75">
      <c r="D117" s="115" t="str">
        <f>'Radio-Map-2'!D117</f>
        <v>* differential.element[35].mapping[1].identity = "fhir"</v>
      </c>
    </row>
    <row r="118" spans="4:4" x14ac:dyDescent="0.75">
      <c r="D118" s="115" t="str">
        <f>'Radio-Map-2'!D118</f>
        <v>* differential.element[35].mapping[1].map = ".extension(http://hl7.eu/fhir/ig/pcsp/StructureDefinition/ResourceRelatedInfo-eu-pcsp).resolve().conformsTo(http://hl7.eu/fhir/ig/pcsp/StructureDefinition/Observation-cumulativeDoseRad-eu-pcsp).bodySite"</v>
      </c>
    </row>
    <row r="119" spans="4:4" x14ac:dyDescent="0.75">
      <c r="D119" s="115" t="str">
        <f>'Radio-Map-2'!D119</f>
        <v/>
      </c>
    </row>
    <row r="120" spans="4:4" x14ac:dyDescent="0.75">
      <c r="D120" s="115" t="str">
        <f>'Radio-Map-2'!D120</f>
        <v>* differential.element[36].mapping[0].identity = "fhir"</v>
      </c>
    </row>
    <row r="121" spans="4:4" x14ac:dyDescent="0.75">
      <c r="D121" s="115" t="str">
        <f>'Radio-Map-2'!D121</f>
        <v>* differential.element[36].mapping[0].map = ".extension(http://hl7.eu/fhir/ig/pcsp/StructureDefinition/mcode-laterality-qualifier).valueCodeableConcept"</v>
      </c>
    </row>
    <row r="122" spans="4:4" x14ac:dyDescent="0.75">
      <c r="D122" s="115" t="str">
        <f>'Radio-Map-2'!D122</f>
        <v/>
      </c>
    </row>
    <row r="123" spans="4:4" x14ac:dyDescent="0.75">
      <c r="D123" s="115" t="str">
        <f>'Radio-Map-2'!D123</f>
        <v>* differential.element[37].mapping[0].identity = "fhir"</v>
      </c>
    </row>
    <row r="124" spans="4:4" x14ac:dyDescent="0.75">
      <c r="D124" s="115" t="str">
        <f>'Radio-Map-2'!D124</f>
        <v>* differential.element[37].mapping[0].map = ".text"</v>
      </c>
    </row>
    <row r="125" spans="4:4" x14ac:dyDescent="0.75">
      <c r="D125" s="115" t="str">
        <f>'Radio-Map-2'!D125</f>
        <v/>
      </c>
    </row>
    <row r="126" spans="4:4" x14ac:dyDescent="0.75">
      <c r="D126" s="115" t="str">
        <f>'Radio-Map-2'!D126</f>
        <v>* differential.element[38].mapping[0].identity = "fhir"</v>
      </c>
    </row>
    <row r="127" spans="4:4" x14ac:dyDescent="0.75">
      <c r="D127" s="115" t="str">
        <f>'Radio-Map-2'!D127</f>
        <v>* differential.element[38].mapping[0].map = "TBD"</v>
      </c>
    </row>
    <row r="128" spans="4:4" x14ac:dyDescent="0.75">
      <c r="D128" s="115" t="str">
        <f>'Radio-Map-2'!D128</f>
        <v/>
      </c>
    </row>
    <row r="129" spans="4:4" x14ac:dyDescent="0.75">
      <c r="D129" s="115" t="str">
        <f>'Radio-Map-2'!D129</f>
        <v>* differential.element[39].mapping[0].identity = "fhir"</v>
      </c>
    </row>
    <row r="130" spans="4:4" x14ac:dyDescent="0.75">
      <c r="D130" s="115" t="str">
        <f>'Radio-Map-2'!D130</f>
        <v>* differential.element[39].mapping[0].map = "TBD"</v>
      </c>
    </row>
    <row r="131" spans="4:4" x14ac:dyDescent="0.75">
      <c r="D131" s="115" t="str">
        <f>'Radio-Map-2'!D131</f>
        <v/>
      </c>
    </row>
    <row r="132" spans="4:4" x14ac:dyDescent="0.75">
      <c r="D132" s="115" t="str">
        <f>'Radio-Map-2'!D132</f>
        <v>* differential.element[40].mapping[0].identity = "fhir"</v>
      </c>
    </row>
    <row r="133" spans="4:4" x14ac:dyDescent="0.75">
      <c r="D133" s="115" t="str">
        <f>'Radio-Map-2'!D133</f>
        <v>* differential.element[40].mapping[0].map = "TBD"</v>
      </c>
    </row>
    <row r="134" spans="4:4" x14ac:dyDescent="0.75">
      <c r="D134" s="115" t="str">
        <f>'Radio-Map-2'!D134</f>
        <v/>
      </c>
    </row>
    <row r="135" spans="4:4" x14ac:dyDescent="0.75">
      <c r="D135" s="115" t="str">
        <f>'Radio-Map-2'!D135</f>
        <v>* differential.element[41].mapping[0].identity = "fhir"</v>
      </c>
    </row>
    <row r="136" spans="4:4" x14ac:dyDescent="0.75">
      <c r="D136" s="115" t="str">
        <f>'Radio-Map-2'!D136</f>
        <v>* differential.element[41].mapping[0].map = ".extension(http://hl7.eu/fhir/ig/pcsp/StructureDefinition/ResourceRelatedInfo-eu-pcsp).resolve().conformsTo(http://hl7.eu/fhir/ig/pcsp/StructureDefinition/Observation-cumulativeDoseRad-eu-pcsp)"</v>
      </c>
    </row>
    <row r="137" spans="4:4" x14ac:dyDescent="0.75">
      <c r="D137" s="115" t="str">
        <f>'Radio-Map-2'!D137</f>
        <v/>
      </c>
    </row>
    <row r="138" spans="4:4" x14ac:dyDescent="0.75">
      <c r="D138" s="115" t="str">
        <f>'Radio-Map-2'!D138</f>
        <v>* differential.element[42].mapping[0].identity = "fhir"</v>
      </c>
    </row>
    <row r="139" spans="4:4" x14ac:dyDescent="0.75">
      <c r="D139" s="115" t="str">
        <f>'Radio-Map-2'!D139</f>
        <v>* differential.element[42].mapping[0].map = ".status = #preliminary"</v>
      </c>
    </row>
    <row r="140" spans="4:4" x14ac:dyDescent="0.75">
      <c r="D140" s="115" t="str">
        <f>'Radio-Map-2'!D140</f>
        <v/>
      </c>
    </row>
    <row r="141" spans="4:4" x14ac:dyDescent="0.75">
      <c r="D141" s="115" t="str">
        <f>'Radio-Map-2'!D141</f>
        <v>* differential.element[43].mapping[0].identity = "fhir"</v>
      </c>
    </row>
    <row r="142" spans="4:4" x14ac:dyDescent="0.75">
      <c r="D142" s="115" t="str">
        <f>'Radio-Map-2'!D142</f>
        <v>* differential.element[43].mapping[0].map = ".extension('http://hl7.org/fhir/StructureDefinition/event-statusReason')"</v>
      </c>
    </row>
    <row r="143" spans="4:4" x14ac:dyDescent="0.75">
      <c r="D143" s="115" t="str">
        <f>'Radio-Map-2'!D143</f>
        <v/>
      </c>
    </row>
    <row r="144" spans="4:4" x14ac:dyDescent="0.75">
      <c r="D144" s="115" t="str">
        <f>'Radio-Map-2'!D144</f>
        <v>* differential.element[44].mapping[0].identity = "fhir"</v>
      </c>
    </row>
    <row r="145" spans="4:4" x14ac:dyDescent="0.75">
      <c r="D145" s="115" t="str">
        <f>'Radio-Map-2'!D145</f>
        <v>* differential.element[44].mapping[0].map = ".valueCodeableConcept = http://terminology.hl7.org/CodeSystem/data-absent-reason#unknown"</v>
      </c>
    </row>
    <row r="146" spans="4:4" x14ac:dyDescent="0.75">
      <c r="D146" s="115" t="str">
        <f>'Radio-Map-2'!D146</f>
        <v/>
      </c>
    </row>
    <row r="147" spans="4:4" x14ac:dyDescent="0.75">
      <c r="D147" s="115" t="str">
        <f>'Radio-Map-2'!D147</f>
        <v>* differential.element[45].mapping[0].identity = "fhir"</v>
      </c>
    </row>
    <row r="148" spans="4:4" x14ac:dyDescent="0.75">
      <c r="D148" s="115" t="str">
        <f>'Radio-Map-2'!D148</f>
        <v>* differential.element[45].mapping[0].map = ".valueQuantity.value"</v>
      </c>
    </row>
    <row r="149" spans="4:4" x14ac:dyDescent="0.75">
      <c r="D149" s="115" t="str">
        <f>'Radio-Map-2'!D149</f>
        <v/>
      </c>
    </row>
    <row r="150" spans="4:4" x14ac:dyDescent="0.75">
      <c r="D150" s="115" t="str">
        <f>'Radio-Map-2'!D150</f>
        <v>* differential.element[46].mapping[0].identity = "fhir"</v>
      </c>
    </row>
    <row r="151" spans="4:4" x14ac:dyDescent="0.75">
      <c r="D151" s="115" t="str">
        <f>'Radio-Map-2'!D151</f>
        <v>* differential.element[46].mapping[0].map = ".valueQuantity.code"</v>
      </c>
    </row>
    <row r="152" spans="4:4" x14ac:dyDescent="0.75">
      <c r="D152" s="115" t="str">
        <f>'Radio-Map-2'!D152</f>
        <v/>
      </c>
    </row>
    <row r="153" spans="4:4" x14ac:dyDescent="0.75">
      <c r="D153" s="115" t="str">
        <f>'Radio-Map-2'!D153</f>
        <v>* differential.element[47].mapping[0].identity = "fhir"</v>
      </c>
    </row>
    <row r="154" spans="4:4" x14ac:dyDescent="0.75">
      <c r="D154" s="115" t="str">
        <f>'Radio-Map-2'!D154</f>
        <v>* differential.element[47].mapping[0].map = "TBD"</v>
      </c>
    </row>
    <row r="155" spans="4:4" x14ac:dyDescent="0.75">
      <c r="D155" s="115" t="str">
        <f>'Radio-Map-2'!D155</f>
        <v/>
      </c>
    </row>
    <row r="156" spans="4:4" x14ac:dyDescent="0.75">
      <c r="D156" s="115" t="str">
        <f>'Radio-Map-2'!D156</f>
        <v>* differential.element[48].mapping[0].identity = "fhir"</v>
      </c>
    </row>
    <row r="157" spans="4:4" x14ac:dyDescent="0.75">
      <c r="D157" s="115" t="str">
        <f>'Radio-Map-2'!D157</f>
        <v>* differential.element[48].mapping[0].map = "TBD"</v>
      </c>
    </row>
    <row r="158" spans="4:4" x14ac:dyDescent="0.75">
      <c r="D158" s="115" t="str">
        <f>'Radio-Map-2'!D158</f>
        <v/>
      </c>
    </row>
    <row r="159" spans="4:4" x14ac:dyDescent="0.75">
      <c r="D159" s="115" t="str">
        <f>'Radio-Map-2'!D159</f>
        <v>* differential.element[49].mapping[0].identity = "fhir"</v>
      </c>
    </row>
    <row r="160" spans="4:4" x14ac:dyDescent="0.75">
      <c r="D160" s="115" t="str">
        <f>'Radio-Map-2'!D160</f>
        <v>* differential.element[49].mapping[0].map = "TBD"</v>
      </c>
    </row>
    <row r="161" spans="4:4" x14ac:dyDescent="0.75">
      <c r="D161" s="115" t="str">
        <f>'Radio-Map-2'!D161</f>
        <v/>
      </c>
    </row>
    <row r="162" spans="4:4" x14ac:dyDescent="0.75">
      <c r="D162" s="115" t="str">
        <f>'Radio-Map-2'!D162</f>
        <v>* differential.element[50].mapping[0].identity = "fhir"</v>
      </c>
    </row>
    <row r="163" spans="4:4" x14ac:dyDescent="0.75">
      <c r="D163" s="115" t="str">
        <f>'Radio-Map-2'!D163</f>
        <v>* differential.element[50].mapping[0].map = "TBD"</v>
      </c>
    </row>
    <row r="164" spans="4:4" x14ac:dyDescent="0.75">
      <c r="D164" s="115" t="str">
        <f>'Radio-Map-2'!D164</f>
        <v/>
      </c>
    </row>
    <row r="165" spans="4:4" x14ac:dyDescent="0.75">
      <c r="D165" s="115" t="str">
        <f>'Radio-Map-2'!D165</f>
        <v/>
      </c>
    </row>
    <row r="166" spans="4:4" x14ac:dyDescent="0.75">
      <c r="D166" s="115" t="str">
        <f>'Radio-Map-2'!D166</f>
        <v/>
      </c>
    </row>
    <row r="167" spans="4:4" x14ac:dyDescent="0.75">
      <c r="D167" s="115" t="str">
        <f>'Radio-Map-2'!D167</f>
        <v/>
      </c>
    </row>
    <row r="168" spans="4:4" x14ac:dyDescent="0.75">
      <c r="D168" s="115" t="str">
        <f>'Radio-Map-2'!D168</f>
        <v>* differential.element[52].mapping[0].identity = "fhir"</v>
      </c>
    </row>
    <row r="169" spans="4:4" x14ac:dyDescent="0.75">
      <c r="D169" s="115" t="str">
        <f>'Radio-Map-2'!D169</f>
        <v>* differential.element[52].mapping[0].map = ".extension(http://hl7.org/fhir/StructureDefinition/workflow-supportingInfo).ofType(DocumentReference)"</v>
      </c>
    </row>
    <row r="170" spans="4:4" x14ac:dyDescent="0.75">
      <c r="D170" s="115" t="str">
        <f>'Radio-Map-2'!D170</f>
        <v/>
      </c>
    </row>
    <row r="171" spans="4:4" x14ac:dyDescent="0.75">
      <c r="D171" s="115" t="str">
        <f>'Radio-Map-2'!D171</f>
        <v>* differential.element[53].mapping[0].identity = "fhir"</v>
      </c>
    </row>
    <row r="172" spans="4:4" x14ac:dyDescent="0.75">
      <c r="D172" s="115" t="str">
        <f>'Radio-Map-2'!D172</f>
        <v>* differential.element[53].mapping[0].map = ".exists()"</v>
      </c>
    </row>
    <row r="173" spans="4:4" x14ac:dyDescent="0.75">
      <c r="D173" s="115">
        <f>'Radio-Map-2'!D173</f>
        <v>0</v>
      </c>
    </row>
    <row r="174" spans="4:4" x14ac:dyDescent="0.75">
      <c r="D174" s="115" t="str">
        <f>'Radio-Map-2'!D174</f>
        <v>* differential.element[54].mapping[0].identity = "fhir"</v>
      </c>
    </row>
    <row r="175" spans="4:4" x14ac:dyDescent="0.75">
      <c r="D175" s="115" t="str">
        <f>'Radio-Map-2'!D175</f>
        <v>* differential.element[54].mapping[0].map = "."</v>
      </c>
    </row>
    <row r="176" spans="4:4" x14ac:dyDescent="0.75">
      <c r="D176" s="115">
        <f>'Radio-Map-2'!D176</f>
        <v>0</v>
      </c>
    </row>
    <row r="177" spans="4:4" x14ac:dyDescent="0.75">
      <c r="D177" s="115" t="str">
        <f>'Radio-Map-2'!D177</f>
        <v>* differential.element[55].mapping[0].identity = "fhir"</v>
      </c>
    </row>
    <row r="178" spans="4:4" x14ac:dyDescent="0.75">
      <c r="D178" s="115" t="str">
        <f>'Radio-Map-2'!D178</f>
        <v>* differential.element[55].mapping[0].map = ".extension(http://hl7.org/fhir/StructureDefinition/workflow-supportingInfo).ofType(DocumentReference)"</v>
      </c>
    </row>
    <row r="179" spans="4:4" x14ac:dyDescent="0.75">
      <c r="D179" s="115">
        <f>'Radio-Map-2'!D179</f>
        <v>0</v>
      </c>
    </row>
    <row r="180" spans="4:4" x14ac:dyDescent="0.75">
      <c r="D180" s="115" t="str">
        <f>'Radio-Map-2'!D180</f>
        <v>* differential.element[56].mapping[0].identity = "fhir"</v>
      </c>
    </row>
    <row r="181" spans="4:4" x14ac:dyDescent="0.75">
      <c r="D181" s="115" t="str">
        <f>'Radio-Map-2'!D181</f>
        <v>* differential.element[56].mapping[0].map = ".note"</v>
      </c>
    </row>
    <row r="182" spans="4:4" x14ac:dyDescent="0.75">
      <c r="D182" s="115">
        <f>'Radio-Map-2'!D182</f>
        <v>0</v>
      </c>
    </row>
    <row r="183" spans="4:4" x14ac:dyDescent="0.75">
      <c r="D183" s="115" t="str">
        <f>'Radio-Map-2'!D183</f>
        <v/>
      </c>
    </row>
    <row r="184" spans="4:4" x14ac:dyDescent="0.75">
      <c r="D184" s="115" t="str">
        <f>'Radio-Map-2'!D184</f>
        <v/>
      </c>
    </row>
    <row r="185" spans="4:4" x14ac:dyDescent="0.75">
      <c r="D185" s="115">
        <f>'Radio-Map-2'!D185</f>
        <v>0</v>
      </c>
    </row>
    <row r="186" spans="4:4" x14ac:dyDescent="0.75">
      <c r="D186" s="115" t="str">
        <f>'Radio-Map-2'!D186</f>
        <v/>
      </c>
    </row>
    <row r="187" spans="4:4" x14ac:dyDescent="0.75">
      <c r="D187" s="115" t="str">
        <f>'Radio-Map-2'!D187</f>
        <v/>
      </c>
    </row>
    <row r="188" spans="4:4" x14ac:dyDescent="0.75">
      <c r="D188" s="115">
        <f>'Radio-Map-2'!D188</f>
        <v>0</v>
      </c>
    </row>
    <row r="189" spans="4:4" x14ac:dyDescent="0.75">
      <c r="D189" s="115" t="str">
        <f>'Radio-Map-2'!D189</f>
        <v/>
      </c>
    </row>
    <row r="190" spans="4:4" x14ac:dyDescent="0.75">
      <c r="D190" s="115" t="str">
        <f>'Radio-Map-2'!D190</f>
        <v/>
      </c>
    </row>
    <row r="191" spans="4:4" x14ac:dyDescent="0.75">
      <c r="D191" s="115">
        <f>'Radio-Map-2'!D191</f>
        <v>0</v>
      </c>
    </row>
    <row r="192" spans="4:4" x14ac:dyDescent="0.75">
      <c r="D192" s="115" t="str">
        <f>'Radio-Map-2'!D192</f>
        <v/>
      </c>
    </row>
    <row r="193" spans="4:4" x14ac:dyDescent="0.75">
      <c r="D193" s="115" t="str">
        <f>'Radio-Map-2'!D193</f>
        <v/>
      </c>
    </row>
    <row r="194" spans="4:4" x14ac:dyDescent="0.75">
      <c r="D194" s="115">
        <f>'Radio-Map-2'!D194</f>
        <v>0</v>
      </c>
    </row>
    <row r="195" spans="4:4" x14ac:dyDescent="0.75">
      <c r="D195" s="115">
        <f>'Radio-Map-2'!D195</f>
        <v>0</v>
      </c>
    </row>
    <row r="196" spans="4:4" x14ac:dyDescent="0.75">
      <c r="D196" s="115">
        <f>'Radio-Map-2'!D196</f>
        <v>0</v>
      </c>
    </row>
    <row r="197" spans="4:4" x14ac:dyDescent="0.75">
      <c r="D197" s="115">
        <f>'Radio-Map-2'!D197</f>
        <v>0</v>
      </c>
    </row>
    <row r="198" spans="4:4" x14ac:dyDescent="0.75">
      <c r="D198" s="115">
        <f>'Radio-Map-2'!D198</f>
        <v>0</v>
      </c>
    </row>
    <row r="199" spans="4:4" x14ac:dyDescent="0.75">
      <c r="D199" s="115">
        <f>'Radio-Map-2'!D199</f>
        <v>0</v>
      </c>
    </row>
    <row r="200" spans="4:4" x14ac:dyDescent="0.75">
      <c r="D200" s="115">
        <f>'Radio-Map-2'!D200</f>
        <v>0</v>
      </c>
    </row>
    <row r="201" spans="4:4" x14ac:dyDescent="0.75">
      <c r="D201" s="115">
        <f>'Radio-Map-2'!D201</f>
        <v>0</v>
      </c>
    </row>
    <row r="202" spans="4:4" x14ac:dyDescent="0.75">
      <c r="D202" s="115">
        <f>'Radio-Map-2'!D202</f>
        <v>0</v>
      </c>
    </row>
    <row r="203" spans="4:4" x14ac:dyDescent="0.75">
      <c r="D203" s="115">
        <f>'Radio-Map-2'!D203</f>
        <v>0</v>
      </c>
    </row>
    <row r="204" spans="4:4" x14ac:dyDescent="0.75">
      <c r="D204" s="115">
        <f>'Radio-Map-2'!D204</f>
        <v>0</v>
      </c>
    </row>
    <row r="205" spans="4:4" x14ac:dyDescent="0.75">
      <c r="D205" s="115">
        <f>'Radio-Map-2'!D205</f>
        <v>0</v>
      </c>
    </row>
    <row r="206" spans="4:4" x14ac:dyDescent="0.75">
      <c r="D206" s="115">
        <f>'Radio-Map-2'!D206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39</vt:i4>
      </vt:variant>
      <vt:variant>
        <vt:lpstr>Intervalli denominati</vt:lpstr>
      </vt:variant>
      <vt:variant>
        <vt:i4>34</vt:i4>
      </vt:variant>
    </vt:vector>
  </HeadingPairs>
  <TitlesOfParts>
    <vt:vector size="73" baseType="lpstr">
      <vt:lpstr>VariablesList</vt:lpstr>
      <vt:lpstr>Common</vt:lpstr>
      <vt:lpstr>Base-1</vt:lpstr>
      <vt:lpstr>Base-2</vt:lpstr>
      <vt:lpstr>Base-3</vt:lpstr>
      <vt:lpstr>BaseMap-1</vt:lpstr>
      <vt:lpstr>BaseMap-2</vt:lpstr>
      <vt:lpstr>Diag-1</vt:lpstr>
      <vt:lpstr>Diag-2</vt:lpstr>
      <vt:lpstr>Diag-3</vt:lpstr>
      <vt:lpstr>Diag-Map-1</vt:lpstr>
      <vt:lpstr>Diag-Map-2</vt:lpstr>
      <vt:lpstr>Diag-Map2-1</vt:lpstr>
      <vt:lpstr>Diag-Map2-2</vt:lpstr>
      <vt:lpstr>Diag-Map-all</vt:lpstr>
      <vt:lpstr>Subj-1</vt:lpstr>
      <vt:lpstr>Subj-2</vt:lpstr>
      <vt:lpstr>Subj-3</vt:lpstr>
      <vt:lpstr>Subj-Map-1</vt:lpstr>
      <vt:lpstr>Subj-Map-2</vt:lpstr>
      <vt:lpstr>Subj-Map2-1</vt:lpstr>
      <vt:lpstr>Subj-Map2-2</vt:lpstr>
      <vt:lpstr>Subj-Map-all</vt:lpstr>
      <vt:lpstr>Chemo-1</vt:lpstr>
      <vt:lpstr>Chemo-2</vt:lpstr>
      <vt:lpstr>Chemo-3</vt:lpstr>
      <vt:lpstr>Chemo-Map-1</vt:lpstr>
      <vt:lpstr>Chemo-Map-2</vt:lpstr>
      <vt:lpstr>Chemo-Map2-1</vt:lpstr>
      <vt:lpstr>Chemo-Map2-2</vt:lpstr>
      <vt:lpstr>Chemo-Map-all</vt:lpstr>
      <vt:lpstr>Rad-1</vt:lpstr>
      <vt:lpstr>Rad-2</vt:lpstr>
      <vt:lpstr>Rad-3</vt:lpstr>
      <vt:lpstr>Radio-Map-1</vt:lpstr>
      <vt:lpstr>Radio-Map-2</vt:lpstr>
      <vt:lpstr>Radio-Map2-1</vt:lpstr>
      <vt:lpstr>Radio-Map2-2</vt:lpstr>
      <vt:lpstr>Radio-Map-all</vt:lpstr>
      <vt:lpstr>'Chemo-Map-1'!MedicationStatement.medication_x_</vt:lpstr>
      <vt:lpstr>'Chemo-Map2-1'!PatientRole</vt:lpstr>
      <vt:lpstr>'Diag-Map2-1'!PatientRole</vt:lpstr>
      <vt:lpstr>'Radio-Map2-1'!PatientRole</vt:lpstr>
      <vt:lpstr>'Subj-Map2-1'!PatientRole</vt:lpstr>
      <vt:lpstr>'Chemo-Map2-1'!PatientRole.addr</vt:lpstr>
      <vt:lpstr>'Diag-Map2-1'!PatientRole.addr</vt:lpstr>
      <vt:lpstr>'Radio-Map2-1'!PatientRole.addr</vt:lpstr>
      <vt:lpstr>'Subj-Map2-1'!PatientRole.addr</vt:lpstr>
      <vt:lpstr>'Chemo-Map2-1'!PatientRole.classCode</vt:lpstr>
      <vt:lpstr>'Diag-Map2-1'!PatientRole.classCode</vt:lpstr>
      <vt:lpstr>'Radio-Map2-1'!PatientRole.classCode</vt:lpstr>
      <vt:lpstr>'Subj-Map2-1'!PatientRole.classCode</vt:lpstr>
      <vt:lpstr>'Chemo-Map2-1'!PatientRole.identifiedBy</vt:lpstr>
      <vt:lpstr>'Diag-Map2-1'!PatientRole.identifiedBy</vt:lpstr>
      <vt:lpstr>'Radio-Map2-1'!PatientRole.identifiedBy</vt:lpstr>
      <vt:lpstr>'Subj-Map2-1'!PatientRole.identifiedBy</vt:lpstr>
      <vt:lpstr>'Chemo-Map2-1'!PatientRole.patient</vt:lpstr>
      <vt:lpstr>'Diag-Map2-1'!PatientRole.patient</vt:lpstr>
      <vt:lpstr>'Radio-Map2-1'!PatientRole.patient</vt:lpstr>
      <vt:lpstr>'Subj-Map2-1'!PatientRole.patient</vt:lpstr>
      <vt:lpstr>'Chemo-Map2-1'!PatientRole.providerOrganization</vt:lpstr>
      <vt:lpstr>'Diag-Map2-1'!PatientRole.providerOrganization</vt:lpstr>
      <vt:lpstr>'Radio-Map2-1'!PatientRole.providerOrganization</vt:lpstr>
      <vt:lpstr>'Subj-Map2-1'!PatientRole.providerOrganization</vt:lpstr>
      <vt:lpstr>'Chemo-Map2-1'!PatientRole.telecom</vt:lpstr>
      <vt:lpstr>'Diag-Map2-1'!PatientRole.telecom</vt:lpstr>
      <vt:lpstr>'Radio-Map2-1'!PatientRole.telecom</vt:lpstr>
      <vt:lpstr>'Subj-Map2-1'!PatientRole.telecom</vt:lpstr>
      <vt:lpstr>'Chemo-Map2-1'!PatientRole.templateId</vt:lpstr>
      <vt:lpstr>'Diag-Map2-1'!PatientRole.templateId</vt:lpstr>
      <vt:lpstr>'Radio-Map2-1'!PatientRole.templateId</vt:lpstr>
      <vt:lpstr>'Subj-Map2-1'!PatientRole.templateId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2022-04-05T11:23:22Z</dcterms:modified>
</cp:coreProperties>
</file>