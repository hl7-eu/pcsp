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1B7FE681-2F84-444A-A2B3-F0B7D0AFDB35}"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1" i="59"/>
  <c r="D4" i="106" a="1"/>
  <c r="D4" i="106" s="1"/>
  <c r="D4" i="109" s="1"/>
  <c r="D5" i="106" a="1"/>
  <c r="D5" i="106" s="1"/>
  <c r="D5" i="109" s="1"/>
  <c r="D9" i="106" a="1"/>
  <c r="D9" i="106" s="1"/>
  <c r="D9" i="109" s="1"/>
  <c r="D10" i="106" a="1"/>
  <c r="D10" i="106" s="1"/>
  <c r="D10" i="109" s="1"/>
  <c r="D11" i="106" a="1"/>
  <c r="D11" i="106" s="1"/>
  <c r="D11" i="109" s="1"/>
  <c r="D12" i="106" a="1"/>
  <c r="D12" i="106" s="1"/>
  <c r="D12" i="109" s="1"/>
  <c r="D13" i="106" a="1"/>
  <c r="D13" i="106" s="1"/>
  <c r="D13" i="109" s="1"/>
  <c r="D14" i="106" a="1"/>
  <c r="D14" i="106" s="1"/>
  <c r="D14" i="109" s="1"/>
  <c r="D15" i="106" a="1"/>
  <c r="D15" i="106" s="1"/>
  <c r="D15" i="109" s="1"/>
  <c r="D16" i="106" a="1"/>
  <c r="D16" i="106" s="1"/>
  <c r="D16" i="109" s="1"/>
  <c r="D17" i="106" a="1"/>
  <c r="D17" i="106" s="1"/>
  <c r="D17" i="109" s="1"/>
  <c r="D18" i="106" a="1"/>
  <c r="D18" i="106" s="1"/>
  <c r="D18" i="109" s="1"/>
  <c r="D19" i="106" a="1"/>
  <c r="D19" i="106" s="1"/>
  <c r="D19" i="109" s="1"/>
  <c r="D20" i="106" a="1"/>
  <c r="D20" i="106" s="1"/>
  <c r="D20" i="109" s="1"/>
  <c r="D21" i="106" a="1"/>
  <c r="D21" i="106" s="1"/>
  <c r="D21" i="109" s="1"/>
  <c r="D22" i="106" a="1"/>
  <c r="D22" i="106" s="1"/>
  <c r="D22" i="109" s="1"/>
  <c r="D23" i="106" a="1"/>
  <c r="D23" i="106" s="1"/>
  <c r="D23" i="109" s="1"/>
  <c r="D24" i="106" a="1"/>
  <c r="D24" i="106" s="1"/>
  <c r="D24" i="109" s="1"/>
  <c r="D25" i="106" a="1"/>
  <c r="D25" i="106" s="1"/>
  <c r="D25" i="109" s="1"/>
  <c r="D26" i="106" a="1"/>
  <c r="D26" i="106" s="1"/>
  <c r="D26" i="109" s="1"/>
  <c r="D27" i="106" a="1"/>
  <c r="D27" i="106" s="1"/>
  <c r="D27" i="109" s="1"/>
  <c r="D28" i="106" a="1"/>
  <c r="D28" i="106" s="1"/>
  <c r="D28" i="109" s="1"/>
  <c r="D29" i="106" a="1"/>
  <c r="D29" i="106" s="1"/>
  <c r="D29" i="109" s="1"/>
  <c r="D30" i="106" a="1"/>
  <c r="D30" i="106" s="1"/>
  <c r="D30" i="109" s="1"/>
  <c r="D31" i="106" a="1"/>
  <c r="D31" i="106" s="1"/>
  <c r="D31" i="109" s="1"/>
  <c r="D32" i="106" a="1"/>
  <c r="D32" i="106" s="1"/>
  <c r="D32" i="109" s="1"/>
  <c r="D33" i="106" a="1"/>
  <c r="D33" i="106" s="1"/>
  <c r="D33" i="109" s="1"/>
  <c r="D34" i="106" a="1"/>
  <c r="D34" i="106" s="1"/>
  <c r="D34" i="109" s="1"/>
  <c r="D35" i="106" a="1"/>
  <c r="D35" i="106" s="1"/>
  <c r="D35" i="109" s="1"/>
  <c r="D36" i="106" a="1"/>
  <c r="D36" i="106" s="1"/>
  <c r="D36" i="109" s="1"/>
  <c r="D37" i="106" a="1"/>
  <c r="D37" i="106" s="1"/>
  <c r="D37" i="109" s="1"/>
  <c r="D38" i="106" a="1"/>
  <c r="D38" i="106" s="1"/>
  <c r="D38" i="109" s="1"/>
  <c r="D39" i="106" a="1"/>
  <c r="D39" i="106" s="1"/>
  <c r="D39" i="109" s="1"/>
  <c r="D40" i="106" a="1"/>
  <c r="D40" i="106" s="1"/>
  <c r="D40" i="109" s="1"/>
  <c r="D41" i="106" a="1"/>
  <c r="D41" i="106" s="1"/>
  <c r="D41" i="109" s="1"/>
  <c r="D42" i="106" a="1"/>
  <c r="D42" i="106" s="1"/>
  <c r="D42" i="109" s="1"/>
  <c r="D43" i="106" a="1"/>
  <c r="D43" i="106" s="1"/>
  <c r="D43" i="109" s="1"/>
  <c r="D44" i="106" a="1"/>
  <c r="D44" i="106" s="1"/>
  <c r="D44" i="109" s="1"/>
  <c r="D45" i="106" a="1"/>
  <c r="D45" i="106" s="1"/>
  <c r="D45" i="109" s="1"/>
  <c r="D46" i="106" a="1"/>
  <c r="D46" i="106" s="1"/>
  <c r="D46" i="109" s="1"/>
  <c r="D47" i="106" a="1"/>
  <c r="D47" i="106" s="1"/>
  <c r="D47" i="109" s="1"/>
  <c r="D50" i="106" a="1"/>
  <c r="D50" i="106" s="1"/>
  <c r="D50" i="109" s="1"/>
  <c r="D53" i="106" a="1"/>
  <c r="D53" i="106" s="1"/>
  <c r="D53" i="109" s="1"/>
  <c r="D56" i="106" a="1"/>
  <c r="D56" i="106" s="1"/>
  <c r="D56" i="109" s="1"/>
  <c r="D57" i="106" a="1"/>
  <c r="D57" i="106" s="1"/>
  <c r="D57" i="109" s="1"/>
  <c r="D59" i="106" a="1"/>
  <c r="D59" i="106" s="1"/>
  <c r="D59" i="109" s="1"/>
  <c r="D62" i="106" a="1"/>
  <c r="D62" i="106" s="1"/>
  <c r="D62" i="109" s="1"/>
  <c r="D63" i="106" a="1"/>
  <c r="D63" i="106" s="1"/>
  <c r="D63" i="109" s="1"/>
  <c r="D64" i="106" a="1"/>
  <c r="D64" i="106" s="1"/>
  <c r="D64" i="109" s="1"/>
  <c r="D65" i="106" a="1"/>
  <c r="D65" i="106" s="1"/>
  <c r="D65" i="109" s="1"/>
  <c r="D66" i="106" a="1"/>
  <c r="D66" i="106" s="1"/>
  <c r="D66" i="109" s="1"/>
  <c r="D67" i="106" a="1"/>
  <c r="D67" i="106" s="1"/>
  <c r="D67" i="109" s="1"/>
  <c r="D68" i="106" a="1"/>
  <c r="D68" i="106" s="1"/>
  <c r="D68" i="109" s="1"/>
  <c r="D69" i="106" a="1"/>
  <c r="D69" i="106" s="1"/>
  <c r="D69" i="109" s="1"/>
  <c r="D70" i="106" a="1"/>
  <c r="D70" i="106" s="1"/>
  <c r="D70" i="109" s="1"/>
  <c r="D71" i="106" a="1"/>
  <c r="D71" i="106" s="1"/>
  <c r="D71" i="109" s="1"/>
  <c r="D74" i="106" a="1"/>
  <c r="D74" i="106" s="1"/>
  <c r="D74" i="109" s="1"/>
  <c r="D75" i="106" a="1"/>
  <c r="D75" i="106" s="1"/>
  <c r="D75" i="109" s="1"/>
  <c r="D76" i="106" a="1"/>
  <c r="D76" i="106" s="1"/>
  <c r="D76" i="109" s="1"/>
  <c r="D77" i="106" a="1"/>
  <c r="D77" i="106" s="1"/>
  <c r="D77" i="109" s="1"/>
  <c r="D78" i="106" a="1"/>
  <c r="D78" i="106" s="1"/>
  <c r="D78" i="109" s="1"/>
  <c r="D79" i="106" a="1"/>
  <c r="D79" i="106" s="1"/>
  <c r="D79" i="109" s="1"/>
  <c r="D80" i="106" a="1"/>
  <c r="D80" i="106" s="1"/>
  <c r="D80" i="109" s="1"/>
  <c r="D81" i="106" a="1"/>
  <c r="D81" i="106" s="1"/>
  <c r="D81" i="109" s="1"/>
  <c r="D82" i="106" a="1"/>
  <c r="D82" i="106" s="1"/>
  <c r="D82" i="109" s="1"/>
  <c r="D83" i="106" a="1"/>
  <c r="D83" i="106" s="1"/>
  <c r="D83" i="109" s="1"/>
  <c r="D84" i="106" a="1"/>
  <c r="D84" i="106" s="1"/>
  <c r="D84" i="109" s="1"/>
  <c r="D85" i="106" a="1"/>
  <c r="D85" i="106" s="1"/>
  <c r="D85" i="109" s="1"/>
  <c r="D86" i="106" a="1"/>
  <c r="D86" i="106" s="1"/>
  <c r="D86" i="109" s="1"/>
  <c r="D87" i="106" a="1"/>
  <c r="D87" i="106" s="1"/>
  <c r="D87" i="109" s="1"/>
  <c r="D88" i="106" a="1"/>
  <c r="D88" i="106" s="1"/>
  <c r="D88" i="109" s="1"/>
  <c r="D89" i="106" a="1"/>
  <c r="D89" i="106" s="1"/>
  <c r="D89" i="109" s="1"/>
  <c r="D90" i="106" a="1"/>
  <c r="D90" i="106" s="1"/>
  <c r="D90" i="109" s="1"/>
  <c r="D91" i="106" a="1"/>
  <c r="D91" i="106" s="1"/>
  <c r="D91" i="109" s="1"/>
  <c r="D92" i="106" a="1"/>
  <c r="D92" i="106" s="1"/>
  <c r="D92" i="109" s="1"/>
  <c r="D95" i="106" a="1"/>
  <c r="D95" i="106" s="1"/>
  <c r="D95" i="109" s="1"/>
  <c r="D98" i="106" a="1"/>
  <c r="D98" i="106" s="1"/>
  <c r="D98" i="109" s="1"/>
  <c r="D99" i="106" a="1"/>
  <c r="D99" i="106" s="1"/>
  <c r="D99" i="109" s="1"/>
  <c r="D100" i="106" a="1"/>
  <c r="D100" i="106" s="1"/>
  <c r="D100" i="109" s="1"/>
  <c r="D101" i="106" a="1"/>
  <c r="D101" i="106" s="1"/>
  <c r="D101" i="109" s="1"/>
  <c r="D102" i="106" a="1"/>
  <c r="D102" i="106" s="1"/>
  <c r="D102" i="109" s="1"/>
  <c r="D103" i="106" a="1"/>
  <c r="D103" i="106" s="1"/>
  <c r="D103" i="109" s="1"/>
  <c r="D104" i="106" a="1"/>
  <c r="D104" i="106" s="1"/>
  <c r="D104" i="109" s="1"/>
  <c r="D105" i="106" a="1"/>
  <c r="D105" i="106" s="1"/>
  <c r="D105" i="109" s="1"/>
  <c r="D106" i="106" a="1"/>
  <c r="D106" i="106" s="1"/>
  <c r="D106" i="109" s="1"/>
  <c r="D107" i="106" a="1"/>
  <c r="D107" i="106" s="1"/>
  <c r="D107" i="109" s="1"/>
  <c r="D108" i="106" a="1"/>
  <c r="D108" i="106" s="1"/>
  <c r="D108" i="109" s="1"/>
  <c r="D109" i="106" a="1"/>
  <c r="D109" i="106" s="1"/>
  <c r="D109" i="109" s="1"/>
  <c r="D110" i="106" a="1"/>
  <c r="D110" i="106" s="1"/>
  <c r="D110" i="109" s="1"/>
  <c r="D111" i="106" a="1"/>
  <c r="D111" i="106" s="1"/>
  <c r="D111" i="109" s="1"/>
  <c r="D112" i="106" a="1"/>
  <c r="D112" i="106" s="1"/>
  <c r="D112" i="109" s="1"/>
  <c r="D113" i="106" a="1"/>
  <c r="D113" i="106" s="1"/>
  <c r="D113" i="109" s="1"/>
  <c r="D114" i="106" a="1"/>
  <c r="D114" i="106" s="1"/>
  <c r="D114" i="109" s="1"/>
  <c r="D115" i="106" a="1"/>
  <c r="D115" i="106" s="1"/>
  <c r="D116" i="106" a="1"/>
  <c r="D116" i="106" s="1"/>
  <c r="D117" i="106" a="1"/>
  <c r="D117" i="106" s="1"/>
  <c r="D118" i="106" a="1"/>
  <c r="D118" i="106" s="1"/>
  <c r="D119" i="106" a="1"/>
  <c r="D119" i="106" s="1"/>
  <c r="D120" i="106" a="1"/>
  <c r="D120" i="106" s="1"/>
  <c r="D121" i="106" a="1"/>
  <c r="D121" i="106" s="1"/>
  <c r="D122" i="106" a="1"/>
  <c r="D122" i="106" s="1"/>
  <c r="D123" i="106" a="1"/>
  <c r="D123" i="106" s="1"/>
  <c r="D124" i="106" a="1"/>
  <c r="D124" i="106" s="1"/>
  <c r="D125" i="106" a="1"/>
  <c r="D125" i="106" s="1"/>
  <c r="D126" i="106" a="1"/>
  <c r="D126" i="106" s="1"/>
  <c r="D127" i="106" a="1"/>
  <c r="D127" i="106" s="1"/>
  <c r="D128" i="106" a="1"/>
  <c r="D128" i="106" s="1"/>
  <c r="D129" i="106" a="1"/>
  <c r="D129" i="106" s="1"/>
  <c r="D130" i="106" a="1"/>
  <c r="D130" i="106" s="1"/>
  <c r="D131" i="106" a="1"/>
  <c r="D131" i="106" s="1"/>
  <c r="D132" i="106" a="1"/>
  <c r="D132" i="106" s="1"/>
  <c r="D133" i="106" a="1"/>
  <c r="D133" i="106" s="1"/>
  <c r="D134" i="106" a="1"/>
  <c r="D134" i="106" s="1"/>
  <c r="D135" i="106" a="1"/>
  <c r="D135" i="106" s="1"/>
  <c r="D136" i="106" a="1"/>
  <c r="D136" i="106" s="1"/>
  <c r="D137" i="106" a="1"/>
  <c r="D137" i="106" s="1"/>
  <c r="D138" i="106" a="1"/>
  <c r="D138" i="106" s="1"/>
  <c r="D139" i="106" a="1"/>
  <c r="D139" i="106" s="1"/>
  <c r="D140" i="106" a="1"/>
  <c r="D140" i="106" s="1"/>
  <c r="D141" i="106" a="1"/>
  <c r="D141" i="106" s="1"/>
  <c r="D142" i="106" a="1"/>
  <c r="D142" i="106" s="1"/>
  <c r="D143" i="106" a="1"/>
  <c r="D143" i="106" s="1"/>
  <c r="D144" i="106" a="1"/>
  <c r="D144" i="106" s="1"/>
  <c r="D145" i="106" a="1"/>
  <c r="D145" i="106" s="1"/>
  <c r="D146" i="106" a="1"/>
  <c r="D146" i="106" s="1"/>
  <c r="D147" i="106" a="1"/>
  <c r="D147" i="106" s="1"/>
  <c r="D148" i="106" a="1"/>
  <c r="D148" i="106" s="1"/>
  <c r="D149" i="106" a="1"/>
  <c r="D149" i="106" s="1"/>
  <c r="D150" i="106" a="1"/>
  <c r="D150" i="106" s="1"/>
  <c r="D151" i="106" a="1"/>
  <c r="D151" i="106" s="1"/>
  <c r="D152" i="106" a="1"/>
  <c r="D152" i="106" s="1"/>
  <c r="D153" i="106" a="1"/>
  <c r="D153" i="106" s="1"/>
  <c r="D154" i="106" a="1"/>
  <c r="D154" i="106" s="1"/>
  <c r="D155" i="106" a="1"/>
  <c r="D155" i="106" s="1"/>
  <c r="D156" i="106" a="1"/>
  <c r="D156" i="106" s="1"/>
  <c r="D157" i="106" a="1"/>
  <c r="D157" i="106" s="1"/>
  <c r="D158" i="106" a="1"/>
  <c r="D158" i="106" s="1"/>
  <c r="D159" i="106" a="1"/>
  <c r="D159" i="106" s="1"/>
  <c r="D160" i="106" a="1"/>
  <c r="D160" i="106" s="1"/>
  <c r="D161" i="106" a="1"/>
  <c r="D161" i="106" s="1"/>
  <c r="D162" i="106" a="1"/>
  <c r="D162" i="106" s="1"/>
  <c r="D163" i="106" a="1"/>
  <c r="D163" i="106" s="1"/>
  <c r="D164" i="106" a="1"/>
  <c r="D164" i="106" s="1"/>
  <c r="D165" i="106" a="1"/>
  <c r="D165" i="106" s="1"/>
  <c r="D166" i="106" a="1"/>
  <c r="D166" i="106" s="1"/>
  <c r="D167" i="106" a="1"/>
  <c r="D167" i="106" s="1"/>
  <c r="D168" i="106" a="1"/>
  <c r="D168" i="106" s="1"/>
  <c r="D169" i="106" a="1"/>
  <c r="D169" i="106" s="1"/>
  <c r="D170" i="106" a="1"/>
  <c r="D170" i="106" s="1"/>
  <c r="D171" i="106" a="1"/>
  <c r="D171" i="106" s="1"/>
  <c r="D172" i="106" a="1"/>
  <c r="D172" i="106" s="1"/>
  <c r="D173" i="106" a="1"/>
  <c r="D173" i="106" s="1"/>
  <c r="D174" i="106" a="1"/>
  <c r="D174" i="106" s="1"/>
  <c r="D175" i="106" a="1"/>
  <c r="D175" i="106" s="1"/>
  <c r="D176" i="106" a="1"/>
  <c r="D176" i="106" s="1"/>
  <c r="D177" i="106" a="1"/>
  <c r="D177" i="106" s="1"/>
  <c r="D178" i="106" a="1"/>
  <c r="D178" i="106" s="1"/>
  <c r="D179" i="106" a="1"/>
  <c r="D179" i="106" s="1"/>
  <c r="D180" i="106" a="1"/>
  <c r="D180" i="106" s="1"/>
  <c r="D181" i="106" a="1"/>
  <c r="D181" i="106" s="1"/>
  <c r="D182" i="106" a="1"/>
  <c r="D182" i="106" s="1"/>
  <c r="D183" i="106" a="1"/>
  <c r="D183" i="106" s="1"/>
  <c r="D184" i="106" a="1"/>
  <c r="D184" i="106" s="1"/>
  <c r="D185" i="106" a="1"/>
  <c r="D185" i="106" s="1"/>
  <c r="D186" i="106" a="1"/>
  <c r="D186" i="106" s="1"/>
  <c r="D187" i="106" a="1"/>
  <c r="D187" i="106" s="1"/>
  <c r="D188" i="106" a="1"/>
  <c r="D188" i="106" s="1"/>
  <c r="D189" i="106" a="1"/>
  <c r="D189" i="106" s="1"/>
  <c r="D190" i="106" a="1"/>
  <c r="D190" i="106" s="1"/>
  <c r="D191" i="106" a="1"/>
  <c r="D191" i="106" s="1"/>
  <c r="D192" i="106" a="1"/>
  <c r="D192" i="106" s="1"/>
  <c r="D193" i="106" a="1"/>
  <c r="D193" i="106" s="1"/>
  <c r="D194" i="106" a="1"/>
  <c r="D194" i="106" s="1"/>
  <c r="D195" i="106" a="1"/>
  <c r="D195" i="106" s="1"/>
  <c r="D196" i="106" a="1"/>
  <c r="D196" i="106" s="1"/>
  <c r="D197" i="106" a="1"/>
  <c r="D197" i="106" s="1"/>
  <c r="D198" i="106" a="1"/>
  <c r="D198" i="106" s="1"/>
  <c r="D199" i="106" a="1"/>
  <c r="D199" i="106" s="1"/>
  <c r="D200" i="106" a="1"/>
  <c r="D200" i="106" s="1"/>
  <c r="D201" i="106" a="1"/>
  <c r="D201" i="106" s="1"/>
  <c r="D202" i="106" a="1"/>
  <c r="D202" i="106" s="1"/>
  <c r="D203" i="106" a="1"/>
  <c r="D203" i="106" s="1"/>
  <c r="D204" i="106" a="1"/>
  <c r="D204" i="106" s="1"/>
  <c r="D205" i="106" a="1"/>
  <c r="D205" i="106" s="1"/>
  <c r="D206" i="106" a="1"/>
  <c r="D206" i="106" s="1"/>
  <c r="H13" i="105"/>
  <c r="I13" i="105" s="1"/>
  <c r="K13" i="105"/>
  <c r="H14" i="105"/>
  <c r="I14" i="105"/>
  <c r="J14" i="105"/>
  <c r="K14" i="105"/>
  <c r="H15" i="105"/>
  <c r="I15" i="105" s="1"/>
  <c r="K15" i="105"/>
  <c r="H16" i="105"/>
  <c r="I16" i="105"/>
  <c r="J16" i="105"/>
  <c r="K16" i="105"/>
  <c r="H17" i="105"/>
  <c r="I17" i="105" s="1"/>
  <c r="K17" i="105"/>
  <c r="H18" i="105"/>
  <c r="I18" i="105"/>
  <c r="J18" i="105"/>
  <c r="K18" i="105"/>
  <c r="H19" i="105"/>
  <c r="I19" i="105" s="1"/>
  <c r="K19" i="105"/>
  <c r="H20" i="105"/>
  <c r="I20" i="105"/>
  <c r="J20" i="105"/>
  <c r="K20" i="105"/>
  <c r="H21" i="105"/>
  <c r="I21" i="105" s="1"/>
  <c r="K21" i="105"/>
  <c r="H22" i="105"/>
  <c r="I22" i="105" s="1"/>
  <c r="D48" i="106" s="1" a="1"/>
  <c r="D48" i="106" s="1"/>
  <c r="D48" i="109" s="1"/>
  <c r="K22" i="105"/>
  <c r="H23" i="105"/>
  <c r="I23" i="105" s="1"/>
  <c r="D51" i="106" s="1" a="1"/>
  <c r="D51" i="106" s="1"/>
  <c r="D51" i="109" s="1"/>
  <c r="K23" i="105"/>
  <c r="H24" i="105"/>
  <c r="I24" i="105" s="1"/>
  <c r="D54" i="106" s="1" a="1"/>
  <c r="D54" i="106" s="1"/>
  <c r="D54" i="109" s="1"/>
  <c r="K24" i="105"/>
  <c r="H25" i="105"/>
  <c r="I25" i="105" s="1"/>
  <c r="K25" i="105"/>
  <c r="H26" i="105"/>
  <c r="I26" i="105" s="1"/>
  <c r="D60" i="106" s="1" a="1"/>
  <c r="D60" i="106" s="1"/>
  <c r="D60" i="109" s="1"/>
  <c r="K26" i="105"/>
  <c r="H27" i="105"/>
  <c r="I27" i="105" s="1"/>
  <c r="K27" i="105"/>
  <c r="H28" i="105"/>
  <c r="I28" i="105"/>
  <c r="J28" i="105"/>
  <c r="K28" i="105"/>
  <c r="H29" i="105"/>
  <c r="I29" i="105" s="1"/>
  <c r="K29" i="105"/>
  <c r="H30" i="105"/>
  <c r="I30" i="105"/>
  <c r="D72" i="106" s="1" a="1"/>
  <c r="D72" i="106" s="1"/>
  <c r="D72" i="109" s="1"/>
  <c r="J30" i="105"/>
  <c r="D73" i="106" s="1" a="1"/>
  <c r="D73" i="106" s="1"/>
  <c r="D73" i="109" s="1"/>
  <c r="K30" i="105"/>
  <c r="H31" i="105"/>
  <c r="I31" i="105" s="1"/>
  <c r="K31" i="105"/>
  <c r="H32" i="105"/>
  <c r="I32" i="105"/>
  <c r="J32" i="105"/>
  <c r="K32" i="105"/>
  <c r="H33" i="105"/>
  <c r="I33" i="105" s="1"/>
  <c r="K33" i="105"/>
  <c r="H34" i="105"/>
  <c r="I34" i="105"/>
  <c r="J34" i="105"/>
  <c r="K34" i="105"/>
  <c r="H35" i="105"/>
  <c r="I35" i="105" s="1"/>
  <c r="K35" i="105"/>
  <c r="H36" i="105"/>
  <c r="I36" i="105"/>
  <c r="J36" i="105"/>
  <c r="K36" i="105"/>
  <c r="H37" i="105"/>
  <c r="I37" i="105" s="1"/>
  <c r="D93" i="106" s="1" a="1"/>
  <c r="D93" i="106" s="1"/>
  <c r="D93" i="109" s="1"/>
  <c r="K37" i="105"/>
  <c r="H38" i="105"/>
  <c r="J38" i="105" s="1"/>
  <c r="D97" i="106" s="1" a="1"/>
  <c r="D97" i="106" s="1"/>
  <c r="D97" i="109" s="1"/>
  <c r="K38" i="105"/>
  <c r="H39" i="105"/>
  <c r="I39" i="105" s="1"/>
  <c r="K39" i="105"/>
  <c r="H40" i="105"/>
  <c r="I40" i="105"/>
  <c r="J40" i="105"/>
  <c r="K40" i="105"/>
  <c r="H41" i="105"/>
  <c r="I41" i="105" s="1"/>
  <c r="K41" i="105"/>
  <c r="H42" i="105"/>
  <c r="I42" i="105"/>
  <c r="J42" i="105"/>
  <c r="K42" i="105"/>
  <c r="H43" i="105"/>
  <c r="I43" i="105" s="1"/>
  <c r="K43" i="105"/>
  <c r="H44" i="105"/>
  <c r="I44" i="105"/>
  <c r="J44" i="105"/>
  <c r="K44" i="105"/>
  <c r="H45" i="105"/>
  <c r="I45" i="105" s="1"/>
  <c r="K45" i="105"/>
  <c r="H46" i="105"/>
  <c r="I46" i="105"/>
  <c r="J46" i="105"/>
  <c r="K46" i="105"/>
  <c r="H47" i="105"/>
  <c r="I47" i="105" s="1"/>
  <c r="K47" i="105"/>
  <c r="H48" i="105"/>
  <c r="I48" i="105"/>
  <c r="J48" i="105"/>
  <c r="K48" i="105"/>
  <c r="H11" i="105"/>
  <c r="I11" i="105" s="1"/>
  <c r="K11" i="105"/>
  <c r="H12" i="105"/>
  <c r="I12" i="105" s="1"/>
  <c r="K12" i="105"/>
  <c r="H10" i="105"/>
  <c r="I10" i="105" s="1"/>
  <c r="K10" i="105"/>
  <c r="H8" i="105"/>
  <c r="I8" i="105" s="1"/>
  <c r="D6" i="106" s="1" a="1"/>
  <c r="D6" i="106" s="1"/>
  <c r="D6" i="109" s="1"/>
  <c r="K8" i="105"/>
  <c r="D8" i="106" s="1" a="1"/>
  <c r="D8" i="106" s="1"/>
  <c r="D8" i="109" s="1"/>
  <c r="B38" i="105"/>
  <c r="C38" i="105"/>
  <c r="B36" i="105"/>
  <c r="C36" i="105"/>
  <c r="B20" i="105"/>
  <c r="C20" i="105"/>
  <c r="B16" i="105"/>
  <c r="C16" i="105"/>
  <c r="B13" i="105"/>
  <c r="C13" i="105"/>
  <c r="C8" i="105"/>
  <c r="B11" i="105"/>
  <c r="C11" i="105"/>
  <c r="I38" i="105" l="1"/>
  <c r="D96" i="106" s="1" a="1"/>
  <c r="D96" i="106" s="1"/>
  <c r="D96" i="109" s="1"/>
  <c r="J24" i="105"/>
  <c r="D55" i="106" s="1" a="1"/>
  <c r="D55" i="106" s="1"/>
  <c r="D55" i="109" s="1"/>
  <c r="J26" i="105"/>
  <c r="D61" i="106" s="1" a="1"/>
  <c r="D61" i="106" s="1"/>
  <c r="D61" i="109" s="1"/>
  <c r="J22" i="105"/>
  <c r="D49" i="106" s="1" a="1"/>
  <c r="D49" i="106" s="1"/>
  <c r="D49" i="109" s="1"/>
  <c r="J45" i="105"/>
  <c r="J43" i="105"/>
  <c r="J41" i="105"/>
  <c r="J39" i="105"/>
  <c r="J37" i="105"/>
  <c r="D94" i="106" s="1" a="1"/>
  <c r="D94" i="106" s="1"/>
  <c r="D94" i="109" s="1"/>
  <c r="J35" i="105"/>
  <c r="J33" i="105"/>
  <c r="J31" i="105"/>
  <c r="J29" i="105"/>
  <c r="J27" i="105"/>
  <c r="J25" i="105"/>
  <c r="D58" i="106" s="1" a="1"/>
  <c r="D58" i="106" s="1"/>
  <c r="D58" i="109" s="1"/>
  <c r="J23" i="105"/>
  <c r="D52" i="106" s="1" a="1"/>
  <c r="D52" i="106" s="1"/>
  <c r="D52" i="109" s="1"/>
  <c r="J21" i="105"/>
  <c r="J19" i="105"/>
  <c r="J17" i="105"/>
  <c r="J15" i="105"/>
  <c r="J13" i="105"/>
  <c r="J47" i="105"/>
  <c r="J12" i="105"/>
  <c r="J11" i="105"/>
  <c r="J10" i="105"/>
  <c r="J8" i="105"/>
  <c r="D7" i="106" s="1" a="1"/>
  <c r="D7" i="106" s="1"/>
  <c r="D7" i="109" s="1"/>
  <c r="B42" i="105"/>
  <c r="C42" i="105"/>
  <c r="B43" i="105"/>
  <c r="C43" i="105"/>
  <c r="B9" i="105"/>
  <c r="C9" i="105"/>
  <c r="B10" i="105"/>
  <c r="C10" i="105"/>
  <c r="B12" i="105"/>
  <c r="C12" i="105"/>
  <c r="B14" i="105"/>
  <c r="C14" i="105"/>
  <c r="B15" i="105"/>
  <c r="C15" i="105"/>
  <c r="B17" i="105"/>
  <c r="C17" i="105"/>
  <c r="B18" i="105"/>
  <c r="C18" i="105"/>
  <c r="B19" i="105"/>
  <c r="C19"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35" i="105"/>
  <c r="C35" i="105"/>
  <c r="B37" i="105"/>
  <c r="C37" i="105"/>
  <c r="B39" i="105"/>
  <c r="C39" i="105"/>
  <c r="B40" i="105"/>
  <c r="C40" i="105"/>
  <c r="B41" i="105"/>
  <c r="C41" i="105"/>
  <c r="B7" i="105"/>
  <c r="C7" i="105"/>
  <c r="D69" i="81" l="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6" i="81"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4" i="81" s="1"/>
  <c r="D65" i="78" a="1"/>
  <c r="D65" i="78"/>
  <c r="D65" i="81" s="1"/>
  <c r="D66" i="78" a="1"/>
  <c r="D66" i="78" s="1"/>
  <c r="D66" i="81" s="1"/>
  <c r="D67" i="78" a="1"/>
  <c r="D67" i="78" s="1"/>
  <c r="D67" i="81" s="1"/>
  <c r="D68" i="78" a="1"/>
  <c r="D68" i="78" s="1"/>
  <c r="D68" i="81" s="1"/>
  <c r="D4" i="78" a="1"/>
  <c r="D4" i="78" s="1"/>
  <c r="D4" i="81" s="1"/>
  <c r="D5" i="78" a="1"/>
  <c r="D5" i="78" s="1"/>
  <c r="D5" i="81" s="1"/>
  <c r="D6" i="78" a="1"/>
  <c r="D6" i="78" s="1"/>
  <c r="D6" i="81" s="1"/>
  <c r="D7" i="78" a="1"/>
  <c r="D7" i="78" s="1"/>
  <c r="D7" i="81" s="1"/>
  <c r="D8" i="78" a="1"/>
  <c r="D8" i="78" s="1"/>
  <c r="D8" i="81" s="1"/>
  <c r="D9" i="78" a="1"/>
  <c r="D9" i="78" s="1"/>
  <c r="D9" i="81" s="1"/>
  <c r="D10" i="78" a="1"/>
  <c r="D10" i="78" s="1"/>
  <c r="D10" i="81" s="1"/>
  <c r="D11" i="78" a="1"/>
  <c r="D11" i="78" s="1"/>
  <c r="D11" i="81" s="1"/>
  <c r="D12" i="78" a="1"/>
  <c r="D12" i="78" s="1"/>
  <c r="D12" i="81" s="1"/>
  <c r="D13" i="78" a="1"/>
  <c r="D13" i="78" s="1"/>
  <c r="D13" i="81" s="1"/>
  <c r="D14" i="78" a="1"/>
  <c r="D14" i="78" s="1"/>
  <c r="D14" i="81" s="1"/>
  <c r="D15" i="78" a="1"/>
  <c r="D15" i="78" s="1"/>
  <c r="D15" i="81" s="1"/>
  <c r="D16" i="78" a="1"/>
  <c r="D16" i="78" s="1"/>
  <c r="D16" i="81" s="1"/>
  <c r="D17" i="78" a="1"/>
  <c r="D17" i="78" s="1"/>
  <c r="D17" i="81" s="1"/>
  <c r="D18" i="78" a="1"/>
  <c r="D18" i="78" s="1"/>
  <c r="D18" i="81" s="1"/>
  <c r="D19" i="78" a="1"/>
  <c r="D19" i="78" s="1"/>
  <c r="D19" i="81" s="1"/>
  <c r="D20" i="78" a="1"/>
  <c r="D20" i="78" s="1"/>
  <c r="D20" i="81" s="1"/>
  <c r="D23" i="78" a="1"/>
  <c r="D23" i="78" s="1"/>
  <c r="D23" i="81" s="1"/>
  <c r="D24" i="78" a="1"/>
  <c r="D24" i="78" s="1"/>
  <c r="D24" i="81" s="1"/>
  <c r="D25" i="78" a="1"/>
  <c r="D25" i="78" s="1"/>
  <c r="D25" i="81" s="1"/>
  <c r="D26" i="78" a="1"/>
  <c r="D26" i="78" s="1"/>
  <c r="D26" i="81" s="1"/>
  <c r="D27" i="78" a="1"/>
  <c r="D27" i="78" s="1"/>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s="1"/>
  <c r="D37" i="81" s="1"/>
  <c r="D38" i="78" a="1"/>
  <c r="D38" i="78" s="1"/>
  <c r="D38" i="81" s="1"/>
  <c r="D39" i="78" a="1"/>
  <c r="D39" i="78" s="1"/>
  <c r="D39" i="81" s="1"/>
  <c r="D40" i="78" a="1"/>
  <c r="D40" i="78" s="1"/>
  <c r="D40" i="81" s="1"/>
  <c r="D41" i="78" a="1"/>
  <c r="D41" i="78" s="1"/>
  <c r="D41" i="81" s="1"/>
  <c r="D42" i="78" a="1"/>
  <c r="D42" i="78" s="1"/>
  <c r="D42" i="81" s="1"/>
  <c r="D43" i="78" a="1"/>
  <c r="D43" i="78" s="1"/>
  <c r="D43" i="81" s="1"/>
  <c r="D44" i="78" a="1"/>
  <c r="D44" i="78" s="1"/>
  <c r="D44" i="81" s="1"/>
  <c r="D45" i="78" a="1"/>
  <c r="D45" i="78" s="1"/>
  <c r="D45" i="81" s="1"/>
  <c r="D46" i="78" a="1"/>
  <c r="D46" i="78" s="1"/>
  <c r="D46" i="81" s="1"/>
  <c r="D47" i="78" a="1"/>
  <c r="D47" i="78" s="1"/>
  <c r="D47" i="81" s="1"/>
  <c r="D48" i="78" a="1"/>
  <c r="D48" i="78" s="1"/>
  <c r="D48" i="81" s="1"/>
  <c r="D49" i="78" a="1"/>
  <c r="D49" i="78" s="1"/>
  <c r="D49" i="81" s="1"/>
  <c r="D50" i="78" a="1"/>
  <c r="D50" i="78" s="1"/>
  <c r="D50" i="81" s="1"/>
  <c r="D53" i="78" a="1"/>
  <c r="D53" i="78" s="1"/>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D21" i="78" s="1" a="1"/>
  <c r="D21" i="78" s="1"/>
  <c r="D21" i="81"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s="1"/>
  <c r="D39" i="76" a="1"/>
  <c r="D39" i="76" s="1"/>
  <c r="D40" i="76" a="1"/>
  <c r="D40" i="76" s="1"/>
  <c r="D41" i="76" a="1"/>
  <c r="D41" i="76" s="1"/>
  <c r="D42" i="76" a="1"/>
  <c r="D42" i="76"/>
  <c r="D43" i="76" a="1"/>
  <c r="D43" i="76" s="1"/>
  <c r="D44" i="76" a="1"/>
  <c r="D44" i="76" s="1"/>
  <c r="D45" i="76" a="1"/>
  <c r="D45" i="76" s="1"/>
  <c r="D46" i="76" a="1"/>
  <c r="D46" i="76" s="1"/>
  <c r="D47" i="76" a="1"/>
  <c r="D47" i="76" s="1"/>
  <c r="D48" i="76" a="1"/>
  <c r="D48" i="76" s="1"/>
  <c r="D49" i="76" a="1"/>
  <c r="D49" i="76" s="1"/>
  <c r="D50" i="76" a="1"/>
  <c r="D50" i="76"/>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6" i="76" a="1"/>
  <c r="D66" i="76" s="1"/>
  <c r="D67" i="76" a="1"/>
  <c r="D67" i="76" s="1"/>
  <c r="D68" i="76" a="1"/>
  <c r="D68" i="76" s="1"/>
  <c r="D69" i="76" a="1"/>
  <c r="D69" i="76" s="1"/>
  <c r="D70" i="76" a="1"/>
  <c r="D70" i="76" s="1"/>
  <c r="D71" i="76" a="1"/>
  <c r="D71" i="76" s="1"/>
  <c r="D72" i="76" a="1"/>
  <c r="D72" i="76" s="1"/>
  <c r="D73" i="76" a="1"/>
  <c r="D73" i="76" s="1"/>
  <c r="D74" i="76" a="1"/>
  <c r="D74" i="76"/>
  <c r="D75" i="76" a="1"/>
  <c r="D75" i="76" s="1"/>
  <c r="D76" i="76" a="1"/>
  <c r="D76" i="76" s="1"/>
  <c r="D77" i="76" a="1"/>
  <c r="D77" i="76" s="1"/>
  <c r="D78" i="76" a="1"/>
  <c r="D78" i="76" s="1"/>
  <c r="D79" i="76" a="1"/>
  <c r="D79" i="76" s="1"/>
  <c r="D80" i="76" a="1"/>
  <c r="D80" i="76" s="1"/>
  <c r="D81" i="76" a="1"/>
  <c r="D81" i="76" s="1"/>
  <c r="D82" i="76" a="1"/>
  <c r="D82" i="76"/>
  <c r="D83" i="76" a="1"/>
  <c r="D83" i="76" s="1"/>
  <c r="D84" i="76" a="1"/>
  <c r="D84" i="76" s="1"/>
  <c r="D85" i="76" a="1"/>
  <c r="D85" i="76" s="1"/>
  <c r="D86" i="76" a="1"/>
  <c r="D86" i="76" s="1"/>
  <c r="D87" i="76" a="1"/>
  <c r="D87" i="76" s="1"/>
  <c r="D88" i="76" a="1"/>
  <c r="D88" i="76" s="1"/>
  <c r="D89" i="76" a="1"/>
  <c r="D89" i="76" s="1"/>
  <c r="D90" i="76" a="1"/>
  <c r="D90" i="76"/>
  <c r="D91" i="76" a="1"/>
  <c r="D91" i="76" s="1"/>
  <c r="D92" i="76" a="1"/>
  <c r="D92" i="76" s="1"/>
  <c r="D93" i="76" a="1"/>
  <c r="D93" i="76" s="1"/>
  <c r="D94" i="76" a="1"/>
  <c r="D94" i="76" s="1"/>
  <c r="D95" i="76" a="1"/>
  <c r="D95" i="76" s="1"/>
  <c r="D96" i="76" a="1"/>
  <c r="D96" i="76" s="1"/>
  <c r="D97" i="76" a="1"/>
  <c r="D97" i="76" s="1"/>
  <c r="D98" i="76" a="1"/>
  <c r="D98" i="76"/>
  <c r="D99" i="76" a="1"/>
  <c r="D99" i="76" s="1"/>
  <c r="D100" i="76" a="1"/>
  <c r="D100" i="76" s="1"/>
  <c r="D101" i="76" a="1"/>
  <c r="D101" i="76" s="1"/>
  <c r="D102" i="76" a="1"/>
  <c r="D102" i="76" s="1"/>
  <c r="D103" i="76" a="1"/>
  <c r="D103" i="76" s="1"/>
  <c r="D104" i="76" a="1"/>
  <c r="D104" i="76" s="1"/>
  <c r="D105" i="76" a="1"/>
  <c r="D105" i="76" s="1"/>
  <c r="D106" i="76" a="1"/>
  <c r="D106" i="76"/>
  <c r="D107" i="76" a="1"/>
  <c r="D107" i="76" s="1"/>
  <c r="D108" i="76" a="1"/>
  <c r="D108" i="76" s="1"/>
  <c r="D109" i="76" a="1"/>
  <c r="D109" i="76" s="1"/>
  <c r="D110" i="76" a="1"/>
  <c r="D110" i="76" s="1"/>
  <c r="D111" i="76" a="1"/>
  <c r="D111" i="76" s="1"/>
  <c r="D112" i="76" a="1"/>
  <c r="D112" i="76" s="1"/>
  <c r="D113" i="76" a="1"/>
  <c r="D113" i="76" s="1"/>
  <c r="D114" i="76" a="1"/>
  <c r="D114" i="76"/>
  <c r="D115" i="76" a="1"/>
  <c r="D115" i="76" s="1"/>
  <c r="D116" i="76" a="1"/>
  <c r="D116" i="76" s="1"/>
  <c r="D117" i="76" a="1"/>
  <c r="D117" i="76" s="1"/>
  <c r="D118" i="76" a="1"/>
  <c r="D118" i="76" s="1"/>
  <c r="D119" i="76" a="1"/>
  <c r="D119" i="76" s="1"/>
  <c r="D120" i="76" a="1"/>
  <c r="D120" i="76" s="1"/>
  <c r="D121" i="76" a="1"/>
  <c r="D121" i="76" s="1"/>
  <c r="D122" i="76" a="1"/>
  <c r="D122" i="76"/>
  <c r="D123" i="76" a="1"/>
  <c r="D123" i="76" s="1"/>
  <c r="D124" i="76" a="1"/>
  <c r="D124" i="76" s="1"/>
  <c r="D125" i="76" a="1"/>
  <c r="D125" i="76" s="1"/>
  <c r="D126" i="76" a="1"/>
  <c r="D126" i="76" s="1"/>
  <c r="D127" i="76" a="1"/>
  <c r="D127" i="76" s="1"/>
  <c r="D128" i="76" a="1"/>
  <c r="D128" i="76" s="1"/>
  <c r="D129" i="76" a="1"/>
  <c r="D129" i="76" s="1"/>
  <c r="D130" i="76" a="1"/>
  <c r="D130" i="76"/>
  <c r="D131" i="76" a="1"/>
  <c r="D131" i="76" s="1"/>
  <c r="D132" i="76" a="1"/>
  <c r="D132" i="76" s="1"/>
  <c r="D133" i="76" a="1"/>
  <c r="D133" i="76" s="1"/>
  <c r="D134" i="76" a="1"/>
  <c r="D134" i="76" s="1"/>
  <c r="D135" i="76" a="1"/>
  <c r="D135" i="76" s="1"/>
  <c r="D136" i="76" a="1"/>
  <c r="D136" i="76" s="1"/>
  <c r="D137" i="76" a="1"/>
  <c r="D137" i="76" s="1"/>
  <c r="D138" i="76" a="1"/>
  <c r="D138" i="76"/>
  <c r="D139" i="76" a="1"/>
  <c r="D139" i="76" s="1"/>
  <c r="D140" i="76" a="1"/>
  <c r="D140" i="76" s="1"/>
  <c r="D141" i="76" a="1"/>
  <c r="D141" i="76" s="1"/>
  <c r="D142" i="76" a="1"/>
  <c r="D142" i="76" s="1"/>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D65" i="76" s="1" a="1"/>
  <c r="D65" i="76" s="1"/>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D22" i="78" s="1" a="1"/>
  <c r="D22" i="78" s="1"/>
  <c r="D22" i="81" s="1"/>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107" i="10" a="1"/>
  <c r="D107" i="10" s="1"/>
  <c r="D115" i="10" a="1"/>
  <c r="D11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D123" i="10" s="1" a="1"/>
  <c r="D123" i="10" s="1"/>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D131" i="10" s="1" a="1"/>
  <c r="D131" i="10" s="1"/>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D139" i="10" s="1" a="1"/>
  <c r="D139" i="10" s="1"/>
  <c r="B17" i="9"/>
  <c r="D140" i="10" s="1" a="1"/>
  <c r="D140" i="10" s="1"/>
  <c r="C17" i="9"/>
  <c r="D141" i="10" s="1" a="1"/>
  <c r="D141" i="10" s="1"/>
  <c r="D17" i="9"/>
  <c r="D142" i="10" s="1" a="1"/>
  <c r="D142" i="10" s="1"/>
  <c r="E17" i="9"/>
  <c r="D143" i="10" s="1" a="1"/>
  <c r="D143" i="10" s="1"/>
  <c r="F17" i="9"/>
  <c r="D144" i="10" s="1" a="1"/>
  <c r="D144" i="10" s="1"/>
  <c r="G17" i="9"/>
  <c r="D145" i="10" s="1" a="1"/>
  <c r="D145" i="10" s="1"/>
  <c r="H17" i="9"/>
  <c r="D146" i="10" s="1" a="1"/>
  <c r="D146" i="10" s="1"/>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D172" i="10" s="1" a="1"/>
  <c r="D172" i="10" s="1"/>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D180" i="10" s="1" a="1"/>
  <c r="D180" i="10" s="1"/>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D188" i="10" s="1" a="1"/>
  <c r="D188" i="10" s="1"/>
  <c r="B24" i="9"/>
  <c r="D189" i="10" s="1" a="1"/>
  <c r="D189" i="10" s="1"/>
  <c r="C24" i="9"/>
  <c r="D190" i="10" s="1" a="1"/>
  <c r="D190" i="10" s="1"/>
  <c r="D24" i="9"/>
  <c r="D191" i="10" s="1" a="1"/>
  <c r="D191" i="10" s="1"/>
  <c r="E24" i="9"/>
  <c r="D192" i="10" s="1" a="1"/>
  <c r="D192" i="10" s="1"/>
  <c r="F24" i="9"/>
  <c r="D193" i="10" s="1" a="1"/>
  <c r="D193" i="10" s="1"/>
  <c r="G24" i="9"/>
  <c r="D194" i="10" s="1" a="1"/>
  <c r="D194" i="10" s="1"/>
  <c r="H24" i="9"/>
  <c r="D195" i="10" s="1" a="1"/>
  <c r="D195" i="10" s="1"/>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D219" i="10" s="1" a="1"/>
  <c r="D219" i="10" s="1"/>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D227" i="10" s="1" a="1"/>
  <c r="D227" i="10" s="1"/>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D235" i="10" s="1" a="1"/>
  <c r="D235" i="10" s="1"/>
  <c r="G30" i="9"/>
  <c r="D236" i="10" s="1" a="1"/>
  <c r="D236" i="10" s="1"/>
  <c r="H30" i="9"/>
  <c r="D237" i="10" s="1" a="1"/>
  <c r="D237" i="10" s="1"/>
  <c r="E2" i="9"/>
  <c r="D38" i="10" s="1" a="1"/>
  <c r="D38" i="10" s="1"/>
  <c r="D2" i="9"/>
  <c r="D37" i="10" s="1" a="1"/>
  <c r="D37" i="10" s="1"/>
  <c r="C206" i="106" l="1"/>
  <c r="B206" i="106"/>
  <c r="C205" i="106"/>
  <c r="B205" i="106"/>
  <c r="C204" i="106"/>
  <c r="B204" i="106"/>
  <c r="C203" i="106"/>
  <c r="B203" i="106"/>
  <c r="C202" i="106"/>
  <c r="B202" i="106"/>
  <c r="C201" i="106"/>
  <c r="B201" i="106"/>
  <c r="C200" i="106"/>
  <c r="B200" i="106"/>
  <c r="C199" i="106"/>
  <c r="B199" i="106"/>
  <c r="C198" i="106"/>
  <c r="B198" i="106"/>
  <c r="C197" i="106"/>
  <c r="B197" i="106"/>
  <c r="C196" i="106"/>
  <c r="B196" i="106"/>
  <c r="C195" i="106"/>
  <c r="B195" i="106"/>
  <c r="C194" i="106"/>
  <c r="B194" i="106"/>
  <c r="C193" i="106"/>
  <c r="B193" i="106"/>
  <c r="C192" i="106"/>
  <c r="B192" i="106"/>
  <c r="C191" i="106"/>
  <c r="B191" i="106"/>
  <c r="C190" i="106"/>
  <c r="B190" i="106"/>
  <c r="C189" i="106"/>
  <c r="B189" i="106"/>
  <c r="C188" i="106"/>
  <c r="B188" i="106"/>
  <c r="C187" i="106"/>
  <c r="B187" i="106"/>
  <c r="C186" i="106"/>
  <c r="B186" i="106"/>
  <c r="C185" i="106"/>
  <c r="B185" i="106"/>
  <c r="C184" i="106"/>
  <c r="B184" i="106"/>
  <c r="C183" i="106"/>
  <c r="B183" i="106"/>
  <c r="C182" i="106"/>
  <c r="B182" i="106"/>
  <c r="C181" i="106"/>
  <c r="B181" i="106"/>
  <c r="C180" i="106"/>
  <c r="B180" i="106"/>
  <c r="C179" i="106"/>
  <c r="B179" i="106"/>
  <c r="C178" i="106"/>
  <c r="B178" i="106"/>
  <c r="C177" i="106"/>
  <c r="B177" i="106"/>
  <c r="C176" i="106"/>
  <c r="B176" i="106"/>
  <c r="C175" i="106"/>
  <c r="B175" i="106"/>
  <c r="C174" i="106"/>
  <c r="B174" i="106"/>
  <c r="C173" i="106"/>
  <c r="B173" i="106"/>
  <c r="C172" i="106"/>
  <c r="B172" i="106"/>
  <c r="C171" i="106"/>
  <c r="B171" i="106"/>
  <c r="C170" i="106"/>
  <c r="B170" i="106"/>
  <c r="C169" i="106"/>
  <c r="B169" i="106"/>
  <c r="C168" i="106"/>
  <c r="B168" i="106"/>
  <c r="C167" i="106"/>
  <c r="B167" i="106"/>
  <c r="C166" i="106"/>
  <c r="B166" i="106"/>
  <c r="C165" i="106"/>
  <c r="B165" i="106"/>
  <c r="C164" i="106"/>
  <c r="B164" i="106"/>
  <c r="C163" i="106"/>
  <c r="B163" i="106"/>
  <c r="C162" i="106"/>
  <c r="B162" i="106"/>
  <c r="C161" i="106"/>
  <c r="B161" i="106"/>
  <c r="C160" i="106"/>
  <c r="B160" i="106"/>
  <c r="C159" i="106"/>
  <c r="B159" i="106"/>
  <c r="C158" i="106"/>
  <c r="B158" i="106"/>
  <c r="C157" i="106"/>
  <c r="B157" i="106"/>
  <c r="C156" i="106"/>
  <c r="B156" i="106"/>
  <c r="C155" i="106"/>
  <c r="B155" i="106"/>
  <c r="C154" i="106"/>
  <c r="B154" i="106"/>
  <c r="C153" i="106"/>
  <c r="B153" i="106"/>
  <c r="C152" i="106"/>
  <c r="B152" i="106"/>
  <c r="C151" i="106"/>
  <c r="B151" i="106"/>
  <c r="C150" i="106"/>
  <c r="B150" i="106"/>
  <c r="C149" i="106"/>
  <c r="B149" i="106"/>
  <c r="C148" i="106"/>
  <c r="B148" i="106"/>
  <c r="C147" i="106"/>
  <c r="B147" i="106"/>
  <c r="C146" i="106"/>
  <c r="B146" i="106"/>
  <c r="C145" i="106"/>
  <c r="B145" i="106"/>
  <c r="C144" i="106"/>
  <c r="B144" i="106"/>
  <c r="C143" i="106"/>
  <c r="B143" i="106"/>
  <c r="C142" i="106"/>
  <c r="B142" i="106"/>
  <c r="C141" i="106"/>
  <c r="B141" i="106"/>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C124" i="106"/>
  <c r="B124" i="106"/>
  <c r="C123" i="106"/>
  <c r="B123" i="106"/>
  <c r="C122" i="106"/>
  <c r="B122" i="106"/>
  <c r="C121" i="106"/>
  <c r="B121" i="106"/>
  <c r="C120" i="106"/>
  <c r="B120" i="106"/>
  <c r="C119" i="106"/>
  <c r="B119" i="106"/>
  <c r="C118" i="106"/>
  <c r="B118" i="106"/>
  <c r="C117" i="106"/>
  <c r="B117" i="106"/>
  <c r="C116" i="106"/>
  <c r="B116" i="106"/>
  <c r="C115" i="106"/>
  <c r="B115" i="106"/>
  <c r="C114" i="106"/>
  <c r="B114" i="106"/>
  <c r="C113" i="106"/>
  <c r="B113" i="106"/>
  <c r="C112" i="106"/>
  <c r="B112" i="106"/>
  <c r="C111" i="106"/>
  <c r="B111" i="106"/>
  <c r="C110" i="106"/>
  <c r="B110" i="106"/>
  <c r="C109" i="106"/>
  <c r="B109" i="106"/>
  <c r="C108" i="106"/>
  <c r="B108" i="106"/>
  <c r="C107" i="106"/>
  <c r="B107" i="106"/>
  <c r="C106" i="106"/>
  <c r="B106" i="106"/>
  <c r="C105" i="106"/>
  <c r="B105" i="106"/>
  <c r="C104" i="106"/>
  <c r="B104" i="106"/>
  <c r="C103" i="106"/>
  <c r="B103" i="106"/>
  <c r="C102" i="106"/>
  <c r="B102" i="106"/>
  <c r="C101" i="106"/>
  <c r="B101" i="106"/>
  <c r="C100" i="106"/>
  <c r="B100" i="106"/>
  <c r="C99" i="106"/>
  <c r="B99" i="106"/>
  <c r="C98" i="106"/>
  <c r="B98" i="106"/>
  <c r="C97" i="106"/>
  <c r="B97" i="106"/>
  <c r="C96" i="106"/>
  <c r="B96" i="106"/>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C10" i="106"/>
  <c r="B10" i="106"/>
  <c r="C9" i="106"/>
  <c r="B9" i="106"/>
  <c r="C8" i="106"/>
  <c r="B8" i="106"/>
  <c r="C7" i="106"/>
  <c r="B7" i="106"/>
  <c r="C6" i="106"/>
  <c r="B6" i="106"/>
  <c r="C5" i="106"/>
  <c r="B5" i="106"/>
  <c r="C4" i="106"/>
  <c r="B4" i="106"/>
  <c r="C3" i="106"/>
  <c r="B3" i="106"/>
  <c r="C114" i="105"/>
  <c r="B114" i="105"/>
  <c r="C113" i="105"/>
  <c r="B113" i="105"/>
  <c r="C112" i="105"/>
  <c r="B112" i="105"/>
  <c r="C111" i="105"/>
  <c r="B111" i="105"/>
  <c r="C110" i="105"/>
  <c r="B110" i="105"/>
  <c r="C109" i="105"/>
  <c r="B109" i="105"/>
  <c r="C108" i="105"/>
  <c r="B108" i="105"/>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K59" i="105"/>
  <c r="H59" i="105"/>
  <c r="J59" i="105" s="1"/>
  <c r="B59" i="105"/>
  <c r="K58" i="105"/>
  <c r="H58" i="105"/>
  <c r="J58" i="105" s="1"/>
  <c r="B58" i="105"/>
  <c r="K57" i="105"/>
  <c r="H57" i="105"/>
  <c r="J57" i="105" s="1"/>
  <c r="B57" i="105"/>
  <c r="K56" i="105"/>
  <c r="H56" i="105"/>
  <c r="J56" i="105" s="1"/>
  <c r="B56" i="105"/>
  <c r="K55" i="105"/>
  <c r="H55" i="105"/>
  <c r="J55" i="105" s="1"/>
  <c r="B55" i="105"/>
  <c r="K54" i="105"/>
  <c r="H54" i="105"/>
  <c r="J54" i="105" s="1"/>
  <c r="K53" i="105"/>
  <c r="H53" i="105"/>
  <c r="J53" i="105" s="1"/>
  <c r="K52" i="105"/>
  <c r="H52" i="105"/>
  <c r="J52" i="105" s="1"/>
  <c r="K51" i="105"/>
  <c r="H51" i="105"/>
  <c r="J51" i="105" s="1"/>
  <c r="N50" i="105"/>
  <c r="K50" i="105"/>
  <c r="H50" i="105"/>
  <c r="J50" i="105" s="1"/>
  <c r="N49" i="105"/>
  <c r="K49" i="105"/>
  <c r="H49" i="105"/>
  <c r="J49" i="105" s="1"/>
  <c r="N48" i="105"/>
  <c r="N47" i="105"/>
  <c r="N46" i="105"/>
  <c r="N45" i="105"/>
  <c r="N44" i="105"/>
  <c r="N43" i="105"/>
  <c r="N42" i="105"/>
  <c r="N41" i="105"/>
  <c r="N40" i="105"/>
  <c r="N39" i="105"/>
  <c r="N37" i="105"/>
  <c r="N35" i="105"/>
  <c r="N34" i="105"/>
  <c r="N33" i="105"/>
  <c r="N32" i="105"/>
  <c r="N31" i="105"/>
  <c r="N30" i="105"/>
  <c r="N29" i="105"/>
  <c r="N28" i="105"/>
  <c r="N26" i="105"/>
  <c r="N25" i="105"/>
  <c r="N24" i="105"/>
  <c r="N23" i="105"/>
  <c r="N22" i="105"/>
  <c r="N21" i="105"/>
  <c r="N19" i="105"/>
  <c r="N18" i="105"/>
  <c r="N17" i="105"/>
  <c r="N15" i="105"/>
  <c r="N14" i="105"/>
  <c r="N12" i="105"/>
  <c r="N10" i="105"/>
  <c r="N9" i="105"/>
  <c r="K9" i="105"/>
  <c r="H9" i="105"/>
  <c r="J9" i="105" s="1"/>
  <c r="K7" i="105"/>
  <c r="H7" i="105"/>
  <c r="I7" i="105" s="1"/>
  <c r="N6" i="105"/>
  <c r="N4" i="105"/>
  <c r="C4" i="105"/>
  <c r="N3" i="105"/>
  <c r="C3" i="105"/>
  <c r="N2" i="105"/>
  <c r="C2" i="105"/>
  <c r="N5" i="105" s="1"/>
  <c r="C1" i="105"/>
  <c r="I56" i="105" l="1"/>
  <c r="I51" i="105"/>
  <c r="I58" i="105"/>
  <c r="I50" i="105"/>
  <c r="I52" i="105"/>
  <c r="I54" i="105"/>
  <c r="I57" i="105"/>
  <c r="I49" i="105"/>
  <c r="I53" i="105"/>
  <c r="J7" i="105"/>
  <c r="D3" i="106" a="1"/>
  <c r="D3" i="106" s="1"/>
  <c r="D3" i="109" s="1"/>
  <c r="I59" i="105"/>
  <c r="I9" i="105"/>
  <c r="E3" i="106" s="1"/>
  <c r="I55" i="105"/>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J45" i="77" l="1"/>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26" i="97" l="1"/>
  <c r="D60" i="98" s="1" a="1"/>
  <c r="D60" i="98" s="1"/>
  <c r="D60" i="101" s="1"/>
  <c r="I11" i="97"/>
  <c r="D15" i="98" s="1" a="1"/>
  <c r="D15" i="98" s="1"/>
  <c r="D15" i="101" s="1"/>
  <c r="J36" i="97"/>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14" i="14" s="1" a="1"/>
  <c r="D214" i="14" s="1"/>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D143" i="14" s="1" a="1"/>
  <c r="D143" i="14" s="1"/>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D164" i="14" s="1" a="1"/>
  <c r="D164" i="14" s="1"/>
  <c r="C20" i="13"/>
  <c r="D165" i="14" s="1" a="1"/>
  <c r="D165" i="14" s="1"/>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193" i="14" s="1" a="1"/>
  <c r="D193" i="14" s="1"/>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D107" i="14" s="1" a="1"/>
  <c r="D107" i="14" s="1"/>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D124" i="14" s="1" a="1"/>
  <c r="D124" i="14" s="1"/>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I26" i="92"/>
  <c r="D61" i="93" s="1" a="1"/>
  <c r="D61" i="93" s="1"/>
  <c r="D61" i="104" s="1"/>
  <c r="H26" i="92"/>
  <c r="D60" i="93" s="1"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tc={F7C45A6E-6E5C-49D2-9C82-B8AD5CB17F12}</author>
  </authors>
  <commentList>
    <comment ref="D17" authorId="0" shapeId="0" xr:uid="{F7C45A6E-6E5C-49D2-9C82-B8AD5CB17F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<sst xmlns="http://schemas.openxmlformats.org/spreadsheetml/2006/main" count="2756" uniqueCount="1166">
  <si>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</si>
  <si>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</si>
  <si>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</si>
  <si>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</si>
  <si>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</si>
  <si>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</si>
  <si>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</si>
  <si>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</si>
  <si>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</si>
  <si>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</si>
  <si>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</si>
  <si>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</si>
  <si>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</si>
  <si>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</si>
  <si>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</si>
  <si>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</si>
  <si>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</si>
  <si>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</si>
  <si>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</si>
  <si>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</si>
  <si>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</si>
  <si>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</si>
  <si>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</si>
  <si>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</si>
  <si>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</si>
  <si>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</si>
  <si>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</si>
  <si>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</si>
  <si>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</si>
  <si>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</si>
  <si>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</si>
  <si>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</si>
  <si>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</si>
  <si>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</si>
  <si>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</si>
  <si>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</si>
  <si>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</si>
  <si>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</si>
  <si>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</si>
  <si>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</si>
  <si>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</si>
  <si>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</si>
  <si>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</si>
  <si>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</si>
  <si>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</si>
  <si>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</si>
  <si>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</si>
  <si>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</si>
  <si>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</si>
  <si>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</si>
  <si>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</si>
  <si>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</si>
  <si>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</si>
  <si>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</si>
  <si>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</si>
  <si>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</si>
  <si>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</si>
  <si>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</si>
  <si>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</si>
  <si>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</si>
  <si>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</si>
  <si>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</si>
  <si>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</si>
  <si>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</si>
  <si>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</si>
  <si>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</si>
  <si>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</si>
  <si>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</si>
  <si>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</si>
  <si>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</si>
  <si>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</si>
  <si>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</si>
  <si>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</si>
  <si>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</si>
  <si>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</si>
  <si>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</si>
  <si>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</si>
  <si>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</si>
  <si>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</si>
  <si>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</si>
  <si>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</si>
  <si>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</si>
  <si>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</si>
  <si>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</si>
  <si>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</si>
  <si>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</si>
  <si>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</si>
  <si>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</si>
  <si>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</si>
  <si>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</si>
  <si>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</si>
  <si>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</si>
  <si>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</si>
  <si>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</si>
  <si>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</si>
  <si>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</si>
  <si>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</si>
  <si>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</si>
  <si>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</si>
  <si>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</si>
  <si>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</si>
  <si>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</si>
  <si>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</si>
  <si>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</si>
  <si>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</si>
  <si>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</si>
  <si>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</si>
  <si>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</si>
  <si>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</si>
  <si>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</si>
  <si>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</si>
  <si>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</si>
  <si>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</si>
  <si>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</si>
  <si>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</si>
  <si>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</si>
  <si>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</si>
  <si>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</si>
  <si>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</si>
  <si>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</si>
  <si>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</si>
  <si>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</si>
  <si>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</si>
  <si>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</si>
  <si>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</si>
  <si>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</si>
  <si>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</si>
  <si>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</si>
  <si>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</si>
  <si>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</si>
  <si>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</si>
  <si>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</si>
  <si>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</si>
  <si>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</si>
  <si>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</si>
  <si>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</si>
  <si>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</si>
  <si>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</si>
  <si>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</si>
  <si>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</si>
  <si>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</si>
  <si>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</si>
  <si>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</si>
  <si>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</si>
  <si>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</si>
  <si>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</si>
  <si>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</si>
  <si>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</si>
  <si>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</si>
  <si>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</si>
  <si>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</si>
  <si>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</si>
  <si>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</si>
  <si>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</si>
  <si>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</si>
  <si>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</si>
  <si>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</si>
  <si>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</si>
  <si>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</si>
  <si>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</si>
  <si>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</si>
  <si>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</si>
  <si>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</si>
  <si>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</si>
  <si>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</si>
  <si>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</si>
  <si>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</si>
  <si>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</si>
  <si>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</si>
  <si>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</si>
  <si>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</si>
  <si>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</si>
  <si>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</si>
  <si>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</si>
  <si>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</si>
  <si>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</si>
  <si>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</si>
  <si>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</si>
  <si>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</si>
  <si>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</si>
  <si>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</si>
  <si>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</si>
  <si>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</si>
  <si>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</si>
  <si>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</si>
  <si>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</si>
  <si>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</si>
  <si>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</si>
  <si>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</si>
  <si>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</si>
  <si>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</si>
  <si>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</si>
  <si>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</si>
  <si>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</si>
  <si>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</si>
  <si>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</si>
  <si>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</si>
  <si>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</si>
  <si>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</si>
  <si>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</si>
  <si>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</si>
  <si>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</si>
  <si>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</si>
  <si>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</si>
  <si>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</si>
  <si>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</si>
  <si>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</si>
  <si>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</si>
  <si>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</si>
  <si>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</si>
  <si>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</si>
  <si>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</si>
  <si>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</si>
  <si>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</si>
  <si>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</si>
  <si>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</si>
  <si>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</si>
  <si>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</si>
  <si>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</si>
  <si>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</si>
  <si>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</si>
  <si>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</si>
  <si>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</si>
  <si>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</si>
  <si>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</si>
  <si>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</si>
  <si>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</si>
  <si>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</si>
  <si>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</si>
  <si>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</si>
  <si>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</si>
  <si>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</si>
  <si>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</si>
  <si>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</si>
  <si>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</si>
  <si>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</si>
  <si>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</si>
  <si>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</si>
  <si>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</si>
  <si>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</si>
  <si>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</si>
  <si>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</si>
  <si>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</si>
  <si>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</si>
  <si>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</si>
  <si>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</si>
  <si>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</si>
  <si>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</si>
  <si>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</si>
  <si>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</si>
  <si>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</si>
  <si>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</si>
  <si>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</si>
  <si>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</si>
  <si>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</si>
  <si>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</si>
  <si>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</si>
  <si>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</si>
  <si>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</si>
  <si>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</si>
  <si>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</si>
  <si>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</si>
  <si>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</si>
  <si>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</si>
  <si>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</si>
  <si>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</si>
  <si>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</si>
  <si>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</si>
  <si>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</si>
  <si>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</si>
  <si>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</si>
  <si>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</si>
  <si>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</si>
  <si>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</si>
  <si>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</si>
  <si>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</si>
  <si>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</si>
  <si>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</si>
  <si>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</si>
  <si>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</si>
  <si>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</si>
  <si>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</si>
  <si>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</si>
  <si>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</si>
  <si>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</si>
  <si>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</si>
  <si>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</si>
  <si>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</si>
  <si>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</si>
  <si>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</si>
  <si>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</si>
  <si>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</si>
  <si>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</si>
  <si>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</si>
  <si>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</si>
  <si>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</si>
  <si>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</si>
  <si>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</si>
  <si>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</si>
  <si>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</si>
  <si>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</si>
  <si>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</si>
  <si>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</si>
  <si>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</si>
  <si>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</si>
  <si>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</si>
  <si>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</si>
  <si>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</si>
  <si>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</si>
  <si>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</si>
  <si>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</si>
  <si>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</si>
  <si>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</si>
  <si>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</si>
  <si>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</si>
  <si>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</si>
  <si>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</si>
  <si>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</si>
  <si>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</si>
  <si>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</si>
  <si>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</si>
  <si>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</si>
  <si>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</si>
  <si>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</si>
  <si>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</si>
  <si>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</si>
  <si>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</si>
  <si>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</si>
  <si>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</si>
  <si>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</si>
  <si>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</si>
  <si>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</si>
  <si>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</si>
  <si>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</si>
  <si>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</si>
  <si>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</si>
  <si>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</si>
  <si>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</si>
  <si>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</si>
  <si>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</si>
  <si>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</si>
  <si>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</si>
  <si>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</si>
  <si>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</si>
  <si>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</si>
  <si>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</si>
  <si>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</si>
  <si>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</si>
  <si>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</si>
  <si>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</si>
  <si>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</si>
  <si>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</si>
  <si>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</si>
  <si>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</si>
  <si>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</si>
  <si>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</si>
  <si>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</si>
  <si>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</si>
  <si>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</si>
  <si>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</si>
  <si>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</si>
  <si>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</si>
  <si>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</si>
  <si>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</si>
  <si>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</si>
  <si>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</si>
  <si>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</si>
  <si>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</si>
  <si>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</si>
  <si>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</si>
  <si>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</si>
  <si>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</si>
  <si>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</si>
  <si>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</si>
  <si>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</si>
  <si>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</si>
  <si>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</si>
  <si>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</si>
  <si>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</si>
  <si>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</si>
  <si>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</si>
  <si>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</si>
  <si>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</si>
  <si>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</si>
  <si>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</si>
  <si>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</si>
  <si>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</si>
  <si>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</si>
  <si>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</si>
  <si>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</si>
  <si>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</si>
  <si>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</si>
  <si>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</si>
  <si>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</si>
  <si>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</si>
  <si>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</si>
  <si>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</si>
  <si>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</si>
  <si>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</si>
  <si>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</si>
  <si>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</si>
  <si>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</si>
  <si>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</si>
  <si>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</si>
  <si>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</si>
  <si>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</si>
  <si>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</si>
  <si>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</si>
  <si>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</si>
  <si>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</si>
  <si>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</si>
  <si>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</si>
  <si>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</si>
  <si>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</si>
  <si>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</si>
  <si>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</si>
  <si>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</si>
  <si>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</si>
  <si>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</si>
  <si>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</si>
  <si>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</si>
  <si>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</si>
  <si>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</si>
  <si>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</si>
  <si>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</si>
  <si>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</si>
  <si>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</si>
  <si>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</si>
  <si>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</si>
  <si>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</si>
  <si>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</si>
  <si>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</si>
  <si>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</si>
  <si>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</si>
  <si>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</si>
  <si>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</si>
  <si>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</si>
  <si>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</si>
  <si>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</si>
  <si>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</si>
  <si>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</si>
  <si>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</si>
  <si>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</si>
  <si>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</si>
  <si>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</si>
  <si>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</si>
  <si>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</si>
  <si>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</si>
  <si>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</si>
  <si>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</si>
  <si>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</si>
  <si>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</si>
  <si>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</si>
  <si>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</si>
  <si>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</si>
  <si>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</si>
  <si>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</si>
  <si>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</si>
  <si>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</si>
  <si>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</si>
  <si>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</si>
  <si>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</si>
  <si>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</si>
  <si>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</si>
  <si>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</si>
  <si>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</si>
  <si>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</si>
  <si>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</si>
  <si>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</si>
  <si>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</si>
  <si>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</si>
  <si>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</si>
  <si>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</si>
  <si>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</si>
  <si>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</si>
  <si>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</si>
  <si>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</si>
  <si>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</si>
  <si>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</si>
  <si>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</si>
  <si>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</si>
  <si>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</si>
  <si>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</si>
  <si>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</si>
  <si>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</si>
  <si>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</si>
  <si>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</si>
  <si>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</si>
  <si>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</si>
  <si>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</si>
  <si>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</si>
  <si>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</si>
  <si>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</si>
  <si>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</si>
  <si>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</si>
  <si>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</si>
  <si>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</si>
  <si>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</si>
  <si>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</si>
  <si>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</si>
  <si>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</si>
  <si>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</si>
  <si>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</si>
  <si>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</si>
  <si>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</si>
  <si>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</si>
  <si>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</si>
  <si>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</si>
  <si>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</si>
  <si>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</si>
  <si>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</si>
  <si>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</si>
  <si>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</si>
  <si>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</si>
  <si>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</si>
  <si>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</si>
  <si>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</si>
  <si>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</si>
  <si>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</si>
  <si>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</si>
  <si>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</si>
  <si>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</si>
  <si>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</si>
  <si>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</si>
  <si>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</si>
  <si>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</si>
  <si>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</si>
  <si>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</si>
  <si>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</si>
  <si>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</si>
  <si>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</si>
  <si>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</si>
  <si>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</si>
  <si>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</si>
  <si>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</si>
  <si>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</si>
  <si>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</si>
  <si>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</si>
  <si>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</si>
  <si>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</si>
  <si>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</si>
  <si>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</si>
  <si>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</si>
  <si>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</si>
  <si>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</si>
  <si>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</si>
  <si>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</si>
  <si>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</si>
  <si>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</si>
  <si>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</si>
  <si>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</si>
  <si>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</si>
  <si>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</si>
  <si>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</si>
  <si>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</si>
  <si>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</si>
  <si>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</si>
  <si>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</si>
  <si>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</si>
  <si>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</si>
  <si>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</si>
  <si>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</si>
  <si>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</si>
  <si>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</si>
  <si>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</si>
  <si>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</si>
  <si>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</si>
  <si>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</si>
  <si>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</si>
  <si>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</si>
  <si>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</si>
  <si>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</si>
  <si>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</si>
  <si>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</si>
  <si>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</si>
  <si>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</si>
  <si>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</si>
  <si>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</si>
  <si>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</si>
  <si>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</si>
  <si>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</si>
  <si>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</si>
  <si>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</si>
  <si>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</si>
  <si>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</si>
  <si>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</si>
  <si>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</si>
  <si>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</si>
  <si>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</si>
  <si>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</si>
  <si>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</si>
  <si>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</si>
  <si>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</si>
  <si>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</si>
  <si>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</si>
  <si>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</si>
  <si>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</si>
  <si>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</si>
  <si>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</si>
  <si>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</si>
  <si>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</si>
  <si>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</si>
  <si>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</si>
  <si>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</si>
  <si>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</si>
  <si>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</si>
  <si>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</si>
  <si>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</si>
  <si>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</si>
  <si>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</si>
  <si>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</si>
  <si>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</si>
  <si>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</si>
  <si>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</si>
  <si>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</si>
  <si>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</si>
  <si>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</si>
  <si>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</si>
  <si>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</si>
  <si>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</si>
  <si>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</si>
  <si>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</si>
  <si>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</si>
  <si>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</si>
  <si>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</si>
  <si>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</si>
  <si>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</si>
  <si>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</si>
  <si>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</si>
  <si>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</si>
  <si>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</si>
  <si>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</si>
  <si>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</si>
  <si>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</si>
  <si>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</si>
  <si>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</si>
  <si>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</si>
  <si>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</si>
  <si>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</si>
  <si>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</si>
  <si>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</si>
  <si>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</si>
  <si>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</si>
  <si>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</si>
  <si>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</si>
  <si>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</si>
  <si>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</si>
  <si>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</si>
  <si>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</si>
  <si>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</si>
  <si>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</si>
  <si>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</si>
  <si>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</si>
  <si>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</si>
  <si>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</si>
  <si>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</si>
  <si>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</si>
  <si>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</si>
  <si>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</si>
  <si>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</si>
  <si>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</si>
  <si>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</si>
  <si>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</si>
  <si>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</si>
  <si>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</si>
  <si>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</si>
  <si>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</si>
  <si>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</si>
  <si>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</si>
  <si>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</si>
  <si>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</si>
  <si>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</si>
  <si>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</si>
  <si>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</si>
  <si>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</si>
  <si>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</si>
  <si>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</si>
  <si>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</si>
  <si>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</si>
  <si>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</si>
  <si>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</si>
  <si>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</si>
  <si>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</si>
  <si>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</si>
  <si>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</si>
  <si>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</si>
  <si>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</si>
  <si>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</si>
  <si>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</si>
  <si>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</si>
  <si>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</si>
  <si>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</si>
  <si>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</si>
  <si>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</si>
  <si>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</si>
  <si>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</si>
  <si>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</si>
  <si>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</si>
  <si>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</si>
  <si>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</si>
  <si>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</si>
  <si>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</si>
  <si>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</si>
  <si>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</si>
  <si>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</si>
  <si>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</si>
  <si>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</si>
  <si>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</si>
  <si>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</si>
  <si>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</si>
  <si>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</si>
  <si>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</si>
  <si>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</si>
  <si>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</si>
  <si>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</si>
  <si>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</si>
  <si>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</si>
  <si>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</si>
  <si>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</si>
  <si>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</si>
  <si>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</si>
  <si>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</si>
  <si>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</si>
  <si>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</si>
  <si>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</si>
  <si>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</si>
  <si>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</si>
  <si>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</si>
  <si>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</si>
  <si>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</si>
  <si>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</si>
  <si>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</si>
  <si>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</si>
  <si>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</si>
  <si>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</si>
  <si>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</si>
  <si>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</si>
  <si>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</si>
  <si>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</si>
  <si>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</si>
  <si>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</si>
  <si>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</si>
  <si>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</si>
  <si>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</si>
  <si>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</si>
  <si>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</si>
  <si>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</si>
  <si>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</si>
  <si>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</si>
  <si>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</si>
  <si>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</si>
  <si>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</si>
  <si>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</si>
  <si>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</si>
  <si>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</si>
  <si>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</si>
  <si>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</si>
  <si>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</si>
  <si>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</si>
  <si>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</si>
  <si>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</si>
  <si>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</si>
  <si>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</si>
  <si>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</si>
  <si>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</si>
  <si>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</si>
  <si>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</si>
  <si>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</si>
  <si>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</si>
  <si>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</si>
  <si>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</si>
  <si>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</si>
  <si>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</si>
  <si>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</si>
  <si>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</si>
  <si>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</si>
  <si>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</si>
  <si>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</si>
  <si>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</si>
  <si>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</si>
  <si>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</si>
  <si>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</si>
  <si>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</si>
  <si>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</si>
  <si>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</si>
  <si>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</si>
  <si>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</si>
  <si>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</si>
  <si>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</si>
  <si>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</si>
  <si>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</si>
  <si>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</si>
  <si>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</si>
  <si>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</si>
  <si>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</si>
  <si>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</si>
  <si>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</si>
  <si>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</si>
  <si>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</si>
  <si>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</si>
  <si>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</si>
  <si>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</si>
  <si>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</si>
  <si>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</si>
  <si>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</si>
  <si>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</si>
  <si>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</si>
  <si>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</si>
  <si>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</si>
  <si>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</si>
  <si>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</si>
  <si>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</si>
  <si>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</si>
  <si>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</si>
  <si>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</si>
  <si>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</si>
  <si>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</si>
  <si>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</si>
  <si>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</si>
  <si>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</si>
  <si>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</si>
  <si>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</si>
  <si>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</si>
  <si>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</si>
  <si>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</si>
  <si>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</si>
  <si>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</si>
  <si>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</si>
  <si>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</si>
  <si>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</si>
  <si>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</si>
  <si>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</si>
  <si>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</si>
  <si>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</si>
  <si>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</si>
  <si>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</si>
  <si>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</si>
  <si>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</si>
  <si>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</si>
  <si>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</si>
  <si>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</si>
  <si>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</si>
  <si>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</si>
  <si>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</si>
  <si>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</si>
  <si>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</si>
  <si>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</si>
  <si>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</si>
  <si>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</si>
  <si>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</si>
  <si>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</si>
  <si>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</si>
  <si>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</si>
  <si>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</si>
  <si>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</si>
  <si>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</si>
  <si>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</si>
  <si>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</si>
  <si>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</si>
  <si>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</si>
  <si>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</si>
  <si>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</si>
  <si>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</si>
  <si>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</si>
  <si>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</si>
  <si>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</si>
  <si>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</si>
  <si>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</si>
  <si>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</si>
  <si>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</si>
  <si>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</si>
  <si>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</si>
  <si>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</si>
  <si>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</si>
  <si>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</si>
  <si>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</si>
  <si>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</si>
  <si>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</si>
  <si>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</si>
  <si>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</si>
  <si>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</si>
  <si>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</si>
  <si>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</si>
  <si>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</si>
  <si>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</si>
  <si>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</si>
  <si>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</si>
  <si>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</si>
  <si>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</si>
  <si>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</si>
  <si>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</si>
  <si>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</si>
  <si>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</si>
  <si>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</si>
  <si>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</si>
  <si>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</si>
  <si>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</si>
  <si>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</si>
  <si>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.exists()</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</si>
  <si>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</si>
  <si>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</si>
  <si>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</si>
  <si>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</si>
  <si>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</si>
  <si>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</si>
  <si>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</si>
  <si>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</si>
  <si>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</si>
  <si>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</si>
  <si>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</si>
  <si>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</si>
  <si>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</si>
  <si>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</si>
  <si>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</si>
  <si>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</si>
  <si>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</si>
  <si>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</si>
  <si>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</si>
  <si>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</si>
  <si>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</si>
  <si>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</si>
  <si>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</si>
  <si>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</si>
  <si>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</si>
  <si>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</si>
  <si>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</si>
  <si>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</si>
  <si>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</si>
  <si>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</si>
  <si>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</si>
  <si>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</si>
  <si>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</si>
  <si>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</si>
  <si>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</si>
  <si>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</si>
  <si>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</si>
  <si>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</si>
  <si>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</si>
  <si>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</si>
  <si>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</si>
  <si>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</si>
  <si>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</si>
  <si>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</si>
  <si>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</si>
  <si>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</si>
  <si>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</si>
  <si>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</si>
  <si>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</si>
  <si>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</si>
  <si>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</si>
  <si>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</si>
  <si>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</si>
  <si>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</si>
  <si>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</si>
  <si>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</si>
  <si>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</si>
  <si>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</si>
  <si>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</si>
  <si>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</si>
  <si>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</si>
  <si>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</si>
  <si>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</si>
  <si>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</si>
  <si>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</si>
  <si>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</si>
  <si>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</si>
  <si>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</si>
  <si>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</si>
  <si>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</si>
  <si>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</si>
  <si>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</si>
  <si>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</si>
  <si>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</si>
  <si>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</si>
  <si>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</si>
  <si>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</si>
  <si>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</si>
  <si>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</si>
  <si>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</si>
  <si>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</si>
  <si>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</si>
  <si>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</si>
  <si>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</si>
  <si>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</si>
  <si>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</si>
  <si>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</si>
  <si>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</si>
  <si>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</si>
  <si>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</si>
  <si>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</si>
  <si>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</si>
  <si>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</si>
  <si>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</si>
  <si>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</si>
  <si>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</si>
  <si>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</si>
  <si>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</si>
  <si>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</si>
  <si>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</si>
  <si>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</si>
  <si>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</si>
  <si>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</si>
  <si>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</si>
  <si>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</si>
  <si>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</si>
  <si>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</si>
  <si>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</si>
  <si>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</si>
  <si>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</si>
  <si>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</si>
  <si>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</si>
  <si>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</si>
  <si>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</si>
  <si>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</si>
  <si>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</si>
  <si>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</si>
  <si>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</si>
  <si>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</si>
  <si>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</si>
  <si>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</si>
  <si>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</si>
  <si>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</si>
  <si>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</si>
  <si>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</si>
  <si>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</si>
  <si>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</si>
  <si>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</si>
  <si>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</si>
  <si>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</si>
  <si>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</si>
  <si>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</si>
  <si>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</si>
  <si>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</si>
  <si>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</si>
  <si>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</si>
  <si>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</si>
  <si>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</si>
  <si>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</si>
  <si>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</si>
  <si>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</si>
  <si>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</si>
  <si>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</si>
  <si>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</si>
  <si>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</si>
  <si>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</si>
  <si>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</si>
  <si>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</si>
  <si>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</si>
  <si>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</si>
  <si>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</si>
  <si>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</si>
  <si>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</si>
  <si>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</si>
  <si>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</si>
  <si>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</si>
  <si>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</si>
  <si>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</si>
  <si>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</si>
  <si>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</si>
  <si>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</si>
  <si>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</si>
  <si>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</si>
  <si>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</si>
  <si>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</si>
  <si>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</si>
  <si>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</si>
  <si>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</si>
  <si>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</si>
  <si>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</si>
  <si>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</si>
  <si>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</si>
  <si>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</si>
  <si>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</si>
  <si>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</si>
  <si>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</si>
  <si>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</si>
  <si>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</si>
  <si>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</si>
  <si>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</si>
  <si>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</si>
  <si>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</si>
  <si>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</si>
  <si>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</si>
  <si>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</si>
  <si>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</si>
  <si>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</si>
  <si>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fertilityPreservation</t>
  </si>
  <si>
    <t>fertilityPreservation.storage</t>
  </si>
  <si>
    <t>If distant or comobined, specify site  (text)</t>
  </si>
  <si>
    <t>severeToxicity.date</t>
  </si>
  <si>
    <t>severeToxicity.description</t>
  </si>
  <si>
    <t>severeToxicity.isResolved</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</si>
  <si>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</si>
  <si>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</si>
  <si>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</si>
  <si>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</si>
  <si>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</si>
  <si>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</si>
  <si>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</si>
  <si>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</si>
  <si>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</si>
  <si>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</si>
  <si>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</si>
  <si>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</si>
  <si>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</si>
  <si>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</si>
  <si>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</si>
  <si>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</si>
  <si>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</si>
  <si>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</si>
  <si>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</si>
  <si>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</si>
  <si>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</si>
  <si>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</si>
  <si>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</si>
  <si>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</si>
  <si>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</si>
  <si>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</si>
  <si>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Progression-Relapse during FLT
Maturity Level: 2 - Ready for Review</t>
  </si>
  <si>
    <t>location.resolve().conformsTo(http://hl7.eu/fhir/ig/pcsp/StructureDefinition/Location-eu-pcsp)</t>
  </si>
  <si>
    <t>Yes/No/UNK</t>
  </si>
  <si>
    <t>fertilityPreservation.description</t>
  </si>
  <si>
    <t>Procedure.reasonReference</t>
  </si>
  <si>
    <t>extension('http://hl7.org/fhir/StructureDefinition/condition-related').valueReference</t>
  </si>
  <si>
    <t>Procedure</t>
  </si>
  <si>
    <t>Condition</t>
  </si>
  <si>
    <t>Condition.conformsTo('http://hl7.eu/fhir/ig/pcsp/StructureDefinition/Condition-toxicity-eu-pcsp')</t>
  </si>
  <si>
    <t>.verificationStatus</t>
  </si>
  <si>
    <t>.onsetDateTime</t>
  </si>
  <si>
    <t>.note</t>
  </si>
  <si>
    <t>.clinicalStatus</t>
  </si>
  <si>
    <t>Procedure.conformsTo('http://hl7.eu/fhir/ig/pcsp/StructureDefinition/Procedure-cvc-otherinfos-eu-pcsp')</t>
  </si>
  <si>
    <t>Procedure.conformsTo('http://hl7.eu/fhir/ig/pcsp/StructureDefinition/Procedure-transfusion-otherinfos-eu-pcsp')</t>
  </si>
  <si>
    <t>extension(''http://hl7.eu/fhir/ig/pcsp/StructureDefinition/procedure-performedTiming').valueTiming.event.value.aggregate(iif($total.empty(), $this, iif($this &gt; $total, $this, $total)))</t>
  </si>
  <si>
    <t>performedDateTime</t>
  </si>
  <si>
    <t>Procedure.conformsTo('http://hl7.eu/fhir/ig/pcsp/StructureDefinition/Procedure-cryopreservation-otherinfos-eu-pcsp')</t>
  </si>
  <si>
    <t>Procedure.conformsTo('http://hl7.eu/fhir/ig/pcsp/StructureDefinition/Procedure-treatment-otherinfos-eu-pcsp')</t>
  </si>
  <si>
    <t>.location</t>
  </si>
  <si>
    <t>DocumentReference.conformsTo('http://hl7.eu/fhir/ig/pcsp/StructureDefinition/DocumentReference-eu-pcsp')</t>
  </si>
  <si>
    <t>Other info and relevant events
Maturity Level: 2 - Ready for Review</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</si>
  <si>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</si>
  <si>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</si>
  <si>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</si>
  <si>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</si>
  <si>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</si>
  <si>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Condition.conformsTo('http://hl7.eu/fhir/ig/pcsp/StructureDefinition/Condition-otherinfos-eu-pcsp').where(code = http://snomed.info/sct#439127006 'Thrombosis')</t>
  </si>
  <si>
    <t>.extension('http://hl7.eu/fhir/ig/pcsp/StructureDefinition/procedure-fltArm').valueString</t>
  </si>
  <si>
    <t>.performedDateTime</t>
  </si>
  <si>
    <t>Source of cells</t>
  </si>
  <si>
    <t>gvhd</t>
  </si>
  <si>
    <t>gvhd.prophylaxis</t>
  </si>
  <si>
    <t>gvhd.acute</t>
  </si>
  <si>
    <t>gvhd.acute.status</t>
  </si>
  <si>
    <t>gvhd.acute.grade</t>
  </si>
  <si>
    <t>gvhd.acute.startDate</t>
  </si>
  <si>
    <t>gvhd.acute.endDate</t>
  </si>
  <si>
    <t>gvhd.chronic</t>
  </si>
  <si>
    <t>gvhd.chronic.status</t>
  </si>
  <si>
    <t>gvhd.chronic.grade</t>
  </si>
  <si>
    <t>gvhd.chronic.startDate</t>
  </si>
  <si>
    <t>gvhd.chronic.endDate</t>
  </si>
  <si>
    <t>gvhd.organAffected</t>
  </si>
  <si>
    <t>.abatementDateTime</t>
  </si>
  <si>
    <t>Procedure.performedDateTime</t>
  </si>
  <si>
    <t>iif(.extension(''http://hl7.eu/fhir/ig/pcsp/StructureDefinition/procedure-performedTiming').valueTiming.repeat.count &gt; 9; true)</t>
  </si>
  <si>
    <t>iif(.extension(''http://hl7.eu/fhir/ig/pcsp/StructureDefinition/procedure-performedTiming').valueTiming.repeat..boundsRange.low &gt; 9; 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</si>
</sst>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7" fillId="17" borderId="1" xfId="0" applyFont="1" applyFill="1" applyBorder="1" applyAlignment="1">
      <alignment horizontal="left" vertical="top" wrapText="1"/>
    </xf>
    <xf numFmtId="0" fontId="13" fillId="18" borderId="3" xfId="0" applyFont="1" applyFill="1" applyBorder="1" applyAlignment="1">
      <alignment horizontal="left" vertical="top" wrapText="1"/>
    </xf>
    <xf numFmtId="0" fontId="13" fillId="18" borderId="1" xfId="0" applyFont="1" applyFill="1" applyBorder="1" applyAlignment="1">
      <alignment horizontal="left" vertical="top" wrapText="1"/>
    </xf>
    <xf numFmtId="0" fontId="17" fillId="18"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0" fillId="6" borderId="1" xfId="0" applyFont="1" applyFill="1" applyBorder="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7" dT="2022-06-21T11:56:25.02" personId="{06D2D05F-EBEA-41C2-92A1-6EF89573BC28}" id="{F7C45A6E-6E5C-49D2-9C82-B8AD5CB17F12}">
    <text>to be checked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41" zoomScale="70" zoomScaleNormal="70" workbookViewId="0">
      <selection activeCell="J49" sqref="J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7" t="s">
        <v>80</v>
      </c>
      <c r="B2" s="61"/>
      <c r="C2" s="62" t="s">
        <v>81</v>
      </c>
      <c r="D2" s="63"/>
      <c r="E2" s="63"/>
      <c r="F2" s="63"/>
      <c r="G2" s="63"/>
      <c r="H2" s="63"/>
      <c r="I2" s="63"/>
      <c r="J2" s="64"/>
      <c r="K2" s="63"/>
    </row>
    <row r="3" spans="1:11" ht="40.5" customHeight="1" x14ac:dyDescent="0.75">
      <c r="A3" s="168"/>
      <c r="B3" s="65"/>
      <c r="C3" s="66" t="s">
        <v>22</v>
      </c>
      <c r="D3" s="67" t="s">
        <v>22</v>
      </c>
      <c r="E3" s="67" t="s">
        <v>82</v>
      </c>
      <c r="F3" s="67"/>
      <c r="G3" s="67" t="s">
        <v>83</v>
      </c>
      <c r="H3" s="67"/>
      <c r="I3" s="67" t="s">
        <v>84</v>
      </c>
      <c r="J3" s="67" t="s">
        <v>85</v>
      </c>
      <c r="K3" s="68" t="s">
        <v>84</v>
      </c>
    </row>
    <row r="4" spans="1:11" ht="40.5" customHeight="1" x14ac:dyDescent="0.75">
      <c r="A4" s="168"/>
      <c r="B4" s="65"/>
      <c r="C4" s="69" t="s">
        <v>53</v>
      </c>
      <c r="D4" s="70" t="s">
        <v>86</v>
      </c>
      <c r="E4" s="70" t="s">
        <v>82</v>
      </c>
      <c r="F4" s="70"/>
      <c r="G4" s="67" t="s">
        <v>87</v>
      </c>
      <c r="H4" s="67"/>
      <c r="I4" s="70" t="s">
        <v>88</v>
      </c>
      <c r="J4" s="67" t="s">
        <v>89</v>
      </c>
      <c r="K4" s="68" t="s">
        <v>90</v>
      </c>
    </row>
    <row r="5" spans="1:11" ht="40.5" customHeight="1" x14ac:dyDescent="0.75">
      <c r="A5" s="168"/>
      <c r="B5" s="65"/>
      <c r="C5" s="69" t="s">
        <v>56</v>
      </c>
      <c r="D5" s="70" t="s">
        <v>91</v>
      </c>
      <c r="E5" s="70" t="s">
        <v>82</v>
      </c>
      <c r="F5" s="70"/>
      <c r="G5" s="67" t="s">
        <v>87</v>
      </c>
      <c r="H5" s="67"/>
      <c r="I5" s="70" t="s">
        <v>92</v>
      </c>
      <c r="J5" s="67" t="s">
        <v>93</v>
      </c>
      <c r="K5" s="68" t="s">
        <v>90</v>
      </c>
    </row>
    <row r="6" spans="1:11" ht="40.5" customHeight="1" x14ac:dyDescent="0.75">
      <c r="A6" s="168"/>
      <c r="B6" s="65"/>
      <c r="C6" s="69" t="s">
        <v>54</v>
      </c>
      <c r="D6" s="70" t="s">
        <v>94</v>
      </c>
      <c r="E6" s="70" t="s">
        <v>82</v>
      </c>
      <c r="F6" s="70"/>
      <c r="G6" s="67" t="s">
        <v>87</v>
      </c>
      <c r="H6" s="67"/>
      <c r="I6" s="70" t="s">
        <v>92</v>
      </c>
      <c r="J6" s="67" t="s">
        <v>95</v>
      </c>
      <c r="K6" s="68" t="s">
        <v>90</v>
      </c>
    </row>
    <row r="7" spans="1:11" ht="40.5" customHeight="1" x14ac:dyDescent="0.75">
      <c r="A7" s="168"/>
      <c r="B7" s="65"/>
      <c r="C7" s="69" t="s">
        <v>55</v>
      </c>
      <c r="D7" s="70" t="s">
        <v>96</v>
      </c>
      <c r="E7" s="70" t="s">
        <v>82</v>
      </c>
      <c r="F7" s="70"/>
      <c r="G7" s="67" t="s">
        <v>87</v>
      </c>
      <c r="H7" s="67"/>
      <c r="I7" s="70" t="s">
        <v>88</v>
      </c>
      <c r="J7" s="67" t="s">
        <v>97</v>
      </c>
      <c r="K7" s="68" t="s">
        <v>90</v>
      </c>
    </row>
    <row r="8" spans="1:11" ht="55.5" x14ac:dyDescent="0.75">
      <c r="A8" s="168"/>
      <c r="B8" s="170" t="s">
        <v>98</v>
      </c>
      <c r="C8" s="69" t="s">
        <v>57</v>
      </c>
      <c r="D8" s="70" t="s">
        <v>99</v>
      </c>
      <c r="E8" s="70" t="s">
        <v>100</v>
      </c>
      <c r="F8" s="70"/>
      <c r="G8" s="71" t="s">
        <v>83</v>
      </c>
      <c r="H8" s="67" t="s">
        <v>101</v>
      </c>
      <c r="I8" s="70" t="s">
        <v>88</v>
      </c>
      <c r="J8" s="67" t="s">
        <v>102</v>
      </c>
      <c r="K8" s="68" t="s">
        <v>84</v>
      </c>
    </row>
    <row r="9" spans="1:11" ht="40.5" customHeight="1" x14ac:dyDescent="0.75">
      <c r="A9" s="168"/>
      <c r="B9" s="170"/>
      <c r="C9" s="66" t="s">
        <v>103</v>
      </c>
      <c r="D9" s="67" t="s">
        <v>104</v>
      </c>
      <c r="E9" s="70" t="s">
        <v>82</v>
      </c>
      <c r="F9" s="70"/>
      <c r="G9" s="71" t="s">
        <v>87</v>
      </c>
      <c r="H9" s="67"/>
      <c r="I9" s="67" t="s">
        <v>105</v>
      </c>
      <c r="J9" s="67" t="s">
        <v>106</v>
      </c>
      <c r="K9" s="68" t="s">
        <v>84</v>
      </c>
    </row>
    <row r="10" spans="1:11" ht="40.5" customHeight="1" x14ac:dyDescent="0.75">
      <c r="A10" s="168"/>
      <c r="B10" s="170" t="s">
        <v>107</v>
      </c>
      <c r="C10" s="69" t="s">
        <v>58</v>
      </c>
      <c r="D10" s="70" t="s">
        <v>108</v>
      </c>
      <c r="E10" s="70" t="s">
        <v>4</v>
      </c>
      <c r="F10" s="70"/>
      <c r="G10" s="67" t="s">
        <v>4</v>
      </c>
      <c r="H10" s="67" t="s">
        <v>109</v>
      </c>
      <c r="I10" s="70" t="s">
        <v>88</v>
      </c>
      <c r="J10" s="67" t="s">
        <v>110</v>
      </c>
      <c r="K10" s="68" t="s">
        <v>90</v>
      </c>
    </row>
    <row r="11" spans="1:11" ht="40.5" customHeight="1" x14ac:dyDescent="0.75">
      <c r="A11" s="168"/>
      <c r="B11" s="170"/>
      <c r="C11" s="69" t="s">
        <v>111</v>
      </c>
      <c r="D11" s="70" t="s">
        <v>112</v>
      </c>
      <c r="E11" s="70" t="s">
        <v>83</v>
      </c>
      <c r="F11" s="70" t="s">
        <v>84</v>
      </c>
      <c r="G11" s="67" t="s">
        <v>83</v>
      </c>
      <c r="H11" s="67"/>
      <c r="I11" s="70" t="s">
        <v>84</v>
      </c>
      <c r="J11" s="67" t="s">
        <v>113</v>
      </c>
      <c r="K11" s="68" t="s">
        <v>84</v>
      </c>
    </row>
    <row r="12" spans="1:11" ht="40.5" customHeight="1" x14ac:dyDescent="0.75">
      <c r="A12" s="168"/>
      <c r="B12" s="65"/>
      <c r="C12" s="69" t="s">
        <v>59</v>
      </c>
      <c r="D12" s="70" t="s">
        <v>114</v>
      </c>
      <c r="E12" s="70" t="s">
        <v>82</v>
      </c>
      <c r="F12" s="70"/>
      <c r="G12" s="67" t="s">
        <v>87</v>
      </c>
      <c r="H12" s="67"/>
      <c r="I12" s="70" t="s">
        <v>92</v>
      </c>
      <c r="J12" s="67" t="s">
        <v>115</v>
      </c>
      <c r="K12" s="68" t="s">
        <v>90</v>
      </c>
    </row>
    <row r="13" spans="1:11" ht="40.5" customHeight="1" x14ac:dyDescent="0.75">
      <c r="A13" s="168"/>
      <c r="B13" s="171" t="s">
        <v>116</v>
      </c>
      <c r="C13" s="69" t="s">
        <v>117</v>
      </c>
      <c r="D13" s="70" t="s">
        <v>118</v>
      </c>
      <c r="E13" s="70" t="s">
        <v>100</v>
      </c>
      <c r="F13" s="70"/>
      <c r="G13" s="67" t="s">
        <v>83</v>
      </c>
      <c r="H13" s="67" t="s">
        <v>119</v>
      </c>
      <c r="I13" s="70" t="s">
        <v>88</v>
      </c>
      <c r="J13" s="67" t="s">
        <v>120</v>
      </c>
      <c r="K13" s="68" t="s">
        <v>90</v>
      </c>
    </row>
    <row r="14" spans="1:11" ht="40.5" customHeight="1" x14ac:dyDescent="0.75">
      <c r="A14" s="168"/>
      <c r="B14" s="172"/>
      <c r="C14" s="69" t="s">
        <v>60</v>
      </c>
      <c r="D14" s="70" t="s">
        <v>121</v>
      </c>
      <c r="E14" s="70" t="s">
        <v>82</v>
      </c>
      <c r="F14" s="70"/>
      <c r="G14" s="67" t="s">
        <v>87</v>
      </c>
      <c r="H14" s="67"/>
      <c r="I14" s="70" t="s">
        <v>122</v>
      </c>
      <c r="J14" s="67" t="s">
        <v>123</v>
      </c>
      <c r="K14" s="70" t="s">
        <v>90</v>
      </c>
    </row>
    <row r="15" spans="1:11" ht="40.5" customHeight="1" thickBot="1" x14ac:dyDescent="0.9">
      <c r="A15" s="169"/>
      <c r="B15" s="173"/>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4" t="s">
        <v>128</v>
      </c>
      <c r="B17" s="61"/>
      <c r="C17" s="66" t="s">
        <v>129</v>
      </c>
      <c r="D17" s="67" t="s">
        <v>130</v>
      </c>
      <c r="E17" s="67" t="s">
        <v>83</v>
      </c>
      <c r="F17" s="67" t="s">
        <v>84</v>
      </c>
      <c r="G17" s="67" t="s">
        <v>83</v>
      </c>
      <c r="H17" s="67"/>
      <c r="I17" s="67" t="s">
        <v>84</v>
      </c>
      <c r="J17" s="67" t="s">
        <v>131</v>
      </c>
      <c r="K17" s="68" t="s">
        <v>84</v>
      </c>
    </row>
    <row r="18" spans="1:14" ht="40.5" customHeight="1" x14ac:dyDescent="0.75">
      <c r="A18" s="175"/>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5"/>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5"/>
      <c r="B20" s="65"/>
      <c r="C20" s="69" t="s">
        <v>140</v>
      </c>
      <c r="D20" s="70" t="s">
        <v>141</v>
      </c>
      <c r="E20" s="70" t="s">
        <v>82</v>
      </c>
      <c r="F20" s="70" t="s">
        <v>84</v>
      </c>
      <c r="G20" s="70" t="s">
        <v>87</v>
      </c>
      <c r="H20" s="70"/>
      <c r="I20" s="70" t="s">
        <v>84</v>
      </c>
      <c r="J20" s="67" t="s">
        <v>142</v>
      </c>
      <c r="K20" s="75" t="s">
        <v>84</v>
      </c>
    </row>
    <row r="21" spans="1:14" ht="40.5" customHeight="1" x14ac:dyDescent="0.75">
      <c r="A21" s="175"/>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5"/>
      <c r="B22" s="76"/>
      <c r="C22" s="66" t="s">
        <v>147</v>
      </c>
      <c r="D22" s="67" t="s">
        <v>148</v>
      </c>
      <c r="E22" s="70" t="s">
        <v>82</v>
      </c>
      <c r="F22" s="70"/>
      <c r="G22" s="67" t="s">
        <v>87</v>
      </c>
      <c r="H22" s="67"/>
      <c r="I22" s="67" t="s">
        <v>149</v>
      </c>
      <c r="J22" s="67" t="s">
        <v>150</v>
      </c>
      <c r="K22" s="77" t="s">
        <v>84</v>
      </c>
    </row>
    <row r="23" spans="1:14" ht="40.5" customHeight="1" x14ac:dyDescent="0.75">
      <c r="A23" s="175"/>
      <c r="B23" s="65"/>
      <c r="C23" s="69" t="s">
        <v>151</v>
      </c>
      <c r="D23" s="70" t="s">
        <v>152</v>
      </c>
      <c r="E23" s="70" t="s">
        <v>4</v>
      </c>
      <c r="F23" s="70"/>
      <c r="G23" s="67" t="s">
        <v>4</v>
      </c>
      <c r="H23" s="67" t="s">
        <v>109</v>
      </c>
      <c r="I23" s="70" t="s">
        <v>153</v>
      </c>
      <c r="J23" s="67" t="s">
        <v>154</v>
      </c>
      <c r="K23" s="70" t="s">
        <v>90</v>
      </c>
    </row>
    <row r="24" spans="1:14" ht="40.5" customHeight="1" x14ac:dyDescent="0.75">
      <c r="A24" s="175"/>
      <c r="B24" s="65"/>
      <c r="C24" s="69" t="s">
        <v>155</v>
      </c>
      <c r="D24" s="70" t="s">
        <v>156</v>
      </c>
      <c r="E24" s="70" t="s">
        <v>100</v>
      </c>
      <c r="F24" s="70" t="s">
        <v>84</v>
      </c>
      <c r="G24" s="67" t="s">
        <v>87</v>
      </c>
      <c r="H24" s="67" t="s">
        <v>157</v>
      </c>
      <c r="I24" s="70" t="s">
        <v>84</v>
      </c>
      <c r="J24" s="67" t="s">
        <v>158</v>
      </c>
      <c r="K24" s="68" t="s">
        <v>84</v>
      </c>
    </row>
    <row r="25" spans="1:14" ht="40.5" customHeight="1" x14ac:dyDescent="0.75">
      <c r="A25" s="175"/>
      <c r="B25" s="65"/>
      <c r="C25" s="69" t="s">
        <v>62</v>
      </c>
      <c r="D25" s="70" t="s">
        <v>159</v>
      </c>
      <c r="E25" s="70" t="s">
        <v>100</v>
      </c>
      <c r="F25" s="70"/>
      <c r="G25" s="67" t="s">
        <v>87</v>
      </c>
      <c r="H25" s="67" t="s">
        <v>160</v>
      </c>
      <c r="I25" s="70" t="s">
        <v>88</v>
      </c>
      <c r="J25" s="67" t="s">
        <v>161</v>
      </c>
      <c r="K25" s="68" t="s">
        <v>84</v>
      </c>
    </row>
    <row r="26" spans="1:14" ht="40.5" customHeight="1" x14ac:dyDescent="0.75">
      <c r="A26" s="175"/>
      <c r="B26" s="65"/>
      <c r="C26" s="69" t="s">
        <v>162</v>
      </c>
      <c r="D26" s="70" t="s">
        <v>163</v>
      </c>
      <c r="E26" s="70" t="s">
        <v>100</v>
      </c>
      <c r="F26" s="70" t="s">
        <v>84</v>
      </c>
      <c r="G26" s="67" t="s">
        <v>83</v>
      </c>
      <c r="H26" s="67"/>
      <c r="I26" s="70" t="s">
        <v>84</v>
      </c>
      <c r="J26" s="67" t="s">
        <v>164</v>
      </c>
      <c r="K26" s="68" t="s">
        <v>90</v>
      </c>
    </row>
    <row r="27" spans="1:14" ht="40.5" customHeight="1" x14ac:dyDescent="0.75">
      <c r="A27" s="175"/>
      <c r="B27" s="65"/>
      <c r="C27" s="69" t="s">
        <v>165</v>
      </c>
      <c r="D27" s="70" t="s">
        <v>166</v>
      </c>
      <c r="E27" s="70" t="s">
        <v>82</v>
      </c>
      <c r="F27" s="70"/>
      <c r="G27" s="67" t="s">
        <v>87</v>
      </c>
      <c r="H27" s="67"/>
      <c r="I27" s="70" t="s">
        <v>92</v>
      </c>
      <c r="J27" s="67" t="s">
        <v>167</v>
      </c>
      <c r="K27" s="68" t="s">
        <v>84</v>
      </c>
    </row>
    <row r="28" spans="1:14" ht="40.5" customHeight="1" x14ac:dyDescent="0.75">
      <c r="A28" s="175"/>
      <c r="B28" s="65"/>
      <c r="C28" s="69" t="s">
        <v>168</v>
      </c>
      <c r="D28" s="67" t="s">
        <v>169</v>
      </c>
      <c r="E28" s="70" t="s">
        <v>100</v>
      </c>
      <c r="F28" s="70"/>
      <c r="G28" s="67" t="s">
        <v>87</v>
      </c>
      <c r="H28" s="67" t="s">
        <v>170</v>
      </c>
      <c r="I28" s="70" t="s">
        <v>88</v>
      </c>
      <c r="J28" s="67" t="s">
        <v>171</v>
      </c>
      <c r="K28" s="68" t="s">
        <v>84</v>
      </c>
    </row>
    <row r="29" spans="1:14" ht="40.5" customHeight="1" x14ac:dyDescent="0.75">
      <c r="A29" s="175"/>
      <c r="B29" s="65"/>
      <c r="C29" s="69" t="s">
        <v>172</v>
      </c>
      <c r="D29" s="70" t="s">
        <v>173</v>
      </c>
      <c r="E29" s="70" t="s">
        <v>82</v>
      </c>
      <c r="F29" s="70"/>
      <c r="G29" s="67" t="s">
        <v>87</v>
      </c>
      <c r="H29" s="67"/>
      <c r="I29" s="70" t="s">
        <v>92</v>
      </c>
      <c r="J29" s="67" t="s">
        <v>174</v>
      </c>
      <c r="K29" s="68" t="s">
        <v>84</v>
      </c>
    </row>
    <row r="30" spans="1:14" ht="111" x14ac:dyDescent="0.75">
      <c r="A30" s="175"/>
      <c r="B30" s="65"/>
      <c r="C30" s="69" t="s">
        <v>175</v>
      </c>
      <c r="D30" s="70" t="s">
        <v>176</v>
      </c>
      <c r="E30" s="70" t="s">
        <v>100</v>
      </c>
      <c r="F30" s="70"/>
      <c r="G30" s="67" t="s">
        <v>83</v>
      </c>
      <c r="H30" s="67" t="s">
        <v>177</v>
      </c>
      <c r="I30" s="67" t="s">
        <v>84</v>
      </c>
      <c r="J30" s="67" t="s">
        <v>178</v>
      </c>
      <c r="K30" s="68" t="s">
        <v>84</v>
      </c>
    </row>
    <row r="31" spans="1:14" ht="40.5" customHeight="1" x14ac:dyDescent="0.75">
      <c r="A31" s="175"/>
      <c r="B31" s="65"/>
      <c r="C31" s="69" t="s">
        <v>179</v>
      </c>
      <c r="D31" s="70" t="s">
        <v>180</v>
      </c>
      <c r="E31" s="70" t="s">
        <v>100</v>
      </c>
      <c r="F31" s="70"/>
      <c r="G31" s="67" t="s">
        <v>83</v>
      </c>
      <c r="H31" s="67" t="s">
        <v>181</v>
      </c>
      <c r="I31" s="67" t="s">
        <v>84</v>
      </c>
      <c r="J31" s="67" t="s">
        <v>182</v>
      </c>
      <c r="K31" s="68" t="s">
        <v>84</v>
      </c>
    </row>
    <row r="32" spans="1:14" ht="40.5" customHeight="1" x14ac:dyDescent="0.75">
      <c r="A32" s="175"/>
      <c r="B32" s="65"/>
      <c r="C32" s="69" t="s">
        <v>183</v>
      </c>
      <c r="D32" s="70" t="s">
        <v>184</v>
      </c>
      <c r="E32" s="70" t="s">
        <v>100</v>
      </c>
      <c r="F32" s="70"/>
      <c r="G32" s="67" t="s">
        <v>83</v>
      </c>
      <c r="H32" s="67" t="s">
        <v>185</v>
      </c>
      <c r="I32" s="67" t="s">
        <v>186</v>
      </c>
      <c r="J32" s="67"/>
      <c r="K32" s="68" t="s">
        <v>90</v>
      </c>
    </row>
    <row r="33" spans="1:11" ht="40.5" customHeight="1" x14ac:dyDescent="0.75">
      <c r="A33" s="175"/>
      <c r="B33" s="65"/>
      <c r="C33" s="69" t="s">
        <v>187</v>
      </c>
      <c r="D33" s="70" t="s">
        <v>188</v>
      </c>
      <c r="E33" s="70" t="s">
        <v>100</v>
      </c>
      <c r="F33" s="70"/>
      <c r="G33" s="67" t="s">
        <v>87</v>
      </c>
      <c r="H33" s="67"/>
      <c r="I33" s="70" t="s">
        <v>189</v>
      </c>
      <c r="J33" s="67" t="s">
        <v>190</v>
      </c>
      <c r="K33" s="68" t="s">
        <v>84</v>
      </c>
    </row>
    <row r="34" spans="1:11" ht="40.5" customHeight="1" x14ac:dyDescent="0.75">
      <c r="A34" s="175"/>
      <c r="B34" s="65"/>
      <c r="C34" s="69" t="s">
        <v>191</v>
      </c>
      <c r="D34" s="70" t="s">
        <v>192</v>
      </c>
      <c r="E34" s="70" t="s">
        <v>82</v>
      </c>
      <c r="F34" s="70"/>
      <c r="G34" s="67" t="s">
        <v>87</v>
      </c>
      <c r="H34" s="67"/>
      <c r="I34" s="70" t="s">
        <v>193</v>
      </c>
      <c r="J34" s="67" t="s">
        <v>194</v>
      </c>
      <c r="K34" s="68" t="s">
        <v>84</v>
      </c>
    </row>
    <row r="35" spans="1:11" ht="40.5" customHeight="1" x14ac:dyDescent="0.75">
      <c r="A35" s="175"/>
      <c r="B35" s="65"/>
      <c r="C35" s="69" t="s">
        <v>195</v>
      </c>
      <c r="D35" s="70" t="s">
        <v>196</v>
      </c>
      <c r="E35" s="70" t="s">
        <v>82</v>
      </c>
      <c r="F35" s="70"/>
      <c r="G35" s="67" t="s">
        <v>87</v>
      </c>
      <c r="H35" s="67"/>
      <c r="I35" s="70" t="s">
        <v>92</v>
      </c>
      <c r="J35" s="67" t="s">
        <v>197</v>
      </c>
      <c r="K35" s="68" t="s">
        <v>84</v>
      </c>
    </row>
    <row r="36" spans="1:11" ht="40.5" customHeight="1" x14ac:dyDescent="0.75">
      <c r="A36" s="175"/>
      <c r="B36" s="65"/>
      <c r="C36" s="69" t="s">
        <v>198</v>
      </c>
      <c r="D36" s="70" t="s">
        <v>199</v>
      </c>
      <c r="E36" s="70" t="s">
        <v>82</v>
      </c>
      <c r="F36" s="70"/>
      <c r="G36" s="67" t="s">
        <v>87</v>
      </c>
      <c r="H36" s="67"/>
      <c r="I36" s="70" t="s">
        <v>92</v>
      </c>
      <c r="J36" s="67" t="s">
        <v>200</v>
      </c>
      <c r="K36" s="68" t="s">
        <v>84</v>
      </c>
    </row>
    <row r="37" spans="1:11" ht="40.5" customHeight="1" x14ac:dyDescent="0.75">
      <c r="A37" s="175"/>
      <c r="B37" s="65"/>
      <c r="C37" s="69" t="s">
        <v>201</v>
      </c>
      <c r="D37" s="70" t="s">
        <v>202</v>
      </c>
      <c r="E37" s="70" t="s">
        <v>82</v>
      </c>
      <c r="F37" s="70"/>
      <c r="G37" s="67" t="s">
        <v>87</v>
      </c>
      <c r="H37" s="67"/>
      <c r="I37" s="70" t="s">
        <v>92</v>
      </c>
      <c r="J37" s="67" t="s">
        <v>203</v>
      </c>
      <c r="K37" s="68" t="s">
        <v>84</v>
      </c>
    </row>
    <row r="38" spans="1:11" ht="40.5" customHeight="1" x14ac:dyDescent="0.75">
      <c r="A38" s="175"/>
      <c r="B38" s="65"/>
      <c r="C38" s="69" t="s">
        <v>204</v>
      </c>
      <c r="D38" s="70" t="s">
        <v>205</v>
      </c>
      <c r="E38" s="70" t="s">
        <v>100</v>
      </c>
      <c r="F38" s="70"/>
      <c r="G38" s="67" t="s">
        <v>83</v>
      </c>
      <c r="H38" s="79" t="s">
        <v>206</v>
      </c>
      <c r="I38" s="70" t="s">
        <v>88</v>
      </c>
      <c r="J38" s="67" t="s">
        <v>207</v>
      </c>
      <c r="K38" s="68" t="s">
        <v>84</v>
      </c>
    </row>
    <row r="39" spans="1:11" ht="40.5" customHeight="1" x14ac:dyDescent="0.75">
      <c r="A39" s="175"/>
      <c r="B39" s="65"/>
      <c r="C39" s="69" t="s">
        <v>208</v>
      </c>
      <c r="D39" s="67" t="s">
        <v>209</v>
      </c>
      <c r="E39" s="70" t="s">
        <v>100</v>
      </c>
      <c r="F39" s="70"/>
      <c r="G39" s="67" t="s">
        <v>87</v>
      </c>
      <c r="H39" s="67" t="s">
        <v>210</v>
      </c>
      <c r="I39" s="67" t="s">
        <v>211</v>
      </c>
      <c r="J39" s="67" t="s">
        <v>212</v>
      </c>
      <c r="K39" s="68" t="s">
        <v>84</v>
      </c>
    </row>
    <row r="40" spans="1:11" ht="40.5" customHeight="1" x14ac:dyDescent="0.75">
      <c r="A40" s="175"/>
      <c r="B40" s="65"/>
      <c r="C40" s="69" t="s">
        <v>213</v>
      </c>
      <c r="D40" s="67" t="s">
        <v>214</v>
      </c>
      <c r="E40" s="70" t="s">
        <v>82</v>
      </c>
      <c r="F40" s="70"/>
      <c r="G40" s="67" t="s">
        <v>87</v>
      </c>
      <c r="H40" s="67"/>
      <c r="I40" s="67" t="s">
        <v>215</v>
      </c>
      <c r="J40" s="67" t="s">
        <v>216</v>
      </c>
      <c r="K40" s="68" t="s">
        <v>84</v>
      </c>
    </row>
    <row r="41" spans="1:11" ht="40.5" customHeight="1" x14ac:dyDescent="0.75">
      <c r="A41" s="175"/>
      <c r="B41" s="80" t="s">
        <v>217</v>
      </c>
      <c r="C41" s="69" t="s">
        <v>218</v>
      </c>
      <c r="D41" s="70" t="s">
        <v>219</v>
      </c>
      <c r="E41" s="70" t="s">
        <v>100</v>
      </c>
      <c r="F41" s="70"/>
      <c r="G41" s="67" t="s">
        <v>83</v>
      </c>
      <c r="H41" s="67" t="s">
        <v>206</v>
      </c>
      <c r="I41" s="70" t="s">
        <v>88</v>
      </c>
      <c r="J41" s="67" t="s">
        <v>220</v>
      </c>
      <c r="K41" s="68" t="s">
        <v>84</v>
      </c>
    </row>
    <row r="42" spans="1:11" ht="40.5" customHeight="1" x14ac:dyDescent="0.75">
      <c r="A42" s="175"/>
      <c r="B42" s="80" t="s">
        <v>221</v>
      </c>
      <c r="C42" s="81" t="s">
        <v>222</v>
      </c>
      <c r="D42" s="79" t="s">
        <v>223</v>
      </c>
      <c r="E42" s="67" t="s">
        <v>224</v>
      </c>
      <c r="F42" s="67"/>
      <c r="G42" s="67" t="s">
        <v>87</v>
      </c>
      <c r="H42" s="77"/>
      <c r="I42" s="67" t="s">
        <v>225</v>
      </c>
      <c r="J42" s="79" t="s">
        <v>226</v>
      </c>
      <c r="K42" s="68" t="s">
        <v>84</v>
      </c>
    </row>
    <row r="43" spans="1:11" ht="40.5" customHeight="1" thickBot="1" x14ac:dyDescent="0.9">
      <c r="A43" s="176"/>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71" t="s">
        <v>234</v>
      </c>
      <c r="C46" s="69" t="s">
        <v>235</v>
      </c>
      <c r="D46" s="70" t="s">
        <v>236</v>
      </c>
      <c r="E46" s="70" t="s">
        <v>100</v>
      </c>
      <c r="F46" s="70"/>
      <c r="G46" s="67" t="s">
        <v>83</v>
      </c>
      <c r="H46" s="67" t="s">
        <v>237</v>
      </c>
      <c r="I46" s="70" t="s">
        <v>88</v>
      </c>
      <c r="J46" s="67" t="s">
        <v>238</v>
      </c>
      <c r="K46" s="68" t="s">
        <v>84</v>
      </c>
    </row>
    <row r="47" spans="1:11" ht="40.5" customHeight="1" x14ac:dyDescent="0.75">
      <c r="A47" s="89"/>
      <c r="B47" s="172"/>
      <c r="C47" s="69" t="s">
        <v>239</v>
      </c>
      <c r="D47" s="70" t="s">
        <v>240</v>
      </c>
      <c r="E47" s="70" t="s">
        <v>82</v>
      </c>
      <c r="F47" s="70"/>
      <c r="G47" s="67" t="s">
        <v>87</v>
      </c>
      <c r="H47" s="67"/>
      <c r="I47" s="67" t="s">
        <v>241</v>
      </c>
      <c r="J47" s="67" t="s">
        <v>242</v>
      </c>
      <c r="K47" s="68" t="s">
        <v>84</v>
      </c>
    </row>
    <row r="48" spans="1:11" ht="40.5" customHeight="1" x14ac:dyDescent="0.75">
      <c r="A48" s="89"/>
      <c r="B48" s="173"/>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4"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5"/>
      <c r="C101" s="67" t="s">
        <v>412</v>
      </c>
      <c r="D101" s="67" t="s">
        <v>413</v>
      </c>
      <c r="E101" s="70" t="s">
        <v>100</v>
      </c>
      <c r="F101" s="70"/>
      <c r="G101" s="67" t="s">
        <v>83</v>
      </c>
      <c r="H101" s="67" t="s">
        <v>414</v>
      </c>
      <c r="I101" s="70" t="s">
        <v>92</v>
      </c>
      <c r="J101" s="67" t="s">
        <v>415</v>
      </c>
      <c r="K101" s="68" t="s">
        <v>90</v>
      </c>
    </row>
    <row r="102" spans="1:11" ht="40.5" customHeight="1" x14ac:dyDescent="0.75">
      <c r="A102" s="68"/>
      <c r="B102" s="165"/>
      <c r="C102" s="70" t="s">
        <v>416</v>
      </c>
      <c r="D102" s="70" t="s">
        <v>417</v>
      </c>
      <c r="E102" s="70" t="s">
        <v>100</v>
      </c>
      <c r="F102" s="70"/>
      <c r="G102" s="67" t="s">
        <v>83</v>
      </c>
      <c r="H102" s="70" t="s">
        <v>418</v>
      </c>
      <c r="I102" s="70" t="s">
        <v>419</v>
      </c>
      <c r="J102" s="67" t="s">
        <v>416</v>
      </c>
      <c r="K102" s="68" t="s">
        <v>90</v>
      </c>
    </row>
    <row r="103" spans="1:11" ht="40.5" customHeight="1" x14ac:dyDescent="0.75">
      <c r="A103" s="68"/>
      <c r="B103" s="166"/>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5" t="s">
        <v>762</v>
      </c>
      <c r="D218" s="92" t="s">
        <v>763</v>
      </c>
      <c r="E218" s="92" t="s">
        <v>100</v>
      </c>
      <c r="F218" s="92"/>
      <c r="G218" s="67" t="s">
        <v>83</v>
      </c>
      <c r="H218" s="67" t="s">
        <v>764</v>
      </c>
      <c r="I218" s="67" t="s">
        <v>84</v>
      </c>
      <c r="J218" s="67" t="s">
        <v>765</v>
      </c>
      <c r="K218" s="68" t="s">
        <v>84</v>
      </c>
    </row>
    <row r="219" spans="2:11" ht="40.5" customHeight="1" x14ac:dyDescent="0.75">
      <c r="B219" s="103">
        <v>17</v>
      </c>
      <c r="C219" s="155" t="s">
        <v>766</v>
      </c>
      <c r="D219" s="92" t="s">
        <v>767</v>
      </c>
      <c r="E219" s="92" t="s">
        <v>100</v>
      </c>
      <c r="F219" s="92"/>
      <c r="G219" s="67" t="s">
        <v>83</v>
      </c>
      <c r="H219" s="67" t="s">
        <v>768</v>
      </c>
      <c r="I219" s="70" t="s">
        <v>769</v>
      </c>
      <c r="J219" s="67" t="s">
        <v>770</v>
      </c>
      <c r="K219" s="68" t="s">
        <v>90</v>
      </c>
    </row>
    <row r="220" spans="2:11" ht="40.5" customHeight="1" x14ac:dyDescent="0.75">
      <c r="B220" s="103">
        <v>18</v>
      </c>
      <c r="C220" s="156" t="s">
        <v>771</v>
      </c>
      <c r="D220" s="70" t="s">
        <v>772</v>
      </c>
      <c r="E220" s="70" t="s">
        <v>82</v>
      </c>
      <c r="F220" s="70"/>
      <c r="G220" s="67" t="s">
        <v>87</v>
      </c>
      <c r="H220" s="67"/>
      <c r="I220" s="70" t="s">
        <v>769</v>
      </c>
      <c r="J220" s="67" t="s">
        <v>773</v>
      </c>
      <c r="K220" s="68" t="s">
        <v>84</v>
      </c>
    </row>
    <row r="221" spans="2:11" ht="40.5" customHeight="1" x14ac:dyDescent="0.75">
      <c r="B221" s="103">
        <v>19</v>
      </c>
      <c r="C221" s="157" t="s">
        <v>774</v>
      </c>
      <c r="D221" s="95" t="s">
        <v>775</v>
      </c>
      <c r="E221" s="95" t="s">
        <v>565</v>
      </c>
      <c r="F221" s="95"/>
      <c r="G221" s="67" t="s">
        <v>83</v>
      </c>
      <c r="H221" s="67" t="s">
        <v>271</v>
      </c>
      <c r="I221" s="70" t="s">
        <v>769</v>
      </c>
      <c r="J221" s="67" t="s">
        <v>776</v>
      </c>
      <c r="K221" s="68" t="s">
        <v>84</v>
      </c>
    </row>
    <row r="222" spans="2:11" ht="40.5" customHeight="1" x14ac:dyDescent="0.75">
      <c r="B222" s="103">
        <v>20</v>
      </c>
      <c r="C222" s="158" t="s">
        <v>777</v>
      </c>
      <c r="D222" s="67" t="s">
        <v>778</v>
      </c>
      <c r="E222" s="70" t="s">
        <v>82</v>
      </c>
      <c r="F222" s="70"/>
      <c r="G222" s="67" t="s">
        <v>87</v>
      </c>
      <c r="H222" s="67"/>
      <c r="I222" s="67" t="s">
        <v>779</v>
      </c>
      <c r="J222" s="67" t="s">
        <v>780</v>
      </c>
      <c r="K222" s="68" t="s">
        <v>84</v>
      </c>
    </row>
    <row r="223" spans="2:11" ht="40.5" customHeight="1" x14ac:dyDescent="0.75">
      <c r="B223" s="103">
        <v>21</v>
      </c>
      <c r="C223" s="159" t="s">
        <v>781</v>
      </c>
      <c r="D223" s="92" t="s">
        <v>782</v>
      </c>
      <c r="E223" s="92" t="s">
        <v>100</v>
      </c>
      <c r="F223" s="92"/>
      <c r="G223" s="67" t="s">
        <v>83</v>
      </c>
      <c r="H223" s="67" t="s">
        <v>783</v>
      </c>
      <c r="I223" s="67" t="s">
        <v>84</v>
      </c>
      <c r="J223" s="67" t="s">
        <v>784</v>
      </c>
      <c r="K223" s="68" t="s">
        <v>90</v>
      </c>
    </row>
    <row r="224" spans="2:11" ht="40.5" customHeight="1" x14ac:dyDescent="0.75">
      <c r="B224" s="103">
        <v>22</v>
      </c>
      <c r="C224" s="160" t="s">
        <v>785</v>
      </c>
      <c r="D224" s="70" t="s">
        <v>786</v>
      </c>
      <c r="E224" s="70" t="s">
        <v>4</v>
      </c>
      <c r="F224" s="70"/>
      <c r="G224" s="67" t="s">
        <v>4</v>
      </c>
      <c r="H224" s="67" t="s">
        <v>109</v>
      </c>
      <c r="I224" s="70" t="s">
        <v>787</v>
      </c>
      <c r="J224" s="67" t="s">
        <v>788</v>
      </c>
      <c r="K224" s="68" t="s">
        <v>90</v>
      </c>
    </row>
    <row r="225" spans="2:11" ht="40.5" customHeight="1" x14ac:dyDescent="0.75">
      <c r="B225" s="103">
        <v>23</v>
      </c>
      <c r="C225" s="161" t="s">
        <v>789</v>
      </c>
      <c r="D225" s="95" t="s">
        <v>790</v>
      </c>
      <c r="E225" s="95" t="s">
        <v>100</v>
      </c>
      <c r="F225" s="95"/>
      <c r="G225" s="67" t="s">
        <v>83</v>
      </c>
      <c r="H225" s="67" t="s">
        <v>271</v>
      </c>
      <c r="I225" s="67" t="s">
        <v>787</v>
      </c>
      <c r="J225" s="67" t="s">
        <v>791</v>
      </c>
      <c r="K225" s="77" t="s">
        <v>90</v>
      </c>
    </row>
    <row r="226" spans="2:11" ht="40.5" customHeight="1" x14ac:dyDescent="0.75">
      <c r="B226" s="103">
        <v>24</v>
      </c>
      <c r="C226" s="162"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1109</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81"/>
  <sheetViews>
    <sheetView tabSelected="1" workbookViewId="0">
      <selection activeCell="E1" sqref="E1:E599"/>
    </sheetView>
  </sheetViews>
  <sheetFormatPr defaultRowHeight="14.75" x14ac:dyDescent="0.75"/>
  <cols>
    <col min="5" max="5" width="100.6796875" customWidth="1"/>
  </cols>
  <sheetData>
    <row r="1" spans="5:5" x14ac:dyDescent="0.75">
      <c r="E1" s="109" t="str">
        <f>'RelFlt-3'!D2</f>
        <v>Instance: RelapseDuringFLT</v>
      </c>
    </row>
    <row r="2" spans="5:5" x14ac:dyDescent="0.75">
      <c r="E2" s="109" t="str">
        <f>'RelFlt-3'!D3</f>
        <v>InstanceOf: StructureDefinition</v>
      </c>
    </row>
    <row r="3" spans="5:5" x14ac:dyDescent="0.75">
      <c r="E3" s="109" t="str">
        <f>'RelFlt-3'!D4</f>
        <v>Description: "Progression-Relapse during FLT
Maturity Level: 2 - Ready for Review"</v>
      </c>
    </row>
    <row r="4" spans="5:5" x14ac:dyDescent="0.75">
      <c r="E4" s="109" t="str">
        <f>'RelFlt-3'!D5</f>
        <v>Title: "Progression-Relapse during FLT"</v>
      </c>
    </row>
    <row r="5" spans="5:5" x14ac:dyDescent="0.75">
      <c r="E5" s="109" t="str">
        <f>'RelFlt-3'!D6</f>
        <v>Usage: #definition</v>
      </c>
    </row>
    <row r="6" spans="5:5" x14ac:dyDescent="0.75">
      <c r="E6" s="109" t="str">
        <f>'RelFlt-3'!D8</f>
        <v>* publisher = "PanCareSurPass project"</v>
      </c>
    </row>
    <row r="7" spans="5:5" x14ac:dyDescent="0.75">
      <c r="E7" s="109" t="str">
        <f>'RelFlt-3'!D9</f>
        <v>* status = #draft</v>
      </c>
    </row>
    <row r="8" spans="5:5" x14ac:dyDescent="0.75">
      <c r="E8" s="109" t="str">
        <f>'RelFlt-3'!D10</f>
        <v>* url = "http://hl7.eu/fhir/ig/pcsp/StructureDefinition/RelapseDuringFLT"</v>
      </c>
    </row>
    <row r="9" spans="5:5" x14ac:dyDescent="0.75">
      <c r="E9" s="109" t="str">
        <f>'RelFlt-3'!D11</f>
        <v>* name = "RelapseDuringFLT"</v>
      </c>
    </row>
    <row r="10" spans="5:5" x14ac:dyDescent="0.75">
      <c r="E10" s="109" t="str">
        <f>'RelFlt-3'!D12</f>
        <v>* title = "Progression-Relapse during FLT"</v>
      </c>
    </row>
    <row r="11" spans="5:5" x14ac:dyDescent="0.75">
      <c r="E11" s="109" t="str">
        <f>'RelFlt-3'!D13</f>
        <v>* status = #draft</v>
      </c>
    </row>
    <row r="12" spans="5:5" x14ac:dyDescent="0.75">
      <c r="E12" s="109" t="str">
        <f>'RelFlt-3'!D14</f>
        <v>* experimental = true</v>
      </c>
    </row>
    <row r="13" spans="5:5" x14ac:dyDescent="0.75">
      <c r="E13" s="109" t="str">
        <f>'RelFlt-3'!D15</f>
        <v>* description = "Progression-Relapse during FLT
Maturity Level: 2 - Ready for Review"</v>
      </c>
    </row>
    <row r="14" spans="5:5" x14ac:dyDescent="0.75">
      <c r="E14" s="109" t="str">
        <f>'RelFlt-3'!D16</f>
        <v>* version = "0.0.1"</v>
      </c>
    </row>
    <row r="15" spans="5:5" x14ac:dyDescent="0.75">
      <c r="E15" s="109" t="str">
        <f>'RelFlt-3'!D18</f>
        <v>* mapping[0].identity = "fhir"</v>
      </c>
    </row>
    <row r="16" spans="5:5" x14ac:dyDescent="0.75">
      <c r="E16" s="109" t="str">
        <f>'RelFlt-3'!D19</f>
        <v>* mapping[0].uri = "hl7.org/fhir/r4"</v>
      </c>
    </row>
    <row r="17" spans="5:5" x14ac:dyDescent="0.75">
      <c r="E17" s="109" t="str">
        <f>'RelFlt-3'!D20</f>
        <v>* mapping[0].name = "FHIR"</v>
      </c>
    </row>
    <row r="18" spans="5:5" x14ac:dyDescent="0.75">
      <c r="E18" s="109" t="str">
        <f>'RelFlt-3'!D22</f>
        <v>* kind = #logical</v>
      </c>
    </row>
    <row r="19" spans="5:5" x14ac:dyDescent="0.75">
      <c r="E19" s="109" t="str">
        <f>'RelFlt-3'!D23</f>
        <v>* abstract = true</v>
      </c>
    </row>
    <row r="20" spans="5:5" x14ac:dyDescent="0.75">
      <c r="E20" s="109" t="str">
        <f>'RelFlt-3'!D24</f>
        <v>* type = "RelapseDuringFLT"</v>
      </c>
    </row>
    <row r="21" spans="5:5" x14ac:dyDescent="0.75">
      <c r="E21" s="109" t="str">
        <f>'RelFlt-3'!D25</f>
        <v>* baseDefinition = "http://hl7.org/fhir/StructureDefinition/Element"</v>
      </c>
    </row>
    <row r="22" spans="5:5" x14ac:dyDescent="0.75">
      <c r="E22" s="109" t="str">
        <f>'RelFlt-3'!D26</f>
        <v>* derivation = #specialization</v>
      </c>
    </row>
    <row r="23" spans="5:5" x14ac:dyDescent="0.75">
      <c r="E23" s="109" t="str">
        <f>'RelFlt-3'!D28</f>
        <v>* differential.element[0].id = "RelapseDuringFLT"</v>
      </c>
    </row>
    <row r="24" spans="5:5" x14ac:dyDescent="0.75">
      <c r="E24" s="109" t="str">
        <f>'RelFlt-3'!D29</f>
        <v>* differential.element[0].path = "RelapseDuringFLT"</v>
      </c>
    </row>
    <row r="25" spans="5:5" x14ac:dyDescent="0.75">
      <c r="E25" s="109" t="str">
        <f>'RelFlt-3'!D30</f>
        <v>* differential.element[0].short = "Progression-Relapse during FLT"</v>
      </c>
    </row>
    <row r="26" spans="5:5" x14ac:dyDescent="0.75">
      <c r="E26" s="109" t="str">
        <f>'RelFlt-3'!D31</f>
        <v>* differential.element[0].definition = "Progression-Relapse during FLT"</v>
      </c>
    </row>
    <row r="27" spans="5:5" x14ac:dyDescent="0.75">
      <c r="E27" s="109" t="str">
        <f>'RelFlt-3'!D32</f>
        <v>* differential.element[0].min = 1</v>
      </c>
    </row>
    <row r="28" spans="5:5" x14ac:dyDescent="0.75">
      <c r="E28" s="109" t="str">
        <f>'RelFlt-3'!D33</f>
        <v>* differential.element[0].max = "1"</v>
      </c>
    </row>
    <row r="29" spans="5:5" x14ac:dyDescent="0.75">
      <c r="E29" s="109" t="str">
        <f>'RelFlt-3'!D35</f>
        <v>* differential.element[1].id = "RelapseDuringFLT.identifier"</v>
      </c>
    </row>
    <row r="30" spans="5:5" x14ac:dyDescent="0.75">
      <c r="E30" s="109" t="str">
        <f>'RelFlt-3'!D36</f>
        <v>* differential.element[1].path = "RelapseDuringFLT.identifier"</v>
      </c>
    </row>
    <row r="31" spans="5:5" x14ac:dyDescent="0.75">
      <c r="E31" s="109" t="str">
        <f>'RelFlt-3'!D37</f>
        <v>* differential.element[1].short = "Progression-Relapse during FLT identifier"</v>
      </c>
    </row>
    <row r="32" spans="5:5" x14ac:dyDescent="0.75">
      <c r="E32" s="109" t="str">
        <f>'RelFlt-3'!D38</f>
        <v>* differential.element[1].definition = "Progression-Relapse during FLT identifier"</v>
      </c>
    </row>
    <row r="33" spans="5:5" x14ac:dyDescent="0.75">
      <c r="E33" s="109" t="str">
        <f>'RelFlt-3'!D39</f>
        <v>* differential.element[1].min = 0</v>
      </c>
    </row>
    <row r="34" spans="5:5" x14ac:dyDescent="0.75">
      <c r="E34" s="109" t="str">
        <f>'RelFlt-3'!D40</f>
        <v>* differential.element[1].max = "1"</v>
      </c>
    </row>
    <row r="35" spans="5:5" x14ac:dyDescent="0.75">
      <c r="E35" s="109" t="str">
        <f>'RelFlt-3'!D41</f>
        <v>* differential.element[1].type.code = #Identifier</v>
      </c>
    </row>
    <row r="36" spans="5:5" x14ac:dyDescent="0.75">
      <c r="E36" s="109" t="str">
        <f>'RelFlt-3'!D42</f>
        <v/>
      </c>
    </row>
    <row r="37" spans="5:5" x14ac:dyDescent="0.75">
      <c r="E37" s="109" t="str">
        <f>'RelFlt-3'!D43</f>
        <v/>
      </c>
    </row>
    <row r="38" spans="5:5" x14ac:dyDescent="0.75">
      <c r="E38" s="109" t="str">
        <f>'RelFlt-3'!D44</f>
        <v>* differential.element[2].id = "RelapseDuringFLT.relatedDiagnosis"</v>
      </c>
    </row>
    <row r="39" spans="5:5" x14ac:dyDescent="0.75">
      <c r="E39" s="109" t="str">
        <f>'RelFlt-3'!D45</f>
        <v>* differential.element[2].path = "RelapseDuringFLT.relatedDiagnosis"</v>
      </c>
    </row>
    <row r="40" spans="5:5" x14ac:dyDescent="0.75">
      <c r="E40" s="109" t="str">
        <f>'RelFlt-3'!D46</f>
        <v>* differential.element[2].short = "Related diagnosis identifier"</v>
      </c>
    </row>
    <row r="41" spans="5:5" x14ac:dyDescent="0.75">
      <c r="E41" s="109" t="str">
        <f>'RelFlt-3'!D47</f>
        <v>* differential.element[2].definition = "Related diagnosis identifier"</v>
      </c>
    </row>
    <row r="42" spans="5:5" x14ac:dyDescent="0.75">
      <c r="E42" s="109" t="str">
        <f>'RelFlt-3'!D48</f>
        <v>* differential.element[2].min = 0</v>
      </c>
    </row>
    <row r="43" spans="5:5" x14ac:dyDescent="0.75">
      <c r="E43" s="109" t="str">
        <f>'RelFlt-3'!D49</f>
        <v>* differential.element[2].max = "1"</v>
      </c>
    </row>
    <row r="44" spans="5:5" x14ac:dyDescent="0.75">
      <c r="E44" s="109" t="str">
        <f>'RelFlt-3'!D50</f>
        <v>* differential.element[2].type.code = #Identifier</v>
      </c>
    </row>
    <row r="45" spans="5:5" x14ac:dyDescent="0.75">
      <c r="E45" s="109" t="str">
        <f>'RelFlt-3'!D51</f>
        <v/>
      </c>
    </row>
    <row r="46" spans="5:5" x14ac:dyDescent="0.75">
      <c r="E46" s="109" t="str">
        <f>'RelFlt-3'!D52</f>
        <v/>
      </c>
    </row>
    <row r="47" spans="5:5" x14ac:dyDescent="0.75">
      <c r="E47" s="109" t="str">
        <f>'RelFlt-3'!D53</f>
        <v>* differential.element[4].id = "RelapseDuringFLT.date"</v>
      </c>
    </row>
    <row r="48" spans="5:5" x14ac:dyDescent="0.75">
      <c r="E48" s="109" t="str">
        <f>'RelFlt-3'!D54</f>
        <v>* differential.element[4].path = "RelapseDuringFLT.date"</v>
      </c>
    </row>
    <row r="49" spans="5:5" x14ac:dyDescent="0.75">
      <c r="E49" s="109" t="str">
        <f>'RelFlt-3'!D55</f>
        <v>* differential.element[4].short = "Date"</v>
      </c>
    </row>
    <row r="50" spans="5:5" x14ac:dyDescent="0.75">
      <c r="E50" s="109" t="str">
        <f>'RelFlt-3'!D56</f>
        <v>* differential.element[4].definition = "Report the date of the event in DD/MM/YYYY format. If the date is unkown or partially missed insert the year at the best of your knowledge."</v>
      </c>
    </row>
    <row r="51" spans="5:5" x14ac:dyDescent="0.75">
      <c r="E51" s="109" t="str">
        <f>'RelFlt-3'!D57</f>
        <v>* differential.element[4].min = 0</v>
      </c>
    </row>
    <row r="52" spans="5:5" x14ac:dyDescent="0.75">
      <c r="E52" s="109" t="str">
        <f>'RelFlt-3'!D58</f>
        <v>* differential.element[4].max = "1"</v>
      </c>
    </row>
    <row r="53" spans="5:5" x14ac:dyDescent="0.75">
      <c r="E53" s="109" t="str">
        <f>'RelFlt-3'!D59</f>
        <v>* differential.element[4].type.code = #dateTime</v>
      </c>
    </row>
    <row r="54" spans="5:5" x14ac:dyDescent="0.75">
      <c r="E54" s="109" t="str">
        <f>'RelFlt-3'!D60</f>
        <v/>
      </c>
    </row>
    <row r="55" spans="5:5" x14ac:dyDescent="0.75">
      <c r="E55" s="109" t="str">
        <f>'RelFlt-3'!D61</f>
        <v/>
      </c>
    </row>
    <row r="56" spans="5:5" x14ac:dyDescent="0.75">
      <c r="E56" s="109" t="str">
        <f>'RelFlt-3'!D62</f>
        <v>* differential.element[3].id = "RelapseDuringFLT.type"</v>
      </c>
    </row>
    <row r="57" spans="5:5" x14ac:dyDescent="0.75">
      <c r="E57" s="109" t="str">
        <f>'RelFlt-3'!D63</f>
        <v>* differential.element[3].path = "RelapseDuringFLT.type"</v>
      </c>
    </row>
    <row r="58" spans="5:5" x14ac:dyDescent="0.75">
      <c r="E58" s="109" t="str">
        <f>'RelFlt-3'!D64</f>
        <v>* differential.element[3].short = "relapse | progression"</v>
      </c>
    </row>
    <row r="59" spans="5:5" x14ac:dyDescent="0.75">
      <c r="E59" s="109" t="str">
        <f>'RelFlt-3'!D65</f>
        <v>* differential.element[3].definition = "The type of event should be reported
1 =&gt; Relapse
2 =&gt; Progression 
-9922= NK"</v>
      </c>
    </row>
    <row r="60" spans="5:5" x14ac:dyDescent="0.75">
      <c r="E60" s="109" t="str">
        <f>'RelFlt-3'!D66</f>
        <v>* differential.element[3].min = 0</v>
      </c>
    </row>
    <row r="61" spans="5:5" x14ac:dyDescent="0.75">
      <c r="E61" s="109" t="str">
        <f>'RelFlt-3'!D67</f>
        <v>* differential.element[3].max = "1"</v>
      </c>
    </row>
    <row r="62" spans="5:5" x14ac:dyDescent="0.75">
      <c r="E62" s="109" t="str">
        <f>'RelFlt-3'!D68</f>
        <v>* differential.element[3].type.code = #CodeableConcept</v>
      </c>
    </row>
    <row r="63" spans="5:5" x14ac:dyDescent="0.75">
      <c r="E63" s="109" t="str">
        <f>'RelFlt-3'!D69</f>
        <v/>
      </c>
    </row>
    <row r="64" spans="5:5" x14ac:dyDescent="0.75">
      <c r="E64" s="109" t="str">
        <f>'RelFlt-3'!D70</f>
        <v/>
      </c>
    </row>
    <row r="65" spans="5:5" x14ac:dyDescent="0.75">
      <c r="E65" s="109" t="str">
        <f>'RelFlt-3'!D71</f>
        <v>* differential.element[5].id = "RelapseDuringFLT.qualifier"</v>
      </c>
    </row>
    <row r="66" spans="5:5" x14ac:dyDescent="0.75">
      <c r="E66" s="109" t="str">
        <f>'RelFlt-3'!D72</f>
        <v>* differential.element[5].path = "RelapseDuringFLT.qualifier"</v>
      </c>
    </row>
    <row r="67" spans="5:5" x14ac:dyDescent="0.75">
      <c r="E67" s="109" t="str">
        <f>'RelFlt-3'!D73</f>
        <v>* differential.element[5].short = "local | distant | combined"</v>
      </c>
    </row>
    <row r="68" spans="5:5" x14ac:dyDescent="0.75">
      <c r="E68" s="109" t="str">
        <f>'RelFlt-3'!D74</f>
        <v>* differential.element[5].definition = "Please state if the relapse or progression was local, distant,  combined or unk"</v>
      </c>
    </row>
    <row r="69" spans="5:5" x14ac:dyDescent="0.75">
      <c r="E69" s="109" t="str">
        <f>'RelFlt-3'!D75</f>
        <v>* differential.element[5].min = 0</v>
      </c>
    </row>
    <row r="70" spans="5:5" x14ac:dyDescent="0.75">
      <c r="E70" s="109" t="str">
        <f>'RelFlt-3'!D76</f>
        <v>* differential.element[5].max = "1"</v>
      </c>
    </row>
    <row r="71" spans="5:5" x14ac:dyDescent="0.75">
      <c r="E71" s="109" t="str">
        <f>'RelFlt-3'!D77</f>
        <v>* differential.element[5].type.code = #CodeableConcept</v>
      </c>
    </row>
    <row r="72" spans="5:5" x14ac:dyDescent="0.75">
      <c r="E72" s="109" t="str">
        <f>'RelFlt-3'!D78</f>
        <v/>
      </c>
    </row>
    <row r="73" spans="5:5" x14ac:dyDescent="0.75">
      <c r="E73" s="109" t="str">
        <f>'RelFlt-3'!D79</f>
        <v/>
      </c>
    </row>
    <row r="74" spans="5:5" x14ac:dyDescent="0.75">
      <c r="E74" s="109" t="str">
        <f>'RelFlt-3'!D80</f>
        <v>* differential.element[6].id = "RelapseDuringFLT.site"</v>
      </c>
    </row>
    <row r="75" spans="5:5" x14ac:dyDescent="0.75">
      <c r="E75" s="109" t="str">
        <f>'RelFlt-3'!D81</f>
        <v>* differential.element[6].path = "RelapseDuringFLT.site"</v>
      </c>
    </row>
    <row r="76" spans="5:5" x14ac:dyDescent="0.75">
      <c r="E76" s="109" t="str">
        <f>'RelFlt-3'!D82</f>
        <v>* differential.element[6].short = "If distant, site of metastases"</v>
      </c>
    </row>
    <row r="77" spans="5:5" x14ac:dyDescent="0.75">
      <c r="E77" s="109" t="str">
        <f>'RelFlt-3'!D83</f>
        <v>* differential.element[6].definition = "If distant or comobined, specify site  (text)"</v>
      </c>
    </row>
    <row r="78" spans="5:5" x14ac:dyDescent="0.75">
      <c r="E78" s="109" t="str">
        <f>'RelFlt-3'!D84</f>
        <v>* differential.element[6].min = 0</v>
      </c>
    </row>
    <row r="79" spans="5:5" x14ac:dyDescent="0.75">
      <c r="E79" s="109" t="str">
        <f>'RelFlt-3'!D85</f>
        <v>* differential.element[6].max = "1"</v>
      </c>
    </row>
    <row r="80" spans="5:5" x14ac:dyDescent="0.75">
      <c r="E80" s="109" t="str">
        <f>'RelFlt-3'!D86</f>
        <v>* differential.element[6].type.code = #string</v>
      </c>
    </row>
    <row r="81" spans="5:5" x14ac:dyDescent="0.75">
      <c r="E81" s="109" t="str">
        <f>'RelFlt-3'!D87</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B1" zoomScale="145" zoomScaleNormal="145" workbookViewId="0">
      <selection activeCell="C32" sqref="C32"/>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1139</v>
      </c>
      <c r="E2" s="25"/>
      <c r="F2" s="25"/>
      <c r="G2" s="25"/>
    </row>
    <row r="3" spans="1:9" x14ac:dyDescent="0.75">
      <c r="B3" s="118" t="s">
        <v>34</v>
      </c>
      <c r="C3" s="107" t="s">
        <v>36</v>
      </c>
      <c r="D3" s="56"/>
      <c r="E3" s="25"/>
      <c r="F3" s="25"/>
      <c r="G3" s="25"/>
    </row>
    <row r="4" spans="1:9" ht="15.5" thickBot="1" x14ac:dyDescent="0.9">
      <c r="B4" s="119" t="s">
        <v>52</v>
      </c>
      <c r="C4" s="16" t="s">
        <v>1058</v>
      </c>
      <c r="D4" s="57"/>
      <c r="E4" s="25"/>
      <c r="F4" s="25"/>
      <c r="G4" s="25"/>
    </row>
    <row r="5" spans="1:9" x14ac:dyDescent="0.75">
      <c r="C5" s="3" t="s">
        <v>7</v>
      </c>
      <c r="D5" s="4" t="s">
        <v>8</v>
      </c>
      <c r="E5" s="11" t="s">
        <v>17</v>
      </c>
      <c r="F5" s="11" t="s">
        <v>18</v>
      </c>
      <c r="G5" s="11" t="s">
        <v>19</v>
      </c>
    </row>
    <row r="6" spans="1:9" x14ac:dyDescent="0.75">
      <c r="A6">
        <v>0</v>
      </c>
      <c r="B6" s="16" t="s">
        <v>1058</v>
      </c>
      <c r="C6" s="16" t="s">
        <v>67</v>
      </c>
      <c r="D6" s="122" t="s">
        <v>67</v>
      </c>
      <c r="E6" s="34">
        <v>1</v>
      </c>
      <c r="F6" s="34">
        <v>1</v>
      </c>
      <c r="G6" s="34" t="s">
        <v>21</v>
      </c>
      <c r="I6" s="25"/>
    </row>
    <row r="7" spans="1:9" ht="29.5" x14ac:dyDescent="0.75">
      <c r="A7" s="109">
        <v>1</v>
      </c>
      <c r="B7" s="111" t="s">
        <v>35</v>
      </c>
      <c r="C7" s="111" t="s">
        <v>726</v>
      </c>
      <c r="D7" s="154"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1059</v>
      </c>
      <c r="C10" s="111" t="s">
        <v>1079</v>
      </c>
      <c r="D10" s="111" t="s">
        <v>729</v>
      </c>
      <c r="E10" s="111">
        <v>0</v>
      </c>
      <c r="F10" s="111">
        <v>10</v>
      </c>
      <c r="G10" s="111" t="s">
        <v>5</v>
      </c>
    </row>
    <row r="11" spans="1:9" ht="103.25" x14ac:dyDescent="0.75">
      <c r="A11" s="109">
        <v>5</v>
      </c>
      <c r="B11" s="110" t="s">
        <v>1061</v>
      </c>
      <c r="C11" s="111" t="s">
        <v>1079</v>
      </c>
      <c r="D11" s="112" t="s">
        <v>1073</v>
      </c>
      <c r="E11" s="111">
        <v>0</v>
      </c>
      <c r="F11" s="111" t="s">
        <v>20</v>
      </c>
      <c r="G11" s="111" t="s">
        <v>1</v>
      </c>
      <c r="H11" s="2"/>
      <c r="I11" s="25"/>
    </row>
    <row r="12" spans="1:9" s="25" customFormat="1" x14ac:dyDescent="0.75">
      <c r="A12" s="109">
        <v>6</v>
      </c>
      <c r="B12" s="125" t="s">
        <v>1062</v>
      </c>
      <c r="C12" s="113" t="s">
        <v>732</v>
      </c>
      <c r="D12" s="113" t="s">
        <v>732</v>
      </c>
      <c r="E12" s="111">
        <v>0</v>
      </c>
      <c r="F12" s="111">
        <v>1</v>
      </c>
      <c r="G12" s="111" t="s">
        <v>1060</v>
      </c>
      <c r="H12" s="21"/>
    </row>
    <row r="13" spans="1:9" s="109" customFormat="1" ht="29.5" x14ac:dyDescent="0.75">
      <c r="A13" s="109">
        <v>7</v>
      </c>
      <c r="B13" s="125" t="s">
        <v>1089</v>
      </c>
      <c r="C13" s="113" t="s">
        <v>1080</v>
      </c>
      <c r="D13" s="112" t="s">
        <v>739</v>
      </c>
      <c r="E13" s="111">
        <v>1</v>
      </c>
      <c r="F13" s="111">
        <v>1</v>
      </c>
      <c r="G13" s="113" t="s">
        <v>2</v>
      </c>
      <c r="H13" s="114"/>
    </row>
    <row r="14" spans="1:9" s="25" customFormat="1" ht="44.25" x14ac:dyDescent="0.75">
      <c r="A14" s="109">
        <v>8</v>
      </c>
      <c r="B14" s="125" t="s">
        <v>1090</v>
      </c>
      <c r="C14" s="113" t="s">
        <v>6</v>
      </c>
      <c r="D14" s="112" t="s">
        <v>742</v>
      </c>
      <c r="E14" s="111">
        <v>1</v>
      </c>
      <c r="F14" s="111">
        <v>1</v>
      </c>
      <c r="G14" s="113" t="s">
        <v>3</v>
      </c>
      <c r="H14" s="21"/>
    </row>
    <row r="15" spans="1:9" s="109" customFormat="1" x14ac:dyDescent="0.75">
      <c r="A15" s="109">
        <v>9</v>
      </c>
      <c r="B15" s="125" t="s">
        <v>1091</v>
      </c>
      <c r="C15" s="115" t="s">
        <v>743</v>
      </c>
      <c r="D15" s="112" t="s">
        <v>746</v>
      </c>
      <c r="E15" s="111">
        <v>0</v>
      </c>
      <c r="F15" s="111">
        <v>1</v>
      </c>
      <c r="G15" s="113" t="s">
        <v>1</v>
      </c>
      <c r="H15" s="114"/>
    </row>
    <row r="16" spans="1:9" s="109" customFormat="1" x14ac:dyDescent="0.75">
      <c r="A16" s="109">
        <v>10</v>
      </c>
      <c r="B16" s="111" t="s">
        <v>1064</v>
      </c>
      <c r="C16" s="111" t="s">
        <v>747</v>
      </c>
      <c r="D16" s="112" t="s">
        <v>749</v>
      </c>
      <c r="E16" s="111">
        <v>0</v>
      </c>
      <c r="F16" s="111">
        <v>1</v>
      </c>
      <c r="G16" s="113" t="s">
        <v>1</v>
      </c>
      <c r="H16" s="114"/>
    </row>
    <row r="17" spans="1:8" s="109" customFormat="1" x14ac:dyDescent="0.75">
      <c r="A17" s="109">
        <v>11</v>
      </c>
      <c r="B17" s="112" t="s">
        <v>1063</v>
      </c>
      <c r="C17" s="112" t="s">
        <v>750</v>
      </c>
      <c r="D17" s="112" t="s">
        <v>752</v>
      </c>
      <c r="E17" s="111">
        <v>0</v>
      </c>
      <c r="F17" s="111">
        <v>1</v>
      </c>
      <c r="G17" s="113" t="s">
        <v>1</v>
      </c>
      <c r="H17" s="114"/>
    </row>
    <row r="18" spans="1:8" s="109" customFormat="1" x14ac:dyDescent="0.75">
      <c r="A18" s="109">
        <v>12</v>
      </c>
      <c r="B18" s="112" t="s">
        <v>1065</v>
      </c>
      <c r="C18" s="112" t="s">
        <v>753</v>
      </c>
      <c r="D18" s="112" t="s">
        <v>755</v>
      </c>
      <c r="E18" s="111">
        <v>0</v>
      </c>
      <c r="F18" s="111">
        <v>1</v>
      </c>
      <c r="G18" s="113" t="s">
        <v>1</v>
      </c>
      <c r="H18" s="114"/>
    </row>
    <row r="19" spans="1:8" s="109" customFormat="1" x14ac:dyDescent="0.75">
      <c r="A19" s="109">
        <v>13</v>
      </c>
      <c r="B19" s="112" t="s">
        <v>1066</v>
      </c>
      <c r="C19" s="112" t="s">
        <v>756</v>
      </c>
      <c r="D19" s="112" t="s">
        <v>758</v>
      </c>
      <c r="E19" s="111">
        <v>0</v>
      </c>
      <c r="F19" s="111">
        <v>1</v>
      </c>
      <c r="G19" s="113" t="s">
        <v>1</v>
      </c>
      <c r="H19" s="114"/>
    </row>
    <row r="20" spans="1:8" s="109" customFormat="1" x14ac:dyDescent="0.75">
      <c r="A20" s="109">
        <v>14</v>
      </c>
      <c r="B20" s="115" t="s">
        <v>1067</v>
      </c>
      <c r="C20" s="115" t="s">
        <v>759</v>
      </c>
      <c r="D20" s="108" t="s">
        <v>761</v>
      </c>
      <c r="E20" s="111">
        <v>0</v>
      </c>
      <c r="F20" s="111">
        <v>1</v>
      </c>
      <c r="G20" s="113" t="s">
        <v>1</v>
      </c>
      <c r="H20" s="114"/>
    </row>
    <row r="21" spans="1:8" s="109" customFormat="1" x14ac:dyDescent="0.75">
      <c r="A21" s="109">
        <v>15</v>
      </c>
      <c r="B21" s="115" t="s">
        <v>1103</v>
      </c>
      <c r="C21" s="115" t="s">
        <v>1081</v>
      </c>
      <c r="D21" s="108" t="s">
        <v>765</v>
      </c>
      <c r="E21" s="111">
        <v>0</v>
      </c>
      <c r="F21" s="111">
        <v>1</v>
      </c>
      <c r="G21" s="113" t="s">
        <v>5</v>
      </c>
      <c r="H21" s="114"/>
    </row>
    <row r="22" spans="1:8" s="109" customFormat="1" x14ac:dyDescent="0.75">
      <c r="A22" s="109">
        <v>16</v>
      </c>
      <c r="B22" s="115" t="s">
        <v>1104</v>
      </c>
      <c r="C22" s="115" t="s">
        <v>1082</v>
      </c>
      <c r="D22" s="108" t="s">
        <v>770</v>
      </c>
      <c r="E22" s="111">
        <v>0</v>
      </c>
      <c r="F22" s="111">
        <v>1</v>
      </c>
      <c r="G22" s="113" t="s">
        <v>1</v>
      </c>
      <c r="H22" s="114"/>
    </row>
    <row r="23" spans="1:8" s="109" customFormat="1" x14ac:dyDescent="0.75">
      <c r="A23" s="109">
        <v>17</v>
      </c>
      <c r="B23" s="115" t="s">
        <v>1105</v>
      </c>
      <c r="C23" s="115" t="s">
        <v>771</v>
      </c>
      <c r="D23" s="108" t="s">
        <v>773</v>
      </c>
      <c r="E23" s="111">
        <v>0</v>
      </c>
      <c r="F23" s="111">
        <v>1</v>
      </c>
      <c r="G23" s="113" t="s">
        <v>3</v>
      </c>
      <c r="H23" s="114"/>
    </row>
    <row r="24" spans="1:8" s="109" customFormat="1" x14ac:dyDescent="0.75">
      <c r="A24" s="109">
        <v>18</v>
      </c>
      <c r="B24" s="111" t="s">
        <v>1106</v>
      </c>
      <c r="C24" s="111" t="s">
        <v>774</v>
      </c>
      <c r="D24" s="111" t="s">
        <v>774</v>
      </c>
      <c r="E24" s="111">
        <v>0</v>
      </c>
      <c r="F24" s="111">
        <v>1</v>
      </c>
      <c r="G24" s="113" t="s">
        <v>5</v>
      </c>
      <c r="H24" s="114"/>
    </row>
    <row r="25" spans="1:8" s="109" customFormat="1" x14ac:dyDescent="0.75">
      <c r="A25" s="109">
        <v>19</v>
      </c>
      <c r="B25" s="111" t="s">
        <v>1107</v>
      </c>
      <c r="C25" s="111" t="s">
        <v>1120</v>
      </c>
      <c r="D25" s="112" t="s">
        <v>776</v>
      </c>
      <c r="E25" s="111">
        <v>0</v>
      </c>
      <c r="F25" s="111">
        <v>1</v>
      </c>
      <c r="G25" s="113" t="s">
        <v>1</v>
      </c>
      <c r="H25" s="114"/>
    </row>
    <row r="26" spans="1:8" s="109" customFormat="1" ht="29.5" x14ac:dyDescent="0.75">
      <c r="A26" s="109">
        <v>20</v>
      </c>
      <c r="B26" s="111" t="s">
        <v>1108</v>
      </c>
      <c r="C26" s="112" t="s">
        <v>777</v>
      </c>
      <c r="D26" s="112" t="s">
        <v>780</v>
      </c>
      <c r="E26" s="111">
        <v>0</v>
      </c>
      <c r="F26" s="111">
        <v>1</v>
      </c>
      <c r="G26" s="113" t="s">
        <v>3</v>
      </c>
      <c r="H26" s="114"/>
    </row>
    <row r="27" spans="1:8" x14ac:dyDescent="0.75">
      <c r="A27" s="109">
        <v>21</v>
      </c>
      <c r="B27" s="111" t="s">
        <v>1074</v>
      </c>
      <c r="C27" s="111" t="s">
        <v>1083</v>
      </c>
      <c r="D27" s="111" t="s">
        <v>781</v>
      </c>
      <c r="E27" s="111">
        <v>0</v>
      </c>
      <c r="F27" s="111">
        <v>1</v>
      </c>
      <c r="G27" s="113" t="s">
        <v>5</v>
      </c>
    </row>
    <row r="28" spans="1:8" s="109" customFormat="1" x14ac:dyDescent="0.75">
      <c r="A28" s="109">
        <v>22</v>
      </c>
      <c r="B28" s="111" t="s">
        <v>1075</v>
      </c>
      <c r="C28" s="111" t="s">
        <v>1120</v>
      </c>
      <c r="D28" s="112" t="s">
        <v>784</v>
      </c>
      <c r="E28" s="111">
        <v>0</v>
      </c>
      <c r="F28" s="111">
        <v>1</v>
      </c>
      <c r="G28" s="113" t="s">
        <v>1</v>
      </c>
    </row>
    <row r="29" spans="1:8" s="25" customFormat="1" ht="29.5" x14ac:dyDescent="0.75">
      <c r="A29" s="109">
        <v>23</v>
      </c>
      <c r="B29" s="111" t="s">
        <v>1068</v>
      </c>
      <c r="C29" s="112" t="s">
        <v>1084</v>
      </c>
      <c r="D29" s="112" t="s">
        <v>788</v>
      </c>
      <c r="E29" s="111">
        <v>0</v>
      </c>
      <c r="F29" s="111">
        <v>1</v>
      </c>
      <c r="G29" s="113" t="s">
        <v>3</v>
      </c>
    </row>
    <row r="30" spans="1:8" x14ac:dyDescent="0.75">
      <c r="A30" s="109">
        <v>24</v>
      </c>
      <c r="B30" s="111" t="s">
        <v>1069</v>
      </c>
      <c r="C30" s="111" t="s">
        <v>789</v>
      </c>
      <c r="D30" s="112" t="s">
        <v>791</v>
      </c>
      <c r="E30" s="111">
        <v>0</v>
      </c>
      <c r="F30" s="111">
        <v>1</v>
      </c>
      <c r="G30" s="113" t="s">
        <v>1</v>
      </c>
      <c r="H30" s="136"/>
    </row>
    <row r="31" spans="1:8" x14ac:dyDescent="0.75">
      <c r="A31" s="109">
        <v>25</v>
      </c>
      <c r="B31" s="112" t="s">
        <v>1086</v>
      </c>
      <c r="C31" s="111" t="s">
        <v>1085</v>
      </c>
      <c r="D31" s="112" t="s">
        <v>794</v>
      </c>
      <c r="E31" s="111">
        <v>0</v>
      </c>
      <c r="F31" s="111">
        <v>1</v>
      </c>
      <c r="G31" s="113" t="s">
        <v>5</v>
      </c>
    </row>
    <row r="32" spans="1:8" x14ac:dyDescent="0.75">
      <c r="A32" s="109">
        <v>26</v>
      </c>
      <c r="B32" s="112" t="s">
        <v>1121</v>
      </c>
      <c r="C32" s="113" t="s">
        <v>6</v>
      </c>
      <c r="D32" s="112" t="s">
        <v>798</v>
      </c>
      <c r="E32" s="111">
        <v>0</v>
      </c>
      <c r="F32" s="111">
        <v>1</v>
      </c>
      <c r="G32" s="113" t="s">
        <v>1</v>
      </c>
    </row>
    <row r="33" spans="1:9" ht="29.5" x14ac:dyDescent="0.75">
      <c r="A33" s="109">
        <v>27</v>
      </c>
      <c r="B33" s="112" t="s">
        <v>1087</v>
      </c>
      <c r="C33" s="111" t="s">
        <v>799</v>
      </c>
      <c r="D33" s="112" t="s">
        <v>801</v>
      </c>
      <c r="E33" s="111">
        <v>0</v>
      </c>
      <c r="F33" s="111">
        <v>1</v>
      </c>
      <c r="G33" s="113" t="s">
        <v>3</v>
      </c>
    </row>
    <row r="34" spans="1:9" s="25" customFormat="1" ht="29.5" x14ac:dyDescent="0.75">
      <c r="A34" s="109">
        <v>28</v>
      </c>
      <c r="B34" s="112" t="s">
        <v>1071</v>
      </c>
      <c r="C34" s="111" t="s">
        <v>802</v>
      </c>
      <c r="D34" s="112" t="s">
        <v>804</v>
      </c>
      <c r="E34" s="111">
        <v>0</v>
      </c>
      <c r="F34" s="111">
        <v>1</v>
      </c>
      <c r="G34" s="113" t="s">
        <v>3</v>
      </c>
    </row>
    <row r="35" spans="1:9" s="25" customFormat="1" x14ac:dyDescent="0.75">
      <c r="A35" s="109">
        <v>29</v>
      </c>
      <c r="B35" s="112" t="s">
        <v>1070</v>
      </c>
      <c r="C35" s="111" t="s">
        <v>805</v>
      </c>
      <c r="D35" s="111" t="s">
        <v>805</v>
      </c>
      <c r="E35" s="111">
        <v>0</v>
      </c>
      <c r="F35" s="111">
        <v>1</v>
      </c>
      <c r="G35" s="111" t="s">
        <v>1076</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44.2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88.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#string</v>
      </c>
      <c r="I9" s="9"/>
    </row>
    <row r="10" spans="2:10" ht="59"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59"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59"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0</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0</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"Yes/No/UNK"</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"Yes/No/UNK"</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"OtherInfos.fertilityPreservation.description"</v>
      </c>
      <c r="C27" s="112" t="str">
        <f>CONCATENATE("* differential.element[",'Oth-1'!$A32,"].path = """,'Oth-1'!$B$6,".",'Oth-1'!B32,"""")</f>
        <v>* differential.element[26].path = "OtherInfos.fertilityPreservation.description"</v>
      </c>
      <c r="D27" s="112" t="str">
        <f>CONCATENATE("* differential.element[",'Oth-1'!A32,"].short = """,'Oth-1'!C32,"""")</f>
        <v>* differential.element[26].short = "Description"</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"1"</v>
      </c>
      <c r="H29" s="112" t="str">
        <f>CONCATENATE("* differential.element[",'Oth-1'!A34,"].type.code = #",'Oth-1'!G34,"")</f>
        <v>* differential.element[28].type.code = #string</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"1"</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2 - Ready for Review"</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2 - Ready for Review"</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#string</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0</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0</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"Yes/No/UNK"</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"Yes/No/UNK"</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"OtherInfos.fertilityPreservation.description"</v>
      </c>
    </row>
    <row r="211" spans="1:4" x14ac:dyDescent="0.75">
      <c r="A211" s="26">
        <v>177</v>
      </c>
      <c r="B211" s="26">
        <f t="shared" si="6"/>
        <v>25</v>
      </c>
      <c r="C211" s="26">
        <f t="shared" si="7"/>
        <v>2</v>
      </c>
      <c r="D211" s="112" t="str" cm="1">
        <f t="array" ref="D211">INDEX('Oth-2'!$B$2:$H$88,1+B211,C211)</f>
        <v>* differential.element[26].path = "OtherInfos.fertilityPreservation.description"</v>
      </c>
    </row>
    <row r="212" spans="1:4" x14ac:dyDescent="0.75">
      <c r="A212" s="26">
        <v>178</v>
      </c>
      <c r="B212" s="26">
        <f t="shared" si="6"/>
        <v>25</v>
      </c>
      <c r="C212" s="26">
        <f t="shared" si="7"/>
        <v>3</v>
      </c>
      <c r="D212" s="112" t="str" cm="1">
        <f t="array" ref="D212">INDEX('Oth-2'!$B$2:$H$88,1+B212,C212)</f>
        <v>* differential.element[26].short = "Description"</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"1"</v>
      </c>
    </row>
    <row r="230" spans="1:4" x14ac:dyDescent="0.75">
      <c r="A230" s="26">
        <v>196</v>
      </c>
      <c r="B230" s="26">
        <f t="shared" si="6"/>
        <v>27</v>
      </c>
      <c r="C230" s="26">
        <f t="shared" si="7"/>
        <v>7</v>
      </c>
      <c r="D230" s="112" t="str" cm="1">
        <f t="array" ref="D230">INDEX('Oth-2'!$B$2:$H$88,1+B230,C230)</f>
        <v>* differential.element[28].type.code = #string</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"1"</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14"/>
  <sheetViews>
    <sheetView topLeftCell="A33" zoomScale="130" zoomScaleNormal="130" workbookViewId="0">
      <selection activeCell="D37" sqref="D37"/>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29.5" x14ac:dyDescent="0.75">
      <c r="A7" s="111">
        <v>0</v>
      </c>
      <c r="B7" s="111">
        <f>'Oth-1'!A6</f>
        <v>0</v>
      </c>
      <c r="C7" s="111" t="str">
        <f>'Oth-1'!B6</f>
        <v>OtherInfos</v>
      </c>
      <c r="D7" s="109" t="s">
        <v>1124</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v>
      </c>
      <c r="K7" s="110" t="str">
        <f>IF(E7&gt;"",CONCATENATE("* differential.element[",$B7,"].mapping[",$A7,"].comment = """,E7,""""),"")</f>
        <v/>
      </c>
      <c r="M7" s="109" t="s">
        <v>40</v>
      </c>
      <c r="N7" s="109" t="s">
        <v>39</v>
      </c>
    </row>
    <row r="8" spans="1:14" ht="29.5" x14ac:dyDescent="0.75">
      <c r="A8" s="111">
        <v>1</v>
      </c>
      <c r="B8" s="111">
        <v>0</v>
      </c>
      <c r="C8" s="111" t="str">
        <f>'Oth-1'!B6</f>
        <v>OtherInfos</v>
      </c>
      <c r="D8" s="138" t="s">
        <v>1125</v>
      </c>
      <c r="H8" s="109" t="b">
        <f t="shared" ref="H8" si="0">IF(D8&gt;"",TRUE,FALSE)</f>
        <v>1</v>
      </c>
      <c r="I8" s="110" t="str">
        <f t="shared" ref="I8" si="1">IF(H8,CONCATENATE("* differential.element[",$B8,"].mapping[",$A8,"].identity = """,$G$1,""""),"")</f>
        <v>* differential.element[0].mapping[1].identity = "fhir"</v>
      </c>
      <c r="J8" s="110" t="str">
        <f t="shared" ref="J8" si="2">IF(H8,CONCATENATE("* differential.element[",$B8,"].mapping[",$A8,"].map = """,D8,""""),"")</f>
        <v>* differential.element[0].mapping[1].map = "Condition"</v>
      </c>
      <c r="K8" s="110" t="str">
        <f t="shared" ref="K8" si="3">IF(E8&gt;"",CONCATENATE("* differential.element[",$B8,"].mapping[",$A8,"].comment = """,E8,""""),"")</f>
        <v/>
      </c>
    </row>
    <row r="9" spans="1:14" ht="29.5" x14ac:dyDescent="0.75">
      <c r="A9" s="111">
        <v>0</v>
      </c>
      <c r="B9" s="111">
        <f>'Oth-1'!A7</f>
        <v>1</v>
      </c>
      <c r="C9" s="111" t="str">
        <f>'Oth-1'!B7</f>
        <v>identifier</v>
      </c>
      <c r="D9" s="138" t="s">
        <v>904</v>
      </c>
      <c r="H9" s="109" t="b">
        <f t="shared" ref="H9:H59" si="4">IF(D9&gt;"",TRUE,FALSE)</f>
        <v>1</v>
      </c>
      <c r="I9" s="110" t="str">
        <f t="shared" ref="I9:I59" si="5">IF(H9,CONCATENATE("* differential.element[",$B9,"].mapping[",$A9,"].identity = """,$G$1,""""),"")</f>
        <v>* differential.element[1].mapping[0].identity = "fhir"</v>
      </c>
      <c r="J9" s="110" t="str">
        <f t="shared" ref="J9:J59" si="6">IF(H9,CONCATENATE("* differential.element[",$B9,"].mapping[",$A9,"].map = """,D9,""""),"")</f>
        <v>* differential.element[1].mapping[0].map = ".identifier"</v>
      </c>
      <c r="K9" s="110" t="str">
        <f t="shared" ref="K9:K59" si="7">IF(E9&gt;"",CONCATENATE("* differential.element[",$B9,"].mapping[",$A9,"].comment = """,E9,""""),"")</f>
        <v/>
      </c>
      <c r="M9" s="44"/>
      <c r="N9" s="109" t="str">
        <f t="shared" ref="N9:N50" si="8">CONCATENATE("* ",C9," -&gt; """,D9,"""")</f>
        <v>* identifier -&gt; ".identifier"</v>
      </c>
    </row>
    <row r="10" spans="1:14" ht="29.5" x14ac:dyDescent="0.75">
      <c r="A10" s="111">
        <v>0</v>
      </c>
      <c r="B10" s="111">
        <f>'Oth-1'!A8</f>
        <v>2</v>
      </c>
      <c r="C10" s="111" t="str">
        <f>'Oth-1'!B8</f>
        <v>relatedDiagnosis</v>
      </c>
      <c r="D10" s="138" t="s">
        <v>1122</v>
      </c>
      <c r="H10" s="109" t="b">
        <f t="shared" ref="H10:H11" si="9">IF(D10&gt;"",TRUE,FALSE)</f>
        <v>1</v>
      </c>
      <c r="I10" s="110" t="str">
        <f t="shared" ref="I10:I11" si="10">IF(H10,CONCATENATE("* differential.element[",$B10,"].mapping[",$A10,"].identity = """,$G$1,""""),"")</f>
        <v>* differential.element[2].mapping[0].identity = "fhir"</v>
      </c>
      <c r="J10" s="110" t="str">
        <f t="shared" ref="J10:J11" si="11">IF(H10,CONCATENATE("* differential.element[",$B10,"].mapping[",$A10,"].map = """,D10,""""),"")</f>
        <v>* differential.element[2].mapping[0].map = "Procedure.reasonReference"</v>
      </c>
      <c r="K10" s="110" t="str">
        <f t="shared" ref="K10:K11" si="12">IF(E10&gt;"",CONCATENATE("* differential.element[",$B10,"].mapping[",$A10,"].comment = """,E10,""""),"")</f>
        <v/>
      </c>
      <c r="M10" s="44"/>
      <c r="N10" s="109" t="str">
        <f t="shared" si="8"/>
        <v>* relatedDiagnosis -&gt; "Procedure.reasonReference"</v>
      </c>
    </row>
    <row r="11" spans="1:14" ht="44.25" x14ac:dyDescent="0.75">
      <c r="A11" s="111">
        <v>1</v>
      </c>
      <c r="B11" s="111">
        <f>'Oth-1'!A8</f>
        <v>2</v>
      </c>
      <c r="C11" s="111" t="str">
        <f>'Oth-1'!B8</f>
        <v>relatedDiagnosis</v>
      </c>
      <c r="D11" s="138" t="s">
        <v>1123</v>
      </c>
      <c r="H11" s="109" t="b">
        <f t="shared" si="9"/>
        <v>1</v>
      </c>
      <c r="I11" s="110" t="str">
        <f t="shared" si="10"/>
        <v>* differential.element[2].mapping[1].identity = "fhir"</v>
      </c>
      <c r="J11" s="110" t="str">
        <f t="shared" si="11"/>
        <v>* differential.element[2].mapping[1].map = "extension('http://hl7.org/fhir/StructureDefinition/condition-related').valueReference"</v>
      </c>
      <c r="K11" s="110" t="str">
        <f t="shared" si="12"/>
        <v/>
      </c>
      <c r="M11" s="44"/>
    </row>
    <row r="12" spans="1:14" ht="29.5" x14ac:dyDescent="0.75">
      <c r="A12" s="111">
        <v>0</v>
      </c>
      <c r="B12" s="111">
        <f>'Oth-1'!A9</f>
        <v>3</v>
      </c>
      <c r="C12" s="111" t="str">
        <f>'Oth-1'!B9</f>
        <v>relatedRelapse</v>
      </c>
      <c r="D12" s="138" t="s">
        <v>1122</v>
      </c>
      <c r="H12" s="109" t="b">
        <f t="shared" ref="H12" si="13">IF(D12&gt;"",TRUE,FALSE)</f>
        <v>1</v>
      </c>
      <c r="I12" s="110" t="str">
        <f t="shared" ref="I12" si="14">IF(H12,CONCATENATE("* differential.element[",$B12,"].mapping[",$A12,"].identity = """,$G$1,""""),"")</f>
        <v>* differential.element[3].mapping[0].identity = "fhir"</v>
      </c>
      <c r="J12" s="110" t="str">
        <f t="shared" ref="J12" si="15">IF(H12,CONCATENATE("* differential.element[",$B12,"].mapping[",$A12,"].map = """,D12,""""),"")</f>
        <v>* differential.element[3].mapping[0].map = "Procedure.reasonReference"</v>
      </c>
      <c r="K12" s="110" t="str">
        <f t="shared" ref="K12" si="16">IF(E12&gt;"",CONCATENATE("* differential.element[",$B12,"].mapping[",$A12,"].comment = """,E12,""""),"")</f>
        <v/>
      </c>
      <c r="M12" s="44"/>
      <c r="N12" s="109" t="str">
        <f t="shared" si="8"/>
        <v>* relatedRelapse -&gt; "Procedure.reasonReference"</v>
      </c>
    </row>
    <row r="13" spans="1:14" ht="44.25" x14ac:dyDescent="0.75">
      <c r="A13" s="111">
        <v>1</v>
      </c>
      <c r="B13" s="111">
        <f>'Oth-1'!A9</f>
        <v>3</v>
      </c>
      <c r="C13" s="111" t="str">
        <f>'Oth-1'!B9</f>
        <v>relatedRelapse</v>
      </c>
      <c r="D13" s="138" t="s">
        <v>1123</v>
      </c>
      <c r="H13" s="109" t="b">
        <f t="shared" ref="H13:H48" si="17">IF(D13&gt;"",TRUE,FALSE)</f>
        <v>1</v>
      </c>
      <c r="I13" s="110" t="str">
        <f t="shared" ref="I13:I48" si="18">IF(H13,CONCATENATE("* differential.element[",$B13,"].mapping[",$A13,"].identity = """,$G$1,""""),"")</f>
        <v>* differential.element[3].mapping[1].identity = "fhir"</v>
      </c>
      <c r="J13" s="110" t="str">
        <f t="shared" ref="J13:J48" si="19">IF(H13,CONCATENATE("* differential.element[",$B13,"].mapping[",$A13,"].map = """,D13,""""),"")</f>
        <v>* differential.element[3].mapping[1].map = "extension('http://hl7.org/fhir/StructureDefinition/condition-related').valueReference"</v>
      </c>
      <c r="K13" s="110" t="str">
        <f t="shared" ref="K13:K48" si="20">IF(E13&gt;"",CONCATENATE("* differential.element[",$B13,"].mapping[",$A13,"].comment = """,E13,""""),"")</f>
        <v/>
      </c>
      <c r="M13" s="44"/>
    </row>
    <row r="14" spans="1:14" ht="59" x14ac:dyDescent="0.75">
      <c r="A14" s="111">
        <v>0</v>
      </c>
      <c r="B14" s="111">
        <f>'Oth-1'!A10</f>
        <v>4</v>
      </c>
      <c r="C14" s="111" t="str">
        <f>'Oth-1'!B10</f>
        <v>severeToxicity</v>
      </c>
      <c r="D14" s="138" t="s">
        <v>1126</v>
      </c>
      <c r="H14" s="109" t="b">
        <f t="shared" si="17"/>
        <v>1</v>
      </c>
      <c r="I14" s="110" t="str">
        <f t="shared" si="18"/>
        <v>* differential.element[4].mapping[0].identity = "fhir"</v>
      </c>
      <c r="J14" s="110" t="str">
        <f t="shared" si="19"/>
        <v>* differential.element[4].mapping[0].map = "Condition.conformsTo('http://hl7.eu/fhir/ig/pcsp/StructureDefinition/Condition-toxicity-eu-pcsp')"</v>
      </c>
      <c r="K14" s="110" t="str">
        <f t="shared" si="20"/>
        <v/>
      </c>
      <c r="M14" s="44"/>
      <c r="N14" s="109" t="str">
        <f t="shared" si="8"/>
        <v>* severeToxicity -&gt; "Condition.conformsTo('http://hl7.eu/fhir/ig/pcsp/StructureDefinition/Condition-toxicity-eu-pcsp')"</v>
      </c>
    </row>
    <row r="15" spans="1:14" ht="29.5" x14ac:dyDescent="0.75">
      <c r="A15" s="111">
        <v>0</v>
      </c>
      <c r="B15" s="111">
        <f>'Oth-1'!A11</f>
        <v>5</v>
      </c>
      <c r="C15" s="111" t="str">
        <f>'Oth-1'!B11</f>
        <v>severeToxicity.flag</v>
      </c>
      <c r="D15" s="138" t="s">
        <v>898</v>
      </c>
      <c r="H15" s="109" t="b">
        <f t="shared" si="17"/>
        <v>1</v>
      </c>
      <c r="I15" s="110" t="str">
        <f t="shared" si="18"/>
        <v>* differential.element[5].mapping[0].identity = "fhir"</v>
      </c>
      <c r="J15" s="110" t="str">
        <f t="shared" si="19"/>
        <v>* differential.element[5].mapping[0].map = ".exists()"</v>
      </c>
      <c r="K15" s="110" t="str">
        <f t="shared" si="20"/>
        <v/>
      </c>
      <c r="M15" s="44"/>
      <c r="N15" s="109" t="str">
        <f>CONCATENATE("* ",C15," -&gt; """,D18,"""")</f>
        <v>* severeToxicity.flag -&gt; ".onsetDateTime"</v>
      </c>
    </row>
    <row r="16" spans="1:14" ht="29.5" x14ac:dyDescent="0.75">
      <c r="A16" s="111">
        <v>1</v>
      </c>
      <c r="B16" s="111">
        <f>'Oth-1'!A11</f>
        <v>5</v>
      </c>
      <c r="C16" s="111" t="str">
        <f>'Oth-1'!B11</f>
        <v>severeToxicity.flag</v>
      </c>
      <c r="D16" s="138" t="s">
        <v>1127</v>
      </c>
      <c r="H16" s="109" t="b">
        <f t="shared" si="17"/>
        <v>1</v>
      </c>
      <c r="I16" s="110" t="str">
        <f t="shared" si="18"/>
        <v>* differential.element[5].mapping[1].identity = "fhir"</v>
      </c>
      <c r="J16" s="110" t="str">
        <f t="shared" si="19"/>
        <v>* differential.element[5].mapping[1].map = ".verificationStatus"</v>
      </c>
      <c r="K16" s="110" t="str">
        <f t="shared" si="20"/>
        <v/>
      </c>
      <c r="M16" s="44"/>
    </row>
    <row r="17" spans="1:14" ht="29.5" x14ac:dyDescent="0.75">
      <c r="A17" s="111">
        <v>0</v>
      </c>
      <c r="B17" s="111">
        <f>'Oth-1'!A12</f>
        <v>6</v>
      </c>
      <c r="C17" s="111" t="str">
        <f>'Oth-1'!B12</f>
        <v>severeToxicity.numberOfToxicity</v>
      </c>
      <c r="D17" s="13" t="s">
        <v>904</v>
      </c>
      <c r="H17" s="109" t="b">
        <f t="shared" si="17"/>
        <v>1</v>
      </c>
      <c r="I17" s="110" t="str">
        <f t="shared" si="18"/>
        <v>* differential.element[6].mapping[0].identity = "fhir"</v>
      </c>
      <c r="J17" s="110" t="str">
        <f t="shared" si="19"/>
        <v>* differential.element[6].mapping[0].map = ".identifier"</v>
      </c>
      <c r="K17" s="110" t="str">
        <f t="shared" si="20"/>
        <v/>
      </c>
      <c r="M17" s="44"/>
      <c r="N17" s="109" t="str">
        <f>CONCATENATE("* ",C17," -&gt; """,D15,"""")</f>
        <v>* severeToxicity.numberOfToxicity -&gt; ".exists()"</v>
      </c>
    </row>
    <row r="18" spans="1:14" ht="29.5" x14ac:dyDescent="0.75">
      <c r="A18" s="111">
        <v>0</v>
      </c>
      <c r="B18" s="111">
        <f>'Oth-1'!A13</f>
        <v>7</v>
      </c>
      <c r="C18" s="111" t="str">
        <f>'Oth-1'!B13</f>
        <v>severeToxicity.date</v>
      </c>
      <c r="D18" s="138" t="s">
        <v>1128</v>
      </c>
      <c r="H18" s="109" t="b">
        <f t="shared" si="17"/>
        <v>1</v>
      </c>
      <c r="I18" s="110" t="str">
        <f t="shared" si="18"/>
        <v>* differential.element[7].mapping[0].identity = "fhir"</v>
      </c>
      <c r="J18" s="110" t="str">
        <f t="shared" si="19"/>
        <v>* differential.element[7].mapping[0].map = ".onsetDateTime"</v>
      </c>
      <c r="K18" s="110" t="str">
        <f t="shared" si="20"/>
        <v/>
      </c>
      <c r="M18" s="44"/>
      <c r="N18" s="109" t="str">
        <f>CONCATENATE("* ",C18," -&gt; """,D17,"""")</f>
        <v>* severeToxicity.date -&gt; ".identifier"</v>
      </c>
    </row>
    <row r="19" spans="1:14" ht="29.5" x14ac:dyDescent="0.75">
      <c r="A19" s="111">
        <v>0</v>
      </c>
      <c r="B19" s="111">
        <f>'Oth-1'!A14</f>
        <v>8</v>
      </c>
      <c r="C19" s="111" t="str">
        <f>'Oth-1'!B14</f>
        <v>severeToxicity.description</v>
      </c>
      <c r="D19" s="138" t="s">
        <v>939</v>
      </c>
      <c r="H19" s="109" t="b">
        <f t="shared" si="17"/>
        <v>1</v>
      </c>
      <c r="I19" s="110" t="str">
        <f t="shared" si="18"/>
        <v>* differential.element[8].mapping[0].identity = "fhir"</v>
      </c>
      <c r="J19" s="110" t="str">
        <f t="shared" si="19"/>
        <v>* differential.element[8].mapping[0].map = ".text"</v>
      </c>
      <c r="K19" s="110" t="str">
        <f t="shared" si="20"/>
        <v/>
      </c>
      <c r="N19" s="109" t="str">
        <f t="shared" si="8"/>
        <v>* severeToxicity.description -&gt; ".text"</v>
      </c>
    </row>
    <row r="20" spans="1:14" ht="29.5" x14ac:dyDescent="0.75">
      <c r="A20" s="111">
        <v>1</v>
      </c>
      <c r="B20" s="111">
        <f>'Oth-1'!A14</f>
        <v>8</v>
      </c>
      <c r="C20" s="111" t="str">
        <f>'Oth-1'!B14</f>
        <v>severeToxicity.description</v>
      </c>
      <c r="D20" s="138" t="s">
        <v>1129</v>
      </c>
      <c r="H20" s="109" t="b">
        <f t="shared" si="17"/>
        <v>1</v>
      </c>
      <c r="I20" s="110" t="str">
        <f t="shared" si="18"/>
        <v>* differential.element[8].mapping[1].identity = "fhir"</v>
      </c>
      <c r="J20" s="110" t="str">
        <f t="shared" si="19"/>
        <v>* differential.element[8].mapping[1].map = ".note"</v>
      </c>
      <c r="K20" s="110" t="str">
        <f t="shared" si="20"/>
        <v/>
      </c>
    </row>
    <row r="21" spans="1:14" ht="29.5" x14ac:dyDescent="0.75">
      <c r="A21" s="111">
        <v>0</v>
      </c>
      <c r="B21" s="111">
        <f>'Oth-1'!A15</f>
        <v>9</v>
      </c>
      <c r="C21" s="111" t="str">
        <f>'Oth-1'!B15</f>
        <v>severeToxicity.isResolved</v>
      </c>
      <c r="D21" s="138" t="s">
        <v>1130</v>
      </c>
      <c r="H21" s="109" t="b">
        <f t="shared" si="17"/>
        <v>1</v>
      </c>
      <c r="I21" s="110" t="str">
        <f t="shared" si="18"/>
        <v>* differential.element[9].mapping[0].identity = "fhir"</v>
      </c>
      <c r="J21" s="110" t="str">
        <f t="shared" si="19"/>
        <v>* differential.element[9].mapping[0].map = ".clinicalStatus"</v>
      </c>
      <c r="K21" s="110" t="str">
        <f t="shared" si="20"/>
        <v/>
      </c>
      <c r="N21" s="109" t="str">
        <f t="shared" si="8"/>
        <v>* severeToxicity.isResolved -&gt; ".clinicalStatus"</v>
      </c>
    </row>
    <row r="22" spans="1:14" ht="88.5" x14ac:dyDescent="0.75">
      <c r="A22" s="111">
        <v>0</v>
      </c>
      <c r="B22" s="111">
        <f>'Oth-1'!A16</f>
        <v>10</v>
      </c>
      <c r="C22" s="111" t="str">
        <f>'Oth-1'!B16</f>
        <v>hypogonadal</v>
      </c>
      <c r="D22" s="138" t="s">
        <v>1140</v>
      </c>
      <c r="H22" s="109" t="b">
        <f t="shared" si="17"/>
        <v>1</v>
      </c>
      <c r="I22" s="110" t="str">
        <f t="shared" si="18"/>
        <v>* differential.element[10].mapping[0].identity = "fhir"</v>
      </c>
      <c r="J22" s="110" t="str">
        <f t="shared" si="19"/>
        <v>* differential.element[10].mapping[0].map = "Condition.conformsTo('http://hl7.eu/fhir/ig/pcsp/StructureDefinition/Condition-otherinfos-eu-pcsp').where(code = http://snomed.info/sct#48130008 'Hypogonadism').exists()"</v>
      </c>
      <c r="K22" s="110" t="str">
        <f t="shared" si="20"/>
        <v/>
      </c>
      <c r="N22" s="109" t="str">
        <f t="shared" si="8"/>
        <v>* hypogonadal -&gt; "Condition.conformsTo('http://hl7.eu/fhir/ig/pcsp/StructureDefinition/Condition-otherinfos-eu-pcsp').where(code = http://snomed.info/sct#48130008 'Hypogonadism').exists()"</v>
      </c>
    </row>
    <row r="23" spans="1:14" ht="88.5" x14ac:dyDescent="0.75">
      <c r="A23" s="111">
        <v>0</v>
      </c>
      <c r="B23" s="111">
        <f>'Oth-1'!A17</f>
        <v>11</v>
      </c>
      <c r="C23" s="111" t="str">
        <f>'Oth-1'!B17</f>
        <v>growthHormoneDeficiency</v>
      </c>
      <c r="D23" s="138" t="s">
        <v>1141</v>
      </c>
      <c r="H23" s="109" t="b">
        <f t="shared" si="17"/>
        <v>1</v>
      </c>
      <c r="I23" s="110" t="str">
        <f t="shared" si="18"/>
        <v>* differential.element[11].mapping[0].identity = "fhir"</v>
      </c>
      <c r="J23" s="110" t="str">
        <f t="shared" si="19"/>
        <v>* differential.element[11].mapping[0].map = "Condition.conformsTo('http://hl7.eu/fhir/ig/pcsp/StructureDefinition/Condition-otherinfos-eu-pcsp').where(code = http://snomed.info/sct#397827003 'Growth hormone deficiency').exists()"</v>
      </c>
      <c r="K23" s="110" t="str">
        <f t="shared" si="20"/>
        <v/>
      </c>
      <c r="N23" s="109" t="str">
        <f t="shared" si="8"/>
        <v>* growthHormoneDeficiency -&gt; "Condition.conformsTo('http://hl7.eu/fhir/ig/pcsp/StructureDefinition/Condition-otherinfos-eu-pcsp').where(code = http://snomed.info/sct#397827003 'Growth hormone deficiency').exists()"</v>
      </c>
    </row>
    <row r="24" spans="1:14" ht="88.5" x14ac:dyDescent="0.75">
      <c r="A24" s="111">
        <v>0</v>
      </c>
      <c r="B24" s="111">
        <f>'Oth-1'!A18</f>
        <v>12</v>
      </c>
      <c r="C24" s="111" t="str">
        <f>'Oth-1'!B18</f>
        <v>hydrocephalus</v>
      </c>
      <c r="D24" s="138" t="s">
        <v>1142</v>
      </c>
      <c r="H24" s="109" t="b">
        <f t="shared" si="17"/>
        <v>1</v>
      </c>
      <c r="I24" s="110" t="str">
        <f t="shared" si="18"/>
        <v>* differential.element[12].mapping[0].identity = "fhir"</v>
      </c>
      <c r="J24" s="110" t="str">
        <f t="shared" si="19"/>
        <v>* differential.element[12].mapping[0].map = "Condition.conformsTo('http://hl7.eu/fhir/ig/pcsp/StructureDefinition/Condition-otherinfos-eu-pcsp').where(code = http://snomed.info/sct#230745008 'Hydrocephalus').exists()"</v>
      </c>
      <c r="K24" s="110" t="str">
        <f t="shared" si="20"/>
        <v/>
      </c>
      <c r="N24" s="109" t="str">
        <f t="shared" si="8"/>
        <v>* hydrocephalus -&gt; "Condition.conformsTo('http://hl7.eu/fhir/ig/pcsp/StructureDefinition/Condition-otherinfos-eu-pcsp').where(code = http://snomed.info/sct#230745008 'Hydrocephalus').exists()"</v>
      </c>
    </row>
    <row r="25" spans="1:14" ht="88.5" x14ac:dyDescent="0.75">
      <c r="A25" s="111">
        <v>0</v>
      </c>
      <c r="B25" s="111">
        <f>'Oth-1'!A19</f>
        <v>13</v>
      </c>
      <c r="C25" s="111" t="str">
        <f>'Oth-1'!B19</f>
        <v>chronicViralHepatitis</v>
      </c>
      <c r="D25" s="138" t="s">
        <v>1143</v>
      </c>
      <c r="H25" s="109" t="b">
        <f t="shared" si="17"/>
        <v>1</v>
      </c>
      <c r="I25" s="110" t="str">
        <f t="shared" si="18"/>
        <v>* differential.element[13].mapping[0].identity = "fhir"</v>
      </c>
      <c r="J25" s="110" t="str">
        <f t="shared" si="19"/>
        <v>* differential.element[13].mapping[0].map = "Condition.conformsTo('http://hl7.eu/fhir/ig/pcsp/StructureDefinition/Condition-otherinfos-eu-pcsp').where(code = http://snomed.info/sct#10295004 'Chronic viral hepatitis').exists()"</v>
      </c>
      <c r="K25" s="110" t="str">
        <f t="shared" si="20"/>
        <v/>
      </c>
      <c r="N25" s="109" t="str">
        <f t="shared" si="8"/>
        <v>* chronicViralHepatitis -&gt; "Condition.conformsTo('http://hl7.eu/fhir/ig/pcsp/StructureDefinition/Condition-otherinfos-eu-pcsp').where(code = http://snomed.info/sct#10295004 'Chronic viral hepatitis').exists()"</v>
      </c>
    </row>
    <row r="26" spans="1:14" ht="88.5" x14ac:dyDescent="0.75">
      <c r="A26" s="111">
        <v>0</v>
      </c>
      <c r="B26" s="111">
        <f>'Oth-1'!A20</f>
        <v>14</v>
      </c>
      <c r="C26" s="111" t="str">
        <f>'Oth-1'!B20</f>
        <v>sinusoidalObstructionSyndrome</v>
      </c>
      <c r="D26" s="138" t="s">
        <v>1144</v>
      </c>
      <c r="H26" s="109" t="b">
        <f t="shared" si="17"/>
        <v>1</v>
      </c>
      <c r="I26" s="110" t="str">
        <f t="shared" si="18"/>
        <v>* differential.element[14].mapping[0].identity = "fhir"</v>
      </c>
      <c r="J26" s="110" t="str">
        <f t="shared" si="19"/>
        <v>* differential.element[14].mapping[0].map = "Condition.conformsTo('http://hl7.eu/fhir/ig/pcsp/StructureDefinition/Condition-otherinfos-eu-pcsp').where(code = http://snomed.info/sct#65617004 'Veno-occlusive disease of the liver').exists()"</v>
      </c>
      <c r="K26" s="110" t="str">
        <f t="shared" si="20"/>
        <v/>
      </c>
      <c r="N26" s="109" t="str">
        <f>CONCATENATE("* ",C26," -&gt; """,D28,"""")</f>
        <v>* sinusoidalObstructionSyndrome -&gt; ".focalDevice.action"</v>
      </c>
    </row>
    <row r="27" spans="1:14" ht="59" x14ac:dyDescent="0.75">
      <c r="A27" s="111">
        <v>0</v>
      </c>
      <c r="B27" s="111">
        <f>'Oth-1'!A21</f>
        <v>15</v>
      </c>
      <c r="C27" s="111" t="str">
        <f>'Oth-1'!B21</f>
        <v>catheter</v>
      </c>
      <c r="D27" s="138" t="s">
        <v>1131</v>
      </c>
      <c r="H27" s="109" t="b">
        <f t="shared" si="17"/>
        <v>1</v>
      </c>
      <c r="I27" s="110" t="str">
        <f t="shared" si="18"/>
        <v>* differential.element[15].mapping[0].identity = "fhir"</v>
      </c>
      <c r="J27" s="110" t="str">
        <f t="shared" si="19"/>
        <v>* differential.element[15].mapping[0].map = "Procedure.conformsTo('http://hl7.eu/fhir/ig/pcsp/StructureDefinition/Procedure-cvc-otherinfos-eu-pcsp')"</v>
      </c>
      <c r="K27" s="110" t="str">
        <f t="shared" si="20"/>
        <v/>
      </c>
    </row>
    <row r="28" spans="1:14" ht="29.5" x14ac:dyDescent="0.75">
      <c r="A28" s="111">
        <v>0</v>
      </c>
      <c r="B28" s="111">
        <f>'Oth-1'!A22</f>
        <v>16</v>
      </c>
      <c r="C28" s="111" t="str">
        <f>'Oth-1'!B22</f>
        <v>catheter.isInPlace</v>
      </c>
      <c r="D28" s="163" t="s">
        <v>999</v>
      </c>
      <c r="H28" s="109" t="b">
        <f t="shared" si="17"/>
        <v>1</v>
      </c>
      <c r="I28" s="110" t="str">
        <f t="shared" si="18"/>
        <v>* differential.element[16].mapping[0].identity = "fhir"</v>
      </c>
      <c r="J28" s="110" t="str">
        <f t="shared" si="19"/>
        <v>* differential.element[16].mapping[0].map = ".focalDevice.action"</v>
      </c>
      <c r="K28" s="110" t="str">
        <f t="shared" si="20"/>
        <v/>
      </c>
      <c r="N28" s="109" t="e">
        <f>CONCATENATE("* ",C28," -&gt; """,#REF!,"""")</f>
        <v>#REF!</v>
      </c>
    </row>
    <row r="29" spans="1:14" ht="29.5" x14ac:dyDescent="0.75">
      <c r="A29" s="111">
        <v>0</v>
      </c>
      <c r="B29" s="111">
        <f>'Oth-1'!A23</f>
        <v>17</v>
      </c>
      <c r="C29" s="111" t="str">
        <f>'Oth-1'!B23</f>
        <v>catheter.site</v>
      </c>
      <c r="D29" s="138" t="s">
        <v>906</v>
      </c>
      <c r="H29" s="109" t="b">
        <f t="shared" si="17"/>
        <v>1</v>
      </c>
      <c r="I29" s="110" t="str">
        <f t="shared" si="18"/>
        <v>* differential.element[17].mapping[0].identity = "fhir"</v>
      </c>
      <c r="J29" s="110" t="str">
        <f t="shared" si="19"/>
        <v>* differential.element[17].mapping[0].map = ".bodySite"</v>
      </c>
      <c r="K29" s="110" t="str">
        <f t="shared" si="20"/>
        <v/>
      </c>
      <c r="N29" s="109" t="str">
        <f t="shared" si="8"/>
        <v>* catheter.site -&gt; ".bodySite"</v>
      </c>
    </row>
    <row r="30" spans="1:14" ht="88.5" x14ac:dyDescent="0.75">
      <c r="A30" s="111">
        <v>0</v>
      </c>
      <c r="B30" s="111">
        <f>'Oth-1'!A24</f>
        <v>18</v>
      </c>
      <c r="C30" s="111" t="str">
        <f>'Oth-1'!B24</f>
        <v>catheter.relatedThrombosis</v>
      </c>
      <c r="D30" s="138" t="s">
        <v>1145</v>
      </c>
      <c r="H30" s="109" t="b">
        <f t="shared" si="17"/>
        <v>1</v>
      </c>
      <c r="I30" s="110" t="str">
        <f t="shared" si="18"/>
        <v>* differential.element[18].mapping[0].identity = "fhir"</v>
      </c>
      <c r="J30" s="110" t="str">
        <f t="shared" si="19"/>
        <v>* differential.element[18].mapping[0].map = "Condition.conformsTo('http://hl7.eu/fhir/ig/pcsp/StructureDefinition/Condition-otherinfos-eu-pcsp').where(code = http://snomed.info/sct#439127006 'Thrombosis')"</v>
      </c>
      <c r="K30" s="110" t="str">
        <f t="shared" si="20"/>
        <v/>
      </c>
      <c r="N30" s="109" t="str">
        <f t="shared" si="8"/>
        <v>* catheter.relatedThrombosis -&gt; "Condition.conformsTo('http://hl7.eu/fhir/ig/pcsp/StructureDefinition/Condition-otherinfos-eu-pcsp').where(code = http://snomed.info/sct#439127006 'Thrombosis')"</v>
      </c>
    </row>
    <row r="31" spans="1:14" ht="29.5" x14ac:dyDescent="0.75">
      <c r="A31" s="111">
        <v>0</v>
      </c>
      <c r="B31" s="111">
        <f>'Oth-1'!A25</f>
        <v>19</v>
      </c>
      <c r="C31" s="111" t="str">
        <f>'Oth-1'!B25</f>
        <v>catheter.relatedThrombosis.occurred</v>
      </c>
      <c r="D31" s="138" t="s">
        <v>898</v>
      </c>
      <c r="H31" s="109" t="b">
        <f t="shared" si="17"/>
        <v>1</v>
      </c>
      <c r="I31" s="110" t="str">
        <f t="shared" si="18"/>
        <v>* differential.element[19].mapping[0].identity = "fhir"</v>
      </c>
      <c r="J31" s="110" t="str">
        <f t="shared" si="19"/>
        <v>* differential.element[19].mapping[0].map = ".exists()"</v>
      </c>
      <c r="K31" s="110" t="str">
        <f t="shared" si="20"/>
        <v/>
      </c>
      <c r="N31" s="109" t="str">
        <f t="shared" si="8"/>
        <v>* catheter.relatedThrombosis.occurred -&gt; ".exists()"</v>
      </c>
    </row>
    <row r="32" spans="1:14" ht="29.5" x14ac:dyDescent="0.75">
      <c r="A32" s="111">
        <v>0</v>
      </c>
      <c r="B32" s="111">
        <f>'Oth-1'!A26</f>
        <v>20</v>
      </c>
      <c r="C32" s="111" t="str">
        <f>'Oth-1'!B26</f>
        <v>catheter.relatedThrombosis.specification</v>
      </c>
      <c r="D32" s="138" t="s">
        <v>939</v>
      </c>
      <c r="H32" s="109" t="b">
        <f t="shared" si="17"/>
        <v>1</v>
      </c>
      <c r="I32" s="110" t="str">
        <f t="shared" si="18"/>
        <v>* differential.element[20].mapping[0].identity = "fhir"</v>
      </c>
      <c r="J32" s="110" t="str">
        <f t="shared" si="19"/>
        <v>* differential.element[20].mapping[0].map = ".text"</v>
      </c>
      <c r="K32" s="110" t="str">
        <f t="shared" si="20"/>
        <v/>
      </c>
      <c r="N32" s="109" t="str">
        <f t="shared" si="8"/>
        <v>* catheter.relatedThrombosis.specification -&gt; ".text"</v>
      </c>
    </row>
    <row r="33" spans="1:14" ht="59" x14ac:dyDescent="0.75">
      <c r="A33" s="111">
        <v>0</v>
      </c>
      <c r="B33" s="111">
        <f>'Oth-1'!A27</f>
        <v>21</v>
      </c>
      <c r="C33" s="111" t="str">
        <f>'Oth-1'!B27</f>
        <v>transfusion</v>
      </c>
      <c r="D33" s="138" t="s">
        <v>1132</v>
      </c>
      <c r="H33" s="109" t="b">
        <f t="shared" si="17"/>
        <v>1</v>
      </c>
      <c r="I33" s="110" t="str">
        <f t="shared" si="18"/>
        <v>* differential.element[21].mapping[0].identity = "fhir"</v>
      </c>
      <c r="J33" s="110" t="str">
        <f t="shared" si="19"/>
        <v>* differential.element[21].mapping[0].map = "Procedure.conformsTo('http://hl7.eu/fhir/ig/pcsp/StructureDefinition/Procedure-transfusion-otherinfos-eu-pcsp')"</v>
      </c>
      <c r="K33" s="110" t="str">
        <f t="shared" si="20"/>
        <v/>
      </c>
      <c r="N33" s="109" t="str">
        <f t="shared" si="8"/>
        <v>* transfusion -&gt; "Procedure.conformsTo('http://hl7.eu/fhir/ig/pcsp/StructureDefinition/Procedure-transfusion-otherinfos-eu-pcsp')"</v>
      </c>
    </row>
    <row r="34" spans="1:14" ht="29.5" x14ac:dyDescent="0.75">
      <c r="A34" s="111">
        <v>0</v>
      </c>
      <c r="B34" s="111">
        <f>'Oth-1'!A28</f>
        <v>22</v>
      </c>
      <c r="C34" s="111" t="str">
        <f>'Oth-1'!B28</f>
        <v>transfusion.occured</v>
      </c>
      <c r="D34" s="138" t="s">
        <v>898</v>
      </c>
      <c r="H34" s="109" t="b">
        <f t="shared" si="17"/>
        <v>1</v>
      </c>
      <c r="I34" s="110" t="str">
        <f t="shared" si="18"/>
        <v>* differential.element[22].mapping[0].identity = "fhir"</v>
      </c>
      <c r="J34" s="110" t="str">
        <f t="shared" si="19"/>
        <v>* differential.element[22].mapping[0].map = ".exists()"</v>
      </c>
      <c r="K34" s="110" t="str">
        <f t="shared" si="20"/>
        <v/>
      </c>
      <c r="N34" s="109" t="str">
        <f t="shared" si="8"/>
        <v>* transfusion.occured -&gt; ".exists()"</v>
      </c>
    </row>
    <row r="35" spans="1:14" ht="88.5" x14ac:dyDescent="0.75">
      <c r="A35" s="111">
        <v>0</v>
      </c>
      <c r="B35" s="111">
        <f>'Oth-1'!A29</f>
        <v>23</v>
      </c>
      <c r="C35" s="111" t="str">
        <f>'Oth-1'!B29</f>
        <v>transfusion.last</v>
      </c>
      <c r="D35" s="138" t="s">
        <v>1133</v>
      </c>
      <c r="H35" s="109" t="b">
        <f t="shared" si="17"/>
        <v>1</v>
      </c>
      <c r="I35" s="110" t="str">
        <f t="shared" si="18"/>
        <v>* differential.element[23].mapping[0].identity = "fhir"</v>
      </c>
      <c r="J35" s="110" t="str">
        <f t="shared" si="19"/>
        <v>* differential.element[23].mapping[0].map = "extension(''http://hl7.eu/fhir/ig/pcsp/StructureDefinition/procedure-performedTiming').valueTiming.event.value.aggregate(iif($total.empty(), $this, iif($this &gt; $total, $this, $total)))"</v>
      </c>
      <c r="K35" s="110" t="str">
        <f t="shared" si="20"/>
        <v/>
      </c>
      <c r="N35" s="109" t="str">
        <f>CONCATENATE("* ",C35," -&gt; """,D37,"""")</f>
        <v>* transfusion.last -&gt; "iif(.extension(''http://hl7.eu/fhir/ig/pcsp/StructureDefinition/procedure-performedTiming').valueTiming.repeat.count &gt; 9; true)"</v>
      </c>
    </row>
    <row r="36" spans="1:14" ht="29.5" x14ac:dyDescent="0.75">
      <c r="A36" s="111">
        <v>1</v>
      </c>
      <c r="B36" s="111">
        <f>'Oth-1'!A29</f>
        <v>23</v>
      </c>
      <c r="C36" s="111" t="str">
        <f>'Oth-1'!B29</f>
        <v>transfusion.last</v>
      </c>
      <c r="D36" s="138" t="s">
        <v>1134</v>
      </c>
      <c r="H36" s="109" t="b">
        <f t="shared" si="17"/>
        <v>1</v>
      </c>
      <c r="I36" s="110" t="str">
        <f t="shared" si="18"/>
        <v>* differential.element[23].mapping[1].identity = "fhir"</v>
      </c>
      <c r="J36" s="110" t="str">
        <f t="shared" si="19"/>
        <v>* differential.element[23].mapping[1].map = "performedDateTime"</v>
      </c>
      <c r="K36" s="110" t="str">
        <f t="shared" si="20"/>
        <v/>
      </c>
    </row>
    <row r="37" spans="1:14" ht="73.75" x14ac:dyDescent="0.75">
      <c r="A37" s="111">
        <v>0</v>
      </c>
      <c r="B37" s="111">
        <f>'Oth-1'!A30</f>
        <v>24</v>
      </c>
      <c r="C37" s="111" t="str">
        <f>'Oth-1'!B30</f>
        <v>transfusion.moreThan10</v>
      </c>
      <c r="D37" s="138" t="s">
        <v>1164</v>
      </c>
      <c r="H37" s="109" t="b">
        <f t="shared" si="17"/>
        <v>1</v>
      </c>
      <c r="I37" s="110" t="str">
        <f t="shared" si="18"/>
        <v>* differential.element[24].mapping[0].identity = "fhir"</v>
      </c>
      <c r="J37" s="110" t="str">
        <f t="shared" si="19"/>
        <v>* differential.element[24].mapping[0].map = "iif(.extension(''http://hl7.eu/fhir/ig/pcsp/StructureDefinition/procedure-performedTiming').valueTiming.repeat.count &gt; 9; true)"</v>
      </c>
      <c r="K37" s="110" t="str">
        <f t="shared" si="20"/>
        <v/>
      </c>
      <c r="N37" s="109" t="e">
        <f>CONCATENATE("* ",C37," -&gt; """,#REF!,"""")</f>
        <v>#REF!</v>
      </c>
    </row>
    <row r="38" spans="1:14" ht="73.75" x14ac:dyDescent="0.75">
      <c r="A38" s="111">
        <v>1</v>
      </c>
      <c r="B38" s="111">
        <f>'Oth-1'!A30</f>
        <v>24</v>
      </c>
      <c r="C38" s="111" t="str">
        <f>'Oth-1'!B30</f>
        <v>transfusion.moreThan10</v>
      </c>
      <c r="D38" s="138" t="s">
        <v>1165</v>
      </c>
      <c r="H38" s="109" t="b">
        <f t="shared" si="17"/>
        <v>1</v>
      </c>
      <c r="I38" s="110" t="str">
        <f t="shared" si="18"/>
        <v>* differential.element[24].mapping[1].identity = "fhir"</v>
      </c>
      <c r="J38" s="110" t="str">
        <f t="shared" si="19"/>
        <v>* differential.element[24].mapping[1].map = "iif(.extension(''http://hl7.eu/fhir/ig/pcsp/StructureDefinition/procedure-performedTiming').valueTiming.repeat..boundsRange.low &gt; 9; true)"</v>
      </c>
      <c r="K38" s="110" t="str">
        <f t="shared" si="20"/>
        <v/>
      </c>
    </row>
    <row r="39" spans="1:14" ht="59" x14ac:dyDescent="0.75">
      <c r="A39" s="111">
        <v>0</v>
      </c>
      <c r="B39" s="111">
        <f>'Oth-1'!A31</f>
        <v>25</v>
      </c>
      <c r="C39" s="111" t="str">
        <f>'Oth-1'!B31</f>
        <v>fertilityPreservation</v>
      </c>
      <c r="D39" s="138" t="s">
        <v>1135</v>
      </c>
      <c r="H39" s="109" t="b">
        <f t="shared" si="17"/>
        <v>1</v>
      </c>
      <c r="I39" s="110" t="str">
        <f t="shared" si="18"/>
        <v>* differential.element[25].mapping[0].identity = "fhir"</v>
      </c>
      <c r="J39" s="110" t="str">
        <f t="shared" si="19"/>
        <v>* differential.element[25].mapping[0].map = "Procedure.conformsTo('http://hl7.eu/fhir/ig/pcsp/StructureDefinition/Procedure-cryopreservation-otherinfos-eu-pcsp')"</v>
      </c>
      <c r="K39" s="110" t="str">
        <f t="shared" si="20"/>
        <v/>
      </c>
      <c r="N39" s="109" t="str">
        <f t="shared" si="8"/>
        <v>* fertilityPreservation -&gt; "Procedure.conformsTo('http://hl7.eu/fhir/ig/pcsp/StructureDefinition/Procedure-cryopreservation-otherinfos-eu-pcsp')"</v>
      </c>
    </row>
    <row r="40" spans="1:14" ht="29.5" x14ac:dyDescent="0.75">
      <c r="A40" s="111">
        <v>0</v>
      </c>
      <c r="B40" s="111">
        <f>'Oth-1'!A32</f>
        <v>26</v>
      </c>
      <c r="C40" s="111" t="str">
        <f>'Oth-1'!B32</f>
        <v>fertilityPreservation.description</v>
      </c>
      <c r="D40" s="138" t="s">
        <v>939</v>
      </c>
      <c r="H40" s="109" t="b">
        <f t="shared" si="17"/>
        <v>1</v>
      </c>
      <c r="I40" s="110" t="str">
        <f t="shared" si="18"/>
        <v>* differential.element[26].mapping[0].identity = "fhir"</v>
      </c>
      <c r="J40" s="110" t="str">
        <f t="shared" si="19"/>
        <v>* differential.element[26].mapping[0].map = ".text"</v>
      </c>
      <c r="K40" s="110" t="str">
        <f t="shared" si="20"/>
        <v/>
      </c>
      <c r="N40" s="109" t="str">
        <f t="shared" si="8"/>
        <v>* fertilityPreservation.description -&gt; ".text"</v>
      </c>
    </row>
    <row r="41" spans="1:14" ht="29.5" x14ac:dyDescent="0.75">
      <c r="A41" s="111">
        <v>0</v>
      </c>
      <c r="B41" s="111">
        <f>'Oth-1'!A33</f>
        <v>27</v>
      </c>
      <c r="C41" s="111" t="str">
        <f>'Oth-1'!B33</f>
        <v>fertilityPreservation.storage</v>
      </c>
      <c r="D41" s="138" t="s">
        <v>1137</v>
      </c>
      <c r="H41" s="109" t="b">
        <f t="shared" si="17"/>
        <v>1</v>
      </c>
      <c r="I41" s="110" t="str">
        <f t="shared" si="18"/>
        <v>* differential.element[27].mapping[0].identity = "fhir"</v>
      </c>
      <c r="J41" s="110" t="str">
        <f t="shared" si="19"/>
        <v>* differential.element[27].mapping[0].map = ".location"</v>
      </c>
      <c r="K41" s="110" t="str">
        <f t="shared" si="20"/>
        <v/>
      </c>
      <c r="N41" s="109" t="str">
        <f t="shared" si="8"/>
        <v>* fertilityPreservation.storage -&gt; ".location"</v>
      </c>
    </row>
    <row r="42" spans="1:14" ht="59" x14ac:dyDescent="0.75">
      <c r="A42" s="111">
        <v>0</v>
      </c>
      <c r="B42" s="111">
        <f>'Oth-1'!A34</f>
        <v>28</v>
      </c>
      <c r="C42" s="111" t="str">
        <f>'Oth-1'!B34</f>
        <v>otherTreatment</v>
      </c>
      <c r="D42" s="138" t="s">
        <v>1136</v>
      </c>
      <c r="H42" s="109" t="b">
        <f t="shared" si="17"/>
        <v>1</v>
      </c>
      <c r="I42" s="110" t="str">
        <f t="shared" si="18"/>
        <v>* differential.element[28].mapping[0].identity = "fhir"</v>
      </c>
      <c r="J42" s="110" t="str">
        <f t="shared" si="19"/>
        <v>* differential.element[28].mapping[0].map = "Procedure.conformsTo('http://hl7.eu/fhir/ig/pcsp/StructureDefinition/Procedure-treatment-otherinfos-eu-pcsp')"</v>
      </c>
      <c r="K42" s="110" t="str">
        <f t="shared" si="20"/>
        <v/>
      </c>
      <c r="N42" s="109" t="str">
        <f t="shared" si="8"/>
        <v>* otherTreatment -&gt; "Procedure.conformsTo('http://hl7.eu/fhir/ig/pcsp/StructureDefinition/Procedure-treatment-otherinfos-eu-pcsp')"</v>
      </c>
    </row>
    <row r="43" spans="1:14" ht="59" x14ac:dyDescent="0.75">
      <c r="A43" s="111">
        <v>0</v>
      </c>
      <c r="B43" s="111">
        <f>'Oth-1'!A35</f>
        <v>29</v>
      </c>
      <c r="C43" s="111" t="str">
        <f>'Oth-1'!B35</f>
        <v>dischargeLetter</v>
      </c>
      <c r="D43" s="138" t="s">
        <v>1138</v>
      </c>
      <c r="H43" s="109" t="b">
        <f t="shared" si="17"/>
        <v>1</v>
      </c>
      <c r="I43" s="110" t="str">
        <f t="shared" si="18"/>
        <v>* differential.element[29].mapping[0].identity = "fhir"</v>
      </c>
      <c r="J43" s="110" t="str">
        <f t="shared" si="19"/>
        <v>* differential.element[29].mapping[0].map = "DocumentReference.conformsTo('http://hl7.eu/fhir/ig/pcsp/StructureDefinition/DocumentReference-eu-pcsp')"</v>
      </c>
      <c r="K43" s="110" t="str">
        <f t="shared" si="20"/>
        <v/>
      </c>
      <c r="N43" s="109" t="str">
        <f t="shared" si="8"/>
        <v>* dischargeLetter -&gt; "DocumentReference.conformsTo('http://hl7.eu/fhir/ig/pcsp/StructureDefinition/DocumentReference-eu-pcsp')"</v>
      </c>
    </row>
    <row r="44" spans="1:14" x14ac:dyDescent="0.75">
      <c r="A44" s="111"/>
      <c r="B44" s="111"/>
      <c r="C44" s="111"/>
      <c r="D44" s="112"/>
      <c r="H44" s="109" t="b">
        <f t="shared" si="17"/>
        <v>0</v>
      </c>
      <c r="I44" s="110" t="str">
        <f t="shared" si="18"/>
        <v/>
      </c>
      <c r="J44" s="110" t="str">
        <f t="shared" si="19"/>
        <v/>
      </c>
      <c r="K44" s="110" t="str">
        <f t="shared" si="20"/>
        <v/>
      </c>
      <c r="N44" s="109" t="str">
        <f t="shared" si="8"/>
        <v>*  -&gt; ""</v>
      </c>
    </row>
    <row r="45" spans="1:14" x14ac:dyDescent="0.75">
      <c r="A45" s="111"/>
      <c r="B45" s="111"/>
      <c r="C45" s="111"/>
      <c r="D45" s="112"/>
      <c r="H45" s="109" t="b">
        <f t="shared" si="17"/>
        <v>0</v>
      </c>
      <c r="I45" s="110" t="str">
        <f t="shared" si="18"/>
        <v/>
      </c>
      <c r="J45" s="110" t="str">
        <f t="shared" si="19"/>
        <v/>
      </c>
      <c r="K45" s="110" t="str">
        <f t="shared" si="20"/>
        <v/>
      </c>
      <c r="N45" s="109" t="str">
        <f t="shared" si="8"/>
        <v>*  -&gt; ""</v>
      </c>
    </row>
    <row r="46" spans="1:14" x14ac:dyDescent="0.75">
      <c r="A46" s="111"/>
      <c r="B46" s="111"/>
      <c r="C46" s="111"/>
      <c r="D46" s="112"/>
      <c r="H46" s="109" t="b">
        <f t="shared" si="17"/>
        <v>0</v>
      </c>
      <c r="I46" s="110" t="str">
        <f t="shared" si="18"/>
        <v/>
      </c>
      <c r="J46" s="110" t="str">
        <f t="shared" si="19"/>
        <v/>
      </c>
      <c r="K46" s="110" t="str">
        <f t="shared" si="20"/>
        <v/>
      </c>
      <c r="N46" s="109" t="str">
        <f t="shared" si="8"/>
        <v>*  -&gt; ""</v>
      </c>
    </row>
    <row r="47" spans="1:14" x14ac:dyDescent="0.75">
      <c r="A47" s="111"/>
      <c r="B47" s="111"/>
      <c r="C47" s="111"/>
      <c r="D47" s="112"/>
      <c r="H47" s="109" t="b">
        <f t="shared" si="17"/>
        <v>0</v>
      </c>
      <c r="I47" s="110" t="str">
        <f t="shared" si="18"/>
        <v/>
      </c>
      <c r="J47" s="110" t="str">
        <f t="shared" si="19"/>
        <v/>
      </c>
      <c r="K47" s="110" t="str">
        <f t="shared" si="20"/>
        <v/>
      </c>
      <c r="N47" s="109" t="str">
        <f t="shared" si="8"/>
        <v>*  -&gt; ""</v>
      </c>
    </row>
    <row r="48" spans="1:14" x14ac:dyDescent="0.75">
      <c r="A48" s="111"/>
      <c r="B48" s="111"/>
      <c r="C48" s="111"/>
      <c r="D48" s="112"/>
      <c r="H48" s="109" t="b">
        <f t="shared" si="17"/>
        <v>0</v>
      </c>
      <c r="I48" s="110" t="str">
        <f t="shared" si="18"/>
        <v/>
      </c>
      <c r="J48" s="110" t="str">
        <f t="shared" si="19"/>
        <v/>
      </c>
      <c r="K48" s="110" t="str">
        <f t="shared" si="20"/>
        <v/>
      </c>
      <c r="N48" s="109" t="str">
        <f t="shared" si="8"/>
        <v>*  -&gt; ""</v>
      </c>
    </row>
    <row r="49" spans="1:14" x14ac:dyDescent="0.75">
      <c r="A49" s="111"/>
      <c r="B49" s="111"/>
      <c r="C49" s="111"/>
      <c r="D49" s="112"/>
      <c r="H49" s="109" t="b">
        <f t="shared" si="4"/>
        <v>0</v>
      </c>
      <c r="I49" s="110" t="str">
        <f t="shared" si="5"/>
        <v/>
      </c>
      <c r="J49" s="110" t="str">
        <f t="shared" si="6"/>
        <v/>
      </c>
      <c r="K49" s="110" t="str">
        <f t="shared" si="7"/>
        <v/>
      </c>
      <c r="N49" s="109" t="str">
        <f t="shared" si="8"/>
        <v>*  -&gt; ""</v>
      </c>
    </row>
    <row r="50" spans="1:14" x14ac:dyDescent="0.75">
      <c r="A50" s="111"/>
      <c r="B50" s="111"/>
      <c r="C50" s="111"/>
      <c r="D50" s="147"/>
      <c r="H50" s="109" t="b">
        <f t="shared" si="4"/>
        <v>0</v>
      </c>
      <c r="I50" s="110" t="str">
        <f t="shared" si="5"/>
        <v/>
      </c>
      <c r="J50" s="110" t="str">
        <f t="shared" si="6"/>
        <v/>
      </c>
      <c r="K50" s="110" t="str">
        <f t="shared" si="7"/>
        <v/>
      </c>
      <c r="N50" s="109" t="str">
        <f t="shared" si="8"/>
        <v>*  -&gt; ""</v>
      </c>
    </row>
    <row r="51" spans="1:14" x14ac:dyDescent="0.75">
      <c r="A51" s="111"/>
      <c r="B51" s="111"/>
      <c r="C51" s="111"/>
      <c r="D51" s="112"/>
      <c r="H51" s="109" t="b">
        <f t="shared" si="4"/>
        <v>0</v>
      </c>
      <c r="I51" s="110" t="str">
        <f t="shared" si="5"/>
        <v/>
      </c>
      <c r="J51" s="110" t="str">
        <f t="shared" si="6"/>
        <v/>
      </c>
      <c r="K51" s="110" t="str">
        <f t="shared" si="7"/>
        <v/>
      </c>
    </row>
    <row r="52" spans="1:14" x14ac:dyDescent="0.75">
      <c r="A52" s="111"/>
      <c r="B52" s="111"/>
      <c r="C52" s="111"/>
      <c r="D52" s="112"/>
      <c r="H52" s="109" t="b">
        <f t="shared" si="4"/>
        <v>0</v>
      </c>
      <c r="I52" s="110" t="str">
        <f t="shared" si="5"/>
        <v/>
      </c>
      <c r="J52" s="110" t="str">
        <f t="shared" si="6"/>
        <v/>
      </c>
      <c r="K52" s="110" t="str">
        <f t="shared" si="7"/>
        <v/>
      </c>
    </row>
    <row r="53" spans="1:14" x14ac:dyDescent="0.75">
      <c r="A53" s="111"/>
      <c r="B53" s="111"/>
      <c r="C53" s="111"/>
      <c r="D53" s="112"/>
      <c r="H53" s="109" t="b">
        <f t="shared" si="4"/>
        <v>0</v>
      </c>
      <c r="I53" s="110" t="str">
        <f t="shared" si="5"/>
        <v/>
      </c>
      <c r="J53" s="110" t="str">
        <f t="shared" si="6"/>
        <v/>
      </c>
      <c r="K53" s="110" t="str">
        <f t="shared" si="7"/>
        <v/>
      </c>
    </row>
    <row r="54" spans="1:14" x14ac:dyDescent="0.75">
      <c r="A54" s="111"/>
      <c r="B54" s="111"/>
      <c r="C54" s="111"/>
      <c r="D54" s="112"/>
      <c r="H54" s="109" t="b">
        <f t="shared" si="4"/>
        <v>0</v>
      </c>
      <c r="I54" s="110" t="str">
        <f t="shared" si="5"/>
        <v/>
      </c>
      <c r="J54" s="110" t="str">
        <f t="shared" si="6"/>
        <v/>
      </c>
      <c r="K54" s="110" t="str">
        <f t="shared" si="7"/>
        <v/>
      </c>
    </row>
    <row r="55" spans="1:14" x14ac:dyDescent="0.75">
      <c r="B55" s="109" t="e">
        <f>'Oth-1'!#REF!</f>
        <v>#REF!</v>
      </c>
      <c r="H55" s="109" t="b">
        <f t="shared" si="4"/>
        <v>0</v>
      </c>
      <c r="I55" s="110" t="str">
        <f t="shared" si="5"/>
        <v/>
      </c>
      <c r="J55" s="110" t="str">
        <f t="shared" si="6"/>
        <v/>
      </c>
      <c r="K55" s="110" t="str">
        <f t="shared" si="7"/>
        <v/>
      </c>
    </row>
    <row r="56" spans="1:14" x14ac:dyDescent="0.75">
      <c r="B56" s="109" t="e">
        <f>'Oth-1'!#REF!</f>
        <v>#REF!</v>
      </c>
      <c r="H56" s="109" t="b">
        <f t="shared" si="4"/>
        <v>0</v>
      </c>
      <c r="I56" s="110" t="str">
        <f t="shared" si="5"/>
        <v/>
      </c>
      <c r="J56" s="110" t="str">
        <f t="shared" si="6"/>
        <v/>
      </c>
      <c r="K56" s="110" t="str">
        <f t="shared" si="7"/>
        <v/>
      </c>
    </row>
    <row r="57" spans="1:14" x14ac:dyDescent="0.75">
      <c r="B57" s="109" t="e">
        <f>'Oth-1'!#REF!</f>
        <v>#REF!</v>
      </c>
      <c r="H57" s="109" t="b">
        <f t="shared" si="4"/>
        <v>0</v>
      </c>
      <c r="I57" s="110" t="str">
        <f t="shared" si="5"/>
        <v/>
      </c>
      <c r="J57" s="110" t="str">
        <f t="shared" si="6"/>
        <v/>
      </c>
      <c r="K57" s="110" t="str">
        <f t="shared" si="7"/>
        <v/>
      </c>
    </row>
    <row r="58" spans="1:14" x14ac:dyDescent="0.75">
      <c r="B58" s="109" t="e">
        <f>'Oth-1'!#REF!</f>
        <v>#REF!</v>
      </c>
      <c r="H58" s="109" t="b">
        <f t="shared" si="4"/>
        <v>0</v>
      </c>
      <c r="I58" s="110" t="str">
        <f t="shared" si="5"/>
        <v/>
      </c>
      <c r="J58" s="110" t="str">
        <f t="shared" si="6"/>
        <v/>
      </c>
      <c r="K58" s="110" t="str">
        <f t="shared" si="7"/>
        <v/>
      </c>
    </row>
    <row r="59" spans="1:14" x14ac:dyDescent="0.75">
      <c r="B59" s="109" t="e">
        <f>'Oth-1'!#REF!</f>
        <v>#REF!</v>
      </c>
      <c r="H59" s="109" t="b">
        <f t="shared" si="4"/>
        <v>0</v>
      </c>
      <c r="I59" s="110" t="str">
        <f t="shared" si="5"/>
        <v/>
      </c>
      <c r="J59" s="110" t="str">
        <f t="shared" si="6"/>
        <v/>
      </c>
      <c r="K59" s="110" t="str">
        <f t="shared" si="7"/>
        <v/>
      </c>
    </row>
    <row r="60" spans="1:14" x14ac:dyDescent="0.75">
      <c r="B60" s="109">
        <f>'Oth-1'!A40</f>
        <v>0</v>
      </c>
      <c r="C60" s="109">
        <f>'Oth-1'!B40</f>
        <v>0</v>
      </c>
    </row>
    <row r="61" spans="1:14" x14ac:dyDescent="0.75">
      <c r="B61" s="109">
        <f>'Oth-1'!A41</f>
        <v>0</v>
      </c>
      <c r="C61" s="109">
        <f>'Oth-1'!B41</f>
        <v>0</v>
      </c>
    </row>
    <row r="62" spans="1:14" x14ac:dyDescent="0.75">
      <c r="B62" s="109">
        <f>'Oth-1'!A42</f>
        <v>0</v>
      </c>
      <c r="C62" s="109">
        <f>'Oth-1'!B42</f>
        <v>0</v>
      </c>
    </row>
    <row r="63" spans="1:14" x14ac:dyDescent="0.75">
      <c r="B63" s="109">
        <f>'Oth-1'!A43</f>
        <v>0</v>
      </c>
      <c r="C63" s="109">
        <f>'Oth-1'!B43</f>
        <v>0</v>
      </c>
    </row>
    <row r="64" spans="1:14" x14ac:dyDescent="0.75">
      <c r="B64" s="109">
        <f>'Oth-1'!A44</f>
        <v>0</v>
      </c>
      <c r="C64" s="109">
        <f>'Oth-1'!B44</f>
        <v>0</v>
      </c>
    </row>
    <row r="65" spans="2:3" x14ac:dyDescent="0.75">
      <c r="B65" s="109">
        <f>'Oth-1'!A45</f>
        <v>0</v>
      </c>
      <c r="C65" s="109">
        <f>'Oth-1'!B45</f>
        <v>0</v>
      </c>
    </row>
    <row r="66" spans="2:3" x14ac:dyDescent="0.75">
      <c r="B66" s="109">
        <f>'Oth-1'!A46</f>
        <v>0</v>
      </c>
      <c r="C66" s="109">
        <f>'Oth-1'!B46</f>
        <v>0</v>
      </c>
    </row>
    <row r="67" spans="2:3" x14ac:dyDescent="0.75">
      <c r="B67" s="109">
        <f>'Oth-1'!A47</f>
        <v>0</v>
      </c>
      <c r="C67" s="109">
        <f>'Oth-1'!B47</f>
        <v>0</v>
      </c>
    </row>
    <row r="68" spans="2:3" x14ac:dyDescent="0.75">
      <c r="B68" s="109">
        <f>'Oth-1'!A48</f>
        <v>0</v>
      </c>
      <c r="C68" s="109">
        <f>'Oth-1'!B48</f>
        <v>0</v>
      </c>
    </row>
    <row r="69" spans="2:3" x14ac:dyDescent="0.75">
      <c r="B69" s="109">
        <f>'Oth-1'!A49</f>
        <v>0</v>
      </c>
      <c r="C69" s="109">
        <f>'Oth-1'!B49</f>
        <v>0</v>
      </c>
    </row>
    <row r="70" spans="2:3" x14ac:dyDescent="0.75">
      <c r="B70" s="109">
        <f>'Oth-1'!A50</f>
        <v>0</v>
      </c>
      <c r="C70" s="109">
        <f>'Oth-1'!B50</f>
        <v>0</v>
      </c>
    </row>
    <row r="71" spans="2:3" x14ac:dyDescent="0.75">
      <c r="B71" s="109">
        <f>'Oth-1'!A51</f>
        <v>0</v>
      </c>
      <c r="C71" s="109">
        <f>'Oth-1'!B51</f>
        <v>0</v>
      </c>
    </row>
    <row r="72" spans="2:3" x14ac:dyDescent="0.75">
      <c r="B72" s="109">
        <f>'Oth-1'!A52</f>
        <v>0</v>
      </c>
      <c r="C72" s="109">
        <f>'Oth-1'!B52</f>
        <v>0</v>
      </c>
    </row>
    <row r="73" spans="2:3" x14ac:dyDescent="0.75">
      <c r="B73" s="109">
        <f>'Oth-1'!A53</f>
        <v>0</v>
      </c>
      <c r="C73" s="109">
        <f>'Oth-1'!B53</f>
        <v>0</v>
      </c>
    </row>
    <row r="74" spans="2:3" x14ac:dyDescent="0.75">
      <c r="B74" s="109">
        <f>'Oth-1'!A54</f>
        <v>0</v>
      </c>
      <c r="C74" s="109">
        <f>'Oth-1'!B54</f>
        <v>0</v>
      </c>
    </row>
    <row r="75" spans="2:3" x14ac:dyDescent="0.75">
      <c r="B75" s="109">
        <f>'Oth-1'!A55</f>
        <v>0</v>
      </c>
      <c r="C75" s="109">
        <f>'Oth-1'!B55</f>
        <v>0</v>
      </c>
    </row>
    <row r="76" spans="2:3" x14ac:dyDescent="0.75">
      <c r="B76" s="109">
        <f>'Oth-1'!A56</f>
        <v>0</v>
      </c>
      <c r="C76" s="109">
        <f>'Oth-1'!B56</f>
        <v>0</v>
      </c>
    </row>
    <row r="77" spans="2:3" x14ac:dyDescent="0.75">
      <c r="B77" s="109">
        <f>'Oth-1'!A57</f>
        <v>0</v>
      </c>
      <c r="C77" s="109">
        <f>'Oth-1'!B57</f>
        <v>0</v>
      </c>
    </row>
    <row r="78" spans="2:3" x14ac:dyDescent="0.75">
      <c r="B78" s="109">
        <f>'Oth-1'!A58</f>
        <v>0</v>
      </c>
      <c r="C78" s="109">
        <f>'Oth-1'!B58</f>
        <v>0</v>
      </c>
    </row>
    <row r="79" spans="2:3" x14ac:dyDescent="0.75">
      <c r="B79" s="109">
        <f>'Oth-1'!A59</f>
        <v>0</v>
      </c>
      <c r="C79" s="109">
        <f>'Oth-1'!B59</f>
        <v>0</v>
      </c>
    </row>
    <row r="80" spans="2:3" x14ac:dyDescent="0.75">
      <c r="B80" s="109">
        <f>'Oth-1'!A60</f>
        <v>0</v>
      </c>
      <c r="C80" s="109">
        <f>'Oth-1'!B60</f>
        <v>0</v>
      </c>
    </row>
    <row r="81" spans="2:3" x14ac:dyDescent="0.75">
      <c r="B81" s="109">
        <f>'Oth-1'!A61</f>
        <v>0</v>
      </c>
      <c r="C81" s="109">
        <f>'Oth-1'!B61</f>
        <v>0</v>
      </c>
    </row>
    <row r="82" spans="2:3" x14ac:dyDescent="0.75">
      <c r="B82" s="109">
        <f>'Oth-1'!A62</f>
        <v>0</v>
      </c>
      <c r="C82" s="109">
        <f>'Oth-1'!B62</f>
        <v>0</v>
      </c>
    </row>
    <row r="83" spans="2:3" x14ac:dyDescent="0.75">
      <c r="B83" s="109">
        <f>'Oth-1'!A63</f>
        <v>0</v>
      </c>
      <c r="C83" s="109">
        <f>'Oth-1'!B63</f>
        <v>0</v>
      </c>
    </row>
    <row r="84" spans="2:3" x14ac:dyDescent="0.75">
      <c r="B84" s="109">
        <f>'Oth-1'!A64</f>
        <v>0</v>
      </c>
      <c r="C84" s="109">
        <f>'Oth-1'!B64</f>
        <v>0</v>
      </c>
    </row>
    <row r="85" spans="2:3" x14ac:dyDescent="0.75">
      <c r="B85" s="109">
        <f>'Oth-1'!A65</f>
        <v>0</v>
      </c>
      <c r="C85" s="109">
        <f>'Oth-1'!B65</f>
        <v>0</v>
      </c>
    </row>
    <row r="86" spans="2:3" x14ac:dyDescent="0.75">
      <c r="B86" s="109">
        <f>'Oth-1'!A66</f>
        <v>0</v>
      </c>
      <c r="C86" s="109">
        <f>'Oth-1'!B66</f>
        <v>0</v>
      </c>
    </row>
    <row r="87" spans="2:3" x14ac:dyDescent="0.75">
      <c r="B87" s="109">
        <f>'Oth-1'!A67</f>
        <v>0</v>
      </c>
      <c r="C87" s="109">
        <f>'Oth-1'!B67</f>
        <v>0</v>
      </c>
    </row>
    <row r="88" spans="2:3" x14ac:dyDescent="0.75">
      <c r="B88" s="109">
        <f>'Oth-1'!A68</f>
        <v>0</v>
      </c>
      <c r="C88" s="109">
        <f>'Oth-1'!B68</f>
        <v>0</v>
      </c>
    </row>
    <row r="89" spans="2:3" x14ac:dyDescent="0.75">
      <c r="B89" s="109">
        <f>'Oth-1'!A69</f>
        <v>0</v>
      </c>
      <c r="C89" s="109">
        <f>'Oth-1'!B69</f>
        <v>0</v>
      </c>
    </row>
    <row r="90" spans="2:3" x14ac:dyDescent="0.75">
      <c r="B90" s="109">
        <f>'Oth-1'!A70</f>
        <v>0</v>
      </c>
      <c r="C90" s="109">
        <f>'Oth-1'!B70</f>
        <v>0</v>
      </c>
    </row>
    <row r="91" spans="2:3" x14ac:dyDescent="0.75">
      <c r="B91" s="109">
        <f>'Oth-1'!A71</f>
        <v>0</v>
      </c>
      <c r="C91" s="109">
        <f>'Oth-1'!B71</f>
        <v>0</v>
      </c>
    </row>
    <row r="92" spans="2:3" x14ac:dyDescent="0.75">
      <c r="B92" s="109">
        <f>'Oth-1'!A72</f>
        <v>0</v>
      </c>
      <c r="C92" s="109">
        <f>'Oth-1'!B72</f>
        <v>0</v>
      </c>
    </row>
    <row r="93" spans="2:3" x14ac:dyDescent="0.75">
      <c r="B93" s="109">
        <f>'Oth-1'!A73</f>
        <v>0</v>
      </c>
      <c r="C93" s="109">
        <f>'Oth-1'!B73</f>
        <v>0</v>
      </c>
    </row>
    <row r="94" spans="2:3" x14ac:dyDescent="0.75">
      <c r="B94" s="109">
        <f>'Oth-1'!A74</f>
        <v>0</v>
      </c>
      <c r="C94" s="109">
        <f>'Oth-1'!B74</f>
        <v>0</v>
      </c>
    </row>
    <row r="95" spans="2:3" x14ac:dyDescent="0.75">
      <c r="B95" s="109">
        <f>'Oth-1'!A75</f>
        <v>0</v>
      </c>
      <c r="C95" s="109">
        <f>'Oth-1'!B75</f>
        <v>0</v>
      </c>
    </row>
    <row r="96" spans="2:3" x14ac:dyDescent="0.75">
      <c r="B96" s="109">
        <f>'Oth-1'!A76</f>
        <v>0</v>
      </c>
      <c r="C96" s="109">
        <f>'Oth-1'!B76</f>
        <v>0</v>
      </c>
    </row>
    <row r="97" spans="2:3" x14ac:dyDescent="0.75">
      <c r="B97" s="109">
        <f>'Oth-1'!A77</f>
        <v>0</v>
      </c>
      <c r="C97" s="109">
        <f>'Oth-1'!B77</f>
        <v>0</v>
      </c>
    </row>
    <row r="98" spans="2:3" x14ac:dyDescent="0.75">
      <c r="B98" s="109">
        <f>'Oth-1'!A78</f>
        <v>0</v>
      </c>
      <c r="C98" s="109">
        <f>'Oth-1'!B78</f>
        <v>0</v>
      </c>
    </row>
    <row r="99" spans="2:3" x14ac:dyDescent="0.75">
      <c r="B99" s="109">
        <f>'Oth-1'!A79</f>
        <v>0</v>
      </c>
      <c r="C99" s="109">
        <f>'Oth-1'!B79</f>
        <v>0</v>
      </c>
    </row>
    <row r="100" spans="2:3" x14ac:dyDescent="0.75">
      <c r="B100" s="109">
        <f>'Oth-1'!A80</f>
        <v>0</v>
      </c>
      <c r="C100" s="109">
        <f>'Oth-1'!B80</f>
        <v>0</v>
      </c>
    </row>
    <row r="101" spans="2:3" x14ac:dyDescent="0.75">
      <c r="B101" s="109">
        <f>'Oth-1'!A81</f>
        <v>0</v>
      </c>
      <c r="C101" s="109">
        <f>'Oth-1'!B81</f>
        <v>0</v>
      </c>
    </row>
    <row r="102" spans="2:3" x14ac:dyDescent="0.75">
      <c r="B102" s="109">
        <f>'Oth-1'!A82</f>
        <v>0</v>
      </c>
      <c r="C102" s="109">
        <f>'Oth-1'!B82</f>
        <v>0</v>
      </c>
    </row>
    <row r="103" spans="2:3" x14ac:dyDescent="0.75">
      <c r="B103" s="109">
        <f>'Oth-1'!A83</f>
        <v>0</v>
      </c>
      <c r="C103" s="109">
        <f>'Oth-1'!B83</f>
        <v>0</v>
      </c>
    </row>
    <row r="104" spans="2:3" x14ac:dyDescent="0.75">
      <c r="B104" s="109">
        <f>'Oth-1'!A84</f>
        <v>0</v>
      </c>
      <c r="C104" s="109">
        <f>'Oth-1'!B84</f>
        <v>0</v>
      </c>
    </row>
    <row r="105" spans="2:3" x14ac:dyDescent="0.75">
      <c r="B105" s="109">
        <f>'Oth-1'!A85</f>
        <v>0</v>
      </c>
      <c r="C105" s="109">
        <f>'Oth-1'!B85</f>
        <v>0</v>
      </c>
    </row>
    <row r="106" spans="2:3" x14ac:dyDescent="0.75">
      <c r="B106" s="109">
        <f>'Oth-1'!A86</f>
        <v>0</v>
      </c>
      <c r="C106" s="109">
        <f>'Oth-1'!B86</f>
        <v>0</v>
      </c>
    </row>
    <row r="107" spans="2:3" x14ac:dyDescent="0.75">
      <c r="B107" s="109">
        <f>'Oth-1'!A87</f>
        <v>0</v>
      </c>
      <c r="C107" s="109">
        <f>'Oth-1'!B87</f>
        <v>0</v>
      </c>
    </row>
    <row r="108" spans="2:3" x14ac:dyDescent="0.75">
      <c r="B108" s="109">
        <f>'Oth-1'!A88</f>
        <v>0</v>
      </c>
      <c r="C108" s="109">
        <f>'Oth-1'!B88</f>
        <v>0</v>
      </c>
    </row>
    <row r="109" spans="2:3" x14ac:dyDescent="0.75">
      <c r="B109" s="109">
        <f>'Oth-1'!A89</f>
        <v>0</v>
      </c>
      <c r="C109" s="109">
        <f>'Oth-1'!B89</f>
        <v>0</v>
      </c>
    </row>
    <row r="110" spans="2:3" x14ac:dyDescent="0.75">
      <c r="B110" s="109">
        <f>'Oth-1'!A90</f>
        <v>0</v>
      </c>
      <c r="C110" s="109">
        <f>'Oth-1'!B90</f>
        <v>0</v>
      </c>
    </row>
    <row r="111" spans="2:3" x14ac:dyDescent="0.75">
      <c r="B111" s="109">
        <f>'Oth-1'!A91</f>
        <v>0</v>
      </c>
      <c r="C111" s="109">
        <f>'Oth-1'!B91</f>
        <v>0</v>
      </c>
    </row>
    <row r="112" spans="2:3" x14ac:dyDescent="0.75">
      <c r="B112" s="109">
        <f>'Oth-1'!A92</f>
        <v>0</v>
      </c>
      <c r="C112" s="109">
        <f>'Oth-1'!B92</f>
        <v>0</v>
      </c>
    </row>
    <row r="113" spans="2:3" x14ac:dyDescent="0.75">
      <c r="B113" s="109">
        <f>'Oth-1'!A93</f>
        <v>0</v>
      </c>
      <c r="C113" s="109">
        <f>'Oth-1'!B93</f>
        <v>0</v>
      </c>
    </row>
    <row r="114" spans="2:3" x14ac:dyDescent="0.75">
      <c r="B114" s="109">
        <f>'Oth-1'!A94</f>
        <v>0</v>
      </c>
      <c r="C114"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topLeftCell="A91" workbookViewId="0">
      <selection activeCell="D3" sqref="D3:D20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INDEX('Oth-Map-1'!$I$7:$K$109,1+B3,C3)</f>
        <v>* differential.element[0].mapping[0].identity = "fhir"</v>
      </c>
      <c r="E3" s="109" t="str">
        <f>INDEX('Oth-Map-1'!$I$9:$K$22,1,1)</f>
        <v>* differential.element[1].mapping[0].identity = "fhir"</v>
      </c>
    </row>
    <row r="4" spans="1:5" x14ac:dyDescent="0.75">
      <c r="A4" s="111">
        <v>2</v>
      </c>
      <c r="B4" s="111">
        <f t="shared" ref="B4:B67" si="0">IF(MOD(A4,3)=0,A4/3-1,INT(A4/3))</f>
        <v>0</v>
      </c>
      <c r="C4" s="111">
        <f t="shared" ref="C4:C67" si="1">IF(MOD(A4,3)=0,3,MOD(A4,3))</f>
        <v>2</v>
      </c>
      <c r="D4" s="109" t="str" cm="1">
        <f t="array" ref="D4">INDEX('Oth-Map-1'!$I$7:$K$109,1+B4,C4)</f>
        <v>* differential.element[0].mapping[0].map = "Procedure"</v>
      </c>
    </row>
    <row r="5" spans="1:5" x14ac:dyDescent="0.75">
      <c r="A5" s="111">
        <v>3</v>
      </c>
      <c r="B5" s="111">
        <f t="shared" si="0"/>
        <v>0</v>
      </c>
      <c r="C5" s="111">
        <f t="shared" si="1"/>
        <v>3</v>
      </c>
      <c r="D5" s="109" t="str" cm="1">
        <f t="array" ref="D5">INDEX('Oth-Map-1'!$I$7:$K$109,1+B5,C5)</f>
        <v/>
      </c>
    </row>
    <row r="6" spans="1:5" x14ac:dyDescent="0.75">
      <c r="A6" s="111">
        <v>4</v>
      </c>
      <c r="B6" s="111">
        <f t="shared" si="0"/>
        <v>1</v>
      </c>
      <c r="C6" s="111">
        <f t="shared" si="1"/>
        <v>1</v>
      </c>
      <c r="D6" s="109" t="str" cm="1">
        <f t="array" ref="D6">INDEX('Oth-Map-1'!$I$7:$K$109,1+B6,C6)</f>
        <v>* differential.element[0].mapping[1].identity = "fhir"</v>
      </c>
    </row>
    <row r="7" spans="1:5" x14ac:dyDescent="0.75">
      <c r="A7" s="111">
        <v>5</v>
      </c>
      <c r="B7" s="111">
        <f t="shared" si="0"/>
        <v>1</v>
      </c>
      <c r="C7" s="111">
        <f t="shared" si="1"/>
        <v>2</v>
      </c>
      <c r="D7" s="109" t="str" cm="1">
        <f t="array" ref="D7">INDEX('Oth-Map-1'!$I$7:$K$109,1+B7,C7)</f>
        <v>* differential.element[0].mapping[1].map = "Condition"</v>
      </c>
    </row>
    <row r="8" spans="1:5" x14ac:dyDescent="0.75">
      <c r="A8" s="111">
        <v>6</v>
      </c>
      <c r="B8" s="111">
        <f t="shared" si="0"/>
        <v>1</v>
      </c>
      <c r="C8" s="111">
        <f t="shared" si="1"/>
        <v>3</v>
      </c>
      <c r="D8" s="109" t="str" cm="1">
        <f t="array" ref="D8">INDEX('Oth-Map-1'!$I$7:$K$109,1+B8,C8)</f>
        <v/>
      </c>
    </row>
    <row r="9" spans="1:5" x14ac:dyDescent="0.75">
      <c r="A9" s="111">
        <v>7</v>
      </c>
      <c r="B9" s="111">
        <f t="shared" si="0"/>
        <v>2</v>
      </c>
      <c r="C9" s="111">
        <f t="shared" si="1"/>
        <v>1</v>
      </c>
      <c r="D9" s="109" t="str" cm="1">
        <f t="array" ref="D9">INDEX('Oth-Map-1'!$I$7:$K$109,1+B9,C9)</f>
        <v>* differential.element[1].mapping[0].identity = "fhir"</v>
      </c>
    </row>
    <row r="10" spans="1:5" x14ac:dyDescent="0.75">
      <c r="A10" s="111">
        <v>8</v>
      </c>
      <c r="B10" s="111">
        <f t="shared" si="0"/>
        <v>2</v>
      </c>
      <c r="C10" s="111">
        <f t="shared" si="1"/>
        <v>2</v>
      </c>
      <c r="D10" s="109" t="str" cm="1">
        <f t="array" ref="D10">INDEX('Oth-Map-1'!$I$7:$K$109,1+B10,C10)</f>
        <v>* differential.element[1].mapping[0].map = ".identifier"</v>
      </c>
    </row>
    <row r="11" spans="1:5" x14ac:dyDescent="0.75">
      <c r="A11" s="111">
        <v>9</v>
      </c>
      <c r="B11" s="111">
        <f t="shared" si="0"/>
        <v>2</v>
      </c>
      <c r="C11" s="111">
        <f t="shared" si="1"/>
        <v>3</v>
      </c>
      <c r="D11" s="109" t="str" cm="1">
        <f t="array" ref="D11">INDEX('Oth-Map-1'!$I$7:$K$109,1+B11,C11)</f>
        <v/>
      </c>
    </row>
    <row r="12" spans="1:5" x14ac:dyDescent="0.75">
      <c r="A12" s="111">
        <v>10</v>
      </c>
      <c r="B12" s="111">
        <f t="shared" si="0"/>
        <v>3</v>
      </c>
      <c r="C12" s="111">
        <f t="shared" si="1"/>
        <v>1</v>
      </c>
      <c r="D12" s="109" t="str" cm="1">
        <f t="array" ref="D12">INDEX('Oth-Map-1'!$I$7:$K$109,1+B12,C12)</f>
        <v>* differential.element[2].mapping[0].identity = "fhir"</v>
      </c>
    </row>
    <row r="13" spans="1:5" x14ac:dyDescent="0.75">
      <c r="A13" s="111">
        <v>11</v>
      </c>
      <c r="B13" s="111">
        <f t="shared" si="0"/>
        <v>3</v>
      </c>
      <c r="C13" s="111">
        <f t="shared" si="1"/>
        <v>2</v>
      </c>
      <c r="D13" s="109" t="str" cm="1">
        <f t="array" ref="D13">INDEX('Oth-Map-1'!$I$7:$K$109,1+B13,C13)</f>
        <v>* differential.element[2].mapping[0].map = "Procedure.reasonReference"</v>
      </c>
    </row>
    <row r="14" spans="1:5" x14ac:dyDescent="0.75">
      <c r="A14" s="111">
        <v>12</v>
      </c>
      <c r="B14" s="111">
        <f t="shared" si="0"/>
        <v>3</v>
      </c>
      <c r="C14" s="111">
        <f t="shared" si="1"/>
        <v>3</v>
      </c>
      <c r="D14" s="109" t="str" cm="1">
        <f t="array" ref="D14">INDEX('Oth-Map-1'!$I$7:$K$109,1+B14,C14)</f>
        <v/>
      </c>
    </row>
    <row r="15" spans="1:5" x14ac:dyDescent="0.75">
      <c r="A15" s="111">
        <v>13</v>
      </c>
      <c r="B15" s="111">
        <f t="shared" si="0"/>
        <v>4</v>
      </c>
      <c r="C15" s="111">
        <f t="shared" si="1"/>
        <v>1</v>
      </c>
      <c r="D15" s="109" t="str" cm="1">
        <f t="array" ref="D15">INDEX('Oth-Map-1'!$I$7:$K$109,1+B15,C15)</f>
        <v>* differential.element[2].mapping[1].identity = "fhir"</v>
      </c>
    </row>
    <row r="16" spans="1:5" x14ac:dyDescent="0.75">
      <c r="A16" s="111">
        <v>14</v>
      </c>
      <c r="B16" s="111">
        <f t="shared" si="0"/>
        <v>4</v>
      </c>
      <c r="C16" s="111">
        <f t="shared" si="1"/>
        <v>2</v>
      </c>
      <c r="D16" s="109" t="str" cm="1">
        <f t="array" ref="D16">INDEX('Oth-Map-1'!$I$7:$K$109,1+B16,C16)</f>
        <v>* differential.element[2].mapping[1].map = "extension('http://hl7.org/fhir/StructureDefinition/condition-related').valueReference"</v>
      </c>
    </row>
    <row r="17" spans="1:4" x14ac:dyDescent="0.75">
      <c r="A17" s="111">
        <v>15</v>
      </c>
      <c r="B17" s="111">
        <f t="shared" si="0"/>
        <v>4</v>
      </c>
      <c r="C17" s="111">
        <f t="shared" si="1"/>
        <v>3</v>
      </c>
      <c r="D17" s="109" t="str" cm="1">
        <f t="array" ref="D17">INDEX('Oth-Map-1'!$I$7:$K$109,1+B17,C17)</f>
        <v/>
      </c>
    </row>
    <row r="18" spans="1:4" x14ac:dyDescent="0.75">
      <c r="A18" s="111">
        <v>16</v>
      </c>
      <c r="B18" s="111">
        <f t="shared" si="0"/>
        <v>5</v>
      </c>
      <c r="C18" s="111">
        <f t="shared" si="1"/>
        <v>1</v>
      </c>
      <c r="D18" s="109" t="str" cm="1">
        <f t="array" ref="D18">INDEX('Oth-Map-1'!$I$7:$K$109,1+B18,C18)</f>
        <v>* differential.element[3].mapping[0].identity = "fhir"</v>
      </c>
    </row>
    <row r="19" spans="1:4" x14ac:dyDescent="0.75">
      <c r="A19" s="111">
        <v>17</v>
      </c>
      <c r="B19" s="111">
        <f t="shared" si="0"/>
        <v>5</v>
      </c>
      <c r="C19" s="111">
        <f t="shared" si="1"/>
        <v>2</v>
      </c>
      <c r="D19" s="109" t="str" cm="1">
        <f t="array" ref="D19">INDEX('Oth-Map-1'!$I$7:$K$109,1+B19,C19)</f>
        <v>* differential.element[3].mapping[0].map = "Procedure.reasonReference"</v>
      </c>
    </row>
    <row r="20" spans="1:4" x14ac:dyDescent="0.75">
      <c r="A20" s="111">
        <v>18</v>
      </c>
      <c r="B20" s="111">
        <f t="shared" si="0"/>
        <v>5</v>
      </c>
      <c r="C20" s="111">
        <f t="shared" si="1"/>
        <v>3</v>
      </c>
      <c r="D20" s="109" t="str" cm="1">
        <f t="array" ref="D20">INDEX('Oth-Map-1'!$I$7:$K$109,1+B20,C20)</f>
        <v/>
      </c>
    </row>
    <row r="21" spans="1:4" x14ac:dyDescent="0.75">
      <c r="A21" s="111">
        <v>19</v>
      </c>
      <c r="B21" s="111">
        <f t="shared" si="0"/>
        <v>6</v>
      </c>
      <c r="C21" s="111">
        <f t="shared" si="1"/>
        <v>1</v>
      </c>
      <c r="D21" s="109" t="str" cm="1">
        <f t="array" ref="D21">INDEX('Oth-Map-1'!$I$7:$K$109,1+B21,C21)</f>
        <v>* differential.element[3].mapping[1].identity = "fhir"</v>
      </c>
    </row>
    <row r="22" spans="1:4" x14ac:dyDescent="0.75">
      <c r="A22" s="111">
        <v>20</v>
      </c>
      <c r="B22" s="111">
        <f t="shared" si="0"/>
        <v>6</v>
      </c>
      <c r="C22" s="111">
        <f t="shared" si="1"/>
        <v>2</v>
      </c>
      <c r="D22" s="109" t="str" cm="1">
        <f t="array" ref="D22">INDEX('Oth-Map-1'!$I$7:$K$109,1+B22,C22)</f>
        <v>* differential.element[3].mapping[1].map = "extension('http://hl7.org/fhir/StructureDefinition/condition-related').valueReference"</v>
      </c>
    </row>
    <row r="23" spans="1:4" x14ac:dyDescent="0.75">
      <c r="A23" s="111">
        <v>21</v>
      </c>
      <c r="B23" s="111">
        <f t="shared" si="0"/>
        <v>6</v>
      </c>
      <c r="C23" s="111">
        <f t="shared" si="1"/>
        <v>3</v>
      </c>
      <c r="D23" s="109" t="str" cm="1">
        <f t="array" ref="D23">INDEX('Oth-Map-1'!$I$7:$K$109,1+B23,C23)</f>
        <v/>
      </c>
    </row>
    <row r="24" spans="1:4" x14ac:dyDescent="0.75">
      <c r="A24" s="111">
        <v>22</v>
      </c>
      <c r="B24" s="111">
        <f t="shared" si="0"/>
        <v>7</v>
      </c>
      <c r="C24" s="111">
        <f t="shared" si="1"/>
        <v>1</v>
      </c>
      <c r="D24" s="109" t="str" cm="1">
        <f t="array" ref="D24">INDEX('Oth-Map-1'!$I$7:$K$109,1+B24,C24)</f>
        <v>* differential.element[4].mapping[0].identity = "fhir"</v>
      </c>
    </row>
    <row r="25" spans="1:4" x14ac:dyDescent="0.75">
      <c r="A25" s="111">
        <v>23</v>
      </c>
      <c r="B25" s="111">
        <f t="shared" si="0"/>
        <v>7</v>
      </c>
      <c r="C25" s="111">
        <f t="shared" si="1"/>
        <v>2</v>
      </c>
      <c r="D25" s="109" t="str" cm="1">
        <f t="array" ref="D25">INDEX('Oth-Map-1'!$I$7:$K$109,1+B25,C25)</f>
        <v>* differential.element[4].mapping[0].map = "Condition.conformsTo('http://hl7.eu/fhir/ig/pcsp/StructureDefinition/Condition-toxicity-eu-pcsp')"</v>
      </c>
    </row>
    <row r="26" spans="1:4" x14ac:dyDescent="0.75">
      <c r="A26" s="111">
        <v>24</v>
      </c>
      <c r="B26" s="111">
        <f t="shared" si="0"/>
        <v>7</v>
      </c>
      <c r="C26" s="111">
        <f t="shared" si="1"/>
        <v>3</v>
      </c>
      <c r="D26" s="109" t="str" cm="1">
        <f t="array" ref="D26">INDEX('Oth-Map-1'!$I$7:$K$109,1+B26,C26)</f>
        <v/>
      </c>
    </row>
    <row r="27" spans="1:4" x14ac:dyDescent="0.75">
      <c r="A27" s="111">
        <v>25</v>
      </c>
      <c r="B27" s="111">
        <f t="shared" si="0"/>
        <v>8</v>
      </c>
      <c r="C27" s="111">
        <f t="shared" si="1"/>
        <v>1</v>
      </c>
      <c r="D27" s="109" t="str" cm="1">
        <f t="array" ref="D27">INDEX('Oth-Map-1'!$I$7:$K$109,1+B27,C27)</f>
        <v>* differential.element[5].mapping[0].identity = "fhir"</v>
      </c>
    </row>
    <row r="28" spans="1:4" x14ac:dyDescent="0.75">
      <c r="A28" s="111">
        <v>26</v>
      </c>
      <c r="B28" s="111">
        <f t="shared" si="0"/>
        <v>8</v>
      </c>
      <c r="C28" s="111">
        <f t="shared" si="1"/>
        <v>2</v>
      </c>
      <c r="D28" s="109" t="str" cm="1">
        <f t="array" ref="D28">INDEX('Oth-Map-1'!$I$7:$K$109,1+B28,C28)</f>
        <v>* differential.element[5].mapping[0].map = ".exists()"</v>
      </c>
    </row>
    <row r="29" spans="1:4" x14ac:dyDescent="0.75">
      <c r="A29" s="111">
        <v>27</v>
      </c>
      <c r="B29" s="111">
        <f t="shared" si="0"/>
        <v>8</v>
      </c>
      <c r="C29" s="111">
        <f t="shared" si="1"/>
        <v>3</v>
      </c>
      <c r="D29" s="109" t="str" cm="1">
        <f t="array" ref="D29">INDEX('Oth-Map-1'!$I$7:$K$109,1+B29,C29)</f>
        <v/>
      </c>
    </row>
    <row r="30" spans="1:4" x14ac:dyDescent="0.75">
      <c r="A30" s="111">
        <v>28</v>
      </c>
      <c r="B30" s="111">
        <f t="shared" si="0"/>
        <v>9</v>
      </c>
      <c r="C30" s="111">
        <f t="shared" si="1"/>
        <v>1</v>
      </c>
      <c r="D30" s="109" t="str" cm="1">
        <f t="array" ref="D30">INDEX('Oth-Map-1'!$I$7:$K$109,1+B30,C30)</f>
        <v>* differential.element[5].mapping[1].identity = "fhir"</v>
      </c>
    </row>
    <row r="31" spans="1:4" x14ac:dyDescent="0.75">
      <c r="A31" s="111">
        <v>29</v>
      </c>
      <c r="B31" s="111">
        <f t="shared" si="0"/>
        <v>9</v>
      </c>
      <c r="C31" s="111">
        <f t="shared" si="1"/>
        <v>2</v>
      </c>
      <c r="D31" s="109" t="str" cm="1">
        <f t="array" ref="D31">INDEX('Oth-Map-1'!$I$7:$K$109,1+B31,C31)</f>
        <v>* differential.element[5].mapping[1].map = ".verificationStatus"</v>
      </c>
    </row>
    <row r="32" spans="1:4" x14ac:dyDescent="0.75">
      <c r="A32" s="111">
        <v>30</v>
      </c>
      <c r="B32" s="111">
        <f t="shared" si="0"/>
        <v>9</v>
      </c>
      <c r="C32" s="111">
        <f t="shared" si="1"/>
        <v>3</v>
      </c>
      <c r="D32" s="109" t="str" cm="1">
        <f t="array" ref="D32">INDEX('Oth-Map-1'!$I$7:$K$109,1+B32,C32)</f>
        <v/>
      </c>
    </row>
    <row r="33" spans="1:4" x14ac:dyDescent="0.75">
      <c r="A33" s="111">
        <v>31</v>
      </c>
      <c r="B33" s="111">
        <f t="shared" si="0"/>
        <v>10</v>
      </c>
      <c r="C33" s="111">
        <f t="shared" si="1"/>
        <v>1</v>
      </c>
      <c r="D33" s="109" t="str" cm="1">
        <f t="array" ref="D33">INDEX('Oth-Map-1'!$I$7:$K$109,1+B33,C33)</f>
        <v>* differential.element[6].mapping[0].identity = "fhir"</v>
      </c>
    </row>
    <row r="34" spans="1:4" x14ac:dyDescent="0.75">
      <c r="A34" s="111">
        <v>32</v>
      </c>
      <c r="B34" s="111">
        <f t="shared" si="0"/>
        <v>10</v>
      </c>
      <c r="C34" s="111">
        <f t="shared" si="1"/>
        <v>2</v>
      </c>
      <c r="D34" s="109" t="str" cm="1">
        <f t="array" ref="D34">INDEX('Oth-Map-1'!$I$7:$K$109,1+B34,C34)</f>
        <v>* differential.element[6].mapping[0].map = ".identifier"</v>
      </c>
    </row>
    <row r="35" spans="1:4" x14ac:dyDescent="0.75">
      <c r="A35" s="111">
        <v>33</v>
      </c>
      <c r="B35" s="111">
        <f t="shared" si="0"/>
        <v>10</v>
      </c>
      <c r="C35" s="111">
        <f t="shared" si="1"/>
        <v>3</v>
      </c>
      <c r="D35" s="109" t="str" cm="1">
        <f t="array" ref="D35">INDEX('Oth-Map-1'!$I$7:$K$109,1+B35,C35)</f>
        <v/>
      </c>
    </row>
    <row r="36" spans="1:4" x14ac:dyDescent="0.75">
      <c r="A36" s="111">
        <v>34</v>
      </c>
      <c r="B36" s="111">
        <f t="shared" si="0"/>
        <v>11</v>
      </c>
      <c r="C36" s="111">
        <f t="shared" si="1"/>
        <v>1</v>
      </c>
      <c r="D36" s="109" t="str" cm="1">
        <f t="array" ref="D36">INDEX('Oth-Map-1'!$I$7:$K$109,1+B36,C36)</f>
        <v>* differential.element[7].mapping[0].identity = "fhir"</v>
      </c>
    </row>
    <row r="37" spans="1:4" x14ac:dyDescent="0.75">
      <c r="A37" s="111">
        <v>35</v>
      </c>
      <c r="B37" s="111">
        <f t="shared" si="0"/>
        <v>11</v>
      </c>
      <c r="C37" s="111">
        <f t="shared" si="1"/>
        <v>2</v>
      </c>
      <c r="D37" s="109" t="str" cm="1">
        <f t="array" ref="D37">INDEX('Oth-Map-1'!$I$7:$K$109,1+B37,C37)</f>
        <v>* differential.element[7].mapping[0].map = ".onsetDateTime"</v>
      </c>
    </row>
    <row r="38" spans="1:4" x14ac:dyDescent="0.75">
      <c r="A38" s="111">
        <v>36</v>
      </c>
      <c r="B38" s="111">
        <f t="shared" si="0"/>
        <v>11</v>
      </c>
      <c r="C38" s="111">
        <f t="shared" si="1"/>
        <v>3</v>
      </c>
      <c r="D38" s="109" t="str" cm="1">
        <f t="array" ref="D38">INDEX('Oth-Map-1'!$I$7:$K$109,1+B38,C38)</f>
        <v/>
      </c>
    </row>
    <row r="39" spans="1:4" x14ac:dyDescent="0.75">
      <c r="A39" s="111">
        <v>37</v>
      </c>
      <c r="B39" s="111">
        <f t="shared" si="0"/>
        <v>12</v>
      </c>
      <c r="C39" s="111">
        <f t="shared" si="1"/>
        <v>1</v>
      </c>
      <c r="D39" s="109" t="str" cm="1">
        <f t="array" ref="D39">INDEX('Oth-Map-1'!$I$7:$K$109,1+B39,C39)</f>
        <v>* differential.element[8].mapping[0].identity = "fhir"</v>
      </c>
    </row>
    <row r="40" spans="1:4" x14ac:dyDescent="0.75">
      <c r="A40" s="111">
        <v>38</v>
      </c>
      <c r="B40" s="111">
        <f t="shared" si="0"/>
        <v>12</v>
      </c>
      <c r="C40" s="111">
        <f t="shared" si="1"/>
        <v>2</v>
      </c>
      <c r="D40" s="109" t="str" cm="1">
        <f t="array" ref="D40">INDEX('Oth-Map-1'!$I$7:$K$109,1+B40,C40)</f>
        <v>* differential.element[8].mapping[0].map = ".text"</v>
      </c>
    </row>
    <row r="41" spans="1:4" x14ac:dyDescent="0.75">
      <c r="A41" s="111">
        <v>39</v>
      </c>
      <c r="B41" s="111">
        <f t="shared" si="0"/>
        <v>12</v>
      </c>
      <c r="C41" s="111">
        <f t="shared" si="1"/>
        <v>3</v>
      </c>
      <c r="D41" s="109" t="str" cm="1">
        <f t="array" ref="D41">INDEX('Oth-Map-1'!$I$7:$K$109,1+B41,C41)</f>
        <v/>
      </c>
    </row>
    <row r="42" spans="1:4" x14ac:dyDescent="0.75">
      <c r="A42" s="111">
        <v>40</v>
      </c>
      <c r="B42" s="111">
        <f t="shared" si="0"/>
        <v>13</v>
      </c>
      <c r="C42" s="111">
        <f t="shared" si="1"/>
        <v>1</v>
      </c>
      <c r="D42" s="109" t="str" cm="1">
        <f t="array" ref="D42">INDEX('Oth-Map-1'!$I$7:$K$109,1+B42,C42)</f>
        <v>* differential.element[8].mapping[1].identity = "fhir"</v>
      </c>
    </row>
    <row r="43" spans="1:4" x14ac:dyDescent="0.75">
      <c r="A43" s="111">
        <v>41</v>
      </c>
      <c r="B43" s="111">
        <f t="shared" si="0"/>
        <v>13</v>
      </c>
      <c r="C43" s="111">
        <f t="shared" si="1"/>
        <v>2</v>
      </c>
      <c r="D43" s="109" t="str" cm="1">
        <f t="array" ref="D43">INDEX('Oth-Map-1'!$I$7:$K$109,1+B43,C43)</f>
        <v>* differential.element[8].mapping[1].map = ".note"</v>
      </c>
    </row>
    <row r="44" spans="1:4" x14ac:dyDescent="0.75">
      <c r="A44" s="111">
        <v>42</v>
      </c>
      <c r="B44" s="111">
        <f t="shared" si="0"/>
        <v>13</v>
      </c>
      <c r="C44" s="111">
        <f t="shared" si="1"/>
        <v>3</v>
      </c>
      <c r="D44" s="109" t="str" cm="1">
        <f t="array" ref="D44">INDEX('Oth-Map-1'!$I$7:$K$109,1+B44,C44)</f>
        <v/>
      </c>
    </row>
    <row r="45" spans="1:4" x14ac:dyDescent="0.75">
      <c r="A45" s="111">
        <v>43</v>
      </c>
      <c r="B45" s="111">
        <f t="shared" si="0"/>
        <v>14</v>
      </c>
      <c r="C45" s="111">
        <f t="shared" si="1"/>
        <v>1</v>
      </c>
      <c r="D45" s="109" t="str" cm="1">
        <f t="array" ref="D45">INDEX('Oth-Map-1'!$I$7:$K$109,1+B45,C45)</f>
        <v>* differential.element[9].mapping[0].identity = "fhir"</v>
      </c>
    </row>
    <row r="46" spans="1:4" x14ac:dyDescent="0.75">
      <c r="A46" s="111">
        <v>44</v>
      </c>
      <c r="B46" s="111">
        <f t="shared" si="0"/>
        <v>14</v>
      </c>
      <c r="C46" s="111">
        <f t="shared" si="1"/>
        <v>2</v>
      </c>
      <c r="D46" s="109" t="str" cm="1">
        <f t="array" ref="D46">INDEX('Oth-Map-1'!$I$7:$K$109,1+B46,C46)</f>
        <v>* differential.element[9].mapping[0].map = ".clinicalStatus"</v>
      </c>
    </row>
    <row r="47" spans="1:4" x14ac:dyDescent="0.75">
      <c r="A47" s="111">
        <v>45</v>
      </c>
      <c r="B47" s="111">
        <f t="shared" si="0"/>
        <v>14</v>
      </c>
      <c r="C47" s="111">
        <f t="shared" si="1"/>
        <v>3</v>
      </c>
      <c r="D47" s="109" t="str" cm="1">
        <f t="array" ref="D47">INDEX('Oth-Map-1'!$I$7:$K$109,1+B47,C47)</f>
        <v/>
      </c>
    </row>
    <row r="48" spans="1:4" x14ac:dyDescent="0.75">
      <c r="A48" s="111">
        <v>46</v>
      </c>
      <c r="B48" s="111">
        <f t="shared" si="0"/>
        <v>15</v>
      </c>
      <c r="C48" s="111">
        <f t="shared" si="1"/>
        <v>1</v>
      </c>
      <c r="D48" s="109" t="str" cm="1">
        <f t="array" ref="D48">INDEX('Oth-Map-1'!$I$7:$K$109,1+B48,C48)</f>
        <v>* differential.element[10].mapping[0].identity = "fhir"</v>
      </c>
    </row>
    <row r="49" spans="1:7" x14ac:dyDescent="0.75">
      <c r="A49" s="111">
        <v>47</v>
      </c>
      <c r="B49" s="111">
        <f t="shared" si="0"/>
        <v>15</v>
      </c>
      <c r="C49" s="111">
        <f t="shared" si="1"/>
        <v>2</v>
      </c>
      <c r="D49" s="109" t="str" cm="1">
        <f t="array" ref="D49">INDEX('Oth-Map-1'!$I$7:$K$109,1+B49,C49)</f>
        <v>* differential.element[10].mapping[0].map = "Condition.conformsTo('http://hl7.eu/fhir/ig/pcsp/StructureDefinition/Condition-otherinfos-eu-pcsp').where(code = http://snomed.info/sct#48130008 'Hypogonadism').exists()"</v>
      </c>
    </row>
    <row r="50" spans="1:7" x14ac:dyDescent="0.75">
      <c r="A50" s="111">
        <v>48</v>
      </c>
      <c r="B50" s="111">
        <f t="shared" si="0"/>
        <v>15</v>
      </c>
      <c r="C50" s="111">
        <f t="shared" si="1"/>
        <v>3</v>
      </c>
      <c r="D50" s="109" t="str" cm="1">
        <f t="array" ref="D50">INDEX('Oth-Map-1'!$I$7:$K$109,1+B50,C50)</f>
        <v/>
      </c>
    </row>
    <row r="51" spans="1:7" x14ac:dyDescent="0.75">
      <c r="A51" s="111">
        <v>49</v>
      </c>
      <c r="B51" s="111">
        <f t="shared" si="0"/>
        <v>16</v>
      </c>
      <c r="C51" s="111">
        <f t="shared" si="1"/>
        <v>1</v>
      </c>
      <c r="D51" s="109" t="str" cm="1">
        <f t="array" ref="D51">INDEX('Oth-Map-1'!$I$7:$K$109,1+B51,C51)</f>
        <v>* differential.element[11].mapping[0].identity = "fhir"</v>
      </c>
    </row>
    <row r="52" spans="1:7" x14ac:dyDescent="0.75">
      <c r="A52" s="111">
        <v>50</v>
      </c>
      <c r="B52" s="111">
        <f t="shared" si="0"/>
        <v>16</v>
      </c>
      <c r="C52" s="111">
        <f t="shared" si="1"/>
        <v>2</v>
      </c>
      <c r="D52" s="109" t="str" cm="1">
        <f t="array" ref="D52">INDEX('Oth-Map-1'!$I$7:$K$109,1+B52,C52)</f>
        <v>* differential.element[11].mapping[0].map = "Condition.conformsTo('http://hl7.eu/fhir/ig/pcsp/StructureDefinition/Condition-otherinfos-eu-pcsp').where(code = http://snomed.info/sct#397827003 'Growth hormone deficiency').exists()"</v>
      </c>
    </row>
    <row r="53" spans="1:7" x14ac:dyDescent="0.75">
      <c r="A53" s="111">
        <v>51</v>
      </c>
      <c r="B53" s="111">
        <f t="shared" si="0"/>
        <v>16</v>
      </c>
      <c r="C53" s="111">
        <f t="shared" si="1"/>
        <v>3</v>
      </c>
      <c r="D53" s="109" t="str" cm="1">
        <f t="array" ref="D53">INDEX('Oth-Map-1'!$I$7:$K$109,1+B53,C53)</f>
        <v/>
      </c>
    </row>
    <row r="54" spans="1:7" x14ac:dyDescent="0.75">
      <c r="A54" s="111">
        <v>52</v>
      </c>
      <c r="B54" s="111">
        <f t="shared" si="0"/>
        <v>17</v>
      </c>
      <c r="C54" s="111">
        <f t="shared" si="1"/>
        <v>1</v>
      </c>
      <c r="D54" s="109" t="str" cm="1">
        <f t="array" ref="D54">INDEX('Oth-Map-1'!$I$7:$K$109,1+B54,C54)</f>
        <v>* differential.element[12].mapping[0].identity = "fhir"</v>
      </c>
    </row>
    <row r="55" spans="1:7" x14ac:dyDescent="0.75">
      <c r="A55" s="111">
        <v>53</v>
      </c>
      <c r="B55" s="111">
        <f t="shared" si="0"/>
        <v>17</v>
      </c>
      <c r="C55" s="111">
        <f t="shared" si="1"/>
        <v>2</v>
      </c>
      <c r="D55" s="109" t="str" cm="1">
        <f t="array" ref="D55">INDEX('Oth-Map-1'!$I$7:$K$109,1+B55,C55)</f>
        <v>* differential.element[12].mapping[0].map = "Condition.conformsTo('http://hl7.eu/fhir/ig/pcsp/StructureDefinition/Condition-otherinfos-eu-pcsp').where(code = http://snomed.info/sct#230745008 'Hydrocephalus').exists()"</v>
      </c>
      <c r="G55" s="14"/>
    </row>
    <row r="56" spans="1:7" x14ac:dyDescent="0.75">
      <c r="A56" s="111">
        <v>54</v>
      </c>
      <c r="B56" s="111">
        <f t="shared" si="0"/>
        <v>17</v>
      </c>
      <c r="C56" s="111">
        <f t="shared" si="1"/>
        <v>3</v>
      </c>
      <c r="D56" s="109" t="str" cm="1">
        <f t="array" ref="D56">INDEX('Oth-Map-1'!$I$7:$K$109,1+B56,C56)</f>
        <v/>
      </c>
    </row>
    <row r="57" spans="1:7" x14ac:dyDescent="0.75">
      <c r="A57" s="111">
        <v>55</v>
      </c>
      <c r="B57" s="111">
        <f t="shared" si="0"/>
        <v>18</v>
      </c>
      <c r="C57" s="111">
        <f t="shared" si="1"/>
        <v>1</v>
      </c>
      <c r="D57" s="109" t="str" cm="1">
        <f t="array" ref="D57">INDEX('Oth-Map-1'!$I$7:$K$109,1+B57,C57)</f>
        <v>* differential.element[13].mapping[0].identity = "fhir"</v>
      </c>
    </row>
    <row r="58" spans="1:7" x14ac:dyDescent="0.75">
      <c r="A58" s="111">
        <v>56</v>
      </c>
      <c r="B58" s="111">
        <f t="shared" si="0"/>
        <v>18</v>
      </c>
      <c r="C58" s="111">
        <f t="shared" si="1"/>
        <v>2</v>
      </c>
      <c r="D58" s="109" t="str" cm="1">
        <f t="array" ref="D58">INDEX('Oth-Map-1'!$I$7:$K$109,1+B58,C58)</f>
        <v>* differential.element[13].mapping[0].map = "Condition.conformsTo('http://hl7.eu/fhir/ig/pcsp/StructureDefinition/Condition-otherinfos-eu-pcsp').where(code = http://snomed.info/sct#10295004 'Chronic viral hepatitis').exists()"</v>
      </c>
    </row>
    <row r="59" spans="1:7" x14ac:dyDescent="0.75">
      <c r="A59" s="111">
        <v>57</v>
      </c>
      <c r="B59" s="111">
        <f t="shared" si="0"/>
        <v>18</v>
      </c>
      <c r="C59" s="111">
        <f t="shared" si="1"/>
        <v>3</v>
      </c>
      <c r="D59" s="109" t="str" cm="1">
        <f t="array" ref="D59">INDEX('Oth-Map-1'!$I$7:$K$109,1+B59,C59)</f>
        <v/>
      </c>
    </row>
    <row r="60" spans="1:7" x14ac:dyDescent="0.75">
      <c r="A60" s="111">
        <v>58</v>
      </c>
      <c r="B60" s="111">
        <f t="shared" si="0"/>
        <v>19</v>
      </c>
      <c r="C60" s="111">
        <f t="shared" si="1"/>
        <v>1</v>
      </c>
      <c r="D60" s="109" t="str" cm="1">
        <f t="array" ref="D60">INDEX('Oth-Map-1'!$I$7:$K$109,1+B60,C60)</f>
        <v>* differential.element[14].mapping[0].identity = "fhir"</v>
      </c>
    </row>
    <row r="61" spans="1:7" x14ac:dyDescent="0.75">
      <c r="A61" s="111">
        <v>59</v>
      </c>
      <c r="B61" s="111">
        <f t="shared" si="0"/>
        <v>19</v>
      </c>
      <c r="C61" s="111">
        <f t="shared" si="1"/>
        <v>2</v>
      </c>
      <c r="D61" s="109" t="str" cm="1">
        <f t="array" ref="D61">INDEX('Oth-Map-1'!$I$7:$K$109,1+B61,C61)</f>
        <v>* differential.element[14].mapping[0].map = "Condition.conformsTo('http://hl7.eu/fhir/ig/pcsp/StructureDefinition/Condition-otherinfos-eu-pcsp').where(code = http://snomed.info/sct#65617004 'Veno-occlusive disease of the liver').exists()"</v>
      </c>
    </row>
    <row r="62" spans="1:7" x14ac:dyDescent="0.75">
      <c r="A62" s="111">
        <v>60</v>
      </c>
      <c r="B62" s="111">
        <f t="shared" si="0"/>
        <v>19</v>
      </c>
      <c r="C62" s="111">
        <f t="shared" si="1"/>
        <v>3</v>
      </c>
      <c r="D62" s="109" t="str" cm="1">
        <f t="array" ref="D62">INDEX('Oth-Map-1'!$I$7:$K$109,1+B62,C62)</f>
        <v/>
      </c>
    </row>
    <row r="63" spans="1:7" x14ac:dyDescent="0.75">
      <c r="A63" s="111">
        <v>61</v>
      </c>
      <c r="B63" s="111">
        <f t="shared" si="0"/>
        <v>20</v>
      </c>
      <c r="C63" s="111">
        <f t="shared" si="1"/>
        <v>1</v>
      </c>
      <c r="D63" s="109" t="str" cm="1">
        <f t="array" ref="D63">INDEX('Oth-Map-1'!$I$7:$K$109,1+B63,C63)</f>
        <v>* differential.element[15].mapping[0].identity = "fhir"</v>
      </c>
    </row>
    <row r="64" spans="1:7" x14ac:dyDescent="0.75">
      <c r="A64" s="111">
        <v>62</v>
      </c>
      <c r="B64" s="111">
        <f t="shared" si="0"/>
        <v>20</v>
      </c>
      <c r="C64" s="111">
        <f t="shared" si="1"/>
        <v>2</v>
      </c>
      <c r="D64" s="109" t="str" cm="1">
        <f t="array" ref="D64">INDEX('Oth-Map-1'!$I$7:$K$109,1+B64,C64)</f>
        <v>* differential.element[15].mapping[0].map = "Procedure.conformsTo('http://hl7.eu/fhir/ig/pcsp/StructureDefinition/Procedure-cvc-otherinfos-eu-pcsp')"</v>
      </c>
    </row>
    <row r="65" spans="1:4" x14ac:dyDescent="0.75">
      <c r="A65" s="111">
        <v>63</v>
      </c>
      <c r="B65" s="111">
        <f t="shared" si="0"/>
        <v>20</v>
      </c>
      <c r="C65" s="111">
        <f t="shared" si="1"/>
        <v>3</v>
      </c>
      <c r="D65" s="109" t="str" cm="1">
        <f t="array" ref="D65">INDEX('Oth-Map-1'!$I$7:$K$109,1+B65,C65)</f>
        <v/>
      </c>
    </row>
    <row r="66" spans="1:4" x14ac:dyDescent="0.75">
      <c r="A66" s="111">
        <v>64</v>
      </c>
      <c r="B66" s="111">
        <f t="shared" si="0"/>
        <v>21</v>
      </c>
      <c r="C66" s="111">
        <f t="shared" si="1"/>
        <v>1</v>
      </c>
      <c r="D66" s="109" t="str" cm="1">
        <f t="array" ref="D66">INDEX('Oth-Map-1'!$I$7:$K$109,1+B66,C66)</f>
        <v>* differential.element[16].mapping[0].identity = "fhir"</v>
      </c>
    </row>
    <row r="67" spans="1:4" x14ac:dyDescent="0.75">
      <c r="A67" s="111">
        <v>65</v>
      </c>
      <c r="B67" s="111">
        <f t="shared" si="0"/>
        <v>21</v>
      </c>
      <c r="C67" s="111">
        <f t="shared" si="1"/>
        <v>2</v>
      </c>
      <c r="D67" s="109" t="str" cm="1">
        <f t="array" ref="D67">INDEX('Oth-Map-1'!$I$7:$K$109,1+B67,C67)</f>
        <v>* differential.element[16].mapping[0].map = ".focalDevice.action"</v>
      </c>
    </row>
    <row r="68" spans="1:4" x14ac:dyDescent="0.75">
      <c r="A68" s="111">
        <v>66</v>
      </c>
      <c r="B68" s="111">
        <f t="shared" ref="B68:B131" si="2">IF(MOD(A68,3)=0,A68/3-1,INT(A68/3))</f>
        <v>21</v>
      </c>
      <c r="C68" s="111">
        <f t="shared" ref="C68:C131" si="3">IF(MOD(A68,3)=0,3,MOD(A68,3))</f>
        <v>3</v>
      </c>
      <c r="D68" s="109" t="str" cm="1">
        <f t="array" ref="D68">INDEX('Oth-Map-1'!$I$7:$K$109,1+B68,C68)</f>
        <v/>
      </c>
    </row>
    <row r="69" spans="1:4" x14ac:dyDescent="0.75">
      <c r="A69" s="111">
        <v>67</v>
      </c>
      <c r="B69" s="111">
        <f t="shared" si="2"/>
        <v>22</v>
      </c>
      <c r="C69" s="111">
        <f t="shared" si="3"/>
        <v>1</v>
      </c>
      <c r="D69" s="109" t="str" cm="1">
        <f t="array" ref="D69">INDEX('Oth-Map-1'!$I$7:$K$109,1+B69,C69)</f>
        <v>* differential.element[17].mapping[0].identity = "fhir"</v>
      </c>
    </row>
    <row r="70" spans="1:4" x14ac:dyDescent="0.75">
      <c r="A70" s="111">
        <v>68</v>
      </c>
      <c r="B70" s="111">
        <f t="shared" si="2"/>
        <v>22</v>
      </c>
      <c r="C70" s="111">
        <f t="shared" si="3"/>
        <v>2</v>
      </c>
      <c r="D70" s="109" t="str" cm="1">
        <f t="array" ref="D70">INDEX('Oth-Map-1'!$I$7:$K$109,1+B70,C70)</f>
        <v>* differential.element[17].mapping[0].map = ".bodySite"</v>
      </c>
    </row>
    <row r="71" spans="1:4" x14ac:dyDescent="0.75">
      <c r="A71" s="111">
        <v>69</v>
      </c>
      <c r="B71" s="111">
        <f t="shared" si="2"/>
        <v>22</v>
      </c>
      <c r="C71" s="111">
        <f t="shared" si="3"/>
        <v>3</v>
      </c>
      <c r="D71" s="109" t="str" cm="1">
        <f t="array" ref="D71">INDEX('Oth-Map-1'!$I$7:$K$109,1+B71,C71)</f>
        <v/>
      </c>
    </row>
    <row r="72" spans="1:4" x14ac:dyDescent="0.75">
      <c r="A72" s="111">
        <v>70</v>
      </c>
      <c r="B72" s="111">
        <f t="shared" si="2"/>
        <v>23</v>
      </c>
      <c r="C72" s="111">
        <f t="shared" si="3"/>
        <v>1</v>
      </c>
      <c r="D72" s="109" t="str" cm="1">
        <f t="array" ref="D72">INDEX('Oth-Map-1'!$I$7:$K$109,1+B72,C72)</f>
        <v>* differential.element[18].mapping[0].identity = "fhir"</v>
      </c>
    </row>
    <row r="73" spans="1:4" x14ac:dyDescent="0.75">
      <c r="A73" s="111">
        <v>71</v>
      </c>
      <c r="B73" s="111">
        <f t="shared" si="2"/>
        <v>23</v>
      </c>
      <c r="C73" s="111">
        <f t="shared" si="3"/>
        <v>2</v>
      </c>
      <c r="D73" s="109" t="str" cm="1">
        <f t="array" ref="D73">INDEX('Oth-Map-1'!$I$7:$K$109,1+B73,C73)</f>
        <v>* differential.element[18].mapping[0].map = "Condition.conformsTo('http://hl7.eu/fhir/ig/pcsp/StructureDefinition/Condition-otherinfos-eu-pcsp').where(code = http://snomed.info/sct#439127006 'Thrombosis')"</v>
      </c>
    </row>
    <row r="74" spans="1:4" x14ac:dyDescent="0.75">
      <c r="A74" s="111">
        <v>72</v>
      </c>
      <c r="B74" s="111">
        <f t="shared" si="2"/>
        <v>23</v>
      </c>
      <c r="C74" s="111">
        <f t="shared" si="3"/>
        <v>3</v>
      </c>
      <c r="D74" s="109" t="str" cm="1">
        <f t="array" ref="D74">INDEX('Oth-Map-1'!$I$7:$K$109,1+B74,C74)</f>
        <v/>
      </c>
    </row>
    <row r="75" spans="1:4" x14ac:dyDescent="0.75">
      <c r="A75" s="111">
        <v>73</v>
      </c>
      <c r="B75" s="111">
        <f t="shared" si="2"/>
        <v>24</v>
      </c>
      <c r="C75" s="111">
        <f t="shared" si="3"/>
        <v>1</v>
      </c>
      <c r="D75" s="109" t="str" cm="1">
        <f t="array" ref="D75">INDEX('Oth-Map-1'!$I$7:$K$109,1+B75,C75)</f>
        <v>* differential.element[19].mapping[0].identity = "fhir"</v>
      </c>
    </row>
    <row r="76" spans="1:4" x14ac:dyDescent="0.75">
      <c r="A76" s="111">
        <v>74</v>
      </c>
      <c r="B76" s="111">
        <f t="shared" si="2"/>
        <v>24</v>
      </c>
      <c r="C76" s="111">
        <f t="shared" si="3"/>
        <v>2</v>
      </c>
      <c r="D76" s="109" t="str" cm="1">
        <f t="array" ref="D76">INDEX('Oth-Map-1'!$I$7:$K$109,1+B76,C76)</f>
        <v>* differential.element[19].mapping[0].map = ".exists()"</v>
      </c>
    </row>
    <row r="77" spans="1:4" x14ac:dyDescent="0.75">
      <c r="A77" s="111">
        <v>75</v>
      </c>
      <c r="B77" s="111">
        <f t="shared" si="2"/>
        <v>24</v>
      </c>
      <c r="C77" s="111">
        <f t="shared" si="3"/>
        <v>3</v>
      </c>
      <c r="D77" s="109" t="str" cm="1">
        <f t="array" ref="D77">INDEX('Oth-Map-1'!$I$7:$K$109,1+B77,C77)</f>
        <v/>
      </c>
    </row>
    <row r="78" spans="1:4" x14ac:dyDescent="0.75">
      <c r="A78" s="111">
        <v>76</v>
      </c>
      <c r="B78" s="111">
        <f t="shared" si="2"/>
        <v>25</v>
      </c>
      <c r="C78" s="111">
        <f t="shared" si="3"/>
        <v>1</v>
      </c>
      <c r="D78" s="109" t="str" cm="1">
        <f t="array" ref="D78">INDEX('Oth-Map-1'!$I$7:$K$109,1+B78,C78)</f>
        <v>* differential.element[20].mapping[0].identity = "fhir"</v>
      </c>
    </row>
    <row r="79" spans="1:4" x14ac:dyDescent="0.75">
      <c r="A79" s="111">
        <v>77</v>
      </c>
      <c r="B79" s="111">
        <f t="shared" si="2"/>
        <v>25</v>
      </c>
      <c r="C79" s="111">
        <f t="shared" si="3"/>
        <v>2</v>
      </c>
      <c r="D79" s="109" t="str" cm="1">
        <f t="array" ref="D79">INDEX('Oth-Map-1'!$I$7:$K$109,1+B79,C79)</f>
        <v>* differential.element[20].mapping[0].map = ".text"</v>
      </c>
    </row>
    <row r="80" spans="1:4" x14ac:dyDescent="0.75">
      <c r="A80" s="111">
        <v>78</v>
      </c>
      <c r="B80" s="111">
        <f t="shared" si="2"/>
        <v>25</v>
      </c>
      <c r="C80" s="111">
        <f t="shared" si="3"/>
        <v>3</v>
      </c>
      <c r="D80" s="109" t="str" cm="1">
        <f t="array" ref="D80">INDEX('Oth-Map-1'!$I$7:$K$109,1+B80,C80)</f>
        <v/>
      </c>
    </row>
    <row r="81" spans="1:4" x14ac:dyDescent="0.75">
      <c r="A81" s="111">
        <v>79</v>
      </c>
      <c r="B81" s="111">
        <f t="shared" si="2"/>
        <v>26</v>
      </c>
      <c r="C81" s="111">
        <f t="shared" si="3"/>
        <v>1</v>
      </c>
      <c r="D81" s="109" t="str" cm="1">
        <f t="array" ref="D81">INDEX('Oth-Map-1'!$I$7:$K$109,1+B81,C81)</f>
        <v>* differential.element[21].mapping[0].identity = "fhir"</v>
      </c>
    </row>
    <row r="82" spans="1:4" x14ac:dyDescent="0.75">
      <c r="A82" s="111">
        <v>80</v>
      </c>
      <c r="B82" s="111">
        <f t="shared" si="2"/>
        <v>26</v>
      </c>
      <c r="C82" s="111">
        <f t="shared" si="3"/>
        <v>2</v>
      </c>
      <c r="D82" s="109" t="str" cm="1">
        <f t="array" ref="D82">INDEX('Oth-Map-1'!$I$7:$K$109,1+B82,C82)</f>
        <v>* differential.element[21].mapping[0].map = "Procedure.conformsTo('http://hl7.eu/fhir/ig/pcsp/StructureDefinition/Procedure-transfusion-otherinfos-eu-pcsp')"</v>
      </c>
    </row>
    <row r="83" spans="1:4" x14ac:dyDescent="0.75">
      <c r="A83" s="111">
        <v>81</v>
      </c>
      <c r="B83" s="111">
        <f t="shared" si="2"/>
        <v>26</v>
      </c>
      <c r="C83" s="111">
        <f t="shared" si="3"/>
        <v>3</v>
      </c>
      <c r="D83" s="109" t="str" cm="1">
        <f t="array" ref="D83">INDEX('Oth-Map-1'!$I$7:$K$109,1+B83,C83)</f>
        <v/>
      </c>
    </row>
    <row r="84" spans="1:4" x14ac:dyDescent="0.75">
      <c r="A84" s="111">
        <v>82</v>
      </c>
      <c r="B84" s="111">
        <f t="shared" si="2"/>
        <v>27</v>
      </c>
      <c r="C84" s="111">
        <f t="shared" si="3"/>
        <v>1</v>
      </c>
      <c r="D84" s="109" t="str" cm="1">
        <f t="array" ref="D84">INDEX('Oth-Map-1'!$I$7:$K$109,1+B84,C84)</f>
        <v>* differential.element[22].mapping[0].identity = "fhir"</v>
      </c>
    </row>
    <row r="85" spans="1:4" x14ac:dyDescent="0.75">
      <c r="A85" s="111">
        <v>83</v>
      </c>
      <c r="B85" s="111">
        <f t="shared" si="2"/>
        <v>27</v>
      </c>
      <c r="C85" s="111">
        <f t="shared" si="3"/>
        <v>2</v>
      </c>
      <c r="D85" s="109" t="str" cm="1">
        <f t="array" ref="D85">INDEX('Oth-Map-1'!$I$7:$K$109,1+B85,C85)</f>
        <v>* differential.element[22].mapping[0].map = ".exists()"</v>
      </c>
    </row>
    <row r="86" spans="1:4" x14ac:dyDescent="0.75">
      <c r="A86" s="111">
        <v>84</v>
      </c>
      <c r="B86" s="111">
        <f t="shared" si="2"/>
        <v>27</v>
      </c>
      <c r="C86" s="111">
        <f t="shared" si="3"/>
        <v>3</v>
      </c>
      <c r="D86" s="109" t="str" cm="1">
        <f t="array" ref="D86">INDEX('Oth-Map-1'!$I$7:$K$109,1+B86,C86)</f>
        <v/>
      </c>
    </row>
    <row r="87" spans="1:4" x14ac:dyDescent="0.75">
      <c r="A87" s="111">
        <v>85</v>
      </c>
      <c r="B87" s="111">
        <f t="shared" si="2"/>
        <v>28</v>
      </c>
      <c r="C87" s="111">
        <f t="shared" si="3"/>
        <v>1</v>
      </c>
      <c r="D87" s="109" t="str" cm="1">
        <f t="array" ref="D87">INDEX('Oth-Map-1'!$I$7:$K$109,1+B87,C87)</f>
        <v>* differential.element[23].mapping[0].identity = "fhir"</v>
      </c>
    </row>
    <row r="88" spans="1:4" x14ac:dyDescent="0.75">
      <c r="A88" s="111">
        <v>86</v>
      </c>
      <c r="B88" s="111">
        <f t="shared" si="2"/>
        <v>28</v>
      </c>
      <c r="C88" s="111">
        <f t="shared" si="3"/>
        <v>2</v>
      </c>
      <c r="D88" s="109" t="str" cm="1">
        <f t="array" ref="D88">INDEX('Oth-Map-1'!$I$7:$K$109,1+B88,C88)</f>
        <v>* differential.element[23].mapping[0].map = "extension(''http://hl7.eu/fhir/ig/pcsp/StructureDefinition/procedure-performedTiming').valueTiming.event.value.aggregate(iif($total.empty(), $this, iif($this &gt; $total, $this, $total)))"</v>
      </c>
    </row>
    <row r="89" spans="1:4" x14ac:dyDescent="0.75">
      <c r="A89" s="111">
        <v>87</v>
      </c>
      <c r="B89" s="111">
        <f t="shared" si="2"/>
        <v>28</v>
      </c>
      <c r="C89" s="111">
        <f t="shared" si="3"/>
        <v>3</v>
      </c>
      <c r="D89" s="109" t="str" cm="1">
        <f t="array" ref="D89">INDEX('Oth-Map-1'!$I$7:$K$109,1+B89,C89)</f>
        <v/>
      </c>
    </row>
    <row r="90" spans="1:4" x14ac:dyDescent="0.75">
      <c r="A90" s="111">
        <v>88</v>
      </c>
      <c r="B90" s="111">
        <f t="shared" si="2"/>
        <v>29</v>
      </c>
      <c r="C90" s="111">
        <f t="shared" si="3"/>
        <v>1</v>
      </c>
      <c r="D90" s="109" t="str" cm="1">
        <f t="array" ref="D90">INDEX('Oth-Map-1'!$I$7:$K$109,1+B90,C90)</f>
        <v>* differential.element[23].mapping[1].identity = "fhir"</v>
      </c>
    </row>
    <row r="91" spans="1:4" x14ac:dyDescent="0.75">
      <c r="A91" s="111">
        <v>89</v>
      </c>
      <c r="B91" s="111">
        <f t="shared" si="2"/>
        <v>29</v>
      </c>
      <c r="C91" s="111">
        <f t="shared" si="3"/>
        <v>2</v>
      </c>
      <c r="D91" s="109" t="str" cm="1">
        <f t="array" ref="D91">INDEX('Oth-Map-1'!$I$7:$K$109,1+B91,C91)</f>
        <v>* differential.element[23].mapping[1].map = "performedDateTime"</v>
      </c>
    </row>
    <row r="92" spans="1:4" x14ac:dyDescent="0.75">
      <c r="A92" s="111">
        <v>90</v>
      </c>
      <c r="B92" s="111">
        <f t="shared" si="2"/>
        <v>29</v>
      </c>
      <c r="C92" s="111">
        <f t="shared" si="3"/>
        <v>3</v>
      </c>
      <c r="D92" s="109" t="str" cm="1">
        <f t="array" ref="D92">INDEX('Oth-Map-1'!$I$7:$K$109,1+B92,C92)</f>
        <v/>
      </c>
    </row>
    <row r="93" spans="1:4" x14ac:dyDescent="0.75">
      <c r="A93" s="111">
        <v>91</v>
      </c>
      <c r="B93" s="111">
        <f t="shared" si="2"/>
        <v>30</v>
      </c>
      <c r="C93" s="111">
        <f t="shared" si="3"/>
        <v>1</v>
      </c>
      <c r="D93" s="109" t="str" cm="1">
        <f t="array" ref="D93">INDEX('Oth-Map-1'!$I$7:$K$109,1+B93,C93)</f>
        <v>* differential.element[24].mapping[0].identity = "fhir"</v>
      </c>
    </row>
    <row r="94" spans="1:4" x14ac:dyDescent="0.75">
      <c r="A94" s="111">
        <v>92</v>
      </c>
      <c r="B94" s="111">
        <f t="shared" si="2"/>
        <v>30</v>
      </c>
      <c r="C94" s="111">
        <f t="shared" si="3"/>
        <v>2</v>
      </c>
      <c r="D94" s="109" t="str" cm="1">
        <f t="array" ref="D94">INDEX('Oth-Map-1'!$I$7:$K$109,1+B94,C94)</f>
        <v>* differential.element[24].mapping[0].map = "iif(.extension(''http://hl7.eu/fhir/ig/pcsp/StructureDefinition/procedure-performedTiming').valueTiming.repeat.count &gt; 9; true)"</v>
      </c>
    </row>
    <row r="95" spans="1:4" x14ac:dyDescent="0.75">
      <c r="A95" s="111">
        <v>93</v>
      </c>
      <c r="B95" s="111">
        <f t="shared" si="2"/>
        <v>30</v>
      </c>
      <c r="C95" s="111">
        <f t="shared" si="3"/>
        <v>3</v>
      </c>
      <c r="D95" s="109" t="str" cm="1">
        <f t="array" ref="D95">INDEX('Oth-Map-1'!$I$7:$K$109,1+B95,C95)</f>
        <v/>
      </c>
    </row>
    <row r="96" spans="1:4" x14ac:dyDescent="0.75">
      <c r="A96" s="111">
        <v>94</v>
      </c>
      <c r="B96" s="111">
        <f t="shared" si="2"/>
        <v>31</v>
      </c>
      <c r="C96" s="111">
        <f t="shared" si="3"/>
        <v>1</v>
      </c>
      <c r="D96" s="109" t="str" cm="1">
        <f t="array" ref="D96">INDEX('Oth-Map-1'!$I$7:$K$109,1+B96,C96)</f>
        <v>* differential.element[24].mapping[1].identity = "fhir"</v>
      </c>
    </row>
    <row r="97" spans="1:4" x14ac:dyDescent="0.75">
      <c r="A97" s="111">
        <v>95</v>
      </c>
      <c r="B97" s="111">
        <f t="shared" si="2"/>
        <v>31</v>
      </c>
      <c r="C97" s="111">
        <f t="shared" si="3"/>
        <v>2</v>
      </c>
      <c r="D97" s="109" t="str" cm="1">
        <f t="array" ref="D97">INDEX('Oth-Map-1'!$I$7:$K$109,1+B97,C97)</f>
        <v>* differential.element[24].mapping[1].map = "iif(.extension(''http://hl7.eu/fhir/ig/pcsp/StructureDefinition/procedure-performedTiming').valueTiming.repeat..boundsRange.low &gt; 9; true)"</v>
      </c>
    </row>
    <row r="98" spans="1:4" x14ac:dyDescent="0.75">
      <c r="A98" s="111">
        <v>96</v>
      </c>
      <c r="B98" s="111">
        <f t="shared" si="2"/>
        <v>31</v>
      </c>
      <c r="C98" s="111">
        <f t="shared" si="3"/>
        <v>3</v>
      </c>
      <c r="D98" s="109" t="str" cm="1">
        <f t="array" ref="D98">INDEX('Oth-Map-1'!$I$7:$K$109,1+B98,C98)</f>
        <v/>
      </c>
    </row>
    <row r="99" spans="1:4" x14ac:dyDescent="0.75">
      <c r="A99" s="111">
        <v>97</v>
      </c>
      <c r="B99" s="111">
        <f t="shared" si="2"/>
        <v>32</v>
      </c>
      <c r="C99" s="111">
        <f t="shared" si="3"/>
        <v>1</v>
      </c>
      <c r="D99" s="109" t="str" cm="1">
        <f t="array" ref="D99">INDEX('Oth-Map-1'!$I$7:$K$109,1+B99,C99)</f>
        <v>* differential.element[25].mapping[0].identity = "fhir"</v>
      </c>
    </row>
    <row r="100" spans="1:4" x14ac:dyDescent="0.75">
      <c r="A100" s="111">
        <v>98</v>
      </c>
      <c r="B100" s="111">
        <f t="shared" si="2"/>
        <v>32</v>
      </c>
      <c r="C100" s="111">
        <f t="shared" si="3"/>
        <v>2</v>
      </c>
      <c r="D100" s="109" t="str" cm="1">
        <f t="array" ref="D100">INDEX('Oth-Map-1'!$I$7:$K$109,1+B100,C100)</f>
        <v>* differential.element[25].mapping[0].map = "Procedure.conformsTo('http://hl7.eu/fhir/ig/pcsp/StructureDefinition/Procedure-cryopreservation-otherinfos-eu-pcsp')"</v>
      </c>
    </row>
    <row r="101" spans="1:4" x14ac:dyDescent="0.75">
      <c r="A101" s="111">
        <v>99</v>
      </c>
      <c r="B101" s="111">
        <f t="shared" si="2"/>
        <v>32</v>
      </c>
      <c r="C101" s="111">
        <f t="shared" si="3"/>
        <v>3</v>
      </c>
      <c r="D101" s="109" t="str" cm="1">
        <f t="array" ref="D101">INDEX('Oth-Map-1'!$I$7:$K$109,1+B101,C101)</f>
        <v/>
      </c>
    </row>
    <row r="102" spans="1:4" x14ac:dyDescent="0.75">
      <c r="A102" s="111">
        <v>100</v>
      </c>
      <c r="B102" s="111">
        <f t="shared" si="2"/>
        <v>33</v>
      </c>
      <c r="C102" s="111">
        <f t="shared" si="3"/>
        <v>1</v>
      </c>
      <c r="D102" s="109" t="str" cm="1">
        <f t="array" ref="D102">INDEX('Oth-Map-1'!$I$7:$K$109,1+B102,C102)</f>
        <v>* differential.element[26].mapping[0].identity = "fhir"</v>
      </c>
    </row>
    <row r="103" spans="1:4" x14ac:dyDescent="0.75">
      <c r="A103" s="111">
        <v>101</v>
      </c>
      <c r="B103" s="111">
        <f t="shared" si="2"/>
        <v>33</v>
      </c>
      <c r="C103" s="111">
        <f t="shared" si="3"/>
        <v>2</v>
      </c>
      <c r="D103" s="109" t="str" cm="1">
        <f t="array" ref="D103">INDEX('Oth-Map-1'!$I$7:$K$109,1+B103,C103)</f>
        <v>* differential.element[26].mapping[0].map = ".text"</v>
      </c>
    </row>
    <row r="104" spans="1:4" x14ac:dyDescent="0.75">
      <c r="A104" s="111">
        <v>102</v>
      </c>
      <c r="B104" s="111">
        <f t="shared" si="2"/>
        <v>33</v>
      </c>
      <c r="C104" s="111">
        <f t="shared" si="3"/>
        <v>3</v>
      </c>
      <c r="D104" s="109" t="str" cm="1">
        <f t="array" ref="D104">INDEX('Oth-Map-1'!$I$7:$K$109,1+B104,C104)</f>
        <v/>
      </c>
    </row>
    <row r="105" spans="1:4" x14ac:dyDescent="0.75">
      <c r="A105" s="111">
        <v>103</v>
      </c>
      <c r="B105" s="111">
        <f t="shared" si="2"/>
        <v>34</v>
      </c>
      <c r="C105" s="111">
        <f t="shared" si="3"/>
        <v>1</v>
      </c>
      <c r="D105" s="109" t="str" cm="1">
        <f t="array" ref="D105">INDEX('Oth-Map-1'!$I$7:$K$109,1+B105,C105)</f>
        <v>* differential.element[27].mapping[0].identity = "fhir"</v>
      </c>
    </row>
    <row r="106" spans="1:4" x14ac:dyDescent="0.75">
      <c r="A106" s="111">
        <v>104</v>
      </c>
      <c r="B106" s="111">
        <f t="shared" si="2"/>
        <v>34</v>
      </c>
      <c r="C106" s="111">
        <f t="shared" si="3"/>
        <v>2</v>
      </c>
      <c r="D106" s="109" t="str" cm="1">
        <f t="array" ref="D106">INDEX('Oth-Map-1'!$I$7:$K$109,1+B106,C106)</f>
        <v>* differential.element[27].mapping[0].map = ".location"</v>
      </c>
    </row>
    <row r="107" spans="1:4" x14ac:dyDescent="0.75">
      <c r="A107" s="111">
        <v>105</v>
      </c>
      <c r="B107" s="111">
        <f t="shared" si="2"/>
        <v>34</v>
      </c>
      <c r="C107" s="111">
        <f t="shared" si="3"/>
        <v>3</v>
      </c>
      <c r="D107" s="109" t="str" cm="1">
        <f t="array" ref="D107">INDEX('Oth-Map-1'!$I$7:$K$109,1+B107,C107)</f>
        <v/>
      </c>
    </row>
    <row r="108" spans="1:4" x14ac:dyDescent="0.75">
      <c r="A108" s="111">
        <v>106</v>
      </c>
      <c r="B108" s="111">
        <f t="shared" si="2"/>
        <v>35</v>
      </c>
      <c r="C108" s="111">
        <f t="shared" si="3"/>
        <v>1</v>
      </c>
      <c r="D108" s="109" t="str" cm="1">
        <f t="array" ref="D108">INDEX('Oth-Map-1'!$I$7:$K$109,1+B108,C108)</f>
        <v>* differential.element[28].mapping[0].identity = "fhir"</v>
      </c>
    </row>
    <row r="109" spans="1:4" x14ac:dyDescent="0.75">
      <c r="A109" s="111">
        <v>107</v>
      </c>
      <c r="B109" s="111">
        <f t="shared" si="2"/>
        <v>35</v>
      </c>
      <c r="C109" s="111">
        <f t="shared" si="3"/>
        <v>2</v>
      </c>
      <c r="D109" s="109" t="str" cm="1">
        <f t="array" ref="D109">INDEX('Oth-Map-1'!$I$7:$K$109,1+B109,C109)</f>
        <v>* differential.element[28].mapping[0].map = "Procedure.conformsTo('http://hl7.eu/fhir/ig/pcsp/StructureDefinition/Procedure-treatment-otherinfos-eu-pcsp')"</v>
      </c>
    </row>
    <row r="110" spans="1:4" x14ac:dyDescent="0.75">
      <c r="A110" s="111">
        <v>108</v>
      </c>
      <c r="B110" s="111">
        <f t="shared" si="2"/>
        <v>35</v>
      </c>
      <c r="C110" s="111">
        <f t="shared" si="3"/>
        <v>3</v>
      </c>
      <c r="D110" s="109" t="str" cm="1">
        <f t="array" ref="D110">INDEX('Oth-Map-1'!$I$7:$K$109,1+B110,C110)</f>
        <v/>
      </c>
    </row>
    <row r="111" spans="1:4" x14ac:dyDescent="0.75">
      <c r="A111" s="111">
        <v>109</v>
      </c>
      <c r="B111" s="111">
        <f t="shared" si="2"/>
        <v>36</v>
      </c>
      <c r="C111" s="111">
        <f t="shared" si="3"/>
        <v>1</v>
      </c>
      <c r="D111" s="109" t="str" cm="1">
        <f t="array" ref="D111">INDEX('Oth-Map-1'!$I$7:$K$109,1+B111,C111)</f>
        <v>* differential.element[29].mapping[0].identity = "fhir"</v>
      </c>
    </row>
    <row r="112" spans="1:4" x14ac:dyDescent="0.75">
      <c r="A112" s="111">
        <v>110</v>
      </c>
      <c r="B112" s="111">
        <f t="shared" si="2"/>
        <v>36</v>
      </c>
      <c r="C112" s="111">
        <f t="shared" si="3"/>
        <v>2</v>
      </c>
      <c r="D112" s="109" t="str" cm="1">
        <f t="array" ref="D112">INDEX('Oth-Map-1'!$I$7:$K$109,1+B112,C112)</f>
        <v>* differential.element[29].mapping[0].map = "DocumentReference.conformsTo('http://hl7.eu/fhir/ig/pcsp/StructureDefinition/DocumentReference-eu-pcsp')"</v>
      </c>
    </row>
    <row r="113" spans="1:4" x14ac:dyDescent="0.75">
      <c r="A113" s="111">
        <v>111</v>
      </c>
      <c r="B113" s="111">
        <f t="shared" si="2"/>
        <v>36</v>
      </c>
      <c r="C113" s="111">
        <f t="shared" si="3"/>
        <v>3</v>
      </c>
      <c r="D113" s="109" t="str" cm="1">
        <f t="array" ref="D113">INDEX('Oth-Map-1'!$I$7:$K$109,1+B113,C113)</f>
        <v/>
      </c>
    </row>
    <row r="114" spans="1:4" x14ac:dyDescent="0.75">
      <c r="A114" s="111">
        <v>112</v>
      </c>
      <c r="B114" s="111">
        <f t="shared" si="2"/>
        <v>37</v>
      </c>
      <c r="C114" s="111">
        <f t="shared" si="3"/>
        <v>1</v>
      </c>
      <c r="D114" s="109" t="str" cm="1">
        <f t="array" ref="D114">INDEX('Oth-Map-1'!$I$7:$K$109,1+B114,C114)</f>
        <v/>
      </c>
    </row>
    <row r="115" spans="1:4" x14ac:dyDescent="0.75">
      <c r="A115" s="111">
        <v>113</v>
      </c>
      <c r="B115" s="111">
        <f t="shared" si="2"/>
        <v>37</v>
      </c>
      <c r="C115" s="111">
        <f t="shared" si="3"/>
        <v>2</v>
      </c>
      <c r="D115" s="109" t="str" cm="1">
        <f t="array" ref="D115">INDEX('Oth-Map-1'!$I$7:$K$109,1+B115,C115)</f>
        <v/>
      </c>
    </row>
    <row r="116" spans="1:4" x14ac:dyDescent="0.75">
      <c r="A116" s="111">
        <v>114</v>
      </c>
      <c r="B116" s="111">
        <f t="shared" si="2"/>
        <v>37</v>
      </c>
      <c r="C116" s="111">
        <f t="shared" si="3"/>
        <v>3</v>
      </c>
      <c r="D116" s="109" t="str" cm="1">
        <f t="array" ref="D116">INDEX('Oth-Map-1'!$I$7:$K$109,1+B116,C116)</f>
        <v/>
      </c>
    </row>
    <row r="117" spans="1:4" x14ac:dyDescent="0.75">
      <c r="A117" s="111">
        <v>115</v>
      </c>
      <c r="B117" s="111">
        <f t="shared" si="2"/>
        <v>38</v>
      </c>
      <c r="C117" s="111">
        <f t="shared" si="3"/>
        <v>1</v>
      </c>
      <c r="D117" s="109" t="str" cm="1">
        <f t="array" ref="D117">INDEX('Oth-Map-1'!$I$7:$K$109,1+B117,C117)</f>
        <v/>
      </c>
    </row>
    <row r="118" spans="1:4" x14ac:dyDescent="0.75">
      <c r="A118" s="111">
        <v>116</v>
      </c>
      <c r="B118" s="111">
        <f t="shared" si="2"/>
        <v>38</v>
      </c>
      <c r="C118" s="111">
        <f t="shared" si="3"/>
        <v>2</v>
      </c>
      <c r="D118" s="109" t="str" cm="1">
        <f t="array" ref="D118">INDEX('Oth-Map-1'!$I$7:$K$109,1+B118,C118)</f>
        <v/>
      </c>
    </row>
    <row r="119" spans="1:4" x14ac:dyDescent="0.75">
      <c r="A119" s="111">
        <v>117</v>
      </c>
      <c r="B119" s="111">
        <f t="shared" si="2"/>
        <v>38</v>
      </c>
      <c r="C119" s="111">
        <f t="shared" si="3"/>
        <v>3</v>
      </c>
      <c r="D119" s="109" t="str" cm="1">
        <f t="array" ref="D119">INDEX('Oth-Map-1'!$I$7:$K$109,1+B119,C119)</f>
        <v/>
      </c>
    </row>
    <row r="120" spans="1:4" x14ac:dyDescent="0.75">
      <c r="A120" s="111">
        <v>118</v>
      </c>
      <c r="B120" s="111">
        <f t="shared" si="2"/>
        <v>39</v>
      </c>
      <c r="C120" s="111">
        <f t="shared" si="3"/>
        <v>1</v>
      </c>
      <c r="D120" s="109" t="str" cm="1">
        <f t="array" ref="D120">INDEX('Oth-Map-1'!$I$7:$K$109,1+B120,C120)</f>
        <v/>
      </c>
    </row>
    <row r="121" spans="1:4" x14ac:dyDescent="0.75">
      <c r="A121" s="111">
        <v>119</v>
      </c>
      <c r="B121" s="111">
        <f t="shared" si="2"/>
        <v>39</v>
      </c>
      <c r="C121" s="111">
        <f t="shared" si="3"/>
        <v>2</v>
      </c>
      <c r="D121" s="109" t="str" cm="1">
        <f t="array" ref="D121">INDEX('Oth-Map-1'!$I$7:$K$109,1+B121,C121)</f>
        <v/>
      </c>
    </row>
    <row r="122" spans="1:4" x14ac:dyDescent="0.75">
      <c r="A122" s="111">
        <v>120</v>
      </c>
      <c r="B122" s="111">
        <f t="shared" si="2"/>
        <v>39</v>
      </c>
      <c r="C122" s="111">
        <f t="shared" si="3"/>
        <v>3</v>
      </c>
      <c r="D122" s="109" t="str" cm="1">
        <f t="array" ref="D122">INDEX('Oth-Map-1'!$I$7:$K$109,1+B122,C122)</f>
        <v/>
      </c>
    </row>
    <row r="123" spans="1:4" x14ac:dyDescent="0.75">
      <c r="A123" s="111">
        <v>121</v>
      </c>
      <c r="B123" s="111">
        <f t="shared" si="2"/>
        <v>40</v>
      </c>
      <c r="C123" s="111">
        <f t="shared" si="3"/>
        <v>1</v>
      </c>
      <c r="D123" s="109" t="str" cm="1">
        <f t="array" ref="D123">INDEX('Oth-Map-1'!$I$7:$K$109,1+B123,C123)</f>
        <v/>
      </c>
    </row>
    <row r="124" spans="1:4" x14ac:dyDescent="0.75">
      <c r="A124" s="111">
        <v>122</v>
      </c>
      <c r="B124" s="111">
        <f t="shared" si="2"/>
        <v>40</v>
      </c>
      <c r="C124" s="111">
        <f t="shared" si="3"/>
        <v>2</v>
      </c>
      <c r="D124" s="109" t="str" cm="1">
        <f t="array" ref="D124">INDEX('Oth-Map-1'!$I$7:$K$109,1+B124,C124)</f>
        <v/>
      </c>
    </row>
    <row r="125" spans="1:4" x14ac:dyDescent="0.75">
      <c r="A125" s="111">
        <v>123</v>
      </c>
      <c r="B125" s="111">
        <f t="shared" si="2"/>
        <v>40</v>
      </c>
      <c r="C125" s="111">
        <f t="shared" si="3"/>
        <v>3</v>
      </c>
      <c r="D125" s="109" t="str" cm="1">
        <f t="array" ref="D125">INDEX('Oth-Map-1'!$I$7:$K$109,1+B125,C125)</f>
        <v/>
      </c>
    </row>
    <row r="126" spans="1:4" x14ac:dyDescent="0.75">
      <c r="A126" s="111">
        <v>124</v>
      </c>
      <c r="B126" s="111">
        <f t="shared" si="2"/>
        <v>41</v>
      </c>
      <c r="C126" s="111">
        <f t="shared" si="3"/>
        <v>1</v>
      </c>
      <c r="D126" s="109" t="str" cm="1">
        <f t="array" ref="D126">INDEX('Oth-Map-1'!$I$7:$K$109,1+B126,C126)</f>
        <v/>
      </c>
    </row>
    <row r="127" spans="1:4" x14ac:dyDescent="0.75">
      <c r="A127" s="111">
        <v>125</v>
      </c>
      <c r="B127" s="111">
        <f t="shared" si="2"/>
        <v>41</v>
      </c>
      <c r="C127" s="111">
        <f t="shared" si="3"/>
        <v>2</v>
      </c>
      <c r="D127" s="109" t="str" cm="1">
        <f t="array" ref="D127">INDEX('Oth-Map-1'!$I$7:$K$109,1+B127,C127)</f>
        <v/>
      </c>
    </row>
    <row r="128" spans="1:4" x14ac:dyDescent="0.75">
      <c r="A128" s="111">
        <v>126</v>
      </c>
      <c r="B128" s="111">
        <f t="shared" si="2"/>
        <v>41</v>
      </c>
      <c r="C128" s="111">
        <f t="shared" si="3"/>
        <v>3</v>
      </c>
      <c r="D128" s="109" t="str" cm="1">
        <f t="array" ref="D128">INDEX('Oth-Map-1'!$I$7:$K$109,1+B128,C128)</f>
        <v/>
      </c>
    </row>
    <row r="129" spans="1:4" x14ac:dyDescent="0.75">
      <c r="A129" s="111">
        <v>127</v>
      </c>
      <c r="B129" s="111">
        <f t="shared" si="2"/>
        <v>42</v>
      </c>
      <c r="C129" s="111">
        <f t="shared" si="3"/>
        <v>1</v>
      </c>
      <c r="D129" s="109" t="str" cm="1">
        <f t="array" ref="D129">INDEX('Oth-Map-1'!$I$7:$K$109,1+B129,C129)</f>
        <v/>
      </c>
    </row>
    <row r="130" spans="1:4" x14ac:dyDescent="0.75">
      <c r="A130" s="111">
        <v>128</v>
      </c>
      <c r="B130" s="111">
        <f t="shared" si="2"/>
        <v>42</v>
      </c>
      <c r="C130" s="111">
        <f t="shared" si="3"/>
        <v>2</v>
      </c>
      <c r="D130" s="109" t="str" cm="1">
        <f t="array" ref="D130">INDEX('Oth-Map-1'!$I$7:$K$109,1+B130,C130)</f>
        <v/>
      </c>
    </row>
    <row r="131" spans="1:4" x14ac:dyDescent="0.75">
      <c r="A131" s="111">
        <v>129</v>
      </c>
      <c r="B131" s="111">
        <f t="shared" si="2"/>
        <v>42</v>
      </c>
      <c r="C131" s="111">
        <f t="shared" si="3"/>
        <v>3</v>
      </c>
      <c r="D131" s="109" t="str" cm="1">
        <f t="array" ref="D131">INDEX('Oth-Map-1'!$I$7:$K$109,1+B131,C131)</f>
        <v/>
      </c>
    </row>
    <row r="132" spans="1:4" x14ac:dyDescent="0.75">
      <c r="A132" s="111">
        <v>130</v>
      </c>
      <c r="B132" s="111">
        <f t="shared" ref="B132:B195" si="4">IF(MOD(A132,3)=0,A132/3-1,INT(A132/3))</f>
        <v>43</v>
      </c>
      <c r="C132" s="111">
        <f t="shared" ref="C132:C195" si="5">IF(MOD(A132,3)=0,3,MOD(A132,3))</f>
        <v>1</v>
      </c>
      <c r="D132" s="109" t="str" cm="1">
        <f t="array" ref="D132">INDEX('Oth-Map-1'!$I$7:$K$109,1+B132,C132)</f>
        <v/>
      </c>
    </row>
    <row r="133" spans="1:4" x14ac:dyDescent="0.75">
      <c r="A133" s="111">
        <v>131</v>
      </c>
      <c r="B133" s="111">
        <f t="shared" si="4"/>
        <v>43</v>
      </c>
      <c r="C133" s="111">
        <f t="shared" si="5"/>
        <v>2</v>
      </c>
      <c r="D133" s="109" t="str" cm="1">
        <f t="array" ref="D133">INDEX('Oth-Map-1'!$I$7:$K$109,1+B133,C133)</f>
        <v/>
      </c>
    </row>
    <row r="134" spans="1:4" x14ac:dyDescent="0.75">
      <c r="A134" s="111">
        <v>132</v>
      </c>
      <c r="B134" s="111">
        <f t="shared" si="4"/>
        <v>43</v>
      </c>
      <c r="C134" s="111">
        <f t="shared" si="5"/>
        <v>3</v>
      </c>
      <c r="D134" s="109" t="str" cm="1">
        <f t="array" ref="D134">INDEX('Oth-Map-1'!$I$7:$K$109,1+B134,C134)</f>
        <v/>
      </c>
    </row>
    <row r="135" spans="1:4" x14ac:dyDescent="0.75">
      <c r="A135" s="111">
        <v>133</v>
      </c>
      <c r="B135" s="111">
        <f t="shared" si="4"/>
        <v>44</v>
      </c>
      <c r="C135" s="111">
        <f t="shared" si="5"/>
        <v>1</v>
      </c>
      <c r="D135" s="109" t="str" cm="1">
        <f t="array" ref="D135">INDEX('Oth-Map-1'!$I$7:$K$109,1+B135,C135)</f>
        <v/>
      </c>
    </row>
    <row r="136" spans="1:4" x14ac:dyDescent="0.75">
      <c r="A136" s="111">
        <v>134</v>
      </c>
      <c r="B136" s="111">
        <f t="shared" si="4"/>
        <v>44</v>
      </c>
      <c r="C136" s="111">
        <f t="shared" si="5"/>
        <v>2</v>
      </c>
      <c r="D136" s="109" t="str" cm="1">
        <f t="array" ref="D136">INDEX('Oth-Map-1'!$I$7:$K$109,1+B136,C136)</f>
        <v/>
      </c>
    </row>
    <row r="137" spans="1:4" x14ac:dyDescent="0.75">
      <c r="A137" s="111">
        <v>135</v>
      </c>
      <c r="B137" s="111">
        <f t="shared" si="4"/>
        <v>44</v>
      </c>
      <c r="C137" s="111">
        <f t="shared" si="5"/>
        <v>3</v>
      </c>
      <c r="D137" s="109" t="str" cm="1">
        <f t="array" ref="D137">INDEX('Oth-Map-1'!$I$7:$K$109,1+B137,C137)</f>
        <v/>
      </c>
    </row>
    <row r="138" spans="1:4" x14ac:dyDescent="0.75">
      <c r="A138" s="111">
        <v>136</v>
      </c>
      <c r="B138" s="111">
        <f t="shared" si="4"/>
        <v>45</v>
      </c>
      <c r="C138" s="111">
        <f t="shared" si="5"/>
        <v>1</v>
      </c>
      <c r="D138" s="109" t="str" cm="1">
        <f t="array" ref="D138">INDEX('Oth-Map-1'!$I$7:$K$109,1+B138,C138)</f>
        <v/>
      </c>
    </row>
    <row r="139" spans="1:4" x14ac:dyDescent="0.75">
      <c r="A139" s="111">
        <v>137</v>
      </c>
      <c r="B139" s="111">
        <f t="shared" si="4"/>
        <v>45</v>
      </c>
      <c r="C139" s="111">
        <f t="shared" si="5"/>
        <v>2</v>
      </c>
      <c r="D139" s="109" t="str" cm="1">
        <f t="array" ref="D139">INDEX('Oth-Map-1'!$I$7:$K$109,1+B139,C139)</f>
        <v/>
      </c>
    </row>
    <row r="140" spans="1:4" x14ac:dyDescent="0.75">
      <c r="A140" s="111">
        <v>138</v>
      </c>
      <c r="B140" s="111">
        <f t="shared" si="4"/>
        <v>45</v>
      </c>
      <c r="C140" s="111">
        <f t="shared" si="5"/>
        <v>3</v>
      </c>
      <c r="D140" s="109" t="str" cm="1">
        <f t="array" ref="D140">INDEX('Oth-Map-1'!$I$7:$K$109,1+B140,C140)</f>
        <v/>
      </c>
    </row>
    <row r="141" spans="1:4" x14ac:dyDescent="0.75">
      <c r="A141" s="111">
        <v>139</v>
      </c>
      <c r="B141" s="111">
        <f t="shared" si="4"/>
        <v>46</v>
      </c>
      <c r="C141" s="111">
        <f t="shared" si="5"/>
        <v>1</v>
      </c>
      <c r="D141" s="109" t="str" cm="1">
        <f t="array" ref="D141">INDEX('Oth-Map-1'!$I$7:$K$109,1+B141,C141)</f>
        <v/>
      </c>
    </row>
    <row r="142" spans="1:4" x14ac:dyDescent="0.75">
      <c r="A142" s="111">
        <v>140</v>
      </c>
      <c r="B142" s="111">
        <f t="shared" si="4"/>
        <v>46</v>
      </c>
      <c r="C142" s="111">
        <f t="shared" si="5"/>
        <v>2</v>
      </c>
      <c r="D142" s="109" t="str" cm="1">
        <f t="array" ref="D142">INDEX('Oth-Map-1'!$I$7:$K$109,1+B142,C142)</f>
        <v/>
      </c>
    </row>
    <row r="143" spans="1:4" x14ac:dyDescent="0.75">
      <c r="A143" s="111">
        <v>141</v>
      </c>
      <c r="B143" s="111">
        <f t="shared" si="4"/>
        <v>46</v>
      </c>
      <c r="C143" s="111">
        <f t="shared" si="5"/>
        <v>3</v>
      </c>
      <c r="D143" s="109" t="str" cm="1">
        <f t="array" ref="D143">INDEX('Oth-Map-1'!$I$7:$K$109,1+B143,C143)</f>
        <v/>
      </c>
    </row>
    <row r="144" spans="1:4" x14ac:dyDescent="0.75">
      <c r="A144" s="111">
        <v>142</v>
      </c>
      <c r="B144" s="111">
        <f t="shared" si="4"/>
        <v>47</v>
      </c>
      <c r="C144" s="111">
        <f t="shared" si="5"/>
        <v>1</v>
      </c>
      <c r="D144" s="109" t="str" cm="1">
        <f t="array" ref="D144">INDEX('Oth-Map-1'!$I$7:$K$109,1+B144,C144)</f>
        <v/>
      </c>
    </row>
    <row r="145" spans="1:4" x14ac:dyDescent="0.75">
      <c r="A145" s="111">
        <v>143</v>
      </c>
      <c r="B145" s="111">
        <f t="shared" si="4"/>
        <v>47</v>
      </c>
      <c r="C145" s="111">
        <f t="shared" si="5"/>
        <v>2</v>
      </c>
      <c r="D145" s="109" t="str" cm="1">
        <f t="array" ref="D145">INDEX('Oth-Map-1'!$I$7:$K$109,1+B145,C145)</f>
        <v/>
      </c>
    </row>
    <row r="146" spans="1:4" x14ac:dyDescent="0.75">
      <c r="A146" s="111">
        <v>144</v>
      </c>
      <c r="B146" s="111">
        <f t="shared" si="4"/>
        <v>47</v>
      </c>
      <c r="C146" s="111">
        <f t="shared" si="5"/>
        <v>3</v>
      </c>
      <c r="D146" s="109" t="str" cm="1">
        <f t="array" ref="D146">INDEX('Oth-Map-1'!$I$7:$K$109,1+B146,C146)</f>
        <v/>
      </c>
    </row>
    <row r="147" spans="1:4" x14ac:dyDescent="0.75">
      <c r="A147" s="111">
        <v>145</v>
      </c>
      <c r="B147" s="111">
        <f t="shared" si="4"/>
        <v>48</v>
      </c>
      <c r="C147" s="111">
        <f t="shared" si="5"/>
        <v>1</v>
      </c>
      <c r="D147" s="109" t="str" cm="1">
        <f t="array" ref="D147">INDEX('Oth-Map-1'!$I$7:$K$109,1+B147,C147)</f>
        <v/>
      </c>
    </row>
    <row r="148" spans="1:4" x14ac:dyDescent="0.75">
      <c r="A148" s="111">
        <v>146</v>
      </c>
      <c r="B148" s="111">
        <f t="shared" si="4"/>
        <v>48</v>
      </c>
      <c r="C148" s="111">
        <f t="shared" si="5"/>
        <v>2</v>
      </c>
      <c r="D148" s="109" t="str" cm="1">
        <f t="array" ref="D148">INDEX('Oth-Map-1'!$I$7:$K$109,1+B148,C148)</f>
        <v/>
      </c>
    </row>
    <row r="149" spans="1:4" x14ac:dyDescent="0.75">
      <c r="A149" s="111">
        <v>147</v>
      </c>
      <c r="B149" s="111">
        <f t="shared" si="4"/>
        <v>48</v>
      </c>
      <c r="C149" s="111">
        <f t="shared" si="5"/>
        <v>3</v>
      </c>
      <c r="D149" s="109" t="str" cm="1">
        <f t="array" ref="D149">INDEX('Oth-Map-1'!$I$7:$K$109,1+B149,C149)</f>
        <v/>
      </c>
    </row>
    <row r="150" spans="1:4" x14ac:dyDescent="0.75">
      <c r="A150" s="111">
        <v>148</v>
      </c>
      <c r="B150" s="111">
        <f t="shared" si="4"/>
        <v>49</v>
      </c>
      <c r="C150" s="111">
        <f t="shared" si="5"/>
        <v>1</v>
      </c>
      <c r="D150" s="109" t="str" cm="1">
        <f t="array" ref="D150">INDEX('Oth-Map-1'!$I$7:$K$109,1+B150,C150)</f>
        <v/>
      </c>
    </row>
    <row r="151" spans="1:4" x14ac:dyDescent="0.75">
      <c r="A151" s="111">
        <v>149</v>
      </c>
      <c r="B151" s="111">
        <f t="shared" si="4"/>
        <v>49</v>
      </c>
      <c r="C151" s="111">
        <f t="shared" si="5"/>
        <v>2</v>
      </c>
      <c r="D151" s="109" t="str" cm="1">
        <f t="array" ref="D151">INDEX('Oth-Map-1'!$I$7:$K$109,1+B151,C151)</f>
        <v/>
      </c>
    </row>
    <row r="152" spans="1:4" x14ac:dyDescent="0.75">
      <c r="A152" s="111">
        <v>150</v>
      </c>
      <c r="B152" s="111">
        <f t="shared" si="4"/>
        <v>49</v>
      </c>
      <c r="C152" s="111">
        <f t="shared" si="5"/>
        <v>3</v>
      </c>
      <c r="D152" s="109" t="str" cm="1">
        <f t="array" ref="D152">INDEX('Oth-Map-1'!$I$7:$K$109,1+B152,C152)</f>
        <v/>
      </c>
    </row>
    <row r="153" spans="1:4" x14ac:dyDescent="0.75">
      <c r="A153" s="111">
        <v>151</v>
      </c>
      <c r="B153" s="111">
        <f t="shared" si="4"/>
        <v>50</v>
      </c>
      <c r="C153" s="111">
        <f t="shared" si="5"/>
        <v>1</v>
      </c>
      <c r="D153" s="109" t="str" cm="1">
        <f t="array" ref="D153">INDEX('Oth-Map-1'!$I$7:$K$109,1+B153,C153)</f>
        <v/>
      </c>
    </row>
    <row r="154" spans="1:4" x14ac:dyDescent="0.75">
      <c r="A154" s="111">
        <v>152</v>
      </c>
      <c r="B154" s="111">
        <f t="shared" si="4"/>
        <v>50</v>
      </c>
      <c r="C154" s="111">
        <f t="shared" si="5"/>
        <v>2</v>
      </c>
      <c r="D154" s="109" t="str" cm="1">
        <f t="array" ref="D154">INDEX('Oth-Map-1'!$I$7:$K$109,1+B154,C154)</f>
        <v/>
      </c>
    </row>
    <row r="155" spans="1:4" x14ac:dyDescent="0.75">
      <c r="A155" s="111">
        <v>153</v>
      </c>
      <c r="B155" s="111">
        <f t="shared" si="4"/>
        <v>50</v>
      </c>
      <c r="C155" s="111">
        <f t="shared" si="5"/>
        <v>3</v>
      </c>
      <c r="D155" s="109" t="str" cm="1">
        <f t="array" ref="D155">INDEX('Oth-Map-1'!$I$7:$K$109,1+B155,C155)</f>
        <v/>
      </c>
    </row>
    <row r="156" spans="1:4" x14ac:dyDescent="0.75">
      <c r="A156" s="111">
        <v>154</v>
      </c>
      <c r="B156" s="111">
        <f t="shared" si="4"/>
        <v>51</v>
      </c>
      <c r="C156" s="111">
        <f t="shared" si="5"/>
        <v>1</v>
      </c>
      <c r="D156" s="109" t="str" cm="1">
        <f t="array" ref="D156">INDEX('Oth-Map-1'!$I$7:$K$109,1+B156,C156)</f>
        <v/>
      </c>
    </row>
    <row r="157" spans="1:4" x14ac:dyDescent="0.75">
      <c r="A157" s="111">
        <v>155</v>
      </c>
      <c r="B157" s="111">
        <f t="shared" si="4"/>
        <v>51</v>
      </c>
      <c r="C157" s="111">
        <f t="shared" si="5"/>
        <v>2</v>
      </c>
      <c r="D157" s="109" t="str" cm="1">
        <f t="array" ref="D157">INDEX('Oth-Map-1'!$I$7:$K$109,1+B157,C157)</f>
        <v/>
      </c>
    </row>
    <row r="158" spans="1:4" x14ac:dyDescent="0.75">
      <c r="A158" s="111">
        <v>156</v>
      </c>
      <c r="B158" s="111">
        <f t="shared" si="4"/>
        <v>51</v>
      </c>
      <c r="C158" s="111">
        <f t="shared" si="5"/>
        <v>3</v>
      </c>
      <c r="D158" s="109" t="str" cm="1">
        <f t="array" ref="D158">INDEX('Oth-Map-1'!$I$7:$K$109,1+B158,C158)</f>
        <v/>
      </c>
    </row>
    <row r="159" spans="1:4" x14ac:dyDescent="0.75">
      <c r="A159" s="111">
        <v>157</v>
      </c>
      <c r="B159" s="111">
        <f t="shared" si="4"/>
        <v>52</v>
      </c>
      <c r="C159" s="111">
        <f t="shared" si="5"/>
        <v>1</v>
      </c>
      <c r="D159" s="109" t="str" cm="1">
        <f t="array" ref="D159">INDEX('Oth-Map-1'!$I$7:$K$109,1+B159,C159)</f>
        <v/>
      </c>
    </row>
    <row r="160" spans="1:4" x14ac:dyDescent="0.75">
      <c r="A160" s="111">
        <v>158</v>
      </c>
      <c r="B160" s="111">
        <f t="shared" si="4"/>
        <v>52</v>
      </c>
      <c r="C160" s="111">
        <f t="shared" si="5"/>
        <v>2</v>
      </c>
      <c r="D160" s="109" t="str" cm="1">
        <f t="array" ref="D160">INDEX('Oth-Map-1'!$I$7:$K$109,1+B160,C160)</f>
        <v/>
      </c>
    </row>
    <row r="161" spans="1:4" x14ac:dyDescent="0.75">
      <c r="A161" s="111">
        <v>159</v>
      </c>
      <c r="B161" s="111">
        <f t="shared" si="4"/>
        <v>52</v>
      </c>
      <c r="C161" s="111">
        <f t="shared" si="5"/>
        <v>3</v>
      </c>
      <c r="D161" s="109" t="str" cm="1">
        <f t="array" ref="D161">INDEX('Oth-Map-1'!$I$7:$K$109,1+B161,C161)</f>
        <v/>
      </c>
    </row>
    <row r="162" spans="1:4" x14ac:dyDescent="0.75">
      <c r="A162" s="111">
        <v>160</v>
      </c>
      <c r="B162" s="111">
        <f t="shared" si="4"/>
        <v>53</v>
      </c>
      <c r="C162" s="111">
        <f t="shared" si="5"/>
        <v>1</v>
      </c>
      <c r="D162" s="109" cm="1">
        <f t="array" ref="D162">INDEX('Oth-Map-1'!$I$7:$K$109,1+B162,C162)</f>
        <v>0</v>
      </c>
    </row>
    <row r="163" spans="1:4" x14ac:dyDescent="0.75">
      <c r="A163" s="111">
        <v>161</v>
      </c>
      <c r="B163" s="111">
        <f t="shared" si="4"/>
        <v>53</v>
      </c>
      <c r="C163" s="111">
        <f t="shared" si="5"/>
        <v>2</v>
      </c>
      <c r="D163" s="109" cm="1">
        <f t="array" ref="D163">INDEX('Oth-Map-1'!$I$7:$K$109,1+B163,C163)</f>
        <v>0</v>
      </c>
    </row>
    <row r="164" spans="1:4" x14ac:dyDescent="0.75">
      <c r="A164" s="111">
        <v>162</v>
      </c>
      <c r="B164" s="111">
        <f t="shared" si="4"/>
        <v>53</v>
      </c>
      <c r="C164" s="111">
        <f t="shared" si="5"/>
        <v>3</v>
      </c>
      <c r="D164" s="109" cm="1">
        <f t="array" ref="D164">INDEX('Oth-Map-1'!$I$7:$K$109,1+B164,C164)</f>
        <v>0</v>
      </c>
    </row>
    <row r="165" spans="1:4" x14ac:dyDescent="0.75">
      <c r="A165" s="111">
        <v>163</v>
      </c>
      <c r="B165" s="111">
        <f t="shared" si="4"/>
        <v>54</v>
      </c>
      <c r="C165" s="111">
        <f t="shared" si="5"/>
        <v>1</v>
      </c>
      <c r="D165" s="109" cm="1">
        <f t="array" ref="D165">INDEX('Oth-Map-1'!$I$7:$K$109,1+B165,C165)</f>
        <v>0</v>
      </c>
    </row>
    <row r="166" spans="1:4" x14ac:dyDescent="0.75">
      <c r="A166" s="111">
        <v>164</v>
      </c>
      <c r="B166" s="111">
        <f t="shared" si="4"/>
        <v>54</v>
      </c>
      <c r="C166" s="111">
        <f t="shared" si="5"/>
        <v>2</v>
      </c>
      <c r="D166" s="109" cm="1">
        <f t="array" ref="D166">INDEX('Oth-Map-1'!$I$7:$K$109,1+B166,C166)</f>
        <v>0</v>
      </c>
    </row>
    <row r="167" spans="1:4" x14ac:dyDescent="0.75">
      <c r="A167" s="111">
        <v>165</v>
      </c>
      <c r="B167" s="111">
        <f t="shared" si="4"/>
        <v>54</v>
      </c>
      <c r="C167" s="111">
        <f t="shared" si="5"/>
        <v>3</v>
      </c>
      <c r="D167" s="109" cm="1">
        <f t="array" ref="D167">INDEX('Oth-Map-1'!$I$7:$K$109,1+B167,C167)</f>
        <v>0</v>
      </c>
    </row>
    <row r="168" spans="1:4" x14ac:dyDescent="0.75">
      <c r="A168" s="111">
        <v>166</v>
      </c>
      <c r="B168" s="111">
        <f t="shared" si="4"/>
        <v>55</v>
      </c>
      <c r="C168" s="111">
        <f t="shared" si="5"/>
        <v>1</v>
      </c>
      <c r="D168" s="109" cm="1">
        <f t="array" ref="D168">INDEX('Oth-Map-1'!$I$7:$K$109,1+B168,C168)</f>
        <v>0</v>
      </c>
    </row>
    <row r="169" spans="1:4" x14ac:dyDescent="0.75">
      <c r="A169" s="111">
        <v>167</v>
      </c>
      <c r="B169" s="111">
        <f t="shared" si="4"/>
        <v>55</v>
      </c>
      <c r="C169" s="111">
        <f t="shared" si="5"/>
        <v>2</v>
      </c>
      <c r="D169" s="109" cm="1">
        <f t="array" ref="D169">INDEX('Oth-Map-1'!$I$7:$K$109,1+B169,C169)</f>
        <v>0</v>
      </c>
    </row>
    <row r="170" spans="1:4" x14ac:dyDescent="0.75">
      <c r="A170" s="111">
        <v>168</v>
      </c>
      <c r="B170" s="111">
        <f t="shared" si="4"/>
        <v>55</v>
      </c>
      <c r="C170" s="111">
        <f t="shared" si="5"/>
        <v>3</v>
      </c>
      <c r="D170" s="109" cm="1">
        <f t="array" ref="D170">INDEX('Oth-Map-1'!$I$7:$K$109,1+B170,C170)</f>
        <v>0</v>
      </c>
    </row>
    <row r="171" spans="1:4" x14ac:dyDescent="0.75">
      <c r="A171" s="111">
        <v>169</v>
      </c>
      <c r="B171" s="111">
        <f t="shared" si="4"/>
        <v>56</v>
      </c>
      <c r="C171" s="111">
        <f t="shared" si="5"/>
        <v>1</v>
      </c>
      <c r="D171" s="109" cm="1">
        <f t="array" ref="D171">INDEX('Oth-Map-1'!$I$7:$K$109,1+B171,C171)</f>
        <v>0</v>
      </c>
    </row>
    <row r="172" spans="1:4" x14ac:dyDescent="0.75">
      <c r="A172" s="111">
        <v>170</v>
      </c>
      <c r="B172" s="111">
        <f t="shared" si="4"/>
        <v>56</v>
      </c>
      <c r="C172" s="111">
        <f t="shared" si="5"/>
        <v>2</v>
      </c>
      <c r="D172" s="109" cm="1">
        <f t="array" ref="D172">INDEX('Oth-Map-1'!$I$7:$K$109,1+B172,C172)</f>
        <v>0</v>
      </c>
    </row>
    <row r="173" spans="1:4" x14ac:dyDescent="0.75">
      <c r="A173" s="111">
        <v>171</v>
      </c>
      <c r="B173" s="111">
        <f t="shared" si="4"/>
        <v>56</v>
      </c>
      <c r="C173" s="111">
        <f t="shared" si="5"/>
        <v>3</v>
      </c>
      <c r="D173" s="109" cm="1">
        <f t="array" ref="D173">INDEX('Oth-Map-1'!$I$7:$K$109,1+B173,C173)</f>
        <v>0</v>
      </c>
    </row>
    <row r="174" spans="1:4" x14ac:dyDescent="0.75">
      <c r="A174" s="111">
        <v>172</v>
      </c>
      <c r="B174" s="111">
        <f t="shared" si="4"/>
        <v>57</v>
      </c>
      <c r="C174" s="111">
        <f t="shared" si="5"/>
        <v>1</v>
      </c>
      <c r="D174" s="109" cm="1">
        <f t="array" ref="D174">INDEX('Oth-Map-1'!$I$7:$K$109,1+B174,C174)</f>
        <v>0</v>
      </c>
    </row>
    <row r="175" spans="1:4" x14ac:dyDescent="0.75">
      <c r="A175" s="111">
        <v>173</v>
      </c>
      <c r="B175" s="111">
        <f t="shared" si="4"/>
        <v>57</v>
      </c>
      <c r="C175" s="111">
        <f t="shared" si="5"/>
        <v>2</v>
      </c>
      <c r="D175" s="109" cm="1">
        <f t="array" ref="D175">INDEX('Oth-Map-1'!$I$7:$K$109,1+B175,C175)</f>
        <v>0</v>
      </c>
    </row>
    <row r="176" spans="1:4" x14ac:dyDescent="0.75">
      <c r="A176" s="111">
        <v>174</v>
      </c>
      <c r="B176" s="111">
        <f t="shared" si="4"/>
        <v>57</v>
      </c>
      <c r="C176" s="111">
        <f t="shared" si="5"/>
        <v>3</v>
      </c>
      <c r="D176" s="109" cm="1">
        <f t="array" ref="D176">INDEX('Oth-Map-1'!$I$7:$K$109,1+B176,C176)</f>
        <v>0</v>
      </c>
    </row>
    <row r="177" spans="1:4" x14ac:dyDescent="0.75">
      <c r="A177" s="111">
        <v>175</v>
      </c>
      <c r="B177" s="111">
        <f t="shared" si="4"/>
        <v>58</v>
      </c>
      <c r="C177" s="111">
        <f t="shared" si="5"/>
        <v>1</v>
      </c>
      <c r="D177" s="109" cm="1">
        <f t="array" ref="D177">INDEX('Oth-Map-1'!$I$7:$K$109,1+B177,C177)</f>
        <v>0</v>
      </c>
    </row>
    <row r="178" spans="1:4" x14ac:dyDescent="0.75">
      <c r="A178" s="111">
        <v>176</v>
      </c>
      <c r="B178" s="111">
        <f t="shared" si="4"/>
        <v>58</v>
      </c>
      <c r="C178" s="111">
        <f t="shared" si="5"/>
        <v>2</v>
      </c>
      <c r="D178" s="109" cm="1">
        <f t="array" ref="D178">INDEX('Oth-Map-1'!$I$7:$K$109,1+B178,C178)</f>
        <v>0</v>
      </c>
    </row>
    <row r="179" spans="1:4" x14ac:dyDescent="0.75">
      <c r="A179" s="111">
        <v>177</v>
      </c>
      <c r="B179" s="111">
        <f t="shared" si="4"/>
        <v>58</v>
      </c>
      <c r="C179" s="111">
        <f t="shared" si="5"/>
        <v>3</v>
      </c>
      <c r="D179" s="109" cm="1">
        <f t="array" ref="D179">INDEX('Oth-Map-1'!$I$7:$K$109,1+B179,C179)</f>
        <v>0</v>
      </c>
    </row>
    <row r="180" spans="1:4" x14ac:dyDescent="0.75">
      <c r="A180" s="111">
        <v>178</v>
      </c>
      <c r="B180" s="111">
        <f t="shared" si="4"/>
        <v>59</v>
      </c>
      <c r="C180" s="111">
        <f t="shared" si="5"/>
        <v>1</v>
      </c>
      <c r="D180" s="109" cm="1">
        <f t="array" ref="D180">INDEX('Oth-Map-1'!$I$7:$K$109,1+B180,C180)</f>
        <v>0</v>
      </c>
    </row>
    <row r="181" spans="1:4" x14ac:dyDescent="0.75">
      <c r="A181" s="111">
        <v>179</v>
      </c>
      <c r="B181" s="111">
        <f t="shared" si="4"/>
        <v>59</v>
      </c>
      <c r="C181" s="111">
        <f t="shared" si="5"/>
        <v>2</v>
      </c>
      <c r="D181" s="109" cm="1">
        <f t="array" ref="D181">INDEX('Oth-Map-1'!$I$7:$K$109,1+B181,C181)</f>
        <v>0</v>
      </c>
    </row>
    <row r="182" spans="1:4" x14ac:dyDescent="0.75">
      <c r="A182" s="111">
        <v>180</v>
      </c>
      <c r="B182" s="111">
        <f t="shared" si="4"/>
        <v>59</v>
      </c>
      <c r="C182" s="111">
        <f t="shared" si="5"/>
        <v>3</v>
      </c>
      <c r="D182" s="109" cm="1">
        <f t="array" ref="D182">INDEX('Oth-Map-1'!$I$7:$K$109,1+B182,C182)</f>
        <v>0</v>
      </c>
    </row>
    <row r="183" spans="1:4" x14ac:dyDescent="0.75">
      <c r="A183" s="111">
        <v>181</v>
      </c>
      <c r="B183" s="111">
        <f t="shared" si="4"/>
        <v>60</v>
      </c>
      <c r="C183" s="111">
        <f t="shared" si="5"/>
        <v>1</v>
      </c>
      <c r="D183" s="109" cm="1">
        <f t="array" ref="D183">INDEX('Oth-Map-1'!$I$7:$K$109,1+B183,C183)</f>
        <v>0</v>
      </c>
    </row>
    <row r="184" spans="1:4" x14ac:dyDescent="0.75">
      <c r="A184" s="111">
        <v>182</v>
      </c>
      <c r="B184" s="111">
        <f t="shared" si="4"/>
        <v>60</v>
      </c>
      <c r="C184" s="111">
        <f t="shared" si="5"/>
        <v>2</v>
      </c>
      <c r="D184" s="109" cm="1">
        <f t="array" ref="D184">INDEX('Oth-Map-1'!$I$7:$K$109,1+B184,C184)</f>
        <v>0</v>
      </c>
    </row>
    <row r="185" spans="1:4" x14ac:dyDescent="0.75">
      <c r="A185" s="111">
        <v>183</v>
      </c>
      <c r="B185" s="111">
        <f t="shared" si="4"/>
        <v>60</v>
      </c>
      <c r="C185" s="111">
        <f t="shared" si="5"/>
        <v>3</v>
      </c>
      <c r="D185" s="109" cm="1">
        <f t="array" ref="D185">INDEX('Oth-Map-1'!$I$7:$K$109,1+B185,C185)</f>
        <v>0</v>
      </c>
    </row>
    <row r="186" spans="1:4" x14ac:dyDescent="0.75">
      <c r="A186" s="111">
        <v>184</v>
      </c>
      <c r="B186" s="111">
        <f t="shared" si="4"/>
        <v>61</v>
      </c>
      <c r="C186" s="111">
        <f t="shared" si="5"/>
        <v>1</v>
      </c>
      <c r="D186" s="109" cm="1">
        <f t="array" ref="D186">INDEX('Oth-Map-1'!$I$7:$K$109,1+B186,C186)</f>
        <v>0</v>
      </c>
    </row>
    <row r="187" spans="1:4" x14ac:dyDescent="0.75">
      <c r="A187" s="111">
        <v>185</v>
      </c>
      <c r="B187" s="111">
        <f t="shared" si="4"/>
        <v>61</v>
      </c>
      <c r="C187" s="111">
        <f t="shared" si="5"/>
        <v>2</v>
      </c>
      <c r="D187" s="109" cm="1">
        <f t="array" ref="D187">INDEX('Oth-Map-1'!$I$7:$K$109,1+B187,C187)</f>
        <v>0</v>
      </c>
    </row>
    <row r="188" spans="1:4" x14ac:dyDescent="0.75">
      <c r="A188" s="111">
        <v>186</v>
      </c>
      <c r="B188" s="111">
        <f t="shared" si="4"/>
        <v>61</v>
      </c>
      <c r="C188" s="111">
        <f t="shared" si="5"/>
        <v>3</v>
      </c>
      <c r="D188" s="109" cm="1">
        <f t="array" ref="D188">INDEX('Oth-Map-1'!$I$7:$K$109,1+B188,C188)</f>
        <v>0</v>
      </c>
    </row>
    <row r="189" spans="1:4" x14ac:dyDescent="0.75">
      <c r="A189" s="111">
        <v>187</v>
      </c>
      <c r="B189" s="111">
        <f t="shared" si="4"/>
        <v>62</v>
      </c>
      <c r="C189" s="111">
        <f t="shared" si="5"/>
        <v>1</v>
      </c>
      <c r="D189" s="109" cm="1">
        <f t="array" ref="D189">INDEX('Oth-Map-1'!$I$7:$K$109,1+B189,C189)</f>
        <v>0</v>
      </c>
    </row>
    <row r="190" spans="1:4" x14ac:dyDescent="0.75">
      <c r="A190" s="111">
        <v>188</v>
      </c>
      <c r="B190" s="111">
        <f t="shared" si="4"/>
        <v>62</v>
      </c>
      <c r="C190" s="111">
        <f t="shared" si="5"/>
        <v>2</v>
      </c>
      <c r="D190" s="109" cm="1">
        <f t="array" ref="D190">INDEX('Oth-Map-1'!$I$7:$K$109,1+B190,C190)</f>
        <v>0</v>
      </c>
    </row>
    <row r="191" spans="1:4" x14ac:dyDescent="0.75">
      <c r="A191" s="111">
        <v>189</v>
      </c>
      <c r="B191" s="111">
        <f t="shared" si="4"/>
        <v>62</v>
      </c>
      <c r="C191" s="111">
        <f t="shared" si="5"/>
        <v>3</v>
      </c>
      <c r="D191" s="109" cm="1">
        <f t="array" ref="D191">INDEX('Oth-Map-1'!$I$7:$K$109,1+B191,C191)</f>
        <v>0</v>
      </c>
    </row>
    <row r="192" spans="1:4" x14ac:dyDescent="0.75">
      <c r="A192" s="111">
        <v>190</v>
      </c>
      <c r="B192" s="111">
        <f t="shared" si="4"/>
        <v>63</v>
      </c>
      <c r="C192" s="111">
        <f t="shared" si="5"/>
        <v>1</v>
      </c>
      <c r="D192" s="109" cm="1">
        <f t="array" ref="D192">INDEX('Oth-Map-1'!$I$7:$K$109,1+B192,C192)</f>
        <v>0</v>
      </c>
    </row>
    <row r="193" spans="1:4" x14ac:dyDescent="0.75">
      <c r="A193" s="111">
        <v>191</v>
      </c>
      <c r="B193" s="111">
        <f t="shared" si="4"/>
        <v>63</v>
      </c>
      <c r="C193" s="111">
        <f t="shared" si="5"/>
        <v>2</v>
      </c>
      <c r="D193" s="109" cm="1">
        <f t="array" ref="D193">INDEX('Oth-Map-1'!$I$7:$K$109,1+B193,C193)</f>
        <v>0</v>
      </c>
    </row>
    <row r="194" spans="1:4" x14ac:dyDescent="0.75">
      <c r="A194" s="111">
        <v>192</v>
      </c>
      <c r="B194" s="111">
        <f t="shared" si="4"/>
        <v>63</v>
      </c>
      <c r="C194" s="111">
        <f t="shared" si="5"/>
        <v>3</v>
      </c>
      <c r="D194" s="109" cm="1">
        <f t="array" ref="D194">INDEX('Oth-Map-1'!$I$7:$K$109,1+B194,C194)</f>
        <v>0</v>
      </c>
    </row>
    <row r="195" spans="1:4" x14ac:dyDescent="0.75">
      <c r="A195" s="111">
        <v>193</v>
      </c>
      <c r="B195" s="111">
        <f t="shared" si="4"/>
        <v>64</v>
      </c>
      <c r="C195" s="111">
        <f t="shared" si="5"/>
        <v>1</v>
      </c>
      <c r="D195" s="109" cm="1">
        <f t="array" ref="D195">INDEX('Oth-Map-1'!$I$7:$K$109,1+B195,C195)</f>
        <v>0</v>
      </c>
    </row>
    <row r="196" spans="1:4" x14ac:dyDescent="0.75">
      <c r="A196" s="111">
        <v>194</v>
      </c>
      <c r="B196" s="111">
        <f t="shared" ref="B196:B206" si="6">IF(MOD(A196,3)=0,A196/3-1,INT(A196/3))</f>
        <v>64</v>
      </c>
      <c r="C196" s="111">
        <f t="shared" ref="C196:C206" si="7">IF(MOD(A196,3)=0,3,MOD(A196,3))</f>
        <v>2</v>
      </c>
      <c r="D196" s="109" cm="1">
        <f t="array" ref="D196">INDEX('Oth-Map-1'!$I$7:$K$109,1+B196,C196)</f>
        <v>0</v>
      </c>
    </row>
    <row r="197" spans="1:4" x14ac:dyDescent="0.75">
      <c r="A197" s="111">
        <v>195</v>
      </c>
      <c r="B197" s="111">
        <f t="shared" si="6"/>
        <v>64</v>
      </c>
      <c r="C197" s="111">
        <f t="shared" si="7"/>
        <v>3</v>
      </c>
      <c r="D197" s="109" cm="1">
        <f t="array" ref="D197">INDEX('Oth-Map-1'!$I$7:$K$109,1+B197,C197)</f>
        <v>0</v>
      </c>
    </row>
    <row r="198" spans="1:4" x14ac:dyDescent="0.75">
      <c r="A198" s="111">
        <v>196</v>
      </c>
      <c r="B198" s="111">
        <f t="shared" si="6"/>
        <v>65</v>
      </c>
      <c r="C198" s="111">
        <f t="shared" si="7"/>
        <v>1</v>
      </c>
      <c r="D198" s="109" cm="1">
        <f t="array" ref="D198">INDEX('Oth-Map-1'!$I$7:$K$109,1+B198,C198)</f>
        <v>0</v>
      </c>
    </row>
    <row r="199" spans="1:4" x14ac:dyDescent="0.75">
      <c r="A199" s="111">
        <v>197</v>
      </c>
      <c r="B199" s="111">
        <f t="shared" si="6"/>
        <v>65</v>
      </c>
      <c r="C199" s="111">
        <f t="shared" si="7"/>
        <v>2</v>
      </c>
      <c r="D199" s="109" cm="1">
        <f t="array" ref="D199">INDEX('Oth-Map-1'!$I$7:$K$109,1+B199,C199)</f>
        <v>0</v>
      </c>
    </row>
    <row r="200" spans="1:4" x14ac:dyDescent="0.75">
      <c r="A200" s="111">
        <v>198</v>
      </c>
      <c r="B200" s="111">
        <f t="shared" si="6"/>
        <v>65</v>
      </c>
      <c r="C200" s="111">
        <f t="shared" si="7"/>
        <v>3</v>
      </c>
      <c r="D200" s="109" cm="1">
        <f t="array" ref="D200">INDEX('Oth-Map-1'!$I$7:$K$109,1+B200,C200)</f>
        <v>0</v>
      </c>
    </row>
    <row r="201" spans="1:4" x14ac:dyDescent="0.75">
      <c r="A201" s="111">
        <v>199</v>
      </c>
      <c r="B201" s="111">
        <f t="shared" si="6"/>
        <v>66</v>
      </c>
      <c r="C201" s="111">
        <f t="shared" si="7"/>
        <v>1</v>
      </c>
      <c r="D201" s="109" cm="1">
        <f t="array" ref="D201">INDEX('Oth-Map-1'!$I$7:$K$109,1+B201,C201)</f>
        <v>0</v>
      </c>
    </row>
    <row r="202" spans="1:4" x14ac:dyDescent="0.75">
      <c r="A202" s="111">
        <v>200</v>
      </c>
      <c r="B202" s="111">
        <f t="shared" si="6"/>
        <v>66</v>
      </c>
      <c r="C202" s="111">
        <f t="shared" si="7"/>
        <v>2</v>
      </c>
      <c r="D202" s="109" cm="1">
        <f t="array" ref="D202">INDEX('Oth-Map-1'!$I$7:$K$109,1+B202,C202)</f>
        <v>0</v>
      </c>
    </row>
    <row r="203" spans="1:4" x14ac:dyDescent="0.75">
      <c r="A203" s="111">
        <v>201</v>
      </c>
      <c r="B203" s="111">
        <f t="shared" si="6"/>
        <v>66</v>
      </c>
      <c r="C203" s="111">
        <f t="shared" si="7"/>
        <v>3</v>
      </c>
      <c r="D203" s="109" cm="1">
        <f t="array" ref="D203">INDEX('Oth-Map-1'!$I$7:$K$109,1+B203,C203)</f>
        <v>0</v>
      </c>
    </row>
    <row r="204" spans="1:4" x14ac:dyDescent="0.75">
      <c r="A204" s="111">
        <v>202</v>
      </c>
      <c r="B204" s="111">
        <f t="shared" si="6"/>
        <v>67</v>
      </c>
      <c r="C204" s="111">
        <f t="shared" si="7"/>
        <v>1</v>
      </c>
      <c r="D204" s="109" cm="1">
        <f t="array" ref="D204">INDEX('Oth-Map-1'!$I$7:$K$109,1+B204,C204)</f>
        <v>0</v>
      </c>
    </row>
    <row r="205" spans="1:4" x14ac:dyDescent="0.75">
      <c r="A205" s="111">
        <v>203</v>
      </c>
      <c r="B205" s="111">
        <f t="shared" si="6"/>
        <v>67</v>
      </c>
      <c r="C205" s="111">
        <f t="shared" si="7"/>
        <v>2</v>
      </c>
      <c r="D205" s="109" cm="1">
        <f t="array" ref="D205">INDEX('Oth-Map-1'!$I$7:$K$109,1+B205,C205)</f>
        <v>0</v>
      </c>
    </row>
    <row r="206" spans="1:4" x14ac:dyDescent="0.75">
      <c r="A206" s="111">
        <v>204</v>
      </c>
      <c r="B206" s="111">
        <f t="shared" si="6"/>
        <v>67</v>
      </c>
      <c r="C206" s="111">
        <f t="shared" si="7"/>
        <v>3</v>
      </c>
      <c r="D206" s="109" cm="1">
        <f t="array" ref="D206">INDEX('Oth-Map-1'!$I$7:$K$109,1+B206,C206)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14"/>
  <sheetViews>
    <sheetView topLeftCell="A76" workbookViewId="0">
      <selection activeCell="D3" sqref="D3:D114"/>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v>
      </c>
    </row>
    <row r="5" spans="4:4" x14ac:dyDescent="0.75">
      <c r="D5" s="111" t="str">
        <f>'Oth-Map-2'!D5</f>
        <v/>
      </c>
    </row>
    <row r="6" spans="4:4" x14ac:dyDescent="0.75">
      <c r="D6" s="111" t="str">
        <f>'Oth-Map-2'!D6</f>
        <v>* differential.element[0].mapping[1].identity = "fhir"</v>
      </c>
    </row>
    <row r="7" spans="4:4" x14ac:dyDescent="0.75">
      <c r="D7" s="111" t="str">
        <f>'Oth-Map-2'!D7</f>
        <v>* differential.element[0].mapping[1].map = "Condition"</v>
      </c>
    </row>
    <row r="8" spans="4:4" x14ac:dyDescent="0.75">
      <c r="D8" s="111" t="str">
        <f>'Oth-Map-2'!D8</f>
        <v/>
      </c>
    </row>
    <row r="9" spans="4:4" x14ac:dyDescent="0.75">
      <c r="D9" s="111" t="str">
        <f>'Oth-Map-2'!D9</f>
        <v>* differential.element[1].mapping[0].identity = "fhir"</v>
      </c>
    </row>
    <row r="10" spans="4:4" x14ac:dyDescent="0.75">
      <c r="D10" s="111" t="str">
        <f>'Oth-Map-2'!D10</f>
        <v>* differential.element[1].mapping[0].map = ".identifier"</v>
      </c>
    </row>
    <row r="11" spans="4:4" x14ac:dyDescent="0.75">
      <c r="D11" s="111" t="str">
        <f>'Oth-Map-2'!D11</f>
        <v/>
      </c>
    </row>
    <row r="12" spans="4:4" x14ac:dyDescent="0.75">
      <c r="D12" s="111" t="str">
        <f>'Oth-Map-2'!D12</f>
        <v>* differential.element[2].mapping[0].identity = "fhir"</v>
      </c>
    </row>
    <row r="13" spans="4:4" x14ac:dyDescent="0.75">
      <c r="D13" s="111" t="str">
        <f>'Oth-Map-2'!D13</f>
        <v>* differential.element[2].mapping[0].map = "Procedure.reasonReference"</v>
      </c>
    </row>
    <row r="14" spans="4:4" x14ac:dyDescent="0.75">
      <c r="D14" s="111" t="str">
        <f>'Oth-Map-2'!D14</f>
        <v/>
      </c>
    </row>
    <row r="15" spans="4:4" x14ac:dyDescent="0.75">
      <c r="D15" s="111" t="str">
        <f>'Oth-Map-2'!D15</f>
        <v>* differential.element[2].mapping[1].identity = "fhir"</v>
      </c>
    </row>
    <row r="16" spans="4:4" x14ac:dyDescent="0.75">
      <c r="D16" s="111" t="str">
        <f>'Oth-Map-2'!D16</f>
        <v>* differential.element[2].mapping[1].map = "extension('http://hl7.org/fhir/StructureDefinition/condition-related').valueReference"</v>
      </c>
    </row>
    <row r="17" spans="4:4" x14ac:dyDescent="0.75">
      <c r="D17" s="111" t="str">
        <f>'Oth-Map-2'!D17</f>
        <v/>
      </c>
    </row>
    <row r="18" spans="4:4" x14ac:dyDescent="0.75">
      <c r="D18" s="111" t="str">
        <f>'Oth-Map-2'!D18</f>
        <v>* differential.element[3].mapping[0].identity = "fhir"</v>
      </c>
    </row>
    <row r="19" spans="4:4" x14ac:dyDescent="0.75">
      <c r="D19" s="111" t="str">
        <f>'Oth-Map-2'!D19</f>
        <v>* differential.element[3].mapping[0].map = "Procedure.reasonReference"</v>
      </c>
    </row>
    <row r="20" spans="4:4" x14ac:dyDescent="0.75">
      <c r="D20" s="111" t="str">
        <f>'Oth-Map-2'!D20</f>
        <v/>
      </c>
    </row>
    <row r="21" spans="4:4" x14ac:dyDescent="0.75">
      <c r="D21" s="111" t="str">
        <f>'Oth-Map-2'!D21</f>
        <v>* differential.element[3].mapping[1].identity = "fhir"</v>
      </c>
    </row>
    <row r="22" spans="4:4" x14ac:dyDescent="0.75">
      <c r="D22" s="111" t="str">
        <f>'Oth-Map-2'!D22</f>
        <v>* differential.element[3].mapping[1].map = "extension('http://hl7.org/fhir/StructureDefinition/condition-related').valueReference"</v>
      </c>
    </row>
    <row r="23" spans="4:4" x14ac:dyDescent="0.75">
      <c r="D23" s="111" t="str">
        <f>'Oth-Map-2'!D23</f>
        <v/>
      </c>
    </row>
    <row r="24" spans="4:4" x14ac:dyDescent="0.75">
      <c r="D24" s="111" t="str">
        <f>'Oth-Map-2'!D24</f>
        <v>* differential.element[4].mapping[0].identity = "fhir"</v>
      </c>
    </row>
    <row r="25" spans="4:4" x14ac:dyDescent="0.75">
      <c r="D25" s="111" t="str">
        <f>'Oth-Map-2'!D25</f>
        <v>* differential.element[4].mapping[0].map = "Condition.conformsTo('http://hl7.eu/fhir/ig/pcsp/StructureDefinition/Condition-toxicity-eu-pcsp')"</v>
      </c>
    </row>
    <row r="26" spans="4:4" x14ac:dyDescent="0.75">
      <c r="D26" s="111" t="str">
        <f>'Oth-Map-2'!D26</f>
        <v/>
      </c>
    </row>
    <row r="27" spans="4:4" x14ac:dyDescent="0.75">
      <c r="D27" s="111" t="str">
        <f>'Oth-Map-2'!D27</f>
        <v>* differential.element[5].mapping[0].identity = "fhir"</v>
      </c>
    </row>
    <row r="28" spans="4:4" x14ac:dyDescent="0.75">
      <c r="D28" s="111" t="str">
        <f>'Oth-Map-2'!D28</f>
        <v>* differential.element[5].mapping[0].map = ".exists()"</v>
      </c>
    </row>
    <row r="29" spans="4:4" x14ac:dyDescent="0.75">
      <c r="D29" s="111" t="str">
        <f>'Oth-Map-2'!D29</f>
        <v/>
      </c>
    </row>
    <row r="30" spans="4:4" x14ac:dyDescent="0.75">
      <c r="D30" s="111" t="str">
        <f>'Oth-Map-2'!D30</f>
        <v>* differential.element[5].mapping[1].identity = "fhir"</v>
      </c>
    </row>
    <row r="31" spans="4:4" x14ac:dyDescent="0.75">
      <c r="D31" s="111" t="str">
        <f>'Oth-Map-2'!D31</f>
        <v>* differential.element[5].mapping[1].map = ".verificationStatus"</v>
      </c>
    </row>
    <row r="32" spans="4:4" x14ac:dyDescent="0.75">
      <c r="D32" s="111" t="str">
        <f>'Oth-Map-2'!D32</f>
        <v/>
      </c>
    </row>
    <row r="33" spans="4:4" x14ac:dyDescent="0.75">
      <c r="D33" s="111" t="str">
        <f>'Oth-Map-2'!D33</f>
        <v>* differential.element[6].mapping[0].identity = "fhir"</v>
      </c>
    </row>
    <row r="34" spans="4:4" x14ac:dyDescent="0.75">
      <c r="D34" s="111" t="str">
        <f>'Oth-Map-2'!D34</f>
        <v>* differential.element[6].mapping[0].map = ".identifier"</v>
      </c>
    </row>
    <row r="35" spans="4:4" x14ac:dyDescent="0.75">
      <c r="D35" s="111" t="str">
        <f>'Oth-Map-2'!D35</f>
        <v/>
      </c>
    </row>
    <row r="36" spans="4:4" x14ac:dyDescent="0.75">
      <c r="D36" s="111" t="str">
        <f>'Oth-Map-2'!D36</f>
        <v>* differential.element[7].mapping[0].identity = "fhir"</v>
      </c>
    </row>
    <row r="37" spans="4:4" x14ac:dyDescent="0.75">
      <c r="D37" s="111" t="str">
        <f>'Oth-Map-2'!D37</f>
        <v>* differential.element[7].mapping[0].map = ".onsetDateTime"</v>
      </c>
    </row>
    <row r="38" spans="4:4" x14ac:dyDescent="0.75">
      <c r="D38" s="111" t="str">
        <f>'Oth-Map-2'!D38</f>
        <v/>
      </c>
    </row>
    <row r="39" spans="4:4" x14ac:dyDescent="0.75">
      <c r="D39" s="111" t="str">
        <f>'Oth-Map-2'!D39</f>
        <v>* differential.element[8].mapping[0].identity = "fhir"</v>
      </c>
    </row>
    <row r="40" spans="4:4" x14ac:dyDescent="0.75">
      <c r="D40" s="111" t="str">
        <f>'Oth-Map-2'!D40</f>
        <v>* differential.element[8].mapping[0].map = ".text"</v>
      </c>
    </row>
    <row r="41" spans="4:4" x14ac:dyDescent="0.75">
      <c r="D41" s="111" t="str">
        <f>'Oth-Map-2'!D41</f>
        <v/>
      </c>
    </row>
    <row r="42" spans="4:4" x14ac:dyDescent="0.75">
      <c r="D42" s="111" t="str">
        <f>'Oth-Map-2'!D42</f>
        <v>* differential.element[8].mapping[1].identity = "fhir"</v>
      </c>
    </row>
    <row r="43" spans="4:4" x14ac:dyDescent="0.75">
      <c r="D43" s="111" t="str">
        <f>'Oth-Map-2'!D43</f>
        <v>* differential.element[8].mapping[1].map = ".note"</v>
      </c>
    </row>
    <row r="44" spans="4:4" x14ac:dyDescent="0.75">
      <c r="D44" s="111" t="str">
        <f>'Oth-Map-2'!D44</f>
        <v/>
      </c>
    </row>
    <row r="45" spans="4:4" x14ac:dyDescent="0.75">
      <c r="D45" s="111" t="str">
        <f>'Oth-Map-2'!D45</f>
        <v>* differential.element[9].mapping[0].identity = "fhir"</v>
      </c>
    </row>
    <row r="46" spans="4:4" x14ac:dyDescent="0.75">
      <c r="D46" s="111" t="str">
        <f>'Oth-Map-2'!D46</f>
        <v>* differential.element[9].mapping[0].map = ".clinicalStatus"</v>
      </c>
    </row>
    <row r="47" spans="4:4" x14ac:dyDescent="0.75">
      <c r="D47" s="111" t="str">
        <f>'Oth-Map-2'!D47</f>
        <v/>
      </c>
    </row>
    <row r="48" spans="4:4" x14ac:dyDescent="0.75">
      <c r="D48" s="111" t="str">
        <f>'Oth-Map-2'!D48</f>
        <v>* differential.element[10].mapping[0].identity = "fhir"</v>
      </c>
    </row>
    <row r="49" spans="4:4" x14ac:dyDescent="0.75">
      <c r="D49" s="111" t="str">
        <f>'Oth-Map-2'!D49</f>
        <v>* differential.element[10].mapping[0].map = "Condition.conformsTo('http://hl7.eu/fhir/ig/pcsp/StructureDefinition/Condition-otherinfos-eu-pcsp').where(code = http://snomed.info/sct#48130008 'Hypogonadism').exists()"</v>
      </c>
    </row>
    <row r="50" spans="4:4" x14ac:dyDescent="0.75">
      <c r="D50" s="111" t="str">
        <f>'Oth-Map-2'!D50</f>
        <v/>
      </c>
    </row>
    <row r="51" spans="4:4" x14ac:dyDescent="0.75">
      <c r="D51" s="111" t="str">
        <f>'Oth-Map-2'!D51</f>
        <v>* differential.element[11].mapping[0].identity = "fhir"</v>
      </c>
    </row>
    <row r="52" spans="4:4" x14ac:dyDescent="0.75">
      <c r="D52" s="111" t="str">
        <f>'Oth-Map-2'!D52</f>
        <v>* differential.element[11].mapping[0].map = "Condition.conformsTo('http://hl7.eu/fhir/ig/pcsp/StructureDefinition/Condition-otherinfos-eu-pcsp').where(code = http://snomed.info/sct#397827003 'Growth hormone deficiency').exists()"</v>
      </c>
    </row>
    <row r="53" spans="4:4" x14ac:dyDescent="0.75">
      <c r="D53" s="111" t="str">
        <f>'Oth-Map-2'!D53</f>
        <v/>
      </c>
    </row>
    <row r="54" spans="4:4" x14ac:dyDescent="0.75">
      <c r="D54" s="111" t="str">
        <f>'Oth-Map-2'!D54</f>
        <v>* differential.element[12].mapping[0].identity = "fhir"</v>
      </c>
    </row>
    <row r="55" spans="4:4" x14ac:dyDescent="0.75">
      <c r="D55" s="111" t="str">
        <f>'Oth-Map-2'!D55</f>
        <v>* differential.element[12].mapping[0].map = "Condition.conformsTo('http://hl7.eu/fhir/ig/pcsp/StructureDefinition/Condition-otherinfos-eu-pcsp').where(code = http://snomed.info/sct#230745008 'Hydrocephalus').exists()"</v>
      </c>
    </row>
    <row r="56" spans="4:4" x14ac:dyDescent="0.75">
      <c r="D56" s="111" t="str">
        <f>'Oth-Map-2'!D56</f>
        <v/>
      </c>
    </row>
    <row r="57" spans="4:4" x14ac:dyDescent="0.75">
      <c r="D57" s="111" t="str">
        <f>'Oth-Map-2'!D57</f>
        <v>* differential.element[13].mapping[0].identity = "fhir"</v>
      </c>
    </row>
    <row r="58" spans="4:4" x14ac:dyDescent="0.75">
      <c r="D58" s="111" t="str">
        <f>'Oth-Map-2'!D58</f>
        <v>* differential.element[13].mapping[0].map = "Condition.conformsTo('http://hl7.eu/fhir/ig/pcsp/StructureDefinition/Condition-otherinfos-eu-pcsp').where(code = http://snomed.info/sct#10295004 'Chronic viral hepatitis').exists()"</v>
      </c>
    </row>
    <row r="59" spans="4:4" x14ac:dyDescent="0.75">
      <c r="D59" s="111" t="str">
        <f>'Oth-Map-2'!D59</f>
        <v/>
      </c>
    </row>
    <row r="60" spans="4:4" x14ac:dyDescent="0.75">
      <c r="D60" s="111" t="str">
        <f>'Oth-Map-2'!D60</f>
        <v>* differential.element[14].mapping[0].identity = "fhir"</v>
      </c>
    </row>
    <row r="61" spans="4:4" x14ac:dyDescent="0.75">
      <c r="D61" s="111" t="str">
        <f>'Oth-Map-2'!D61</f>
        <v>* differential.element[14].mapping[0].map = "Condition.conformsTo('http://hl7.eu/fhir/ig/pcsp/StructureDefinition/Condition-otherinfos-eu-pcsp').where(code = http://snomed.info/sct#65617004 'Veno-occlusive disease of the liver').exists()"</v>
      </c>
    </row>
    <row r="62" spans="4:4" x14ac:dyDescent="0.75">
      <c r="D62" s="111" t="str">
        <f>'Oth-Map-2'!D62</f>
        <v/>
      </c>
    </row>
    <row r="63" spans="4:4" x14ac:dyDescent="0.75">
      <c r="D63" s="111" t="str">
        <f>'Oth-Map-2'!D63</f>
        <v>* differential.element[15].mapping[0].identity = "fhir"</v>
      </c>
    </row>
    <row r="64" spans="4:4" x14ac:dyDescent="0.75">
      <c r="D64" s="111" t="str">
        <f>'Oth-Map-2'!D64</f>
        <v>* differential.element[15].mapping[0].map = "Procedure.conformsTo('http://hl7.eu/fhir/ig/pcsp/StructureDefinition/Procedure-cvc-otherinfos-eu-pcsp')"</v>
      </c>
    </row>
    <row r="65" spans="4:4" x14ac:dyDescent="0.75">
      <c r="D65" s="111" t="str">
        <f>'Oth-Map-2'!D65</f>
        <v/>
      </c>
    </row>
    <row r="66" spans="4:4" x14ac:dyDescent="0.75">
      <c r="D66" s="111" t="str">
        <f>'Oth-Map-2'!D66</f>
        <v>* differential.element[16].mapping[0].identity = "fhir"</v>
      </c>
    </row>
    <row r="67" spans="4:4" x14ac:dyDescent="0.75">
      <c r="D67" s="111" t="str">
        <f>'Oth-Map-2'!D67</f>
        <v>* differential.element[16].mapping[0].map = ".focalDevice.action"</v>
      </c>
    </row>
    <row r="68" spans="4:4" x14ac:dyDescent="0.75">
      <c r="D68" s="111" t="str">
        <f>'Oth-Map-2'!D68</f>
        <v/>
      </c>
    </row>
    <row r="69" spans="4:4" x14ac:dyDescent="0.75">
      <c r="D69" s="111" t="str">
        <f>'Oth-Map-2'!D69</f>
        <v>* differential.element[17].mapping[0].identity = "fhir"</v>
      </c>
    </row>
    <row r="70" spans="4:4" x14ac:dyDescent="0.75">
      <c r="D70" s="111" t="str">
        <f>'Oth-Map-2'!D70</f>
        <v>* differential.element[17].mapping[0].map = ".bodySite"</v>
      </c>
    </row>
    <row r="71" spans="4:4" x14ac:dyDescent="0.75">
      <c r="D71" s="111" t="str">
        <f>'Oth-Map-2'!D71</f>
        <v/>
      </c>
    </row>
    <row r="72" spans="4:4" x14ac:dyDescent="0.75">
      <c r="D72" s="111" t="str">
        <f>'Oth-Map-2'!D72</f>
        <v>* differential.element[18].mapping[0].identity = "fhir"</v>
      </c>
    </row>
    <row r="73" spans="4:4" x14ac:dyDescent="0.75">
      <c r="D73" s="111" t="str">
        <f>'Oth-Map-2'!D73</f>
        <v>* differential.element[18].mapping[0].map = "Condition.conformsTo('http://hl7.eu/fhir/ig/pcsp/StructureDefinition/Condition-otherinfos-eu-pcsp').where(code = http://snomed.info/sct#439127006 'Thrombosis')"</v>
      </c>
    </row>
    <row r="74" spans="4:4" x14ac:dyDescent="0.75">
      <c r="D74" s="111" t="str">
        <f>'Oth-Map-2'!D74</f>
        <v/>
      </c>
    </row>
    <row r="75" spans="4:4" x14ac:dyDescent="0.75">
      <c r="D75" s="111" t="str">
        <f>'Oth-Map-2'!D75</f>
        <v>* differential.element[19].mapping[0].identity = "fhir"</v>
      </c>
    </row>
    <row r="76" spans="4:4" x14ac:dyDescent="0.75">
      <c r="D76" s="111" t="str">
        <f>'Oth-Map-2'!D76</f>
        <v>* differential.element[19].mapping[0].map = ".exists()"</v>
      </c>
    </row>
    <row r="77" spans="4:4" x14ac:dyDescent="0.75">
      <c r="D77" s="111" t="str">
        <f>'Oth-Map-2'!D77</f>
        <v/>
      </c>
    </row>
    <row r="78" spans="4:4" x14ac:dyDescent="0.75">
      <c r="D78" s="111" t="str">
        <f>'Oth-Map-2'!D78</f>
        <v>* differential.element[20].mapping[0].identity = "fhir"</v>
      </c>
    </row>
    <row r="79" spans="4:4" x14ac:dyDescent="0.75">
      <c r="D79" s="111" t="str">
        <f>'Oth-Map-2'!D79</f>
        <v>* differential.element[20].mapping[0].map = ".text"</v>
      </c>
    </row>
    <row r="80" spans="4:4" x14ac:dyDescent="0.75">
      <c r="D80" s="111" t="str">
        <f>'Oth-Map-2'!D80</f>
        <v/>
      </c>
    </row>
    <row r="81" spans="4:4" x14ac:dyDescent="0.75">
      <c r="D81" s="111" t="str">
        <f>'Oth-Map-2'!D81</f>
        <v>* differential.element[21].mapping[0].identity = "fhir"</v>
      </c>
    </row>
    <row r="82" spans="4:4" x14ac:dyDescent="0.75">
      <c r="D82" s="111" t="str">
        <f>'Oth-Map-2'!D82</f>
        <v>* differential.element[21].mapping[0].map = "Procedure.conformsTo('http://hl7.eu/fhir/ig/pcsp/StructureDefinition/Procedure-transfusion-otherinfos-eu-pcsp')"</v>
      </c>
    </row>
    <row r="83" spans="4:4" x14ac:dyDescent="0.75">
      <c r="D83" s="111" t="str">
        <f>'Oth-Map-2'!D83</f>
        <v/>
      </c>
    </row>
    <row r="84" spans="4:4" x14ac:dyDescent="0.75">
      <c r="D84" s="111" t="str">
        <f>'Oth-Map-2'!D84</f>
        <v>* differential.element[22].mapping[0].identity = "fhir"</v>
      </c>
    </row>
    <row r="85" spans="4:4" x14ac:dyDescent="0.75">
      <c r="D85" s="111" t="str">
        <f>'Oth-Map-2'!D85</f>
        <v>* differential.element[22].mapping[0].map = ".exists()"</v>
      </c>
    </row>
    <row r="86" spans="4:4" x14ac:dyDescent="0.75">
      <c r="D86" s="111" t="str">
        <f>'Oth-Map-2'!D86</f>
        <v/>
      </c>
    </row>
    <row r="87" spans="4:4" x14ac:dyDescent="0.75">
      <c r="D87" s="111" t="str">
        <f>'Oth-Map-2'!D87</f>
        <v>* differential.element[23].mapping[0].identity = "fhir"</v>
      </c>
    </row>
    <row r="88" spans="4:4" x14ac:dyDescent="0.75">
      <c r="D88" s="111" t="str">
        <f>'Oth-Map-2'!D88</f>
        <v>* differential.element[23].mapping[0].map = "extension(''http://hl7.eu/fhir/ig/pcsp/StructureDefinition/procedure-performedTiming').valueTiming.event.value.aggregate(iif($total.empty(), $this, iif($this &gt; $total, $this, $total)))"</v>
      </c>
    </row>
    <row r="89" spans="4:4" x14ac:dyDescent="0.75">
      <c r="D89" s="111" t="str">
        <f>'Oth-Map-2'!D89</f>
        <v/>
      </c>
    </row>
    <row r="90" spans="4:4" x14ac:dyDescent="0.75">
      <c r="D90" s="111" t="str">
        <f>'Oth-Map-2'!D90</f>
        <v>* differential.element[23].mapping[1].identity = "fhir"</v>
      </c>
    </row>
    <row r="91" spans="4:4" x14ac:dyDescent="0.75">
      <c r="D91" s="111" t="str">
        <f>'Oth-Map-2'!D91</f>
        <v>* differential.element[23].mapping[1].map = "performedDateTime"</v>
      </c>
    </row>
    <row r="92" spans="4:4" x14ac:dyDescent="0.75">
      <c r="D92" s="111" t="str">
        <f>'Oth-Map-2'!D92</f>
        <v/>
      </c>
    </row>
    <row r="93" spans="4:4" x14ac:dyDescent="0.75">
      <c r="D93" s="111" t="str">
        <f>'Oth-Map-2'!D93</f>
        <v>* differential.element[24].mapping[0].identity = "fhir"</v>
      </c>
    </row>
    <row r="94" spans="4:4" x14ac:dyDescent="0.75">
      <c r="D94" s="111" t="str">
        <f>'Oth-Map-2'!D94</f>
        <v>* differential.element[24].mapping[0].map = "iif(.extension(''http://hl7.eu/fhir/ig/pcsp/StructureDefinition/procedure-performedTiming').valueTiming.repeat.count &gt; 9; true)"</v>
      </c>
    </row>
    <row r="95" spans="4:4" x14ac:dyDescent="0.75">
      <c r="D95" s="111" t="str">
        <f>'Oth-Map-2'!D95</f>
        <v/>
      </c>
    </row>
    <row r="96" spans="4:4" x14ac:dyDescent="0.75">
      <c r="D96" s="111" t="str">
        <f>'Oth-Map-2'!D96</f>
        <v>* differential.element[24].mapping[1].identity = "fhir"</v>
      </c>
    </row>
    <row r="97" spans="4:4" x14ac:dyDescent="0.75">
      <c r="D97" s="111" t="str">
        <f>'Oth-Map-2'!D97</f>
        <v>* differential.element[24].mapping[1].map = "iif(.extension(''http://hl7.eu/fhir/ig/pcsp/StructureDefinition/procedure-performedTiming').valueTiming.repeat..boundsRange.low &gt; 9; true)"</v>
      </c>
    </row>
    <row r="98" spans="4:4" x14ac:dyDescent="0.75">
      <c r="D98" s="111" t="str">
        <f>'Oth-Map-2'!D98</f>
        <v/>
      </c>
    </row>
    <row r="99" spans="4:4" x14ac:dyDescent="0.75">
      <c r="D99" s="111" t="str">
        <f>'Oth-Map-2'!D99</f>
        <v>* differential.element[25].mapping[0].identity = "fhir"</v>
      </c>
    </row>
    <row r="100" spans="4:4" x14ac:dyDescent="0.75">
      <c r="D100" s="111" t="str">
        <f>'Oth-Map-2'!D100</f>
        <v>* differential.element[25].mapping[0].map = "Procedure.conformsTo('http://hl7.eu/fhir/ig/pcsp/StructureDefinition/Procedure-cryopreservation-otherinfos-eu-pcsp')"</v>
      </c>
    </row>
    <row r="101" spans="4:4" x14ac:dyDescent="0.75">
      <c r="D101" s="111" t="str">
        <f>'Oth-Map-2'!D101</f>
        <v/>
      </c>
    </row>
    <row r="102" spans="4:4" x14ac:dyDescent="0.75">
      <c r="D102" s="111" t="str">
        <f>'Oth-Map-2'!D102</f>
        <v>* differential.element[26].mapping[0].identity = "fhir"</v>
      </c>
    </row>
    <row r="103" spans="4:4" x14ac:dyDescent="0.75">
      <c r="D103" s="111" t="str">
        <f>'Oth-Map-2'!D103</f>
        <v>* differential.element[26].mapping[0].map = ".text"</v>
      </c>
    </row>
    <row r="104" spans="4:4" x14ac:dyDescent="0.75">
      <c r="D104" s="111" t="str">
        <f>'Oth-Map-2'!D104</f>
        <v/>
      </c>
    </row>
    <row r="105" spans="4:4" x14ac:dyDescent="0.75">
      <c r="D105" s="111" t="str">
        <f>'Oth-Map-2'!D105</f>
        <v>* differential.element[27].mapping[0].identity = "fhir"</v>
      </c>
    </row>
    <row r="106" spans="4:4" x14ac:dyDescent="0.75">
      <c r="D106" s="111" t="str">
        <f>'Oth-Map-2'!D106</f>
        <v>* differential.element[27].mapping[0].map = ".location"</v>
      </c>
    </row>
    <row r="107" spans="4:4" x14ac:dyDescent="0.75">
      <c r="D107" s="111" t="str">
        <f>'Oth-Map-2'!D107</f>
        <v/>
      </c>
    </row>
    <row r="108" spans="4:4" x14ac:dyDescent="0.75">
      <c r="D108" s="111" t="str">
        <f>'Oth-Map-2'!D108</f>
        <v>* differential.element[28].mapping[0].identity = "fhir"</v>
      </c>
    </row>
    <row r="109" spans="4:4" x14ac:dyDescent="0.75">
      <c r="D109" s="111" t="str">
        <f>'Oth-Map-2'!D109</f>
        <v>* differential.element[28].mapping[0].map = "Procedure.conformsTo('http://hl7.eu/fhir/ig/pcsp/StructureDefinition/Procedure-treatment-otherinfos-eu-pcsp')"</v>
      </c>
    </row>
    <row r="110" spans="4:4" x14ac:dyDescent="0.75">
      <c r="D110" s="111" t="str">
        <f>'Oth-Map-2'!D110</f>
        <v/>
      </c>
    </row>
    <row r="111" spans="4:4" x14ac:dyDescent="0.75">
      <c r="D111" s="111" t="str">
        <f>'Oth-Map-2'!D111</f>
        <v>* differential.element[29].mapping[0].identity = "fhir"</v>
      </c>
    </row>
    <row r="112" spans="4:4" x14ac:dyDescent="0.75">
      <c r="D112" s="111" t="str">
        <f>'Oth-Map-2'!D112</f>
        <v>* differential.element[29].mapping[0].map = "DocumentReference.conformsTo('http://hl7.eu/fhir/ig/pcsp/StructureDefinition/DocumentReference-eu-pcsp')"</v>
      </c>
    </row>
    <row r="113" spans="4:4" x14ac:dyDescent="0.75">
      <c r="D113" s="111" t="str">
        <f>'Oth-Map-2'!D113</f>
        <v/>
      </c>
    </row>
    <row r="114" spans="4:4" x14ac:dyDescent="0.75">
      <c r="D114" s="111" t="str">
        <f>'Oth-Map-2'!D114</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topLeftCell="A3" workbookViewId="0">
      <selection activeCell="D2" sqref="D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1001</v>
      </c>
    </row>
    <row r="3" spans="1:9" x14ac:dyDescent="0.75">
      <c r="B3" s="20" t="s">
        <v>34</v>
      </c>
      <c r="D3" s="134"/>
    </row>
    <row r="4" spans="1:9" ht="15.5" thickBot="1" x14ac:dyDescent="0.9">
      <c r="B4" s="22" t="s">
        <v>52</v>
      </c>
      <c r="C4" s="23" t="s">
        <v>911</v>
      </c>
      <c r="D4" s="135"/>
    </row>
    <row r="5" spans="1:9" x14ac:dyDescent="0.75">
      <c r="C5" s="51" t="s">
        <v>7</v>
      </c>
      <c r="D5" s="4" t="s">
        <v>8</v>
      </c>
      <c r="E5" s="11" t="s">
        <v>17</v>
      </c>
      <c r="F5" s="11" t="s">
        <v>18</v>
      </c>
      <c r="G5" s="11" t="s">
        <v>19</v>
      </c>
    </row>
    <row r="6" spans="1:9" ht="15.5" thickBot="1" x14ac:dyDescent="0.9">
      <c r="A6" s="109">
        <v>0</v>
      </c>
      <c r="B6" s="23" t="s">
        <v>911</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936</v>
      </c>
      <c r="D16" s="112" t="s">
        <v>617</v>
      </c>
      <c r="E16" s="111">
        <v>0</v>
      </c>
      <c r="F16" s="111">
        <v>1</v>
      </c>
      <c r="G16" s="111" t="s">
        <v>2</v>
      </c>
      <c r="H16" s="111"/>
      <c r="I16" s="111" t="str">
        <f t="shared" si="0"/>
        <v>Date of surgery</v>
      </c>
    </row>
    <row r="17" spans="1:9" ht="29.5" x14ac:dyDescent="0.75">
      <c r="A17" s="111">
        <v>11</v>
      </c>
      <c r="B17" s="111" t="s">
        <v>891</v>
      </c>
      <c r="C17" s="111" t="s">
        <v>937</v>
      </c>
      <c r="D17" s="112" t="s">
        <v>620</v>
      </c>
      <c r="E17" s="111">
        <v>0</v>
      </c>
      <c r="F17" s="111">
        <v>1</v>
      </c>
      <c r="G17" s="111" t="s">
        <v>3</v>
      </c>
      <c r="H17" s="111"/>
      <c r="I17" s="111" t="str">
        <f t="shared" si="0"/>
        <v>Surgery description</v>
      </c>
    </row>
    <row r="18" spans="1:9" ht="44.25" x14ac:dyDescent="0.75">
      <c r="A18" s="111">
        <v>12</v>
      </c>
      <c r="B18" s="112" t="s">
        <v>932</v>
      </c>
      <c r="C18" s="112" t="s">
        <v>933</v>
      </c>
      <c r="D18" s="112" t="s">
        <v>912</v>
      </c>
      <c r="E18" s="111">
        <v>0</v>
      </c>
      <c r="F18" s="111" t="s">
        <v>20</v>
      </c>
      <c r="G18" s="111" t="s">
        <v>1</v>
      </c>
      <c r="H18" s="111"/>
      <c r="I18" s="111" t="str">
        <f>TRIM(C18)</f>
        <v>Affected Organs</v>
      </c>
    </row>
    <row r="19" spans="1:9" ht="162.25" x14ac:dyDescent="0.75">
      <c r="A19" s="111">
        <v>13</v>
      </c>
      <c r="B19" s="24" t="s">
        <v>941</v>
      </c>
      <c r="C19" s="111" t="s">
        <v>651</v>
      </c>
      <c r="D19" s="112" t="s">
        <v>926</v>
      </c>
      <c r="E19" s="111">
        <v>0</v>
      </c>
      <c r="F19" s="111" t="s">
        <v>20</v>
      </c>
      <c r="G19" s="111" t="s">
        <v>1</v>
      </c>
      <c r="H19" s="111"/>
      <c r="I19" s="111" t="str">
        <f t="shared" si="0"/>
        <v>Sacrified Organs</v>
      </c>
    </row>
    <row r="20" spans="1:9" x14ac:dyDescent="0.75">
      <c r="A20" s="111">
        <v>14</v>
      </c>
      <c r="B20" s="111" t="s">
        <v>931</v>
      </c>
      <c r="C20" s="111" t="s">
        <v>921</v>
      </c>
      <c r="D20" s="112" t="s">
        <v>666</v>
      </c>
      <c r="E20" s="111">
        <v>0</v>
      </c>
      <c r="F20" s="111" t="s">
        <v>20</v>
      </c>
      <c r="G20" s="111" t="s">
        <v>5</v>
      </c>
      <c r="H20" s="114"/>
      <c r="I20" s="111" t="str">
        <f t="shared" si="0"/>
        <v>Shunt application</v>
      </c>
    </row>
    <row r="21" spans="1:9" ht="118" x14ac:dyDescent="0.75">
      <c r="A21" s="111">
        <v>15</v>
      </c>
      <c r="B21" s="112" t="s">
        <v>934</v>
      </c>
      <c r="C21" s="111" t="s">
        <v>990</v>
      </c>
      <c r="D21" s="112" t="s">
        <v>915</v>
      </c>
      <c r="E21" s="111">
        <v>0</v>
      </c>
      <c r="F21" s="111">
        <v>1</v>
      </c>
      <c r="G21" s="111" t="s">
        <v>1</v>
      </c>
      <c r="I21" s="111" t="str">
        <f t="shared" si="0"/>
        <v>Type of shunt</v>
      </c>
    </row>
    <row r="22" spans="1:9" ht="88.5" x14ac:dyDescent="0.75">
      <c r="A22" s="111">
        <v>16</v>
      </c>
      <c r="B22" s="112" t="s">
        <v>935</v>
      </c>
      <c r="C22" s="112" t="s">
        <v>991</v>
      </c>
      <c r="D22" s="112" t="s">
        <v>916</v>
      </c>
      <c r="E22" s="111">
        <v>0</v>
      </c>
      <c r="F22" s="111">
        <v>1</v>
      </c>
      <c r="G22" s="111" t="s">
        <v>1</v>
      </c>
      <c r="I22" s="111" t="str">
        <f t="shared" si="0"/>
        <v>Laterality of shunt</v>
      </c>
    </row>
    <row r="23" spans="1:9" ht="73.75" x14ac:dyDescent="0.75">
      <c r="A23" s="111">
        <v>17</v>
      </c>
      <c r="B23" s="111" t="s">
        <v>913</v>
      </c>
      <c r="C23" s="111" t="s">
        <v>914</v>
      </c>
      <c r="D23" s="112" t="s">
        <v>917</v>
      </c>
      <c r="E23" s="111">
        <v>0</v>
      </c>
      <c r="F23" s="111">
        <v>1</v>
      </c>
      <c r="G23" s="111" t="s">
        <v>1</v>
      </c>
      <c r="I23" s="111" t="str">
        <f t="shared" si="0"/>
        <v>In place or removed ?</v>
      </c>
    </row>
    <row r="24" spans="1:9" ht="88.5" x14ac:dyDescent="0.75">
      <c r="A24" s="111">
        <v>18</v>
      </c>
      <c r="B24" s="111" t="s">
        <v>930</v>
      </c>
      <c r="C24" s="111" t="s">
        <v>922</v>
      </c>
      <c r="D24" s="112" t="s">
        <v>920</v>
      </c>
      <c r="E24" s="111">
        <v>0</v>
      </c>
      <c r="F24" s="111">
        <v>1</v>
      </c>
      <c r="G24" s="111" t="s">
        <v>1</v>
      </c>
      <c r="I24" s="111" t="str">
        <f t="shared" si="0"/>
        <v>Amputation</v>
      </c>
    </row>
    <row r="25" spans="1:9" x14ac:dyDescent="0.75">
      <c r="A25" s="111">
        <v>19</v>
      </c>
      <c r="B25" s="111" t="s">
        <v>929</v>
      </c>
      <c r="C25" s="111" t="s">
        <v>923</v>
      </c>
      <c r="D25" s="111" t="s">
        <v>923</v>
      </c>
      <c r="E25" s="111">
        <v>0</v>
      </c>
      <c r="F25" s="111">
        <v>1</v>
      </c>
      <c r="G25" s="111" t="s">
        <v>5</v>
      </c>
      <c r="I25" s="111" t="str">
        <f t="shared" si="0"/>
        <v>Prothesis</v>
      </c>
    </row>
    <row r="26" spans="1:9" ht="29.5" x14ac:dyDescent="0.75">
      <c r="A26" s="111">
        <v>20</v>
      </c>
      <c r="B26" s="111" t="s">
        <v>995</v>
      </c>
      <c r="C26" s="111" t="s">
        <v>994</v>
      </c>
      <c r="D26" s="112" t="s">
        <v>688</v>
      </c>
      <c r="E26" s="111">
        <v>0</v>
      </c>
      <c r="F26" s="111">
        <v>1</v>
      </c>
      <c r="G26" s="111" t="s">
        <v>1</v>
      </c>
      <c r="I26" s="111"/>
    </row>
    <row r="27" spans="1:9" ht="73.75" x14ac:dyDescent="0.75">
      <c r="A27" s="111">
        <v>21</v>
      </c>
      <c r="B27" s="111" t="s">
        <v>996</v>
      </c>
      <c r="C27" s="111" t="s">
        <v>998</v>
      </c>
      <c r="D27" s="112" t="s">
        <v>997</v>
      </c>
      <c r="E27" s="111">
        <v>0</v>
      </c>
      <c r="F27" s="111">
        <v>1</v>
      </c>
      <c r="G27" s="111" t="s">
        <v>1</v>
      </c>
      <c r="I27" s="111"/>
    </row>
    <row r="28" spans="1:9" x14ac:dyDescent="0.75">
      <c r="A28" s="111">
        <v>22</v>
      </c>
      <c r="B28" s="111" t="s">
        <v>928</v>
      </c>
      <c r="C28" s="111" t="s">
        <v>924</v>
      </c>
      <c r="D28" s="111" t="s">
        <v>924</v>
      </c>
      <c r="E28" s="111">
        <v>0</v>
      </c>
      <c r="F28" s="111">
        <v>1</v>
      </c>
      <c r="G28" s="111" t="s">
        <v>5</v>
      </c>
      <c r="I28" s="111" t="str">
        <f t="shared" si="0"/>
        <v>Colostomy</v>
      </c>
    </row>
    <row r="29" spans="1:9" x14ac:dyDescent="0.75">
      <c r="A29" s="111">
        <v>23</v>
      </c>
      <c r="B29" s="111" t="s">
        <v>993</v>
      </c>
      <c r="C29" s="111" t="s">
        <v>994</v>
      </c>
      <c r="D29" s="112" t="s">
        <v>697</v>
      </c>
      <c r="E29" s="111">
        <v>0</v>
      </c>
      <c r="F29" s="111">
        <v>1</v>
      </c>
      <c r="G29" s="111" t="s">
        <v>1</v>
      </c>
      <c r="I29" s="111" t="str">
        <f t="shared" si="0"/>
        <v>status</v>
      </c>
    </row>
    <row r="30" spans="1:9" ht="59" x14ac:dyDescent="0.75">
      <c r="A30" s="111">
        <v>24</v>
      </c>
      <c r="B30" s="111" t="s">
        <v>992</v>
      </c>
      <c r="C30" s="111" t="s">
        <v>914</v>
      </c>
      <c r="D30" s="112" t="s">
        <v>918</v>
      </c>
      <c r="E30" s="111">
        <v>0</v>
      </c>
      <c r="F30" s="111">
        <v>1</v>
      </c>
      <c r="G30" s="111" t="s">
        <v>1</v>
      </c>
      <c r="I30" s="111"/>
    </row>
    <row r="31" spans="1:9" ht="67.5" x14ac:dyDescent="0.75">
      <c r="A31" s="111">
        <v>25</v>
      </c>
      <c r="B31" s="111" t="s">
        <v>927</v>
      </c>
      <c r="C31" s="111" t="s">
        <v>925</v>
      </c>
      <c r="D31" s="28" t="s">
        <v>919</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44.2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44.2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44.2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44.2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44.2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44.2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44.2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59"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59"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236"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44.2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132.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103.2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88.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103.2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44.2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44.2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103.2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44.2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44.2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13" zoomScale="130" zoomScaleNormal="130" workbookViewId="0">
      <selection activeCell="D18" sqref="D18"/>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938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903</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903</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904</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59" x14ac:dyDescent="0.75">
      <c r="A11" s="111">
        <v>0</v>
      </c>
      <c r="B11" s="111">
        <f>'Surg-1'!A10</f>
        <v>4</v>
      </c>
      <c r="C11" s="111" t="str">
        <f>'Surg-1'!B10</f>
        <v>istitutionOfTreatment</v>
      </c>
      <c r="D11" s="112" t="s">
        <v>1119</v>
      </c>
      <c r="H11" s="109" t="b">
        <f t="shared" si="5"/>
        <v>1</v>
      </c>
      <c r="I11" s="110" t="str">
        <f t="shared" si="6"/>
        <v>* differential.element[4].mapping[0].identity = "fhir"</v>
      </c>
      <c r="J11" s="110" t="str">
        <f t="shared" si="7"/>
        <v>* differential.element[4].mapping[0].map = "location.resolve().conformsTo(http://hl7.eu/fhir/ig/pcsp/StructureDefinition/Location-eu-pcsp)"</v>
      </c>
      <c r="K11" s="110" t="str">
        <f t="shared" si="3"/>
        <v/>
      </c>
      <c r="M11" s="44"/>
      <c r="N11" s="109" t="str">
        <f t="shared" si="4"/>
        <v>* istitutionOfTreatment -&gt; "location.resolve().conformsTo(http://hl7.eu/fhir/ig/pcsp/StructureDefinition/Location-eu-pcsp)"</v>
      </c>
    </row>
    <row r="12" spans="1:14" ht="29.5" x14ac:dyDescent="0.75">
      <c r="A12" s="111">
        <v>0</v>
      </c>
      <c r="B12" s="111">
        <f>'Surg-1'!A11</f>
        <v>5</v>
      </c>
      <c r="C12" s="111" t="str">
        <f>'Surg-1'!B11</f>
        <v>istitutionOfTreatment.description</v>
      </c>
      <c r="D12" s="138" t="s">
        <v>899</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900</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901</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902</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1163</v>
      </c>
      <c r="H17" s="109" t="b">
        <f t="shared" si="5"/>
        <v>1</v>
      </c>
      <c r="I17" s="110" t="str">
        <f t="shared" si="6"/>
        <v>* differential.element[10].mapping[0].identity = "fhir"</v>
      </c>
      <c r="J17" s="110" t="str">
        <f t="shared" si="7"/>
        <v>* differential.element[10].mapping[0].map = "Procedure.performedDateTime"</v>
      </c>
      <c r="K17" s="110" t="str">
        <f t="shared" si="3"/>
        <v/>
      </c>
      <c r="N17" s="109" t="str">
        <f t="shared" si="4"/>
        <v>* date -&gt; "Procedure.performedDateTime"</v>
      </c>
    </row>
    <row r="18" spans="1:14" ht="29.5" x14ac:dyDescent="0.75">
      <c r="A18" s="111">
        <v>0</v>
      </c>
      <c r="B18" s="111">
        <f>'Surg-1'!A17</f>
        <v>11</v>
      </c>
      <c r="C18" s="111" t="str">
        <f>'Surg-1'!B17</f>
        <v>description</v>
      </c>
      <c r="D18" s="112" t="s">
        <v>939</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906</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905</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940</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905</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1110</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905</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1015</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999</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1012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1111</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898</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1000</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1013</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898</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999</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1014</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"location.resolve().conformsTo(http://hl7.eu/fhir/ig/pcsp/StructureDefinition/Location-eu-pcsp)"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"location.resolve().conformsTo(http://hl7.eu/fhir/ig/pcsp/StructureDefinition/Location-eu-pcsp)"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topLeftCell="A19" zoomScaleNormal="100" workbookViewId="0">
      <selection activeCell="B21" sqref="B21"/>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942</v>
      </c>
      <c r="D2" s="152" t="s">
        <v>1021</v>
      </c>
      <c r="E2" s="25"/>
      <c r="F2" s="25"/>
      <c r="G2" s="25"/>
    </row>
    <row r="3" spans="1:9" x14ac:dyDescent="0.75">
      <c r="B3" s="20" t="s">
        <v>34</v>
      </c>
      <c r="C3" s="25"/>
      <c r="D3" s="56"/>
      <c r="E3" s="25"/>
      <c r="F3" s="25"/>
      <c r="G3" s="25"/>
    </row>
    <row r="4" spans="1:9" ht="15.5" thickBot="1" x14ac:dyDescent="0.9">
      <c r="B4" s="22" t="s">
        <v>52</v>
      </c>
      <c r="C4" s="148" t="s">
        <v>943</v>
      </c>
      <c r="D4" s="57"/>
      <c r="E4" s="25"/>
      <c r="F4" s="25"/>
      <c r="G4" s="25"/>
    </row>
    <row r="5" spans="1:9" x14ac:dyDescent="0.75">
      <c r="B5" s="25"/>
      <c r="C5" s="51" t="s">
        <v>7</v>
      </c>
      <c r="D5" s="4" t="s">
        <v>8</v>
      </c>
      <c r="E5" s="11" t="s">
        <v>17</v>
      </c>
      <c r="F5" s="11" t="s">
        <v>18</v>
      </c>
      <c r="G5" s="11" t="s">
        <v>19</v>
      </c>
    </row>
    <row r="6" spans="1:9" ht="15.5" thickBot="1" x14ac:dyDescent="0.9">
      <c r="A6">
        <v>0</v>
      </c>
      <c r="B6" s="33" t="s">
        <v>943</v>
      </c>
      <c r="C6" s="148" t="s">
        <v>942</v>
      </c>
      <c r="D6" s="148" t="s">
        <v>942</v>
      </c>
      <c r="E6" s="34">
        <v>1</v>
      </c>
      <c r="F6" s="34">
        <v>1</v>
      </c>
      <c r="G6" s="34" t="s">
        <v>21</v>
      </c>
    </row>
    <row r="7" spans="1:9" x14ac:dyDescent="0.75">
      <c r="A7" s="2">
        <v>1</v>
      </c>
      <c r="B7" s="26" t="s">
        <v>35</v>
      </c>
      <c r="C7" s="111" t="s">
        <v>944</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945</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964</v>
      </c>
      <c r="D16" s="67" t="s">
        <v>351</v>
      </c>
      <c r="E16" s="26">
        <v>0</v>
      </c>
      <c r="F16" s="26" t="s">
        <v>20</v>
      </c>
      <c r="G16" s="26" t="s">
        <v>2</v>
      </c>
      <c r="H16" s="2"/>
      <c r="I16" s="2"/>
    </row>
    <row r="17" spans="1:11" ht="74" x14ac:dyDescent="0.75">
      <c r="A17" s="111">
        <v>11</v>
      </c>
      <c r="B17" s="149" t="s">
        <v>948</v>
      </c>
      <c r="C17" s="26" t="s">
        <v>965</v>
      </c>
      <c r="D17" s="67" t="s">
        <v>947</v>
      </c>
      <c r="E17" s="26">
        <v>0</v>
      </c>
      <c r="F17" s="26">
        <v>1</v>
      </c>
      <c r="G17" s="111" t="s">
        <v>1</v>
      </c>
      <c r="H17" s="67"/>
      <c r="I17" s="2"/>
    </row>
    <row r="18" spans="1:11" ht="240.5" x14ac:dyDescent="0.75">
      <c r="A18" s="109">
        <v>12</v>
      </c>
      <c r="B18" s="149" t="s">
        <v>949</v>
      </c>
      <c r="C18" s="26" t="s">
        <v>951</v>
      </c>
      <c r="D18" s="95" t="s">
        <v>950</v>
      </c>
      <c r="E18" s="26">
        <v>0</v>
      </c>
      <c r="F18" s="26">
        <v>1</v>
      </c>
      <c r="G18" s="111" t="s">
        <v>1</v>
      </c>
      <c r="H18" s="67"/>
      <c r="I18" s="2"/>
    </row>
    <row r="19" spans="1:11" ht="92.5" x14ac:dyDescent="0.75">
      <c r="A19" s="109">
        <v>13</v>
      </c>
      <c r="B19" s="149" t="s">
        <v>952</v>
      </c>
      <c r="C19" s="26" t="s">
        <v>1148</v>
      </c>
      <c r="D19" s="67" t="s">
        <v>946</v>
      </c>
      <c r="E19" s="32">
        <v>0</v>
      </c>
      <c r="F19" s="2">
        <v>1</v>
      </c>
      <c r="G19" s="111" t="s">
        <v>1</v>
      </c>
      <c r="H19" s="67"/>
    </row>
    <row r="20" spans="1:11" ht="129.5" x14ac:dyDescent="0.75">
      <c r="A20" s="111">
        <v>14</v>
      </c>
      <c r="B20" s="151" t="s">
        <v>961</v>
      </c>
      <c r="C20" s="24" t="s">
        <v>966</v>
      </c>
      <c r="D20" s="71" t="s">
        <v>373</v>
      </c>
      <c r="E20" s="32">
        <v>0</v>
      </c>
      <c r="F20" s="2">
        <v>1</v>
      </c>
      <c r="G20" s="2" t="s">
        <v>3</v>
      </c>
      <c r="H20" s="67"/>
    </row>
    <row r="21" spans="1:11" s="109" customFormat="1" ht="18.5" x14ac:dyDescent="0.75">
      <c r="A21" s="109">
        <v>15</v>
      </c>
      <c r="B21" s="149" t="s">
        <v>1149</v>
      </c>
      <c r="C21" s="111" t="s">
        <v>977</v>
      </c>
      <c r="D21" s="95" t="s">
        <v>977</v>
      </c>
      <c r="E21" s="113">
        <v>0</v>
      </c>
      <c r="F21" s="111">
        <v>1</v>
      </c>
      <c r="G21" s="111" t="s">
        <v>5</v>
      </c>
      <c r="H21" s="67"/>
    </row>
    <row r="22" spans="1:11" ht="111" x14ac:dyDescent="0.75">
      <c r="A22" s="111">
        <v>16</v>
      </c>
      <c r="B22" s="26" t="s">
        <v>1150</v>
      </c>
      <c r="C22" s="26" t="s">
        <v>967</v>
      </c>
      <c r="D22" s="95" t="s">
        <v>962</v>
      </c>
      <c r="E22" s="32">
        <v>0</v>
      </c>
      <c r="F22" s="2">
        <v>1</v>
      </c>
      <c r="G22" s="111" t="s">
        <v>1</v>
      </c>
      <c r="H22" s="67"/>
    </row>
    <row r="23" spans="1:11" ht="18.5" x14ac:dyDescent="0.75">
      <c r="A23" s="109">
        <v>17</v>
      </c>
      <c r="B23" s="111" t="s">
        <v>1151</v>
      </c>
      <c r="C23" s="26" t="s">
        <v>968</v>
      </c>
      <c r="D23" s="67" t="s">
        <v>978</v>
      </c>
      <c r="E23" s="113">
        <v>0</v>
      </c>
      <c r="F23" s="113">
        <v>1</v>
      </c>
      <c r="G23" s="111" t="s">
        <v>5</v>
      </c>
      <c r="H23" s="67"/>
      <c r="K23">
        <f>800*20</f>
        <v>16000</v>
      </c>
    </row>
    <row r="24" spans="1:11" s="109" customFormat="1" ht="74" x14ac:dyDescent="0.75">
      <c r="A24" s="111">
        <v>18</v>
      </c>
      <c r="B24" s="111" t="s">
        <v>1152</v>
      </c>
      <c r="C24" s="111" t="s">
        <v>969</v>
      </c>
      <c r="D24" s="67" t="s">
        <v>979</v>
      </c>
      <c r="E24" s="113">
        <v>1</v>
      </c>
      <c r="F24" s="113">
        <v>1</v>
      </c>
      <c r="G24" s="111" t="s">
        <v>1</v>
      </c>
      <c r="H24" s="67"/>
    </row>
    <row r="25" spans="1:11" ht="129.5" x14ac:dyDescent="0.75">
      <c r="A25" s="109">
        <v>19</v>
      </c>
      <c r="B25" s="111" t="s">
        <v>1153</v>
      </c>
      <c r="C25" s="26" t="s">
        <v>382</v>
      </c>
      <c r="D25" s="67" t="s">
        <v>980</v>
      </c>
      <c r="E25" s="113">
        <v>1</v>
      </c>
      <c r="F25" s="113">
        <v>1</v>
      </c>
      <c r="G25" s="111" t="s">
        <v>1</v>
      </c>
      <c r="H25" s="67"/>
    </row>
    <row r="26" spans="1:11" ht="37" x14ac:dyDescent="0.75">
      <c r="A26" s="111">
        <v>20</v>
      </c>
      <c r="B26" s="111" t="s">
        <v>1154</v>
      </c>
      <c r="C26" s="26" t="s">
        <v>885</v>
      </c>
      <c r="D26" s="67" t="s">
        <v>389</v>
      </c>
      <c r="E26" s="32">
        <v>0</v>
      </c>
      <c r="F26" s="2">
        <v>1</v>
      </c>
      <c r="G26" s="2" t="s">
        <v>4</v>
      </c>
      <c r="H26" s="67" t="s">
        <v>109</v>
      </c>
    </row>
    <row r="27" spans="1:11" ht="37" x14ac:dyDescent="0.75">
      <c r="A27" s="109">
        <v>21</v>
      </c>
      <c r="B27" s="111" t="s">
        <v>1155</v>
      </c>
      <c r="C27" s="26" t="s">
        <v>886</v>
      </c>
      <c r="D27" s="67" t="s">
        <v>392</v>
      </c>
      <c r="E27" s="113">
        <v>0</v>
      </c>
      <c r="F27" s="111">
        <v>1</v>
      </c>
      <c r="G27" s="111" t="s">
        <v>4</v>
      </c>
      <c r="H27" s="67" t="s">
        <v>109</v>
      </c>
    </row>
    <row r="28" spans="1:11" ht="18.5" x14ac:dyDescent="0.75">
      <c r="A28" s="111">
        <v>22</v>
      </c>
      <c r="B28" s="111" t="s">
        <v>1156</v>
      </c>
      <c r="C28" s="111" t="s">
        <v>970</v>
      </c>
      <c r="D28" s="111" t="s">
        <v>981</v>
      </c>
      <c r="E28" s="113">
        <v>0</v>
      </c>
      <c r="F28" s="113">
        <v>1</v>
      </c>
      <c r="G28" s="111" t="s">
        <v>5</v>
      </c>
      <c r="H28" s="67"/>
    </row>
    <row r="29" spans="1:11" s="109" customFormat="1" ht="74" x14ac:dyDescent="0.75">
      <c r="A29" s="109">
        <v>23</v>
      </c>
      <c r="B29" s="111" t="s">
        <v>1157</v>
      </c>
      <c r="C29" s="111" t="s">
        <v>971</v>
      </c>
      <c r="D29" s="95" t="s">
        <v>982</v>
      </c>
      <c r="E29" s="113">
        <v>1</v>
      </c>
      <c r="F29" s="113">
        <v>1</v>
      </c>
      <c r="G29" s="111" t="s">
        <v>1</v>
      </c>
      <c r="H29" s="67"/>
    </row>
    <row r="30" spans="1:11" ht="74" x14ac:dyDescent="0.75">
      <c r="A30" s="111">
        <v>24</v>
      </c>
      <c r="B30" s="111" t="s">
        <v>1158</v>
      </c>
      <c r="C30" s="111" t="s">
        <v>382</v>
      </c>
      <c r="D30" s="67" t="s">
        <v>983</v>
      </c>
      <c r="E30" s="113">
        <v>1</v>
      </c>
      <c r="F30" s="113">
        <v>1</v>
      </c>
      <c r="G30" s="111" t="s">
        <v>1</v>
      </c>
      <c r="H30" s="67"/>
    </row>
    <row r="31" spans="1:11" ht="37" x14ac:dyDescent="0.75">
      <c r="A31" s="109">
        <v>25</v>
      </c>
      <c r="B31" s="111" t="s">
        <v>1159</v>
      </c>
      <c r="C31" s="111" t="s">
        <v>885</v>
      </c>
      <c r="D31" s="67" t="s">
        <v>401</v>
      </c>
      <c r="E31" s="10">
        <v>0</v>
      </c>
      <c r="F31" s="10">
        <v>1</v>
      </c>
      <c r="G31" s="2" t="s">
        <v>4</v>
      </c>
      <c r="H31" s="67" t="s">
        <v>109</v>
      </c>
    </row>
    <row r="32" spans="1:11" ht="37" x14ac:dyDescent="0.75">
      <c r="A32" s="109">
        <v>26</v>
      </c>
      <c r="B32" s="111" t="s">
        <v>1160</v>
      </c>
      <c r="C32" s="111" t="s">
        <v>886</v>
      </c>
      <c r="D32" s="67" t="s">
        <v>403</v>
      </c>
      <c r="E32" s="10">
        <v>0</v>
      </c>
      <c r="F32" s="10">
        <v>1</v>
      </c>
      <c r="G32" s="2" t="s">
        <v>4</v>
      </c>
      <c r="H32" s="67" t="s">
        <v>109</v>
      </c>
    </row>
    <row r="33" spans="1:8" ht="18.5" x14ac:dyDescent="0.75">
      <c r="A33" s="111">
        <v>27</v>
      </c>
      <c r="B33" s="26" t="s">
        <v>1161</v>
      </c>
      <c r="C33" s="111" t="s">
        <v>972</v>
      </c>
      <c r="D33" s="67" t="s">
        <v>407</v>
      </c>
      <c r="E33" s="10">
        <v>0</v>
      </c>
      <c r="F33" s="10" t="s">
        <v>20</v>
      </c>
      <c r="G33" s="2" t="s">
        <v>3</v>
      </c>
      <c r="H33" s="67"/>
    </row>
    <row r="34" spans="1:8" s="109" customFormat="1" ht="18.5" x14ac:dyDescent="0.75">
      <c r="A34" s="109">
        <v>28</v>
      </c>
      <c r="B34" s="111" t="s">
        <v>953</v>
      </c>
      <c r="C34" s="111" t="s">
        <v>973</v>
      </c>
      <c r="D34" s="111" t="s">
        <v>984</v>
      </c>
      <c r="E34" s="113">
        <v>0</v>
      </c>
      <c r="F34" s="113">
        <v>1</v>
      </c>
      <c r="G34" s="111" t="s">
        <v>5</v>
      </c>
      <c r="H34" s="67"/>
    </row>
    <row r="35" spans="1:8" ht="111" x14ac:dyDescent="0.75">
      <c r="A35" s="111">
        <v>29</v>
      </c>
      <c r="B35" s="111" t="s">
        <v>955</v>
      </c>
      <c r="C35" s="111" t="s">
        <v>954</v>
      </c>
      <c r="D35" s="67" t="s">
        <v>985</v>
      </c>
      <c r="E35" s="10">
        <v>1</v>
      </c>
      <c r="F35" s="10">
        <v>1</v>
      </c>
      <c r="G35" s="111" t="s">
        <v>1</v>
      </c>
      <c r="H35" s="70"/>
    </row>
    <row r="36" spans="1:8" ht="74" x14ac:dyDescent="0.75">
      <c r="A36" s="109">
        <v>30</v>
      </c>
      <c r="B36" s="111" t="s">
        <v>956</v>
      </c>
      <c r="C36" s="111" t="s">
        <v>974</v>
      </c>
      <c r="D36" s="67" t="s">
        <v>986</v>
      </c>
      <c r="E36" s="10">
        <v>1</v>
      </c>
      <c r="F36" s="10">
        <v>1</v>
      </c>
      <c r="G36" s="111" t="s">
        <v>1</v>
      </c>
      <c r="H36" s="67"/>
    </row>
    <row r="37" spans="1:8" s="109" customFormat="1" ht="18.5" x14ac:dyDescent="0.75">
      <c r="A37" s="111">
        <v>31</v>
      </c>
      <c r="B37" s="111" t="s">
        <v>957</v>
      </c>
      <c r="C37" s="111" t="s">
        <v>975</v>
      </c>
      <c r="D37" s="111" t="s">
        <v>987</v>
      </c>
      <c r="E37" s="113">
        <v>0</v>
      </c>
      <c r="F37" s="113">
        <v>1</v>
      </c>
      <c r="G37" s="111" t="s">
        <v>5</v>
      </c>
      <c r="H37" s="67"/>
    </row>
    <row r="38" spans="1:8" ht="111" x14ac:dyDescent="0.75">
      <c r="A38" s="109">
        <v>32</v>
      </c>
      <c r="B38" s="111" t="s">
        <v>958</v>
      </c>
      <c r="C38" s="111" t="s">
        <v>954</v>
      </c>
      <c r="D38" s="67" t="s">
        <v>988</v>
      </c>
      <c r="E38" s="113">
        <v>1</v>
      </c>
      <c r="F38" s="113">
        <v>1</v>
      </c>
      <c r="G38" s="111" t="s">
        <v>1</v>
      </c>
      <c r="H38" s="70"/>
    </row>
    <row r="39" spans="1:8" ht="74" x14ac:dyDescent="0.75">
      <c r="A39" s="111">
        <v>33</v>
      </c>
      <c r="B39" s="111" t="s">
        <v>959</v>
      </c>
      <c r="C39" s="111" t="s">
        <v>974</v>
      </c>
      <c r="D39" s="67" t="s">
        <v>989</v>
      </c>
      <c r="E39" s="113">
        <v>1</v>
      </c>
      <c r="F39" s="113">
        <v>1</v>
      </c>
      <c r="G39" s="111" t="s">
        <v>1</v>
      </c>
      <c r="H39" s="67"/>
    </row>
    <row r="40" spans="1:8" ht="55.5" x14ac:dyDescent="0.75">
      <c r="A40" s="109">
        <v>34</v>
      </c>
      <c r="B40" s="150" t="s">
        <v>960</v>
      </c>
      <c r="C40" s="111" t="s">
        <v>976</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#dateTime</v>
      </c>
      <c r="I11" s="9"/>
    </row>
    <row r="12" spans="2:10" ht="73.7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88.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"StemCellTransplantation.gvhd"</v>
      </c>
      <c r="C16" s="112" t="str">
        <f>CONCATENATE("* differential.element[",'Sct-1'!$A21,"].path = """,'Sct-1'!$B$6,".",'Sct-1'!B21,"""")</f>
        <v>* differential.element[15].path = "StemCellTransplantation.gvhd"</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"StemCellTransplantation.gvhd.prophylaxis"</v>
      </c>
      <c r="C17" s="112" t="str">
        <f>CONCATENATE("* differential.element[",'Sct-1'!$A22,"].path = """,'Sct-1'!$B$6,".",'Sct-1'!B22,"""")</f>
        <v>* differential.element[16].path = "StemCellTransplantation.gvhd.prophylaxis"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"StemCellTransplantation.gvhd.acute"</v>
      </c>
      <c r="C18" s="112" t="str">
        <f>CONCATENATE("* differential.element[",'Sct-1'!$A23,"].path = """,'Sct-1'!$B$6,".",'Sct-1'!B23,"""")</f>
        <v>* differential.element[17].path = "StemCellTransplantation.gvhd.acute"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"StemCellTransplantation.gvhd.acute.status"</v>
      </c>
      <c r="C19" s="112" t="str">
        <f>CONCATENATE("* differential.element[",'Sct-1'!$A24,"].path = """,'Sct-1'!$B$6,".",'Sct-1'!B24,"""")</f>
        <v>* differential.element[18].path = "StemCellTransplantation.gvhd.acute.status"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"StemCellTransplantation.gvhd.acute.grade"</v>
      </c>
      <c r="C20" s="112" t="str">
        <f>CONCATENATE("* differential.element[",'Sct-1'!$A25,"].path = """,'Sct-1'!$B$6,".",'Sct-1'!B25,"""")</f>
        <v>* differential.element[19].path = "StemCellTransplantation.gvhd.acute.grade"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"StemCellTransplantation.gvhd.acute.startDate"</v>
      </c>
      <c r="C21" s="112" t="str">
        <f>CONCATENATE("* differential.element[",'Sct-1'!$A26,"].path = """,'Sct-1'!$B$6,".",'Sct-1'!B26,"""")</f>
        <v>* differential.element[20].path = "StemCellTransplantation.gvhd.acute.startDate"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"StemCellTransplantation.gvhd.acute.endDate"</v>
      </c>
      <c r="C22" s="112" t="str">
        <f>CONCATENATE("* differential.element[",'Sct-1'!$A27,"].path = """,'Sct-1'!$B$6,".",'Sct-1'!B27,"""")</f>
        <v>* differential.element[21].path = "StemCellTransplantation.gvhd.acute.endDate"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"StemCellTransplantation.gvhd.chronic"</v>
      </c>
      <c r="C23" s="112" t="str">
        <f>CONCATENATE("* differential.element[",'Sct-1'!$A28,"].path = """,'Sct-1'!$B$6,".",'Sct-1'!B28,"""")</f>
        <v>* differential.element[22].path = "StemCellTransplantation.gvhd.chronic"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"StemCellTransplantation.gvhd.chronic.status"</v>
      </c>
      <c r="C24" s="112" t="str">
        <f>CONCATENATE("* differential.element[",'Sct-1'!$A29,"].path = """,'Sct-1'!$B$6,".",'Sct-1'!B29,"""")</f>
        <v>* differential.element[23].path = "StemCellTransplantation.gvhd.chronic.status"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"StemCellTransplantation.gvhd.chronic.grade"</v>
      </c>
      <c r="C25" s="112" t="str">
        <f>CONCATENATE("* differential.element[",'Sct-1'!$A30,"].path = """,'Sct-1'!$B$6,".",'Sct-1'!B30,"""")</f>
        <v>* differential.element[24].path = "StemCellTransplantation.gvhd.chronic.grade"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"StemCellTransplantation.gvhd.chronic.startDate"</v>
      </c>
      <c r="C26" s="112" t="str">
        <f>CONCATENATE("* differential.element[",'Sct-1'!$A31,"].path = """,'Sct-1'!$B$6,".",'Sct-1'!B31,"""")</f>
        <v>* differential.element[25].path = "StemCellTransplantation.gvhd.chronic.startDate"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"StemCellTransplantation.gvhd.chronic.endDate"</v>
      </c>
      <c r="C27" s="112" t="str">
        <f>CONCATENATE("* differential.element[",'Sct-1'!$A32,"].path = """,'Sct-1'!$B$6,".",'Sct-1'!B32,"""")</f>
        <v>* differential.element[26].path = "StemCellTransplantation.gvhd.chronic.endDate"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"StemCellTransplantation.gvhd.organAffected"</v>
      </c>
      <c r="C28" s="112" t="str">
        <f>CONCATENATE("* differential.element[",'Sct-1'!$A33,"].path = """,'Sct-1'!$B$6,".",'Sct-1'!B33,"""")</f>
        <v>* differential.element[27].path = "StemCellTransplantation.gvhd.organAffected"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#dateTime</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x14ac:dyDescent="0.75">
      <c r="A124" s="2">
        <v>87</v>
      </c>
      <c r="B124" s="2">
        <f t="shared" si="2"/>
        <v>12</v>
      </c>
      <c r="C124" s="2">
        <f t="shared" si="3"/>
        <v>3</v>
      </c>
      <c r="D124" s="112" t="str" cm="1">
        <f t="array" ref="D124">INDEX('Sct-2'!$B$2:$H$41,1+B124,C124)</f>
        <v>* differential.element[13].short = "Source of cells"</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"StemCellTransplantation.gvhd"</v>
      </c>
    </row>
    <row r="137" spans="1:4" x14ac:dyDescent="0.75">
      <c r="A137" s="2">
        <v>100</v>
      </c>
      <c r="B137" s="2">
        <f t="shared" si="2"/>
        <v>14</v>
      </c>
      <c r="C137" s="2">
        <f t="shared" si="3"/>
        <v>2</v>
      </c>
      <c r="D137" s="112" t="str" cm="1">
        <f t="array" ref="D137">INDEX('Sct-2'!$B$2:$H$41,1+B137,C137)</f>
        <v>* differential.element[15].path = "StemCellTransplantation.gvhd"</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"StemCellTransplantation.gvhd.prophylaxis"</v>
      </c>
    </row>
    <row r="144" spans="1:4" x14ac:dyDescent="0.75">
      <c r="A144" s="2">
        <v>107</v>
      </c>
      <c r="B144" s="2">
        <f t="shared" si="2"/>
        <v>15</v>
      </c>
      <c r="C144" s="2">
        <f t="shared" si="3"/>
        <v>2</v>
      </c>
      <c r="D144" s="112" t="str" cm="1">
        <f t="array" ref="D144">INDEX('Sct-2'!$B$2:$H$41,1+B144,C144)</f>
        <v>* differential.element[16].path = "StemCellTransplantation.gvhd.prophylaxis"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"StemCellTransplantation.gvhd.acute"</v>
      </c>
    </row>
    <row r="151" spans="1:5" x14ac:dyDescent="0.75">
      <c r="A151" s="2">
        <v>114</v>
      </c>
      <c r="B151" s="2">
        <f t="shared" si="4"/>
        <v>16</v>
      </c>
      <c r="C151" s="2">
        <f t="shared" si="5"/>
        <v>2</v>
      </c>
      <c r="D151" s="112" t="str" cm="1">
        <f t="array" ref="D151">INDEX('Sct-2'!$B$2:$H$41,1+B151,C151)</f>
        <v>* differential.element[17].path = "StemCellTransplantation.gvhd.acute"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"StemCellTransplantation.gvhd.acute.status"</v>
      </c>
    </row>
    <row r="158" spans="1:5" x14ac:dyDescent="0.75">
      <c r="A158" s="2">
        <v>121</v>
      </c>
      <c r="B158" s="2">
        <f t="shared" si="4"/>
        <v>17</v>
      </c>
      <c r="C158" s="2">
        <f t="shared" si="5"/>
        <v>2</v>
      </c>
      <c r="D158" s="112" t="str" cm="1">
        <f t="array" ref="D158">INDEX('Sct-2'!$B$2:$H$41,1+B158,C158)</f>
        <v>* differential.element[18].path = "StemCellTransplantation.gvhd.acute.status"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"StemCellTransplantation.gvhd.acute.grade"</v>
      </c>
    </row>
    <row r="165" spans="1:4" x14ac:dyDescent="0.75">
      <c r="A165" s="2">
        <v>128</v>
      </c>
      <c r="B165" s="2">
        <f t="shared" si="6"/>
        <v>18</v>
      </c>
      <c r="C165" s="2">
        <f t="shared" si="7"/>
        <v>2</v>
      </c>
      <c r="D165" s="112" t="str" cm="1">
        <f t="array" ref="D165">INDEX('Sct-2'!$B$2:$H$41,1+B165,C165)</f>
        <v>* differential.element[19].path = "StemCellTransplantation.gvhd.acute.grade"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"StemCellTransplantation.gvhd.acute.startDate"</v>
      </c>
    </row>
    <row r="172" spans="1:4" x14ac:dyDescent="0.75">
      <c r="A172" s="2">
        <v>135</v>
      </c>
      <c r="B172" s="2">
        <f t="shared" si="6"/>
        <v>19</v>
      </c>
      <c r="C172" s="2">
        <f t="shared" si="7"/>
        <v>2</v>
      </c>
      <c r="D172" s="112" t="str" cm="1">
        <f t="array" ref="D172">INDEX('Sct-2'!$B$2:$H$41,1+B172,C172)</f>
        <v>* differential.element[20].path = "StemCellTransplantation.gvhd.acute.startDate"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"StemCellTransplantation.gvhd.acute.endDate"</v>
      </c>
    </row>
    <row r="179" spans="1:4" x14ac:dyDescent="0.75">
      <c r="A179" s="2">
        <v>142</v>
      </c>
      <c r="B179" s="2">
        <f t="shared" si="6"/>
        <v>20</v>
      </c>
      <c r="C179" s="2">
        <f t="shared" si="7"/>
        <v>2</v>
      </c>
      <c r="D179" s="112" t="str" cm="1">
        <f t="array" ref="D179">INDEX('Sct-2'!$B$2:$H$41,1+B179,C179)</f>
        <v>* differential.element[21].path = "StemCellTransplantation.gvhd.acute.endDate"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"StemCellTransplantation.gvhd.chronic"</v>
      </c>
    </row>
    <row r="186" spans="1:4" x14ac:dyDescent="0.75">
      <c r="A186" s="2">
        <v>149</v>
      </c>
      <c r="B186" s="2">
        <f t="shared" si="6"/>
        <v>21</v>
      </c>
      <c r="C186" s="2">
        <f t="shared" si="7"/>
        <v>2</v>
      </c>
      <c r="D186" s="112" t="str" cm="1">
        <f t="array" ref="D186">INDEX('Sct-2'!$B$2:$H$41,1+B186,C186)</f>
        <v>* differential.element[22].path = "StemCellTransplantation.gvhd.chronic"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"StemCellTransplantation.gvhd.chronic.status"</v>
      </c>
    </row>
    <row r="193" spans="1:4" x14ac:dyDescent="0.75">
      <c r="A193" s="2">
        <v>156</v>
      </c>
      <c r="B193" s="2">
        <f t="shared" si="8"/>
        <v>22</v>
      </c>
      <c r="C193" s="2">
        <f t="shared" si="9"/>
        <v>2</v>
      </c>
      <c r="D193" s="112" t="str" cm="1">
        <f t="array" ref="D193">INDEX('Sct-2'!$B$2:$H$41,1+B193,C193)</f>
        <v>* differential.element[23].path = "StemCellTransplantation.gvhd.chronic.status"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"StemCellTransplantation.gvhd.chronic.grade"</v>
      </c>
    </row>
    <row r="200" spans="1:4" x14ac:dyDescent="0.75">
      <c r="A200" s="2">
        <v>163</v>
      </c>
      <c r="B200" s="2">
        <f t="shared" si="8"/>
        <v>23</v>
      </c>
      <c r="C200" s="2">
        <f t="shared" si="9"/>
        <v>2</v>
      </c>
      <c r="D200" s="112" t="str" cm="1">
        <f t="array" ref="D200">INDEX('Sct-2'!$B$2:$H$41,1+B200,C200)</f>
        <v>* differential.element[24].path = "StemCellTransplantation.gvhd.chronic.grade"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"StemCellTransplantation.gvhd.chronic.startDate"</v>
      </c>
    </row>
    <row r="207" spans="1:4" x14ac:dyDescent="0.75">
      <c r="A207" s="2">
        <v>170</v>
      </c>
      <c r="B207" s="2">
        <f t="shared" si="8"/>
        <v>24</v>
      </c>
      <c r="C207" s="2">
        <f t="shared" si="9"/>
        <v>2</v>
      </c>
      <c r="D207" s="112" t="str" cm="1">
        <f t="array" ref="D207">INDEX('Sct-2'!$B$2:$H$41,1+B207,C207)</f>
        <v>* differential.element[25].path = "StemCellTransplantation.gvhd.chronic.startDate"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"StemCellTransplantation.gvhd.chronic.endDate"</v>
      </c>
    </row>
    <row r="214" spans="1:4" x14ac:dyDescent="0.75">
      <c r="A214" s="2">
        <v>177</v>
      </c>
      <c r="B214" s="2">
        <f t="shared" si="8"/>
        <v>25</v>
      </c>
      <c r="C214" s="2">
        <f t="shared" si="9"/>
        <v>2</v>
      </c>
      <c r="D214" s="112" t="str" cm="1">
        <f t="array" ref="D214">INDEX('Sct-2'!$B$2:$H$41,1+B214,C214)</f>
        <v>* differential.element[26].path = "StemCellTransplantation.gvhd.chronic.endDate"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"StemCellTransplantation.gvhd.organAffected"</v>
      </c>
    </row>
    <row r="221" spans="1:4" x14ac:dyDescent="0.75">
      <c r="A221" s="2">
        <v>184</v>
      </c>
      <c r="B221" s="2">
        <f t="shared" si="8"/>
        <v>26</v>
      </c>
      <c r="C221" s="2">
        <f t="shared" si="9"/>
        <v>2</v>
      </c>
      <c r="D221" s="112" t="str" cm="1">
        <f t="array" ref="D221">INDEX('Sct-2'!$B$2:$H$41,1+B221,C221)</f>
        <v>* differential.element[27].path = "StemCellTransplantation.gvhd.organAffected"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25" zoomScale="130" zoomScaleNormal="130" workbookViewId="0">
      <selection activeCell="D29" sqref="D29"/>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1072</v>
      </c>
      <c r="E2" s="35"/>
      <c r="G2" s="25" t="s">
        <v>38</v>
      </c>
      <c r="M2" s="44"/>
      <c r="N2" s="25" t="str">
        <f>CONCATENATE("Mapping: ",E2)</f>
        <v xml:space="preserve">Mapping: </v>
      </c>
    </row>
    <row r="3" spans="1:14" x14ac:dyDescent="0.75">
      <c r="C3" s="104" t="str">
        <f>'Sct-1'!B3</f>
        <v>Publisher</v>
      </c>
      <c r="D3" s="40"/>
      <c r="E3" s="36"/>
      <c r="G3" s="25" t="s">
        <v>1072</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963</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904</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903</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903</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59" x14ac:dyDescent="0.75">
      <c r="A11" s="26">
        <v>0</v>
      </c>
      <c r="B11" s="111">
        <f>'Sct-1'!A10</f>
        <v>4</v>
      </c>
      <c r="C11" s="111" t="str">
        <f>'Sct-1'!B10</f>
        <v>istitutionOfTreatment</v>
      </c>
      <c r="D11" s="112" t="s">
        <v>1119</v>
      </c>
      <c r="H11" s="25" t="b">
        <f t="shared" si="1"/>
        <v>1</v>
      </c>
      <c r="I11" s="1" t="str">
        <f t="shared" si="2"/>
        <v>* differential.element[4].mapping[0].identity = "fhir"</v>
      </c>
      <c r="J11" s="1" t="str">
        <f t="shared" si="3"/>
        <v>* differential.element[4].mapping[0].map = "location.resolve().conformsTo(http://hl7.eu/fhir/ig/pcsp/StructureDefinition/Location-eu-pcsp)"</v>
      </c>
      <c r="K11" s="1" t="str">
        <f t="shared" si="4"/>
        <v/>
      </c>
      <c r="M11" s="44"/>
      <c r="N11" s="25" t="str">
        <f t="shared" si="0"/>
        <v>* istitutionOfTreatment -&gt; "location.resolve().conformsTo(http://hl7.eu/fhir/ig/pcsp/StructureDefinition/Location-eu-pcsp)"</v>
      </c>
    </row>
    <row r="12" spans="1:14" ht="29.5" x14ac:dyDescent="0.75">
      <c r="A12" s="26">
        <v>0</v>
      </c>
      <c r="B12" s="111">
        <f>'Sct-1'!A11</f>
        <v>5</v>
      </c>
      <c r="C12" s="111" t="str">
        <f>'Sct-1'!B11</f>
        <v>istitutionOfTreatment.description</v>
      </c>
      <c r="D12" s="138" t="s">
        <v>899</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900</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901</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902</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1147</v>
      </c>
      <c r="H17" s="25" t="b">
        <f t="shared" si="1"/>
        <v>1</v>
      </c>
      <c r="I17" s="1" t="str">
        <f t="shared" si="2"/>
        <v>* differential.element[10].mapping[0].identity = "fhir"</v>
      </c>
      <c r="J17" s="1" t="str">
        <f t="shared" si="3"/>
        <v>* differential.element[10].mapping[0].map = ".performedDateTime"</v>
      </c>
      <c r="K17" s="1" t="str">
        <f t="shared" si="4"/>
        <v/>
      </c>
      <c r="N17" s="25" t="str">
        <f t="shared" si="0"/>
        <v>* date -&gt; ".performedDateTime"</v>
      </c>
    </row>
    <row r="18" spans="1:14" ht="29.5" x14ac:dyDescent="0.75">
      <c r="A18" s="26">
        <v>0</v>
      </c>
      <c r="B18" s="111">
        <f>'Sct-1'!A17</f>
        <v>11</v>
      </c>
      <c r="C18" s="111" t="str">
        <f>'Sct-1'!B17</f>
        <v>transplantType</v>
      </c>
      <c r="D18" s="138" t="s">
        <v>905</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1016</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1017</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1018</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gvhd</v>
      </c>
      <c r="D22" s="138" t="s">
        <v>1002</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gvhd -&gt; "Condition.conformsTo('http://hl7.eu/fhir/ig/pcsp/StructureDefinition/Condition-gvdh-eu-pcsp')"</v>
      </c>
    </row>
    <row r="23" spans="1:14" ht="88.5" x14ac:dyDescent="0.75">
      <c r="A23" s="26">
        <v>0</v>
      </c>
      <c r="B23" s="111">
        <f>'Sct-1'!A22</f>
        <v>16</v>
      </c>
      <c r="C23" s="111" t="str">
        <f>'Sct-1'!B22</f>
        <v>gvhd.prophylaxis</v>
      </c>
      <c r="D23" s="138" t="s">
        <v>1019</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gvhd.prophylaxis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gvhd.acute</v>
      </c>
      <c r="D24" s="138" t="s">
        <v>1006</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gvhd.acute -&gt; ".where(code = http://snomed.info/sct#402355000 'Acute graft-versus-host disease')"</v>
      </c>
    </row>
    <row r="25" spans="1:14" ht="59" x14ac:dyDescent="0.75">
      <c r="A25" s="26">
        <v>0</v>
      </c>
      <c r="B25" s="111">
        <f>'Sct-1'!A24</f>
        <v>18</v>
      </c>
      <c r="C25" s="111" t="str">
        <f>'Sct-1'!B24</f>
        <v>gvhd.acute.status</v>
      </c>
      <c r="D25" s="138" t="s">
        <v>1007</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gvhd.acute.status -&gt; ".where(code = http://snomed.info/sct#402355000 'Acute graft-versus-host disease').exists()"</v>
      </c>
    </row>
    <row r="26" spans="1:14" ht="29.5" x14ac:dyDescent="0.75">
      <c r="A26" s="26">
        <v>0</v>
      </c>
      <c r="B26" s="111">
        <f>'Sct-1'!A25</f>
        <v>19</v>
      </c>
      <c r="C26" s="111" t="str">
        <f>'Sct-1'!B25</f>
        <v>gvhd.acute.grade</v>
      </c>
      <c r="D26" s="138" t="s">
        <v>1003</v>
      </c>
      <c r="H26" s="25" t="b">
        <f t="shared" si="1"/>
        <v>1</v>
      </c>
      <c r="I26" s="1" t="str">
        <f t="shared" si="2"/>
        <v>* differential.element[19].mapping[0].identity = "fhir"</v>
      </c>
      <c r="J26" s="1" t="str">
        <f t="shared" si="3"/>
        <v>* differential.element[19].mapping[0].map = ".stage.summary"</v>
      </c>
      <c r="K26" s="1" t="str">
        <f t="shared" si="4"/>
        <v/>
      </c>
      <c r="N26" s="25" t="str">
        <f t="shared" si="0"/>
        <v>* gvhd.acute.grade -&gt; ".stage.summary"</v>
      </c>
    </row>
    <row r="27" spans="1:14" ht="29.5" x14ac:dyDescent="0.75">
      <c r="A27" s="26">
        <v>0</v>
      </c>
      <c r="B27" s="111">
        <f>'Sct-1'!A26</f>
        <v>20</v>
      </c>
      <c r="C27" s="111" t="str">
        <f>'Sct-1'!B26</f>
        <v>gvhd.acute.startDate</v>
      </c>
      <c r="D27" s="138" t="s">
        <v>1128</v>
      </c>
      <c r="H27" s="25" t="b">
        <f t="shared" si="1"/>
        <v>1</v>
      </c>
      <c r="I27" s="1" t="str">
        <f t="shared" si="2"/>
        <v>* differential.element[20].mapping[0].identity = "fhir"</v>
      </c>
      <c r="J27" s="1" t="str">
        <f t="shared" si="3"/>
        <v>* differential.element[20].mapping[0].map = ".onsetDateTime"</v>
      </c>
      <c r="K27" s="1" t="str">
        <f t="shared" si="4"/>
        <v/>
      </c>
      <c r="N27" s="25" t="str">
        <f t="shared" si="0"/>
        <v>* gvhd.acute.startDate -&gt; ".onsetDateTime"</v>
      </c>
    </row>
    <row r="28" spans="1:14" ht="29.5" x14ac:dyDescent="0.75">
      <c r="A28" s="26">
        <v>0</v>
      </c>
      <c r="B28" s="111">
        <f>'Sct-1'!A27</f>
        <v>21</v>
      </c>
      <c r="C28" s="111" t="str">
        <f>'Sct-1'!B27</f>
        <v>gvhd.acute.endDate</v>
      </c>
      <c r="D28" s="138" t="s">
        <v>1162</v>
      </c>
      <c r="H28" s="25" t="b">
        <f t="shared" si="1"/>
        <v>1</v>
      </c>
      <c r="I28" s="1" t="str">
        <f t="shared" si="2"/>
        <v>* differential.element[21].mapping[0].identity = "fhir"</v>
      </c>
      <c r="J28" s="1" t="str">
        <f t="shared" si="3"/>
        <v>* differential.element[21].mapping[0].map = ".abatementDateTime"</v>
      </c>
      <c r="K28" s="1" t="str">
        <f t="shared" si="4"/>
        <v/>
      </c>
      <c r="N28" s="25" t="str">
        <f t="shared" si="0"/>
        <v>* gvhd.acute.endDate -&gt; ".abatementDateTime"</v>
      </c>
    </row>
    <row r="29" spans="1:14" ht="59" x14ac:dyDescent="0.75">
      <c r="A29" s="26">
        <v>0</v>
      </c>
      <c r="B29" s="111">
        <f>'Sct-1'!A28</f>
        <v>22</v>
      </c>
      <c r="C29" s="111" t="str">
        <f>'Sct-1'!B28</f>
        <v>gvhd.chronic</v>
      </c>
      <c r="D29" s="163" t="s">
        <v>1008</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gvhd.chronic -&gt; ".where(code = http://snomed.info/sct#402356004 'Chronic graft-versus-host disease')"</v>
      </c>
    </row>
    <row r="30" spans="1:14" ht="59" x14ac:dyDescent="0.75">
      <c r="A30" s="26">
        <v>0</v>
      </c>
      <c r="B30" s="111">
        <f>'Sct-1'!A29</f>
        <v>23</v>
      </c>
      <c r="C30" s="111" t="str">
        <f>'Sct-1'!B29</f>
        <v>gvhd.chronic.status</v>
      </c>
      <c r="D30" s="138" t="s">
        <v>1009</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gvhd.chronic.status -&gt; ".where(code = http://snomed.info/sct#402356004 'Chronic graft-versus-host disease').exists()"</v>
      </c>
    </row>
    <row r="31" spans="1:14" ht="29.5" x14ac:dyDescent="0.75">
      <c r="A31" s="26">
        <v>0</v>
      </c>
      <c r="B31" s="111">
        <f>'Sct-1'!A30</f>
        <v>24</v>
      </c>
      <c r="C31" s="111" t="str">
        <f>'Sct-1'!B30</f>
        <v>gvhd.chronic.grade</v>
      </c>
      <c r="D31" s="138" t="s">
        <v>1003</v>
      </c>
      <c r="H31" s="25" t="b">
        <f t="shared" si="1"/>
        <v>1</v>
      </c>
      <c r="I31" s="1" t="str">
        <f t="shared" si="2"/>
        <v>* differential.element[24].mapping[0].identity = "fhir"</v>
      </c>
      <c r="J31" s="1" t="str">
        <f t="shared" si="3"/>
        <v>* differential.element[24].mapping[0].map = ".stage.summary"</v>
      </c>
      <c r="K31" s="1" t="str">
        <f t="shared" si="4"/>
        <v/>
      </c>
      <c r="N31" s="25" t="str">
        <f t="shared" si="0"/>
        <v>* gvhd.chronic.grade -&gt; ".stage.summary"</v>
      </c>
    </row>
    <row r="32" spans="1:14" ht="29.5" x14ac:dyDescent="0.75">
      <c r="A32" s="26">
        <v>0</v>
      </c>
      <c r="B32" s="111">
        <f>'Sct-1'!A31</f>
        <v>25</v>
      </c>
      <c r="C32" s="111" t="str">
        <f>'Sct-1'!B31</f>
        <v>gvhd.chronic.startDate</v>
      </c>
      <c r="D32" s="138" t="s">
        <v>1128</v>
      </c>
      <c r="H32" s="25" t="b">
        <f t="shared" si="1"/>
        <v>1</v>
      </c>
      <c r="I32" s="1" t="str">
        <f t="shared" si="2"/>
        <v>* differential.element[25].mapping[0].identity = "fhir"</v>
      </c>
      <c r="J32" s="1" t="str">
        <f t="shared" si="3"/>
        <v>* differential.element[25].mapping[0].map = ".onsetDateTime"</v>
      </c>
      <c r="K32" s="1" t="str">
        <f t="shared" si="4"/>
        <v/>
      </c>
      <c r="N32" s="25" t="str">
        <f t="shared" si="0"/>
        <v>* gvhd.chronic.startDate -&gt; ".onsetDateTime"</v>
      </c>
    </row>
    <row r="33" spans="1:14" ht="29.5" x14ac:dyDescent="0.75">
      <c r="A33" s="26">
        <v>0</v>
      </c>
      <c r="B33" s="111">
        <f>'Sct-1'!A32</f>
        <v>26</v>
      </c>
      <c r="C33" s="111" t="str">
        <f>'Sct-1'!B32</f>
        <v>gvhd.chronic.endDate</v>
      </c>
      <c r="D33" s="138" t="s">
        <v>1162</v>
      </c>
      <c r="H33" s="25" t="b">
        <f t="shared" si="1"/>
        <v>1</v>
      </c>
      <c r="I33" s="1" t="str">
        <f t="shared" si="2"/>
        <v>* differential.element[26].mapping[0].identity = "fhir"</v>
      </c>
      <c r="J33" s="1" t="str">
        <f t="shared" si="3"/>
        <v>* differential.element[26].mapping[0].map = ".abatementDateTime"</v>
      </c>
      <c r="K33" s="1" t="str">
        <f t="shared" si="4"/>
        <v/>
      </c>
      <c r="N33" s="25" t="str">
        <f t="shared" si="0"/>
        <v>* gvhd.chronic.endDate -&gt; ".abatementDateTime"</v>
      </c>
    </row>
    <row r="34" spans="1:14" ht="29.5" x14ac:dyDescent="0.75">
      <c r="A34" s="26">
        <v>0</v>
      </c>
      <c r="B34" s="111">
        <f>'Sct-1'!A33</f>
        <v>27</v>
      </c>
      <c r="C34" s="111" t="str">
        <f>'Sct-1'!B33</f>
        <v>gvhd.organAffected</v>
      </c>
      <c r="D34" s="138" t="s">
        <v>906</v>
      </c>
      <c r="H34" s="25" t="b">
        <f t="shared" si="1"/>
        <v>1</v>
      </c>
      <c r="I34" s="1" t="str">
        <f t="shared" si="2"/>
        <v>* differential.element[27].mapping[0].identity = "fhir"</v>
      </c>
      <c r="J34" s="1" t="str">
        <f t="shared" si="3"/>
        <v>* differential.element[27].mapping[0].map = ".bodySite"</v>
      </c>
      <c r="K34" s="1" t="str">
        <f t="shared" si="4"/>
        <v/>
      </c>
      <c r="N34" s="25" t="str">
        <f t="shared" si="0"/>
        <v>* gvhd.organAffected -&gt; ".bodySite"</v>
      </c>
    </row>
    <row r="35" spans="1:14" ht="73.75" x14ac:dyDescent="0.75">
      <c r="A35" s="26">
        <v>0</v>
      </c>
      <c r="B35" s="111">
        <f>'Sct-1'!A34</f>
        <v>28</v>
      </c>
      <c r="C35" s="111" t="str">
        <f>'Sct-1'!B34</f>
        <v>bloodBeforeTransplant</v>
      </c>
      <c r="D35" s="138" t="s">
        <v>1004</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1010</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1011</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1005</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1010</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1011</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1020</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"location.resolve().conformsTo(http://hl7.eu/fhir/ig/pcsp/StructureDefinition/Location-eu-pcsp)"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".onsetDateTime"</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".abatementDateTime"</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".onsetDateTime"</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".abatementDateTime"</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gvhd.prophylaxis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gvhd.prophylaxis -&gt; ".patient.name.family"</v>
      </c>
    </row>
    <row r="14" spans="1:14" ht="29.5" x14ac:dyDescent="0.75">
      <c r="A14" s="111">
        <v>1</v>
      </c>
      <c r="B14" s="111">
        <f>'Sct-1'!A13</f>
        <v>7</v>
      </c>
      <c r="C14" s="111" t="str">
        <f>'Sct-1'!B23</f>
        <v>gvhd.acute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gvhd.acute -&gt; ".patient.administrativeGenderCode"</v>
      </c>
    </row>
    <row r="15" spans="1:14" ht="29.5" x14ac:dyDescent="0.75">
      <c r="A15" s="111">
        <v>1</v>
      </c>
      <c r="B15" s="111">
        <f>'Sct-1'!A14</f>
        <v>8</v>
      </c>
      <c r="C15" s="111" t="str">
        <f>'Sct-1'!B25</f>
        <v>gvhd.acute.grade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gvhd.acute.grade -&gt; ".patient.birthTime"</v>
      </c>
    </row>
    <row r="16" spans="1:14" ht="29.5" x14ac:dyDescent="0.75">
      <c r="A16" s="111">
        <v>1</v>
      </c>
      <c r="B16" s="111">
        <f>'Sct-1'!A15</f>
        <v>9</v>
      </c>
      <c r="C16" s="111" t="str">
        <f>'Sct-1'!B26</f>
        <v>gvhd.acute.startDate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gvhd.acute.startDate -&gt; ".patient.birthplace"</v>
      </c>
    </row>
    <row r="17" spans="1:14" ht="29.5" x14ac:dyDescent="0.75">
      <c r="A17" s="111">
        <v>1</v>
      </c>
      <c r="B17" s="111">
        <f>'Sct-1'!A16</f>
        <v>10</v>
      </c>
      <c r="C17" s="111" t="str">
        <f>'Sct-1'!B27</f>
        <v>gvhd.acute.endDate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gvhd.acute.endDate -&gt; "ClinicalDocument.participant"</v>
      </c>
    </row>
    <row r="18" spans="1:14" ht="29.5" x14ac:dyDescent="0.75">
      <c r="A18" s="111">
        <v>1</v>
      </c>
      <c r="B18" s="111">
        <f>'Sct-1'!A17</f>
        <v>11</v>
      </c>
      <c r="C18" s="111" t="str">
        <f>'Sct-1'!B28</f>
        <v>gvhd.chronic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gvhd.chronic -&gt; ".associatedEntity.telecom"</v>
      </c>
    </row>
    <row r="19" spans="1:14" ht="29.5" x14ac:dyDescent="0.75">
      <c r="A19" s="111">
        <v>1</v>
      </c>
      <c r="B19" s="111">
        <f>'Sct-1'!A18</f>
        <v>12</v>
      </c>
      <c r="C19" s="111" t="str">
        <f>'Sct-1'!B30</f>
        <v>gvhd.chronic.grade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gvhd.chronic.grade -&gt; ".associatedEntity.telecom"</v>
      </c>
    </row>
    <row r="20" spans="1:14" x14ac:dyDescent="0.75">
      <c r="A20" s="111">
        <v>1</v>
      </c>
      <c r="B20" s="111" t="e">
        <f>'Sct-1'!#REF!</f>
        <v>#REF!</v>
      </c>
      <c r="C20" s="111" t="str">
        <f>'Sct-1'!B31</f>
        <v>gvhd.chronic.startDate</v>
      </c>
      <c r="D20" s="26"/>
      <c r="H20" s="25" t="b">
        <f t="shared" si="1"/>
        <v>0</v>
      </c>
      <c r="I20" s="1" t="str">
        <f t="shared" si="2"/>
        <v/>
      </c>
      <c r="J20" s="1" t="str">
        <f t="shared" si="3"/>
        <v/>
      </c>
      <c r="K20" s="1" t="str">
        <f t="shared" si="4"/>
        <v/>
      </c>
      <c r="N20" s="25" t="str">
        <f t="shared" si="0"/>
        <v>* gvhd.chronic.startDate -&gt; ""</v>
      </c>
    </row>
    <row r="21" spans="1:14" x14ac:dyDescent="0.75">
      <c r="A21" s="111">
        <v>1</v>
      </c>
      <c r="B21" s="111">
        <f>'Sct-1'!A19</f>
        <v>13</v>
      </c>
      <c r="C21" s="111" t="str">
        <f>'Sct-1'!B32</f>
        <v>gvhd.chronic.endDate</v>
      </c>
      <c r="D21" s="26"/>
      <c r="H21" s="25" t="b">
        <f t="shared" si="1"/>
        <v>0</v>
      </c>
      <c r="I21" s="1" t="str">
        <f t="shared" si="2"/>
        <v/>
      </c>
      <c r="J21" s="1" t="str">
        <f t="shared" si="3"/>
        <v/>
      </c>
      <c r="K21" s="1" t="str">
        <f t="shared" si="4"/>
        <v/>
      </c>
      <c r="N21" s="25" t="str">
        <f t="shared" si="0"/>
        <v>* gvhd.chronic.endDate -&gt; ""</v>
      </c>
    </row>
    <row r="22" spans="1:14" x14ac:dyDescent="0.75">
      <c r="A22" s="111">
        <v>1</v>
      </c>
      <c r="B22" s="111">
        <f>'Sct-1'!A20</f>
        <v>14</v>
      </c>
      <c r="C22" s="111" t="str">
        <f>'Sct-1'!B33</f>
        <v>gvhd.organAffected</v>
      </c>
      <c r="D22" s="111"/>
      <c r="H22" s="25" t="b">
        <f t="shared" si="1"/>
        <v>0</v>
      </c>
      <c r="I22" s="1" t="str">
        <f t="shared" si="2"/>
        <v/>
      </c>
      <c r="J22" s="1" t="str">
        <f t="shared" si="3"/>
        <v/>
      </c>
      <c r="K22" s="1" t="str">
        <f t="shared" si="4"/>
        <v/>
      </c>
      <c r="N22" s="25" t="str">
        <f t="shared" si="0"/>
        <v>* gvhd.organAffected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"location.resolve().conformsTo(http://hl7.eu/fhir/ig/pcsp/StructureDefinition/Location-eu-pcsp)"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".onsetDateTime"</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".abatementDateTime"</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".onsetDateTime"</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".abatementDateTime"</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zoomScale="115" zoomScaleNormal="115" workbookViewId="0">
      <selection activeCell="F31" sqref="F31"/>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1077</v>
      </c>
      <c r="D2" s="112" t="s">
        <v>1117</v>
      </c>
    </row>
    <row r="3" spans="1:9" x14ac:dyDescent="0.75">
      <c r="B3" s="118" t="s">
        <v>34</v>
      </c>
      <c r="C3" s="123" t="s">
        <v>36</v>
      </c>
      <c r="D3" s="56"/>
    </row>
    <row r="4" spans="1:9" ht="15.5" thickBot="1" x14ac:dyDescent="0.9">
      <c r="B4" s="119" t="s">
        <v>52</v>
      </c>
      <c r="C4" s="112" t="s">
        <v>1022</v>
      </c>
      <c r="D4" s="57"/>
    </row>
    <row r="5" spans="1:9" x14ac:dyDescent="0.75">
      <c r="B5" s="110"/>
      <c r="C5" s="3" t="s">
        <v>7</v>
      </c>
      <c r="D5" s="4" t="s">
        <v>8</v>
      </c>
      <c r="E5" s="11" t="s">
        <v>17</v>
      </c>
      <c r="F5" s="11" t="s">
        <v>18</v>
      </c>
      <c r="G5" s="11" t="s">
        <v>19</v>
      </c>
    </row>
    <row r="6" spans="1:9" x14ac:dyDescent="0.75">
      <c r="A6" s="109">
        <v>0</v>
      </c>
      <c r="B6" s="112" t="s">
        <v>1022</v>
      </c>
      <c r="C6" s="111" t="s">
        <v>63</v>
      </c>
      <c r="D6" s="111" t="s">
        <v>63</v>
      </c>
      <c r="E6" s="34">
        <v>1</v>
      </c>
      <c r="F6" s="34">
        <v>1</v>
      </c>
      <c r="G6" s="34"/>
    </row>
    <row r="7" spans="1:9" x14ac:dyDescent="0.75">
      <c r="A7" s="109">
        <v>1</v>
      </c>
      <c r="B7" s="112" t="s">
        <v>1030</v>
      </c>
      <c r="C7" s="111" t="s">
        <v>858</v>
      </c>
      <c r="D7" s="111" t="s">
        <v>858</v>
      </c>
      <c r="E7" s="111">
        <v>0</v>
      </c>
      <c r="F7" s="111" t="s">
        <v>20</v>
      </c>
      <c r="G7" s="111" t="s">
        <v>5</v>
      </c>
      <c r="H7" s="111"/>
      <c r="I7" s="111"/>
    </row>
    <row r="8" spans="1:9" ht="59" x14ac:dyDescent="0.75">
      <c r="A8" s="109">
        <v>2</v>
      </c>
      <c r="B8" s="112" t="s">
        <v>1023</v>
      </c>
      <c r="C8" s="111" t="s">
        <v>862</v>
      </c>
      <c r="D8" s="112" t="s">
        <v>861</v>
      </c>
      <c r="E8" s="111">
        <v>0</v>
      </c>
      <c r="F8" s="111">
        <v>1</v>
      </c>
      <c r="G8" s="111" t="s">
        <v>1</v>
      </c>
      <c r="H8" s="111"/>
      <c r="I8" s="111"/>
    </row>
    <row r="9" spans="1:9" x14ac:dyDescent="0.75">
      <c r="A9" s="109">
        <v>3</v>
      </c>
      <c r="B9" s="112" t="s">
        <v>1041</v>
      </c>
      <c r="C9" s="111" t="s">
        <v>1042</v>
      </c>
      <c r="D9" s="111" t="s">
        <v>1042</v>
      </c>
      <c r="E9" s="111">
        <v>0</v>
      </c>
      <c r="F9" s="111">
        <v>1</v>
      </c>
      <c r="G9" s="111" t="s">
        <v>3</v>
      </c>
      <c r="H9" s="111"/>
      <c r="I9" s="111"/>
    </row>
    <row r="10" spans="1:9" ht="59" x14ac:dyDescent="0.75">
      <c r="A10" s="109">
        <v>4</v>
      </c>
      <c r="B10" s="112" t="s">
        <v>1024</v>
      </c>
      <c r="C10" s="111" t="s">
        <v>859</v>
      </c>
      <c r="D10" s="112" t="s">
        <v>860</v>
      </c>
      <c r="E10" s="111">
        <v>0</v>
      </c>
      <c r="F10" s="111">
        <v>1</v>
      </c>
      <c r="G10" s="111" t="s">
        <v>3</v>
      </c>
      <c r="H10" s="111"/>
      <c r="I10" s="111"/>
    </row>
    <row r="11" spans="1:9" x14ac:dyDescent="0.75">
      <c r="A11" s="109">
        <v>5</v>
      </c>
      <c r="B11" s="112" t="s">
        <v>1025</v>
      </c>
      <c r="C11" s="115" t="s">
        <v>870</v>
      </c>
      <c r="D11" s="111" t="s">
        <v>250</v>
      </c>
      <c r="E11" s="111">
        <v>0</v>
      </c>
      <c r="F11" s="111">
        <v>1</v>
      </c>
      <c r="G11" s="111" t="s">
        <v>3</v>
      </c>
      <c r="H11" s="111"/>
      <c r="I11" s="111"/>
    </row>
    <row r="12" spans="1:9" ht="44.25" x14ac:dyDescent="0.75">
      <c r="A12" s="109">
        <v>6</v>
      </c>
      <c r="B12" s="112" t="s">
        <v>1102</v>
      </c>
      <c r="C12" s="111" t="s">
        <v>1097</v>
      </c>
      <c r="D12" s="112" t="s">
        <v>1098</v>
      </c>
      <c r="E12" s="111">
        <v>0</v>
      </c>
      <c r="F12" s="111">
        <v>1</v>
      </c>
      <c r="G12" s="111" t="s">
        <v>2</v>
      </c>
      <c r="H12" s="111"/>
      <c r="I12" s="111"/>
    </row>
    <row r="13" spans="1:9" x14ac:dyDescent="0.75">
      <c r="A13" s="109">
        <v>7</v>
      </c>
      <c r="B13" s="112" t="s">
        <v>1026</v>
      </c>
      <c r="C13" s="115" t="s">
        <v>863</v>
      </c>
      <c r="D13" s="115" t="s">
        <v>863</v>
      </c>
      <c r="E13" s="111">
        <v>0</v>
      </c>
      <c r="F13" s="111">
        <v>1</v>
      </c>
      <c r="G13" s="111" t="s">
        <v>1</v>
      </c>
      <c r="H13" s="111"/>
      <c r="I13" s="111"/>
    </row>
    <row r="14" spans="1:9" x14ac:dyDescent="0.75">
      <c r="A14" s="109">
        <v>8</v>
      </c>
      <c r="B14" s="112" t="s">
        <v>1027</v>
      </c>
      <c r="C14" s="115" t="s">
        <v>864</v>
      </c>
      <c r="D14" s="115" t="s">
        <v>864</v>
      </c>
      <c r="E14" s="111">
        <v>0</v>
      </c>
      <c r="F14" s="111">
        <v>1</v>
      </c>
      <c r="G14" s="111" t="s">
        <v>1</v>
      </c>
      <c r="H14" s="111"/>
      <c r="I14" s="111"/>
    </row>
    <row r="15" spans="1:9" x14ac:dyDescent="0.75">
      <c r="A15" s="109">
        <v>9</v>
      </c>
      <c r="B15" s="112" t="s">
        <v>1028</v>
      </c>
      <c r="C15" s="115" t="s">
        <v>871</v>
      </c>
      <c r="D15" s="115" t="s">
        <v>871</v>
      </c>
      <c r="E15" s="111">
        <v>0</v>
      </c>
      <c r="F15" s="111">
        <v>1</v>
      </c>
      <c r="G15" s="111" t="s">
        <v>1</v>
      </c>
      <c r="H15" s="111"/>
      <c r="I15" s="111"/>
    </row>
    <row r="16" spans="1:9" x14ac:dyDescent="0.75">
      <c r="A16" s="109">
        <v>10</v>
      </c>
      <c r="B16" s="112" t="s">
        <v>1029</v>
      </c>
      <c r="C16" s="115" t="s">
        <v>865</v>
      </c>
      <c r="D16" s="115" t="s">
        <v>865</v>
      </c>
      <c r="E16" s="111">
        <v>0</v>
      </c>
      <c r="F16" s="111">
        <v>1</v>
      </c>
      <c r="G16" s="111" t="s">
        <v>1</v>
      </c>
      <c r="H16" s="111"/>
      <c r="I16" s="111"/>
    </row>
    <row r="17" spans="1:9" x14ac:dyDescent="0.75">
      <c r="A17" s="109">
        <v>11</v>
      </c>
      <c r="B17" s="112" t="s">
        <v>1092</v>
      </c>
      <c r="C17" s="115" t="s">
        <v>1093</v>
      </c>
      <c r="D17" s="115" t="s">
        <v>1093</v>
      </c>
      <c r="E17" s="111">
        <v>0</v>
      </c>
      <c r="F17" s="111">
        <v>1</v>
      </c>
      <c r="G17" s="111" t="s">
        <v>5</v>
      </c>
      <c r="H17" s="111"/>
      <c r="I17" s="111"/>
    </row>
    <row r="18" spans="1:9" x14ac:dyDescent="0.75">
      <c r="A18" s="109">
        <v>12</v>
      </c>
      <c r="B18" s="112" t="s">
        <v>1099</v>
      </c>
      <c r="C18" s="112" t="s">
        <v>866</v>
      </c>
      <c r="D18" s="112" t="s">
        <v>866</v>
      </c>
      <c r="E18" s="111">
        <v>0</v>
      </c>
      <c r="F18" s="111">
        <v>1</v>
      </c>
      <c r="G18" s="111" t="s">
        <v>5</v>
      </c>
      <c r="H18" s="111"/>
      <c r="I18" s="111"/>
    </row>
    <row r="19" spans="1:9" x14ac:dyDescent="0.75">
      <c r="A19" s="109">
        <v>13</v>
      </c>
      <c r="B19" s="112" t="s">
        <v>1100</v>
      </c>
      <c r="C19" s="112" t="s">
        <v>867</v>
      </c>
      <c r="D19" s="112" t="s">
        <v>867</v>
      </c>
      <c r="E19" s="111">
        <v>1</v>
      </c>
      <c r="F19" s="111">
        <v>1</v>
      </c>
      <c r="G19" s="111" t="s">
        <v>2</v>
      </c>
      <c r="I19" s="111"/>
    </row>
    <row r="20" spans="1:9" x14ac:dyDescent="0.75">
      <c r="A20" s="109">
        <v>14</v>
      </c>
      <c r="B20" s="112" t="s">
        <v>1101</v>
      </c>
      <c r="C20" s="112" t="s">
        <v>868</v>
      </c>
      <c r="D20" s="112" t="s">
        <v>868</v>
      </c>
      <c r="E20" s="111">
        <v>1</v>
      </c>
      <c r="F20" s="111">
        <v>1</v>
      </c>
      <c r="G20" s="111" t="s">
        <v>1</v>
      </c>
      <c r="H20" s="111"/>
      <c r="I20" s="111"/>
    </row>
    <row r="21" spans="1:9" x14ac:dyDescent="0.75">
      <c r="A21" s="109">
        <v>15</v>
      </c>
      <c r="B21" s="112" t="s">
        <v>1094</v>
      </c>
      <c r="C21" s="111" t="s">
        <v>872</v>
      </c>
      <c r="D21" s="111" t="s">
        <v>872</v>
      </c>
      <c r="E21" s="111">
        <v>0</v>
      </c>
      <c r="F21" s="111">
        <v>1</v>
      </c>
      <c r="G21" s="111" t="s">
        <v>1</v>
      </c>
      <c r="H21" s="111"/>
      <c r="I21" s="111"/>
    </row>
    <row r="22" spans="1:9" ht="29.5" x14ac:dyDescent="0.75">
      <c r="A22" s="109">
        <v>16</v>
      </c>
      <c r="B22" s="112" t="s">
        <v>1095</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73.7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88.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73.7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ht="59"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ht="29.5"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4" zoomScale="115" zoomScaleNormal="115" workbookViewId="0">
      <selection activeCell="D14" sqref="D14"/>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1072</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1040</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1031</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1096</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1043</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1044</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1045</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".extension('http://hl7.eu/fhir/ig/pcsp/StructureDefinition/procedure-fltArm').valueString"</v>
      </c>
    </row>
    <row r="13" spans="1:14" ht="44.25" x14ac:dyDescent="0.75">
      <c r="A13" s="111">
        <v>0</v>
      </c>
      <c r="B13" s="111">
        <f>'Flt-1'!A11</f>
        <v>5</v>
      </c>
      <c r="C13" s="112" t="str">
        <f>'Flt-1'!B11</f>
        <v>followedProtocol.arm</v>
      </c>
      <c r="D13" s="112" t="s">
        <v>1146</v>
      </c>
      <c r="H13" s="109" t="b">
        <f t="shared" si="0"/>
        <v>1</v>
      </c>
      <c r="I13" s="110" t="str">
        <f t="shared" si="1"/>
        <v>* differential.element[5].mapping[0].identity = "fhir"</v>
      </c>
      <c r="J13" s="110" t="str">
        <f t="shared" si="2"/>
        <v>* differential.element[5].mapping[0].map = ".extension('http://hl7.eu/fhir/ig/pcsp/StructureDefinition/procedure-fltArm').valueString"</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1032</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1036</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1037</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1038</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1039</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1033</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1034</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1035</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162.25" x14ac:dyDescent="0.75">
      <c r="A23" s="111">
        <v>0</v>
      </c>
      <c r="B23" s="111">
        <f>'Flt-1'!A21</f>
        <v>15</v>
      </c>
      <c r="C23" s="112" t="str">
        <f>'Flt-1'!B21</f>
        <v>notForRelapse.isProgressionRelapseDuringFLT</v>
      </c>
      <c r="D23" s="112" t="s">
        <v>1113</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162.25" x14ac:dyDescent="0.75">
      <c r="A24" s="111">
        <v>0</v>
      </c>
      <c r="B24" s="111">
        <f>'Flt-1'!A22</f>
        <v>16</v>
      </c>
      <c r="C24" s="112" t="str">
        <f>'Flt-1'!B22</f>
        <v>notForRelapse.isProgressionRelapseAfterFLT</v>
      </c>
      <c r="D24" s="112" t="s">
        <v>1114</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".extension('http://hl7.eu/fhir/ig/pcsp/StructureDefinition/procedure-fltArm').valueString"</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".extension('http://hl7.eu/fhir/ig/pcsp/StructureDefinition/procedure-fltArm').valueString"</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D3" sqref="D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1118</v>
      </c>
    </row>
    <row r="3" spans="1:9" x14ac:dyDescent="0.75">
      <c r="B3" s="118" t="s">
        <v>34</v>
      </c>
      <c r="C3" s="123" t="s">
        <v>36</v>
      </c>
      <c r="D3" s="56"/>
    </row>
    <row r="4" spans="1:9" ht="15.5" thickBot="1" x14ac:dyDescent="0.9">
      <c r="B4" s="119" t="s">
        <v>52</v>
      </c>
      <c r="C4" s="124" t="s">
        <v>1048</v>
      </c>
      <c r="D4" s="57"/>
    </row>
    <row r="5" spans="1:9" x14ac:dyDescent="0.75">
      <c r="C5" s="3" t="s">
        <v>7</v>
      </c>
      <c r="D5" s="4" t="s">
        <v>8</v>
      </c>
      <c r="E5" s="11" t="s">
        <v>17</v>
      </c>
      <c r="F5" s="11" t="s">
        <v>18</v>
      </c>
      <c r="G5" s="11" t="s">
        <v>19</v>
      </c>
      <c r="H5" s="177" t="s">
        <v>888</v>
      </c>
      <c r="I5" s="177"/>
    </row>
    <row r="6" spans="1:9" ht="15.5" thickBot="1" x14ac:dyDescent="0.9">
      <c r="A6" s="109">
        <v>0</v>
      </c>
      <c r="B6" s="124" t="s">
        <v>1048</v>
      </c>
      <c r="C6" s="16" t="s">
        <v>66</v>
      </c>
      <c r="D6" s="16" t="s">
        <v>66</v>
      </c>
      <c r="E6" s="34">
        <v>1</v>
      </c>
      <c r="F6" s="34">
        <v>1</v>
      </c>
      <c r="G6" s="34"/>
    </row>
    <row r="7" spans="1:9" x14ac:dyDescent="0.75">
      <c r="A7" s="109">
        <v>1</v>
      </c>
      <c r="B7" s="111" t="s">
        <v>35</v>
      </c>
      <c r="C7" s="112" t="s">
        <v>1057</v>
      </c>
      <c r="D7" s="112" t="s">
        <v>1057</v>
      </c>
      <c r="E7" s="111">
        <v>0</v>
      </c>
      <c r="F7" s="111">
        <v>1</v>
      </c>
      <c r="G7" s="111" t="s">
        <v>0</v>
      </c>
      <c r="H7" s="111"/>
      <c r="I7" s="111"/>
    </row>
    <row r="8" spans="1:9" x14ac:dyDescent="0.75">
      <c r="A8" s="109">
        <v>2</v>
      </c>
      <c r="B8" s="48" t="s">
        <v>896</v>
      </c>
      <c r="C8" s="138" t="s">
        <v>1049</v>
      </c>
      <c r="D8" s="112" t="s">
        <v>1049</v>
      </c>
      <c r="E8" s="111">
        <v>0</v>
      </c>
      <c r="F8" s="111">
        <v>1</v>
      </c>
      <c r="G8" s="111" t="s">
        <v>0</v>
      </c>
      <c r="H8" s="111"/>
      <c r="I8" s="111"/>
    </row>
    <row r="9" spans="1:9" ht="29.5" x14ac:dyDescent="0.75">
      <c r="A9" s="109">
        <v>4</v>
      </c>
      <c r="B9" s="48" t="s">
        <v>4</v>
      </c>
      <c r="C9" s="138" t="s">
        <v>1078</v>
      </c>
      <c r="D9" s="112" t="s">
        <v>715</v>
      </c>
      <c r="E9" s="111">
        <v>0</v>
      </c>
      <c r="F9" s="111">
        <v>1</v>
      </c>
      <c r="G9" s="111" t="s">
        <v>2</v>
      </c>
      <c r="H9" s="111"/>
      <c r="I9" s="111"/>
    </row>
    <row r="10" spans="1:9" ht="59" x14ac:dyDescent="0.75">
      <c r="A10" s="109">
        <v>3</v>
      </c>
      <c r="B10" s="48" t="s">
        <v>47</v>
      </c>
      <c r="C10" s="138" t="s">
        <v>1052</v>
      </c>
      <c r="D10" s="112" t="s">
        <v>1046</v>
      </c>
      <c r="E10" s="111">
        <v>0</v>
      </c>
      <c r="F10" s="111">
        <v>1</v>
      </c>
      <c r="G10" s="111" t="s">
        <v>1</v>
      </c>
      <c r="H10" s="111"/>
      <c r="I10" s="111"/>
    </row>
    <row r="11" spans="1:9" x14ac:dyDescent="0.75">
      <c r="A11" s="109">
        <v>5</v>
      </c>
      <c r="B11" s="138" t="s">
        <v>1051</v>
      </c>
      <c r="C11" s="138" t="s">
        <v>1050</v>
      </c>
      <c r="D11" s="112" t="s">
        <v>1047</v>
      </c>
      <c r="E11" s="111">
        <v>0</v>
      </c>
      <c r="F11" s="111">
        <v>1</v>
      </c>
      <c r="G11" s="111" t="s">
        <v>1</v>
      </c>
      <c r="H11" s="111"/>
      <c r="I11" s="111"/>
    </row>
    <row r="12" spans="1:9" x14ac:dyDescent="0.75">
      <c r="A12" s="109">
        <v>6</v>
      </c>
      <c r="B12" s="138" t="s">
        <v>1053</v>
      </c>
      <c r="C12" s="138" t="s">
        <v>721</v>
      </c>
      <c r="D12" s="112" t="s">
        <v>1088</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59"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73.75"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Maturity Level: 2 - Ready for Review"</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Maturity Level: 2 - Ready for Review"</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ht="29.5"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ht="59"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D7" sqref="D7"/>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162.25" x14ac:dyDescent="0.75">
      <c r="A7" s="111">
        <v>0</v>
      </c>
      <c r="B7" s="111">
        <f>'RelFlt-1'!A6</f>
        <v>0</v>
      </c>
      <c r="C7" s="24" t="str">
        <f>'RelFlt-1'!B6</f>
        <v>RelapseDuringFLT</v>
      </c>
      <c r="D7" s="13" t="s">
        <v>1115</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904</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1054</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1055</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1056</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1116</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1112</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909</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905</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910</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906</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908</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907</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2022-11-03T17:45:26Z</dcterms:modified>
</cp:coreProperties>
</file>