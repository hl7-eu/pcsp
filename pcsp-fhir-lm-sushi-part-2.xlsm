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hl7.eu.fhir.pcsp/"/>
    </mc:Choice>
  </mc:AlternateContent>
  <xr:revisionPtr revIDLastSave="257" documentId="13_ncr:1_{35F6F3BB-DF8C-4F96-925C-80ED1ADC15CF}" xr6:coauthVersionLast="47" xr6:coauthVersionMax="47" xr10:uidLastSave="{74176D07-7059-4902-99A4-C00B6A04CAEE}"/>
  <bookViews>
    <workbookView xWindow="-90" yWindow="-21710" windowWidth="38620" windowHeight="21100" tabRatio="819" activeTab="1" xr2:uid="{82F0A5E9-86C8-45A2-AB20-6CF6AA2FD42B}"/>
  </bookViews>
  <sheets>
    <sheet name="VariablesList" sheetId="70" r:id="rId1"/>
    <sheet name="Common" sheetId="59" r:id="rId2"/>
    <sheet name="Oth-1" sheetId="8" r:id="rId3"/>
    <sheet name="Oth-2" sheetId="9" r:id="rId4"/>
    <sheet name="Oth-3" sheetId="10" r:id="rId5"/>
    <sheet name="Oth-Map-1" sheetId="105" r:id="rId6"/>
    <sheet name="Oth-Map-2" sheetId="106" r:id="rId7"/>
    <sheet name="Oth-Map-2-all" sheetId="109" r:id="rId8"/>
    <sheet name="Surg-1" sheetId="94" r:id="rId9"/>
    <sheet name="Surg-2" sheetId="95" r:id="rId10"/>
    <sheet name="Surg-3" sheetId="96" r:id="rId11"/>
    <sheet name="Surg-Map-1" sheetId="97" r:id="rId12"/>
    <sheet name="Surg-Map-2" sheetId="98" r:id="rId13"/>
    <sheet name="Surg-Map2-1" sheetId="99" r:id="rId14"/>
    <sheet name="Surg-Map2-2" sheetId="100" r:id="rId15"/>
    <sheet name="Surg-Map-all" sheetId="101" r:id="rId16"/>
    <sheet name="Sct-1" sheetId="12" r:id="rId17"/>
    <sheet name="Sct-2" sheetId="13" r:id="rId18"/>
    <sheet name="Sct-3" sheetId="14" r:id="rId19"/>
    <sheet name="Sct-Map-1" sheetId="33" r:id="rId20"/>
    <sheet name="Sct-Map-2" sheetId="34" r:id="rId21"/>
    <sheet name="Sct-Map2-1" sheetId="71" r:id="rId22"/>
    <sheet name="Sct-Map2-2" sheetId="72" r:id="rId23"/>
    <sheet name="Sct-Map-all" sheetId="73" r:id="rId24"/>
    <sheet name="Flt-1" sheetId="74" r:id="rId25"/>
    <sheet name="Flt-2" sheetId="75" r:id="rId26"/>
    <sheet name="Flt-3" sheetId="76" r:id="rId27"/>
    <sheet name="Flt-Map-1" sheetId="77" r:id="rId28"/>
    <sheet name="Flt-Map-2" sheetId="78" r:id="rId29"/>
    <sheet name="Flt-Map2-1" sheetId="79" r:id="rId30"/>
    <sheet name="Flt-Map2-2" sheetId="80" r:id="rId31"/>
    <sheet name="Flt-Map-all" sheetId="81" r:id="rId32"/>
    <sheet name="RelFlt-1" sheetId="89" r:id="rId33"/>
    <sheet name="RelFlt-2" sheetId="90" r:id="rId34"/>
    <sheet name="RelFlt-3" sheetId="91" r:id="rId35"/>
    <sheet name="RelFlt-Map-1" sheetId="92" r:id="rId36"/>
    <sheet name="RelFlt-Map-2" sheetId="93" r:id="rId37"/>
    <sheet name="RelFlt-Map2-1" sheetId="102" r:id="rId38"/>
    <sheet name="RelFlt-Map2-2" sheetId="103" r:id="rId39"/>
    <sheet name="RelFlt-Map-all" sheetId="104" r:id="rId40"/>
  </sheets>
  <definedNames>
    <definedName name="_xlnm._FilterDatabase" localSheetId="32" hidden="1">'RelFlt-1'!$A$5:$I$32</definedName>
    <definedName name="_xlnm._FilterDatabase" localSheetId="0" hidden="1">VariablesList!$C$1:$K$254</definedName>
    <definedName name="ImmunizationRecommendation.recommendation.supportingPatientInformation" localSheetId="35">'RelFlt-Map-1'!#REF!</definedName>
    <definedName name="MedicationStatement.medication_x_" localSheetId="27">'Flt-Map-1'!$D$27</definedName>
    <definedName name="PatientRole" localSheetId="29">'Flt-Map2-1'!$D$8</definedName>
    <definedName name="PatientRole" localSheetId="37">'RelFlt-Map2-1'!$D$8</definedName>
    <definedName name="PatientRole" localSheetId="21">'Sct-Map2-1'!$D$8</definedName>
    <definedName name="PatientRole" localSheetId="13">'Surg-Map2-1'!$D$8</definedName>
    <definedName name="PatientRole.addr" localSheetId="29">'Flt-Map2-1'!$D$13</definedName>
    <definedName name="PatientRole.addr" localSheetId="37">'RelFlt-Map2-1'!$D$13</definedName>
    <definedName name="PatientRole.addr" localSheetId="21">'Sct-Map2-1'!$D$13</definedName>
    <definedName name="PatientRole.addr" localSheetId="13">'Surg-Map2-1'!$D$13</definedName>
    <definedName name="PatientRole.classCode" localSheetId="29">'Flt-Map2-1'!$D$9</definedName>
    <definedName name="PatientRole.classCode" localSheetId="37">'RelFlt-Map2-1'!$D$9</definedName>
    <definedName name="PatientRole.classCode" localSheetId="21">'Sct-Map2-1'!$D$9</definedName>
    <definedName name="PatientRole.classCode" localSheetId="13">'Surg-Map2-1'!$D$9</definedName>
    <definedName name="PatientRole.identifiedBy" localSheetId="29">'Flt-Map2-1'!$D$12</definedName>
    <definedName name="PatientRole.identifiedBy" localSheetId="37">'RelFlt-Map2-1'!$D$12</definedName>
    <definedName name="PatientRole.identifiedBy" localSheetId="21">'Sct-Map2-1'!$D$12</definedName>
    <definedName name="PatientRole.identifiedBy" localSheetId="13">'Surg-Map2-1'!$D$12</definedName>
    <definedName name="PatientRole.patient" localSheetId="29">'Flt-Map2-1'!$D$15</definedName>
    <definedName name="PatientRole.patient" localSheetId="37">'RelFlt-Map2-1'!$D$15</definedName>
    <definedName name="PatientRole.patient" localSheetId="21">'Sct-Map2-1'!$D$15</definedName>
    <definedName name="PatientRole.patient" localSheetId="13">'Surg-Map2-1'!$D$15</definedName>
    <definedName name="PatientRole.providerOrganization" localSheetId="29">'Flt-Map2-1'!$D$16</definedName>
    <definedName name="PatientRole.providerOrganization" localSheetId="37">'RelFlt-Map2-1'!$D$16</definedName>
    <definedName name="PatientRole.providerOrganization" localSheetId="21">'Sct-Map2-1'!$D$16</definedName>
    <definedName name="PatientRole.providerOrganization" localSheetId="13">'Surg-Map2-1'!$D$16</definedName>
    <definedName name="PatientRole.telecom" localSheetId="29">'Flt-Map2-1'!$D$14</definedName>
    <definedName name="PatientRole.telecom" localSheetId="37">'RelFlt-Map2-1'!$D$14</definedName>
    <definedName name="PatientRole.telecom" localSheetId="21">'Sct-Map2-1'!$D$14</definedName>
    <definedName name="PatientRole.telecom" localSheetId="13">'Surg-Map2-1'!$D$14</definedName>
    <definedName name="PatientRole.templateId" localSheetId="29">'Flt-Map2-1'!$D$11</definedName>
    <definedName name="PatientRole.templateId" localSheetId="37">'RelFlt-Map2-1'!$D$11</definedName>
    <definedName name="PatientRole.templateId" localSheetId="21">'Sct-Map2-1'!$D$11</definedName>
    <definedName name="PatientRole.templateId" localSheetId="13">'Surg-Map2-1'!$D$11</definedName>
    <definedName name="Product.code.medicinalProductCode" localSheetId="2">'Oth-1'!#REF!</definedName>
    <definedName name="Product.code.medicinalProductCode" localSheetId="32">'RelFlt-1'!#REF!</definedName>
    <definedName name="Product.code.MPID" localSheetId="2">'Oth-1'!#REF!</definedName>
    <definedName name="Product.code.MPID" localSheetId="32">'RelFlt-1'!#REF!</definedName>
    <definedName name="Product.code.packagedProductCode" localSheetId="2">'Oth-1'!#REF!</definedName>
    <definedName name="Product.code.packagedProductCode" localSheetId="32">'RelFlt-1'!#REF!</definedName>
    <definedName name="Product.code.PCID" localSheetId="2">'Oth-1'!#REF!</definedName>
    <definedName name="Product.code.PCID" localSheetId="32">'RelFlt-1'!#REF!</definedName>
    <definedName name="Product.code.pharmaceuticalProductCode" localSheetId="2">'Oth-1'!#REF!</definedName>
    <definedName name="Product.code.pharmaceuticalProductCode" localSheetId="32">'RelFlt-1'!#REF!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E203" i="59"/>
  <c r="E204" i="59"/>
  <c r="E205" i="59"/>
  <c r="E206" i="59"/>
  <c r="E207" i="59"/>
  <c r="E208" i="59"/>
  <c r="E209" i="59"/>
  <c r="E210" i="59"/>
  <c r="E211" i="59"/>
  <c r="E212" i="59"/>
  <c r="E213" i="59"/>
  <c r="E214" i="59"/>
  <c r="E215" i="59"/>
  <c r="E216" i="59"/>
  <c r="E217" i="59"/>
  <c r="E218" i="59"/>
  <c r="E219" i="59"/>
  <c r="E220" i="59"/>
  <c r="E221" i="59"/>
  <c r="E222" i="59"/>
  <c r="E223" i="59"/>
  <c r="E224" i="59"/>
  <c r="E225" i="59"/>
  <c r="E226" i="59"/>
  <c r="E227" i="59"/>
  <c r="E228" i="59"/>
  <c r="E229" i="59"/>
  <c r="E230" i="59"/>
  <c r="E231" i="59"/>
  <c r="E1" i="59"/>
  <c r="D20" i="96"/>
  <c r="D19" i="96"/>
  <c r="D18" i="96"/>
  <c r="D20" i="10"/>
  <c r="D19" i="10"/>
  <c r="D18" i="10"/>
  <c r="D36" i="10" a="1"/>
  <c r="D36" i="10" s="1"/>
  <c r="D37" i="10" a="1"/>
  <c r="D37" i="10" s="1"/>
  <c r="D38" i="10" a="1"/>
  <c r="D38" i="10" s="1"/>
  <c r="D39" i="10" a="1"/>
  <c r="D39" i="10" s="1"/>
  <c r="D40" i="10" a="1"/>
  <c r="D40" i="10" s="1"/>
  <c r="D41" i="10" a="1"/>
  <c r="D41" i="10" s="1"/>
  <c r="D42" i="10" a="1"/>
  <c r="D42" i="10" s="1"/>
  <c r="D43" i="10" a="1"/>
  <c r="D43" i="10" s="1"/>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63" i="10" a="1"/>
  <c r="D63" i="10" s="1"/>
  <c r="D64" i="10" a="1"/>
  <c r="D64" i="10" s="1"/>
  <c r="D65" i="10" a="1"/>
  <c r="D65" i="10" s="1"/>
  <c r="D67" i="10" a="1"/>
  <c r="D67" i="10" s="1"/>
  <c r="D68" i="10" a="1"/>
  <c r="D68" i="10" s="1"/>
  <c r="D69" i="10" a="1"/>
  <c r="D69" i="10" s="1"/>
  <c r="D76" i="10" a="1"/>
  <c r="D76" i="10" s="1"/>
  <c r="D84" i="10" a="1"/>
  <c r="D84" i="10" s="1"/>
  <c r="D92" i="10" a="1"/>
  <c r="D92" i="10" s="1"/>
  <c r="D107" i="10" a="1"/>
  <c r="D107" i="10" s="1"/>
  <c r="D115" i="10" a="1"/>
  <c r="D115" i="10" s="1"/>
  <c r="D123" i="10" a="1"/>
  <c r="D123" i="10" s="1"/>
  <c r="D131" i="10" a="1"/>
  <c r="D131" i="10" s="1"/>
  <c r="D139" i="10" a="1"/>
  <c r="D139" i="10" s="1"/>
  <c r="D146" i="10" a="1"/>
  <c r="D146" i="10" s="1"/>
  <c r="D154" i="10" a="1"/>
  <c r="D154" i="10" s="1"/>
  <c r="D172" i="10" a="1"/>
  <c r="D172" i="10" s="1"/>
  <c r="D180" i="10" a="1"/>
  <c r="D180" i="10" s="1"/>
  <c r="D188" i="10" a="1"/>
  <c r="D188" i="10" s="1"/>
  <c r="D195" i="10" a="1"/>
  <c r="D195" i="10" s="1"/>
  <c r="D203" i="10" a="1"/>
  <c r="D203" i="10" s="1"/>
  <c r="D211" i="10" a="1"/>
  <c r="D211" i="10" s="1"/>
  <c r="D219" i="10" a="1"/>
  <c r="D219" i="10" s="1"/>
  <c r="D227" i="10" a="1"/>
  <c r="D227" i="10" s="1"/>
  <c r="D235" i="10" a="1"/>
  <c r="D235"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C3" i="9"/>
  <c r="D3" i="9"/>
  <c r="E3" i="9"/>
  <c r="F3" i="9"/>
  <c r="G3" i="9"/>
  <c r="H3" i="9"/>
  <c r="B4" i="9"/>
  <c r="C4" i="9"/>
  <c r="D4" i="9"/>
  <c r="E4" i="9"/>
  <c r="F4" i="9"/>
  <c r="G4" i="9"/>
  <c r="H4" i="9"/>
  <c r="B5" i="9"/>
  <c r="C5" i="9"/>
  <c r="D5" i="9"/>
  <c r="E5" i="9"/>
  <c r="F5" i="9"/>
  <c r="G5" i="9"/>
  <c r="H5" i="9"/>
  <c r="B6" i="9"/>
  <c r="C6" i="9"/>
  <c r="D6" i="9"/>
  <c r="E6" i="9"/>
  <c r="D66" i="10" s="1" a="1"/>
  <c r="D66" i="10" s="1"/>
  <c r="F6" i="9"/>
  <c r="G6" i="9"/>
  <c r="H6" i="9"/>
  <c r="B7" i="9"/>
  <c r="D70" i="10" s="1" a="1"/>
  <c r="D70" i="10" s="1"/>
  <c r="C7" i="9"/>
  <c r="D71" i="10" s="1" a="1"/>
  <c r="D71" i="10" s="1"/>
  <c r="D7" i="9"/>
  <c r="D72" i="10" s="1" a="1"/>
  <c r="D72" i="10" s="1"/>
  <c r="E7" i="9"/>
  <c r="D73" i="10" s="1" a="1"/>
  <c r="D73" i="10" s="1"/>
  <c r="F7" i="9"/>
  <c r="D74" i="10" s="1" a="1"/>
  <c r="D74" i="10" s="1"/>
  <c r="G7" i="9"/>
  <c r="D75" i="10" s="1" a="1"/>
  <c r="D75" i="10" s="1"/>
  <c r="H7" i="9"/>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10" i="9"/>
  <c r="D93" i="10" s="1" a="1"/>
  <c r="D93" i="10" s="1"/>
  <c r="E10" i="9"/>
  <c r="D94" i="10" s="1" a="1"/>
  <c r="D94" i="10" s="1"/>
  <c r="F10" i="9"/>
  <c r="D95" i="10" s="1" a="1"/>
  <c r="D95" i="10" s="1"/>
  <c r="G10" i="9"/>
  <c r="D96" i="10" s="1" a="1"/>
  <c r="D96" i="10" s="1"/>
  <c r="H10" i="9"/>
  <c r="D97" i="10" s="1" a="1"/>
  <c r="D97" i="10" s="1"/>
  <c r="B11" i="9"/>
  <c r="D98" i="10" s="1" a="1"/>
  <c r="D98" i="10" s="1"/>
  <c r="C11" i="9"/>
  <c r="D99" i="10" s="1" a="1"/>
  <c r="D99" i="10" s="1"/>
  <c r="D11" i="9"/>
  <c r="D100" i="10" s="1" a="1"/>
  <c r="D100" i="10" s="1"/>
  <c r="E11" i="9"/>
  <c r="D101" i="10" s="1" a="1"/>
  <c r="D101" i="10" s="1"/>
  <c r="F11" i="9"/>
  <c r="D102" i="10" s="1" a="1"/>
  <c r="D102" i="10" s="1"/>
  <c r="G11" i="9"/>
  <c r="D103" i="10" s="1" a="1"/>
  <c r="D103" i="10" s="1"/>
  <c r="H11" i="9"/>
  <c r="D104" i="10" s="1" a="1"/>
  <c r="D104" i="10" s="1"/>
  <c r="B12" i="9"/>
  <c r="D105" i="10" s="1" a="1"/>
  <c r="D105" i="10" s="1"/>
  <c r="C12" i="9"/>
  <c r="D106" i="10" s="1" a="1"/>
  <c r="D106" i="10" s="1"/>
  <c r="D12" i="9"/>
  <c r="E12" i="9"/>
  <c r="D108" i="10" s="1" a="1"/>
  <c r="D108" i="10" s="1"/>
  <c r="F12" i="9"/>
  <c r="D109" i="10" s="1" a="1"/>
  <c r="D109" i="10" s="1"/>
  <c r="G12" i="9"/>
  <c r="D110" i="10" s="1" a="1"/>
  <c r="D110" i="10" s="1"/>
  <c r="H12" i="9"/>
  <c r="D111" i="10" s="1" a="1"/>
  <c r="D111" i="10" s="1"/>
  <c r="B13" i="9"/>
  <c r="D112" i="10" s="1" a="1"/>
  <c r="D112" i="10" s="1"/>
  <c r="C13" i="9"/>
  <c r="D113" i="10" s="1" a="1"/>
  <c r="D113" i="10" s="1"/>
  <c r="D13" i="9"/>
  <c r="D114" i="10" s="1" a="1"/>
  <c r="D114" i="10" s="1"/>
  <c r="E13" i="9"/>
  <c r="F13" i="9"/>
  <c r="D116" i="10" s="1" a="1"/>
  <c r="D116" i="10" s="1"/>
  <c r="G13" i="9"/>
  <c r="D117" i="10" s="1" a="1"/>
  <c r="D117" i="10" s="1"/>
  <c r="H13" i="9"/>
  <c r="D118" i="10" s="1" a="1"/>
  <c r="D118" i="10" s="1"/>
  <c r="B14" i="9"/>
  <c r="D119" i="10" s="1" a="1"/>
  <c r="D119" i="10" s="1"/>
  <c r="C14" i="9"/>
  <c r="D120" i="10" s="1" a="1"/>
  <c r="D120" i="10" s="1"/>
  <c r="D14" i="9"/>
  <c r="D121" i="10" s="1" a="1"/>
  <c r="D121" i="10" s="1"/>
  <c r="E14" i="9"/>
  <c r="D122" i="10" s="1" a="1"/>
  <c r="D122" i="10" s="1"/>
  <c r="F14" i="9"/>
  <c r="G14" i="9"/>
  <c r="D124" i="10" s="1" a="1"/>
  <c r="D124" i="10" s="1"/>
  <c r="H14" i="9"/>
  <c r="D125" i="10" s="1" a="1"/>
  <c r="D125" i="10" s="1"/>
  <c r="B15" i="9"/>
  <c r="D126" i="10" s="1" a="1"/>
  <c r="D126" i="10" s="1"/>
  <c r="C15" i="9"/>
  <c r="D127" i="10" s="1" a="1"/>
  <c r="D127" i="10" s="1"/>
  <c r="D15" i="9"/>
  <c r="D128" i="10" s="1" a="1"/>
  <c r="D128" i="10" s="1"/>
  <c r="E15" i="9"/>
  <c r="D129" i="10" s="1" a="1"/>
  <c r="D129" i="10" s="1"/>
  <c r="F15" i="9"/>
  <c r="D130" i="10" s="1" a="1"/>
  <c r="D130" i="10" s="1"/>
  <c r="G15" i="9"/>
  <c r="H15" i="9"/>
  <c r="D132" i="10" s="1" a="1"/>
  <c r="D132" i="10" s="1"/>
  <c r="B16" i="9"/>
  <c r="D133" i="10" s="1" a="1"/>
  <c r="D133" i="10" s="1"/>
  <c r="C16" i="9"/>
  <c r="D134" i="10" s="1" a="1"/>
  <c r="D134" i="10" s="1"/>
  <c r="D16" i="9"/>
  <c r="D135" i="10" s="1" a="1"/>
  <c r="D135" i="10" s="1"/>
  <c r="E16" i="9"/>
  <c r="D136" i="10" s="1" a="1"/>
  <c r="D136" i="10" s="1"/>
  <c r="F16" i="9"/>
  <c r="D137" i="10" s="1" a="1"/>
  <c r="D137" i="10" s="1"/>
  <c r="G16" i="9"/>
  <c r="D138" i="10" s="1" a="1"/>
  <c r="D138" i="10" s="1"/>
  <c r="H16" i="9"/>
  <c r="B17" i="9"/>
  <c r="D140" i="10" s="1" a="1"/>
  <c r="D140" i="10" s="1"/>
  <c r="C17" i="9"/>
  <c r="D141" i="10" s="1" a="1"/>
  <c r="D141" i="10" s="1"/>
  <c r="D17" i="9"/>
  <c r="D142" i="10" s="1" a="1"/>
  <c r="D142" i="10" s="1"/>
  <c r="E17" i="9"/>
  <c r="D143" i="10" s="1" a="1"/>
  <c r="D143" i="10" s="1"/>
  <c r="F17" i="9"/>
  <c r="D144" i="10" s="1" a="1"/>
  <c r="D144" i="10" s="1"/>
  <c r="G17" i="9"/>
  <c r="D145" i="10" s="1" a="1"/>
  <c r="D145" i="10" s="1"/>
  <c r="H17" i="9"/>
  <c r="B18" i="9"/>
  <c r="D147" i="10" s="1" a="1"/>
  <c r="D147" i="10" s="1"/>
  <c r="C18" i="9"/>
  <c r="D148" i="10" s="1" a="1"/>
  <c r="D148" i="10" s="1"/>
  <c r="D18" i="9"/>
  <c r="D149" i="10" s="1" a="1"/>
  <c r="D149" i="10" s="1"/>
  <c r="E18" i="9"/>
  <c r="D150" i="10" s="1" a="1"/>
  <c r="D150" i="10" s="1"/>
  <c r="F18" i="9"/>
  <c r="D151" i="10" s="1" a="1"/>
  <c r="D151" i="10" s="1"/>
  <c r="G18" i="9"/>
  <c r="D152" i="10" s="1" a="1"/>
  <c r="D152" i="10" s="1"/>
  <c r="H18" i="9"/>
  <c r="D153" i="10" s="1" a="1"/>
  <c r="D153" i="10" s="1"/>
  <c r="B19" i="9"/>
  <c r="C19" i="9"/>
  <c r="D155" i="10" s="1" a="1"/>
  <c r="D155" i="10" s="1"/>
  <c r="D19" i="9"/>
  <c r="D156" i="10" s="1" a="1"/>
  <c r="D156" i="10" s="1"/>
  <c r="E19" i="9"/>
  <c r="D157" i="10" s="1" a="1"/>
  <c r="D157" i="10" s="1"/>
  <c r="F19" i="9"/>
  <c r="D158" i="10" s="1" a="1"/>
  <c r="D158" i="10" s="1"/>
  <c r="G19" i="9"/>
  <c r="D159" i="10" s="1" a="1"/>
  <c r="D159" i="10" s="1"/>
  <c r="H19" i="9"/>
  <c r="D160" i="10" s="1" a="1"/>
  <c r="D160" i="10" s="1"/>
  <c r="B20" i="9"/>
  <c r="D161" i="10" s="1" a="1"/>
  <c r="D161" i="10" s="1"/>
  <c r="C20" i="9"/>
  <c r="D162" i="10" s="1" a="1"/>
  <c r="D162" i="10" s="1"/>
  <c r="D20" i="9"/>
  <c r="D163" i="10" s="1" a="1"/>
  <c r="D163" i="10" s="1"/>
  <c r="E20" i="9"/>
  <c r="D164" i="10" s="1" a="1"/>
  <c r="D164" i="10" s="1"/>
  <c r="F20" i="9"/>
  <c r="D165" i="10" s="1" a="1"/>
  <c r="D165" i="10" s="1"/>
  <c r="G20" i="9"/>
  <c r="D166" i="10" s="1" a="1"/>
  <c r="D166" i="10" s="1"/>
  <c r="H20" i="9"/>
  <c r="D167" i="10" s="1" a="1"/>
  <c r="D167" i="10" s="1"/>
  <c r="B21" i="9"/>
  <c r="D168" i="10" s="1" a="1"/>
  <c r="D168" i="10" s="1"/>
  <c r="C21" i="9"/>
  <c r="D169" i="10" s="1" a="1"/>
  <c r="D169" i="10" s="1"/>
  <c r="D21" i="9"/>
  <c r="D170" i="10" s="1" a="1"/>
  <c r="D170" i="10" s="1"/>
  <c r="E21" i="9"/>
  <c r="D171" i="10" s="1" a="1"/>
  <c r="D171" i="10" s="1"/>
  <c r="F21" i="9"/>
  <c r="G21" i="9"/>
  <c r="D173" i="10" s="1" a="1"/>
  <c r="D173" i="10" s="1"/>
  <c r="H21" i="9"/>
  <c r="D174" i="10" s="1" a="1"/>
  <c r="D174" i="10" s="1"/>
  <c r="B22" i="9"/>
  <c r="D175" i="10" s="1" a="1"/>
  <c r="D175" i="10" s="1"/>
  <c r="C22" i="9"/>
  <c r="D176" i="10" s="1" a="1"/>
  <c r="D176" i="10" s="1"/>
  <c r="D22" i="9"/>
  <c r="D177" i="10" s="1" a="1"/>
  <c r="D177" i="10" s="1"/>
  <c r="E22" i="9"/>
  <c r="D178" i="10" s="1" a="1"/>
  <c r="D178" i="10" s="1"/>
  <c r="F22" i="9"/>
  <c r="D179" i="10" s="1" a="1"/>
  <c r="D179" i="10" s="1"/>
  <c r="G22" i="9"/>
  <c r="H22" i="9"/>
  <c r="D181" i="10" s="1" a="1"/>
  <c r="D181" i="10" s="1"/>
  <c r="B23" i="9"/>
  <c r="D182" i="10" s="1" a="1"/>
  <c r="D182" i="10" s="1"/>
  <c r="C23" i="9"/>
  <c r="D183" i="10" s="1" a="1"/>
  <c r="D183" i="10" s="1"/>
  <c r="D23" i="9"/>
  <c r="D184" i="10" s="1" a="1"/>
  <c r="D184" i="10" s="1"/>
  <c r="E23" i="9"/>
  <c r="D185" i="10" s="1" a="1"/>
  <c r="D185" i="10" s="1"/>
  <c r="F23" i="9"/>
  <c r="D186" i="10" s="1" a="1"/>
  <c r="D186" i="10" s="1"/>
  <c r="G23" i="9"/>
  <c r="D187" i="10" s="1" a="1"/>
  <c r="D187" i="10" s="1"/>
  <c r="H23" i="9"/>
  <c r="B24" i="9"/>
  <c r="D189" i="10" s="1" a="1"/>
  <c r="D189" i="10" s="1"/>
  <c r="C24" i="9"/>
  <c r="D190" i="10" s="1" a="1"/>
  <c r="D190" i="10" s="1"/>
  <c r="D24" i="9"/>
  <c r="D191" i="10" s="1" a="1"/>
  <c r="D191" i="10" s="1"/>
  <c r="E24" i="9"/>
  <c r="D192" i="10" s="1" a="1"/>
  <c r="D192" i="10" s="1"/>
  <c r="F24" i="9"/>
  <c r="D193" i="10" s="1" a="1"/>
  <c r="D193" i="10" s="1"/>
  <c r="G24" i="9"/>
  <c r="D194" i="10" s="1" a="1"/>
  <c r="D194" i="10" s="1"/>
  <c r="H24" i="9"/>
  <c r="B25" i="9"/>
  <c r="D196" i="10" s="1" a="1"/>
  <c r="D196" i="10" s="1"/>
  <c r="C25" i="9"/>
  <c r="D197" i="10" s="1" a="1"/>
  <c r="D197" i="10" s="1"/>
  <c r="D25" i="9"/>
  <c r="D198" i="10" s="1" a="1"/>
  <c r="D198" i="10" s="1"/>
  <c r="E25" i="9"/>
  <c r="D199" i="10" s="1" a="1"/>
  <c r="D199" i="10" s="1"/>
  <c r="F25" i="9"/>
  <c r="D200" i="10" s="1" a="1"/>
  <c r="D200" i="10" s="1"/>
  <c r="G25" i="9"/>
  <c r="D201" i="10" s="1" a="1"/>
  <c r="D201" i="10" s="1"/>
  <c r="H25" i="9"/>
  <c r="D202" i="10" s="1" a="1"/>
  <c r="D202" i="10" s="1"/>
  <c r="B26" i="9"/>
  <c r="C26" i="9"/>
  <c r="D204" i="10" s="1" a="1"/>
  <c r="D204" i="10" s="1"/>
  <c r="D26" i="9"/>
  <c r="D205" i="10" s="1" a="1"/>
  <c r="D205" i="10" s="1"/>
  <c r="E26" i="9"/>
  <c r="D206" i="10" s="1" a="1"/>
  <c r="D206" i="10" s="1"/>
  <c r="F26" i="9"/>
  <c r="D207" i="10" s="1" a="1"/>
  <c r="D207" i="10" s="1"/>
  <c r="G26" i="9"/>
  <c r="D208" i="10" s="1" a="1"/>
  <c r="D208" i="10" s="1"/>
  <c r="H26" i="9"/>
  <c r="D209" i="10" s="1" a="1"/>
  <c r="D209" i="10" s="1"/>
  <c r="B27" i="9"/>
  <c r="D210" i="10" s="1" a="1"/>
  <c r="D210" i="10" s="1"/>
  <c r="C27" i="9"/>
  <c r="D27" i="9"/>
  <c r="D212" i="10" s="1" a="1"/>
  <c r="D212" i="10" s="1"/>
  <c r="E27" i="9"/>
  <c r="D213" i="10" s="1" a="1"/>
  <c r="D213" i="10" s="1"/>
  <c r="F27" i="9"/>
  <c r="D214" i="10" s="1" a="1"/>
  <c r="D214" i="10" s="1"/>
  <c r="G27" i="9"/>
  <c r="D215" i="10" s="1" a="1"/>
  <c r="D215" i="10" s="1"/>
  <c r="H27" i="9"/>
  <c r="D216" i="10" s="1" a="1"/>
  <c r="D216" i="10" s="1"/>
  <c r="B28" i="9"/>
  <c r="D217" i="10" s="1" a="1"/>
  <c r="D217" i="10" s="1"/>
  <c r="C28" i="9"/>
  <c r="D218" i="10" s="1" a="1"/>
  <c r="D218" i="10" s="1"/>
  <c r="D28" i="9"/>
  <c r="E28" i="9"/>
  <c r="D220" i="10" s="1" a="1"/>
  <c r="D220" i="10" s="1"/>
  <c r="F28" i="9"/>
  <c r="D221" i="10" s="1" a="1"/>
  <c r="D221" i="10" s="1"/>
  <c r="G28" i="9"/>
  <c r="D222" i="10" s="1" a="1"/>
  <c r="D222" i="10" s="1"/>
  <c r="H28" i="9"/>
  <c r="D223" i="10" s="1" a="1"/>
  <c r="D223" i="10" s="1"/>
  <c r="B29" i="9"/>
  <c r="D224" i="10" s="1" a="1"/>
  <c r="D224" i="10" s="1"/>
  <c r="C29" i="9"/>
  <c r="D225" i="10" s="1" a="1"/>
  <c r="D225" i="10" s="1"/>
  <c r="D29" i="9"/>
  <c r="D226" i="10" s="1" a="1"/>
  <c r="D226" i="10" s="1"/>
  <c r="E29" i="9"/>
  <c r="F29" i="9"/>
  <c r="D228" i="10" s="1" a="1"/>
  <c r="D228" i="10" s="1"/>
  <c r="G29" i="9"/>
  <c r="D229" i="10" s="1" a="1"/>
  <c r="D229" i="10" s="1"/>
  <c r="H29" i="9"/>
  <c r="D230" i="10" s="1" a="1"/>
  <c r="D230" i="10" s="1"/>
  <c r="B30" i="9"/>
  <c r="D231" i="10" s="1" a="1"/>
  <c r="D231" i="10" s="1"/>
  <c r="C30" i="9"/>
  <c r="D232" i="10" s="1" a="1"/>
  <c r="D232" i="10" s="1"/>
  <c r="D30" i="9"/>
  <c r="D233" i="10" s="1" a="1"/>
  <c r="D233" i="10" s="1"/>
  <c r="E30" i="9"/>
  <c r="D234" i="10" s="1" a="1"/>
  <c r="D234" i="10" s="1"/>
  <c r="F30" i="9"/>
  <c r="G30" i="9"/>
  <c r="D236" i="10" s="1" a="1"/>
  <c r="D236" i="10" s="1"/>
  <c r="H30" i="9"/>
  <c r="D237" i="10" s="1" a="1"/>
  <c r="D237" i="10" s="1"/>
  <c r="E2" i="9"/>
  <c r="D2" i="9"/>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D88" i="106" s="1" a="1"/>
  <c r="D88" i="106" s="1"/>
  <c r="D88" i="109" s="1"/>
  <c r="C87" i="106"/>
  <c r="B87" i="106"/>
  <c r="D87" i="106" s="1" a="1"/>
  <c r="D87" i="106" s="1"/>
  <c r="D87" i="109" s="1"/>
  <c r="C86" i="106"/>
  <c r="B86" i="106"/>
  <c r="D86" i="106" s="1" a="1"/>
  <c r="D86" i="106" s="1"/>
  <c r="D86" i="109" s="1"/>
  <c r="C85" i="106"/>
  <c r="B85" i="106"/>
  <c r="D85" i="106" s="1" a="1"/>
  <c r="D85" i="106" s="1"/>
  <c r="D85" i="109" s="1"/>
  <c r="C84" i="106"/>
  <c r="D84" i="106" s="1" a="1"/>
  <c r="D84" i="106" s="1"/>
  <c r="D84" i="109" s="1"/>
  <c r="B84" i="106"/>
  <c r="C83" i="106"/>
  <c r="D83" i="106" s="1" a="1"/>
  <c r="D83" i="106" s="1"/>
  <c r="D83" i="109" s="1"/>
  <c r="B83" i="106"/>
  <c r="C82" i="106"/>
  <c r="B82" i="106"/>
  <c r="C81" i="106"/>
  <c r="B81" i="106"/>
  <c r="C80" i="106"/>
  <c r="B80" i="106"/>
  <c r="D80" i="106" s="1" a="1"/>
  <c r="D80" i="106" s="1"/>
  <c r="D80" i="109" s="1"/>
  <c r="C79" i="106"/>
  <c r="B79" i="106"/>
  <c r="C78" i="106"/>
  <c r="B78" i="106"/>
  <c r="D78" i="106" s="1" a="1"/>
  <c r="D78" i="106" s="1"/>
  <c r="D78" i="109" s="1"/>
  <c r="C77" i="106"/>
  <c r="B77" i="106"/>
  <c r="D77" i="106" s="1" a="1"/>
  <c r="D77" i="106" s="1"/>
  <c r="D77" i="109" s="1"/>
  <c r="C76" i="106"/>
  <c r="B76" i="106"/>
  <c r="C75" i="106"/>
  <c r="B75" i="106"/>
  <c r="C74" i="106"/>
  <c r="B74" i="106"/>
  <c r="C73" i="106"/>
  <c r="B73" i="106"/>
  <c r="C72" i="106"/>
  <c r="B72" i="106"/>
  <c r="C71" i="106"/>
  <c r="B71" i="106"/>
  <c r="D71" i="106" s="1" a="1"/>
  <c r="D71" i="106" s="1"/>
  <c r="D71" i="109" s="1"/>
  <c r="C70" i="106"/>
  <c r="B70" i="106"/>
  <c r="D70" i="106" s="1" a="1"/>
  <c r="D70" i="106" s="1"/>
  <c r="D70" i="109" s="1"/>
  <c r="C69" i="106"/>
  <c r="B69" i="106"/>
  <c r="C68" i="106"/>
  <c r="D68" i="106" s="1" a="1"/>
  <c r="D68" i="106" s="1"/>
  <c r="D68" i="109" s="1"/>
  <c r="B68" i="106"/>
  <c r="C67" i="106"/>
  <c r="B67" i="106"/>
  <c r="C66" i="106"/>
  <c r="B66" i="106"/>
  <c r="D66" i="106" s="1" a="1"/>
  <c r="D66" i="106" s="1"/>
  <c r="D66" i="109" s="1"/>
  <c r="D65" i="106" a="1"/>
  <c r="D65" i="106" s="1"/>
  <c r="D65" i="109" s="1"/>
  <c r="C65" i="106"/>
  <c r="B65" i="106"/>
  <c r="C64" i="106"/>
  <c r="B64" i="106"/>
  <c r="D64" i="106" s="1" a="1"/>
  <c r="D64" i="106" s="1"/>
  <c r="D64" i="109" s="1"/>
  <c r="C63" i="106"/>
  <c r="B63" i="106"/>
  <c r="C62" i="106"/>
  <c r="B62" i="106"/>
  <c r="D62" i="106" s="1" a="1"/>
  <c r="D62" i="106" s="1"/>
  <c r="D62" i="109" s="1"/>
  <c r="C61" i="106"/>
  <c r="B61" i="106"/>
  <c r="D61" i="106" s="1" a="1"/>
  <c r="D61" i="106" s="1"/>
  <c r="D61" i="109" s="1"/>
  <c r="C60" i="106"/>
  <c r="D60" i="106" s="1" a="1"/>
  <c r="D60" i="106" s="1"/>
  <c r="D60" i="109" s="1"/>
  <c r="B60" i="106"/>
  <c r="C59" i="106"/>
  <c r="D59" i="106" s="1" a="1"/>
  <c r="D59" i="106" s="1"/>
  <c r="D59" i="109" s="1"/>
  <c r="B59" i="106"/>
  <c r="C58" i="106"/>
  <c r="B58" i="106"/>
  <c r="C57" i="106"/>
  <c r="B57" i="106"/>
  <c r="C56" i="106"/>
  <c r="B56" i="106"/>
  <c r="D56" i="106" s="1" a="1"/>
  <c r="D56" i="106" s="1"/>
  <c r="D56" i="109" s="1"/>
  <c r="C55" i="106"/>
  <c r="B55" i="106"/>
  <c r="C54" i="106"/>
  <c r="B54" i="106"/>
  <c r="C53" i="106"/>
  <c r="B53" i="106"/>
  <c r="D53" i="106" s="1" a="1"/>
  <c r="D53" i="106" s="1"/>
  <c r="D53" i="109" s="1"/>
  <c r="C52" i="106"/>
  <c r="B52" i="106"/>
  <c r="D52" i="106" s="1" a="1"/>
  <c r="D52" i="106" s="1"/>
  <c r="D52" i="109" s="1"/>
  <c r="C51" i="106"/>
  <c r="B51" i="106"/>
  <c r="C50" i="106"/>
  <c r="B50" i="106"/>
  <c r="D50" i="106" s="1" a="1"/>
  <c r="D50" i="106" s="1"/>
  <c r="D50" i="109" s="1"/>
  <c r="C49" i="106"/>
  <c r="B49" i="106"/>
  <c r="D49" i="106" s="1" a="1"/>
  <c r="D49" i="106" s="1"/>
  <c r="D49" i="109" s="1"/>
  <c r="C48" i="106"/>
  <c r="B48" i="106"/>
  <c r="D48" i="106" s="1" a="1"/>
  <c r="D48" i="106" s="1"/>
  <c r="D48" i="109" s="1"/>
  <c r="C47" i="106"/>
  <c r="B47" i="106"/>
  <c r="D47" i="106" s="1" a="1"/>
  <c r="D47" i="106" s="1"/>
  <c r="D47" i="109" s="1"/>
  <c r="C46" i="106"/>
  <c r="B46" i="106"/>
  <c r="C45" i="106"/>
  <c r="B45" i="106"/>
  <c r="D45" i="106" s="1" a="1"/>
  <c r="D45" i="106" s="1"/>
  <c r="D45" i="109" s="1"/>
  <c r="C44" i="106"/>
  <c r="B44" i="106"/>
  <c r="D44" i="106" s="1" a="1"/>
  <c r="D44" i="106" s="1"/>
  <c r="D44" i="109" s="1"/>
  <c r="C43" i="106"/>
  <c r="B43" i="106"/>
  <c r="C42" i="106"/>
  <c r="B42" i="106"/>
  <c r="C41" i="106"/>
  <c r="B41" i="106"/>
  <c r="D41" i="106" s="1" a="1"/>
  <c r="D41" i="106" s="1"/>
  <c r="D41" i="109" s="1"/>
  <c r="C40" i="106"/>
  <c r="B40" i="106"/>
  <c r="D40" i="106" s="1" a="1"/>
  <c r="D40" i="106" s="1"/>
  <c r="D40" i="109" s="1"/>
  <c r="C39" i="106"/>
  <c r="B39" i="106"/>
  <c r="D39" i="106" s="1" a="1"/>
  <c r="D39" i="106" s="1"/>
  <c r="D39" i="109" s="1"/>
  <c r="C38" i="106"/>
  <c r="B38" i="106"/>
  <c r="D38" i="106" s="1" a="1"/>
  <c r="D38" i="106" s="1"/>
  <c r="D38" i="109" s="1"/>
  <c r="C37" i="106"/>
  <c r="B37" i="106"/>
  <c r="D37" i="106" s="1" a="1"/>
  <c r="D37" i="106" s="1"/>
  <c r="D37" i="109" s="1"/>
  <c r="C36" i="106"/>
  <c r="B36" i="106"/>
  <c r="C35" i="106"/>
  <c r="B35" i="106"/>
  <c r="D35" i="106" s="1" a="1"/>
  <c r="D35" i="106" s="1"/>
  <c r="D35" i="109" s="1"/>
  <c r="C34" i="106"/>
  <c r="B34" i="106"/>
  <c r="C33" i="106"/>
  <c r="B33" i="106"/>
  <c r="C32" i="106"/>
  <c r="B32" i="106"/>
  <c r="D32" i="106" s="1" a="1"/>
  <c r="D32" i="106" s="1"/>
  <c r="D32" i="109" s="1"/>
  <c r="C31" i="106"/>
  <c r="B31" i="106"/>
  <c r="C30" i="106"/>
  <c r="B30" i="106"/>
  <c r="C29" i="106"/>
  <c r="B29" i="106"/>
  <c r="D29" i="106" s="1" a="1"/>
  <c r="D29" i="106" s="1"/>
  <c r="D29" i="109" s="1"/>
  <c r="C28" i="106"/>
  <c r="B28" i="106"/>
  <c r="D28" i="106" s="1" a="1"/>
  <c r="D28" i="106" s="1"/>
  <c r="D28" i="109" s="1"/>
  <c r="C27" i="106"/>
  <c r="B27" i="106"/>
  <c r="D27" i="106" s="1" a="1"/>
  <c r="D27" i="106" s="1"/>
  <c r="D27" i="109" s="1"/>
  <c r="C26" i="106"/>
  <c r="B26" i="106"/>
  <c r="D26" i="106" s="1" a="1"/>
  <c r="D26" i="106" s="1"/>
  <c r="D26" i="109" s="1"/>
  <c r="C25" i="106"/>
  <c r="B25" i="106"/>
  <c r="D25" i="106" s="1" a="1"/>
  <c r="D25" i="106" s="1"/>
  <c r="D25" i="109" s="1"/>
  <c r="C24" i="106"/>
  <c r="B24" i="106"/>
  <c r="D24" i="106" s="1" a="1"/>
  <c r="D24" i="106" s="1"/>
  <c r="D24" i="109" s="1"/>
  <c r="C23" i="106"/>
  <c r="B23" i="106"/>
  <c r="D23" i="106" s="1" a="1"/>
  <c r="D23" i="106" s="1"/>
  <c r="D23" i="109" s="1"/>
  <c r="C22" i="106"/>
  <c r="B22" i="106"/>
  <c r="C21" i="106"/>
  <c r="B21" i="106"/>
  <c r="D21" i="106" s="1" a="1"/>
  <c r="D21" i="106" s="1"/>
  <c r="D21" i="109" s="1"/>
  <c r="C20" i="106"/>
  <c r="B20" i="106"/>
  <c r="D20" i="106" s="1" a="1"/>
  <c r="D20" i="106" s="1"/>
  <c r="D20" i="109" s="1"/>
  <c r="C19" i="106"/>
  <c r="B19" i="106"/>
  <c r="C18" i="106"/>
  <c r="B18" i="106"/>
  <c r="C17" i="106"/>
  <c r="B17" i="106"/>
  <c r="D17" i="106" s="1" a="1"/>
  <c r="D17" i="106" s="1"/>
  <c r="D17" i="109" s="1"/>
  <c r="C16" i="106"/>
  <c r="B16" i="106"/>
  <c r="D16" i="106" s="1" a="1"/>
  <c r="D16" i="106" s="1"/>
  <c r="D16" i="109" s="1"/>
  <c r="C15" i="106"/>
  <c r="B15" i="106"/>
  <c r="D15" i="106" s="1" a="1"/>
  <c r="D15" i="106" s="1"/>
  <c r="D15" i="109" s="1"/>
  <c r="C14" i="106"/>
  <c r="B14" i="106"/>
  <c r="D14" i="106" s="1" a="1"/>
  <c r="D14" i="106" s="1"/>
  <c r="D14" i="109" s="1"/>
  <c r="C13" i="106"/>
  <c r="B13" i="106"/>
  <c r="C12" i="106"/>
  <c r="B12" i="106"/>
  <c r="C11" i="106"/>
  <c r="B11" i="106"/>
  <c r="D11" i="106" s="1" a="1"/>
  <c r="D11" i="106" s="1"/>
  <c r="D11" i="109" s="1"/>
  <c r="C10" i="106"/>
  <c r="B10" i="106"/>
  <c r="C9" i="106"/>
  <c r="B9" i="106"/>
  <c r="D9" i="106" s="1" a="1"/>
  <c r="D9" i="106" s="1"/>
  <c r="D9" i="109" s="1"/>
  <c r="C8" i="106"/>
  <c r="B8" i="106"/>
  <c r="D8" i="106" s="1" a="1"/>
  <c r="D8" i="106" s="1"/>
  <c r="D8" i="109" s="1"/>
  <c r="C7" i="106"/>
  <c r="B7" i="106"/>
  <c r="C6" i="106"/>
  <c r="B6" i="106"/>
  <c r="C5" i="106"/>
  <c r="B5" i="106"/>
  <c r="D5" i="106" s="1" a="1"/>
  <c r="D5" i="106" s="1"/>
  <c r="D5" i="109" s="1"/>
  <c r="C4" i="106"/>
  <c r="B4" i="106"/>
  <c r="D4" i="106" s="1" a="1"/>
  <c r="D4" i="106" s="1"/>
  <c r="D4" i="109" s="1"/>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I35" i="105"/>
  <c r="H35" i="105"/>
  <c r="K34" i="105"/>
  <c r="J34" i="105"/>
  <c r="I34" i="105"/>
  <c r="H34" i="105"/>
  <c r="C34" i="105"/>
  <c r="N34" i="105" s="1"/>
  <c r="B34" i="105"/>
  <c r="N33" i="105"/>
  <c r="K33" i="105"/>
  <c r="H33" i="105"/>
  <c r="J33" i="105" s="1"/>
  <c r="C33" i="105"/>
  <c r="B33" i="105"/>
  <c r="K32" i="105"/>
  <c r="I32" i="105"/>
  <c r="H32" i="105"/>
  <c r="J32" i="105" s="1"/>
  <c r="C32" i="105"/>
  <c r="N32" i="105" s="1"/>
  <c r="B32" i="105"/>
  <c r="N31" i="105"/>
  <c r="K31" i="105"/>
  <c r="H31" i="105"/>
  <c r="J31" i="105" s="1"/>
  <c r="C31" i="105"/>
  <c r="B31" i="105"/>
  <c r="K30" i="105"/>
  <c r="D74" i="106" s="1" a="1"/>
  <c r="D74" i="106" s="1"/>
  <c r="D74" i="109" s="1"/>
  <c r="H30" i="105"/>
  <c r="C30" i="105"/>
  <c r="N30" i="105" s="1"/>
  <c r="B30" i="105"/>
  <c r="J30" i="105" s="1"/>
  <c r="N29" i="105"/>
  <c r="K29" i="105"/>
  <c r="J29" i="105"/>
  <c r="H29" i="105"/>
  <c r="C29" i="105"/>
  <c r="B29" i="105"/>
  <c r="I29" i="105" s="1"/>
  <c r="N28" i="105"/>
  <c r="K28" i="105"/>
  <c r="I28" i="105"/>
  <c r="H28" i="105"/>
  <c r="J28" i="105" s="1"/>
  <c r="C28" i="105"/>
  <c r="B28" i="105"/>
  <c r="N27" i="105"/>
  <c r="K27" i="105"/>
  <c r="H27" i="105"/>
  <c r="J27" i="105" s="1"/>
  <c r="C27" i="105"/>
  <c r="B27" i="105"/>
  <c r="K26" i="105"/>
  <c r="J26" i="105"/>
  <c r="I26" i="105"/>
  <c r="H26" i="105"/>
  <c r="C26" i="105"/>
  <c r="N26" i="105" s="1"/>
  <c r="B26" i="105"/>
  <c r="N25" i="105"/>
  <c r="K25" i="105"/>
  <c r="H25" i="105"/>
  <c r="J25" i="105" s="1"/>
  <c r="D58" i="106" s="1" a="1"/>
  <c r="D58" i="106" s="1"/>
  <c r="D58" i="109" s="1"/>
  <c r="C25" i="105"/>
  <c r="B25" i="105"/>
  <c r="K24" i="105"/>
  <c r="H24" i="105"/>
  <c r="I24" i="105" s="1"/>
  <c r="C24" i="105"/>
  <c r="N24" i="105" s="1"/>
  <c r="B24" i="105"/>
  <c r="N23" i="105"/>
  <c r="K23" i="105"/>
  <c r="H23" i="105"/>
  <c r="J23" i="105" s="1"/>
  <c r="C23" i="105"/>
  <c r="B23" i="105"/>
  <c r="K22" i="105"/>
  <c r="J22" i="105"/>
  <c r="H22" i="105"/>
  <c r="I22" i="105" s="1"/>
  <c r="C22" i="105"/>
  <c r="B22" i="105"/>
  <c r="N21" i="105"/>
  <c r="K21" i="105"/>
  <c r="I21" i="105"/>
  <c r="H21" i="105"/>
  <c r="J21" i="105" s="1"/>
  <c r="C21" i="105"/>
  <c r="B21" i="105"/>
  <c r="N20" i="105"/>
  <c r="K20" i="105"/>
  <c r="H20" i="105"/>
  <c r="J20" i="105" s="1"/>
  <c r="C20" i="105"/>
  <c r="B20" i="105"/>
  <c r="K19" i="105"/>
  <c r="J19" i="105"/>
  <c r="I19" i="105"/>
  <c r="H19" i="105"/>
  <c r="C19" i="105"/>
  <c r="N19" i="105" s="1"/>
  <c r="B19" i="105"/>
  <c r="N18" i="105"/>
  <c r="K18" i="105"/>
  <c r="H18" i="105"/>
  <c r="J18" i="105" s="1"/>
  <c r="C18" i="105"/>
  <c r="B18" i="105"/>
  <c r="K17" i="105"/>
  <c r="H17" i="105"/>
  <c r="I17" i="105" s="1"/>
  <c r="C17" i="105"/>
  <c r="N17" i="105" s="1"/>
  <c r="B17" i="105"/>
  <c r="N16" i="105"/>
  <c r="K16" i="105"/>
  <c r="H16" i="105"/>
  <c r="J16" i="105" s="1"/>
  <c r="C16" i="105"/>
  <c r="B16" i="105"/>
  <c r="K15" i="105"/>
  <c r="J15" i="105"/>
  <c r="I15" i="105"/>
  <c r="H15" i="105"/>
  <c r="C15" i="105"/>
  <c r="N15" i="105" s="1"/>
  <c r="B15" i="105"/>
  <c r="N14" i="105"/>
  <c r="K14" i="105"/>
  <c r="J14" i="105"/>
  <c r="H14" i="105"/>
  <c r="I14" i="105" s="1"/>
  <c r="C14" i="105"/>
  <c r="B14" i="105"/>
  <c r="N13" i="105"/>
  <c r="K13" i="105"/>
  <c r="I13" i="105"/>
  <c r="H13" i="105"/>
  <c r="J13" i="105" s="1"/>
  <c r="C13" i="105"/>
  <c r="B13" i="105"/>
  <c r="N12" i="105"/>
  <c r="K12" i="105"/>
  <c r="H12" i="105"/>
  <c r="J12" i="105" s="1"/>
  <c r="C12" i="105"/>
  <c r="B12" i="105"/>
  <c r="K11" i="105"/>
  <c r="J11" i="105"/>
  <c r="I11" i="105"/>
  <c r="H11" i="105"/>
  <c r="C11" i="105"/>
  <c r="N11" i="105" s="1"/>
  <c r="B11" i="105"/>
  <c r="N10" i="105"/>
  <c r="K10" i="105"/>
  <c r="H10" i="105"/>
  <c r="J10" i="105" s="1"/>
  <c r="C10" i="105"/>
  <c r="B10" i="105"/>
  <c r="K9" i="105"/>
  <c r="H9" i="105"/>
  <c r="I9" i="105" s="1"/>
  <c r="C9" i="105"/>
  <c r="N9" i="105" s="1"/>
  <c r="B9" i="105"/>
  <c r="N8" i="105"/>
  <c r="K8" i="105"/>
  <c r="H8" i="105"/>
  <c r="J8" i="105" s="1"/>
  <c r="C8" i="105"/>
  <c r="B8" i="105"/>
  <c r="K7" i="105"/>
  <c r="J7" i="105"/>
  <c r="H7" i="105"/>
  <c r="I7" i="105" s="1"/>
  <c r="C7" i="105"/>
  <c r="B7" i="105"/>
  <c r="N6" i="105"/>
  <c r="N5" i="105"/>
  <c r="N4" i="105"/>
  <c r="C4" i="105"/>
  <c r="N3" i="105"/>
  <c r="C3" i="105"/>
  <c r="N2" i="105"/>
  <c r="C2" i="105"/>
  <c r="C1" i="105"/>
  <c r="D135" i="106" l="1"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12" i="106" a="1"/>
  <c r="D12" i="106" s="1"/>
  <c r="D12" i="109" s="1"/>
  <c r="D67" i="106" a="1"/>
  <c r="D67" i="106" s="1"/>
  <c r="D67" i="109" s="1"/>
  <c r="D22" i="106" a="1"/>
  <c r="D22" i="106" s="1"/>
  <c r="D22" i="109" s="1"/>
  <c r="D42" i="106" a="1"/>
  <c r="D42" i="106" s="1"/>
  <c r="D4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5" i="91" a="1"/>
  <c r="D55"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3" i="91" a="1"/>
  <c r="D83" i="91" s="1"/>
  <c r="D84" i="91" a="1"/>
  <c r="D84" i="91" s="1"/>
  <c r="D85" i="91" a="1"/>
  <c r="D85" i="91" s="1"/>
  <c r="D86" i="91" a="1"/>
  <c r="D86" i="91" s="1"/>
  <c r="D87" i="91" a="1"/>
  <c r="D87" i="91" s="1"/>
  <c r="B3" i="90"/>
  <c r="C3" i="90"/>
  <c r="D3" i="90"/>
  <c r="E3" i="90"/>
  <c r="F3" i="90"/>
  <c r="G3" i="90"/>
  <c r="H3" i="90"/>
  <c r="B4" i="90"/>
  <c r="C4" i="90"/>
  <c r="D4" i="90"/>
  <c r="E4" i="90"/>
  <c r="F4" i="90"/>
  <c r="G4" i="90"/>
  <c r="H4" i="90"/>
  <c r="B5" i="90"/>
  <c r="C5" i="90"/>
  <c r="D5" i="90"/>
  <c r="E5" i="90"/>
  <c r="F5" i="90"/>
  <c r="G5" i="90"/>
  <c r="H5" i="90"/>
  <c r="B6" i="90"/>
  <c r="C6" i="90"/>
  <c r="D6" i="90"/>
  <c r="E6" i="90"/>
  <c r="F6" i="90"/>
  <c r="G6" i="90"/>
  <c r="H6" i="90"/>
  <c r="B7" i="90"/>
  <c r="C7" i="90"/>
  <c r="D7" i="90"/>
  <c r="E7" i="90"/>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c r="D136" i="76" a="1"/>
  <c r="D136" i="76" s="1"/>
  <c r="D137" i="76" a="1"/>
  <c r="D137" i="76" s="1"/>
  <c r="D36" i="76" a="1"/>
  <c r="D36" i="76" s="1"/>
  <c r="D37" i="76" a="1"/>
  <c r="D37" i="76" s="1"/>
  <c r="D38" i="76" a="1"/>
  <c r="D38" i="76"/>
  <c r="D39" i="76" a="1"/>
  <c r="D39" i="76"/>
  <c r="D40" i="76" a="1"/>
  <c r="D40" i="76" s="1"/>
  <c r="D41" i="76" a="1"/>
  <c r="D41" i="76" s="1"/>
  <c r="D42" i="76" a="1"/>
  <c r="D42" i="76"/>
  <c r="D43" i="76" a="1"/>
  <c r="D43" i="76"/>
  <c r="D44" i="76" a="1"/>
  <c r="D44" i="76" s="1"/>
  <c r="D45" i="76" a="1"/>
  <c r="D45" i="76" s="1"/>
  <c r="D46" i="76" a="1"/>
  <c r="D46" i="76"/>
  <c r="D47" i="76" a="1"/>
  <c r="D47" i="76"/>
  <c r="D48" i="76" a="1"/>
  <c r="D48" i="76" s="1"/>
  <c r="D49" i="76" a="1"/>
  <c r="D49" i="76" s="1"/>
  <c r="D50" i="76" a="1"/>
  <c r="D50" i="76"/>
  <c r="D51" i="76" a="1"/>
  <c r="D51" i="76"/>
  <c r="D52" i="76" a="1"/>
  <c r="D52" i="76" s="1"/>
  <c r="D53" i="76" a="1"/>
  <c r="D53" i="76" s="1"/>
  <c r="D54" i="76" a="1"/>
  <c r="D54" i="76"/>
  <c r="D55" i="76" a="1"/>
  <c r="D55" i="76"/>
  <c r="D56" i="76" a="1"/>
  <c r="D56" i="76" s="1"/>
  <c r="D57" i="76" a="1"/>
  <c r="D57" i="76" s="1"/>
  <c r="D58" i="76" a="1"/>
  <c r="D58" i="76"/>
  <c r="D59" i="76" a="1"/>
  <c r="D59" i="76"/>
  <c r="D60" i="76" a="1"/>
  <c r="D60" i="76" s="1"/>
  <c r="D61" i="76" a="1"/>
  <c r="D61" i="76" s="1"/>
  <c r="D62" i="76" a="1"/>
  <c r="D62" i="76"/>
  <c r="D63" i="76" a="1"/>
  <c r="D63" i="76"/>
  <c r="D64" i="76" a="1"/>
  <c r="D64" i="76" s="1"/>
  <c r="D65" i="76" a="1"/>
  <c r="D65" i="76" s="1"/>
  <c r="D66" i="76" a="1"/>
  <c r="D66" i="76"/>
  <c r="D67" i="76" a="1"/>
  <c r="D67" i="76"/>
  <c r="D68" i="76" a="1"/>
  <c r="D68" i="76" s="1"/>
  <c r="D69" i="76" a="1"/>
  <c r="D69" i="76" s="1"/>
  <c r="D70" i="76" a="1"/>
  <c r="D70" i="76"/>
  <c r="D71" i="76" a="1"/>
  <c r="D71" i="76"/>
  <c r="D72" i="76" a="1"/>
  <c r="D72" i="76" s="1"/>
  <c r="D73" i="76" a="1"/>
  <c r="D73" i="76" s="1"/>
  <c r="D74" i="76" a="1"/>
  <c r="D74" i="76"/>
  <c r="D75" i="76" a="1"/>
  <c r="D75" i="76"/>
  <c r="D76" i="76" a="1"/>
  <c r="D76" i="76" s="1"/>
  <c r="D77" i="76" a="1"/>
  <c r="D77" i="76" s="1"/>
  <c r="D78" i="76" a="1"/>
  <c r="D78" i="76"/>
  <c r="D79" i="76" a="1"/>
  <c r="D79" i="76"/>
  <c r="D80" i="76" a="1"/>
  <c r="D80" i="76" s="1"/>
  <c r="D81" i="76" a="1"/>
  <c r="D81" i="76" s="1"/>
  <c r="D82" i="76" a="1"/>
  <c r="D82" i="76"/>
  <c r="D83" i="76" a="1"/>
  <c r="D83" i="76" s="1"/>
  <c r="D84" i="76" a="1"/>
  <c r="D84" i="76" s="1"/>
  <c r="D85" i="76" a="1"/>
  <c r="D85" i="76" s="1"/>
  <c r="D86" i="76" a="1"/>
  <c r="D86" i="76"/>
  <c r="D87" i="76" a="1"/>
  <c r="D87" i="76"/>
  <c r="D88" i="76" a="1"/>
  <c r="D88" i="76" s="1"/>
  <c r="D89" i="76" a="1"/>
  <c r="D89" i="76" s="1"/>
  <c r="D90" i="76" a="1"/>
  <c r="D90" i="76"/>
  <c r="D91" i="76" a="1"/>
  <c r="D91" i="76"/>
  <c r="D92" i="76" a="1"/>
  <c r="D92" i="76" s="1"/>
  <c r="D93" i="76" a="1"/>
  <c r="D93" i="76" s="1"/>
  <c r="D94" i="76" a="1"/>
  <c r="D94" i="76"/>
  <c r="D95" i="76" a="1"/>
  <c r="D95" i="76"/>
  <c r="D96" i="76" a="1"/>
  <c r="D96" i="76" s="1"/>
  <c r="D97" i="76" a="1"/>
  <c r="D97" i="76" s="1"/>
  <c r="D98" i="76" a="1"/>
  <c r="D98" i="76"/>
  <c r="D99" i="76" a="1"/>
  <c r="D99" i="76"/>
  <c r="D100" i="76" a="1"/>
  <c r="D100" i="76" s="1"/>
  <c r="D101" i="76" a="1"/>
  <c r="D101" i="76" s="1"/>
  <c r="D102" i="76" a="1"/>
  <c r="D102" i="76"/>
  <c r="D103" i="76" a="1"/>
  <c r="D103" i="76"/>
  <c r="D104" i="76" a="1"/>
  <c r="D104" i="76" s="1"/>
  <c r="D105" i="76" a="1"/>
  <c r="D105" i="76" s="1"/>
  <c r="D106" i="76" a="1"/>
  <c r="D106" i="76"/>
  <c r="D107" i="76" a="1"/>
  <c r="D107" i="76"/>
  <c r="D108" i="76" a="1"/>
  <c r="D108" i="76" s="1"/>
  <c r="D109" i="76" a="1"/>
  <c r="D109" i="76" s="1"/>
  <c r="D110" i="76" a="1"/>
  <c r="D110" i="76"/>
  <c r="D111" i="76" a="1"/>
  <c r="D111" i="76"/>
  <c r="D112" i="76" a="1"/>
  <c r="D112" i="76" s="1"/>
  <c r="D113" i="76" a="1"/>
  <c r="D113" i="76" s="1"/>
  <c r="D114" i="76" a="1"/>
  <c r="D114" i="76"/>
  <c r="D115" i="76" a="1"/>
  <c r="D115" i="76"/>
  <c r="D116" i="76" a="1"/>
  <c r="D116" i="76" s="1"/>
  <c r="D117" i="76" a="1"/>
  <c r="D117" i="76" s="1"/>
  <c r="D118" i="76" a="1"/>
  <c r="D118" i="76"/>
  <c r="D119" i="76" a="1"/>
  <c r="D119" i="76"/>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c r="D131" i="76" a="1"/>
  <c r="D131" i="76"/>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D6" i="106" l="1" a="1"/>
  <c r="D6" i="106" s="1"/>
  <c r="D6" i="109" s="1"/>
  <c r="J16" i="77"/>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K23" i="12"/>
  <c r="D121" i="78" l="1" a="1"/>
  <c r="D121" i="78" s="1"/>
  <c r="D124" i="78" a="1"/>
  <c r="D124" i="78" s="1"/>
  <c r="D133" i="78" a="1"/>
  <c r="D133" i="78" s="1"/>
  <c r="H9" i="97"/>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39" i="98" a="1"/>
  <c r="D139"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J28" i="97" l="1"/>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D29" i="81"/>
  <c r="D26" i="81"/>
  <c r="D47" i="81"/>
  <c r="D23" i="81"/>
  <c r="D44" i="81"/>
  <c r="D20" i="81"/>
  <c r="D32" i="81"/>
  <c r="D35" i="81"/>
  <c r="D41" i="81"/>
  <c r="D17" i="81"/>
  <c r="D38" i="81"/>
  <c r="D11" i="81"/>
  <c r="D14" i="81"/>
  <c r="I26" i="92"/>
  <c r="D61" i="93" s="1" a="1"/>
  <c r="D61" i="93" s="1"/>
  <c r="D61" i="104" s="1"/>
  <c r="H26" i="92"/>
  <c r="D60" i="93" s="1" a="1"/>
  <c r="D60" i="93" s="1"/>
  <c r="D60" i="104" s="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5" i="81" l="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F2" i="9"/>
  <c r="G2" i="9"/>
  <c r="H2" i="9"/>
  <c r="D4" i="81" l="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tc={AB0D924F-2686-469E-8DE1-711926FD3373}</author>
    <author>tc={AF6EAC86-63E5-41E0-B9E5-C058025D575A}</author>
  </authors>
  <commentList>
    <comment ref="B13" authorId="0" shapeId="0" xr:uid="{AB0D924F-2686-469E-8DE1-711926FD33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does this date refer to the events listed above and below ? e.g. hypogonodal event</t>
      </text>
    </comment>
    <comment ref="B15" authorId="1" shapeId="0" xr:uid="{AF6EAC86-63E5-41E0-B9E5-C058025D575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whcih event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tc={A5788E0F-F56C-4B59-A11F-72527EB95612}</author>
  </authors>
  <commentList>
    <comment ref="D10" authorId="0" shapeId="0" xr:uid="{A5788E0F-F56C-4B59-A11F-72527EB956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<sst xmlns="http://schemas.openxmlformats.org/spreadsheetml/2006/main" count="2744" uniqueCount="1123">
  <si>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</si>
  <si>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</si>
  <si>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</si>
  <si>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</si>
  <si>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</si>
  <si>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</si>
  <si>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</si>
  <si>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</si>
  <si>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</si>
  <si>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</si>
  <si>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</si>
  <si>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</si>
  <si>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</si>
  <si>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</si>
  <si>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</si>
  <si>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</si>
  <si>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</si>
  <si>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</si>
  <si>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</si>
  <si>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</si>
  <si>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</si>
  <si>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</si>
  <si>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</si>
  <si>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</si>
  <si>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</si>
  <si>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</si>
  <si>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</si>
  <si>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</si>
  <si>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</si>
  <si>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</si>
  <si>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</si>
  <si>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</si>
  <si>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</si>
  <si>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</si>
  <si>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</si>
  <si>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</si>
  <si>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</si>
  <si>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</si>
  <si>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</si>
  <si>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</si>
  <si>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</si>
  <si>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</si>
  <si>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</si>
  <si>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</si>
  <si>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</si>
  <si>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</si>
  <si>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</si>
  <si>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</si>
  <si>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</si>
  <si>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</si>
  <si>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</si>
  <si>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</si>
  <si>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</si>
  <si>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</si>
  <si>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</si>
  <si>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</si>
  <si>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</si>
  <si>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</si>
  <si>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</si>
  <si>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</si>
  <si>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</si>
  <si>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</si>
  <si>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</si>
  <si>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</si>
  <si>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</si>
  <si>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</si>
  <si>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</si>
  <si>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</si>
  <si>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</si>
  <si>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</si>
  <si>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</si>
  <si>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</si>
  <si>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</si>
  <si>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</si>
  <si>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</si>
  <si>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</si>
  <si>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</si>
  <si>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</si>
  <si>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</si>
  <si>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</si>
  <si>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</si>
  <si>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</si>
  <si>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</si>
  <si>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</si>
  <si>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</si>
  <si>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</si>
  <si>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</si>
  <si>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</si>
  <si>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</si>
  <si>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</si>
  <si>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</si>
  <si>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</si>
  <si>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</si>
  <si>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</si>
  <si>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</si>
  <si>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</si>
  <si>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</si>
  <si>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</si>
  <si>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</si>
  <si>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</si>
  <si>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</si>
  <si>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</si>
  <si>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</si>
  <si>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</si>
  <si>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</si>
  <si>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</si>
  <si>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</si>
  <si>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</si>
  <si>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</si>
  <si>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</si>
  <si>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</si>
  <si>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</si>
  <si>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</si>
  <si>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</si>
  <si>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</si>
  <si>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</si>
  <si>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</si>
  <si>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</si>
  <si>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</si>
  <si>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</si>
  <si>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</si>
  <si>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</si>
  <si>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</si>
  <si>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</si>
  <si>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</si>
  <si>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</si>
  <si>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</si>
  <si>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</si>
  <si>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</si>
  <si>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</si>
  <si>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</si>
  <si>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</si>
  <si>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</si>
  <si>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</si>
  <si>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</si>
  <si>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</si>
  <si>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</si>
  <si>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</si>
  <si>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</si>
  <si>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</si>
  <si>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</si>
  <si>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</si>
  <si>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</si>
  <si>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</si>
  <si>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</si>
  <si>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</si>
  <si>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</si>
  <si>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</si>
  <si>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</si>
  <si>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</si>
  <si>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</si>
  <si>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</si>
  <si>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</si>
  <si>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</si>
  <si>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</si>
  <si>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</si>
  <si>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</si>
  <si>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</si>
  <si>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</si>
  <si>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</si>
  <si>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</si>
  <si>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</si>
  <si>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</si>
  <si>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</si>
  <si>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</si>
  <si>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</si>
  <si>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</si>
  <si>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</si>
  <si>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</si>
  <si>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</si>
  <si>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</si>
  <si>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</si>
  <si>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</si>
  <si>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</si>
  <si>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</si>
  <si>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</si>
  <si>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</si>
  <si>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</si>
  <si>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</si>
  <si>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</si>
  <si>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</si>
  <si>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</si>
  <si>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</si>
  <si>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</si>
  <si>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</si>
  <si>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</si>
  <si>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</si>
  <si>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</si>
  <si>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</si>
  <si>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</si>
  <si>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</si>
  <si>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</si>
  <si>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</si>
  <si>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</si>
  <si>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</si>
  <si>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</si>
  <si>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</si>
  <si>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</si>
  <si>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</si>
  <si>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</si>
  <si>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</si>
  <si>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</si>
  <si>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</si>
  <si>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</si>
  <si>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</si>
  <si>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</si>
  <si>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</si>
  <si>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</si>
  <si>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</si>
  <si>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</si>
  <si>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</si>
  <si>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</si>
  <si>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</si>
  <si>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</si>
  <si>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</si>
  <si>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</si>
  <si>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</si>
  <si>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</si>
  <si>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</si>
  <si>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</si>
  <si>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</si>
  <si>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</si>
  <si>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</si>
  <si>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</si>
  <si>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</si>
  <si>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</si>
  <si>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</si>
  <si>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</si>
  <si>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</si>
  <si>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</si>
  <si>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</si>
  <si>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</si>
  <si>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</si>
  <si>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</si>
  <si>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</si>
  <si>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</si>
  <si>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</si>
  <si>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</si>
  <si>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</si>
  <si>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</si>
  <si>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</si>
  <si>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</si>
  <si>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</si>
  <si>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</si>
  <si>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</si>
  <si>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</si>
  <si>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</si>
  <si>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</si>
  <si>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</si>
  <si>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</si>
  <si>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</si>
  <si>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</si>
  <si>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</si>
  <si>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</si>
  <si>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</si>
  <si>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</si>
  <si>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</si>
  <si>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</si>
  <si>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</si>
  <si>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</si>
  <si>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</si>
  <si>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</si>
  <si>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</si>
  <si>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</si>
  <si>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</si>
  <si>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</si>
  <si>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</si>
  <si>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</si>
  <si>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</si>
  <si>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</si>
  <si>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</si>
  <si>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</si>
  <si>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</si>
  <si>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</si>
  <si>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</si>
  <si>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</si>
  <si>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</si>
  <si>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</si>
  <si>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</si>
  <si>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</si>
  <si>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</si>
  <si>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</si>
  <si>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</si>
  <si>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</si>
  <si>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</si>
  <si>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</si>
  <si>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</si>
  <si>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</si>
  <si>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</si>
  <si>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</si>
  <si>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</si>
  <si>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</si>
  <si>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</si>
  <si>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</si>
  <si>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</si>
  <si>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</si>
  <si>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</si>
  <si>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</si>
  <si>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</si>
  <si>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</si>
  <si>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</si>
  <si>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</si>
  <si>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</si>
  <si>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</si>
  <si>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</si>
  <si>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</si>
  <si>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</si>
  <si>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</si>
  <si>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</si>
  <si>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</si>
  <si>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</si>
  <si>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</si>
  <si>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</si>
  <si>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</si>
  <si>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</si>
  <si>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</si>
  <si>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</si>
  <si>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</si>
  <si>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</si>
  <si>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</si>
  <si>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</si>
  <si>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</si>
  <si>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</si>
  <si>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</si>
  <si>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</si>
  <si>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</si>
  <si>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</si>
  <si>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</si>
  <si>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</si>
  <si>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</si>
  <si>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</si>
  <si>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</si>
  <si>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</si>
  <si>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</si>
  <si>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</si>
  <si>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</si>
  <si>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</si>
  <si>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</si>
  <si>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</si>
  <si>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</si>
  <si>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</si>
  <si>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</si>
  <si>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</si>
  <si>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</si>
  <si>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</si>
  <si>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</si>
  <si>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</si>
  <si>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</si>
  <si>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</si>
  <si>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</si>
  <si>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</si>
  <si>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</si>
  <si>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</si>
  <si>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</si>
  <si>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</si>
  <si>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</si>
  <si>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</si>
  <si>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</si>
  <si>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</si>
  <si>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</si>
  <si>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</si>
  <si>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</si>
  <si>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</si>
  <si>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</si>
  <si>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</si>
  <si>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</si>
  <si>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</si>
  <si>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</si>
  <si>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</si>
  <si>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</si>
  <si>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</si>
  <si>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</si>
  <si>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</si>
  <si>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</si>
  <si>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</si>
  <si>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</si>
  <si>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</si>
  <si>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</si>
  <si>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</si>
  <si>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</si>
  <si>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</si>
  <si>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</si>
  <si>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</si>
  <si>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</si>
  <si>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</si>
  <si>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</si>
  <si>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</si>
  <si>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</si>
  <si>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</si>
  <si>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</si>
  <si>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</si>
  <si>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</si>
  <si>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</si>
  <si>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</si>
  <si>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</si>
  <si>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</si>
  <si>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</si>
  <si>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</si>
  <si>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</si>
  <si>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</si>
  <si>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</si>
  <si>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</si>
  <si>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</si>
  <si>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</si>
  <si>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</si>
  <si>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</si>
  <si>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</si>
  <si>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</si>
  <si>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</si>
  <si>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</si>
  <si>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</si>
  <si>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</si>
  <si>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</si>
  <si>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</si>
  <si>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</si>
  <si>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</si>
  <si>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</si>
  <si>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</si>
  <si>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</si>
  <si>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</si>
  <si>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</si>
  <si>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</si>
  <si>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</si>
  <si>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</si>
  <si>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</si>
  <si>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</si>
  <si>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</si>
  <si>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</si>
  <si>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</si>
  <si>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</si>
  <si>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</si>
  <si>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</si>
  <si>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</si>
  <si>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</si>
  <si>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</si>
  <si>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</si>
  <si>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</si>
  <si>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</si>
  <si>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</si>
  <si>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</si>
  <si>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</si>
  <si>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</si>
  <si>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</si>
  <si>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</si>
  <si>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</si>
  <si>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</si>
  <si>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</si>
  <si>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</si>
  <si>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</si>
  <si>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</si>
  <si>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</si>
  <si>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</si>
  <si>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</si>
  <si>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</si>
  <si>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</si>
  <si>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</si>
  <si>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</si>
  <si>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</si>
  <si>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</si>
  <si>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</si>
  <si>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</si>
  <si>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</si>
  <si>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</si>
  <si>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</si>
  <si>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</si>
  <si>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</si>
  <si>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</si>
  <si>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</si>
  <si>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</si>
  <si>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</si>
  <si>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</si>
  <si>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</si>
  <si>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</si>
  <si>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</si>
  <si>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</si>
  <si>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</si>
  <si>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</si>
  <si>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</si>
  <si>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</si>
  <si>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</si>
  <si>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</si>
  <si>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</si>
  <si>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</si>
  <si>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</si>
  <si>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</si>
  <si>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</si>
  <si>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</si>
  <si>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</si>
  <si>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</si>
  <si>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</si>
  <si>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</si>
  <si>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</si>
  <si>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</si>
  <si>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</si>
  <si>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</si>
  <si>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</si>
  <si>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</si>
  <si>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</si>
  <si>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</si>
  <si>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</si>
  <si>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</si>
  <si>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</si>
  <si>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</si>
  <si>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</si>
  <si>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</si>
  <si>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</si>
  <si>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</si>
  <si>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</si>
  <si>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</si>
  <si>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</si>
  <si>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</si>
  <si>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</si>
  <si>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</si>
  <si>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</si>
  <si>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</si>
  <si>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</si>
  <si>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</si>
  <si>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</si>
  <si>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</si>
  <si>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</si>
  <si>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</si>
  <si>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</si>
  <si>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</si>
  <si>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</si>
  <si>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</si>
  <si>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</si>
  <si>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</si>
  <si>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</si>
  <si>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</si>
  <si>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</si>
  <si>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</si>
  <si>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</si>
  <si>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</si>
  <si>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</si>
  <si>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</si>
  <si>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</si>
  <si>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</si>
  <si>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</si>
  <si>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</si>
  <si>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</si>
  <si>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</si>
  <si>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</si>
  <si>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</si>
  <si>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</si>
  <si>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</si>
  <si>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</si>
  <si>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</si>
  <si>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</si>
  <si>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</si>
  <si>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</si>
  <si>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</si>
  <si>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</si>
  <si>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</si>
  <si>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</si>
  <si>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</si>
  <si>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</si>
  <si>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</si>
  <si>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</si>
  <si>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</si>
  <si>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</si>
  <si>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</si>
  <si>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</si>
  <si>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</si>
  <si>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</si>
  <si>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</si>
  <si>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</si>
  <si>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</si>
  <si>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</si>
  <si>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</si>
  <si>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</si>
  <si>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</si>
  <si>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</si>
  <si>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</si>
  <si>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</si>
  <si>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</si>
  <si>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</si>
  <si>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</si>
  <si>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</si>
  <si>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</si>
  <si>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</si>
  <si>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</si>
  <si>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</si>
  <si>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</si>
  <si>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</si>
  <si>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</si>
  <si>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</si>
  <si>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</si>
  <si>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</si>
  <si>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</si>
  <si>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</si>
  <si>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</si>
  <si>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</si>
  <si>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</si>
  <si>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</si>
  <si>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</si>
  <si>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</si>
  <si>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</si>
  <si>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</si>
  <si>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</si>
  <si>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</si>
  <si>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</si>
  <si>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</si>
  <si>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</si>
  <si>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</si>
  <si>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</si>
  <si>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</si>
  <si>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</si>
  <si>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</si>
  <si>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</si>
  <si>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</si>
  <si>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</si>
  <si>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</si>
  <si>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</si>
  <si>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</si>
  <si>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</si>
  <si>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</si>
  <si>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</si>
  <si>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</si>
  <si>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</si>
  <si>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</si>
  <si>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</si>
  <si>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</si>
  <si>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</si>
  <si>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</si>
  <si>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</si>
  <si>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</si>
  <si>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</si>
  <si>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</si>
  <si>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</si>
  <si>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</si>
  <si>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</si>
  <si>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</si>
  <si>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</si>
  <si>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</si>
  <si>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</si>
  <si>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</si>
  <si>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</si>
  <si>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</si>
  <si>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</si>
  <si>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</si>
  <si>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</si>
  <si>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</si>
  <si>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</si>
  <si>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</si>
  <si>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</si>
  <si>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</si>
  <si>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</si>
  <si>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</si>
  <si>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</si>
  <si>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</si>
  <si>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</si>
  <si>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</si>
  <si>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</si>
  <si>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</si>
  <si>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</si>
  <si>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</si>
  <si>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</si>
  <si>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</si>
  <si>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</si>
  <si>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</si>
  <si>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</si>
  <si>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</si>
  <si>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</si>
  <si>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</si>
  <si>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</si>
  <si>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</si>
  <si>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</si>
  <si>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</si>
  <si>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</si>
  <si>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</si>
  <si>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</si>
  <si>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</si>
  <si>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</si>
  <si>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</si>
  <si>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</si>
  <si>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</si>
  <si>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</si>
  <si>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</si>
  <si>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</si>
  <si>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</si>
  <si>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</si>
  <si>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</si>
  <si>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</si>
  <si>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</si>
  <si>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</si>
  <si>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</si>
  <si>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</si>
  <si>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</si>
  <si>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</si>
  <si>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</si>
  <si>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</si>
  <si>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</si>
  <si>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</si>
  <si>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</si>
  <si>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</si>
  <si>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</si>
  <si>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</si>
  <si>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</si>
  <si>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</si>
  <si>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</si>
  <si>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</si>
  <si>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</si>
  <si>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</si>
  <si>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</si>
  <si>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</si>
  <si>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</si>
  <si>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</si>
  <si>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</si>
  <si>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</si>
  <si>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</si>
  <si>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</si>
  <si>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</si>
  <si>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</si>
  <si>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</si>
  <si>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</si>
  <si>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</si>
  <si>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</si>
  <si>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</si>
  <si>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</si>
  <si>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</si>
  <si>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</si>
  <si>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</si>
  <si>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</si>
  <si>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</si>
  <si>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</si>
  <si>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</si>
  <si>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</si>
  <si>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</si>
  <si>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</si>
  <si>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</si>
  <si>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</si>
  <si>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</si>
  <si>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</si>
  <si>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</si>
  <si>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</si>
  <si>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</si>
  <si>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</si>
  <si>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</si>
  <si>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</si>
  <si>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</si>
  <si>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</si>
  <si>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</si>
  <si>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</si>
  <si>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</si>
  <si>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</si>
  <si>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</si>
  <si>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</si>
  <si>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</si>
  <si>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</si>
  <si>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</si>
  <si>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</si>
  <si>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</si>
  <si>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</si>
  <si>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</si>
  <si>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</si>
  <si>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</si>
  <si>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</si>
  <si>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</si>
  <si>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</si>
  <si>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</si>
  <si>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</si>
  <si>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</si>
  <si>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</si>
  <si>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</si>
  <si>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</si>
  <si>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</si>
  <si>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</si>
  <si>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</si>
  <si>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</si>
  <si>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</si>
  <si>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</si>
  <si>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</si>
  <si>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</si>
  <si>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</si>
  <si>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</si>
  <si>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</si>
  <si>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</si>
  <si>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</si>
  <si>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</si>
  <si>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</si>
  <si>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</si>
  <si>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</si>
  <si>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</si>
  <si>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</si>
  <si>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</si>
  <si>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</si>
  <si>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</si>
  <si>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</si>
  <si>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</si>
  <si>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</si>
  <si>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</si>
  <si>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</si>
  <si>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</si>
  <si>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</si>
  <si>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</si>
  <si>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</si>
  <si>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</si>
  <si>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</si>
  <si>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</si>
  <si>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</si>
  <si>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</si>
  <si>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</si>
  <si>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</si>
  <si>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</si>
  <si>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</si>
  <si>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</si>
  <si>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</si>
  <si>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</si>
  <si>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</si>
  <si>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</si>
  <si>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</si>
  <si>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</si>
  <si>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</si>
  <si>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</si>
  <si>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</si>
  <si>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</si>
  <si>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</si>
  <si>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</si>
  <si>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</si>
  <si>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</si>
  <si>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</si>
  <si>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</si>
  <si>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</si>
  <si>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</si>
  <si>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</si>
  <si>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</si>
  <si>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</si>
  <si>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</si>
  <si>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</si>
  <si>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</si>
  <si>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</si>
  <si>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</si>
  <si>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</si>
  <si>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</si>
  <si>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</si>
  <si>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</si>
  <si>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</si>
  <si>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</si>
  <si>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</si>
  <si>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</si>
  <si>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</si>
  <si>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</si>
  <si>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</si>
  <si>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</si>
  <si>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</si>
  <si>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</si>
  <si>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</si>
  <si>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</si>
  <si>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</si>
  <si>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</si>
  <si>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</si>
  <si>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</si>
  <si>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</si>
  <si>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</si>
  <si>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</si>
  <si>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</si>
  <si>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</si>
  <si>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</si>
  <si>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</si>
  <si>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</si>
  <si>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</si>
  <si>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</si>
  <si>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</si>
  <si>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</si>
  <si>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</si>
  <si>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</si>
  <si>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</si>
  <si>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</si>
  <si>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</si>
  <si>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</si>
  <si>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</si>
  <si>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</si>
  <si>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</si>
  <si>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</si>
  <si>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</si>
  <si>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</si>
  <si>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</si>
  <si>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</si>
  <si>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</si>
  <si>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</si>
  <si>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</si>
  <si>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</si>
  <si>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</si>
  <si>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</si>
  <si>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</si>
  <si>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</si>
  <si>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</si>
  <si>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</si>
  <si>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</si>
  <si>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</si>
  <si>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</si>
  <si>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</si>
  <si>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</si>
  <si>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</si>
  <si>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</si>
  <si>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</si>
  <si>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</si>
  <si>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</si>
  <si>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</si>
  <si>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.effectivePeriod.start</t>
  </si>
  <si>
    <t>.effectivePeriod.end</t>
  </si>
  <si>
    <t>.exists()</t>
  </si>
  <si>
    <t>.extension(http://hl7.eu/fhir/ig/pcsp/StructureDefinition/ActLocation-eu-pcsp).conformsTo(http://hl7.eu/fhir/ig/pcsp/StructureDefinition/Location-eu-pcsp)</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</si>
  <si>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</si>
  <si>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</si>
  <si>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</si>
  <si>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</si>
  <si>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</si>
  <si>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</si>
  <si>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</si>
  <si>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</si>
  <si>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</si>
  <si>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</si>
  <si>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</si>
  <si>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</si>
  <si>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</si>
  <si>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</si>
  <si>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</si>
  <si>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</si>
  <si>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</si>
  <si>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</si>
  <si>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</si>
  <si>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</si>
  <si>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</si>
  <si>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</si>
  <si>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</si>
  <si>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</si>
  <si>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</si>
  <si>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</si>
  <si>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</si>
  <si>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</si>
  <si>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</si>
  <si>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</si>
  <si>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</si>
  <si>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</si>
  <si>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</si>
  <si>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</si>
  <si>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</si>
  <si>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</si>
  <si>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</si>
  <si>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</si>
  <si>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</si>
  <si>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</si>
  <si>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</si>
  <si>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</si>
  <si>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</si>
  <si>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</si>
  <si>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</si>
  <si>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</si>
  <si>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</si>
  <si>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</si>
  <si>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</si>
  <si>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</si>
  <si>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</si>
  <si>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</si>
  <si>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</si>
  <si>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</si>
  <si>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</si>
  <si>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</si>
  <si>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</si>
  <si>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</si>
  <si>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</si>
  <si>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</si>
  <si>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</si>
  <si>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</si>
  <si>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</si>
  <si>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</si>
  <si>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</si>
  <si>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</si>
  <si>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</si>
  <si>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</si>
  <si>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</si>
  <si>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</si>
  <si>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</si>
  <si>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</si>
  <si>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</si>
  <si>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</si>
  <si>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</si>
  <si>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</si>
  <si>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</si>
  <si>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</si>
  <si>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</si>
  <si>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</si>
  <si>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</si>
  <si>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</si>
  <si>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</si>
  <si>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</si>
  <si>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</si>
  <si>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</si>
  <si>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</si>
  <si>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</si>
  <si>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</si>
  <si>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</si>
  <si>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</si>
  <si>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</si>
  <si>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</si>
  <si>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</si>
  <si>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</si>
  <si>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</si>
  <si>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</si>
  <si>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</si>
  <si>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</si>
  <si>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</si>
  <si>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</si>
  <si>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</si>
  <si>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</si>
  <si>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</si>
  <si>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</si>
  <si>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</si>
  <si>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</si>
  <si>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</si>
  <si>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</si>
  <si>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</si>
  <si>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</si>
  <si>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</si>
  <si>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</si>
  <si>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</si>
  <si>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</si>
  <si>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</si>
  <si>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</si>
  <si>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</si>
  <si>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</si>
  <si>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</si>
  <si>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</si>
  <si>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</si>
  <si>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</si>
  <si>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</si>
  <si>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</si>
  <si>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</si>
  <si>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</si>
  <si>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</si>
  <si>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Procedure.conformsTo('http://hl7.eu/fhir/ig/pcsp/StructureDefinition/Procedure-surgery-eu-pcsp').where(code.memberOf(OtherSurgicalProcedureTypeVs))</t>
  </si>
  <si>
    <t>Procedure.conformsTo('http://hl7.eu/fhir/ig/pcsp/StructureDefinition/Procedure-surgery-eu-pcsp').where(code.memberOf(AmputationProcedureTypeVs)).exists()</t>
  </si>
  <si>
    <t>Procedure.conformsTo('http://hl7.eu/fhir/ig/pcsp/StructureDefinition/Procedure-surgery-eu-pcsp').where(code from ProstheticProcedureTypeVs)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</si>
  <si>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</si>
  <si>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</si>
  <si>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</si>
  <si>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</si>
  <si>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</si>
  <si>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</si>
  <si>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</si>
  <si>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</si>
  <si>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</si>
  <si>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</si>
  <si>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</si>
  <si>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</si>
  <si>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</si>
  <si>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</si>
  <si>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</si>
  <si>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</si>
  <si>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</si>
  <si>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</si>
  <si>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</si>
  <si>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</si>
  <si>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</si>
  <si>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</si>
  <si>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</si>
  <si>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</si>
  <si>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</si>
  <si>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</si>
  <si>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</si>
  <si>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</si>
  <si>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</si>
  <si>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</si>
  <si>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</si>
  <si>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</si>
  <si>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</si>
  <si>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</si>
  <si>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</si>
  <si>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</si>
  <si>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</si>
  <si>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</si>
  <si>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</si>
  <si>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</si>
  <si>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</si>
  <si>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FrontLineTreatment
Maturity Level  1</t>
  </si>
  <si>
    <t>The type of event should be reported
1 =&gt; Relapse
2 =&gt; Progression 
-9922= NK</t>
  </si>
  <si>
    <t>If distant, specify site  (text)</t>
  </si>
  <si>
    <t>Please state if the relapse or progression was local, distant,  combined or unk</t>
  </si>
  <si>
    <t>RelapseDuringFLT</t>
  </si>
  <si>
    <t>Related diagnosis identifier</t>
  </si>
  <si>
    <t>local | distant | combined</t>
  </si>
  <si>
    <t>qualifier</t>
  </si>
  <si>
    <t>relapse | progression</t>
  </si>
  <si>
    <t>site</t>
  </si>
  <si>
    <t>Condition.conformsTo('http://hl7.eu/fhir/ig/pcsp/StructureDefinition/Condition-primaryCancer-eu-pcsp')</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</si>
  <si>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</si>
  <si>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</si>
  <si>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</si>
  <si>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bodySite</t>
  </si>
  <si>
    <t>Progression-Relapse during FLT
Marturity Level: 1</t>
  </si>
  <si>
    <t>Progression-Relapse during FLT identifier</t>
  </si>
  <si>
    <t>OtherInfos</t>
  </si>
  <si>
    <t>Other info and relevant events
Maturity Level 0</t>
  </si>
  <si>
    <t>severeToxicity</t>
  </si>
  <si>
    <t>integer</t>
  </si>
  <si>
    <t>severeToxicity.flag</t>
  </si>
  <si>
    <t>severeToxicity.numberOfToxicity</t>
  </si>
  <si>
    <t>isResolved</t>
  </si>
  <si>
    <t>growthHormoneDeficiency</t>
  </si>
  <si>
    <t>hypogonadal</t>
  </si>
  <si>
    <t>hydrocephalus</t>
  </si>
  <si>
    <t>chronicViralHepatitis</t>
  </si>
  <si>
    <t>sinusoidalObstructionSyndrome</t>
  </si>
  <si>
    <t>cvcPositioned</t>
  </si>
  <si>
    <t>catheterRelatedThrombosis</t>
  </si>
  <si>
    <t>catheterRelatedThrombosis.specification</t>
  </si>
  <si>
    <t>cvcPositioned.isInPlace</t>
  </si>
  <si>
    <t>cvcPositioned.site</t>
  </si>
  <si>
    <t>catheterRelatedThrombosis.occurred</t>
  </si>
  <si>
    <t>Yes/No</t>
  </si>
  <si>
    <t>transfusion.last</t>
  </si>
  <si>
    <t>transfusion.moreThan10</t>
  </si>
  <si>
    <t>fertilityPreseervation</t>
  </si>
  <si>
    <t>fertilityPreseervation.occurred</t>
  </si>
  <si>
    <t>fertilityPreseervation.storage</t>
  </si>
  <si>
    <t>Attacchment</t>
  </si>
  <si>
    <t>dischargeLetter</t>
  </si>
  <si>
    <t>otherTreatment</t>
  </si>
  <si>
    <t>HL7 FHIR</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</si>
  <si>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</si>
  <si>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transfusion</t>
  </si>
  <si>
    <t>transfusion.occured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</si>
</sst>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1">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17" borderId="1" xfId="0" applyFill="1" applyBorder="1"/>
    <xf numFmtId="0" fontId="0" fillId="17" borderId="1" xfId="0" applyFill="1" applyBorder="1" applyAlignment="1">
      <alignment wrapText="1"/>
    </xf>
    <xf numFmtId="0" fontId="0" fillId="0" borderId="0" xfId="0" applyFont="1" applyAlignment="1">
      <alignment wrapText="1"/>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Relapse-map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32</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3" dT="2022-05-01T20:15:47.05" personId="{06D2D05F-EBEA-41C2-92A1-6EF89573BC28}" id="{AB0D924F-2686-469E-8DE1-711926FD3373}">
    <text>does this date refer to the events listed above and below ? e.g. hypogonodal event</text>
  </threadedComment>
  <threadedComment ref="B15" dT="2022-05-01T20:30:58.77" personId="{06D2D05F-EBEA-41C2-92A1-6EF89573BC28}" id="{AF6EAC86-63E5-41E0-B9E5-C058025D575A}">
    <text>whcih event ?</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A5788E0F-F56C-4B59-A11F-72527EB95612}">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5.bin"/><Relationship Id="rId4" Type="http://schemas.microsoft.com/office/2017/10/relationships/threadedComment" Target="../threadedComments/threadedComment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C218" zoomScale="85" zoomScaleNormal="85" workbookViewId="0">
      <selection activeCell="H208" sqref="H208"/>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60" t="s">
        <v>80</v>
      </c>
      <c r="B2" s="61"/>
      <c r="C2" s="62" t="s">
        <v>81</v>
      </c>
      <c r="D2" s="63"/>
      <c r="E2" s="63"/>
      <c r="F2" s="63"/>
      <c r="G2" s="63"/>
      <c r="H2" s="63"/>
      <c r="I2" s="63"/>
      <c r="J2" s="64"/>
      <c r="K2" s="63"/>
    </row>
    <row r="3" spans="1:11" ht="40.5" customHeight="1" x14ac:dyDescent="0.75">
      <c r="A3" s="161"/>
      <c r="B3" s="65"/>
      <c r="C3" s="66" t="s">
        <v>22</v>
      </c>
      <c r="D3" s="67" t="s">
        <v>22</v>
      </c>
      <c r="E3" s="67" t="s">
        <v>82</v>
      </c>
      <c r="F3" s="67"/>
      <c r="G3" s="67" t="s">
        <v>83</v>
      </c>
      <c r="H3" s="67"/>
      <c r="I3" s="67" t="s">
        <v>84</v>
      </c>
      <c r="J3" s="67" t="s">
        <v>85</v>
      </c>
      <c r="K3" s="68" t="s">
        <v>84</v>
      </c>
    </row>
    <row r="4" spans="1:11" ht="40.5" customHeight="1" x14ac:dyDescent="0.75">
      <c r="A4" s="161"/>
      <c r="B4" s="65"/>
      <c r="C4" s="69" t="s">
        <v>53</v>
      </c>
      <c r="D4" s="70" t="s">
        <v>86</v>
      </c>
      <c r="E4" s="70" t="s">
        <v>82</v>
      </c>
      <c r="F4" s="70"/>
      <c r="G4" s="67" t="s">
        <v>87</v>
      </c>
      <c r="H4" s="67"/>
      <c r="I4" s="70" t="s">
        <v>88</v>
      </c>
      <c r="J4" s="67" t="s">
        <v>89</v>
      </c>
      <c r="K4" s="68" t="s">
        <v>90</v>
      </c>
    </row>
    <row r="5" spans="1:11" ht="40.5" customHeight="1" x14ac:dyDescent="0.75">
      <c r="A5" s="161"/>
      <c r="B5" s="65"/>
      <c r="C5" s="69" t="s">
        <v>56</v>
      </c>
      <c r="D5" s="70" t="s">
        <v>91</v>
      </c>
      <c r="E5" s="70" t="s">
        <v>82</v>
      </c>
      <c r="F5" s="70"/>
      <c r="G5" s="67" t="s">
        <v>87</v>
      </c>
      <c r="H5" s="67"/>
      <c r="I5" s="70" t="s">
        <v>92</v>
      </c>
      <c r="J5" s="67" t="s">
        <v>93</v>
      </c>
      <c r="K5" s="68" t="s">
        <v>90</v>
      </c>
    </row>
    <row r="6" spans="1:11" ht="40.5" customHeight="1" x14ac:dyDescent="0.75">
      <c r="A6" s="161"/>
      <c r="B6" s="65"/>
      <c r="C6" s="69" t="s">
        <v>54</v>
      </c>
      <c r="D6" s="70" t="s">
        <v>94</v>
      </c>
      <c r="E6" s="70" t="s">
        <v>82</v>
      </c>
      <c r="F6" s="70"/>
      <c r="G6" s="67" t="s">
        <v>87</v>
      </c>
      <c r="H6" s="67"/>
      <c r="I6" s="70" t="s">
        <v>92</v>
      </c>
      <c r="J6" s="67" t="s">
        <v>95</v>
      </c>
      <c r="K6" s="68" t="s">
        <v>90</v>
      </c>
    </row>
    <row r="7" spans="1:11" ht="40.5" customHeight="1" x14ac:dyDescent="0.75">
      <c r="A7" s="161"/>
      <c r="B7" s="65"/>
      <c r="C7" s="69" t="s">
        <v>55</v>
      </c>
      <c r="D7" s="70" t="s">
        <v>96</v>
      </c>
      <c r="E7" s="70" t="s">
        <v>82</v>
      </c>
      <c r="F7" s="70"/>
      <c r="G7" s="67" t="s">
        <v>87</v>
      </c>
      <c r="H7" s="67"/>
      <c r="I7" s="70" t="s">
        <v>88</v>
      </c>
      <c r="J7" s="67" t="s">
        <v>97</v>
      </c>
      <c r="K7" s="68" t="s">
        <v>90</v>
      </c>
    </row>
    <row r="8" spans="1:11" ht="55.5" x14ac:dyDescent="0.75">
      <c r="A8" s="161"/>
      <c r="B8" s="163" t="s">
        <v>98</v>
      </c>
      <c r="C8" s="69" t="s">
        <v>57</v>
      </c>
      <c r="D8" s="70" t="s">
        <v>99</v>
      </c>
      <c r="E8" s="70" t="s">
        <v>100</v>
      </c>
      <c r="F8" s="70"/>
      <c r="G8" s="71" t="s">
        <v>83</v>
      </c>
      <c r="H8" s="67" t="s">
        <v>101</v>
      </c>
      <c r="I8" s="70" t="s">
        <v>88</v>
      </c>
      <c r="J8" s="67" t="s">
        <v>102</v>
      </c>
      <c r="K8" s="68" t="s">
        <v>84</v>
      </c>
    </row>
    <row r="9" spans="1:11" ht="40.5" customHeight="1" x14ac:dyDescent="0.75">
      <c r="A9" s="161"/>
      <c r="B9" s="163"/>
      <c r="C9" s="66" t="s">
        <v>103</v>
      </c>
      <c r="D9" s="67" t="s">
        <v>104</v>
      </c>
      <c r="E9" s="70" t="s">
        <v>82</v>
      </c>
      <c r="F9" s="70"/>
      <c r="G9" s="71" t="s">
        <v>87</v>
      </c>
      <c r="H9" s="67"/>
      <c r="I9" s="67" t="s">
        <v>105</v>
      </c>
      <c r="J9" s="67" t="s">
        <v>106</v>
      </c>
      <c r="K9" s="68" t="s">
        <v>84</v>
      </c>
    </row>
    <row r="10" spans="1:11" ht="40.5" customHeight="1" x14ac:dyDescent="0.75">
      <c r="A10" s="161"/>
      <c r="B10" s="163" t="s">
        <v>107</v>
      </c>
      <c r="C10" s="69" t="s">
        <v>58</v>
      </c>
      <c r="D10" s="70" t="s">
        <v>108</v>
      </c>
      <c r="E10" s="70" t="s">
        <v>4</v>
      </c>
      <c r="F10" s="70"/>
      <c r="G10" s="67" t="s">
        <v>4</v>
      </c>
      <c r="H10" s="67" t="s">
        <v>109</v>
      </c>
      <c r="I10" s="70" t="s">
        <v>88</v>
      </c>
      <c r="J10" s="67" t="s">
        <v>110</v>
      </c>
      <c r="K10" s="68" t="s">
        <v>90</v>
      </c>
    </row>
    <row r="11" spans="1:11" ht="40.5" customHeight="1" x14ac:dyDescent="0.75">
      <c r="A11" s="161"/>
      <c r="B11" s="163"/>
      <c r="C11" s="69" t="s">
        <v>111</v>
      </c>
      <c r="D11" s="70" t="s">
        <v>112</v>
      </c>
      <c r="E11" s="70" t="s">
        <v>83</v>
      </c>
      <c r="F11" s="70" t="s">
        <v>84</v>
      </c>
      <c r="G11" s="67" t="s">
        <v>83</v>
      </c>
      <c r="H11" s="67"/>
      <c r="I11" s="70" t="s">
        <v>84</v>
      </c>
      <c r="J11" s="67" t="s">
        <v>113</v>
      </c>
      <c r="K11" s="68" t="s">
        <v>84</v>
      </c>
    </row>
    <row r="12" spans="1:11" ht="40.5" customHeight="1" x14ac:dyDescent="0.75">
      <c r="A12" s="161"/>
      <c r="B12" s="65"/>
      <c r="C12" s="69" t="s">
        <v>59</v>
      </c>
      <c r="D12" s="70" t="s">
        <v>114</v>
      </c>
      <c r="E12" s="70" t="s">
        <v>82</v>
      </c>
      <c r="F12" s="70"/>
      <c r="G12" s="67" t="s">
        <v>87</v>
      </c>
      <c r="H12" s="67"/>
      <c r="I12" s="70" t="s">
        <v>92</v>
      </c>
      <c r="J12" s="67" t="s">
        <v>115</v>
      </c>
      <c r="K12" s="68" t="s">
        <v>90</v>
      </c>
    </row>
    <row r="13" spans="1:11" ht="40.5" customHeight="1" x14ac:dyDescent="0.75">
      <c r="A13" s="161"/>
      <c r="B13" s="164" t="s">
        <v>116</v>
      </c>
      <c r="C13" s="69" t="s">
        <v>117</v>
      </c>
      <c r="D13" s="70" t="s">
        <v>118</v>
      </c>
      <c r="E13" s="70" t="s">
        <v>100</v>
      </c>
      <c r="F13" s="70"/>
      <c r="G13" s="67" t="s">
        <v>83</v>
      </c>
      <c r="H13" s="67" t="s">
        <v>119</v>
      </c>
      <c r="I13" s="70" t="s">
        <v>88</v>
      </c>
      <c r="J13" s="67" t="s">
        <v>120</v>
      </c>
      <c r="K13" s="68" t="s">
        <v>90</v>
      </c>
    </row>
    <row r="14" spans="1:11" ht="40.5" customHeight="1" x14ac:dyDescent="0.75">
      <c r="A14" s="161"/>
      <c r="B14" s="165"/>
      <c r="C14" s="69" t="s">
        <v>60</v>
      </c>
      <c r="D14" s="70" t="s">
        <v>121</v>
      </c>
      <c r="E14" s="70" t="s">
        <v>82</v>
      </c>
      <c r="F14" s="70"/>
      <c r="G14" s="67" t="s">
        <v>87</v>
      </c>
      <c r="H14" s="67"/>
      <c r="I14" s="70" t="s">
        <v>122</v>
      </c>
      <c r="J14" s="67" t="s">
        <v>123</v>
      </c>
      <c r="K14" s="70" t="s">
        <v>90</v>
      </c>
    </row>
    <row r="15" spans="1:11" ht="40.5" customHeight="1" thickBot="1" x14ac:dyDescent="0.9">
      <c r="A15" s="162"/>
      <c r="B15" s="166"/>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67" t="s">
        <v>128</v>
      </c>
      <c r="B17" s="61"/>
      <c r="C17" s="66" t="s">
        <v>129</v>
      </c>
      <c r="D17" s="67" t="s">
        <v>130</v>
      </c>
      <c r="E17" s="67" t="s">
        <v>83</v>
      </c>
      <c r="F17" s="67" t="s">
        <v>84</v>
      </c>
      <c r="G17" s="67" t="s">
        <v>83</v>
      </c>
      <c r="H17" s="67"/>
      <c r="I17" s="67" t="s">
        <v>84</v>
      </c>
      <c r="J17" s="67" t="s">
        <v>131</v>
      </c>
      <c r="K17" s="68" t="s">
        <v>84</v>
      </c>
    </row>
    <row r="18" spans="1:14" ht="40.5" customHeight="1" x14ac:dyDescent="0.75">
      <c r="A18" s="168"/>
      <c r="B18" s="65"/>
      <c r="C18" s="69" t="s">
        <v>132</v>
      </c>
      <c r="D18" s="70" t="s">
        <v>133</v>
      </c>
      <c r="E18" s="70" t="s">
        <v>4</v>
      </c>
      <c r="F18" s="70"/>
      <c r="G18" s="67" t="s">
        <v>4</v>
      </c>
      <c r="H18" s="67" t="s">
        <v>109</v>
      </c>
      <c r="I18" s="70" t="s">
        <v>88</v>
      </c>
      <c r="J18" s="67" t="s">
        <v>134</v>
      </c>
      <c r="K18" s="68" t="s">
        <v>84</v>
      </c>
    </row>
    <row r="19" spans="1:14" s="74" customFormat="1" ht="40.5" customHeight="1" x14ac:dyDescent="0.75">
      <c r="A19" s="168"/>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68"/>
      <c r="B20" s="65"/>
      <c r="C20" s="69" t="s">
        <v>140</v>
      </c>
      <c r="D20" s="70" t="s">
        <v>141</v>
      </c>
      <c r="E20" s="70" t="s">
        <v>82</v>
      </c>
      <c r="F20" s="70" t="s">
        <v>84</v>
      </c>
      <c r="G20" s="70" t="s">
        <v>87</v>
      </c>
      <c r="H20" s="70"/>
      <c r="I20" s="70" t="s">
        <v>84</v>
      </c>
      <c r="J20" s="67" t="s">
        <v>142</v>
      </c>
      <c r="K20" s="75" t="s">
        <v>84</v>
      </c>
    </row>
    <row r="21" spans="1:14" ht="40.5" customHeight="1" x14ac:dyDescent="0.75">
      <c r="A21" s="168"/>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68"/>
      <c r="B22" s="76"/>
      <c r="C22" s="66" t="s">
        <v>147</v>
      </c>
      <c r="D22" s="67" t="s">
        <v>148</v>
      </c>
      <c r="E22" s="70" t="s">
        <v>82</v>
      </c>
      <c r="F22" s="70"/>
      <c r="G22" s="67" t="s">
        <v>87</v>
      </c>
      <c r="H22" s="67"/>
      <c r="I22" s="67" t="s">
        <v>149</v>
      </c>
      <c r="J22" s="67" t="s">
        <v>150</v>
      </c>
      <c r="K22" s="77" t="s">
        <v>84</v>
      </c>
    </row>
    <row r="23" spans="1:14" ht="40.5" customHeight="1" x14ac:dyDescent="0.75">
      <c r="A23" s="168"/>
      <c r="B23" s="65"/>
      <c r="C23" s="69" t="s">
        <v>151</v>
      </c>
      <c r="D23" s="70" t="s">
        <v>152</v>
      </c>
      <c r="E23" s="70" t="s">
        <v>4</v>
      </c>
      <c r="F23" s="70"/>
      <c r="G23" s="67" t="s">
        <v>4</v>
      </c>
      <c r="H23" s="67" t="s">
        <v>109</v>
      </c>
      <c r="I23" s="70" t="s">
        <v>153</v>
      </c>
      <c r="J23" s="67" t="s">
        <v>154</v>
      </c>
      <c r="K23" s="70" t="s">
        <v>90</v>
      </c>
    </row>
    <row r="24" spans="1:14" ht="40.5" customHeight="1" x14ac:dyDescent="0.75">
      <c r="A24" s="168"/>
      <c r="B24" s="65"/>
      <c r="C24" s="69" t="s">
        <v>155</v>
      </c>
      <c r="D24" s="70" t="s">
        <v>156</v>
      </c>
      <c r="E24" s="70" t="s">
        <v>100</v>
      </c>
      <c r="F24" s="70" t="s">
        <v>84</v>
      </c>
      <c r="G24" s="67" t="s">
        <v>87</v>
      </c>
      <c r="H24" s="67" t="s">
        <v>157</v>
      </c>
      <c r="I24" s="70" t="s">
        <v>84</v>
      </c>
      <c r="J24" s="67" t="s">
        <v>158</v>
      </c>
      <c r="K24" s="68" t="s">
        <v>84</v>
      </c>
    </row>
    <row r="25" spans="1:14" ht="40.5" customHeight="1" x14ac:dyDescent="0.75">
      <c r="A25" s="168"/>
      <c r="B25" s="65"/>
      <c r="C25" s="69" t="s">
        <v>62</v>
      </c>
      <c r="D25" s="70" t="s">
        <v>159</v>
      </c>
      <c r="E25" s="70" t="s">
        <v>100</v>
      </c>
      <c r="F25" s="70"/>
      <c r="G25" s="67" t="s">
        <v>87</v>
      </c>
      <c r="H25" s="67" t="s">
        <v>160</v>
      </c>
      <c r="I25" s="70" t="s">
        <v>88</v>
      </c>
      <c r="J25" s="67" t="s">
        <v>161</v>
      </c>
      <c r="K25" s="68" t="s">
        <v>84</v>
      </c>
    </row>
    <row r="26" spans="1:14" ht="40.5" customHeight="1" x14ac:dyDescent="0.75">
      <c r="A26" s="168"/>
      <c r="B26" s="65"/>
      <c r="C26" s="69" t="s">
        <v>162</v>
      </c>
      <c r="D26" s="70" t="s">
        <v>163</v>
      </c>
      <c r="E26" s="70" t="s">
        <v>100</v>
      </c>
      <c r="F26" s="70" t="s">
        <v>84</v>
      </c>
      <c r="G26" s="67" t="s">
        <v>83</v>
      </c>
      <c r="H26" s="67"/>
      <c r="I26" s="70" t="s">
        <v>84</v>
      </c>
      <c r="J26" s="67" t="s">
        <v>164</v>
      </c>
      <c r="K26" s="68" t="s">
        <v>90</v>
      </c>
    </row>
    <row r="27" spans="1:14" ht="40.5" customHeight="1" x14ac:dyDescent="0.75">
      <c r="A27" s="168"/>
      <c r="B27" s="65"/>
      <c r="C27" s="69" t="s">
        <v>165</v>
      </c>
      <c r="D27" s="70" t="s">
        <v>166</v>
      </c>
      <c r="E27" s="70" t="s">
        <v>82</v>
      </c>
      <c r="F27" s="70"/>
      <c r="G27" s="67" t="s">
        <v>87</v>
      </c>
      <c r="H27" s="67"/>
      <c r="I27" s="70" t="s">
        <v>92</v>
      </c>
      <c r="J27" s="67" t="s">
        <v>167</v>
      </c>
      <c r="K27" s="68" t="s">
        <v>84</v>
      </c>
    </row>
    <row r="28" spans="1:14" ht="40.5" customHeight="1" x14ac:dyDescent="0.75">
      <c r="A28" s="168"/>
      <c r="B28" s="65"/>
      <c r="C28" s="69" t="s">
        <v>168</v>
      </c>
      <c r="D28" s="67" t="s">
        <v>169</v>
      </c>
      <c r="E28" s="70" t="s">
        <v>100</v>
      </c>
      <c r="F28" s="70"/>
      <c r="G28" s="67" t="s">
        <v>87</v>
      </c>
      <c r="H28" s="67" t="s">
        <v>170</v>
      </c>
      <c r="I28" s="70" t="s">
        <v>88</v>
      </c>
      <c r="J28" s="67" t="s">
        <v>171</v>
      </c>
      <c r="K28" s="68" t="s">
        <v>84</v>
      </c>
    </row>
    <row r="29" spans="1:14" ht="40.5" customHeight="1" x14ac:dyDescent="0.75">
      <c r="A29" s="168"/>
      <c r="B29" s="65"/>
      <c r="C29" s="69" t="s">
        <v>172</v>
      </c>
      <c r="D29" s="70" t="s">
        <v>173</v>
      </c>
      <c r="E29" s="70" t="s">
        <v>82</v>
      </c>
      <c r="F29" s="70"/>
      <c r="G29" s="67" t="s">
        <v>87</v>
      </c>
      <c r="H29" s="67"/>
      <c r="I29" s="70" t="s">
        <v>92</v>
      </c>
      <c r="J29" s="67" t="s">
        <v>174</v>
      </c>
      <c r="K29" s="68" t="s">
        <v>84</v>
      </c>
    </row>
    <row r="30" spans="1:14" ht="111" x14ac:dyDescent="0.75">
      <c r="A30" s="168"/>
      <c r="B30" s="65"/>
      <c r="C30" s="69" t="s">
        <v>175</v>
      </c>
      <c r="D30" s="70" t="s">
        <v>176</v>
      </c>
      <c r="E30" s="70" t="s">
        <v>100</v>
      </c>
      <c r="F30" s="70"/>
      <c r="G30" s="67" t="s">
        <v>83</v>
      </c>
      <c r="H30" s="67" t="s">
        <v>177</v>
      </c>
      <c r="I30" s="67" t="s">
        <v>84</v>
      </c>
      <c r="J30" s="67" t="s">
        <v>178</v>
      </c>
      <c r="K30" s="68" t="s">
        <v>84</v>
      </c>
    </row>
    <row r="31" spans="1:14" ht="40.5" customHeight="1" x14ac:dyDescent="0.75">
      <c r="A31" s="168"/>
      <c r="B31" s="65"/>
      <c r="C31" s="69" t="s">
        <v>179</v>
      </c>
      <c r="D31" s="70" t="s">
        <v>180</v>
      </c>
      <c r="E31" s="70" t="s">
        <v>100</v>
      </c>
      <c r="F31" s="70"/>
      <c r="G31" s="67" t="s">
        <v>83</v>
      </c>
      <c r="H31" s="67" t="s">
        <v>181</v>
      </c>
      <c r="I31" s="67" t="s">
        <v>84</v>
      </c>
      <c r="J31" s="67" t="s">
        <v>182</v>
      </c>
      <c r="K31" s="68" t="s">
        <v>84</v>
      </c>
    </row>
    <row r="32" spans="1:14" ht="40.5" customHeight="1" x14ac:dyDescent="0.75">
      <c r="A32" s="168"/>
      <c r="B32" s="65"/>
      <c r="C32" s="69" t="s">
        <v>183</v>
      </c>
      <c r="D32" s="70" t="s">
        <v>184</v>
      </c>
      <c r="E32" s="70" t="s">
        <v>100</v>
      </c>
      <c r="F32" s="70"/>
      <c r="G32" s="67" t="s">
        <v>83</v>
      </c>
      <c r="H32" s="67" t="s">
        <v>185</v>
      </c>
      <c r="I32" s="67" t="s">
        <v>186</v>
      </c>
      <c r="J32" s="67"/>
      <c r="K32" s="68" t="s">
        <v>90</v>
      </c>
    </row>
    <row r="33" spans="1:11" ht="40.5" customHeight="1" x14ac:dyDescent="0.75">
      <c r="A33" s="168"/>
      <c r="B33" s="65"/>
      <c r="C33" s="69" t="s">
        <v>187</v>
      </c>
      <c r="D33" s="70" t="s">
        <v>188</v>
      </c>
      <c r="E33" s="70" t="s">
        <v>100</v>
      </c>
      <c r="F33" s="70"/>
      <c r="G33" s="67" t="s">
        <v>87</v>
      </c>
      <c r="H33" s="67"/>
      <c r="I33" s="70" t="s">
        <v>189</v>
      </c>
      <c r="J33" s="67" t="s">
        <v>190</v>
      </c>
      <c r="K33" s="68" t="s">
        <v>84</v>
      </c>
    </row>
    <row r="34" spans="1:11" ht="40.5" customHeight="1" x14ac:dyDescent="0.75">
      <c r="A34" s="168"/>
      <c r="B34" s="65"/>
      <c r="C34" s="69" t="s">
        <v>191</v>
      </c>
      <c r="D34" s="70" t="s">
        <v>192</v>
      </c>
      <c r="E34" s="70" t="s">
        <v>82</v>
      </c>
      <c r="F34" s="70"/>
      <c r="G34" s="67" t="s">
        <v>87</v>
      </c>
      <c r="H34" s="67"/>
      <c r="I34" s="70" t="s">
        <v>193</v>
      </c>
      <c r="J34" s="67" t="s">
        <v>194</v>
      </c>
      <c r="K34" s="68" t="s">
        <v>84</v>
      </c>
    </row>
    <row r="35" spans="1:11" ht="40.5" customHeight="1" x14ac:dyDescent="0.75">
      <c r="A35" s="168"/>
      <c r="B35" s="65"/>
      <c r="C35" s="69" t="s">
        <v>195</v>
      </c>
      <c r="D35" s="70" t="s">
        <v>196</v>
      </c>
      <c r="E35" s="70" t="s">
        <v>82</v>
      </c>
      <c r="F35" s="70"/>
      <c r="G35" s="67" t="s">
        <v>87</v>
      </c>
      <c r="H35" s="67"/>
      <c r="I35" s="70" t="s">
        <v>92</v>
      </c>
      <c r="J35" s="67" t="s">
        <v>197</v>
      </c>
      <c r="K35" s="68" t="s">
        <v>84</v>
      </c>
    </row>
    <row r="36" spans="1:11" ht="40.5" customHeight="1" x14ac:dyDescent="0.75">
      <c r="A36" s="168"/>
      <c r="B36" s="65"/>
      <c r="C36" s="69" t="s">
        <v>198</v>
      </c>
      <c r="D36" s="70" t="s">
        <v>199</v>
      </c>
      <c r="E36" s="70" t="s">
        <v>82</v>
      </c>
      <c r="F36" s="70"/>
      <c r="G36" s="67" t="s">
        <v>87</v>
      </c>
      <c r="H36" s="67"/>
      <c r="I36" s="70" t="s">
        <v>92</v>
      </c>
      <c r="J36" s="67" t="s">
        <v>200</v>
      </c>
      <c r="K36" s="68" t="s">
        <v>84</v>
      </c>
    </row>
    <row r="37" spans="1:11" ht="40.5" customHeight="1" x14ac:dyDescent="0.75">
      <c r="A37" s="168"/>
      <c r="B37" s="65"/>
      <c r="C37" s="69" t="s">
        <v>201</v>
      </c>
      <c r="D37" s="70" t="s">
        <v>202</v>
      </c>
      <c r="E37" s="70" t="s">
        <v>82</v>
      </c>
      <c r="F37" s="70"/>
      <c r="G37" s="67" t="s">
        <v>87</v>
      </c>
      <c r="H37" s="67"/>
      <c r="I37" s="70" t="s">
        <v>92</v>
      </c>
      <c r="J37" s="67" t="s">
        <v>203</v>
      </c>
      <c r="K37" s="68" t="s">
        <v>84</v>
      </c>
    </row>
    <row r="38" spans="1:11" ht="40.5" customHeight="1" x14ac:dyDescent="0.75">
      <c r="A38" s="168"/>
      <c r="B38" s="65"/>
      <c r="C38" s="69" t="s">
        <v>204</v>
      </c>
      <c r="D38" s="70" t="s">
        <v>205</v>
      </c>
      <c r="E38" s="70" t="s">
        <v>100</v>
      </c>
      <c r="F38" s="70"/>
      <c r="G38" s="67" t="s">
        <v>83</v>
      </c>
      <c r="H38" s="79" t="s">
        <v>206</v>
      </c>
      <c r="I38" s="70" t="s">
        <v>88</v>
      </c>
      <c r="J38" s="67" t="s">
        <v>207</v>
      </c>
      <c r="K38" s="68" t="s">
        <v>84</v>
      </c>
    </row>
    <row r="39" spans="1:11" ht="40.5" customHeight="1" x14ac:dyDescent="0.75">
      <c r="A39" s="168"/>
      <c r="B39" s="65"/>
      <c r="C39" s="69" t="s">
        <v>208</v>
      </c>
      <c r="D39" s="67" t="s">
        <v>209</v>
      </c>
      <c r="E39" s="70" t="s">
        <v>100</v>
      </c>
      <c r="F39" s="70"/>
      <c r="G39" s="67" t="s">
        <v>87</v>
      </c>
      <c r="H39" s="67" t="s">
        <v>210</v>
      </c>
      <c r="I39" s="67" t="s">
        <v>211</v>
      </c>
      <c r="J39" s="67" t="s">
        <v>212</v>
      </c>
      <c r="K39" s="68" t="s">
        <v>84</v>
      </c>
    </row>
    <row r="40" spans="1:11" ht="40.5" customHeight="1" x14ac:dyDescent="0.75">
      <c r="A40" s="168"/>
      <c r="B40" s="65"/>
      <c r="C40" s="69" t="s">
        <v>213</v>
      </c>
      <c r="D40" s="67" t="s">
        <v>214</v>
      </c>
      <c r="E40" s="70" t="s">
        <v>82</v>
      </c>
      <c r="F40" s="70"/>
      <c r="G40" s="67" t="s">
        <v>87</v>
      </c>
      <c r="H40" s="67"/>
      <c r="I40" s="67" t="s">
        <v>215</v>
      </c>
      <c r="J40" s="67" t="s">
        <v>216</v>
      </c>
      <c r="K40" s="68" t="s">
        <v>84</v>
      </c>
    </row>
    <row r="41" spans="1:11" ht="40.5" customHeight="1" x14ac:dyDescent="0.75">
      <c r="A41" s="168"/>
      <c r="B41" s="80" t="s">
        <v>217</v>
      </c>
      <c r="C41" s="69" t="s">
        <v>218</v>
      </c>
      <c r="D41" s="70" t="s">
        <v>219</v>
      </c>
      <c r="E41" s="70" t="s">
        <v>100</v>
      </c>
      <c r="F41" s="70"/>
      <c r="G41" s="67" t="s">
        <v>83</v>
      </c>
      <c r="H41" s="67" t="s">
        <v>206</v>
      </c>
      <c r="I41" s="70" t="s">
        <v>88</v>
      </c>
      <c r="J41" s="67" t="s">
        <v>220</v>
      </c>
      <c r="K41" s="68" t="s">
        <v>84</v>
      </c>
    </row>
    <row r="42" spans="1:11" ht="40.5" customHeight="1" x14ac:dyDescent="0.75">
      <c r="A42" s="168"/>
      <c r="B42" s="80" t="s">
        <v>221</v>
      </c>
      <c r="C42" s="81" t="s">
        <v>222</v>
      </c>
      <c r="D42" s="79" t="s">
        <v>223</v>
      </c>
      <c r="E42" s="67" t="s">
        <v>224</v>
      </c>
      <c r="F42" s="67"/>
      <c r="G42" s="67" t="s">
        <v>87</v>
      </c>
      <c r="H42" s="77"/>
      <c r="I42" s="67" t="s">
        <v>225</v>
      </c>
      <c r="J42" s="79" t="s">
        <v>226</v>
      </c>
      <c r="K42" s="68" t="s">
        <v>84</v>
      </c>
    </row>
    <row r="43" spans="1:11" ht="40.5" customHeight="1" thickBot="1" x14ac:dyDescent="0.9">
      <c r="A43" s="169"/>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64" t="s">
        <v>234</v>
      </c>
      <c r="C46" s="69" t="s">
        <v>235</v>
      </c>
      <c r="D46" s="70" t="s">
        <v>236</v>
      </c>
      <c r="E46" s="70" t="s">
        <v>100</v>
      </c>
      <c r="F46" s="70"/>
      <c r="G46" s="67" t="s">
        <v>83</v>
      </c>
      <c r="H46" s="67" t="s">
        <v>237</v>
      </c>
      <c r="I46" s="70" t="s">
        <v>88</v>
      </c>
      <c r="J46" s="67" t="s">
        <v>238</v>
      </c>
      <c r="K46" s="68" t="s">
        <v>84</v>
      </c>
    </row>
    <row r="47" spans="1:11" ht="40.5" customHeight="1" x14ac:dyDescent="0.75">
      <c r="A47" s="89"/>
      <c r="B47" s="165"/>
      <c r="C47" s="69" t="s">
        <v>239</v>
      </c>
      <c r="D47" s="70" t="s">
        <v>240</v>
      </c>
      <c r="E47" s="70" t="s">
        <v>82</v>
      </c>
      <c r="F47" s="70"/>
      <c r="G47" s="67" t="s">
        <v>87</v>
      </c>
      <c r="H47" s="67"/>
      <c r="I47" s="67" t="s">
        <v>241</v>
      </c>
      <c r="J47" s="67" t="s">
        <v>242</v>
      </c>
      <c r="K47" s="68" t="s">
        <v>84</v>
      </c>
    </row>
    <row r="48" spans="1:11" ht="40.5" customHeight="1" x14ac:dyDescent="0.75">
      <c r="A48" s="89"/>
      <c r="B48" s="166"/>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57"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58"/>
      <c r="C101" s="67" t="s">
        <v>412</v>
      </c>
      <c r="D101" s="67" t="s">
        <v>413</v>
      </c>
      <c r="E101" s="70" t="s">
        <v>100</v>
      </c>
      <c r="F101" s="70"/>
      <c r="G101" s="67" t="s">
        <v>83</v>
      </c>
      <c r="H101" s="67" t="s">
        <v>414</v>
      </c>
      <c r="I101" s="70" t="s">
        <v>92</v>
      </c>
      <c r="J101" s="67" t="s">
        <v>415</v>
      </c>
      <c r="K101" s="68" t="s">
        <v>90</v>
      </c>
    </row>
    <row r="102" spans="1:11" ht="40.5" customHeight="1" x14ac:dyDescent="0.75">
      <c r="A102" s="68"/>
      <c r="B102" s="158"/>
      <c r="C102" s="70" t="s">
        <v>416</v>
      </c>
      <c r="D102" s="70" t="s">
        <v>417</v>
      </c>
      <c r="E102" s="70" t="s">
        <v>100</v>
      </c>
      <c r="F102" s="70"/>
      <c r="G102" s="67" t="s">
        <v>83</v>
      </c>
      <c r="H102" s="70" t="s">
        <v>418</v>
      </c>
      <c r="I102" s="70" t="s">
        <v>419</v>
      </c>
      <c r="J102" s="67" t="s">
        <v>416</v>
      </c>
      <c r="K102" s="68" t="s">
        <v>90</v>
      </c>
    </row>
    <row r="103" spans="1:11" ht="40.5" customHeight="1" x14ac:dyDescent="0.75">
      <c r="A103" s="68"/>
      <c r="B103" s="159"/>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891</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c r="C212" s="92" t="s">
        <v>743</v>
      </c>
      <c r="D212" s="92" t="s">
        <v>744</v>
      </c>
      <c r="E212" s="92" t="s">
        <v>100</v>
      </c>
      <c r="F212" s="92"/>
      <c r="G212" s="67" t="s">
        <v>83</v>
      </c>
      <c r="H212" s="67" t="s">
        <v>745</v>
      </c>
      <c r="I212" s="67" t="s">
        <v>738</v>
      </c>
      <c r="J212" s="67" t="s">
        <v>746</v>
      </c>
      <c r="K212" s="68" t="s">
        <v>84</v>
      </c>
    </row>
    <row r="213" spans="2:11" ht="40.5" customHeight="1" x14ac:dyDescent="0.75">
      <c r="B213" s="103"/>
      <c r="C213" s="67" t="s">
        <v>747</v>
      </c>
      <c r="D213" s="92" t="s">
        <v>748</v>
      </c>
      <c r="E213" s="67" t="s">
        <v>100</v>
      </c>
      <c r="F213" s="67"/>
      <c r="G213" s="67" t="s">
        <v>83</v>
      </c>
      <c r="H213" s="67" t="s">
        <v>261</v>
      </c>
      <c r="I213" s="67" t="s">
        <v>84</v>
      </c>
      <c r="J213" s="67" t="s">
        <v>749</v>
      </c>
      <c r="K213" s="77" t="s">
        <v>90</v>
      </c>
    </row>
    <row r="214" spans="2:11" ht="40.5" customHeight="1" x14ac:dyDescent="0.75">
      <c r="B214" s="103"/>
      <c r="C214" s="67" t="s">
        <v>750</v>
      </c>
      <c r="D214" s="92" t="s">
        <v>751</v>
      </c>
      <c r="E214" s="67" t="s">
        <v>100</v>
      </c>
      <c r="F214" s="67"/>
      <c r="G214" s="67" t="s">
        <v>83</v>
      </c>
      <c r="H214" s="67" t="s">
        <v>261</v>
      </c>
      <c r="I214" s="67" t="s">
        <v>84</v>
      </c>
      <c r="J214" s="67" t="s">
        <v>752</v>
      </c>
      <c r="K214" s="77" t="s">
        <v>90</v>
      </c>
    </row>
    <row r="215" spans="2:11" ht="40.5" customHeight="1" x14ac:dyDescent="0.75">
      <c r="B215" s="103"/>
      <c r="C215" s="67" t="s">
        <v>753</v>
      </c>
      <c r="D215" s="67" t="s">
        <v>754</v>
      </c>
      <c r="E215" s="67" t="s">
        <v>100</v>
      </c>
      <c r="F215" s="67"/>
      <c r="G215" s="67" t="s">
        <v>83</v>
      </c>
      <c r="H215" s="67" t="s">
        <v>261</v>
      </c>
      <c r="I215" s="67" t="s">
        <v>84</v>
      </c>
      <c r="J215" s="67" t="s">
        <v>755</v>
      </c>
      <c r="K215" s="77" t="s">
        <v>90</v>
      </c>
    </row>
    <row r="216" spans="2:11" ht="40.5" customHeight="1" x14ac:dyDescent="0.75">
      <c r="B216" s="103"/>
      <c r="C216" s="67" t="s">
        <v>756</v>
      </c>
      <c r="D216" s="67" t="s">
        <v>757</v>
      </c>
      <c r="E216" s="67" t="s">
        <v>100</v>
      </c>
      <c r="F216" s="67"/>
      <c r="G216" s="67" t="s">
        <v>83</v>
      </c>
      <c r="H216" s="67" t="s">
        <v>261</v>
      </c>
      <c r="I216" s="67" t="s">
        <v>84</v>
      </c>
      <c r="J216" s="67" t="s">
        <v>758</v>
      </c>
      <c r="K216" s="77" t="s">
        <v>90</v>
      </c>
    </row>
    <row r="217" spans="2:11" ht="40.5" customHeight="1" x14ac:dyDescent="0.75">
      <c r="B217" s="103"/>
      <c r="C217" s="67" t="s">
        <v>759</v>
      </c>
      <c r="D217" s="67" t="s">
        <v>760</v>
      </c>
      <c r="E217" s="67" t="s">
        <v>100</v>
      </c>
      <c r="F217" s="67"/>
      <c r="G217" s="67" t="s">
        <v>83</v>
      </c>
      <c r="H217" s="67" t="s">
        <v>261</v>
      </c>
      <c r="I217" s="67" t="s">
        <v>84</v>
      </c>
      <c r="J217" s="67" t="s">
        <v>761</v>
      </c>
      <c r="K217" s="77" t="s">
        <v>90</v>
      </c>
    </row>
    <row r="218" spans="2:11" ht="40.5" customHeight="1" x14ac:dyDescent="0.75">
      <c r="B218" s="103"/>
      <c r="C218" s="92" t="s">
        <v>762</v>
      </c>
      <c r="D218" s="92" t="s">
        <v>763</v>
      </c>
      <c r="E218" s="92" t="s">
        <v>100</v>
      </c>
      <c r="F218" s="92"/>
      <c r="G218" s="67" t="s">
        <v>83</v>
      </c>
      <c r="H218" s="67" t="s">
        <v>764</v>
      </c>
      <c r="I218" s="67" t="s">
        <v>84</v>
      </c>
      <c r="J218" s="67" t="s">
        <v>765</v>
      </c>
      <c r="K218" s="68" t="s">
        <v>84</v>
      </c>
    </row>
    <row r="219" spans="2:11" ht="40.5" customHeight="1" x14ac:dyDescent="0.75">
      <c r="B219" s="103"/>
      <c r="C219" s="92" t="s">
        <v>766</v>
      </c>
      <c r="D219" s="92" t="s">
        <v>767</v>
      </c>
      <c r="E219" s="92" t="s">
        <v>100</v>
      </c>
      <c r="F219" s="92"/>
      <c r="G219" s="67" t="s">
        <v>83</v>
      </c>
      <c r="H219" s="67" t="s">
        <v>768</v>
      </c>
      <c r="I219" s="70" t="s">
        <v>769</v>
      </c>
      <c r="J219" s="67" t="s">
        <v>770</v>
      </c>
      <c r="K219" s="68" t="s">
        <v>90</v>
      </c>
    </row>
    <row r="220" spans="2:11" ht="40.5" customHeight="1" x14ac:dyDescent="0.75">
      <c r="B220" s="103"/>
      <c r="C220" s="70" t="s">
        <v>771</v>
      </c>
      <c r="D220" s="70" t="s">
        <v>772</v>
      </c>
      <c r="E220" s="70" t="s">
        <v>82</v>
      </c>
      <c r="F220" s="70"/>
      <c r="G220" s="67" t="s">
        <v>87</v>
      </c>
      <c r="H220" s="67"/>
      <c r="I220" s="70" t="s">
        <v>769</v>
      </c>
      <c r="J220" s="67" t="s">
        <v>773</v>
      </c>
      <c r="K220" s="68" t="s">
        <v>84</v>
      </c>
    </row>
    <row r="221" spans="2:11" ht="40.5" customHeight="1" x14ac:dyDescent="0.75">
      <c r="B221" s="103"/>
      <c r="C221" s="95" t="s">
        <v>774</v>
      </c>
      <c r="D221" s="95" t="s">
        <v>775</v>
      </c>
      <c r="E221" s="95" t="s">
        <v>565</v>
      </c>
      <c r="F221" s="95"/>
      <c r="G221" s="67" t="s">
        <v>83</v>
      </c>
      <c r="H221" s="67" t="s">
        <v>271</v>
      </c>
      <c r="I221" s="70" t="s">
        <v>769</v>
      </c>
      <c r="J221" s="67" t="s">
        <v>776</v>
      </c>
      <c r="K221" s="68" t="s">
        <v>84</v>
      </c>
    </row>
    <row r="222" spans="2:11" ht="40.5" customHeight="1" x14ac:dyDescent="0.75">
      <c r="B222" s="103"/>
      <c r="C222" s="67" t="s">
        <v>777</v>
      </c>
      <c r="D222" s="67" t="s">
        <v>778</v>
      </c>
      <c r="E222" s="70" t="s">
        <v>82</v>
      </c>
      <c r="F222" s="70"/>
      <c r="G222" s="67" t="s">
        <v>87</v>
      </c>
      <c r="H222" s="67"/>
      <c r="I222" s="67" t="s">
        <v>779</v>
      </c>
      <c r="J222" s="67" t="s">
        <v>780</v>
      </c>
      <c r="K222" s="68" t="s">
        <v>84</v>
      </c>
    </row>
    <row r="223" spans="2:11" ht="40.5" customHeight="1" x14ac:dyDescent="0.75">
      <c r="B223" s="103"/>
      <c r="C223" s="92" t="s">
        <v>781</v>
      </c>
      <c r="D223" s="92" t="s">
        <v>782</v>
      </c>
      <c r="E223" s="92" t="s">
        <v>100</v>
      </c>
      <c r="F223" s="92"/>
      <c r="G223" s="67" t="s">
        <v>83</v>
      </c>
      <c r="H223" s="67" t="s">
        <v>783</v>
      </c>
      <c r="I223" s="67" t="s">
        <v>84</v>
      </c>
      <c r="J223" s="67" t="s">
        <v>784</v>
      </c>
      <c r="K223" s="68" t="s">
        <v>90</v>
      </c>
    </row>
    <row r="224" spans="2:11" ht="40.5" customHeight="1" x14ac:dyDescent="0.75">
      <c r="B224" s="103"/>
      <c r="C224" s="70" t="s">
        <v>785</v>
      </c>
      <c r="D224" s="70" t="s">
        <v>786</v>
      </c>
      <c r="E224" s="70" t="s">
        <v>4</v>
      </c>
      <c r="F224" s="70"/>
      <c r="G224" s="67" t="s">
        <v>4</v>
      </c>
      <c r="H224" s="67" t="s">
        <v>109</v>
      </c>
      <c r="I224" s="70" t="s">
        <v>787</v>
      </c>
      <c r="J224" s="67" t="s">
        <v>788</v>
      </c>
      <c r="K224" s="68" t="s">
        <v>90</v>
      </c>
    </row>
    <row r="225" spans="2:11" ht="40.5" customHeight="1" x14ac:dyDescent="0.75">
      <c r="B225" s="103"/>
      <c r="C225" s="95" t="s">
        <v>789</v>
      </c>
      <c r="D225" s="95" t="s">
        <v>790</v>
      </c>
      <c r="E225" s="95" t="s">
        <v>100</v>
      </c>
      <c r="F225" s="95"/>
      <c r="G225" s="67" t="s">
        <v>83</v>
      </c>
      <c r="H225" s="67" t="s">
        <v>271</v>
      </c>
      <c r="I225" s="67" t="s">
        <v>787</v>
      </c>
      <c r="J225" s="67" t="s">
        <v>791</v>
      </c>
      <c r="K225" s="77" t="s">
        <v>90</v>
      </c>
    </row>
    <row r="226" spans="2:11" ht="40.5" customHeight="1" x14ac:dyDescent="0.75">
      <c r="B226" s="103"/>
      <c r="C226" s="92" t="s">
        <v>792</v>
      </c>
      <c r="D226" s="92" t="s">
        <v>793</v>
      </c>
      <c r="E226" s="92" t="s">
        <v>100</v>
      </c>
      <c r="F226" s="92"/>
      <c r="G226" s="67" t="s">
        <v>83</v>
      </c>
      <c r="H226" s="67" t="s">
        <v>271</v>
      </c>
      <c r="I226" s="70" t="s">
        <v>88</v>
      </c>
      <c r="J226" s="67" t="s">
        <v>794</v>
      </c>
      <c r="K226" s="68" t="s">
        <v>84</v>
      </c>
    </row>
    <row r="227" spans="2:11" ht="40.5" customHeight="1" x14ac:dyDescent="0.75">
      <c r="B227" s="103"/>
      <c r="C227" s="70" t="s">
        <v>795</v>
      </c>
      <c r="D227" s="70" t="s">
        <v>796</v>
      </c>
      <c r="E227" s="70" t="s">
        <v>224</v>
      </c>
      <c r="F227" s="70"/>
      <c r="G227" s="67" t="s">
        <v>87</v>
      </c>
      <c r="H227" s="67"/>
      <c r="I227" s="67" t="s">
        <v>797</v>
      </c>
      <c r="J227" s="67" t="s">
        <v>798</v>
      </c>
      <c r="K227" s="68" t="s">
        <v>84</v>
      </c>
    </row>
    <row r="228" spans="2:11" ht="40.5" customHeight="1" x14ac:dyDescent="0.75">
      <c r="B228" s="103"/>
      <c r="C228" s="70" t="s">
        <v>799</v>
      </c>
      <c r="D228" s="70" t="s">
        <v>800</v>
      </c>
      <c r="E228" s="70" t="s">
        <v>224</v>
      </c>
      <c r="F228" s="70"/>
      <c r="G228" s="67" t="s">
        <v>87</v>
      </c>
      <c r="H228" s="67"/>
      <c r="I228" s="70" t="s">
        <v>92</v>
      </c>
      <c r="J228" s="67" t="s">
        <v>801</v>
      </c>
      <c r="K228" s="68" t="s">
        <v>90</v>
      </c>
    </row>
    <row r="229" spans="2:11" ht="40.5" customHeight="1" x14ac:dyDescent="0.75">
      <c r="B229" s="103"/>
      <c r="C229" s="70" t="s">
        <v>802</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31"/>
  <sheetViews>
    <sheetView tabSelected="1" workbookViewId="0">
      <selection activeCell="E1" sqref="E1:E599"/>
    </sheetView>
  </sheetViews>
  <sheetFormatPr defaultRowHeight="14.75" x14ac:dyDescent="0.75"/>
  <cols>
    <col min="5" max="5" width="100.6796875" customWidth="1"/>
  </cols>
  <sheetData>
    <row r="1" spans="5:5" x14ac:dyDescent="0.75">
      <c r="E1" s="109" t="str">
        <f>'Oth-3'!D2</f>
        <v>Instance: OtherInfos</v>
      </c>
    </row>
    <row r="2" spans="5:5" x14ac:dyDescent="0.75">
      <c r="E2" s="109" t="str">
        <f>'Oth-3'!D3</f>
        <v>InstanceOf: StructureDefinition</v>
      </c>
    </row>
    <row r="3" spans="5:5" x14ac:dyDescent="0.75">
      <c r="E3" s="109" t="str">
        <f>'Oth-3'!D4</f>
        <v>Description: "Other info and relevant events
Maturity Level 0"</v>
      </c>
    </row>
    <row r="4" spans="5:5" x14ac:dyDescent="0.75">
      <c r="E4" s="109" t="str">
        <f>'Oth-3'!D5</f>
        <v>Title: "Other info and relevant events"</v>
      </c>
    </row>
    <row r="5" spans="5:5" x14ac:dyDescent="0.75">
      <c r="E5" s="109" t="str">
        <f>'Oth-3'!D6</f>
        <v>Usage: #definition</v>
      </c>
    </row>
    <row r="6" spans="5:5" x14ac:dyDescent="0.75">
      <c r="E6" s="109" t="str">
        <f>'Oth-3'!D8</f>
        <v>* publisher = "PanCareSurPass project"</v>
      </c>
    </row>
    <row r="7" spans="5:5" x14ac:dyDescent="0.75">
      <c r="E7" s="109" t="str">
        <f>'Oth-3'!D9</f>
        <v>* status = #draft</v>
      </c>
    </row>
    <row r="8" spans="5:5" x14ac:dyDescent="0.75">
      <c r="E8" s="109" t="str">
        <f>'Oth-3'!D10</f>
        <v>* url = "http://hl7.eu/fhir/ig/pcsp/StructureDefinition/OtherInfos"</v>
      </c>
    </row>
    <row r="9" spans="5:5" x14ac:dyDescent="0.75">
      <c r="E9" s="109" t="str">
        <f>'Oth-3'!D11</f>
        <v>* name = "OtherInfos"</v>
      </c>
    </row>
    <row r="10" spans="5:5" x14ac:dyDescent="0.75">
      <c r="E10" s="109" t="str">
        <f>'Oth-3'!D12</f>
        <v>* title = "Other info and relevant events"</v>
      </c>
    </row>
    <row r="11" spans="5:5" x14ac:dyDescent="0.75">
      <c r="E11" s="109" t="str">
        <f>'Oth-3'!D13</f>
        <v>* status = #draft</v>
      </c>
    </row>
    <row r="12" spans="5:5" x14ac:dyDescent="0.75">
      <c r="E12" s="109" t="str">
        <f>'Oth-3'!D14</f>
        <v>* experimental = true</v>
      </c>
    </row>
    <row r="13" spans="5:5" x14ac:dyDescent="0.75">
      <c r="E13" s="109" t="str">
        <f>'Oth-3'!D15</f>
        <v>* description = "Other info and relevant events
Maturity Level 0"</v>
      </c>
    </row>
    <row r="14" spans="5:5" x14ac:dyDescent="0.75">
      <c r="E14" s="109" t="str">
        <f>'Oth-3'!D16</f>
        <v>* version = "0.0.1"</v>
      </c>
    </row>
    <row r="15" spans="5:5" x14ac:dyDescent="0.75">
      <c r="E15" s="109" t="str">
        <f>'Oth-3'!D18</f>
        <v>* mapping[0].identity = "fhir"</v>
      </c>
    </row>
    <row r="16" spans="5:5" x14ac:dyDescent="0.75">
      <c r="E16" s="109" t="str">
        <f>'Oth-3'!D19</f>
        <v>* mapping[0].uri = "hl7.org/fhir/r4"</v>
      </c>
    </row>
    <row r="17" spans="5:5" x14ac:dyDescent="0.75">
      <c r="E17" s="109" t="str">
        <f>'Oth-3'!D20</f>
        <v>* mapping[0].name = "HL7 FHIR"</v>
      </c>
    </row>
    <row r="18" spans="5:5" x14ac:dyDescent="0.75">
      <c r="E18" s="109" t="str">
        <f>'Oth-3'!D22</f>
        <v>* kind = #logical</v>
      </c>
    </row>
    <row r="19" spans="5:5" x14ac:dyDescent="0.75">
      <c r="E19" s="109" t="str">
        <f>'Oth-3'!D23</f>
        <v>* abstract = true</v>
      </c>
    </row>
    <row r="20" spans="5:5" x14ac:dyDescent="0.75">
      <c r="E20" s="109" t="str">
        <f>'Oth-3'!D24</f>
        <v>* type = "OtherInfos"</v>
      </c>
    </row>
    <row r="21" spans="5:5" x14ac:dyDescent="0.75">
      <c r="E21" s="109" t="str">
        <f>'Oth-3'!D25</f>
        <v>* baseDefinition = "http://hl7.org/fhir/StructureDefinition/Element"</v>
      </c>
    </row>
    <row r="22" spans="5:5" x14ac:dyDescent="0.75">
      <c r="E22" s="109" t="str">
        <f>'Oth-3'!D26</f>
        <v>* derivation = #specialization</v>
      </c>
    </row>
    <row r="23" spans="5:5" x14ac:dyDescent="0.75">
      <c r="E23" s="109" t="str">
        <f>'Oth-3'!D28</f>
        <v>* differential.element[0].id = "OtherInfos"</v>
      </c>
    </row>
    <row r="24" spans="5:5" x14ac:dyDescent="0.75">
      <c r="E24" s="109" t="str">
        <f>'Oth-3'!D29</f>
        <v>* differential.element[0].path = "OtherInfos"</v>
      </c>
    </row>
    <row r="25" spans="5:5" x14ac:dyDescent="0.75">
      <c r="E25" s="109" t="str">
        <f>'Oth-3'!D30</f>
        <v>* differential.element[0].short = "Other info and relevant events"</v>
      </c>
    </row>
    <row r="26" spans="5:5" x14ac:dyDescent="0.75">
      <c r="E26" s="109" t="str">
        <f>'Oth-3'!D31</f>
        <v>* differential.element[0].definition = "Other info and relevant events"</v>
      </c>
    </row>
    <row r="27" spans="5:5" x14ac:dyDescent="0.75">
      <c r="E27" s="109" t="str">
        <f>'Oth-3'!D32</f>
        <v>* differential.element[0].min = 1</v>
      </c>
    </row>
    <row r="28" spans="5:5" x14ac:dyDescent="0.75">
      <c r="E28" s="109" t="str">
        <f>'Oth-3'!D33</f>
        <v>* differential.element[0].max = "1"</v>
      </c>
    </row>
    <row r="29" spans="5:5" x14ac:dyDescent="0.75">
      <c r="E29" s="109" t="str">
        <f>'Oth-3'!D35</f>
        <v>* differential.element[1].id = "OtherInfos.identifier"</v>
      </c>
    </row>
    <row r="30" spans="5:5" x14ac:dyDescent="0.75">
      <c r="E30" s="109" t="str">
        <f>'Oth-3'!D36</f>
        <v>* differential.element[1].path = "OtherInfos.identifier"</v>
      </c>
    </row>
    <row r="31" spans="5:5" x14ac:dyDescent="0.75">
      <c r="E31" s="109" t="str">
        <f>'Oth-3'!D37</f>
        <v>* differential.element[1].short = "Relevant event number"</v>
      </c>
    </row>
    <row r="32" spans="5:5" x14ac:dyDescent="0.75">
      <c r="E32" s="109" t="str">
        <f>'Oth-3'!D38</f>
        <v>* differential.element[1].definition = "Progressive number of relevant event  (1=first; 2= second; 3 = third; …).
In this field must be reported the ordinal number of relevant event to be described."</v>
      </c>
    </row>
    <row r="33" spans="5:5" x14ac:dyDescent="0.75">
      <c r="E33" s="109" t="str">
        <f>'Oth-3'!D39</f>
        <v>* differential.element[1].min = 0</v>
      </c>
    </row>
    <row r="34" spans="5:5" x14ac:dyDescent="0.75">
      <c r="E34" s="109" t="str">
        <f>'Oth-3'!D40</f>
        <v>* differential.element[1].max = "1"</v>
      </c>
    </row>
    <row r="35" spans="5:5" x14ac:dyDescent="0.75">
      <c r="E35" s="109" t="str">
        <f>'Oth-3'!D41</f>
        <v>* differential.element[1].type.code = #Identifier</v>
      </c>
    </row>
    <row r="36" spans="5:5" x14ac:dyDescent="0.75">
      <c r="E36" s="109" t="str">
        <f>'Oth-3'!D42</f>
        <v>* differential.element[2].id = "OtherInfos.relatedDiagnosis"</v>
      </c>
    </row>
    <row r="37" spans="5:5" x14ac:dyDescent="0.75">
      <c r="E37" s="109" t="str">
        <f>'Oth-3'!D43</f>
        <v>* differential.element[2].path = "OtherInfos.relatedDiagnosis"</v>
      </c>
    </row>
    <row r="38" spans="5:5" x14ac:dyDescent="0.75">
      <c r="E38" s="109" t="str">
        <f>'Oth-3'!D44</f>
        <v>* differential.element[2].short = "Progressive number of diagnosis"</v>
      </c>
    </row>
    <row r="39" spans="5:5" x14ac:dyDescent="0.75">
      <c r="E39" s="109" t="str">
        <f>'Oth-3'!D45</f>
        <v>* differential.element[2].definition = "Progressive number of diagnosis (1=first; 2= second; 3 = third; …).  
In this field must be reported the ordinal number of the tumor diagnosis in which other info or relevant events occurred"</v>
      </c>
    </row>
    <row r="40" spans="5:5" x14ac:dyDescent="0.75">
      <c r="E40" s="109" t="str">
        <f>'Oth-3'!D46</f>
        <v>* differential.element[2].min = 0</v>
      </c>
    </row>
    <row r="41" spans="5:5" x14ac:dyDescent="0.75">
      <c r="E41" s="109" t="str">
        <f>'Oth-3'!D47</f>
        <v>* differential.element[2].max = "1"</v>
      </c>
    </row>
    <row r="42" spans="5:5" x14ac:dyDescent="0.75">
      <c r="E42" s="109" t="str">
        <f>'Oth-3'!D48</f>
        <v>* differential.element[2].type.code = #Identifier</v>
      </c>
    </row>
    <row r="43" spans="5:5" x14ac:dyDescent="0.75">
      <c r="E43" s="109" t="str">
        <f>'Oth-3'!D49</f>
        <v>* differential.element[3].id = "OtherInfos.relatedRelapse"</v>
      </c>
    </row>
    <row r="44" spans="5:5" x14ac:dyDescent="0.75">
      <c r="E44" s="109" t="str">
        <f>'Oth-3'!D50</f>
        <v>* differential.element[3].path = "OtherInfos.relatedRelapse"</v>
      </c>
    </row>
    <row r="45" spans="5:5" x14ac:dyDescent="0.75">
      <c r="E45" s="109" t="str">
        <f>'Oth-3'!D51</f>
        <v>* differential.element[3].short = "Progressive number of relapse/progression (after FLT)"</v>
      </c>
    </row>
    <row r="46" spans="5:5" x14ac:dyDescent="0.75">
      <c r="E46" s="109" t="str">
        <f>'Oth-3'!D52</f>
        <v>* differential.element[3].definition = "Progressive number of relevant event  (1=first; 2= second; 3 = third; …).
In this field must be reported the ordinal number of relevant event to be described."</v>
      </c>
    </row>
    <row r="47" spans="5:5" x14ac:dyDescent="0.75">
      <c r="E47" s="109" t="str">
        <f>'Oth-3'!D53</f>
        <v>* differential.element[3].min = 0</v>
      </c>
    </row>
    <row r="48" spans="5:5" x14ac:dyDescent="0.75">
      <c r="E48" s="109" t="str">
        <f>'Oth-3'!D54</f>
        <v>* differential.element[3].max = "1"</v>
      </c>
    </row>
    <row r="49" spans="5:5" x14ac:dyDescent="0.75">
      <c r="E49" s="109" t="str">
        <f>'Oth-3'!D55</f>
        <v>* differential.element[3].type.code = #Identifier</v>
      </c>
    </row>
    <row r="50" spans="5:5" x14ac:dyDescent="0.75">
      <c r="E50" s="109" t="str">
        <f>'Oth-3'!D56</f>
        <v>* differential.element[4].id = "OtherInfos.severeToxicity"</v>
      </c>
    </row>
    <row r="51" spans="5:5" x14ac:dyDescent="0.75">
      <c r="E51" s="109" t="str">
        <f>'Oth-3'!D57</f>
        <v>* differential.element[4].path = "OtherInfos.severeToxicity"</v>
      </c>
    </row>
    <row r="52" spans="5:5" x14ac:dyDescent="0.75">
      <c r="E52" s="109" t="str">
        <f>'Oth-3'!D58</f>
        <v>* differential.element[4].short = "Important toxicity during treatment  "</v>
      </c>
    </row>
    <row r="53" spans="5:5" x14ac:dyDescent="0.75">
      <c r="E53" s="109" t="str">
        <f>'Oth-3'!D59</f>
        <v>* differential.element[4].definition = "Important toxicity during treatment  "</v>
      </c>
    </row>
    <row r="54" spans="5:5" x14ac:dyDescent="0.75">
      <c r="E54" s="109" t="str">
        <f>'Oth-3'!D60</f>
        <v>* differential.element[4].min = 0</v>
      </c>
    </row>
    <row r="55" spans="5:5" x14ac:dyDescent="0.75">
      <c r="E55" s="109" t="str">
        <f>'Oth-3'!D61</f>
        <v>* differential.element[4].max = "1"</v>
      </c>
    </row>
    <row r="56" spans="5:5" x14ac:dyDescent="0.75">
      <c r="E56" s="109" t="str">
        <f>'Oth-3'!D62</f>
        <v>* differential.element[4].type.code = #BackboneElement</v>
      </c>
    </row>
    <row r="57" spans="5:5" x14ac:dyDescent="0.75">
      <c r="E57" s="109" t="str">
        <f>'Oth-3'!D63</f>
        <v>* differential.element[5].id = "OtherInfos.severeToxicity.flag"</v>
      </c>
    </row>
    <row r="58" spans="5:5" x14ac:dyDescent="0.75">
      <c r="E58" s="109" t="str">
        <f>'Oth-3'!D64</f>
        <v>* differential.element[5].path = "OtherInfos.severeToxicity.flag"</v>
      </c>
    </row>
    <row r="59" spans="5:5" x14ac:dyDescent="0.75">
      <c r="E59" s="109" t="str">
        <f>'Oth-3'!D65</f>
        <v>* differential.element[5].short = "Important toxicity during treatment  "</v>
      </c>
    </row>
    <row r="60" spans="5:5" x14ac:dyDescent="0.75">
      <c r="E60" s="109" t="str">
        <f>'Oth-3'!D66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1" spans="5:5" x14ac:dyDescent="0.75">
      <c r="E61" s="109" t="str">
        <f>'Oth-3'!D67</f>
        <v>* differential.element[5].min = 0</v>
      </c>
    </row>
    <row r="62" spans="5:5" x14ac:dyDescent="0.75">
      <c r="E62" s="109" t="str">
        <f>'Oth-3'!D68</f>
        <v>* differential.element[5].max = "*"</v>
      </c>
    </row>
    <row r="63" spans="5:5" x14ac:dyDescent="0.75">
      <c r="E63" s="109" t="str">
        <f>'Oth-3'!D69</f>
        <v>* differential.element[5].type.code = #CodeableConcept</v>
      </c>
    </row>
    <row r="64" spans="5:5" x14ac:dyDescent="0.75">
      <c r="E64" s="109" t="str">
        <f>'Oth-3'!D70</f>
        <v>* differential.element[6].id = "OtherInfos.severeToxicity.numberOfToxicity"</v>
      </c>
    </row>
    <row r="65" spans="5:5" x14ac:dyDescent="0.75">
      <c r="E65" s="109" t="str">
        <f>'Oth-3'!D71</f>
        <v>* differential.element[6].path = "OtherInfos.severeToxicity.numberOfToxicity"</v>
      </c>
    </row>
    <row r="66" spans="5:5" x14ac:dyDescent="0.75">
      <c r="E66" s="109" t="str">
        <f>'Oth-3'!D72</f>
        <v>* differential.element[6].short = "Number of toxicity"</v>
      </c>
    </row>
    <row r="67" spans="5:5" x14ac:dyDescent="0.75">
      <c r="E67" s="109" t="str">
        <f>'Oth-3'!D73</f>
        <v>* differential.element[6].definition = "Number of toxicity"</v>
      </c>
    </row>
    <row r="68" spans="5:5" x14ac:dyDescent="0.75">
      <c r="E68" s="109" t="str">
        <f>'Oth-3'!D74</f>
        <v>* differential.element[6].min = 0</v>
      </c>
    </row>
    <row r="69" spans="5:5" x14ac:dyDescent="0.75">
      <c r="E69" s="109" t="str">
        <f>'Oth-3'!D75</f>
        <v>* differential.element[6].max = "1"</v>
      </c>
    </row>
    <row r="70" spans="5:5" x14ac:dyDescent="0.75">
      <c r="E70" s="109" t="str">
        <f>'Oth-3'!D76</f>
        <v>* differential.element[6].type.code = #integer</v>
      </c>
    </row>
    <row r="71" spans="5:5" x14ac:dyDescent="0.75">
      <c r="E71" s="109" t="str">
        <f>'Oth-3'!D77</f>
        <v>* differential.element[7].id = "OtherInfos.date"</v>
      </c>
    </row>
    <row r="72" spans="5:5" x14ac:dyDescent="0.75">
      <c r="E72" s="109" t="str">
        <f>'Oth-3'!D78</f>
        <v>* differential.element[7].path = "OtherInfos.date"</v>
      </c>
    </row>
    <row r="73" spans="5:5" x14ac:dyDescent="0.75">
      <c r="E73" s="109" t="str">
        <f>'Oth-3'!D79</f>
        <v>* differential.element[7].short = "Date of event  "</v>
      </c>
    </row>
    <row r="74" spans="5:5" x14ac:dyDescent="0.75">
      <c r="E74" s="109" t="str">
        <f>'Oth-3'!D80</f>
        <v>* differential.element[7].definition = "Date (dd/mm/yyyy) of the event. If the date is unkown or partially missed insert the year at the best of your knowledge."</v>
      </c>
    </row>
    <row r="75" spans="5:5" x14ac:dyDescent="0.75">
      <c r="E75" s="109" t="str">
        <f>'Oth-3'!D81</f>
        <v>* differential.element[7].min = 1</v>
      </c>
    </row>
    <row r="76" spans="5:5" x14ac:dyDescent="0.75">
      <c r="E76" s="109" t="str">
        <f>'Oth-3'!D82</f>
        <v>* differential.element[7].max = "1"</v>
      </c>
    </row>
    <row r="77" spans="5:5" x14ac:dyDescent="0.75">
      <c r="E77" s="109" t="str">
        <f>'Oth-3'!D83</f>
        <v>* differential.element[7].type.code = #dateTime</v>
      </c>
    </row>
    <row r="78" spans="5:5" x14ac:dyDescent="0.75">
      <c r="E78" s="109" t="str">
        <f>'Oth-3'!D84</f>
        <v>* differential.element[8].id = "OtherInfos.description"</v>
      </c>
    </row>
    <row r="79" spans="5:5" x14ac:dyDescent="0.75">
      <c r="E79" s="109" t="str">
        <f>'Oth-3'!D85</f>
        <v>* differential.element[8].path = "OtherInfos.description"</v>
      </c>
    </row>
    <row r="80" spans="5:5" x14ac:dyDescent="0.75">
      <c r="E80" s="109" t="str">
        <f>'Oth-3'!D86</f>
        <v>* differential.element[8].short = "Description "</v>
      </c>
    </row>
    <row r="81" spans="5:5" x14ac:dyDescent="0.75">
      <c r="E81" s="109" t="str">
        <f>'Oth-3'!D87</f>
        <v>* differential.element[8].definition = "Please describe any significant event (e.g. admission to the intensive care for a metabolic problem, seizures, severe toxic complication) occurring during therapy that might have fully recovered or be still remaining or with sequelae"</v>
      </c>
    </row>
    <row r="82" spans="5:5" x14ac:dyDescent="0.75">
      <c r="E82" s="109" t="str">
        <f>'Oth-3'!D88</f>
        <v>* differential.element[8].min = 1</v>
      </c>
    </row>
    <row r="83" spans="5:5" x14ac:dyDescent="0.75">
      <c r="E83" s="109" t="str">
        <f>'Oth-3'!D89</f>
        <v>* differential.element[8].max = "1"</v>
      </c>
    </row>
    <row r="84" spans="5:5" x14ac:dyDescent="0.75">
      <c r="E84" s="109" t="str">
        <f>'Oth-3'!D90</f>
        <v>* differential.element[8].type.code = #BackboneElement</v>
      </c>
    </row>
    <row r="85" spans="5:5" x14ac:dyDescent="0.75">
      <c r="E85" s="109" t="str">
        <f>'Oth-3'!D91</f>
        <v>* differential.element[9].id = "OtherInfos.isResolved"</v>
      </c>
    </row>
    <row r="86" spans="5:5" x14ac:dyDescent="0.75">
      <c r="E86" s="109" t="str">
        <f>'Oth-3'!D92</f>
        <v>* differential.element[9].path = "OtherInfos.isResolved"</v>
      </c>
    </row>
    <row r="87" spans="5:5" x14ac:dyDescent="0.75">
      <c r="E87" s="109" t="str">
        <f>'Oth-3'!D93</f>
        <v>* differential.element[9].short = "Resolved ?"</v>
      </c>
    </row>
    <row r="88" spans="5:5" x14ac:dyDescent="0.75">
      <c r="E88" s="109" t="str">
        <f>'Oth-3'!D94</f>
        <v>* differential.element[9].definition = "Please specify if the event is resolved or not"</v>
      </c>
    </row>
    <row r="89" spans="5:5" x14ac:dyDescent="0.75">
      <c r="E89" s="109" t="str">
        <f>'Oth-3'!D95</f>
        <v>* differential.element[9].min = 0</v>
      </c>
    </row>
    <row r="90" spans="5:5" x14ac:dyDescent="0.75">
      <c r="E90" s="109" t="str">
        <f>'Oth-3'!D96</f>
        <v>* differential.element[9].max = "1"</v>
      </c>
    </row>
    <row r="91" spans="5:5" x14ac:dyDescent="0.75">
      <c r="E91" s="109" t="str">
        <f>'Oth-3'!D97</f>
        <v>* differential.element[9].type.code = #CodeableConcept</v>
      </c>
    </row>
    <row r="92" spans="5:5" x14ac:dyDescent="0.75">
      <c r="E92" s="109" t="str">
        <f>'Oth-3'!D98</f>
        <v>* differential.element[10].id = "OtherInfos.hypogonadal"</v>
      </c>
    </row>
    <row r="93" spans="5:5" x14ac:dyDescent="0.75">
      <c r="E93" s="109" t="str">
        <f>'Oth-3'!D99</f>
        <v>* differential.element[10].path = "OtherInfos.hypogonadal"</v>
      </c>
    </row>
    <row r="94" spans="5:5" x14ac:dyDescent="0.75">
      <c r="E94" s="109" t="str">
        <f>'Oth-3'!D100</f>
        <v>* differential.element[10].short = "Hypogonadal ?"</v>
      </c>
    </row>
    <row r="95" spans="5:5" x14ac:dyDescent="0.75">
      <c r="E95" s="109" t="str">
        <f>'Oth-3'!D101</f>
        <v>* differential.element[10].definition = "Please specify if hypogonadal occured during therapy"</v>
      </c>
    </row>
    <row r="96" spans="5:5" x14ac:dyDescent="0.75">
      <c r="E96" s="109" t="str">
        <f>'Oth-3'!D102</f>
        <v>* differential.element[10].min = 0</v>
      </c>
    </row>
    <row r="97" spans="5:5" x14ac:dyDescent="0.75">
      <c r="E97" s="109" t="str">
        <f>'Oth-3'!D103</f>
        <v>* differential.element[10].max = "1"</v>
      </c>
    </row>
    <row r="98" spans="5:5" x14ac:dyDescent="0.75">
      <c r="E98" s="109" t="str">
        <f>'Oth-3'!D104</f>
        <v>* differential.element[10].type.code = #CodeableConcept</v>
      </c>
    </row>
    <row r="99" spans="5:5" x14ac:dyDescent="0.75">
      <c r="E99" s="109" t="str">
        <f>'Oth-3'!D105</f>
        <v>* differential.element[11].id = "OtherInfos.growthHormoneDeficiency"</v>
      </c>
    </row>
    <row r="100" spans="5:5" x14ac:dyDescent="0.75">
      <c r="E100" s="109" t="str">
        <f>'Oth-3'!D106</f>
        <v>* differential.element[11].path = "OtherInfos.growthHormoneDeficiency"</v>
      </c>
    </row>
    <row r="101" spans="5:5" x14ac:dyDescent="0.75">
      <c r="E101" s="109" t="str">
        <f>'Oth-3'!D107</f>
        <v>* differential.element[11].short = "Growth hormone deficiency ?"</v>
      </c>
    </row>
    <row r="102" spans="5:5" x14ac:dyDescent="0.75">
      <c r="E102" s="109" t="str">
        <f>'Oth-3'!D108</f>
        <v>* differential.element[11].definition = "Please specify if growth hormon deficiency occured during therapy"</v>
      </c>
    </row>
    <row r="103" spans="5:5" x14ac:dyDescent="0.75">
      <c r="E103" s="109" t="str">
        <f>'Oth-3'!D109</f>
        <v>* differential.element[11].min = 1</v>
      </c>
    </row>
    <row r="104" spans="5:5" x14ac:dyDescent="0.75">
      <c r="E104" s="109" t="str">
        <f>'Oth-3'!D110</f>
        <v>* differential.element[11].max = "1"</v>
      </c>
    </row>
    <row r="105" spans="5:5" x14ac:dyDescent="0.75">
      <c r="E105" s="109" t="str">
        <f>'Oth-3'!D111</f>
        <v>* differential.element[11].type.code = #CodeableConcept</v>
      </c>
    </row>
    <row r="106" spans="5:5" x14ac:dyDescent="0.75">
      <c r="E106" s="109" t="str">
        <f>'Oth-3'!D112</f>
        <v>* differential.element[12].id = "OtherInfos.hydrocephalus"</v>
      </c>
    </row>
    <row r="107" spans="5:5" x14ac:dyDescent="0.75">
      <c r="E107" s="109" t="str">
        <f>'Oth-3'!D113</f>
        <v>* differential.element[12].path = "OtherInfos.hydrocephalus"</v>
      </c>
    </row>
    <row r="108" spans="5:5" x14ac:dyDescent="0.75">
      <c r="E108" s="109" t="str">
        <f>'Oth-3'!D114</f>
        <v>* differential.element[12].short = "Hydrocephalus ?"</v>
      </c>
    </row>
    <row r="109" spans="5:5" x14ac:dyDescent="0.75">
      <c r="E109" s="109" t="str">
        <f>'Oth-3'!D115</f>
        <v>* differential.element[12].definition = "Please specify if hydrocephalus occured during therapy"</v>
      </c>
    </row>
    <row r="110" spans="5:5" x14ac:dyDescent="0.75">
      <c r="E110" s="109" t="str">
        <f>'Oth-3'!D116</f>
        <v>* differential.element[12].min = 1</v>
      </c>
    </row>
    <row r="111" spans="5:5" x14ac:dyDescent="0.75">
      <c r="E111" s="109" t="str">
        <f>'Oth-3'!D117</f>
        <v>* differential.element[12].max = "1"</v>
      </c>
    </row>
    <row r="112" spans="5:5" x14ac:dyDescent="0.75">
      <c r="E112" s="109" t="str">
        <f>'Oth-3'!D118</f>
        <v>* differential.element[12].type.code = #CodeableConcept</v>
      </c>
    </row>
    <row r="113" spans="5:5" x14ac:dyDescent="0.75">
      <c r="E113" s="109" t="str">
        <f>'Oth-3'!D119</f>
        <v>* differential.element[13].id = "OtherInfos.chronicViralHepatitis"</v>
      </c>
    </row>
    <row r="114" spans="5:5" x14ac:dyDescent="0.75">
      <c r="E114" s="109" t="str">
        <f>'Oth-3'!D120</f>
        <v>* differential.element[13].path = "OtherInfos.chronicViralHepatitis"</v>
      </c>
    </row>
    <row r="115" spans="5:5" x14ac:dyDescent="0.75">
      <c r="E115" s="109" t="str">
        <f>'Oth-3'!D121</f>
        <v>* differential.element[13].short = "Chronic viral hepatitis ?"</v>
      </c>
    </row>
    <row r="116" spans="5:5" x14ac:dyDescent="0.75">
      <c r="E116" s="109" t="str">
        <f>'Oth-3'!D122</f>
        <v>* differential.element[13].definition = "Please specify if chronic viral hepatitis occured during therapy"</v>
      </c>
    </row>
    <row r="117" spans="5:5" x14ac:dyDescent="0.75">
      <c r="E117" s="109" t="str">
        <f>'Oth-3'!D123</f>
        <v>* differential.element[13].min = 0</v>
      </c>
    </row>
    <row r="118" spans="5:5" x14ac:dyDescent="0.75">
      <c r="E118" s="109" t="str">
        <f>'Oth-3'!D124</f>
        <v>* differential.element[13].max = "1"</v>
      </c>
    </row>
    <row r="119" spans="5:5" x14ac:dyDescent="0.75">
      <c r="E119" s="109" t="str">
        <f>'Oth-3'!D125</f>
        <v>* differential.element[13].type.code = #CodeableConcept</v>
      </c>
    </row>
    <row r="120" spans="5:5" x14ac:dyDescent="0.75">
      <c r="E120" s="109" t="str">
        <f>'Oth-3'!D126</f>
        <v>* differential.element[14].id = "OtherInfos.sinusoidalObstructionSyndrome"</v>
      </c>
    </row>
    <row r="121" spans="5:5" x14ac:dyDescent="0.75">
      <c r="E121" s="109" t="str">
        <f>'Oth-3'!D127</f>
        <v>* differential.element[14].path = "OtherInfos.sinusoidalObstructionSyndrome"</v>
      </c>
    </row>
    <row r="122" spans="5:5" x14ac:dyDescent="0.75">
      <c r="E122" s="109" t="str">
        <f>'Oth-3'!D128</f>
        <v>* differential.element[14].short = "Sinusoidal obstruction syndrome ?"</v>
      </c>
    </row>
    <row r="123" spans="5:5" x14ac:dyDescent="0.75">
      <c r="E123" s="109" t="str">
        <f>'Oth-3'!D129</f>
        <v>* differential.element[14].definition = "Please specify if sinusoidal obstruction syndrome occured during therapy"</v>
      </c>
    </row>
    <row r="124" spans="5:5" x14ac:dyDescent="0.75">
      <c r="E124" s="109" t="str">
        <f>'Oth-3'!D130</f>
        <v>* differential.element[14].min = 0</v>
      </c>
    </row>
    <row r="125" spans="5:5" x14ac:dyDescent="0.75">
      <c r="E125" s="109" t="str">
        <f>'Oth-3'!D131</f>
        <v>* differential.element[14].max = "1"</v>
      </c>
    </row>
    <row r="126" spans="5:5" x14ac:dyDescent="0.75">
      <c r="E126" s="109" t="str">
        <f>'Oth-3'!D132</f>
        <v>* differential.element[14].type.code = #CodeableConcept</v>
      </c>
    </row>
    <row r="127" spans="5:5" x14ac:dyDescent="0.75">
      <c r="E127" s="109" t="str">
        <f>'Oth-3'!D133</f>
        <v>* differential.element[15].id = "OtherInfos.cvcPositioned"</v>
      </c>
    </row>
    <row r="128" spans="5:5" x14ac:dyDescent="0.75">
      <c r="E128" s="109" t="str">
        <f>'Oth-3'!D134</f>
        <v>* differential.element[15].path = "OtherInfos.cvcPositioned"</v>
      </c>
    </row>
    <row r="129" spans="5:5" x14ac:dyDescent="0.75">
      <c r="E129" s="109" t="str">
        <f>'Oth-3'!D135</f>
        <v>* differential.element[15].short = "CVC positioning  "</v>
      </c>
    </row>
    <row r="130" spans="5:5" x14ac:dyDescent="0.75">
      <c r="E130" s="109" t="str">
        <f>'Oth-3'!D136</f>
        <v>* differential.element[15].definition = "Please report if at least one central venous line (catheter) was positioned"</v>
      </c>
    </row>
    <row r="131" spans="5:5" x14ac:dyDescent="0.75">
      <c r="E131" s="109" t="str">
        <f>'Oth-3'!D137</f>
        <v>* differential.element[15].min = 0</v>
      </c>
    </row>
    <row r="132" spans="5:5" x14ac:dyDescent="0.75">
      <c r="E132" s="109" t="str">
        <f>'Oth-3'!D138</f>
        <v>* differential.element[15].max = "1"</v>
      </c>
    </row>
    <row r="133" spans="5:5" x14ac:dyDescent="0.75">
      <c r="E133" s="109" t="str">
        <f>'Oth-3'!D139</f>
        <v>* differential.element[15].type.code = #BackboneElement</v>
      </c>
    </row>
    <row r="134" spans="5:5" x14ac:dyDescent="0.75">
      <c r="E134" s="109" t="str">
        <f>'Oth-3'!D140</f>
        <v>* differential.element[16].id = "OtherInfos.cvcPositioned.isInPlace"</v>
      </c>
    </row>
    <row r="135" spans="5:5" x14ac:dyDescent="0.75">
      <c r="E135" s="109" t="str">
        <f>'Oth-3'!D141</f>
        <v>* differential.element[16].path = "OtherInfos.cvcPositioned.isInPlace"</v>
      </c>
    </row>
    <row r="136" spans="5:5" x14ac:dyDescent="0.75">
      <c r="E136" s="109" t="str">
        <f>'Oth-3'!D142</f>
        <v>* differential.element[16].short = "If yes  "</v>
      </c>
    </row>
    <row r="137" spans="5:5" x14ac:dyDescent="0.75">
      <c r="E137" s="109" t="str">
        <f>'Oth-3'!D143</f>
        <v>* differential.element[16].definition = "Report if the CVC is still in place or was removed"</v>
      </c>
    </row>
    <row r="138" spans="5:5" x14ac:dyDescent="0.75">
      <c r="E138" s="109" t="str">
        <f>'Oth-3'!D144</f>
        <v>* differential.element[16].min = 0</v>
      </c>
    </row>
    <row r="139" spans="5:5" x14ac:dyDescent="0.75">
      <c r="E139" s="109" t="str">
        <f>'Oth-3'!D145</f>
        <v>* differential.element[16].max = "1"</v>
      </c>
    </row>
    <row r="140" spans="5:5" x14ac:dyDescent="0.75">
      <c r="E140" s="109" t="str">
        <f>'Oth-3'!D146</f>
        <v>* differential.element[16].type.code = #CodeableConcept</v>
      </c>
    </row>
    <row r="141" spans="5:5" x14ac:dyDescent="0.75">
      <c r="E141" s="109" t="str">
        <f>'Oth-3'!D147</f>
        <v>* differential.element[17].id = "OtherInfos.cvcPositioned.site"</v>
      </c>
    </row>
    <row r="142" spans="5:5" x14ac:dyDescent="0.75">
      <c r="E142" s="109" t="str">
        <f>'Oth-3'!D148</f>
        <v>* differential.element[17].path = "OtherInfos.cvcPositioned.site"</v>
      </c>
    </row>
    <row r="143" spans="5:5" x14ac:dyDescent="0.75">
      <c r="E143" s="109" t="str">
        <f>'Oth-3'!D149</f>
        <v>* differential.element[17].short = "Specify the site"</v>
      </c>
    </row>
    <row r="144" spans="5:5" x14ac:dyDescent="0.75">
      <c r="E144" s="109" t="str">
        <f>'Oth-3'!D150</f>
        <v>* differential.element[17].definition = "Report where (in which vein) the CVC was positioned"</v>
      </c>
    </row>
    <row r="145" spans="5:5" x14ac:dyDescent="0.75">
      <c r="E145" s="109" t="str">
        <f>'Oth-3'!D151</f>
        <v>* differential.element[17].min = 0</v>
      </c>
    </row>
    <row r="146" spans="5:5" x14ac:dyDescent="0.75">
      <c r="E146" s="109" t="str">
        <f>'Oth-3'!D152</f>
        <v>* differential.element[17].max = "1"</v>
      </c>
    </row>
    <row r="147" spans="5:5" x14ac:dyDescent="0.75">
      <c r="E147" s="109" t="str">
        <f>'Oth-3'!D153</f>
        <v>* differential.element[17].type.code = #string</v>
      </c>
    </row>
    <row r="148" spans="5:5" x14ac:dyDescent="0.75">
      <c r="E148" s="109" t="str">
        <f>'Oth-3'!D154</f>
        <v>* differential.element[18].id = "OtherInfos.catheterRelatedThrombosis"</v>
      </c>
    </row>
    <row r="149" spans="5:5" x14ac:dyDescent="0.75">
      <c r="E149" s="109" t="str">
        <f>'Oth-3'!D155</f>
        <v>* differential.element[18].path = "OtherInfos.catheterRelatedThrombosis"</v>
      </c>
    </row>
    <row r="150" spans="5:5" x14ac:dyDescent="0.75">
      <c r="E150" s="109" t="str">
        <f>'Oth-3'!D156</f>
        <v>* differential.element[18].short = "Catheter-related thrombosis"</v>
      </c>
    </row>
    <row r="151" spans="5:5" x14ac:dyDescent="0.75">
      <c r="E151" s="109" t="str">
        <f>'Oth-3'!D157</f>
        <v>* differential.element[18].definition = "Catheter-related thrombosis"</v>
      </c>
    </row>
    <row r="152" spans="5:5" x14ac:dyDescent="0.75">
      <c r="E152" s="109" t="str">
        <f>'Oth-3'!D158</f>
        <v>* differential.element[18].min = 0</v>
      </c>
    </row>
    <row r="153" spans="5:5" x14ac:dyDescent="0.75">
      <c r="E153" s="109" t="str">
        <f>'Oth-3'!D159</f>
        <v>* differential.element[18].max = "1"</v>
      </c>
    </row>
    <row r="154" spans="5:5" x14ac:dyDescent="0.75">
      <c r="E154" s="109" t="str">
        <f>'Oth-3'!D160</f>
        <v>* differential.element[18].type.code = #BackboneElement</v>
      </c>
    </row>
    <row r="155" spans="5:5" x14ac:dyDescent="0.75">
      <c r="E155" s="109" t="str">
        <f>'Oth-3'!D161</f>
        <v>* differential.element[19].id = "OtherInfos.catheterRelatedThrombosis.occurred"</v>
      </c>
    </row>
    <row r="156" spans="5:5" x14ac:dyDescent="0.75">
      <c r="E156" s="109" t="str">
        <f>'Oth-3'!D162</f>
        <v>* differential.element[19].path = "OtherInfos.catheterRelatedThrombosis.occurred"</v>
      </c>
    </row>
    <row r="157" spans="5:5" x14ac:dyDescent="0.75">
      <c r="E157" s="109" t="str">
        <f>'Oth-3'!D163</f>
        <v>* differential.element[19].short = "Yes/No"</v>
      </c>
    </row>
    <row r="158" spans="5:5" x14ac:dyDescent="0.75">
      <c r="E158" s="109" t="str">
        <f>'Oth-3'!D164</f>
        <v>* differential.element[19].definition = "Report if there was a catheter-related thrombosis due to a central venous catheter."</v>
      </c>
    </row>
    <row r="159" spans="5:5" x14ac:dyDescent="0.75">
      <c r="E159" s="109" t="str">
        <f>'Oth-3'!D165</f>
        <v>* differential.element[19].min = 0</v>
      </c>
    </row>
    <row r="160" spans="5:5" x14ac:dyDescent="0.75">
      <c r="E160" s="109" t="str">
        <f>'Oth-3'!D166</f>
        <v>* differential.element[19].max = "1"</v>
      </c>
    </row>
    <row r="161" spans="5:5" x14ac:dyDescent="0.75">
      <c r="E161" s="109" t="str">
        <f>'Oth-3'!D167</f>
        <v>* differential.element[19].type.code = #CodeableConcept</v>
      </c>
    </row>
    <row r="162" spans="5:5" x14ac:dyDescent="0.75">
      <c r="E162" s="109" t="str">
        <f>'Oth-3'!D168</f>
        <v>* differential.element[20].id = "OtherInfos.catheterRelatedThrombosis.specification"</v>
      </c>
    </row>
    <row r="163" spans="5:5" x14ac:dyDescent="0.75">
      <c r="E163" s="109" t="str">
        <f>'Oth-3'!D169</f>
        <v>* differential.element[20].path = "OtherInfos.catheterRelatedThrombosis.specification"</v>
      </c>
    </row>
    <row r="164" spans="5:5" x14ac:dyDescent="0.75">
      <c r="E164" s="109" t="str">
        <f>'Oth-3'!D170</f>
        <v>* differential.element[20].short = "Catheter-related thrombosis specification"</v>
      </c>
    </row>
    <row r="165" spans="5:5" x14ac:dyDescent="0.75">
      <c r="E165" s="109" t="str">
        <f>'Oth-3'!D171</f>
        <v>* differential.element[20].definition = "Specify the details of the catheter-related thrombosis, including the location (vessel and laterality), treatment and status at the end of cancer treatment."</v>
      </c>
    </row>
    <row r="166" spans="5:5" x14ac:dyDescent="0.75">
      <c r="E166" s="109" t="str">
        <f>'Oth-3'!D172</f>
        <v>* differential.element[20].min = 0</v>
      </c>
    </row>
    <row r="167" spans="5:5" x14ac:dyDescent="0.75">
      <c r="E167" s="109" t="str">
        <f>'Oth-3'!D173</f>
        <v>* differential.element[20].max = "1"</v>
      </c>
    </row>
    <row r="168" spans="5:5" x14ac:dyDescent="0.75">
      <c r="E168" s="109" t="str">
        <f>'Oth-3'!D174</f>
        <v>* differential.element[20].type.code = #string</v>
      </c>
    </row>
    <row r="169" spans="5:5" x14ac:dyDescent="0.75">
      <c r="E169" s="109" t="str">
        <f>'Oth-3'!D175</f>
        <v>* differential.element[21].id = "OtherInfos.transfusion"</v>
      </c>
    </row>
    <row r="170" spans="5:5" x14ac:dyDescent="0.75">
      <c r="E170" s="109" t="str">
        <f>'Oth-3'!D176</f>
        <v>* differential.element[21].path = "OtherInfos.transfusion"</v>
      </c>
    </row>
    <row r="171" spans="5:5" x14ac:dyDescent="0.75">
      <c r="E171" s="109" t="str">
        <f>'Oth-3'!D177</f>
        <v>* differential.element[21].short = "Transfusion  "</v>
      </c>
    </row>
    <row r="172" spans="5:5" x14ac:dyDescent="0.75">
      <c r="E172" s="109" t="str">
        <f>'Oth-3'!D178</f>
        <v>* differential.element[21].definition = "Transfusion  "</v>
      </c>
    </row>
    <row r="173" spans="5:5" x14ac:dyDescent="0.75">
      <c r="E173" s="109" t="str">
        <f>'Oth-3'!D179</f>
        <v>* differential.element[21].min = 0</v>
      </c>
    </row>
    <row r="174" spans="5:5" x14ac:dyDescent="0.75">
      <c r="E174" s="109" t="str">
        <f>'Oth-3'!D180</f>
        <v>* differential.element[21].max = "1"</v>
      </c>
    </row>
    <row r="175" spans="5:5" x14ac:dyDescent="0.75">
      <c r="E175" s="109" t="str">
        <f>'Oth-3'!D181</f>
        <v>* differential.element[21].type.code = #BackboneElement</v>
      </c>
    </row>
    <row r="176" spans="5:5" x14ac:dyDescent="0.75">
      <c r="E176" s="109" t="str">
        <f>'Oth-3'!D182</f>
        <v>* differential.element[22].id = "OtherInfos.transfusion.occured"</v>
      </c>
    </row>
    <row r="177" spans="5:5" x14ac:dyDescent="0.75">
      <c r="E177" s="109" t="str">
        <f>'Oth-3'!D183</f>
        <v>* differential.element[22].path = "OtherInfos.transfusion.occured"</v>
      </c>
    </row>
    <row r="178" spans="5:5" x14ac:dyDescent="0.75">
      <c r="E178" s="109" t="str">
        <f>'Oth-3'!D184</f>
        <v>* differential.element[22].short = "Yes/No"</v>
      </c>
    </row>
    <row r="179" spans="5:5" x14ac:dyDescent="0.75">
      <c r="E179" s="109" t="str">
        <f>'Oth-3'!D185</f>
        <v>* differential.element[22].definition = "Please state if at least one blood (any component) transfusion was made"</v>
      </c>
    </row>
    <row r="180" spans="5:5" x14ac:dyDescent="0.75">
      <c r="E180" s="109" t="str">
        <f>'Oth-3'!D186</f>
        <v>* differential.element[22].min = 0</v>
      </c>
    </row>
    <row r="181" spans="5:5" x14ac:dyDescent="0.75">
      <c r="E181" s="109" t="str">
        <f>'Oth-3'!D187</f>
        <v>* differential.element[22].max = "1"</v>
      </c>
    </row>
    <row r="182" spans="5:5" x14ac:dyDescent="0.75">
      <c r="E182" s="109" t="str">
        <f>'Oth-3'!D188</f>
        <v>* differential.element[22].type.code = #CodeableConcept</v>
      </c>
    </row>
    <row r="183" spans="5:5" x14ac:dyDescent="0.75">
      <c r="E183" s="109" t="str">
        <f>'Oth-3'!D189</f>
        <v>* differential.element[23].id = "OtherInfos.transfusion.last"</v>
      </c>
    </row>
    <row r="184" spans="5:5" x14ac:dyDescent="0.75">
      <c r="E184" s="109" t="str">
        <f>'Oth-3'!D190</f>
        <v>* differential.element[23].path = "OtherInfos.transfusion.last"</v>
      </c>
    </row>
    <row r="185" spans="5:5" x14ac:dyDescent="0.75">
      <c r="E185" s="109" t="str">
        <f>'Oth-3'!D191</f>
        <v>* differential.element[23].short = "Last transfusion date  "</v>
      </c>
    </row>
    <row r="186" spans="5:5" x14ac:dyDescent="0.75">
      <c r="E186" s="109" t="str">
        <f>'Oth-3'!D192</f>
        <v>* differential.element[23].definition = "Please  report the date of the last transfusion given. If the date is unkown or partially missed insert the year at the best of your knowledge."</v>
      </c>
    </row>
    <row r="187" spans="5:5" x14ac:dyDescent="0.75">
      <c r="E187" s="109" t="str">
        <f>'Oth-3'!D193</f>
        <v>* differential.element[23].min = 0</v>
      </c>
    </row>
    <row r="188" spans="5:5" x14ac:dyDescent="0.75">
      <c r="E188" s="109" t="str">
        <f>'Oth-3'!D194</f>
        <v>* differential.element[23].max = "1"</v>
      </c>
    </row>
    <row r="189" spans="5:5" x14ac:dyDescent="0.75">
      <c r="E189" s="109" t="str">
        <f>'Oth-3'!D195</f>
        <v>* differential.element[23].type.code = #string</v>
      </c>
    </row>
    <row r="190" spans="5:5" x14ac:dyDescent="0.75">
      <c r="E190" s="109" t="str">
        <f>'Oth-3'!D196</f>
        <v>* differential.element[24].id = "OtherInfos.transfusion.moreThan10"</v>
      </c>
    </row>
    <row r="191" spans="5:5" x14ac:dyDescent="0.75">
      <c r="E191" s="109" t="str">
        <f>'Oth-3'!D197</f>
        <v>* differential.element[24].path = "OtherInfos.transfusion.moreThan10"</v>
      </c>
    </row>
    <row r="192" spans="5:5" x14ac:dyDescent="0.75">
      <c r="E192" s="109" t="str">
        <f>'Oth-3'!D198</f>
        <v>* differential.element[24].short = "&gt;= 10 Transfusions ?"</v>
      </c>
    </row>
    <row r="193" spans="5:5" x14ac:dyDescent="0.75">
      <c r="E193" s="109" t="str">
        <f>'Oth-3'!D199</f>
        <v>* differential.element[24].definition = "Please specify if patient recieved 10 or more than 10 trasfusions during therapy"</v>
      </c>
    </row>
    <row r="194" spans="5:5" x14ac:dyDescent="0.75">
      <c r="E194" s="109" t="str">
        <f>'Oth-3'!D200</f>
        <v>* differential.element[24].min = 0</v>
      </c>
    </row>
    <row r="195" spans="5:5" x14ac:dyDescent="0.75">
      <c r="E195" s="109" t="str">
        <f>'Oth-3'!D201</f>
        <v>* differential.element[24].max = "1"</v>
      </c>
    </row>
    <row r="196" spans="5:5" x14ac:dyDescent="0.75">
      <c r="E196" s="109" t="str">
        <f>'Oth-3'!D202</f>
        <v>* differential.element[24].type.code = #CodeableConcept</v>
      </c>
    </row>
    <row r="197" spans="5:5" x14ac:dyDescent="0.75">
      <c r="E197" s="109" t="str">
        <f>'Oth-3'!D203</f>
        <v>* differential.element[25].id = "OtherInfos.fertilityPreseervation"</v>
      </c>
    </row>
    <row r="198" spans="5:5" x14ac:dyDescent="0.75">
      <c r="E198" s="109" t="str">
        <f>'Oth-3'!D204</f>
        <v>* differential.element[25].path = "OtherInfos.fertilityPreseervation"</v>
      </c>
    </row>
    <row r="199" spans="5:5" x14ac:dyDescent="0.75">
      <c r="E199" s="109" t="str">
        <f>'Oth-3'!D205</f>
        <v>* differential.element[25].short = "Fertility preservation  "</v>
      </c>
    </row>
    <row r="200" spans="5:5" x14ac:dyDescent="0.75">
      <c r="E200" s="109" t="str">
        <f>'Oth-3'!D206</f>
        <v>* differential.element[25].definition = "Please state if any procedure was performed for fertility preservation"</v>
      </c>
    </row>
    <row r="201" spans="5:5" x14ac:dyDescent="0.75">
      <c r="E201" s="109" t="str">
        <f>'Oth-3'!D207</f>
        <v>* differential.element[25].min = 0</v>
      </c>
    </row>
    <row r="202" spans="5:5" x14ac:dyDescent="0.75">
      <c r="E202" s="109" t="str">
        <f>'Oth-3'!D208</f>
        <v>* differential.element[25].max = "1"</v>
      </c>
    </row>
    <row r="203" spans="5:5" x14ac:dyDescent="0.75">
      <c r="E203" s="109" t="str">
        <f>'Oth-3'!D209</f>
        <v>* differential.element[25].type.code = #BackboneElement</v>
      </c>
    </row>
    <row r="204" spans="5:5" x14ac:dyDescent="0.75">
      <c r="E204" s="109" t="str">
        <f>'Oth-3'!D210</f>
        <v>* differential.element[26].id = "OtherInfos.fertilityPreseervation.occurred"</v>
      </c>
    </row>
    <row r="205" spans="5:5" x14ac:dyDescent="0.75">
      <c r="E205" s="109" t="str">
        <f>'Oth-3'!D211</f>
        <v>* differential.element[26].path = "OtherInfos.fertilityPreseervation.occurred"</v>
      </c>
    </row>
    <row r="206" spans="5:5" x14ac:dyDescent="0.75">
      <c r="E206" s="109" t="str">
        <f>'Oth-3'!D212</f>
        <v>* differential.element[26].short = "If yes, describe  "</v>
      </c>
    </row>
    <row r="207" spans="5:5" x14ac:dyDescent="0.75">
      <c r="E207" s="109" t="str">
        <f>'Oth-3'!D213</f>
        <v>* differential.element[26].definition = "If fertility preservation was performed,please  describe it"</v>
      </c>
    </row>
    <row r="208" spans="5:5" x14ac:dyDescent="0.75">
      <c r="E208" s="109" t="str">
        <f>'Oth-3'!D214</f>
        <v>* differential.element[26].min = 0</v>
      </c>
    </row>
    <row r="209" spans="5:5" x14ac:dyDescent="0.75">
      <c r="E209" s="109" t="str">
        <f>'Oth-3'!D215</f>
        <v>* differential.element[26].max = "1"</v>
      </c>
    </row>
    <row r="210" spans="5:5" x14ac:dyDescent="0.75">
      <c r="E210" s="109" t="str">
        <f>'Oth-3'!D216</f>
        <v>* differential.element[26].type.code = #CodeableConcept</v>
      </c>
    </row>
    <row r="211" spans="5:5" x14ac:dyDescent="0.75">
      <c r="E211" s="109" t="str">
        <f>'Oth-3'!D217</f>
        <v>* differential.element[27].id = "OtherInfos.fertilityPreseervation.storage"</v>
      </c>
    </row>
    <row r="212" spans="5:5" x14ac:dyDescent="0.75">
      <c r="E212" s="109" t="str">
        <f>'Oth-3'!D218</f>
        <v>* differential.element[27].path = "OtherInfos.fertilityPreseervation.storage"</v>
      </c>
    </row>
    <row r="213" spans="5:5" x14ac:dyDescent="0.75">
      <c r="E213" s="109" t="str">
        <f>'Oth-3'!D219</f>
        <v>* differential.element[27].short = "Storage Institution"</v>
      </c>
    </row>
    <row r="214" spans="5:5" x14ac:dyDescent="0.75">
      <c r="E214" s="109" t="str">
        <f>'Oth-3'!D220</f>
        <v>* differential.element[27].definition = "If fertility preservation was performed, describe with details of the institution where either sperm or ovarian tissue/oocytes have been stored"</v>
      </c>
    </row>
    <row r="215" spans="5:5" x14ac:dyDescent="0.75">
      <c r="E215" s="109" t="str">
        <f>'Oth-3'!D221</f>
        <v>* differential.element[27].min = 0</v>
      </c>
    </row>
    <row r="216" spans="5:5" x14ac:dyDescent="0.75">
      <c r="E216" s="109" t="str">
        <f>'Oth-3'!D222</f>
        <v>* differential.element[27].max = "1"</v>
      </c>
    </row>
    <row r="217" spans="5:5" x14ac:dyDescent="0.75">
      <c r="E217" s="109" t="str">
        <f>'Oth-3'!D223</f>
        <v>* differential.element[27].type.code = #string</v>
      </c>
    </row>
    <row r="218" spans="5:5" x14ac:dyDescent="0.75">
      <c r="E218" s="109" t="str">
        <f>'Oth-3'!D224</f>
        <v>* differential.element[28].id = "OtherInfos.otherTreatment"</v>
      </c>
    </row>
    <row r="219" spans="5:5" x14ac:dyDescent="0.75">
      <c r="E219" s="109" t="str">
        <f>'Oth-3'!D225</f>
        <v>* differential.element[28].path = "OtherInfos.otherTreatment"</v>
      </c>
    </row>
    <row r="220" spans="5:5" x14ac:dyDescent="0.75">
      <c r="E220" s="109" t="str">
        <f>'Oth-3'!D226</f>
        <v>* differential.element[28].short = "Other oncological treatments"</v>
      </c>
    </row>
    <row r="221" spans="5:5" x14ac:dyDescent="0.75">
      <c r="E221" s="109" t="str">
        <f>'Oth-3'!D227</f>
        <v>* differential.element[28].definition = "Report here if any other treatment (not included in the chemotherapy, surgery or radiotherapy sections) was adminstered to the survivor"</v>
      </c>
    </row>
    <row r="222" spans="5:5" x14ac:dyDescent="0.75">
      <c r="E222" s="109" t="str">
        <f>'Oth-3'!D228</f>
        <v>* differential.element[28].min = 0</v>
      </c>
    </row>
    <row r="223" spans="5:5" x14ac:dyDescent="0.75">
      <c r="E223" s="109" t="str">
        <f>'Oth-3'!D229</f>
        <v>* differential.element[28].max = "*"</v>
      </c>
    </row>
    <row r="224" spans="5:5" x14ac:dyDescent="0.75">
      <c r="E224" s="109" t="str">
        <f>'Oth-3'!D230</f>
        <v>* differential.element[28].type.code = #CodeableConcept</v>
      </c>
    </row>
    <row r="225" spans="5:5" x14ac:dyDescent="0.75">
      <c r="E225" s="109" t="str">
        <f>'Oth-3'!D231</f>
        <v>* differential.element[29].id = "OtherInfos.dischargeLetter"</v>
      </c>
    </row>
    <row r="226" spans="5:5" x14ac:dyDescent="0.75">
      <c r="E226" s="109" t="str">
        <f>'Oth-3'!D232</f>
        <v>* differential.element[29].path = "OtherInfos.dischargeLetter"</v>
      </c>
    </row>
    <row r="227" spans="5:5" x14ac:dyDescent="0.75">
      <c r="E227" s="109" t="str">
        <f>'Oth-3'!D233</f>
        <v>* differential.element[29].short = "Discharge letter"</v>
      </c>
    </row>
    <row r="228" spans="5:5" x14ac:dyDescent="0.75">
      <c r="E228" s="109" t="str">
        <f>'Oth-3'!D234</f>
        <v>* differential.element[29].definition = "Discharge letter"</v>
      </c>
    </row>
    <row r="229" spans="5:5" x14ac:dyDescent="0.75">
      <c r="E229" s="109" t="str">
        <f>'Oth-3'!D235</f>
        <v>* differential.element[29].min = 0</v>
      </c>
    </row>
    <row r="230" spans="5:5" x14ac:dyDescent="0.75">
      <c r="E230" s="109" t="str">
        <f>'Oth-3'!D236</f>
        <v>* differential.element[29].max = "*"</v>
      </c>
    </row>
    <row r="231" spans="5:5" x14ac:dyDescent="0.75">
      <c r="E231" s="109" t="str">
        <f>'Oth-3'!D237</f>
        <v>* differential.element[29].type.code = #Attacchment</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Other">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9"/>
  <sheetViews>
    <sheetView topLeftCell="A7" workbookViewId="0">
      <selection activeCell="B29" sqref="B29"/>
    </sheetView>
  </sheetViews>
  <sheetFormatPr defaultRowHeight="14.75" x14ac:dyDescent="0.75"/>
  <cols>
    <col min="2" max="2" width="47.7265625" style="110"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1093</v>
      </c>
      <c r="E2" s="25"/>
      <c r="F2" s="25"/>
      <c r="G2" s="25"/>
    </row>
    <row r="3" spans="1:9" x14ac:dyDescent="0.75">
      <c r="B3" s="118" t="s">
        <v>34</v>
      </c>
      <c r="C3" s="107" t="s">
        <v>36</v>
      </c>
      <c r="D3" s="56"/>
      <c r="E3" s="25"/>
      <c r="F3" s="25"/>
      <c r="G3" s="25"/>
    </row>
    <row r="4" spans="1:9" ht="15.5" thickBot="1" x14ac:dyDescent="0.9">
      <c r="B4" s="119" t="s">
        <v>52</v>
      </c>
      <c r="C4" s="16" t="s">
        <v>1092</v>
      </c>
      <c r="D4" s="57"/>
      <c r="E4" s="25"/>
      <c r="F4" s="25"/>
      <c r="G4" s="25"/>
    </row>
    <row r="5" spans="1:9" x14ac:dyDescent="0.75">
      <c r="C5" s="3" t="s">
        <v>7</v>
      </c>
      <c r="D5" s="4" t="s">
        <v>8</v>
      </c>
      <c r="E5" s="11" t="s">
        <v>17</v>
      </c>
      <c r="F5" s="11" t="s">
        <v>18</v>
      </c>
      <c r="G5" s="11" t="s">
        <v>19</v>
      </c>
    </row>
    <row r="6" spans="1:9" x14ac:dyDescent="0.75">
      <c r="A6">
        <v>0</v>
      </c>
      <c r="B6" s="16" t="s">
        <v>1092</v>
      </c>
      <c r="C6" s="16" t="s">
        <v>67</v>
      </c>
      <c r="D6" s="122" t="s">
        <v>67</v>
      </c>
      <c r="E6" s="34">
        <v>1</v>
      </c>
      <c r="F6" s="34">
        <v>1</v>
      </c>
      <c r="G6" s="34" t="s">
        <v>21</v>
      </c>
      <c r="I6" s="25"/>
    </row>
    <row r="7" spans="1:9" ht="29.5" x14ac:dyDescent="0.75">
      <c r="A7" s="109">
        <v>1</v>
      </c>
      <c r="B7" s="111" t="s">
        <v>35</v>
      </c>
      <c r="C7" s="111" t="s">
        <v>726</v>
      </c>
      <c r="D7" s="156" t="s">
        <v>728</v>
      </c>
      <c r="E7" s="111">
        <v>0</v>
      </c>
      <c r="F7" s="111">
        <v>1</v>
      </c>
      <c r="G7" s="111" t="s">
        <v>0</v>
      </c>
    </row>
    <row r="8" spans="1:9" ht="44.25" x14ac:dyDescent="0.75">
      <c r="A8" s="109">
        <v>2</v>
      </c>
      <c r="B8" s="111" t="s">
        <v>897</v>
      </c>
      <c r="C8" s="111" t="s">
        <v>129</v>
      </c>
      <c r="D8" s="112" t="s">
        <v>725</v>
      </c>
      <c r="E8" s="111">
        <v>0</v>
      </c>
      <c r="F8" s="111">
        <v>1</v>
      </c>
      <c r="G8" s="111" t="s">
        <v>0</v>
      </c>
    </row>
    <row r="9" spans="1:9" s="109" customFormat="1" ht="29.5" x14ac:dyDescent="0.75">
      <c r="A9" s="109">
        <v>3</v>
      </c>
      <c r="B9" s="111" t="s">
        <v>898</v>
      </c>
      <c r="C9" s="111" t="s">
        <v>282</v>
      </c>
      <c r="D9" s="112" t="s">
        <v>728</v>
      </c>
      <c r="E9" s="111">
        <v>0</v>
      </c>
      <c r="F9" s="111">
        <v>1</v>
      </c>
      <c r="G9" s="111" t="s">
        <v>0</v>
      </c>
    </row>
    <row r="10" spans="1:9" s="109" customFormat="1" x14ac:dyDescent="0.75">
      <c r="A10" s="109">
        <v>4</v>
      </c>
      <c r="B10" s="110" t="s">
        <v>1094</v>
      </c>
      <c r="C10" s="111" t="s">
        <v>729</v>
      </c>
      <c r="D10" s="111" t="s">
        <v>729</v>
      </c>
      <c r="E10" s="111">
        <v>0</v>
      </c>
      <c r="F10" s="111">
        <v>1</v>
      </c>
      <c r="G10" s="111" t="s">
        <v>5</v>
      </c>
    </row>
    <row r="11" spans="1:9" ht="103.25" x14ac:dyDescent="0.75">
      <c r="A11" s="109">
        <v>5</v>
      </c>
      <c r="B11" s="110" t="s">
        <v>1096</v>
      </c>
      <c r="C11" s="111" t="s">
        <v>729</v>
      </c>
      <c r="D11" s="112" t="s">
        <v>1120</v>
      </c>
      <c r="E11" s="111">
        <v>0</v>
      </c>
      <c r="F11" s="111" t="s">
        <v>20</v>
      </c>
      <c r="G11" s="111" t="s">
        <v>1</v>
      </c>
      <c r="H11" s="2"/>
      <c r="I11" s="25"/>
    </row>
    <row r="12" spans="1:9" s="25" customFormat="1" x14ac:dyDescent="0.75">
      <c r="A12" s="109">
        <v>6</v>
      </c>
      <c r="B12" s="112" t="s">
        <v>1097</v>
      </c>
      <c r="C12" s="113" t="s">
        <v>732</v>
      </c>
      <c r="D12" s="113" t="s">
        <v>732</v>
      </c>
      <c r="E12" s="111">
        <v>0</v>
      </c>
      <c r="F12" s="111">
        <v>1</v>
      </c>
      <c r="G12" s="111" t="s">
        <v>1095</v>
      </c>
      <c r="H12" s="21"/>
    </row>
    <row r="13" spans="1:9" s="109" customFormat="1" ht="29.5" x14ac:dyDescent="0.75">
      <c r="A13" s="109">
        <v>7</v>
      </c>
      <c r="B13" s="13" t="s">
        <v>4</v>
      </c>
      <c r="C13" s="113" t="s">
        <v>736</v>
      </c>
      <c r="D13" s="112" t="s">
        <v>739</v>
      </c>
      <c r="E13" s="111">
        <v>1</v>
      </c>
      <c r="F13" s="111">
        <v>1</v>
      </c>
      <c r="G13" s="113" t="s">
        <v>2</v>
      </c>
      <c r="H13" s="114"/>
    </row>
    <row r="14" spans="1:9" s="25" customFormat="1" ht="44.25" x14ac:dyDescent="0.75">
      <c r="A14" s="109">
        <v>8</v>
      </c>
      <c r="B14" s="13" t="s">
        <v>892</v>
      </c>
      <c r="C14" s="113" t="s">
        <v>740</v>
      </c>
      <c r="D14" s="112" t="s">
        <v>742</v>
      </c>
      <c r="E14" s="111">
        <v>1</v>
      </c>
      <c r="F14" s="111">
        <v>1</v>
      </c>
      <c r="G14" s="24" t="s">
        <v>5</v>
      </c>
      <c r="H14" s="21"/>
    </row>
    <row r="15" spans="1:9" s="109" customFormat="1" x14ac:dyDescent="0.75">
      <c r="A15" s="109">
        <v>9</v>
      </c>
      <c r="B15" s="13" t="s">
        <v>1098</v>
      </c>
      <c r="C15" s="115" t="s">
        <v>743</v>
      </c>
      <c r="D15" s="112" t="s">
        <v>746</v>
      </c>
      <c r="E15" s="111">
        <v>0</v>
      </c>
      <c r="F15" s="111">
        <v>1</v>
      </c>
      <c r="G15" s="113" t="s">
        <v>1</v>
      </c>
      <c r="H15" s="114"/>
    </row>
    <row r="16" spans="1:9" s="109" customFormat="1" x14ac:dyDescent="0.75">
      <c r="A16" s="109">
        <v>10</v>
      </c>
      <c r="B16" s="111" t="s">
        <v>1100</v>
      </c>
      <c r="C16" s="111" t="s">
        <v>747</v>
      </c>
      <c r="D16" s="112" t="s">
        <v>749</v>
      </c>
      <c r="E16" s="111">
        <v>0</v>
      </c>
      <c r="F16" s="111">
        <v>1</v>
      </c>
      <c r="G16" s="113" t="s">
        <v>1</v>
      </c>
      <c r="H16" s="114"/>
    </row>
    <row r="17" spans="1:8" s="109" customFormat="1" x14ac:dyDescent="0.75">
      <c r="A17" s="109">
        <v>11</v>
      </c>
      <c r="B17" s="112" t="s">
        <v>1099</v>
      </c>
      <c r="C17" s="112" t="s">
        <v>750</v>
      </c>
      <c r="D17" s="112" t="s">
        <v>752</v>
      </c>
      <c r="E17" s="111">
        <v>1</v>
      </c>
      <c r="F17" s="111">
        <v>1</v>
      </c>
      <c r="G17" s="113" t="s">
        <v>1</v>
      </c>
      <c r="H17" s="114"/>
    </row>
    <row r="18" spans="1:8" s="109" customFormat="1" x14ac:dyDescent="0.75">
      <c r="A18" s="109">
        <v>12</v>
      </c>
      <c r="B18" s="112" t="s">
        <v>1101</v>
      </c>
      <c r="C18" s="112" t="s">
        <v>753</v>
      </c>
      <c r="D18" s="112" t="s">
        <v>755</v>
      </c>
      <c r="E18" s="111">
        <v>1</v>
      </c>
      <c r="F18" s="111">
        <v>1</v>
      </c>
      <c r="G18" s="113" t="s">
        <v>1</v>
      </c>
      <c r="H18" s="114"/>
    </row>
    <row r="19" spans="1:8" s="109" customFormat="1" x14ac:dyDescent="0.75">
      <c r="A19" s="109">
        <v>13</v>
      </c>
      <c r="B19" s="112" t="s">
        <v>1102</v>
      </c>
      <c r="C19" s="112" t="s">
        <v>756</v>
      </c>
      <c r="D19" s="112" t="s">
        <v>758</v>
      </c>
      <c r="E19" s="111">
        <v>0</v>
      </c>
      <c r="F19" s="111">
        <v>1</v>
      </c>
      <c r="G19" s="113" t="s">
        <v>1</v>
      </c>
      <c r="H19" s="114"/>
    </row>
    <row r="20" spans="1:8" s="109" customFormat="1" x14ac:dyDescent="0.75">
      <c r="A20" s="109">
        <v>14</v>
      </c>
      <c r="B20" s="115" t="s">
        <v>1103</v>
      </c>
      <c r="C20" s="115" t="s">
        <v>759</v>
      </c>
      <c r="D20" s="108" t="s">
        <v>761</v>
      </c>
      <c r="E20" s="111">
        <v>0</v>
      </c>
      <c r="F20" s="111">
        <v>1</v>
      </c>
      <c r="G20" s="113" t="s">
        <v>1</v>
      </c>
      <c r="H20" s="114"/>
    </row>
    <row r="21" spans="1:8" s="109" customFormat="1" x14ac:dyDescent="0.75">
      <c r="A21" s="109">
        <v>15</v>
      </c>
      <c r="B21" s="115" t="s">
        <v>1104</v>
      </c>
      <c r="C21" s="115" t="s">
        <v>762</v>
      </c>
      <c r="D21" s="108" t="s">
        <v>765</v>
      </c>
      <c r="E21" s="111">
        <v>0</v>
      </c>
      <c r="F21" s="111">
        <v>1</v>
      </c>
      <c r="G21" s="113" t="s">
        <v>5</v>
      </c>
      <c r="H21" s="114"/>
    </row>
    <row r="22" spans="1:8" s="109" customFormat="1" x14ac:dyDescent="0.75">
      <c r="A22" s="109">
        <v>16</v>
      </c>
      <c r="B22" s="115" t="s">
        <v>1107</v>
      </c>
      <c r="C22" s="115" t="s">
        <v>766</v>
      </c>
      <c r="D22" s="108" t="s">
        <v>770</v>
      </c>
      <c r="E22" s="111">
        <v>0</v>
      </c>
      <c r="F22" s="111">
        <v>1</v>
      </c>
      <c r="G22" s="113" t="s">
        <v>1</v>
      </c>
      <c r="H22" s="114"/>
    </row>
    <row r="23" spans="1:8" s="109" customFormat="1" x14ac:dyDescent="0.75">
      <c r="A23" s="109">
        <v>17</v>
      </c>
      <c r="B23" s="115" t="s">
        <v>1108</v>
      </c>
      <c r="C23" s="115" t="s">
        <v>771</v>
      </c>
      <c r="D23" s="108" t="s">
        <v>773</v>
      </c>
      <c r="E23" s="111">
        <v>0</v>
      </c>
      <c r="F23" s="111">
        <v>1</v>
      </c>
      <c r="G23" s="113" t="s">
        <v>3</v>
      </c>
      <c r="H23" s="114"/>
    </row>
    <row r="24" spans="1:8" s="109" customFormat="1" x14ac:dyDescent="0.75">
      <c r="A24" s="109">
        <v>18</v>
      </c>
      <c r="B24" s="111" t="s">
        <v>1105</v>
      </c>
      <c r="C24" s="111" t="s">
        <v>774</v>
      </c>
      <c r="D24" s="111" t="s">
        <v>774</v>
      </c>
      <c r="E24" s="111">
        <v>0</v>
      </c>
      <c r="F24" s="111">
        <v>1</v>
      </c>
      <c r="G24" s="113" t="s">
        <v>5</v>
      </c>
      <c r="H24" s="114"/>
    </row>
    <row r="25" spans="1:8" s="109" customFormat="1" x14ac:dyDescent="0.75">
      <c r="A25" s="109">
        <v>19</v>
      </c>
      <c r="B25" s="111" t="s">
        <v>1109</v>
      </c>
      <c r="C25" s="111" t="s">
        <v>1110</v>
      </c>
      <c r="D25" s="112" t="s">
        <v>776</v>
      </c>
      <c r="E25" s="111">
        <v>0</v>
      </c>
      <c r="F25" s="111">
        <v>1</v>
      </c>
      <c r="G25" s="113" t="s">
        <v>1</v>
      </c>
      <c r="H25" s="114"/>
    </row>
    <row r="26" spans="1:8" s="109" customFormat="1" ht="29.5" x14ac:dyDescent="0.75">
      <c r="A26" s="109">
        <v>20</v>
      </c>
      <c r="B26" s="111" t="s">
        <v>1106</v>
      </c>
      <c r="C26" s="112" t="s">
        <v>777</v>
      </c>
      <c r="D26" s="112" t="s">
        <v>780</v>
      </c>
      <c r="E26" s="111">
        <v>0</v>
      </c>
      <c r="F26" s="111">
        <v>1</v>
      </c>
      <c r="G26" s="113" t="s">
        <v>3</v>
      </c>
      <c r="H26" s="114"/>
    </row>
    <row r="27" spans="1:8" x14ac:dyDescent="0.75">
      <c r="A27" s="109">
        <v>21</v>
      </c>
      <c r="B27" s="111" t="s">
        <v>1121</v>
      </c>
      <c r="C27" s="111" t="s">
        <v>781</v>
      </c>
      <c r="D27" s="111" t="s">
        <v>781</v>
      </c>
      <c r="E27" s="111">
        <v>0</v>
      </c>
      <c r="F27" s="111">
        <v>1</v>
      </c>
      <c r="G27" s="113" t="s">
        <v>5</v>
      </c>
    </row>
    <row r="28" spans="1:8" s="109" customFormat="1" x14ac:dyDescent="0.75">
      <c r="A28" s="109">
        <v>22</v>
      </c>
      <c r="B28" s="111" t="s">
        <v>1122</v>
      </c>
      <c r="C28" s="111" t="s">
        <v>1110</v>
      </c>
      <c r="D28" s="112" t="s">
        <v>784</v>
      </c>
      <c r="E28" s="111">
        <v>0</v>
      </c>
      <c r="F28" s="111">
        <v>1</v>
      </c>
      <c r="G28" s="113" t="s">
        <v>1</v>
      </c>
    </row>
    <row r="29" spans="1:8" s="25" customFormat="1" ht="29.5" x14ac:dyDescent="0.75">
      <c r="A29" s="109">
        <v>23</v>
      </c>
      <c r="B29" s="111" t="s">
        <v>1111</v>
      </c>
      <c r="C29" s="112" t="s">
        <v>785</v>
      </c>
      <c r="D29" s="112" t="s">
        <v>788</v>
      </c>
      <c r="E29" s="111">
        <v>0</v>
      </c>
      <c r="F29" s="111">
        <v>1</v>
      </c>
      <c r="G29" s="113" t="s">
        <v>3</v>
      </c>
    </row>
    <row r="30" spans="1:8" x14ac:dyDescent="0.75">
      <c r="A30" s="109">
        <v>24</v>
      </c>
      <c r="B30" s="111" t="s">
        <v>1112</v>
      </c>
      <c r="C30" s="111" t="s">
        <v>789</v>
      </c>
      <c r="D30" s="112" t="s">
        <v>791</v>
      </c>
      <c r="E30" s="111">
        <v>0</v>
      </c>
      <c r="F30" s="111">
        <v>1</v>
      </c>
      <c r="G30" s="113" t="s">
        <v>1</v>
      </c>
      <c r="H30" s="136"/>
    </row>
    <row r="31" spans="1:8" x14ac:dyDescent="0.75">
      <c r="A31" s="109">
        <v>25</v>
      </c>
      <c r="B31" s="112" t="s">
        <v>1113</v>
      </c>
      <c r="C31" s="111" t="s">
        <v>792</v>
      </c>
      <c r="D31" s="112" t="s">
        <v>794</v>
      </c>
      <c r="E31" s="111">
        <v>0</v>
      </c>
      <c r="F31" s="111">
        <v>1</v>
      </c>
      <c r="G31" s="113" t="s">
        <v>5</v>
      </c>
    </row>
    <row r="32" spans="1:8" x14ac:dyDescent="0.75">
      <c r="A32" s="109">
        <v>26</v>
      </c>
      <c r="B32" s="112" t="s">
        <v>1114</v>
      </c>
      <c r="C32" s="111" t="s">
        <v>795</v>
      </c>
      <c r="D32" s="112" t="s">
        <v>798</v>
      </c>
      <c r="E32" s="111">
        <v>0</v>
      </c>
      <c r="F32" s="111">
        <v>1</v>
      </c>
      <c r="G32" s="113" t="s">
        <v>1</v>
      </c>
    </row>
    <row r="33" spans="1:9" ht="29.5" x14ac:dyDescent="0.75">
      <c r="A33" s="109">
        <v>27</v>
      </c>
      <c r="B33" s="112" t="s">
        <v>1115</v>
      </c>
      <c r="C33" s="111" t="s">
        <v>799</v>
      </c>
      <c r="D33" s="112" t="s">
        <v>801</v>
      </c>
      <c r="E33" s="111">
        <v>0</v>
      </c>
      <c r="F33" s="111">
        <v>1</v>
      </c>
      <c r="G33" s="113" t="s">
        <v>3</v>
      </c>
    </row>
    <row r="34" spans="1:9" s="25" customFormat="1" ht="29.5" x14ac:dyDescent="0.75">
      <c r="A34" s="109">
        <v>28</v>
      </c>
      <c r="B34" s="112" t="s">
        <v>1118</v>
      </c>
      <c r="C34" s="111" t="s">
        <v>802</v>
      </c>
      <c r="D34" s="112" t="s">
        <v>804</v>
      </c>
      <c r="E34" s="111">
        <v>0</v>
      </c>
      <c r="F34" s="111" t="s">
        <v>20</v>
      </c>
      <c r="G34" s="113" t="s">
        <v>1</v>
      </c>
    </row>
    <row r="35" spans="1:9" s="25" customFormat="1" x14ac:dyDescent="0.75">
      <c r="A35" s="109">
        <v>29</v>
      </c>
      <c r="B35" s="112" t="s">
        <v>1117</v>
      </c>
      <c r="C35" s="111" t="s">
        <v>805</v>
      </c>
      <c r="D35" s="111" t="s">
        <v>805</v>
      </c>
      <c r="E35" s="111">
        <v>0</v>
      </c>
      <c r="F35" s="111" t="s">
        <v>20</v>
      </c>
      <c r="G35" s="111" t="s">
        <v>1116</v>
      </c>
    </row>
    <row r="36" spans="1:9" s="25" customFormat="1" x14ac:dyDescent="0.75">
      <c r="A36" s="109"/>
      <c r="B36" s="108"/>
      <c r="C36" s="111"/>
      <c r="D36" s="49"/>
      <c r="E36" s="111"/>
      <c r="F36" s="111"/>
      <c r="G36" s="111"/>
    </row>
    <row r="37" spans="1:9" s="25" customFormat="1" x14ac:dyDescent="0.75">
      <c r="A37" s="109"/>
      <c r="B37" s="108"/>
      <c r="C37" s="120"/>
      <c r="D37" s="120"/>
      <c r="E37" s="111"/>
      <c r="F37" s="111"/>
      <c r="G37" s="111"/>
    </row>
    <row r="38" spans="1:9" s="25" customFormat="1" x14ac:dyDescent="0.75">
      <c r="A38" s="109"/>
      <c r="B38" s="108"/>
      <c r="C38" s="30"/>
      <c r="D38" s="30"/>
      <c r="E38" s="26"/>
      <c r="F38" s="26"/>
      <c r="G38" s="26"/>
    </row>
    <row r="39" spans="1:9" x14ac:dyDescent="0.75">
      <c r="A39" s="109"/>
      <c r="B39" s="108"/>
      <c r="C39" s="50"/>
      <c r="D39" s="50"/>
      <c r="E39" s="26"/>
      <c r="F39" s="26"/>
      <c r="G39" s="26"/>
      <c r="H39" s="2"/>
      <c r="I39" s="25"/>
    </row>
  </sheetData>
  <phoneticPr fontId="8" type="noConversion"/>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3" zoomScale="85" zoomScaleNormal="85" workbookViewId="0">
      <selection activeCell="B2" sqref="B2:H3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differential.element[",'Oth-1'!A6,"].id = """,'Oth-1'!B6,"""")</f>
        <v>* differential.element[0].id = "OtherInfos"</v>
      </c>
      <c r="C1" s="13" t="str">
        <f>CONCATENATE("* differential.element[",'Oth-1'!A6,"].path = """,'Oth-1'!$B$6,"""")</f>
        <v>* differential.element[0].path = "OtherInfos"</v>
      </c>
      <c r="D1" s="13" t="str">
        <f>CONCATENATE("* differential.element[",'Oth-1'!A6,"].short = """,'Oth-1'!C6,"""")</f>
        <v>* differential.element[0].short = "Other info and relevant events"</v>
      </c>
      <c r="E1" s="13" t="str">
        <f>CONCATENATE("* differential.element[",'Oth-1'!A6,"].definition = """,'Oth-1'!D6,"""")</f>
        <v>* differential.element[0].definition = "Other info and relevant events"</v>
      </c>
      <c r="F1" s="13" t="str">
        <f>CONCATENATE("* differential.element[",'Oth-1'!A6,"].min = ",'Oth-1'!E6,"")</f>
        <v>* differential.element[0].min = 1</v>
      </c>
      <c r="G1" s="13" t="str">
        <f>CONCATENATE("* differential.element[",'Oth-1'!A6,"].max = """,'Oth-1'!F6,"""")</f>
        <v>* differential.element[0].max = "1"</v>
      </c>
      <c r="H1" s="13"/>
    </row>
    <row r="2" spans="2:10" ht="73.75" x14ac:dyDescent="0.75">
      <c r="B2" s="31" t="str">
        <f>CONCATENATE("* differential.element[",'Oth-1'!$A7,"].id = """,'Oth-1'!$B$6,".",'Oth-1'!B7,"""")</f>
        <v>* differential.element[1].id = "OtherInfos.identifier"</v>
      </c>
      <c r="C2" s="31" t="str">
        <f>CONCATENATE("* differential.element[",'Oth-1'!$A7,"].path = """,'Oth-1'!$B$6,".",'Oth-1'!B7,"""")</f>
        <v>* differential.element[1].path = "OtherInfos.identifier"</v>
      </c>
      <c r="D2" s="31" t="str">
        <f>CONCATENATE("* differential.element[",'Oth-1'!A7,"].short = """,'Oth-1'!C7,"""")</f>
        <v>* differential.element[1].short = "Relevant event number"</v>
      </c>
      <c r="E2" s="31" t="str">
        <f>CONCATENATE("* differential.element[",'Oth-1'!A7,"].definition = """,'Oth-1'!D7,"""")</f>
        <v>* differential.element[1].definition = "Progressive number of relevant event  (1=first; 2= second; 3 = third; …).
In this field must be reported the ordinal number of relevant event to be described."</v>
      </c>
      <c r="F2" s="31" t="str">
        <f>CONCATENATE("* differential.element[",'Oth-1'!A7,"].min = ",'Oth-1'!E7,"")</f>
        <v>* differential.element[1].min = 0</v>
      </c>
      <c r="G2" s="31" t="str">
        <f>CONCATENATE("* differential.element[",'Oth-1'!A7,"].max = """,'Oth-1'!F7,"""")</f>
        <v>* differential.element[1].max = "1"</v>
      </c>
      <c r="H2" s="31" t="str">
        <f>CONCATENATE("* differential.element[",'Oth-1'!A7,"].type.code = #",'Oth-1'!G7,"")</f>
        <v>* differential.element[1].type.code = #Identifier</v>
      </c>
      <c r="I2" s="9"/>
      <c r="J2" t="s">
        <v>10</v>
      </c>
    </row>
    <row r="3" spans="2:10" ht="73.75" x14ac:dyDescent="0.75">
      <c r="B3" s="112" t="str">
        <f>CONCATENATE("* differential.element[",'Oth-1'!$A8,"].id = """,'Oth-1'!$B$6,".",'Oth-1'!B8,"""")</f>
        <v>* differential.element[2].id = "OtherInfos.relatedDiagnosis"</v>
      </c>
      <c r="C3" s="112" t="str">
        <f>CONCATENATE("* differential.element[",'Oth-1'!$A8,"].path = """,'Oth-1'!$B$6,".",'Oth-1'!B8,"""")</f>
        <v>* differential.element[2].path = "OtherInfos.relatedDiagnosis"</v>
      </c>
      <c r="D3" s="112" t="str">
        <f>CONCATENATE("* differential.element[",'Oth-1'!A8,"].short = """,'Oth-1'!C8,"""")</f>
        <v>* differential.element[2].short = "Progressive number of diagnosis"</v>
      </c>
      <c r="E3" s="112" t="str">
        <f>CONCATENATE("* differential.element[",'Oth-1'!A8,"].definition = """,'Oth-1'!D8,"""")</f>
        <v>* differential.element[2].definition = "Progressive number of diagnosis (1=first; 2= second; 3 = third; …).  
In this field must be reported the ordinal number of the tumor diagnosis in which other info or relevant events occurred"</v>
      </c>
      <c r="F3" s="112" t="str">
        <f>CONCATENATE("* differential.element[",'Oth-1'!A8,"].min = ",'Oth-1'!E8,"")</f>
        <v>* differential.element[2].min = 0</v>
      </c>
      <c r="G3" s="112" t="str">
        <f>CONCATENATE("* differential.element[",'Oth-1'!A8,"].max = """,'Oth-1'!F8,"""")</f>
        <v>* differential.element[2].max = "1"</v>
      </c>
      <c r="H3" s="112" t="str">
        <f>CONCATENATE("* differential.element[",'Oth-1'!A8,"].type.code = #",'Oth-1'!G8,"")</f>
        <v>* differential.element[2].type.code = #Identifier</v>
      </c>
      <c r="I3" s="9"/>
      <c r="J3" t="s">
        <v>11</v>
      </c>
    </row>
    <row r="4" spans="2:10" ht="73.75" x14ac:dyDescent="0.75">
      <c r="B4" s="112" t="str">
        <f>CONCATENATE("* differential.element[",'Oth-1'!$A9,"].id = """,'Oth-1'!$B$6,".",'Oth-1'!B9,"""")</f>
        <v>* differential.element[3].id = "OtherInfos.relatedRelapse"</v>
      </c>
      <c r="C4" s="112" t="str">
        <f>CONCATENATE("* differential.element[",'Oth-1'!$A9,"].path = """,'Oth-1'!$B$6,".",'Oth-1'!B9,"""")</f>
        <v>* differential.element[3].path = "OtherInfos.relatedRelapse"</v>
      </c>
      <c r="D4" s="112" t="str">
        <f>CONCATENATE("* differential.element[",'Oth-1'!A9,"].short = """,'Oth-1'!C9,"""")</f>
        <v>* differential.element[3].short = "Progressive number of relapse/progression (after FLT)"</v>
      </c>
      <c r="E4" s="112" t="str">
        <f>CONCATENATE("* differential.element[",'Oth-1'!A9,"].definition = """,'Oth-1'!D9,"""")</f>
        <v>* differential.element[3].definition = "Progressive number of relevant event  (1=first; 2= second; 3 = third; …).
In this field must be reported the ordinal number of relevant event to be described."</v>
      </c>
      <c r="F4" s="112" t="str">
        <f>CONCATENATE("* differential.element[",'Oth-1'!A9,"].min = ",'Oth-1'!E9,"")</f>
        <v>* differential.element[3].min = 0</v>
      </c>
      <c r="G4" s="112" t="str">
        <f>CONCATENATE("* differential.element[",'Oth-1'!A9,"].max = """,'Oth-1'!F9,"""")</f>
        <v>* differential.element[3].max = "1"</v>
      </c>
      <c r="H4" s="112" t="str">
        <f>CONCATENATE("* differential.element[",'Oth-1'!A9,"].type.code = #",'Oth-1'!G9,"")</f>
        <v>* differential.element[3].type.code = #Identifier</v>
      </c>
      <c r="I4" s="9"/>
      <c r="J4" t="s">
        <v>12</v>
      </c>
    </row>
    <row r="5" spans="2:10" ht="59" x14ac:dyDescent="0.75">
      <c r="B5" s="112" t="str">
        <f>CONCATENATE("* differential.element[",'Oth-1'!$A10,"].id = """,'Oth-1'!$B$6,".",'Oth-1'!B10,"""")</f>
        <v>* differential.element[4].id = "OtherInfos.severeToxicity"</v>
      </c>
      <c r="C5" s="112" t="str">
        <f>CONCATENATE("* differential.element[",'Oth-1'!$A10,"].path = """,'Oth-1'!$B$6,".",'Oth-1'!B10,"""")</f>
        <v>* differential.element[4].path = "OtherInfos.severeToxicity"</v>
      </c>
      <c r="D5" s="112" t="str">
        <f>CONCATENATE("* differential.element[",'Oth-1'!A10,"].short = """,'Oth-1'!C10,"""")</f>
        <v>* differential.element[4].short = "Important toxicity during treatment  "</v>
      </c>
      <c r="E5" s="112" t="str">
        <f>CONCATENATE("* differential.element[",'Oth-1'!A10,"].definition = """,'Oth-1'!D10,"""")</f>
        <v>* differential.element[4].definition = "Important toxicity during treatment  "</v>
      </c>
      <c r="F5" s="112" t="str">
        <f>CONCATENATE("* differential.element[",'Oth-1'!A10,"].min = ",'Oth-1'!E10,"")</f>
        <v>* differential.element[4].min = 0</v>
      </c>
      <c r="G5" s="112" t="str">
        <f>CONCATENATE("* differential.element[",'Oth-1'!A10,"].max = """,'Oth-1'!F10,"""")</f>
        <v>* differential.element[4].max = "1"</v>
      </c>
      <c r="H5" s="112" t="str">
        <f>CONCATENATE("* differential.element[",'Oth-1'!A10,"].type.code = #",'Oth-1'!G10,"")</f>
        <v>* differential.element[4].type.code = #BackboneElement</v>
      </c>
      <c r="I5" s="9"/>
      <c r="J5" t="s">
        <v>13</v>
      </c>
    </row>
    <row r="6" spans="2:10" ht="147.5" x14ac:dyDescent="0.75">
      <c r="B6" s="112" t="str">
        <f>CONCATENATE("* differential.element[",'Oth-1'!$A11,"].id = """,'Oth-1'!$B$6,".",'Oth-1'!B11,"""")</f>
        <v>* differential.element[5].id = "OtherInfos.severeToxicity.flag"</v>
      </c>
      <c r="C6" s="112" t="str">
        <f>CONCATENATE("* differential.element[",'Oth-1'!$A11,"].path = """,'Oth-1'!$B$6,".",'Oth-1'!B11,"""")</f>
        <v>* differential.element[5].path = "OtherInfos.severeToxicity.flag"</v>
      </c>
      <c r="D6" s="112" t="str">
        <f>CONCATENATE("* differential.element[",'Oth-1'!A11,"].short = """,'Oth-1'!C11,"""")</f>
        <v>* differential.element[5].short = "Important toxicity during treatment  "</v>
      </c>
      <c r="E6" s="112" t="str">
        <f>CONCATENATE("* differential.element[",'Oth-1'!A11,"].definition = """,'Oth-1'!D11,"""")</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c r="F6" s="112" t="str">
        <f>CONCATENATE("* differential.element[",'Oth-1'!A11,"].min = ",'Oth-1'!E11,"")</f>
        <v>* differential.element[5].min = 0</v>
      </c>
      <c r="G6" s="112" t="str">
        <f>CONCATENATE("* differential.element[",'Oth-1'!A11,"].max = """,'Oth-1'!F11,"""")</f>
        <v>* differential.element[5].max = "*"</v>
      </c>
      <c r="H6" s="112" t="str">
        <f>CONCATENATE("* differential.element[",'Oth-1'!A11,"].type.code = #",'Oth-1'!G11,"")</f>
        <v>* differential.element[5].type.code = #CodeableConcept</v>
      </c>
      <c r="I6" s="9"/>
      <c r="J6" t="s">
        <v>14</v>
      </c>
    </row>
    <row r="7" spans="2:10" ht="73.75" x14ac:dyDescent="0.75">
      <c r="B7" s="112" t="str">
        <f>CONCATENATE("* differential.element[",'Oth-1'!$A12,"].id = """,'Oth-1'!$B$6,".",'Oth-1'!B12,"""")</f>
        <v>* differential.element[6].id = "OtherInfos.severeToxicity.numberOfToxicity"</v>
      </c>
      <c r="C7" s="112" t="str">
        <f>CONCATENATE("* differential.element[",'Oth-1'!$A12,"].path = """,'Oth-1'!$B$6,".",'Oth-1'!B12,"""")</f>
        <v>* differential.element[6].path = "OtherInfos.severeToxicity.numberOfToxicity"</v>
      </c>
      <c r="D7" s="112" t="str">
        <f>CONCATENATE("* differential.element[",'Oth-1'!A12,"].short = """,'Oth-1'!C12,"""")</f>
        <v>* differential.element[6].short = "Number of toxicity"</v>
      </c>
      <c r="E7" s="112" t="str">
        <f>CONCATENATE("* differential.element[",'Oth-1'!A12,"].definition = """,'Oth-1'!D12,"""")</f>
        <v>* differential.element[6].definition = "Number of toxicity"</v>
      </c>
      <c r="F7" s="112" t="str">
        <f>CONCATENATE("* differential.element[",'Oth-1'!A12,"].min = ",'Oth-1'!E12,"")</f>
        <v>* differential.element[6].min = 0</v>
      </c>
      <c r="G7" s="112" t="str">
        <f>CONCATENATE("* differential.element[",'Oth-1'!A12,"].max = """,'Oth-1'!F12,"""")</f>
        <v>* differential.element[6].max = "1"</v>
      </c>
      <c r="H7" s="112" t="str">
        <f>CONCATENATE("* differential.element[",'Oth-1'!A12,"].type.code = #",'Oth-1'!G12,"")</f>
        <v>* differential.element[6].type.code = #integer</v>
      </c>
      <c r="I7" s="9"/>
      <c r="J7" t="s">
        <v>15</v>
      </c>
    </row>
    <row r="8" spans="2:10" ht="59" x14ac:dyDescent="0.75">
      <c r="B8" s="112" t="str">
        <f>CONCATENATE("* differential.element[",'Oth-1'!$A13,"].id = """,'Oth-1'!$B$6,".",'Oth-1'!B13,"""")</f>
        <v>* differential.element[7].id = "OtherInfos.date"</v>
      </c>
      <c r="C8" s="112" t="str">
        <f>CONCATENATE("* differential.element[",'Oth-1'!$A13,"].path = """,'Oth-1'!$B$6,".",'Oth-1'!B13,"""")</f>
        <v>* differential.element[7].path = "OtherInfos.date"</v>
      </c>
      <c r="D8" s="112" t="str">
        <f>CONCATENATE("* differential.element[",'Oth-1'!A13,"].short = """,'Oth-1'!C13,"""")</f>
        <v>* differential.element[7].short = "Date of event  "</v>
      </c>
      <c r="E8" s="112" t="str">
        <f>CONCATENATE("* differential.element[",'Oth-1'!A13,"].definition = """,'Oth-1'!D13,"""")</f>
        <v>* differential.element[7].definition = "Date (dd/mm/yyyy) of the event. If the date is unkown or partially missed insert the year at the best of your knowledge."</v>
      </c>
      <c r="F8" s="112" t="str">
        <f>CONCATENATE("* differential.element[",'Oth-1'!A13,"].min = ",'Oth-1'!E13,"")</f>
        <v>* differential.element[7].min = 1</v>
      </c>
      <c r="G8" s="112" t="str">
        <f>CONCATENATE("* differential.element[",'Oth-1'!A13,"].max = """,'Oth-1'!F13,"""")</f>
        <v>* differential.element[7].max = "1"</v>
      </c>
      <c r="H8" s="112" t="str">
        <f>CONCATENATE("* differential.element[",'Oth-1'!A13,"].type.code = #",'Oth-1'!G13,"")</f>
        <v>* differential.element[7].type.code = #dateTime</v>
      </c>
      <c r="I8" s="9"/>
      <c r="J8" t="s">
        <v>16</v>
      </c>
    </row>
    <row r="9" spans="2:10" ht="73.75" x14ac:dyDescent="0.75">
      <c r="B9" s="112" t="str">
        <f>CONCATENATE("* differential.element[",'Oth-1'!$A14,"].id = """,'Oth-1'!$B$6,".",'Oth-1'!B14,"""")</f>
        <v>* differential.element[8].id = "OtherInfos.description"</v>
      </c>
      <c r="C9" s="112" t="str">
        <f>CONCATENATE("* differential.element[",'Oth-1'!$A14,"].path = """,'Oth-1'!$B$6,".",'Oth-1'!B14,"""")</f>
        <v>* differential.element[8].path = "OtherInfos.description"</v>
      </c>
      <c r="D9" s="112" t="str">
        <f>CONCATENATE("* differential.element[",'Oth-1'!A14,"].short = """,'Oth-1'!C14,"""")</f>
        <v>* differential.element[8].short = "Description "</v>
      </c>
      <c r="E9" s="112" t="str">
        <f>CONCATENATE("* differential.element[",'Oth-1'!A14,"].definition = """,'Oth-1'!D14,"""")</f>
        <v>* differential.element[8].definition = "Please describe any significant event (e.g. admission to the intensive care for a metabolic problem, seizures, severe toxic complication) occurring during therapy that might have fully recovered or be still remaining or with sequelae"</v>
      </c>
      <c r="F9" s="112" t="str">
        <f>CONCATENATE("* differential.element[",'Oth-1'!A14,"].min = ",'Oth-1'!E14,"")</f>
        <v>* differential.element[8].min = 1</v>
      </c>
      <c r="G9" s="112" t="str">
        <f>CONCATENATE("* differential.element[",'Oth-1'!A14,"].max = """,'Oth-1'!F14,"""")</f>
        <v>* differential.element[8].max = "1"</v>
      </c>
      <c r="H9" s="112" t="str">
        <f>CONCATENATE("* differential.element[",'Oth-1'!A14,"].type.code = #",'Oth-1'!G14,"")</f>
        <v>* differential.element[8].type.code = #BackboneElement</v>
      </c>
      <c r="I9" s="9"/>
    </row>
    <row r="10" spans="2:10" ht="73.75" x14ac:dyDescent="0.75">
      <c r="B10" s="112" t="str">
        <f>CONCATENATE("* differential.element[",'Oth-1'!$A15,"].id = """,'Oth-1'!$B$6,".",'Oth-1'!B15,"""")</f>
        <v>* differential.element[9].id = "OtherInfos.isResolved"</v>
      </c>
      <c r="C10" s="112" t="str">
        <f>CONCATENATE("* differential.element[",'Oth-1'!$A15,"].path = """,'Oth-1'!$B$6,".",'Oth-1'!B15,"""")</f>
        <v>* differential.element[9].path = "OtherInfos.isResolved"</v>
      </c>
      <c r="D10" s="112" t="str">
        <f>CONCATENATE("* differential.element[",'Oth-1'!A15,"].short = """,'Oth-1'!C15,"""")</f>
        <v>* differential.element[9].short = "Resolved ?"</v>
      </c>
      <c r="E10" s="112" t="str">
        <f>CONCATENATE("* differential.element[",'Oth-1'!A15,"].definition = """,'Oth-1'!D15,"""")</f>
        <v>* differential.element[9].definition = "Please specify if the event is resolved or not"</v>
      </c>
      <c r="F10" s="112" t="str">
        <f>CONCATENATE("* differential.element[",'Oth-1'!A15,"].min = ",'Oth-1'!E15,"")</f>
        <v>* differential.element[9].min = 0</v>
      </c>
      <c r="G10" s="112" t="str">
        <f>CONCATENATE("* differential.element[",'Oth-1'!A15,"].max = """,'Oth-1'!F15,"""")</f>
        <v>* differential.element[9].max = "1"</v>
      </c>
      <c r="H10" s="112" t="str">
        <f>CONCATENATE("* differential.element[",'Oth-1'!A15,"].type.code = #",'Oth-1'!G15,"")</f>
        <v>* differential.element[9].type.code = #CodeableConcept</v>
      </c>
      <c r="I10" s="9"/>
    </row>
    <row r="11" spans="2:10" ht="73.75" x14ac:dyDescent="0.75">
      <c r="B11" s="112" t="str">
        <f>CONCATENATE("* differential.element[",'Oth-1'!$A16,"].id = """,'Oth-1'!$B$6,".",'Oth-1'!B16,"""")</f>
        <v>* differential.element[10].id = "OtherInfos.hypogonadal"</v>
      </c>
      <c r="C11" s="112" t="str">
        <f>CONCATENATE("* differential.element[",'Oth-1'!$A16,"].path = """,'Oth-1'!$B$6,".",'Oth-1'!B16,"""")</f>
        <v>* differential.element[10].path = "OtherInfos.hypogonadal"</v>
      </c>
      <c r="D11" s="112" t="str">
        <f>CONCATENATE("* differential.element[",'Oth-1'!A16,"].short = """,'Oth-1'!C16,"""")</f>
        <v>* differential.element[10].short = "Hypogonadal ?"</v>
      </c>
      <c r="E11" s="112" t="str">
        <f>CONCATENATE("* differential.element[",'Oth-1'!A16,"].definition = """,'Oth-1'!D16,"""")</f>
        <v>* differential.element[10].definition = "Please specify if hypogonadal occured during therapy"</v>
      </c>
      <c r="F11" s="112" t="str">
        <f>CONCATENATE("* differential.element[",'Oth-1'!A16,"].min = ",'Oth-1'!E16,"")</f>
        <v>* differential.element[10].min = 0</v>
      </c>
      <c r="G11" s="112" t="str">
        <f>CONCATENATE("* differential.element[",'Oth-1'!A16,"].max = """,'Oth-1'!F16,"""")</f>
        <v>* differential.element[10].max = "1"</v>
      </c>
      <c r="H11" s="112" t="str">
        <f>CONCATENATE("* differential.element[",'Oth-1'!A16,"].type.code = #",'Oth-1'!G16,"")</f>
        <v>* differential.element[10].type.code = #CodeableConcept</v>
      </c>
      <c r="I11" s="9"/>
    </row>
    <row r="12" spans="2:10" ht="73.75" x14ac:dyDescent="0.75">
      <c r="B12" s="112" t="str">
        <f>CONCATENATE("* differential.element[",'Oth-1'!$A17,"].id = """,'Oth-1'!$B$6,".",'Oth-1'!B17,"""")</f>
        <v>* differential.element[11].id = "OtherInfos.growthHormoneDeficiency"</v>
      </c>
      <c r="C12" s="112" t="str">
        <f>CONCATENATE("* differential.element[",'Oth-1'!$A17,"].path = """,'Oth-1'!$B$6,".",'Oth-1'!B17,"""")</f>
        <v>* differential.element[11].path = "OtherInfos.growthHormoneDeficiency"</v>
      </c>
      <c r="D12" s="112" t="str">
        <f>CONCATENATE("* differential.element[",'Oth-1'!A17,"].short = """,'Oth-1'!C17,"""")</f>
        <v>* differential.element[11].short = "Growth hormone deficiency ?"</v>
      </c>
      <c r="E12" s="112" t="str">
        <f>CONCATENATE("* differential.element[",'Oth-1'!A17,"].definition = """,'Oth-1'!D17,"""")</f>
        <v>* differential.element[11].definition = "Please specify if growth hormon deficiency occured during therapy"</v>
      </c>
      <c r="F12" s="112" t="str">
        <f>CONCATENATE("* differential.element[",'Oth-1'!A17,"].min = ",'Oth-1'!E17,"")</f>
        <v>* differential.element[11].min = 1</v>
      </c>
      <c r="G12" s="112" t="str">
        <f>CONCATENATE("* differential.element[",'Oth-1'!A17,"].max = """,'Oth-1'!F17,"""")</f>
        <v>* differential.element[11].max = "1"</v>
      </c>
      <c r="H12" s="112" t="str">
        <f>CONCATENATE("* differential.element[",'Oth-1'!A17,"].type.code = #",'Oth-1'!G17,"")</f>
        <v>* differential.element[11].type.code = #CodeableConcept</v>
      </c>
      <c r="I12" s="9"/>
    </row>
    <row r="13" spans="2:10" ht="59" x14ac:dyDescent="0.75">
      <c r="B13" s="112" t="str">
        <f>CONCATENATE("* differential.element[",'Oth-1'!$A18,"].id = """,'Oth-1'!$B$6,".",'Oth-1'!B18,"""")</f>
        <v>* differential.element[12].id = "OtherInfos.hydrocephalus"</v>
      </c>
      <c r="C13" s="112" t="str">
        <f>CONCATENATE("* differential.element[",'Oth-1'!$A18,"].path = """,'Oth-1'!$B$6,".",'Oth-1'!B18,"""")</f>
        <v>* differential.element[12].path = "OtherInfos.hydrocephalus"</v>
      </c>
      <c r="D13" s="112" t="str">
        <f>CONCATENATE("* differential.element[",'Oth-1'!A18,"].short = """,'Oth-1'!C18,"""")</f>
        <v>* differential.element[12].short = "Hydrocephalus ?"</v>
      </c>
      <c r="E13" s="112" t="str">
        <f>CONCATENATE("* differential.element[",'Oth-1'!A18,"].definition = """,'Oth-1'!D18,"""")</f>
        <v>* differential.element[12].definition = "Please specify if hydrocephalus occured during therapy"</v>
      </c>
      <c r="F13" s="112" t="str">
        <f>CONCATENATE("* differential.element[",'Oth-1'!A18,"].min = ",'Oth-1'!E18,"")</f>
        <v>* differential.element[12].min = 1</v>
      </c>
      <c r="G13" s="112" t="str">
        <f>CONCATENATE("* differential.element[",'Oth-1'!A18,"].max = """,'Oth-1'!F18,"""")</f>
        <v>* differential.element[12].max = "1"</v>
      </c>
      <c r="H13" s="112" t="str">
        <f>CONCATENATE("* differential.element[",'Oth-1'!A18,"].type.code = #",'Oth-1'!G18,"")</f>
        <v>* differential.element[12].type.code = #CodeableConcept</v>
      </c>
      <c r="I13" s="9"/>
    </row>
    <row r="14" spans="2:10" ht="59" x14ac:dyDescent="0.75">
      <c r="B14" s="112" t="str">
        <f>CONCATENATE("* differential.element[",'Oth-1'!$A19,"].id = """,'Oth-1'!$B$6,".",'Oth-1'!B19,"""")</f>
        <v>* differential.element[13].id = "OtherInfos.chronicViralHepatitis"</v>
      </c>
      <c r="C14" s="112" t="str">
        <f>CONCATENATE("* differential.element[",'Oth-1'!$A19,"].path = """,'Oth-1'!$B$6,".",'Oth-1'!B19,"""")</f>
        <v>* differential.element[13].path = "OtherInfos.chronicViralHepatitis"</v>
      </c>
      <c r="D14" s="112" t="str">
        <f>CONCATENATE("* differential.element[",'Oth-1'!A19,"].short = """,'Oth-1'!C19,"""")</f>
        <v>* differential.element[13].short = "Chronic viral hepatitis ?"</v>
      </c>
      <c r="E14" s="112" t="str">
        <f>CONCATENATE("* differential.element[",'Oth-1'!A19,"].definition = """,'Oth-1'!D19,"""")</f>
        <v>* differential.element[13].definition = "Please specify if chronic viral hepatitis occured during therapy"</v>
      </c>
      <c r="F14" s="112" t="str">
        <f>CONCATENATE("* differential.element[",'Oth-1'!A19,"].min = ",'Oth-1'!E19,"")</f>
        <v>* differential.element[13].min = 0</v>
      </c>
      <c r="G14" s="112" t="str">
        <f>CONCATENATE("* differential.element[",'Oth-1'!A19,"].max = """,'Oth-1'!F19,"""")</f>
        <v>* differential.element[13].max = "1"</v>
      </c>
      <c r="H14" s="112" t="str">
        <f>CONCATENATE("* differential.element[",'Oth-1'!A19,"].type.code = #",'Oth-1'!G19,"")</f>
        <v>* differential.element[13].type.code = #CodeableConcept</v>
      </c>
      <c r="I14" s="9"/>
    </row>
    <row r="15" spans="2:10" ht="59" x14ac:dyDescent="0.75">
      <c r="B15" s="112" t="str">
        <f>CONCATENATE("* differential.element[",'Oth-1'!$A20,"].id = """,'Oth-1'!$B$6,".",'Oth-1'!B20,"""")</f>
        <v>* differential.element[14].id = "OtherInfos.sinusoidalObstructionSyndrome"</v>
      </c>
      <c r="C15" s="112" t="str">
        <f>CONCATENATE("* differential.element[",'Oth-1'!$A20,"].path = """,'Oth-1'!$B$6,".",'Oth-1'!B20,"""")</f>
        <v>* differential.element[14].path = "OtherInfos.sinusoidalObstructionSyndrome"</v>
      </c>
      <c r="D15" s="112" t="str">
        <f>CONCATENATE("* differential.element[",'Oth-1'!A20,"].short = """,'Oth-1'!C20,"""")</f>
        <v>* differential.element[14].short = "Sinusoidal obstruction syndrome ?"</v>
      </c>
      <c r="E15" s="112" t="str">
        <f>CONCATENATE("* differential.element[",'Oth-1'!A20,"].definition = """,'Oth-1'!D20,"""")</f>
        <v>* differential.element[14].definition = "Please specify if sinusoidal obstruction syndrome occured during therapy"</v>
      </c>
      <c r="F15" s="112" t="str">
        <f>CONCATENATE("* differential.element[",'Oth-1'!A20,"].min = ",'Oth-1'!E20,"")</f>
        <v>* differential.element[14].min = 0</v>
      </c>
      <c r="G15" s="112" t="str">
        <f>CONCATENATE("* differential.element[",'Oth-1'!A20,"].max = """,'Oth-1'!F20,"""")</f>
        <v>* differential.element[14].max = "1"</v>
      </c>
      <c r="H15" s="112" t="str">
        <f>CONCATENATE("* differential.element[",'Oth-1'!A20,"].type.code = #",'Oth-1'!G20,"")</f>
        <v>* differential.element[14].type.code = #CodeableConcept</v>
      </c>
      <c r="I15" s="9"/>
    </row>
    <row r="16" spans="2:10" ht="59" x14ac:dyDescent="0.75">
      <c r="B16" s="112" t="str">
        <f>CONCATENATE("* differential.element[",'Oth-1'!$A21,"].id = """,'Oth-1'!$B$6,".",'Oth-1'!B21,"""")</f>
        <v>* differential.element[15].id = "OtherInfos.cvcPositioned"</v>
      </c>
      <c r="C16" s="112" t="str">
        <f>CONCATENATE("* differential.element[",'Oth-1'!$A21,"].path = """,'Oth-1'!$B$6,".",'Oth-1'!B21,"""")</f>
        <v>* differential.element[15].path = "OtherInfos.cvcPositioned"</v>
      </c>
      <c r="D16" s="112" t="str">
        <f>CONCATENATE("* differential.element[",'Oth-1'!A21,"].short = """,'Oth-1'!C21,"""")</f>
        <v>* differential.element[15].short = "CVC positioning  "</v>
      </c>
      <c r="E16" s="112" t="str">
        <f>CONCATENATE("* differential.element[",'Oth-1'!A21,"].definition = """,'Oth-1'!D21,"""")</f>
        <v>* differential.element[15].definition = "Please report if at least one central venous line (catheter) was positioned"</v>
      </c>
      <c r="F16" s="112" t="str">
        <f>CONCATENATE("* differential.element[",'Oth-1'!A21,"].min = ",'Oth-1'!E21,"")</f>
        <v>* differential.element[15].min = 0</v>
      </c>
      <c r="G16" s="112" t="str">
        <f>CONCATENATE("* differential.element[",'Oth-1'!A21,"].max = """,'Oth-1'!F21,"""")</f>
        <v>* differential.element[15].max = "1"</v>
      </c>
      <c r="H16" s="112" t="str">
        <f>CONCATENATE("* differential.element[",'Oth-1'!A21,"].type.code = #",'Oth-1'!G21,"")</f>
        <v>* differential.element[15].type.code = #BackboneElement</v>
      </c>
      <c r="I16" s="9"/>
    </row>
    <row r="17" spans="2:9" ht="59" x14ac:dyDescent="0.75">
      <c r="B17" s="112" t="str">
        <f>CONCATENATE("* differential.element[",'Oth-1'!$A22,"].id = """,'Oth-1'!$B$6,".",'Oth-1'!B22,"""")</f>
        <v>* differential.element[16].id = "OtherInfos.cvcPositioned.isInPlace"</v>
      </c>
      <c r="C17" s="112" t="str">
        <f>CONCATENATE("* differential.element[",'Oth-1'!$A22,"].path = """,'Oth-1'!$B$6,".",'Oth-1'!B22,"""")</f>
        <v>* differential.element[16].path = "OtherInfos.cvcPositioned.isInPlace"</v>
      </c>
      <c r="D17" s="112" t="str">
        <f>CONCATENATE("* differential.element[",'Oth-1'!A22,"].short = """,'Oth-1'!C22,"""")</f>
        <v>* differential.element[16].short = "If yes  "</v>
      </c>
      <c r="E17" s="112" t="str">
        <f>CONCATENATE("* differential.element[",'Oth-1'!A22,"].definition = """,'Oth-1'!D22,"""")</f>
        <v>* differential.element[16].definition = "Report if the CVC is still in place or was removed"</v>
      </c>
      <c r="F17" s="112" t="str">
        <f>CONCATENATE("* differential.element[",'Oth-1'!A22,"].min = ",'Oth-1'!E22,"")</f>
        <v>* differential.element[16].min = 0</v>
      </c>
      <c r="G17" s="112" t="str">
        <f>CONCATENATE("* differential.element[",'Oth-1'!A22,"].max = """,'Oth-1'!F22,"""")</f>
        <v>* differential.element[16].max = "1"</v>
      </c>
      <c r="H17" s="112" t="str">
        <f>CONCATENATE("* differential.element[",'Oth-1'!A22,"].type.code = #",'Oth-1'!G22,"")</f>
        <v>* differential.element[16].type.code = #CodeableConcept</v>
      </c>
      <c r="I17" s="9"/>
    </row>
    <row r="18" spans="2:9" ht="44.25" x14ac:dyDescent="0.75">
      <c r="B18" s="112" t="str">
        <f>CONCATENATE("* differential.element[",'Oth-1'!$A23,"].id = """,'Oth-1'!$B$6,".",'Oth-1'!B23,"""")</f>
        <v>* differential.element[17].id = "OtherInfos.cvcPositioned.site"</v>
      </c>
      <c r="C18" s="112" t="str">
        <f>CONCATENATE("* differential.element[",'Oth-1'!$A23,"].path = """,'Oth-1'!$B$6,".",'Oth-1'!B23,"""")</f>
        <v>* differential.element[17].path = "OtherInfos.cvcPositioned.site"</v>
      </c>
      <c r="D18" s="112" t="str">
        <f>CONCATENATE("* differential.element[",'Oth-1'!A23,"].short = """,'Oth-1'!C23,"""")</f>
        <v>* differential.element[17].short = "Specify the site"</v>
      </c>
      <c r="E18" s="112" t="str">
        <f>CONCATENATE("* differential.element[",'Oth-1'!A23,"].definition = """,'Oth-1'!D23,"""")</f>
        <v>* differential.element[17].definition = "Report where (in which vein) the CVC was positioned"</v>
      </c>
      <c r="F18" s="112" t="str">
        <f>CONCATENATE("* differential.element[",'Oth-1'!A23,"].min = ",'Oth-1'!E23,"")</f>
        <v>* differential.element[17].min = 0</v>
      </c>
      <c r="G18" s="112" t="str">
        <f>CONCATENATE("* differential.element[",'Oth-1'!A23,"].max = """,'Oth-1'!F23,"""")</f>
        <v>* differential.element[17].max = "1"</v>
      </c>
      <c r="H18" s="112" t="str">
        <f>CONCATENATE("* differential.element[",'Oth-1'!A23,"].type.code = #",'Oth-1'!G23,"")</f>
        <v>* differential.element[17].type.code = #string</v>
      </c>
      <c r="I18" s="9"/>
    </row>
    <row r="19" spans="2:9" ht="59" x14ac:dyDescent="0.75">
      <c r="B19" s="112" t="str">
        <f>CONCATENATE("* differential.element[",'Oth-1'!$A24,"].id = """,'Oth-1'!$B$6,".",'Oth-1'!B24,"""")</f>
        <v>* differential.element[18].id = "OtherInfos.catheterRelatedThrombosis"</v>
      </c>
      <c r="C19" s="112" t="str">
        <f>CONCATENATE("* differential.element[",'Oth-1'!$A24,"].path = """,'Oth-1'!$B$6,".",'Oth-1'!B24,"""")</f>
        <v>* differential.element[18].path = "OtherInfos.catheterRelatedThrombosis"</v>
      </c>
      <c r="D19" s="112" t="str">
        <f>CONCATENATE("* differential.element[",'Oth-1'!A24,"].short = """,'Oth-1'!C24,"""")</f>
        <v>* differential.element[18].short = "Catheter-related thrombosis"</v>
      </c>
      <c r="E19" s="112" t="str">
        <f>CONCATENATE("* differential.element[",'Oth-1'!A24,"].definition = """,'Oth-1'!D24,"""")</f>
        <v>* differential.element[18].definition = "Catheter-related thrombosis"</v>
      </c>
      <c r="F19" s="112" t="str">
        <f>CONCATENATE("* differential.element[",'Oth-1'!A24,"].min = ",'Oth-1'!E24,"")</f>
        <v>* differential.element[18].min = 0</v>
      </c>
      <c r="G19" s="112" t="str">
        <f>CONCATENATE("* differential.element[",'Oth-1'!A24,"].max = """,'Oth-1'!F24,"""")</f>
        <v>* differential.element[18].max = "1"</v>
      </c>
      <c r="H19" s="112" t="str">
        <f>CONCATENATE("* differential.element[",'Oth-1'!A24,"].type.code = #",'Oth-1'!G24,"")</f>
        <v>* differential.element[18].type.code = #BackboneElement</v>
      </c>
      <c r="I19" s="9"/>
    </row>
    <row r="20" spans="2:9" ht="59" x14ac:dyDescent="0.75">
      <c r="B20" s="112" t="str">
        <f>CONCATENATE("* differential.element[",'Oth-1'!$A25,"].id = """,'Oth-1'!$B$6,".",'Oth-1'!B25,"""")</f>
        <v>* differential.element[19].id = "OtherInfos.catheterRelatedThrombosis.occurred"</v>
      </c>
      <c r="C20" s="112" t="str">
        <f>CONCATENATE("* differential.element[",'Oth-1'!$A25,"].path = """,'Oth-1'!$B$6,".",'Oth-1'!B25,"""")</f>
        <v>* differential.element[19].path = "OtherInfos.catheterRelatedThrombosis.occurred"</v>
      </c>
      <c r="D20" s="112" t="str">
        <f>CONCATENATE("* differential.element[",'Oth-1'!A25,"].short = """,'Oth-1'!C25,"""")</f>
        <v>* differential.element[19].short = "Yes/No"</v>
      </c>
      <c r="E20" s="112" t="str">
        <f>CONCATENATE("* differential.element[",'Oth-1'!A25,"].definition = """,'Oth-1'!D25,"""")</f>
        <v>* differential.element[19].definition = "Report if there was a catheter-related thrombosis due to a central venous catheter."</v>
      </c>
      <c r="F20" s="112" t="str">
        <f>CONCATENATE("* differential.element[",'Oth-1'!A25,"].min = ",'Oth-1'!E25,"")</f>
        <v>* differential.element[19].min = 0</v>
      </c>
      <c r="G20" s="112" t="str">
        <f>CONCATENATE("* differential.element[",'Oth-1'!A25,"].max = """,'Oth-1'!F25,"""")</f>
        <v>* differential.element[19].max = "1"</v>
      </c>
      <c r="H20" s="112" t="str">
        <f>CONCATENATE("* differential.element[",'Oth-1'!A25,"].type.code = #",'Oth-1'!G25,"")</f>
        <v>* differential.element[19].type.code = #CodeableConcept</v>
      </c>
      <c r="I20" s="9"/>
    </row>
    <row r="21" spans="2:9" ht="59" x14ac:dyDescent="0.75">
      <c r="B21" s="112" t="str">
        <f>CONCATENATE("* differential.element[",'Oth-1'!$A26,"].id = """,'Oth-1'!$B$6,".",'Oth-1'!B26,"""")</f>
        <v>* differential.element[20].id = "OtherInfos.catheterRelatedThrombosis.specification"</v>
      </c>
      <c r="C21" s="112" t="str">
        <f>CONCATENATE("* differential.element[",'Oth-1'!$A26,"].path = """,'Oth-1'!$B$6,".",'Oth-1'!B26,"""")</f>
        <v>* differential.element[20].path = "OtherInfos.catheterRelatedThrombosis.specification"</v>
      </c>
      <c r="D21" s="112" t="str">
        <f>CONCATENATE("* differential.element[",'Oth-1'!A26,"].short = """,'Oth-1'!C26,"""")</f>
        <v>* differential.element[20].short = "Catheter-related thrombosis specification"</v>
      </c>
      <c r="E21" s="112" t="str">
        <f>CONCATENATE("* differential.element[",'Oth-1'!A26,"].definition = """,'Oth-1'!D26,"""")</f>
        <v>* differential.element[20].definition = "Specify the details of the catheter-related thrombosis, including the location (vessel and laterality), treatment and status at the end of cancer treatment."</v>
      </c>
      <c r="F21" s="112" t="str">
        <f>CONCATENATE("* differential.element[",'Oth-1'!A26,"].min = ",'Oth-1'!E26,"")</f>
        <v>* differential.element[20].min = 0</v>
      </c>
      <c r="G21" s="112" t="str">
        <f>CONCATENATE("* differential.element[",'Oth-1'!A26,"].max = """,'Oth-1'!F26,"""")</f>
        <v>* differential.element[20].max = "1"</v>
      </c>
      <c r="H21" s="112" t="str">
        <f>CONCATENATE("* differential.element[",'Oth-1'!A26,"].type.code = #",'Oth-1'!G26,"")</f>
        <v>* differential.element[20].type.code = #string</v>
      </c>
      <c r="I21" s="9"/>
    </row>
    <row r="22" spans="2:9" ht="59" x14ac:dyDescent="0.75">
      <c r="B22" s="112" t="str">
        <f>CONCATENATE("* differential.element[",'Oth-1'!$A27,"].id = """,'Oth-1'!$B$6,".",'Oth-1'!B27,"""")</f>
        <v>* differential.element[21].id = "OtherInfos.transfusion"</v>
      </c>
      <c r="C22" s="112" t="str">
        <f>CONCATENATE("* differential.element[",'Oth-1'!$A27,"].path = """,'Oth-1'!$B$6,".",'Oth-1'!B27,"""")</f>
        <v>* differential.element[21].path = "OtherInfos.transfusion"</v>
      </c>
      <c r="D22" s="112" t="str">
        <f>CONCATENATE("* differential.element[",'Oth-1'!A27,"].short = """,'Oth-1'!C27,"""")</f>
        <v>* differential.element[21].short = "Transfusion  "</v>
      </c>
      <c r="E22" s="112" t="str">
        <f>CONCATENATE("* differential.element[",'Oth-1'!A27,"].definition = """,'Oth-1'!D27,"""")</f>
        <v>* differential.element[21].definition = "Transfusion  "</v>
      </c>
      <c r="F22" s="112" t="str">
        <f>CONCATENATE("* differential.element[",'Oth-1'!A27,"].min = ",'Oth-1'!E27,"")</f>
        <v>* differential.element[21].min = 0</v>
      </c>
      <c r="G22" s="112" t="str">
        <f>CONCATENATE("* differential.element[",'Oth-1'!A27,"].max = """,'Oth-1'!F27,"""")</f>
        <v>* differential.element[21].max = "1"</v>
      </c>
      <c r="H22" s="112" t="str">
        <f>CONCATENATE("* differential.element[",'Oth-1'!A27,"].type.code = #",'Oth-1'!G27,"")</f>
        <v>* differential.element[21].type.code = #BackboneElement</v>
      </c>
      <c r="I22" s="9"/>
    </row>
    <row r="23" spans="2:9" ht="59" x14ac:dyDescent="0.75">
      <c r="B23" s="112" t="str">
        <f>CONCATENATE("* differential.element[",'Oth-1'!$A28,"].id = """,'Oth-1'!$B$6,".",'Oth-1'!B28,"""")</f>
        <v>* differential.element[22].id = "OtherInfos.transfusion.occured"</v>
      </c>
      <c r="C23" s="112" t="str">
        <f>CONCATENATE("* differential.element[",'Oth-1'!$A28,"].path = """,'Oth-1'!$B$6,".",'Oth-1'!B28,"""")</f>
        <v>* differential.element[22].path = "OtherInfos.transfusion.occured"</v>
      </c>
      <c r="D23" s="112" t="str">
        <f>CONCATENATE("* differential.element[",'Oth-1'!A28,"].short = """,'Oth-1'!C28,"""")</f>
        <v>* differential.element[22].short = "Yes/No"</v>
      </c>
      <c r="E23" s="112" t="str">
        <f>CONCATENATE("* differential.element[",'Oth-1'!A28,"].definition = """,'Oth-1'!D28,"""")</f>
        <v>* differential.element[22].definition = "Please state if at least one blood (any component) transfusion was made"</v>
      </c>
      <c r="F23" s="112" t="str">
        <f>CONCATENATE("* differential.element[",'Oth-1'!A28,"].min = ",'Oth-1'!E28,"")</f>
        <v>* differential.element[22].min = 0</v>
      </c>
      <c r="G23" s="112" t="str">
        <f>CONCATENATE("* differential.element[",'Oth-1'!A28,"].max = """,'Oth-1'!F28,"""")</f>
        <v>* differential.element[22].max = "1"</v>
      </c>
      <c r="H23" s="112" t="str">
        <f>CONCATENATE("* differential.element[",'Oth-1'!A28,"].type.code = #",'Oth-1'!G28,"")</f>
        <v>* differential.element[22].type.code = #CodeableConcept</v>
      </c>
      <c r="I23" s="9"/>
    </row>
    <row r="24" spans="2:9" ht="59" x14ac:dyDescent="0.75">
      <c r="B24" s="112" t="str">
        <f>CONCATENATE("* differential.element[",'Oth-1'!$A29,"].id = """,'Oth-1'!$B$6,".",'Oth-1'!B29,"""")</f>
        <v>* differential.element[23].id = "OtherInfos.transfusion.last"</v>
      </c>
      <c r="C24" s="112" t="str">
        <f>CONCATENATE("* differential.element[",'Oth-1'!$A29,"].path = """,'Oth-1'!$B$6,".",'Oth-1'!B29,"""")</f>
        <v>* differential.element[23].path = "OtherInfos.transfusion.last"</v>
      </c>
      <c r="D24" s="112" t="str">
        <f>CONCATENATE("* differential.element[",'Oth-1'!A29,"].short = """,'Oth-1'!C29,"""")</f>
        <v>* differential.element[23].short = "Last transfusion date  "</v>
      </c>
      <c r="E24" s="112" t="str">
        <f>CONCATENATE("* differential.element[",'Oth-1'!A29,"].definition = """,'Oth-1'!D29,"""")</f>
        <v>* differential.element[23].definition = "Please  report the date of the last transfusion given. If the date is unkown or partially missed insert the year at the best of your knowledge."</v>
      </c>
      <c r="F24" s="112" t="str">
        <f>CONCATENATE("* differential.element[",'Oth-1'!A29,"].min = ",'Oth-1'!E29,"")</f>
        <v>* differential.element[23].min = 0</v>
      </c>
      <c r="G24" s="112" t="str">
        <f>CONCATENATE("* differential.element[",'Oth-1'!A29,"].max = """,'Oth-1'!F29,"""")</f>
        <v>* differential.element[23].max = "1"</v>
      </c>
      <c r="H24" s="112" t="str">
        <f>CONCATENATE("* differential.element[",'Oth-1'!A29,"].type.code = #",'Oth-1'!G29,"")</f>
        <v>* differential.element[23].type.code = #string</v>
      </c>
      <c r="I24" s="9"/>
    </row>
    <row r="25" spans="2:9" ht="59" x14ac:dyDescent="0.75">
      <c r="B25" s="112" t="str">
        <f>CONCATENATE("* differential.element[",'Oth-1'!$A30,"].id = """,'Oth-1'!$B$6,".",'Oth-1'!B30,"""")</f>
        <v>* differential.element[24].id = "OtherInfos.transfusion.moreThan10"</v>
      </c>
      <c r="C25" s="112" t="str">
        <f>CONCATENATE("* differential.element[",'Oth-1'!$A30,"].path = """,'Oth-1'!$B$6,".",'Oth-1'!B30,"""")</f>
        <v>* differential.element[24].path = "OtherInfos.transfusion.moreThan10"</v>
      </c>
      <c r="D25" s="112" t="str">
        <f>CONCATENATE("* differential.element[",'Oth-1'!A30,"].short = """,'Oth-1'!C30,"""")</f>
        <v>* differential.element[24].short = "&gt;= 10 Transfusions ?"</v>
      </c>
      <c r="E25" s="112" t="str">
        <f>CONCATENATE("* differential.element[",'Oth-1'!A30,"].definition = """,'Oth-1'!D30,"""")</f>
        <v>* differential.element[24].definition = "Please specify if patient recieved 10 or more than 10 trasfusions during therapy"</v>
      </c>
      <c r="F25" s="112" t="str">
        <f>CONCATENATE("* differential.element[",'Oth-1'!A30,"].min = ",'Oth-1'!E30,"")</f>
        <v>* differential.element[24].min = 0</v>
      </c>
      <c r="G25" s="112" t="str">
        <f>CONCATENATE("* differential.element[",'Oth-1'!A30,"].max = """,'Oth-1'!F30,"""")</f>
        <v>* differential.element[24].max = "1"</v>
      </c>
      <c r="H25" s="112" t="str">
        <f>CONCATENATE("* differential.element[",'Oth-1'!A30,"].type.code = #",'Oth-1'!G30,"")</f>
        <v>* differential.element[24].type.code = #CodeableConcept</v>
      </c>
    </row>
    <row r="26" spans="2:9" ht="59" x14ac:dyDescent="0.75">
      <c r="B26" s="112" t="str">
        <f>CONCATENATE("* differential.element[",'Oth-1'!$A31,"].id = """,'Oth-1'!$B$6,".",'Oth-1'!B31,"""")</f>
        <v>* differential.element[25].id = "OtherInfos.fertilityPreseervation"</v>
      </c>
      <c r="C26" s="112" t="str">
        <f>CONCATENATE("* differential.element[",'Oth-1'!$A31,"].path = """,'Oth-1'!$B$6,".",'Oth-1'!B31,"""")</f>
        <v>* differential.element[25].path = "OtherInfos.fertilityPreseervation"</v>
      </c>
      <c r="D26" s="112" t="str">
        <f>CONCATENATE("* differential.element[",'Oth-1'!A31,"].short = """,'Oth-1'!C31,"""")</f>
        <v>* differential.element[25].short = "Fertility preservation  "</v>
      </c>
      <c r="E26" s="112" t="str">
        <f>CONCATENATE("* differential.element[",'Oth-1'!A31,"].definition = """,'Oth-1'!D31,"""")</f>
        <v>* differential.element[25].definition = "Please state if any procedure was performed for fertility preservation"</v>
      </c>
      <c r="F26" s="112" t="str">
        <f>CONCATENATE("* differential.element[",'Oth-1'!A31,"].min = ",'Oth-1'!E31,"")</f>
        <v>* differential.element[25].min = 0</v>
      </c>
      <c r="G26" s="112" t="str">
        <f>CONCATENATE("* differential.element[",'Oth-1'!A31,"].max = """,'Oth-1'!F31,"""")</f>
        <v>* differential.element[25].max = "1"</v>
      </c>
      <c r="H26" s="112" t="str">
        <f>CONCATENATE("* differential.element[",'Oth-1'!A31,"].type.code = #",'Oth-1'!G31,"")</f>
        <v>* differential.element[25].type.code = #BackboneElement</v>
      </c>
    </row>
    <row r="27" spans="2:9" ht="59" x14ac:dyDescent="0.75">
      <c r="B27" s="112" t="str">
        <f>CONCATENATE("* differential.element[",'Oth-1'!$A32,"].id = """,'Oth-1'!$B$6,".",'Oth-1'!B32,"""")</f>
        <v>* differential.element[26].id = "OtherInfos.fertilityPreseervation.occurred"</v>
      </c>
      <c r="C27" s="112" t="str">
        <f>CONCATENATE("* differential.element[",'Oth-1'!$A32,"].path = """,'Oth-1'!$B$6,".",'Oth-1'!B32,"""")</f>
        <v>* differential.element[26].path = "OtherInfos.fertilityPreseervation.occurred"</v>
      </c>
      <c r="D27" s="112" t="str">
        <f>CONCATENATE("* differential.element[",'Oth-1'!A32,"].short = """,'Oth-1'!C32,"""")</f>
        <v>* differential.element[26].short = "If yes, describe  "</v>
      </c>
      <c r="E27" s="112" t="str">
        <f>CONCATENATE("* differential.element[",'Oth-1'!A32,"].definition = """,'Oth-1'!D32,"""")</f>
        <v>* differential.element[26].definition = "If fertility preservation was performed,please  describe it"</v>
      </c>
      <c r="F27" s="112" t="str">
        <f>CONCATENATE("* differential.element[",'Oth-1'!A32,"].min = ",'Oth-1'!E32,"")</f>
        <v>* differential.element[26].min = 0</v>
      </c>
      <c r="G27" s="112" t="str">
        <f>CONCATENATE("* differential.element[",'Oth-1'!A32,"].max = """,'Oth-1'!F32,"""")</f>
        <v>* differential.element[26].max = "1"</v>
      </c>
      <c r="H27" s="112" t="str">
        <f>CONCATENATE("* differential.element[",'Oth-1'!A32,"].type.code = #",'Oth-1'!G32,"")</f>
        <v>* differential.element[26].type.code = #CodeableConcept</v>
      </c>
    </row>
    <row r="28" spans="2:9" ht="59" x14ac:dyDescent="0.75">
      <c r="B28" s="112" t="str">
        <f>CONCATENATE("* differential.element[",'Oth-1'!$A33,"].id = """,'Oth-1'!$B$6,".",'Oth-1'!B33,"""")</f>
        <v>* differential.element[27].id = "OtherInfos.fertilityPreseervation.storage"</v>
      </c>
      <c r="C28" s="112" t="str">
        <f>CONCATENATE("* differential.element[",'Oth-1'!$A33,"].path = """,'Oth-1'!$B$6,".",'Oth-1'!B33,"""")</f>
        <v>* differential.element[27].path = "OtherInfos.fertilityPreseervation.storage"</v>
      </c>
      <c r="D28" s="112" t="str">
        <f>CONCATENATE("* differential.element[",'Oth-1'!A33,"].short = """,'Oth-1'!C33,"""")</f>
        <v>* differential.element[27].short = "Storage Institution"</v>
      </c>
      <c r="E28" s="112" t="str">
        <f>CONCATENATE("* differential.element[",'Oth-1'!A33,"].definition = """,'Oth-1'!D33,"""")</f>
        <v>* differential.element[27].definition = "If fertility preservation was performed, describe with details of the institution where either sperm or ovarian tissue/oocytes have been stored"</v>
      </c>
      <c r="F28" s="112" t="str">
        <f>CONCATENATE("* differential.element[",'Oth-1'!A33,"].min = ",'Oth-1'!E33,"")</f>
        <v>* differential.element[27].min = 0</v>
      </c>
      <c r="G28" s="112" t="str">
        <f>CONCATENATE("* differential.element[",'Oth-1'!A33,"].max = """,'Oth-1'!F33,"""")</f>
        <v>* differential.element[27].max = "1"</v>
      </c>
      <c r="H28" s="112" t="str">
        <f>CONCATENATE("* differential.element[",'Oth-1'!A33,"].type.code = #",'Oth-1'!G33,"")</f>
        <v>* differential.element[27].type.code = #string</v>
      </c>
    </row>
    <row r="29" spans="2:9" ht="59" x14ac:dyDescent="0.75">
      <c r="B29" s="112" t="str">
        <f>CONCATENATE("* differential.element[",'Oth-1'!$A34,"].id = """,'Oth-1'!$B$6,".",'Oth-1'!B34,"""")</f>
        <v>* differential.element[28].id = "OtherInfos.otherTreatment"</v>
      </c>
      <c r="C29" s="112" t="str">
        <f>CONCATENATE("* differential.element[",'Oth-1'!$A34,"].path = """,'Oth-1'!$B$6,".",'Oth-1'!B34,"""")</f>
        <v>* differential.element[28].path = "OtherInfos.otherTreatment"</v>
      </c>
      <c r="D29" s="112" t="str">
        <f>CONCATENATE("* differential.element[",'Oth-1'!A34,"].short = """,'Oth-1'!C34,"""")</f>
        <v>* differential.element[28].short = "Other oncological treatments"</v>
      </c>
      <c r="E29" s="112" t="str">
        <f>CONCATENATE("* differential.element[",'Oth-1'!A34,"].definition = """,'Oth-1'!D34,"""")</f>
        <v>* differential.element[28].definition = "Report here if any other treatment (not included in the chemotherapy, surgery or radiotherapy sections) was adminstered to the survivor"</v>
      </c>
      <c r="F29" s="112" t="str">
        <f>CONCATENATE("* differential.element[",'Oth-1'!A34,"].min = ",'Oth-1'!E34,"")</f>
        <v>* differential.element[28].min = 0</v>
      </c>
      <c r="G29" s="112" t="str">
        <f>CONCATENATE("* differential.element[",'Oth-1'!A34,"].max = """,'Oth-1'!F34,"""")</f>
        <v>* differential.element[28].max = "*"</v>
      </c>
      <c r="H29" s="112" t="str">
        <f>CONCATENATE("* differential.element[",'Oth-1'!A34,"].type.code = #",'Oth-1'!G34,"")</f>
        <v>* differential.element[28].type.code = #CodeableConcept</v>
      </c>
    </row>
    <row r="30" spans="2:9" ht="59" x14ac:dyDescent="0.75">
      <c r="B30" s="112" t="str">
        <f>CONCATENATE("* differential.element[",'Oth-1'!$A35,"].id = """,'Oth-1'!$B$6,".",'Oth-1'!B35,"""")</f>
        <v>* differential.element[29].id = "OtherInfos.dischargeLetter"</v>
      </c>
      <c r="C30" s="112" t="str">
        <f>CONCATENATE("* differential.element[",'Oth-1'!$A35,"].path = """,'Oth-1'!$B$6,".",'Oth-1'!B35,"""")</f>
        <v>* differential.element[29].path = "OtherInfos.dischargeLetter"</v>
      </c>
      <c r="D30" s="112" t="str">
        <f>CONCATENATE("* differential.element[",'Oth-1'!A35,"].short = """,'Oth-1'!C35,"""")</f>
        <v>* differential.element[29].short = "Discharge letter"</v>
      </c>
      <c r="E30" s="112" t="str">
        <f>CONCATENATE("* differential.element[",'Oth-1'!A35,"].definition = """,'Oth-1'!D35,"""")</f>
        <v>* differential.element[29].definition = "Discharge letter"</v>
      </c>
      <c r="F30" s="112" t="str">
        <f>CONCATENATE("* differential.element[",'Oth-1'!A35,"].min = ",'Oth-1'!E35,"")</f>
        <v>* differential.element[29].min = 0</v>
      </c>
      <c r="G30" s="112" t="str">
        <f>CONCATENATE("* differential.element[",'Oth-1'!A35,"].max = """,'Oth-1'!F35,"""")</f>
        <v>* differential.element[29].max = "*"</v>
      </c>
      <c r="H30" s="112" t="str">
        <f>CONCATENATE("* differential.element[",'Oth-1'!A35,"].type.code = #",'Oth-1'!G35,"")</f>
        <v>* differential.element[29].type.code = #Attacchment</v>
      </c>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18" sqref="D18:D20"/>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",'Oth-1'!B6)</f>
        <v>Instance: OtherInfos</v>
      </c>
    </row>
    <row r="3" spans="4:7" x14ac:dyDescent="0.75">
      <c r="D3" s="15" t="s">
        <v>24</v>
      </c>
    </row>
    <row r="4" spans="4:7" x14ac:dyDescent="0.75">
      <c r="D4" s="15" t="str">
        <f>CONCATENATE("Description: """,'Oth-1'!D2,"""")</f>
        <v>Description: "Other info and relevant events
Maturity Level 0"</v>
      </c>
      <c r="E4" s="15"/>
    </row>
    <row r="5" spans="4:7" x14ac:dyDescent="0.75">
      <c r="D5" s="15" t="str">
        <f>CONCATENATE("Title: """,'Oth-1'!C2,"""")</f>
        <v>Title: "Other info and relevant events"</v>
      </c>
      <c r="E5" s="15"/>
    </row>
    <row r="6" spans="4:7" x14ac:dyDescent="0.75">
      <c r="D6" s="15" t="s">
        <v>25</v>
      </c>
      <c r="E6" s="15"/>
    </row>
    <row r="7" spans="4:7" x14ac:dyDescent="0.75">
      <c r="D7" s="15"/>
      <c r="E7" s="15"/>
    </row>
    <row r="8" spans="4:7" x14ac:dyDescent="0.75">
      <c r="D8" s="15" t="str">
        <f>CONCATENATE("* publisher = """,'Oth-1'!B4,"""")</f>
        <v>* publisher = "PanCareSurPass project"</v>
      </c>
      <c r="E8" s="15"/>
    </row>
    <row r="9" spans="4:7" x14ac:dyDescent="0.75">
      <c r="D9" s="15" t="s">
        <v>26</v>
      </c>
      <c r="E9" s="15"/>
    </row>
    <row r="10" spans="4:7" x14ac:dyDescent="0.75">
      <c r="D10" s="15" t="str">
        <f>CONCATENATE("* url = """,'Oth-1'!B2,"/StructureDefinition/",'Oth-1'!B6,"""")</f>
        <v>* url = "http://hl7.eu/fhir/ig/pcsp/StructureDefinition/OtherInfos"</v>
      </c>
      <c r="E10" s="15"/>
      <c r="G10" s="52" t="s">
        <v>48</v>
      </c>
    </row>
    <row r="11" spans="4:7" x14ac:dyDescent="0.75">
      <c r="D11" s="15" t="str">
        <f>CONCATENATE("* name = """,'Oth-1'!C4,"""")</f>
        <v>* name = "OtherInfos"</v>
      </c>
      <c r="E11" s="15"/>
    </row>
    <row r="12" spans="4:7" x14ac:dyDescent="0.75">
      <c r="D12" s="15" t="str">
        <f>CONCATENATE("* title = """,'Oth-1'!C2,"""")</f>
        <v>* title = "Other info and relevant events"</v>
      </c>
      <c r="E12" s="15"/>
    </row>
    <row r="13" spans="4:7" x14ac:dyDescent="0.75">
      <c r="D13" s="15" t="s">
        <v>26</v>
      </c>
      <c r="E13" s="15"/>
    </row>
    <row r="14" spans="4:7" x14ac:dyDescent="0.75">
      <c r="D14" s="15" t="s">
        <v>27</v>
      </c>
      <c r="E14" s="15"/>
    </row>
    <row r="15" spans="4:7" x14ac:dyDescent="0.75">
      <c r="D15" s="15" t="str">
        <f>CONCATENATE("* description = """,'Oth-1'!D2,"""")</f>
        <v>* description = "Other info and relevant events
Maturity Level 0"</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""",'Oth-1'!B6,"""")</f>
        <v>* type = "OtherInfos"</v>
      </c>
      <c r="E24" s="15"/>
    </row>
    <row r="25" spans="2:7" x14ac:dyDescent="0.75">
      <c r="D25" s="15" t="s">
        <v>30</v>
      </c>
    </row>
    <row r="26" spans="2:7" x14ac:dyDescent="0.75">
      <c r="D26" s="15" t="s">
        <v>31</v>
      </c>
    </row>
    <row r="28" spans="2:7" x14ac:dyDescent="0.75">
      <c r="D28" s="12" t="str">
        <f>'Oth-2'!B1</f>
        <v>* differential.element[0].id = "OtherInfos"</v>
      </c>
    </row>
    <row r="29" spans="2:7" x14ac:dyDescent="0.75">
      <c r="D29" s="12" t="str">
        <f>'Oth-2'!C1</f>
        <v>* differential.element[0].path = "OtherInfos"</v>
      </c>
      <c r="G29" t="s">
        <v>50</v>
      </c>
    </row>
    <row r="30" spans="2:7" x14ac:dyDescent="0.75">
      <c r="D30" s="38" t="str">
        <f>'Oth-2'!D1</f>
        <v>* differential.element[0].short = "Other info and relevant events"</v>
      </c>
    </row>
    <row r="31" spans="2:7" x14ac:dyDescent="0.75">
      <c r="D31" s="12" t="str">
        <f>'Oth-2'!E1</f>
        <v>* differential.element[0].definition = "Other info and relevant events"</v>
      </c>
    </row>
    <row r="32" spans="2:7" x14ac:dyDescent="0.75">
      <c r="D32" s="12" t="str">
        <f>'Oth-2'!F1</f>
        <v>* differential.element[0].min = 1</v>
      </c>
    </row>
    <row r="33" spans="1:4" x14ac:dyDescent="0.75">
      <c r="D33" s="12" t="str">
        <f>'Oth-2'!G1</f>
        <v>* differential.element[0].max = "1"</v>
      </c>
    </row>
    <row r="34" spans="1:4" x14ac:dyDescent="0.75">
      <c r="D34" s="7"/>
    </row>
    <row r="35" spans="1:4" x14ac:dyDescent="0.75">
      <c r="A35" s="2">
        <v>1</v>
      </c>
      <c r="B35" s="2">
        <f>IF(MOD(A35,7)=0,A35/7-1,INT(A35/7))</f>
        <v>0</v>
      </c>
      <c r="C35" s="2">
        <f>IF(MOD(A35,7)=0,7,MOD(A35,7))</f>
        <v>1</v>
      </c>
      <c r="D35" s="8" t="str" cm="1">
        <f t="array" ref="D35">INDEX('Oth-2'!$B$2:$H$88,1+B35,C35)</f>
        <v>* differential.element[1].id = "OtherInfos.identifier"</v>
      </c>
    </row>
    <row r="36" spans="1:4" x14ac:dyDescent="0.75">
      <c r="A36" s="2">
        <v>2</v>
      </c>
      <c r="B36" s="2">
        <f t="shared" ref="B36:B41" si="0">IF(MOD(A36,7)=0,A36/7-1,INT(A36/7))</f>
        <v>0</v>
      </c>
      <c r="C36" s="2">
        <f t="shared" ref="C36:C41" si="1">IF(MOD(A36,7)=0,7,MOD(A36,7))</f>
        <v>2</v>
      </c>
      <c r="D36" s="112" t="str" cm="1">
        <f t="array" ref="D36">INDEX('Oth-2'!$B$2:$H$88,1+B36,C36)</f>
        <v>* differential.element[1].path = "OtherInfos.identifier"</v>
      </c>
    </row>
    <row r="37" spans="1:4" x14ac:dyDescent="0.75">
      <c r="A37" s="2">
        <v>3</v>
      </c>
      <c r="B37" s="2">
        <f t="shared" si="0"/>
        <v>0</v>
      </c>
      <c r="C37" s="2">
        <f t="shared" si="1"/>
        <v>3</v>
      </c>
      <c r="D37" s="112" t="str" cm="1">
        <f t="array" ref="D37">INDEX('Oth-2'!$B$2:$H$88,1+B37,C37)</f>
        <v>* differential.element[1].short = "Relevant event number"</v>
      </c>
    </row>
    <row r="38" spans="1:4" ht="29.5" x14ac:dyDescent="0.75">
      <c r="A38" s="2">
        <v>4</v>
      </c>
      <c r="B38" s="2">
        <f t="shared" si="0"/>
        <v>0</v>
      </c>
      <c r="C38" s="2">
        <f t="shared" si="1"/>
        <v>4</v>
      </c>
      <c r="D38" s="112" t="str" cm="1">
        <f t="array" ref="D38">INDEX('Oth-2'!$B$2:$H$88,1+B38,C38)</f>
        <v>* differential.element[1].definition = "Progressive number of relevant event  (1=first; 2= second; 3 = third; …).
In this field must be reported the ordinal number of relevant event to be described."</v>
      </c>
    </row>
    <row r="39" spans="1:4" x14ac:dyDescent="0.75">
      <c r="A39" s="2">
        <v>5</v>
      </c>
      <c r="B39" s="2">
        <f t="shared" si="0"/>
        <v>0</v>
      </c>
      <c r="C39" s="2">
        <f t="shared" si="1"/>
        <v>5</v>
      </c>
      <c r="D39" s="112" t="str" cm="1">
        <f t="array" ref="D39">INDEX('Oth-2'!$B$2:$H$88,1+B39,C39)</f>
        <v>* differential.element[1].min = 0</v>
      </c>
    </row>
    <row r="40" spans="1:4" x14ac:dyDescent="0.75">
      <c r="A40" s="2">
        <v>6</v>
      </c>
      <c r="B40" s="2">
        <f t="shared" si="0"/>
        <v>0</v>
      </c>
      <c r="C40" s="2">
        <f t="shared" si="1"/>
        <v>6</v>
      </c>
      <c r="D40" s="112" t="str" cm="1">
        <f t="array" ref="D40">INDEX('Oth-2'!$B$2:$H$88,1+B40,C40)</f>
        <v>* differential.element[1].max = "1"</v>
      </c>
    </row>
    <row r="41" spans="1:4" x14ac:dyDescent="0.75">
      <c r="A41" s="26">
        <v>7</v>
      </c>
      <c r="B41" s="26">
        <f t="shared" si="0"/>
        <v>0</v>
      </c>
      <c r="C41" s="26">
        <f t="shared" si="1"/>
        <v>7</v>
      </c>
      <c r="D41" s="112" t="str" cm="1">
        <f t="array" ref="D41">INDEX('Oth-2'!$B$2:$H$88,1+B41,C41)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INDEX('Oth-2'!$B$2:$H$88,1+B42,C42)</f>
        <v>* differential.element[2].id = "OtherInfos.relatedDiagnosis"</v>
      </c>
    </row>
    <row r="43" spans="1:4" x14ac:dyDescent="0.75">
      <c r="A43" s="26">
        <v>9</v>
      </c>
      <c r="B43" s="26">
        <f t="shared" si="2"/>
        <v>1</v>
      </c>
      <c r="C43" s="26">
        <f t="shared" si="3"/>
        <v>2</v>
      </c>
      <c r="D43" s="112" t="str" cm="1">
        <f t="array" ref="D43">INDEX('Oth-2'!$B$2:$H$88,1+B43,C43)</f>
        <v>* differential.element[2].path = "OtherInfos.relatedDiagnosis"</v>
      </c>
    </row>
    <row r="44" spans="1:4" x14ac:dyDescent="0.75">
      <c r="A44" s="26">
        <v>10</v>
      </c>
      <c r="B44" s="26">
        <f t="shared" si="2"/>
        <v>1</v>
      </c>
      <c r="C44" s="26">
        <f t="shared" si="3"/>
        <v>3</v>
      </c>
      <c r="D44" s="112" t="str" cm="1">
        <f t="array" ref="D44">INDEX('Oth-2'!$B$2:$H$88,1+B44,C44)</f>
        <v>* differential.element[2].short = "Progressive number of diagnosis"</v>
      </c>
    </row>
    <row r="45" spans="1:4" ht="29.5" x14ac:dyDescent="0.75">
      <c r="A45" s="26">
        <v>11</v>
      </c>
      <c r="B45" s="26">
        <f t="shared" si="2"/>
        <v>1</v>
      </c>
      <c r="C45" s="26">
        <f t="shared" si="3"/>
        <v>4</v>
      </c>
      <c r="D45" s="112" t="str" cm="1">
        <f t="array" ref="D45">INDEX('Oth-2'!$B$2:$H$88,1+B45,C45)</f>
        <v>* differential.element[2].definition = "Progressive number of diagnosis (1=first; 2= second; 3 = third; …).  
In this field must be reported the ordinal number of the tumor diagnosis in which other info or relevant events occurred"</v>
      </c>
    </row>
    <row r="46" spans="1:4" x14ac:dyDescent="0.75">
      <c r="A46" s="26">
        <v>12</v>
      </c>
      <c r="B46" s="26">
        <f t="shared" si="2"/>
        <v>1</v>
      </c>
      <c r="C46" s="26">
        <f t="shared" si="3"/>
        <v>5</v>
      </c>
      <c r="D46" s="112" t="str" cm="1">
        <f t="array" ref="D46">INDEX('Oth-2'!$B$2:$H$88,1+B46,C46)</f>
        <v>* differential.element[2].min = 0</v>
      </c>
    </row>
    <row r="47" spans="1:4" x14ac:dyDescent="0.75">
      <c r="A47" s="26">
        <v>13</v>
      </c>
      <c r="B47" s="26">
        <f t="shared" si="2"/>
        <v>1</v>
      </c>
      <c r="C47" s="26">
        <f t="shared" si="3"/>
        <v>6</v>
      </c>
      <c r="D47" s="112" t="str" cm="1">
        <f t="array" ref="D47">INDEX('Oth-2'!$B$2:$H$88,1+B47,C47)</f>
        <v>* differential.element[2].max = "1"</v>
      </c>
    </row>
    <row r="48" spans="1:4" x14ac:dyDescent="0.75">
      <c r="A48" s="26">
        <v>14</v>
      </c>
      <c r="B48" s="26">
        <f t="shared" si="2"/>
        <v>1</v>
      </c>
      <c r="C48" s="26">
        <f t="shared" si="3"/>
        <v>7</v>
      </c>
      <c r="D48" s="112" t="str" cm="1">
        <f t="array" ref="D48">INDEX('Oth-2'!$B$2:$H$88,1+B48,C48)</f>
        <v>* differential.element[2].type.code = #Identifier</v>
      </c>
    </row>
    <row r="49" spans="1:4" x14ac:dyDescent="0.75">
      <c r="A49" s="26">
        <v>15</v>
      </c>
      <c r="B49" s="26">
        <f t="shared" si="2"/>
        <v>2</v>
      </c>
      <c r="C49" s="26">
        <f t="shared" si="3"/>
        <v>1</v>
      </c>
      <c r="D49" s="112" t="str" cm="1">
        <f t="array" ref="D49">INDEX('Oth-2'!$B$2:$H$88,1+B49,C49)</f>
        <v>* differential.element[3].id = "OtherInfos.relatedRelapse"</v>
      </c>
    </row>
    <row r="50" spans="1:4" x14ac:dyDescent="0.75">
      <c r="A50" s="26">
        <v>16</v>
      </c>
      <c r="B50" s="26">
        <f t="shared" si="2"/>
        <v>2</v>
      </c>
      <c r="C50" s="26">
        <f t="shared" si="3"/>
        <v>2</v>
      </c>
      <c r="D50" s="112" t="str" cm="1">
        <f t="array" ref="D50">INDEX('Oth-2'!$B$2:$H$88,1+B50,C50)</f>
        <v>* differential.element[3].path = "OtherInfos.relatedRelapse"</v>
      </c>
    </row>
    <row r="51" spans="1:4" x14ac:dyDescent="0.75">
      <c r="A51" s="26">
        <v>17</v>
      </c>
      <c r="B51" s="26">
        <f t="shared" si="2"/>
        <v>2</v>
      </c>
      <c r="C51" s="26">
        <f t="shared" si="3"/>
        <v>3</v>
      </c>
      <c r="D51" s="112" t="str" cm="1">
        <f t="array" ref="D51">INDEX('Oth-2'!$B$2:$H$88,1+B51,C51)</f>
        <v>* differential.element[3].short = "Progressive number of relapse/progression (after FLT)"</v>
      </c>
    </row>
    <row r="52" spans="1:4" ht="29.5" x14ac:dyDescent="0.75">
      <c r="A52" s="26">
        <v>18</v>
      </c>
      <c r="B52" s="26">
        <f t="shared" si="2"/>
        <v>2</v>
      </c>
      <c r="C52" s="26">
        <f t="shared" si="3"/>
        <v>4</v>
      </c>
      <c r="D52" s="112" t="str" cm="1">
        <f t="array" ref="D52">INDEX('Oth-2'!$B$2:$H$88,1+B52,C52)</f>
        <v>* differential.element[3].definition = "Progressive number of relevant event  (1=first; 2= second; 3 = third; …).
In this field must be reported the ordinal number of relevant event to be described."</v>
      </c>
    </row>
    <row r="53" spans="1:4" x14ac:dyDescent="0.75">
      <c r="A53" s="26">
        <v>19</v>
      </c>
      <c r="B53" s="26">
        <f t="shared" si="2"/>
        <v>2</v>
      </c>
      <c r="C53" s="26">
        <f t="shared" si="3"/>
        <v>5</v>
      </c>
      <c r="D53" s="112" t="str" cm="1">
        <f t="array" ref="D53">INDEX('Oth-2'!$B$2:$H$88,1+B53,C53)</f>
        <v>* differential.element[3].min = 0</v>
      </c>
    </row>
    <row r="54" spans="1:4" x14ac:dyDescent="0.75">
      <c r="A54" s="26">
        <v>20</v>
      </c>
      <c r="B54" s="26">
        <f t="shared" si="2"/>
        <v>2</v>
      </c>
      <c r="C54" s="26">
        <f t="shared" si="3"/>
        <v>6</v>
      </c>
      <c r="D54" s="112" t="str" cm="1">
        <f t="array" ref="D54">INDEX('Oth-2'!$B$2:$H$88,1+B54,C54)</f>
        <v>* differential.element[3].max = "1"</v>
      </c>
    </row>
    <row r="55" spans="1:4" x14ac:dyDescent="0.75">
      <c r="A55" s="26">
        <v>21</v>
      </c>
      <c r="B55" s="26">
        <f t="shared" si="2"/>
        <v>2</v>
      </c>
      <c r="C55" s="26">
        <f t="shared" si="3"/>
        <v>7</v>
      </c>
      <c r="D55" s="112" t="str" cm="1">
        <f t="array" ref="D55">INDEX('Oth-2'!$B$2:$H$88,1+B55,C55)</f>
        <v>* differential.element[3].type.code = #Identifier</v>
      </c>
    </row>
    <row r="56" spans="1:4" x14ac:dyDescent="0.75">
      <c r="A56" s="26">
        <v>22</v>
      </c>
      <c r="B56" s="26">
        <f t="shared" si="2"/>
        <v>3</v>
      </c>
      <c r="C56" s="26">
        <f t="shared" si="3"/>
        <v>1</v>
      </c>
      <c r="D56" s="112" t="str" cm="1">
        <f t="array" ref="D56">INDEX('Oth-2'!$B$2:$H$88,1+B56,C56)</f>
        <v>* differential.element[4].id = "OtherInfos.severeToxicity"</v>
      </c>
    </row>
    <row r="57" spans="1:4" x14ac:dyDescent="0.75">
      <c r="A57" s="26">
        <v>23</v>
      </c>
      <c r="B57" s="26">
        <f t="shared" si="2"/>
        <v>3</v>
      </c>
      <c r="C57" s="26">
        <f t="shared" si="3"/>
        <v>2</v>
      </c>
      <c r="D57" s="112" t="str" cm="1">
        <f t="array" ref="D57">INDEX('Oth-2'!$B$2:$H$88,1+B57,C57)</f>
        <v>* differential.element[4].path = "OtherInfos.severeToxicity"</v>
      </c>
    </row>
    <row r="58" spans="1:4" x14ac:dyDescent="0.75">
      <c r="A58" s="26">
        <v>24</v>
      </c>
      <c r="B58" s="26">
        <f t="shared" si="2"/>
        <v>3</v>
      </c>
      <c r="C58" s="26">
        <f t="shared" si="3"/>
        <v>3</v>
      </c>
      <c r="D58" s="112" t="str" cm="1">
        <f t="array" ref="D58">INDEX('Oth-2'!$B$2:$H$88,1+B58,C58)</f>
        <v>* differential.element[4].short = "Important toxicity during treatment  "</v>
      </c>
    </row>
    <row r="59" spans="1:4" x14ac:dyDescent="0.75">
      <c r="A59" s="26">
        <v>25</v>
      </c>
      <c r="B59" s="26">
        <f t="shared" si="2"/>
        <v>3</v>
      </c>
      <c r="C59" s="26">
        <f t="shared" si="3"/>
        <v>4</v>
      </c>
      <c r="D59" s="112" t="str" cm="1">
        <f t="array" ref="D59">INDEX('Oth-2'!$B$2:$H$88,1+B59,C59)</f>
        <v>* differential.element[4].definition = "Important toxicity during treatment  "</v>
      </c>
    </row>
    <row r="60" spans="1:4" x14ac:dyDescent="0.75">
      <c r="A60" s="26">
        <v>26</v>
      </c>
      <c r="B60" s="26">
        <f t="shared" si="2"/>
        <v>3</v>
      </c>
      <c r="C60" s="26">
        <f t="shared" si="3"/>
        <v>5</v>
      </c>
      <c r="D60" s="112" t="str" cm="1">
        <f t="array" ref="D60">INDEX('Oth-2'!$B$2:$H$88,1+B60,C60)</f>
        <v>* differential.element[4].min = 0</v>
      </c>
    </row>
    <row r="61" spans="1:4" x14ac:dyDescent="0.75">
      <c r="A61" s="26">
        <v>27</v>
      </c>
      <c r="B61" s="26">
        <f t="shared" si="2"/>
        <v>3</v>
      </c>
      <c r="C61" s="26">
        <f t="shared" si="3"/>
        <v>6</v>
      </c>
      <c r="D61" s="112" t="str" cm="1">
        <f t="array" ref="D61">INDEX('Oth-2'!$B$2:$H$88,1+B61,C61)</f>
        <v>* differential.element[4].max = "1"</v>
      </c>
    </row>
    <row r="62" spans="1:4" x14ac:dyDescent="0.75">
      <c r="A62" s="26">
        <v>28</v>
      </c>
      <c r="B62" s="26">
        <f t="shared" si="2"/>
        <v>3</v>
      </c>
      <c r="C62" s="26">
        <f t="shared" si="3"/>
        <v>7</v>
      </c>
      <c r="D62" s="112" t="str" cm="1">
        <f t="array" ref="D62">INDEX('Oth-2'!$B$2:$H$88,1+B62,C62)</f>
        <v>* differential.element[4].type.code = #BackboneElement</v>
      </c>
    </row>
    <row r="63" spans="1:4" x14ac:dyDescent="0.75">
      <c r="A63" s="26">
        <v>29</v>
      </c>
      <c r="B63" s="26">
        <f t="shared" si="2"/>
        <v>4</v>
      </c>
      <c r="C63" s="26">
        <f t="shared" si="3"/>
        <v>1</v>
      </c>
      <c r="D63" s="112" t="str" cm="1">
        <f t="array" ref="D63">INDEX('Oth-2'!$B$2:$H$88,1+B63,C63)</f>
        <v>* differential.element[5].id = "OtherInfos.severeToxicity.flag"</v>
      </c>
    </row>
    <row r="64" spans="1:4" x14ac:dyDescent="0.75">
      <c r="A64" s="26">
        <v>30</v>
      </c>
      <c r="B64" s="26">
        <f t="shared" si="2"/>
        <v>4</v>
      </c>
      <c r="C64" s="26">
        <f t="shared" si="3"/>
        <v>2</v>
      </c>
      <c r="D64" s="112" t="str" cm="1">
        <f t="array" ref="D64">INDEX('Oth-2'!$B$2:$H$88,1+B64,C64)</f>
        <v>* differential.element[5].path = "OtherInfos.severeToxicity.flag"</v>
      </c>
    </row>
    <row r="65" spans="1:4" x14ac:dyDescent="0.75">
      <c r="A65" s="26">
        <v>31</v>
      </c>
      <c r="B65" s="26">
        <f t="shared" si="2"/>
        <v>4</v>
      </c>
      <c r="C65" s="26">
        <f t="shared" si="3"/>
        <v>3</v>
      </c>
      <c r="D65" s="112" t="str" cm="1">
        <f t="array" ref="D65">INDEX('Oth-2'!$B$2:$H$88,1+B65,C65)</f>
        <v>* differential.element[5].short = "Important toxicity during treatment  "</v>
      </c>
    </row>
    <row r="66" spans="1:4" ht="88.5" x14ac:dyDescent="0.75">
      <c r="A66" s="26">
        <v>32</v>
      </c>
      <c r="B66" s="26">
        <f t="shared" si="2"/>
        <v>4</v>
      </c>
      <c r="C66" s="26">
        <f t="shared" si="3"/>
        <v>4</v>
      </c>
      <c r="D66" s="112" t="str" cm="1">
        <f t="array" ref="D66">INDEX('Oth-2'!$B$2:$H$88,1+B66,C66)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7" spans="1:4" x14ac:dyDescent="0.75">
      <c r="A67" s="26">
        <v>33</v>
      </c>
      <c r="B67" s="26">
        <f t="shared" si="2"/>
        <v>4</v>
      </c>
      <c r="C67" s="26">
        <f t="shared" si="3"/>
        <v>5</v>
      </c>
      <c r="D67" s="112" t="str" cm="1">
        <f t="array" ref="D67">INDEX('Oth-2'!$B$2:$H$88,1+B67,C67)</f>
        <v>* differential.element[5].min = 0</v>
      </c>
    </row>
    <row r="68" spans="1:4" x14ac:dyDescent="0.75">
      <c r="A68" s="26">
        <v>34</v>
      </c>
      <c r="B68" s="26">
        <f t="shared" si="2"/>
        <v>4</v>
      </c>
      <c r="C68" s="26">
        <f t="shared" si="3"/>
        <v>6</v>
      </c>
      <c r="D68" s="112" t="str" cm="1">
        <f t="array" ref="D68">INDEX('Oth-2'!$B$2:$H$88,1+B68,C68)</f>
        <v>* differential.element[5].max = "*"</v>
      </c>
    </row>
    <row r="69" spans="1:4" x14ac:dyDescent="0.75">
      <c r="A69" s="26">
        <v>35</v>
      </c>
      <c r="B69" s="26">
        <f t="shared" si="2"/>
        <v>4</v>
      </c>
      <c r="C69" s="26">
        <f t="shared" si="3"/>
        <v>7</v>
      </c>
      <c r="D69" s="112" t="str" cm="1">
        <f t="array" ref="D69">INDEX('Oth-2'!$B$2:$H$88,1+B69,C69)</f>
        <v>* differential.element[5].type.code = #CodeableConcept</v>
      </c>
    </row>
    <row r="70" spans="1:4" x14ac:dyDescent="0.75">
      <c r="A70" s="26">
        <v>36</v>
      </c>
      <c r="B70" s="26">
        <f t="shared" si="2"/>
        <v>5</v>
      </c>
      <c r="C70" s="26">
        <f t="shared" si="3"/>
        <v>1</v>
      </c>
      <c r="D70" s="112" t="str" cm="1">
        <f t="array" ref="D70">INDEX('Oth-2'!$B$2:$H$88,1+B70,C70)</f>
        <v>* differential.element[6].id = "OtherInfos.severeToxicity.numberOfToxicity"</v>
      </c>
    </row>
    <row r="71" spans="1:4" x14ac:dyDescent="0.75">
      <c r="A71" s="26">
        <v>37</v>
      </c>
      <c r="B71" s="26">
        <f t="shared" si="2"/>
        <v>5</v>
      </c>
      <c r="C71" s="26">
        <f t="shared" si="3"/>
        <v>2</v>
      </c>
      <c r="D71" s="112" t="str" cm="1">
        <f t="array" ref="D71">INDEX('Oth-2'!$B$2:$H$88,1+B71,C71)</f>
        <v>* differential.element[6].path = "OtherInfos.severeToxicity.numberOfToxicity"</v>
      </c>
    </row>
    <row r="72" spans="1:4" x14ac:dyDescent="0.75">
      <c r="A72" s="26">
        <v>38</v>
      </c>
      <c r="B72" s="26">
        <f t="shared" si="2"/>
        <v>5</v>
      </c>
      <c r="C72" s="26">
        <f t="shared" si="3"/>
        <v>3</v>
      </c>
      <c r="D72" s="112" t="str" cm="1">
        <f t="array" ref="D72">INDEX('Oth-2'!$B$2:$H$88,1+B72,C72)</f>
        <v>* differential.element[6].short = "Number of toxicity"</v>
      </c>
    </row>
    <row r="73" spans="1:4" x14ac:dyDescent="0.75">
      <c r="A73" s="26">
        <v>39</v>
      </c>
      <c r="B73" s="26">
        <f t="shared" si="2"/>
        <v>5</v>
      </c>
      <c r="C73" s="26">
        <f t="shared" si="3"/>
        <v>4</v>
      </c>
      <c r="D73" s="112" t="str" cm="1">
        <f t="array" ref="D73">INDEX('Oth-2'!$B$2:$H$88,1+B73,C73)</f>
        <v>* differential.element[6].definition = "Number of toxicity"</v>
      </c>
    </row>
    <row r="74" spans="1:4" x14ac:dyDescent="0.75">
      <c r="A74" s="26">
        <v>40</v>
      </c>
      <c r="B74" s="26">
        <f t="shared" si="2"/>
        <v>5</v>
      </c>
      <c r="C74" s="26">
        <f t="shared" si="3"/>
        <v>5</v>
      </c>
      <c r="D74" s="112" t="str" cm="1">
        <f t="array" ref="D74">INDEX('Oth-2'!$B$2:$H$88,1+B74,C74)</f>
        <v>* differential.element[6].min = 0</v>
      </c>
    </row>
    <row r="75" spans="1:4" x14ac:dyDescent="0.75">
      <c r="A75" s="26">
        <v>41</v>
      </c>
      <c r="B75" s="26">
        <f t="shared" si="2"/>
        <v>5</v>
      </c>
      <c r="C75" s="26">
        <f t="shared" si="3"/>
        <v>6</v>
      </c>
      <c r="D75" s="112" t="str" cm="1">
        <f t="array" ref="D75">INDEX('Oth-2'!$B$2:$H$88,1+B75,C75)</f>
        <v>* differential.element[6].max = "1"</v>
      </c>
    </row>
    <row r="76" spans="1:4" x14ac:dyDescent="0.75">
      <c r="A76" s="26">
        <v>42</v>
      </c>
      <c r="B76" s="26">
        <f t="shared" si="2"/>
        <v>5</v>
      </c>
      <c r="C76" s="26">
        <f t="shared" si="3"/>
        <v>7</v>
      </c>
      <c r="D76" s="112" t="str" cm="1">
        <f t="array" ref="D76">INDEX('Oth-2'!$B$2:$H$88,1+B76,C76)</f>
        <v>* differential.element[6].type.code = #integer</v>
      </c>
    </row>
    <row r="77" spans="1:4" x14ac:dyDescent="0.75">
      <c r="A77" s="26">
        <v>43</v>
      </c>
      <c r="B77" s="26">
        <f t="shared" si="2"/>
        <v>6</v>
      </c>
      <c r="C77" s="26">
        <f t="shared" si="3"/>
        <v>1</v>
      </c>
      <c r="D77" s="112" t="str" cm="1">
        <f t="array" ref="D77">INDEX('Oth-2'!$B$2:$H$88,1+B77,C77)</f>
        <v>* differential.element[7].id = "OtherInfos.date"</v>
      </c>
    </row>
    <row r="78" spans="1:4" x14ac:dyDescent="0.75">
      <c r="A78" s="26">
        <v>44</v>
      </c>
      <c r="B78" s="26">
        <f t="shared" si="2"/>
        <v>6</v>
      </c>
      <c r="C78" s="26">
        <f t="shared" si="3"/>
        <v>2</v>
      </c>
      <c r="D78" s="112" t="str" cm="1">
        <f t="array" ref="D78">INDEX('Oth-2'!$B$2:$H$88,1+B78,C78)</f>
        <v>* differential.element[7].path = "OtherInfos.date"</v>
      </c>
    </row>
    <row r="79" spans="1:4" x14ac:dyDescent="0.75">
      <c r="A79" s="26">
        <v>45</v>
      </c>
      <c r="B79" s="26">
        <f t="shared" si="2"/>
        <v>6</v>
      </c>
      <c r="C79" s="26">
        <f t="shared" si="3"/>
        <v>3</v>
      </c>
      <c r="D79" s="112" t="str" cm="1">
        <f t="array" ref="D79">INDEX('Oth-2'!$B$2:$H$88,1+B79,C79)</f>
        <v>* differential.element[7].short = "Date of event  "</v>
      </c>
    </row>
    <row r="80" spans="1:4" ht="29.5" x14ac:dyDescent="0.75">
      <c r="A80" s="26">
        <v>46</v>
      </c>
      <c r="B80" s="26">
        <f t="shared" si="2"/>
        <v>6</v>
      </c>
      <c r="C80" s="26">
        <f t="shared" si="3"/>
        <v>4</v>
      </c>
      <c r="D80" s="112" t="str" cm="1">
        <f t="array" ref="D80">INDEX('Oth-2'!$B$2:$H$88,1+B80,C80)</f>
        <v>* differential.element[7].definition = "Date (dd/mm/yyyy) of the event. If the date is unkown or partially missed insert the year at the best of your knowledge."</v>
      </c>
    </row>
    <row r="81" spans="1:7" x14ac:dyDescent="0.75">
      <c r="A81" s="26">
        <v>47</v>
      </c>
      <c r="B81" s="26">
        <f t="shared" si="2"/>
        <v>6</v>
      </c>
      <c r="C81" s="26">
        <f t="shared" si="3"/>
        <v>5</v>
      </c>
      <c r="D81" s="112" t="str" cm="1">
        <f t="array" ref="D81">INDEX('Oth-2'!$B$2:$H$88,1+B81,C81)</f>
        <v>* differential.element[7].min = 1</v>
      </c>
    </row>
    <row r="82" spans="1:7" x14ac:dyDescent="0.75">
      <c r="A82" s="26">
        <v>48</v>
      </c>
      <c r="B82" s="26">
        <f t="shared" si="2"/>
        <v>6</v>
      </c>
      <c r="C82" s="26">
        <f t="shared" si="3"/>
        <v>6</v>
      </c>
      <c r="D82" s="112" t="str" cm="1">
        <f t="array" ref="D82">INDEX('Oth-2'!$B$2:$H$88,1+B82,C82)</f>
        <v>* differential.element[7].max = "1"</v>
      </c>
    </row>
    <row r="83" spans="1:7" x14ac:dyDescent="0.75">
      <c r="A83" s="26">
        <v>49</v>
      </c>
      <c r="B83" s="26">
        <f t="shared" si="2"/>
        <v>6</v>
      </c>
      <c r="C83" s="26">
        <f t="shared" si="3"/>
        <v>7</v>
      </c>
      <c r="D83" s="112" t="str" cm="1">
        <f t="array" ref="D83">INDEX('Oth-2'!$B$2:$H$88,1+B83,C83)</f>
        <v>* differential.element[7].type.code = #dateTime</v>
      </c>
    </row>
    <row r="84" spans="1:7" x14ac:dyDescent="0.75">
      <c r="A84" s="26">
        <v>50</v>
      </c>
      <c r="B84" s="26">
        <f t="shared" si="2"/>
        <v>7</v>
      </c>
      <c r="C84" s="26">
        <f t="shared" si="3"/>
        <v>1</v>
      </c>
      <c r="D84" s="112" t="str" cm="1">
        <f t="array" ref="D84">INDEX('Oth-2'!$B$2:$H$88,1+B84,C84)</f>
        <v>* differential.element[8].id = "OtherInfos.description"</v>
      </c>
    </row>
    <row r="85" spans="1:7" x14ac:dyDescent="0.75">
      <c r="A85" s="26">
        <v>51</v>
      </c>
      <c r="B85" s="26">
        <f t="shared" si="2"/>
        <v>7</v>
      </c>
      <c r="C85" s="26">
        <f t="shared" si="3"/>
        <v>2</v>
      </c>
      <c r="D85" s="112" t="str" cm="1">
        <f t="array" ref="D85">INDEX('Oth-2'!$B$2:$H$88,1+B85,C85)</f>
        <v>* differential.element[8].path = "OtherInfos.description"</v>
      </c>
    </row>
    <row r="86" spans="1:7" x14ac:dyDescent="0.75">
      <c r="A86" s="26">
        <v>52</v>
      </c>
      <c r="B86" s="26">
        <f t="shared" si="2"/>
        <v>7</v>
      </c>
      <c r="C86" s="26">
        <f t="shared" si="3"/>
        <v>3</v>
      </c>
      <c r="D86" s="112" t="str" cm="1">
        <f t="array" ref="D86">INDEX('Oth-2'!$B$2:$H$88,1+B86,C86)</f>
        <v>* differential.element[8].short = "Description "</v>
      </c>
    </row>
    <row r="87" spans="1:7" ht="29.5" x14ac:dyDescent="0.75">
      <c r="A87" s="26">
        <v>53</v>
      </c>
      <c r="B87" s="26">
        <f t="shared" si="2"/>
        <v>7</v>
      </c>
      <c r="C87" s="26">
        <f t="shared" si="3"/>
        <v>4</v>
      </c>
      <c r="D87" s="112" t="str" cm="1">
        <f t="array" ref="D87">INDEX('Oth-2'!$B$2:$H$88,1+B87,C87)</f>
        <v>* differential.element[8].definition = "Please describe any significant event (e.g. admission to the intensive care for a metabolic problem, seizures, severe toxic complication) occurring during therapy that might have fully recovered or be still remaining or with sequelae"</v>
      </c>
      <c r="G87" s="14"/>
    </row>
    <row r="88" spans="1:7" x14ac:dyDescent="0.75">
      <c r="A88" s="26">
        <v>54</v>
      </c>
      <c r="B88" s="26">
        <f t="shared" si="2"/>
        <v>7</v>
      </c>
      <c r="C88" s="26">
        <f t="shared" si="3"/>
        <v>5</v>
      </c>
      <c r="D88" s="112" t="str" cm="1">
        <f t="array" ref="D88">INDEX('Oth-2'!$B$2:$H$88,1+B88,C88)</f>
        <v>* differential.element[8].min = 1</v>
      </c>
    </row>
    <row r="89" spans="1:7" x14ac:dyDescent="0.75">
      <c r="A89" s="26">
        <v>55</v>
      </c>
      <c r="B89" s="26">
        <f t="shared" si="2"/>
        <v>7</v>
      </c>
      <c r="C89" s="26">
        <f t="shared" si="3"/>
        <v>6</v>
      </c>
      <c r="D89" s="112" t="str" cm="1">
        <f t="array" ref="D89">INDEX('Oth-2'!$B$2:$H$88,1+B89,C89)</f>
        <v>* differential.element[8].max = "1"</v>
      </c>
    </row>
    <row r="90" spans="1:7" x14ac:dyDescent="0.75">
      <c r="A90" s="26">
        <v>56</v>
      </c>
      <c r="B90" s="26">
        <f t="shared" si="2"/>
        <v>7</v>
      </c>
      <c r="C90" s="26">
        <f t="shared" si="3"/>
        <v>7</v>
      </c>
      <c r="D90" s="112" t="str" cm="1">
        <f t="array" ref="D90">INDEX('Oth-2'!$B$2:$H$88,1+B90,C90)</f>
        <v>* differential.element[8].type.code = #BackboneElement</v>
      </c>
    </row>
    <row r="91" spans="1:7" x14ac:dyDescent="0.75">
      <c r="A91" s="26">
        <v>57</v>
      </c>
      <c r="B91" s="26">
        <f t="shared" si="2"/>
        <v>8</v>
      </c>
      <c r="C91" s="26">
        <f t="shared" si="3"/>
        <v>1</v>
      </c>
      <c r="D91" s="112" t="str" cm="1">
        <f t="array" ref="D91">INDEX('Oth-2'!$B$2:$H$88,1+B91,C91)</f>
        <v>* differential.element[9].id = "OtherInfos.isResolved"</v>
      </c>
    </row>
    <row r="92" spans="1:7" x14ac:dyDescent="0.75">
      <c r="A92" s="26">
        <v>58</v>
      </c>
      <c r="B92" s="26">
        <f t="shared" si="2"/>
        <v>8</v>
      </c>
      <c r="C92" s="26">
        <f t="shared" si="3"/>
        <v>2</v>
      </c>
      <c r="D92" s="112" t="str" cm="1">
        <f t="array" ref="D92">INDEX('Oth-2'!$B$2:$H$88,1+B92,C92)</f>
        <v>* differential.element[9].path = "OtherInfos.isResolved"</v>
      </c>
    </row>
    <row r="93" spans="1:7" x14ac:dyDescent="0.75">
      <c r="A93" s="26">
        <v>59</v>
      </c>
      <c r="B93" s="26">
        <f t="shared" si="2"/>
        <v>8</v>
      </c>
      <c r="C93" s="26">
        <f t="shared" si="3"/>
        <v>3</v>
      </c>
      <c r="D93" s="112" t="str" cm="1">
        <f t="array" ref="D93">INDEX('Oth-2'!$B$2:$H$88,1+B93,C93)</f>
        <v>* differential.element[9].short = "Resolved ?"</v>
      </c>
    </row>
    <row r="94" spans="1:7" x14ac:dyDescent="0.75">
      <c r="A94" s="26">
        <v>60</v>
      </c>
      <c r="B94" s="26">
        <f t="shared" si="2"/>
        <v>8</v>
      </c>
      <c r="C94" s="26">
        <f t="shared" si="3"/>
        <v>4</v>
      </c>
      <c r="D94" s="112" t="str" cm="1">
        <f t="array" ref="D94">INDEX('Oth-2'!$B$2:$H$88,1+B94,C94)</f>
        <v>* differential.element[9].definition = "Please specify if the event is resolved or not"</v>
      </c>
    </row>
    <row r="95" spans="1:7" x14ac:dyDescent="0.75">
      <c r="A95" s="26">
        <v>61</v>
      </c>
      <c r="B95" s="26">
        <f t="shared" si="2"/>
        <v>8</v>
      </c>
      <c r="C95" s="26">
        <f t="shared" si="3"/>
        <v>5</v>
      </c>
      <c r="D95" s="112" t="str" cm="1">
        <f t="array" ref="D95">INDEX('Oth-2'!$B$2:$H$88,1+B95,C95)</f>
        <v>* differential.element[9].min = 0</v>
      </c>
    </row>
    <row r="96" spans="1:7" x14ac:dyDescent="0.75">
      <c r="A96" s="26">
        <v>62</v>
      </c>
      <c r="B96" s="26">
        <f t="shared" si="2"/>
        <v>8</v>
      </c>
      <c r="C96" s="26">
        <f t="shared" si="3"/>
        <v>6</v>
      </c>
      <c r="D96" s="112" t="str" cm="1">
        <f t="array" ref="D96">INDEX('Oth-2'!$B$2:$H$88,1+B96,C96)</f>
        <v>* differential.element[9].max = "1"</v>
      </c>
    </row>
    <row r="97" spans="1:4" x14ac:dyDescent="0.75">
      <c r="A97" s="26">
        <v>63</v>
      </c>
      <c r="B97" s="26">
        <f t="shared" si="2"/>
        <v>8</v>
      </c>
      <c r="C97" s="26">
        <f t="shared" si="3"/>
        <v>7</v>
      </c>
      <c r="D97" s="112" t="str" cm="1">
        <f t="array" ref="D97">INDEX('Oth-2'!$B$2:$H$88,1+B97,C97)</f>
        <v>* differential.element[9].type.code = #CodeableConcept</v>
      </c>
    </row>
    <row r="98" spans="1:4" x14ac:dyDescent="0.75">
      <c r="A98" s="26">
        <v>64</v>
      </c>
      <c r="B98" s="26">
        <f t="shared" si="2"/>
        <v>9</v>
      </c>
      <c r="C98" s="26">
        <f t="shared" si="3"/>
        <v>1</v>
      </c>
      <c r="D98" s="112" t="str" cm="1">
        <f t="array" ref="D98">INDEX('Oth-2'!$B$2:$H$88,1+B98,C98)</f>
        <v>* differential.element[10].id = "OtherInfos.hypogonadal"</v>
      </c>
    </row>
    <row r="99" spans="1:4" x14ac:dyDescent="0.75">
      <c r="A99" s="26">
        <v>65</v>
      </c>
      <c r="B99" s="26">
        <f t="shared" si="2"/>
        <v>9</v>
      </c>
      <c r="C99" s="26">
        <f t="shared" si="3"/>
        <v>2</v>
      </c>
      <c r="D99" s="112" t="str" cm="1">
        <f t="array" ref="D99">INDEX('Oth-2'!$B$2:$H$88,1+B99,C99)</f>
        <v>* differential.element[10].path = "OtherInfos.hypogonadal"</v>
      </c>
    </row>
    <row r="100" spans="1:4" x14ac:dyDescent="0.75">
      <c r="A100" s="26">
        <v>66</v>
      </c>
      <c r="B100" s="26">
        <f t="shared" si="2"/>
        <v>9</v>
      </c>
      <c r="C100" s="26">
        <f t="shared" si="3"/>
        <v>3</v>
      </c>
      <c r="D100" s="112" t="str" cm="1">
        <f t="array" ref="D100">INDEX('Oth-2'!$B$2:$H$88,1+B100,C100)</f>
        <v>* differential.element[10].short = "Hypogonadal ?"</v>
      </c>
    </row>
    <row r="101" spans="1:4" x14ac:dyDescent="0.75">
      <c r="A101" s="26">
        <v>67</v>
      </c>
      <c r="B101" s="26">
        <f t="shared" si="2"/>
        <v>9</v>
      </c>
      <c r="C101" s="26">
        <f t="shared" si="3"/>
        <v>4</v>
      </c>
      <c r="D101" s="112" t="str" cm="1">
        <f t="array" ref="D101">INDEX('Oth-2'!$B$2:$H$88,1+B101,C101)</f>
        <v>* differential.element[10].definition = "Please specify if hypogonadal occured during therapy"</v>
      </c>
    </row>
    <row r="102" spans="1:4" x14ac:dyDescent="0.75">
      <c r="A102" s="26">
        <v>68</v>
      </c>
      <c r="B102" s="26">
        <f t="shared" si="2"/>
        <v>9</v>
      </c>
      <c r="C102" s="26">
        <f t="shared" si="3"/>
        <v>5</v>
      </c>
      <c r="D102" s="112" t="str" cm="1">
        <f t="array" ref="D102">INDEX('Oth-2'!$B$2:$H$88,1+B102,C102)</f>
        <v>* differential.element[10].min = 0</v>
      </c>
    </row>
    <row r="103" spans="1:4" x14ac:dyDescent="0.75">
      <c r="A103" s="26">
        <v>69</v>
      </c>
      <c r="B103" s="26">
        <f t="shared" si="2"/>
        <v>9</v>
      </c>
      <c r="C103" s="26">
        <f t="shared" si="3"/>
        <v>6</v>
      </c>
      <c r="D103" s="112" t="str" cm="1">
        <f t="array" ref="D103">INDEX('Oth-2'!$B$2:$H$88,1+B103,C103)</f>
        <v>* differential.element[10].max = "1"</v>
      </c>
    </row>
    <row r="104" spans="1:4" x14ac:dyDescent="0.75">
      <c r="A104" s="26">
        <v>70</v>
      </c>
      <c r="B104" s="26">
        <f t="shared" si="2"/>
        <v>9</v>
      </c>
      <c r="C104" s="26">
        <f t="shared" si="3"/>
        <v>7</v>
      </c>
      <c r="D104" s="112" t="str" cm="1">
        <f t="array" ref="D104">INDEX('Oth-2'!$B$2:$H$88,1+B104,C104)</f>
        <v>* differential.element[10].type.code = #CodeableConcept</v>
      </c>
    </row>
    <row r="105" spans="1:4" x14ac:dyDescent="0.75">
      <c r="A105" s="26">
        <v>71</v>
      </c>
      <c r="B105" s="26">
        <f t="shared" si="2"/>
        <v>10</v>
      </c>
      <c r="C105" s="26">
        <f t="shared" si="3"/>
        <v>1</v>
      </c>
      <c r="D105" s="112" t="str" cm="1">
        <f t="array" ref="D105">INDEX('Oth-2'!$B$2:$H$88,1+B105,C105)</f>
        <v>* differential.element[11].id = "OtherInfos.growthHormoneDeficiency"</v>
      </c>
    </row>
    <row r="106" spans="1:4" x14ac:dyDescent="0.75">
      <c r="A106" s="26">
        <v>72</v>
      </c>
      <c r="B106" s="26">
        <f t="shared" ref="B106:B169" si="4">IF(MOD(A106,7)=0,A106/7-1,INT(A106/7))</f>
        <v>10</v>
      </c>
      <c r="C106" s="26">
        <f t="shared" ref="C106:C169" si="5">IF(MOD(A106,7)=0,7,MOD(A106,7))</f>
        <v>2</v>
      </c>
      <c r="D106" s="112" t="str" cm="1">
        <f t="array" ref="D106">INDEX('Oth-2'!$B$2:$H$88,1+B106,C106)</f>
        <v>* differential.element[11].path = "OtherInfos.growthHormoneDeficiency"</v>
      </c>
    </row>
    <row r="107" spans="1:4" x14ac:dyDescent="0.75">
      <c r="A107" s="26">
        <v>73</v>
      </c>
      <c r="B107" s="26">
        <f t="shared" si="4"/>
        <v>10</v>
      </c>
      <c r="C107" s="26">
        <f t="shared" si="5"/>
        <v>3</v>
      </c>
      <c r="D107" s="112" t="str" cm="1">
        <f t="array" ref="D107">INDEX('Oth-2'!$B$2:$H$88,1+B107,C107)</f>
        <v>* differential.element[11].short = "Growth hormone deficiency ?"</v>
      </c>
    </row>
    <row r="108" spans="1:4" x14ac:dyDescent="0.75">
      <c r="A108" s="26">
        <v>74</v>
      </c>
      <c r="B108" s="26">
        <f t="shared" si="4"/>
        <v>10</v>
      </c>
      <c r="C108" s="26">
        <f t="shared" si="5"/>
        <v>4</v>
      </c>
      <c r="D108" s="112" t="str" cm="1">
        <f t="array" ref="D108">INDEX('Oth-2'!$B$2:$H$88,1+B108,C108)</f>
        <v>* differential.element[11].definition = "Please specify if growth hormon deficiency occured during therapy"</v>
      </c>
    </row>
    <row r="109" spans="1:4" x14ac:dyDescent="0.75">
      <c r="A109" s="26">
        <v>75</v>
      </c>
      <c r="B109" s="26">
        <f t="shared" si="4"/>
        <v>10</v>
      </c>
      <c r="C109" s="26">
        <f t="shared" si="5"/>
        <v>5</v>
      </c>
      <c r="D109" s="112" t="str" cm="1">
        <f t="array" ref="D109">INDEX('Oth-2'!$B$2:$H$88,1+B109,C109)</f>
        <v>* differential.element[11].min = 1</v>
      </c>
    </row>
    <row r="110" spans="1:4" x14ac:dyDescent="0.75">
      <c r="A110" s="26">
        <v>76</v>
      </c>
      <c r="B110" s="26">
        <f t="shared" si="4"/>
        <v>10</v>
      </c>
      <c r="C110" s="26">
        <f t="shared" si="5"/>
        <v>6</v>
      </c>
      <c r="D110" s="112" t="str" cm="1">
        <f t="array" ref="D110">INDEX('Oth-2'!$B$2:$H$88,1+B110,C110)</f>
        <v>* differential.element[11].max = "1"</v>
      </c>
    </row>
    <row r="111" spans="1:4" x14ac:dyDescent="0.75">
      <c r="A111" s="26">
        <v>77</v>
      </c>
      <c r="B111" s="26">
        <f t="shared" si="4"/>
        <v>10</v>
      </c>
      <c r="C111" s="26">
        <f t="shared" si="5"/>
        <v>7</v>
      </c>
      <c r="D111" s="112" t="str" cm="1">
        <f t="array" ref="D111">INDEX('Oth-2'!$B$2:$H$88,1+B111,C111)</f>
        <v>* differential.element[11].type.code = #CodeableConcept</v>
      </c>
    </row>
    <row r="112" spans="1:4" x14ac:dyDescent="0.75">
      <c r="A112" s="26">
        <v>78</v>
      </c>
      <c r="B112" s="26">
        <f t="shared" si="4"/>
        <v>11</v>
      </c>
      <c r="C112" s="26">
        <f t="shared" si="5"/>
        <v>1</v>
      </c>
      <c r="D112" s="112" t="str" cm="1">
        <f t="array" ref="D112">INDEX('Oth-2'!$B$2:$H$88,1+B112,C112)</f>
        <v>* differential.element[12].id = "OtherInfos.hydrocephalus"</v>
      </c>
    </row>
    <row r="113" spans="1:4" x14ac:dyDescent="0.75">
      <c r="A113" s="26">
        <v>79</v>
      </c>
      <c r="B113" s="26">
        <f t="shared" si="4"/>
        <v>11</v>
      </c>
      <c r="C113" s="26">
        <f t="shared" si="5"/>
        <v>2</v>
      </c>
      <c r="D113" s="112" t="str" cm="1">
        <f t="array" ref="D113">INDEX('Oth-2'!$B$2:$H$88,1+B113,C113)</f>
        <v>* differential.element[12].path = "OtherInfos.hydrocephalus"</v>
      </c>
    </row>
    <row r="114" spans="1:4" x14ac:dyDescent="0.75">
      <c r="A114" s="26">
        <v>80</v>
      </c>
      <c r="B114" s="26">
        <f t="shared" si="4"/>
        <v>11</v>
      </c>
      <c r="C114" s="26">
        <f t="shared" si="5"/>
        <v>3</v>
      </c>
      <c r="D114" s="112" t="str" cm="1">
        <f t="array" ref="D114">INDEX('Oth-2'!$B$2:$H$88,1+B114,C114)</f>
        <v>* differential.element[12].short = "Hydrocephalus ?"</v>
      </c>
    </row>
    <row r="115" spans="1:4" x14ac:dyDescent="0.75">
      <c r="A115" s="26">
        <v>81</v>
      </c>
      <c r="B115" s="26">
        <f t="shared" si="4"/>
        <v>11</v>
      </c>
      <c r="C115" s="26">
        <f t="shared" si="5"/>
        <v>4</v>
      </c>
      <c r="D115" s="112" t="str" cm="1">
        <f t="array" ref="D115">INDEX('Oth-2'!$B$2:$H$88,1+B115,C115)</f>
        <v>* differential.element[12].definition = "Please specify if hydrocephalus occured during therapy"</v>
      </c>
    </row>
    <row r="116" spans="1:4" x14ac:dyDescent="0.75">
      <c r="A116" s="26">
        <v>82</v>
      </c>
      <c r="B116" s="26">
        <f t="shared" si="4"/>
        <v>11</v>
      </c>
      <c r="C116" s="26">
        <f t="shared" si="5"/>
        <v>5</v>
      </c>
      <c r="D116" s="112" t="str" cm="1">
        <f t="array" ref="D116">INDEX('Oth-2'!$B$2:$H$88,1+B116,C116)</f>
        <v>* differential.element[12].min = 1</v>
      </c>
    </row>
    <row r="117" spans="1:4" x14ac:dyDescent="0.75">
      <c r="A117" s="26">
        <v>83</v>
      </c>
      <c r="B117" s="26">
        <f t="shared" si="4"/>
        <v>11</v>
      </c>
      <c r="C117" s="26">
        <f t="shared" si="5"/>
        <v>6</v>
      </c>
      <c r="D117" s="112" t="str" cm="1">
        <f t="array" ref="D117">INDEX('Oth-2'!$B$2:$H$88,1+B117,C117)</f>
        <v>* differential.element[12].max = "1"</v>
      </c>
    </row>
    <row r="118" spans="1:4" x14ac:dyDescent="0.75">
      <c r="A118" s="26">
        <v>84</v>
      </c>
      <c r="B118" s="26">
        <f t="shared" si="4"/>
        <v>11</v>
      </c>
      <c r="C118" s="26">
        <f t="shared" si="5"/>
        <v>7</v>
      </c>
      <c r="D118" s="112" t="str" cm="1">
        <f t="array" ref="D118">INDEX('Oth-2'!$B$2:$H$88,1+B118,C118)</f>
        <v>* differential.element[12].type.code = #CodeableConcept</v>
      </c>
    </row>
    <row r="119" spans="1:4" x14ac:dyDescent="0.75">
      <c r="A119" s="26">
        <v>85</v>
      </c>
      <c r="B119" s="26">
        <f t="shared" si="4"/>
        <v>12</v>
      </c>
      <c r="C119" s="26">
        <f t="shared" si="5"/>
        <v>1</v>
      </c>
      <c r="D119" s="112" t="str" cm="1">
        <f t="array" ref="D119">INDEX('Oth-2'!$B$2:$H$88,1+B119,C119)</f>
        <v>* differential.element[13].id = "OtherInfos.chronicViralHepatitis"</v>
      </c>
    </row>
    <row r="120" spans="1:4" x14ac:dyDescent="0.75">
      <c r="A120" s="26">
        <v>86</v>
      </c>
      <c r="B120" s="26">
        <f t="shared" si="4"/>
        <v>12</v>
      </c>
      <c r="C120" s="26">
        <f t="shared" si="5"/>
        <v>2</v>
      </c>
      <c r="D120" s="112" t="str" cm="1">
        <f t="array" ref="D120">INDEX('Oth-2'!$B$2:$H$88,1+B120,C120)</f>
        <v>* differential.element[13].path = "OtherInfos.chronicViralHepatitis"</v>
      </c>
    </row>
    <row r="121" spans="1:4" x14ac:dyDescent="0.75">
      <c r="A121" s="26">
        <v>87</v>
      </c>
      <c r="B121" s="26">
        <f t="shared" si="4"/>
        <v>12</v>
      </c>
      <c r="C121" s="26">
        <f t="shared" si="5"/>
        <v>3</v>
      </c>
      <c r="D121" s="112" t="str" cm="1">
        <f t="array" ref="D121">INDEX('Oth-2'!$B$2:$H$88,1+B121,C121)</f>
        <v>* differential.element[13].short = "Chronic viral hepatitis ?"</v>
      </c>
    </row>
    <row r="122" spans="1:4" x14ac:dyDescent="0.75">
      <c r="A122" s="26">
        <v>88</v>
      </c>
      <c r="B122" s="26">
        <f t="shared" si="4"/>
        <v>12</v>
      </c>
      <c r="C122" s="26">
        <f t="shared" si="5"/>
        <v>4</v>
      </c>
      <c r="D122" s="112" t="str" cm="1">
        <f t="array" ref="D122">INDEX('Oth-2'!$B$2:$H$88,1+B122,C122)</f>
        <v>* differential.element[13].definition = "Please specify if chronic viral hepatitis occured during therapy"</v>
      </c>
    </row>
    <row r="123" spans="1:4" x14ac:dyDescent="0.75">
      <c r="A123" s="26">
        <v>89</v>
      </c>
      <c r="B123" s="26">
        <f t="shared" si="4"/>
        <v>12</v>
      </c>
      <c r="C123" s="26">
        <f t="shared" si="5"/>
        <v>5</v>
      </c>
      <c r="D123" s="112" t="str" cm="1">
        <f t="array" ref="D123">INDEX('Oth-2'!$B$2:$H$88,1+B123,C123)</f>
        <v>* differential.element[13].min = 0</v>
      </c>
    </row>
    <row r="124" spans="1:4" x14ac:dyDescent="0.75">
      <c r="A124" s="26">
        <v>90</v>
      </c>
      <c r="B124" s="26">
        <f t="shared" si="4"/>
        <v>12</v>
      </c>
      <c r="C124" s="26">
        <f t="shared" si="5"/>
        <v>6</v>
      </c>
      <c r="D124" s="112" t="str" cm="1">
        <f t="array" ref="D124">INDEX('Oth-2'!$B$2:$H$88,1+B124,C124)</f>
        <v>* differential.element[13].max = "1"</v>
      </c>
    </row>
    <row r="125" spans="1:4" x14ac:dyDescent="0.75">
      <c r="A125" s="26">
        <v>91</v>
      </c>
      <c r="B125" s="26">
        <f t="shared" si="4"/>
        <v>12</v>
      </c>
      <c r="C125" s="26">
        <f t="shared" si="5"/>
        <v>7</v>
      </c>
      <c r="D125" s="112" t="str" cm="1">
        <f t="array" ref="D125">INDEX('Oth-2'!$B$2:$H$88,1+B125,C125)</f>
        <v>* differential.element[13].type.code = #CodeableConcept</v>
      </c>
    </row>
    <row r="126" spans="1:4" x14ac:dyDescent="0.75">
      <c r="A126" s="26">
        <v>92</v>
      </c>
      <c r="B126" s="26">
        <f t="shared" si="4"/>
        <v>13</v>
      </c>
      <c r="C126" s="26">
        <f t="shared" si="5"/>
        <v>1</v>
      </c>
      <c r="D126" s="112" t="str" cm="1">
        <f t="array" ref="D126">INDEX('Oth-2'!$B$2:$H$88,1+B126,C126)</f>
        <v>* differential.element[14].id = "OtherInfos.sinusoidalObstructionSyndrome"</v>
      </c>
    </row>
    <row r="127" spans="1:4" x14ac:dyDescent="0.75">
      <c r="A127" s="26">
        <v>93</v>
      </c>
      <c r="B127" s="26">
        <f t="shared" si="4"/>
        <v>13</v>
      </c>
      <c r="C127" s="26">
        <f t="shared" si="5"/>
        <v>2</v>
      </c>
      <c r="D127" s="112" t="str" cm="1">
        <f t="array" ref="D127">INDEX('Oth-2'!$B$2:$H$88,1+B127,C127)</f>
        <v>* differential.element[14].path = "OtherInfos.sinusoidalObstructionSyndrome"</v>
      </c>
    </row>
    <row r="128" spans="1:4" x14ac:dyDescent="0.75">
      <c r="A128" s="26">
        <v>94</v>
      </c>
      <c r="B128" s="26">
        <f t="shared" si="4"/>
        <v>13</v>
      </c>
      <c r="C128" s="26">
        <f t="shared" si="5"/>
        <v>3</v>
      </c>
      <c r="D128" s="112" t="str" cm="1">
        <f t="array" ref="D128">INDEX('Oth-2'!$B$2:$H$88,1+B128,C128)</f>
        <v>* differential.element[14].short = "Sinusoidal obstruction syndrome ?"</v>
      </c>
    </row>
    <row r="129" spans="1:4" x14ac:dyDescent="0.75">
      <c r="A129" s="26">
        <v>95</v>
      </c>
      <c r="B129" s="26">
        <f t="shared" si="4"/>
        <v>13</v>
      </c>
      <c r="C129" s="26">
        <f t="shared" si="5"/>
        <v>4</v>
      </c>
      <c r="D129" s="112" t="str" cm="1">
        <f t="array" ref="D129">INDEX('Oth-2'!$B$2:$H$88,1+B129,C129)</f>
        <v>* differential.element[14].definition = "Please specify if sinusoidal obstruction syndrome occured during therapy"</v>
      </c>
    </row>
    <row r="130" spans="1:4" x14ac:dyDescent="0.75">
      <c r="A130" s="26">
        <v>96</v>
      </c>
      <c r="B130" s="26">
        <f t="shared" si="4"/>
        <v>13</v>
      </c>
      <c r="C130" s="26">
        <f t="shared" si="5"/>
        <v>5</v>
      </c>
      <c r="D130" s="112" t="str" cm="1">
        <f t="array" ref="D130">INDEX('Oth-2'!$B$2:$H$88,1+B130,C130)</f>
        <v>* differential.element[14].min = 0</v>
      </c>
    </row>
    <row r="131" spans="1:4" x14ac:dyDescent="0.75">
      <c r="A131" s="26">
        <v>97</v>
      </c>
      <c r="B131" s="26">
        <f t="shared" si="4"/>
        <v>13</v>
      </c>
      <c r="C131" s="26">
        <f t="shared" si="5"/>
        <v>6</v>
      </c>
      <c r="D131" s="112" t="str" cm="1">
        <f t="array" ref="D131">INDEX('Oth-2'!$B$2:$H$88,1+B131,C131)</f>
        <v>* differential.element[14].max = "1"</v>
      </c>
    </row>
    <row r="132" spans="1:4" x14ac:dyDescent="0.75">
      <c r="A132" s="26">
        <v>98</v>
      </c>
      <c r="B132" s="26">
        <f t="shared" si="4"/>
        <v>13</v>
      </c>
      <c r="C132" s="26">
        <f t="shared" si="5"/>
        <v>7</v>
      </c>
      <c r="D132" s="112" t="str" cm="1">
        <f t="array" ref="D132">INDEX('Oth-2'!$B$2:$H$88,1+B132,C132)</f>
        <v>* differential.element[14].type.code = #CodeableConcept</v>
      </c>
    </row>
    <row r="133" spans="1:4" x14ac:dyDescent="0.75">
      <c r="A133" s="26">
        <v>99</v>
      </c>
      <c r="B133" s="26">
        <f t="shared" si="4"/>
        <v>14</v>
      </c>
      <c r="C133" s="26">
        <f t="shared" si="5"/>
        <v>1</v>
      </c>
      <c r="D133" s="112" t="str" cm="1">
        <f t="array" ref="D133">INDEX('Oth-2'!$B$2:$H$88,1+B133,C133)</f>
        <v>* differential.element[15].id = "OtherInfos.cvcPositioned"</v>
      </c>
    </row>
    <row r="134" spans="1:4" x14ac:dyDescent="0.75">
      <c r="A134" s="26">
        <v>100</v>
      </c>
      <c r="B134" s="26">
        <f t="shared" si="4"/>
        <v>14</v>
      </c>
      <c r="C134" s="26">
        <f t="shared" si="5"/>
        <v>2</v>
      </c>
      <c r="D134" s="112" t="str" cm="1">
        <f t="array" ref="D134">INDEX('Oth-2'!$B$2:$H$88,1+B134,C134)</f>
        <v>* differential.element[15].path = "OtherInfos.cvcPositioned"</v>
      </c>
    </row>
    <row r="135" spans="1:4" x14ac:dyDescent="0.75">
      <c r="A135" s="26">
        <v>101</v>
      </c>
      <c r="B135" s="26">
        <f t="shared" si="4"/>
        <v>14</v>
      </c>
      <c r="C135" s="26">
        <f t="shared" si="5"/>
        <v>3</v>
      </c>
      <c r="D135" s="112" t="str" cm="1">
        <f t="array" ref="D135">INDEX('Oth-2'!$B$2:$H$88,1+B135,C135)</f>
        <v>* differential.element[15].short = "CVC positioning  "</v>
      </c>
    </row>
    <row r="136" spans="1:4" x14ac:dyDescent="0.75">
      <c r="A136" s="26">
        <v>102</v>
      </c>
      <c r="B136" s="26">
        <f t="shared" si="4"/>
        <v>14</v>
      </c>
      <c r="C136" s="26">
        <f t="shared" si="5"/>
        <v>4</v>
      </c>
      <c r="D136" s="112" t="str" cm="1">
        <f t="array" ref="D136">INDEX('Oth-2'!$B$2:$H$88,1+B136,C136)</f>
        <v>* differential.element[15].definition = "Please report if at least one central venous line (catheter) was positioned"</v>
      </c>
    </row>
    <row r="137" spans="1:4" x14ac:dyDescent="0.75">
      <c r="A137" s="26">
        <v>103</v>
      </c>
      <c r="B137" s="26">
        <f t="shared" si="4"/>
        <v>14</v>
      </c>
      <c r="C137" s="26">
        <f t="shared" si="5"/>
        <v>5</v>
      </c>
      <c r="D137" s="112" t="str" cm="1">
        <f t="array" ref="D137">INDEX('Oth-2'!$B$2:$H$88,1+B137,C137)</f>
        <v>* differential.element[15].min = 0</v>
      </c>
    </row>
    <row r="138" spans="1:4" x14ac:dyDescent="0.75">
      <c r="A138" s="26">
        <v>104</v>
      </c>
      <c r="B138" s="26">
        <f t="shared" si="4"/>
        <v>14</v>
      </c>
      <c r="C138" s="26">
        <f t="shared" si="5"/>
        <v>6</v>
      </c>
      <c r="D138" s="112" t="str" cm="1">
        <f t="array" ref="D138">INDEX('Oth-2'!$B$2:$H$88,1+B138,C138)</f>
        <v>* differential.element[15].max = "1"</v>
      </c>
    </row>
    <row r="139" spans="1:4" x14ac:dyDescent="0.75">
      <c r="A139" s="26">
        <v>105</v>
      </c>
      <c r="B139" s="26">
        <f t="shared" si="4"/>
        <v>14</v>
      </c>
      <c r="C139" s="26">
        <f t="shared" si="5"/>
        <v>7</v>
      </c>
      <c r="D139" s="112" t="str" cm="1">
        <f t="array" ref="D139">INDEX('Oth-2'!$B$2:$H$88,1+B139,C139)</f>
        <v>* differential.element[15].type.code = #BackboneElement</v>
      </c>
    </row>
    <row r="140" spans="1:4" x14ac:dyDescent="0.75">
      <c r="A140" s="26">
        <v>106</v>
      </c>
      <c r="B140" s="26">
        <f t="shared" si="4"/>
        <v>15</v>
      </c>
      <c r="C140" s="26">
        <f t="shared" si="5"/>
        <v>1</v>
      </c>
      <c r="D140" s="112" t="str" cm="1">
        <f t="array" ref="D140">INDEX('Oth-2'!$B$2:$H$88,1+B140,C140)</f>
        <v>* differential.element[16].id = "OtherInfos.cvcPositioned.isInPlace"</v>
      </c>
    </row>
    <row r="141" spans="1:4" x14ac:dyDescent="0.75">
      <c r="A141" s="26">
        <v>107</v>
      </c>
      <c r="B141" s="26">
        <f t="shared" si="4"/>
        <v>15</v>
      </c>
      <c r="C141" s="26">
        <f t="shared" si="5"/>
        <v>2</v>
      </c>
      <c r="D141" s="112" t="str" cm="1">
        <f t="array" ref="D141">INDEX('Oth-2'!$B$2:$H$88,1+B141,C141)</f>
        <v>* differential.element[16].path = "OtherInfos.cvcPositioned.isInPlace"</v>
      </c>
    </row>
    <row r="142" spans="1:4" x14ac:dyDescent="0.75">
      <c r="A142" s="26">
        <v>108</v>
      </c>
      <c r="B142" s="26">
        <f t="shared" si="4"/>
        <v>15</v>
      </c>
      <c r="C142" s="26">
        <f t="shared" si="5"/>
        <v>3</v>
      </c>
      <c r="D142" s="112" t="str" cm="1">
        <f t="array" ref="D142">INDEX('Oth-2'!$B$2:$H$88,1+B142,C142)</f>
        <v>* differential.element[16].short = "If yes  "</v>
      </c>
    </row>
    <row r="143" spans="1:4" x14ac:dyDescent="0.75">
      <c r="A143" s="26">
        <v>109</v>
      </c>
      <c r="B143" s="26">
        <f t="shared" si="4"/>
        <v>15</v>
      </c>
      <c r="C143" s="26">
        <f t="shared" si="5"/>
        <v>4</v>
      </c>
      <c r="D143" s="112" t="str" cm="1">
        <f t="array" ref="D143">INDEX('Oth-2'!$B$2:$H$88,1+B143,C143)</f>
        <v>* differential.element[16].definition = "Report if the CVC is still in place or was removed"</v>
      </c>
    </row>
    <row r="144" spans="1:4" x14ac:dyDescent="0.75">
      <c r="A144" s="26">
        <v>110</v>
      </c>
      <c r="B144" s="26">
        <f t="shared" si="4"/>
        <v>15</v>
      </c>
      <c r="C144" s="26">
        <f t="shared" si="5"/>
        <v>5</v>
      </c>
      <c r="D144" s="112" t="str" cm="1">
        <f t="array" ref="D144">INDEX('Oth-2'!$B$2:$H$88,1+B144,C144)</f>
        <v>* differential.element[16].min = 0</v>
      </c>
    </row>
    <row r="145" spans="1:4" x14ac:dyDescent="0.75">
      <c r="A145" s="26">
        <v>111</v>
      </c>
      <c r="B145" s="26">
        <f t="shared" si="4"/>
        <v>15</v>
      </c>
      <c r="C145" s="26">
        <f t="shared" si="5"/>
        <v>6</v>
      </c>
      <c r="D145" s="112" t="str" cm="1">
        <f t="array" ref="D145">INDEX('Oth-2'!$B$2:$H$88,1+B145,C145)</f>
        <v>* differential.element[16].max = "1"</v>
      </c>
    </row>
    <row r="146" spans="1:4" x14ac:dyDescent="0.75">
      <c r="A146" s="26">
        <v>112</v>
      </c>
      <c r="B146" s="26">
        <f t="shared" si="4"/>
        <v>15</v>
      </c>
      <c r="C146" s="26">
        <f t="shared" si="5"/>
        <v>7</v>
      </c>
      <c r="D146" s="112" t="str" cm="1">
        <f t="array" ref="D146">INDEX('Oth-2'!$B$2:$H$88,1+B146,C146)</f>
        <v>* differential.element[16].type.code = #CodeableConcept</v>
      </c>
    </row>
    <row r="147" spans="1:4" x14ac:dyDescent="0.75">
      <c r="A147" s="26">
        <v>113</v>
      </c>
      <c r="B147" s="26">
        <f t="shared" si="4"/>
        <v>16</v>
      </c>
      <c r="C147" s="26">
        <f t="shared" si="5"/>
        <v>1</v>
      </c>
      <c r="D147" s="112" t="str" cm="1">
        <f t="array" ref="D147">INDEX('Oth-2'!$B$2:$H$88,1+B147,C147)</f>
        <v>* differential.element[17].id = "OtherInfos.cvcPositioned.site"</v>
      </c>
    </row>
    <row r="148" spans="1:4" x14ac:dyDescent="0.75">
      <c r="A148" s="26">
        <v>114</v>
      </c>
      <c r="B148" s="26">
        <f t="shared" si="4"/>
        <v>16</v>
      </c>
      <c r="C148" s="26">
        <f t="shared" si="5"/>
        <v>2</v>
      </c>
      <c r="D148" s="112" t="str" cm="1">
        <f t="array" ref="D148">INDEX('Oth-2'!$B$2:$H$88,1+B148,C148)</f>
        <v>* differential.element[17].path = "OtherInfos.cvcPositioned.site"</v>
      </c>
    </row>
    <row r="149" spans="1:4" x14ac:dyDescent="0.75">
      <c r="A149" s="26">
        <v>115</v>
      </c>
      <c r="B149" s="26">
        <f t="shared" si="4"/>
        <v>16</v>
      </c>
      <c r="C149" s="26">
        <f t="shared" si="5"/>
        <v>3</v>
      </c>
      <c r="D149" s="112" t="str" cm="1">
        <f t="array" ref="D149">INDEX('Oth-2'!$B$2:$H$88,1+B149,C149)</f>
        <v>* differential.element[17].short = "Specify the site"</v>
      </c>
    </row>
    <row r="150" spans="1:4" x14ac:dyDescent="0.75">
      <c r="A150" s="26">
        <v>116</v>
      </c>
      <c r="B150" s="26">
        <f t="shared" si="4"/>
        <v>16</v>
      </c>
      <c r="C150" s="26">
        <f t="shared" si="5"/>
        <v>4</v>
      </c>
      <c r="D150" s="112" t="str" cm="1">
        <f t="array" ref="D150">INDEX('Oth-2'!$B$2:$H$88,1+B150,C150)</f>
        <v>* differential.element[17].definition = "Report where (in which vein) the CVC was positioned"</v>
      </c>
    </row>
    <row r="151" spans="1:4" x14ac:dyDescent="0.75">
      <c r="A151" s="26">
        <v>117</v>
      </c>
      <c r="B151" s="26">
        <f t="shared" si="4"/>
        <v>16</v>
      </c>
      <c r="C151" s="26">
        <f t="shared" si="5"/>
        <v>5</v>
      </c>
      <c r="D151" s="112" t="str" cm="1">
        <f t="array" ref="D151">INDEX('Oth-2'!$B$2:$H$88,1+B151,C151)</f>
        <v>* differential.element[17].min = 0</v>
      </c>
    </row>
    <row r="152" spans="1:4" x14ac:dyDescent="0.75">
      <c r="A152" s="26">
        <v>118</v>
      </c>
      <c r="B152" s="26">
        <f t="shared" si="4"/>
        <v>16</v>
      </c>
      <c r="C152" s="26">
        <f t="shared" si="5"/>
        <v>6</v>
      </c>
      <c r="D152" s="112" t="str" cm="1">
        <f t="array" ref="D152">INDEX('Oth-2'!$B$2:$H$88,1+B152,C152)</f>
        <v>* differential.element[17].max = "1"</v>
      </c>
    </row>
    <row r="153" spans="1:4" x14ac:dyDescent="0.75">
      <c r="A153" s="26">
        <v>119</v>
      </c>
      <c r="B153" s="26">
        <f t="shared" si="4"/>
        <v>16</v>
      </c>
      <c r="C153" s="26">
        <f t="shared" si="5"/>
        <v>7</v>
      </c>
      <c r="D153" s="112" t="str" cm="1">
        <f t="array" ref="D153">INDEX('Oth-2'!$B$2:$H$88,1+B153,C153)</f>
        <v>* differential.element[17].type.code = #string</v>
      </c>
    </row>
    <row r="154" spans="1:4" x14ac:dyDescent="0.75">
      <c r="A154" s="26">
        <v>120</v>
      </c>
      <c r="B154" s="26">
        <f t="shared" si="4"/>
        <v>17</v>
      </c>
      <c r="C154" s="26">
        <f t="shared" si="5"/>
        <v>1</v>
      </c>
      <c r="D154" s="112" t="str" cm="1">
        <f t="array" ref="D154">INDEX('Oth-2'!$B$2:$H$88,1+B154,C154)</f>
        <v>* differential.element[18].id = "OtherInfos.catheterRelatedThrombosis"</v>
      </c>
    </row>
    <row r="155" spans="1:4" x14ac:dyDescent="0.75">
      <c r="A155" s="26">
        <v>121</v>
      </c>
      <c r="B155" s="26">
        <f t="shared" si="4"/>
        <v>17</v>
      </c>
      <c r="C155" s="26">
        <f t="shared" si="5"/>
        <v>2</v>
      </c>
      <c r="D155" s="112" t="str" cm="1">
        <f t="array" ref="D155">INDEX('Oth-2'!$B$2:$H$88,1+B155,C155)</f>
        <v>* differential.element[18].path = "OtherInfos.catheterRelatedThrombosis"</v>
      </c>
    </row>
    <row r="156" spans="1:4" x14ac:dyDescent="0.75">
      <c r="A156" s="26">
        <v>122</v>
      </c>
      <c r="B156" s="26">
        <f t="shared" si="4"/>
        <v>17</v>
      </c>
      <c r="C156" s="26">
        <f t="shared" si="5"/>
        <v>3</v>
      </c>
      <c r="D156" s="112" t="str" cm="1">
        <f t="array" ref="D156">INDEX('Oth-2'!$B$2:$H$88,1+B156,C156)</f>
        <v>* differential.element[18].short = "Catheter-related thrombosis"</v>
      </c>
    </row>
    <row r="157" spans="1:4" x14ac:dyDescent="0.75">
      <c r="A157" s="26">
        <v>123</v>
      </c>
      <c r="B157" s="26">
        <f t="shared" si="4"/>
        <v>17</v>
      </c>
      <c r="C157" s="26">
        <f t="shared" si="5"/>
        <v>4</v>
      </c>
      <c r="D157" s="112" t="str" cm="1">
        <f t="array" ref="D157">INDEX('Oth-2'!$B$2:$H$88,1+B157,C157)</f>
        <v>* differential.element[18].definition = "Catheter-related thrombosis"</v>
      </c>
    </row>
    <row r="158" spans="1:4" x14ac:dyDescent="0.75">
      <c r="A158" s="26">
        <v>124</v>
      </c>
      <c r="B158" s="26">
        <f t="shared" si="4"/>
        <v>17</v>
      </c>
      <c r="C158" s="26">
        <f t="shared" si="5"/>
        <v>5</v>
      </c>
      <c r="D158" s="112" t="str" cm="1">
        <f t="array" ref="D158">INDEX('Oth-2'!$B$2:$H$88,1+B158,C158)</f>
        <v>* differential.element[18].min = 0</v>
      </c>
    </row>
    <row r="159" spans="1:4" x14ac:dyDescent="0.75">
      <c r="A159" s="26">
        <v>125</v>
      </c>
      <c r="B159" s="26">
        <f t="shared" si="4"/>
        <v>17</v>
      </c>
      <c r="C159" s="26">
        <f t="shared" si="5"/>
        <v>6</v>
      </c>
      <c r="D159" s="112" t="str" cm="1">
        <f t="array" ref="D159">INDEX('Oth-2'!$B$2:$H$88,1+B159,C159)</f>
        <v>* differential.element[18].max = "1"</v>
      </c>
    </row>
    <row r="160" spans="1:4" x14ac:dyDescent="0.75">
      <c r="A160" s="26">
        <v>126</v>
      </c>
      <c r="B160" s="26">
        <f t="shared" si="4"/>
        <v>17</v>
      </c>
      <c r="C160" s="26">
        <f t="shared" si="5"/>
        <v>7</v>
      </c>
      <c r="D160" s="112" t="str" cm="1">
        <f t="array" ref="D160">INDEX('Oth-2'!$B$2:$H$88,1+B160,C160)</f>
        <v>* differential.element[18].type.code = #BackboneElement</v>
      </c>
    </row>
    <row r="161" spans="1:4" x14ac:dyDescent="0.75">
      <c r="A161" s="26">
        <v>127</v>
      </c>
      <c r="B161" s="26">
        <f t="shared" si="4"/>
        <v>18</v>
      </c>
      <c r="C161" s="26">
        <f t="shared" si="5"/>
        <v>1</v>
      </c>
      <c r="D161" s="112" t="str" cm="1">
        <f t="array" ref="D161">INDEX('Oth-2'!$B$2:$H$88,1+B161,C161)</f>
        <v>* differential.element[19].id = "OtherInfos.catheterRelatedThrombosis.occurred"</v>
      </c>
    </row>
    <row r="162" spans="1:4" x14ac:dyDescent="0.75">
      <c r="A162" s="26">
        <v>128</v>
      </c>
      <c r="B162" s="26">
        <f t="shared" si="4"/>
        <v>18</v>
      </c>
      <c r="C162" s="26">
        <f t="shared" si="5"/>
        <v>2</v>
      </c>
      <c r="D162" s="112" t="str" cm="1">
        <f t="array" ref="D162">INDEX('Oth-2'!$B$2:$H$88,1+B162,C162)</f>
        <v>* differential.element[19].path = "OtherInfos.catheterRelatedThrombosis.occurred"</v>
      </c>
    </row>
    <row r="163" spans="1:4" x14ac:dyDescent="0.75">
      <c r="A163" s="26">
        <v>129</v>
      </c>
      <c r="B163" s="26">
        <f t="shared" si="4"/>
        <v>18</v>
      </c>
      <c r="C163" s="26">
        <f t="shared" si="5"/>
        <v>3</v>
      </c>
      <c r="D163" s="112" t="str" cm="1">
        <f t="array" ref="D163">INDEX('Oth-2'!$B$2:$H$88,1+B163,C163)</f>
        <v>* differential.element[19].short = "Yes/No"</v>
      </c>
    </row>
    <row r="164" spans="1:4" x14ac:dyDescent="0.75">
      <c r="A164" s="26">
        <v>130</v>
      </c>
      <c r="B164" s="26">
        <f t="shared" si="4"/>
        <v>18</v>
      </c>
      <c r="C164" s="26">
        <f t="shared" si="5"/>
        <v>4</v>
      </c>
      <c r="D164" s="112" t="str" cm="1">
        <f t="array" ref="D164">INDEX('Oth-2'!$B$2:$H$88,1+B164,C164)</f>
        <v>* differential.element[19].definition = "Report if there was a catheter-related thrombosis due to a central venous catheter."</v>
      </c>
    </row>
    <row r="165" spans="1:4" x14ac:dyDescent="0.75">
      <c r="A165" s="26">
        <v>131</v>
      </c>
      <c r="B165" s="26">
        <f t="shared" si="4"/>
        <v>18</v>
      </c>
      <c r="C165" s="26">
        <f t="shared" si="5"/>
        <v>5</v>
      </c>
      <c r="D165" s="112" t="str" cm="1">
        <f t="array" ref="D165">INDEX('Oth-2'!$B$2:$H$88,1+B165,C165)</f>
        <v>* differential.element[19].min = 0</v>
      </c>
    </row>
    <row r="166" spans="1:4" x14ac:dyDescent="0.75">
      <c r="A166" s="26">
        <v>132</v>
      </c>
      <c r="B166" s="26">
        <f t="shared" si="4"/>
        <v>18</v>
      </c>
      <c r="C166" s="26">
        <f t="shared" si="5"/>
        <v>6</v>
      </c>
      <c r="D166" s="112" t="str" cm="1">
        <f t="array" ref="D166">INDEX('Oth-2'!$B$2:$H$88,1+B166,C166)</f>
        <v>* differential.element[19].max = "1"</v>
      </c>
    </row>
    <row r="167" spans="1:4" x14ac:dyDescent="0.75">
      <c r="A167" s="26">
        <v>133</v>
      </c>
      <c r="B167" s="26">
        <f t="shared" si="4"/>
        <v>18</v>
      </c>
      <c r="C167" s="26">
        <f t="shared" si="5"/>
        <v>7</v>
      </c>
      <c r="D167" s="112" t="str" cm="1">
        <f t="array" ref="D167">INDEX('Oth-2'!$B$2:$H$88,1+B167,C167)</f>
        <v>* differential.element[19].type.code = #CodeableConcept</v>
      </c>
    </row>
    <row r="168" spans="1:4" x14ac:dyDescent="0.75">
      <c r="A168" s="26">
        <v>134</v>
      </c>
      <c r="B168" s="26">
        <f t="shared" si="4"/>
        <v>19</v>
      </c>
      <c r="C168" s="26">
        <f t="shared" si="5"/>
        <v>1</v>
      </c>
      <c r="D168" s="112" t="str" cm="1">
        <f t="array" ref="D168">INDEX('Oth-2'!$B$2:$H$88,1+B168,C168)</f>
        <v>* differential.element[20].id = "OtherInfos.catheterRelatedThrombosis.specification"</v>
      </c>
    </row>
    <row r="169" spans="1:4" x14ac:dyDescent="0.75">
      <c r="A169" s="26">
        <v>135</v>
      </c>
      <c r="B169" s="26">
        <f t="shared" si="4"/>
        <v>19</v>
      </c>
      <c r="C169" s="26">
        <f t="shared" si="5"/>
        <v>2</v>
      </c>
      <c r="D169" s="112" t="str" cm="1">
        <f t="array" ref="D169">INDEX('Oth-2'!$B$2:$H$88,1+B169,C169)</f>
        <v>* differential.element[20].path = "OtherInfos.catheterRelatedThrombosis.specification"</v>
      </c>
    </row>
    <row r="170" spans="1:4" x14ac:dyDescent="0.75">
      <c r="A170" s="26">
        <v>136</v>
      </c>
      <c r="B170" s="26">
        <f t="shared" ref="B170:B233" si="6">IF(MOD(A170,7)=0,A170/7-1,INT(A170/7))</f>
        <v>19</v>
      </c>
      <c r="C170" s="26">
        <f t="shared" ref="C170:C233" si="7">IF(MOD(A170,7)=0,7,MOD(A170,7))</f>
        <v>3</v>
      </c>
      <c r="D170" s="112" t="str" cm="1">
        <f t="array" ref="D170">INDEX('Oth-2'!$B$2:$H$88,1+B170,C170)</f>
        <v>* differential.element[20].short = "Catheter-related thrombosis specification"</v>
      </c>
    </row>
    <row r="171" spans="1:4" ht="29.5" x14ac:dyDescent="0.75">
      <c r="A171" s="26">
        <v>137</v>
      </c>
      <c r="B171" s="26">
        <f t="shared" si="6"/>
        <v>19</v>
      </c>
      <c r="C171" s="26">
        <f t="shared" si="7"/>
        <v>4</v>
      </c>
      <c r="D171" s="112" t="str" cm="1">
        <f t="array" ref="D171">INDEX('Oth-2'!$B$2:$H$88,1+B171,C171)</f>
        <v>* differential.element[20].definition = "Specify the details of the catheter-related thrombosis, including the location (vessel and laterality), treatment and status at the end of cancer treatment."</v>
      </c>
    </row>
    <row r="172" spans="1:4" x14ac:dyDescent="0.75">
      <c r="A172" s="26">
        <v>138</v>
      </c>
      <c r="B172" s="26">
        <f t="shared" si="6"/>
        <v>19</v>
      </c>
      <c r="C172" s="26">
        <f t="shared" si="7"/>
        <v>5</v>
      </c>
      <c r="D172" s="112" t="str" cm="1">
        <f t="array" ref="D172">INDEX('Oth-2'!$B$2:$H$88,1+B172,C172)</f>
        <v>* differential.element[20].min = 0</v>
      </c>
    </row>
    <row r="173" spans="1:4" x14ac:dyDescent="0.75">
      <c r="A173" s="26">
        <v>139</v>
      </c>
      <c r="B173" s="26">
        <f t="shared" si="6"/>
        <v>19</v>
      </c>
      <c r="C173" s="26">
        <f t="shared" si="7"/>
        <v>6</v>
      </c>
      <c r="D173" s="112" t="str" cm="1">
        <f t="array" ref="D173">INDEX('Oth-2'!$B$2:$H$88,1+B173,C173)</f>
        <v>* differential.element[20].max = "1"</v>
      </c>
    </row>
    <row r="174" spans="1:4" x14ac:dyDescent="0.75">
      <c r="A174" s="26">
        <v>140</v>
      </c>
      <c r="B174" s="26">
        <f t="shared" si="6"/>
        <v>19</v>
      </c>
      <c r="C174" s="26">
        <f t="shared" si="7"/>
        <v>7</v>
      </c>
      <c r="D174" s="112" t="str" cm="1">
        <f t="array" ref="D174">INDEX('Oth-2'!$B$2:$H$88,1+B174,C174)</f>
        <v>* differential.element[20].type.code = #string</v>
      </c>
    </row>
    <row r="175" spans="1:4" x14ac:dyDescent="0.75">
      <c r="A175" s="26">
        <v>141</v>
      </c>
      <c r="B175" s="26">
        <f t="shared" si="6"/>
        <v>20</v>
      </c>
      <c r="C175" s="26">
        <f t="shared" si="7"/>
        <v>1</v>
      </c>
      <c r="D175" s="112" t="str" cm="1">
        <f t="array" ref="D175">INDEX('Oth-2'!$B$2:$H$88,1+B175,C175)</f>
        <v>* differential.element[21].id = "OtherInfos.transfusion"</v>
      </c>
    </row>
    <row r="176" spans="1:4" x14ac:dyDescent="0.75">
      <c r="A176" s="26">
        <v>142</v>
      </c>
      <c r="B176" s="26">
        <f t="shared" si="6"/>
        <v>20</v>
      </c>
      <c r="C176" s="26">
        <f t="shared" si="7"/>
        <v>2</v>
      </c>
      <c r="D176" s="112" t="str" cm="1">
        <f t="array" ref="D176">INDEX('Oth-2'!$B$2:$H$88,1+B176,C176)</f>
        <v>* differential.element[21].path = "OtherInfos.transfusion"</v>
      </c>
    </row>
    <row r="177" spans="1:4" x14ac:dyDescent="0.75">
      <c r="A177" s="26">
        <v>143</v>
      </c>
      <c r="B177" s="26">
        <f t="shared" si="6"/>
        <v>20</v>
      </c>
      <c r="C177" s="26">
        <f t="shared" si="7"/>
        <v>3</v>
      </c>
      <c r="D177" s="112" t="str" cm="1">
        <f t="array" ref="D177">INDEX('Oth-2'!$B$2:$H$88,1+B177,C177)</f>
        <v>* differential.element[21].short = "Transfusion  "</v>
      </c>
    </row>
    <row r="178" spans="1:4" x14ac:dyDescent="0.75">
      <c r="A178" s="26">
        <v>144</v>
      </c>
      <c r="B178" s="26">
        <f t="shared" si="6"/>
        <v>20</v>
      </c>
      <c r="C178" s="26">
        <f t="shared" si="7"/>
        <v>4</v>
      </c>
      <c r="D178" s="112" t="str" cm="1">
        <f t="array" ref="D178">INDEX('Oth-2'!$B$2:$H$88,1+B178,C178)</f>
        <v>* differential.element[21].definition = "Transfusion  "</v>
      </c>
    </row>
    <row r="179" spans="1:4" x14ac:dyDescent="0.75">
      <c r="A179" s="26">
        <v>145</v>
      </c>
      <c r="B179" s="26">
        <f t="shared" si="6"/>
        <v>20</v>
      </c>
      <c r="C179" s="26">
        <f t="shared" si="7"/>
        <v>5</v>
      </c>
      <c r="D179" s="112" t="str" cm="1">
        <f t="array" ref="D179">INDEX('Oth-2'!$B$2:$H$88,1+B179,C179)</f>
        <v>* differential.element[21].min = 0</v>
      </c>
    </row>
    <row r="180" spans="1:4" x14ac:dyDescent="0.75">
      <c r="A180" s="26">
        <v>146</v>
      </c>
      <c r="B180" s="26">
        <f t="shared" si="6"/>
        <v>20</v>
      </c>
      <c r="C180" s="26">
        <f t="shared" si="7"/>
        <v>6</v>
      </c>
      <c r="D180" s="112" t="str" cm="1">
        <f t="array" ref="D180">INDEX('Oth-2'!$B$2:$H$88,1+B180,C180)</f>
        <v>* differential.element[21].max = "1"</v>
      </c>
    </row>
    <row r="181" spans="1:4" x14ac:dyDescent="0.75">
      <c r="A181" s="26">
        <v>147</v>
      </c>
      <c r="B181" s="26">
        <f t="shared" si="6"/>
        <v>20</v>
      </c>
      <c r="C181" s="26">
        <f t="shared" si="7"/>
        <v>7</v>
      </c>
      <c r="D181" s="112" t="str" cm="1">
        <f t="array" ref="D181">INDEX('Oth-2'!$B$2:$H$88,1+B181,C181)</f>
        <v>* differential.element[21].type.code = #BackboneElement</v>
      </c>
    </row>
    <row r="182" spans="1:4" x14ac:dyDescent="0.75">
      <c r="A182" s="26">
        <v>148</v>
      </c>
      <c r="B182" s="26">
        <f t="shared" si="6"/>
        <v>21</v>
      </c>
      <c r="C182" s="26">
        <f t="shared" si="7"/>
        <v>1</v>
      </c>
      <c r="D182" s="112" t="str" cm="1">
        <f t="array" ref="D182">INDEX('Oth-2'!$B$2:$H$88,1+B182,C182)</f>
        <v>* differential.element[22].id = "OtherInfos.transfusion.occured"</v>
      </c>
    </row>
    <row r="183" spans="1:4" x14ac:dyDescent="0.75">
      <c r="A183" s="26">
        <v>149</v>
      </c>
      <c r="B183" s="26">
        <f t="shared" si="6"/>
        <v>21</v>
      </c>
      <c r="C183" s="26">
        <f t="shared" si="7"/>
        <v>2</v>
      </c>
      <c r="D183" s="112" t="str" cm="1">
        <f t="array" ref="D183">INDEX('Oth-2'!$B$2:$H$88,1+B183,C183)</f>
        <v>* differential.element[22].path = "OtherInfos.transfusion.occured"</v>
      </c>
    </row>
    <row r="184" spans="1:4" x14ac:dyDescent="0.75">
      <c r="A184" s="26">
        <v>150</v>
      </c>
      <c r="B184" s="26">
        <f t="shared" si="6"/>
        <v>21</v>
      </c>
      <c r="C184" s="26">
        <f t="shared" si="7"/>
        <v>3</v>
      </c>
      <c r="D184" s="112" t="str" cm="1">
        <f t="array" ref="D184">INDEX('Oth-2'!$B$2:$H$88,1+B184,C184)</f>
        <v>* differential.element[22].short = "Yes/No"</v>
      </c>
    </row>
    <row r="185" spans="1:4" x14ac:dyDescent="0.75">
      <c r="A185" s="26">
        <v>151</v>
      </c>
      <c r="B185" s="26">
        <f t="shared" si="6"/>
        <v>21</v>
      </c>
      <c r="C185" s="26">
        <f t="shared" si="7"/>
        <v>4</v>
      </c>
      <c r="D185" s="112" t="str" cm="1">
        <f t="array" ref="D185">INDEX('Oth-2'!$B$2:$H$88,1+B185,C185)</f>
        <v>* differential.element[22].definition = "Please state if at least one blood (any component) transfusion was made"</v>
      </c>
    </row>
    <row r="186" spans="1:4" x14ac:dyDescent="0.75">
      <c r="A186" s="26">
        <v>152</v>
      </c>
      <c r="B186" s="26">
        <f t="shared" si="6"/>
        <v>21</v>
      </c>
      <c r="C186" s="26">
        <f t="shared" si="7"/>
        <v>5</v>
      </c>
      <c r="D186" s="112" t="str" cm="1">
        <f t="array" ref="D186">INDEX('Oth-2'!$B$2:$H$88,1+B186,C186)</f>
        <v>* differential.element[22].min = 0</v>
      </c>
    </row>
    <row r="187" spans="1:4" x14ac:dyDescent="0.75">
      <c r="A187" s="26">
        <v>153</v>
      </c>
      <c r="B187" s="26">
        <f t="shared" si="6"/>
        <v>21</v>
      </c>
      <c r="C187" s="26">
        <f t="shared" si="7"/>
        <v>6</v>
      </c>
      <c r="D187" s="112" t="str" cm="1">
        <f t="array" ref="D187">INDEX('Oth-2'!$B$2:$H$88,1+B187,C187)</f>
        <v>* differential.element[22].max = "1"</v>
      </c>
    </row>
    <row r="188" spans="1:4" x14ac:dyDescent="0.75">
      <c r="A188" s="26">
        <v>154</v>
      </c>
      <c r="B188" s="26">
        <f t="shared" si="6"/>
        <v>21</v>
      </c>
      <c r="C188" s="26">
        <f t="shared" si="7"/>
        <v>7</v>
      </c>
      <c r="D188" s="112" t="str" cm="1">
        <f t="array" ref="D188">INDEX('Oth-2'!$B$2:$H$88,1+B188,C188)</f>
        <v>* differential.element[22].type.code = #CodeableConcept</v>
      </c>
    </row>
    <row r="189" spans="1:4" x14ac:dyDescent="0.75">
      <c r="A189" s="26">
        <v>155</v>
      </c>
      <c r="B189" s="26">
        <f t="shared" si="6"/>
        <v>22</v>
      </c>
      <c r="C189" s="26">
        <f t="shared" si="7"/>
        <v>1</v>
      </c>
      <c r="D189" s="112" t="str" cm="1">
        <f t="array" ref="D189">INDEX('Oth-2'!$B$2:$H$88,1+B189,C189)</f>
        <v>* differential.element[23].id = "OtherInfos.transfusion.last"</v>
      </c>
    </row>
    <row r="190" spans="1:4" x14ac:dyDescent="0.75">
      <c r="A190" s="26">
        <v>156</v>
      </c>
      <c r="B190" s="26">
        <f t="shared" si="6"/>
        <v>22</v>
      </c>
      <c r="C190" s="26">
        <f t="shared" si="7"/>
        <v>2</v>
      </c>
      <c r="D190" s="112" t="str" cm="1">
        <f t="array" ref="D190">INDEX('Oth-2'!$B$2:$H$88,1+B190,C190)</f>
        <v>* differential.element[23].path = "OtherInfos.transfusion.last"</v>
      </c>
    </row>
    <row r="191" spans="1:4" x14ac:dyDescent="0.75">
      <c r="A191" s="26">
        <v>157</v>
      </c>
      <c r="B191" s="26">
        <f t="shared" si="6"/>
        <v>22</v>
      </c>
      <c r="C191" s="26">
        <f t="shared" si="7"/>
        <v>3</v>
      </c>
      <c r="D191" s="112" t="str" cm="1">
        <f t="array" ref="D191">INDEX('Oth-2'!$B$2:$H$88,1+B191,C191)</f>
        <v>* differential.element[23].short = "Last transfusion date  "</v>
      </c>
    </row>
    <row r="192" spans="1:4" ht="29.5" x14ac:dyDescent="0.75">
      <c r="A192" s="26">
        <v>158</v>
      </c>
      <c r="B192" s="26">
        <f t="shared" si="6"/>
        <v>22</v>
      </c>
      <c r="C192" s="26">
        <f t="shared" si="7"/>
        <v>4</v>
      </c>
      <c r="D192" s="112" t="str" cm="1">
        <f t="array" ref="D192">INDEX('Oth-2'!$B$2:$H$88,1+B192,C192)</f>
        <v>* differential.element[23].definition = "Please  report the date of the last transfusion given. If the date is unkown or partially missed insert the year at the best of your knowledge."</v>
      </c>
    </row>
    <row r="193" spans="1:4" x14ac:dyDescent="0.75">
      <c r="A193" s="26">
        <v>159</v>
      </c>
      <c r="B193" s="26">
        <f t="shared" si="6"/>
        <v>22</v>
      </c>
      <c r="C193" s="26">
        <f t="shared" si="7"/>
        <v>5</v>
      </c>
      <c r="D193" s="112" t="str" cm="1">
        <f t="array" ref="D193">INDEX('Oth-2'!$B$2:$H$88,1+B193,C193)</f>
        <v>* differential.element[23].min = 0</v>
      </c>
    </row>
    <row r="194" spans="1:4" x14ac:dyDescent="0.75">
      <c r="A194" s="26">
        <v>160</v>
      </c>
      <c r="B194" s="26">
        <f t="shared" si="6"/>
        <v>22</v>
      </c>
      <c r="C194" s="26">
        <f t="shared" si="7"/>
        <v>6</v>
      </c>
      <c r="D194" s="112" t="str" cm="1">
        <f t="array" ref="D194">INDEX('Oth-2'!$B$2:$H$88,1+B194,C194)</f>
        <v>* differential.element[23].max = "1"</v>
      </c>
    </row>
    <row r="195" spans="1:4" x14ac:dyDescent="0.75">
      <c r="A195" s="26">
        <v>161</v>
      </c>
      <c r="B195" s="26">
        <f t="shared" si="6"/>
        <v>22</v>
      </c>
      <c r="C195" s="26">
        <f t="shared" si="7"/>
        <v>7</v>
      </c>
      <c r="D195" s="112" t="str" cm="1">
        <f t="array" ref="D195">INDEX('Oth-2'!$B$2:$H$88,1+B195,C195)</f>
        <v>* differential.element[23].type.code = #string</v>
      </c>
    </row>
    <row r="196" spans="1:4" x14ac:dyDescent="0.75">
      <c r="A196" s="26">
        <v>162</v>
      </c>
      <c r="B196" s="26">
        <f t="shared" si="6"/>
        <v>23</v>
      </c>
      <c r="C196" s="26">
        <f t="shared" si="7"/>
        <v>1</v>
      </c>
      <c r="D196" s="112" t="str" cm="1">
        <f t="array" ref="D196">INDEX('Oth-2'!$B$2:$H$88,1+B196,C196)</f>
        <v>* differential.element[24].id = "OtherInfos.transfusion.moreThan10"</v>
      </c>
    </row>
    <row r="197" spans="1:4" x14ac:dyDescent="0.75">
      <c r="A197" s="26">
        <v>163</v>
      </c>
      <c r="B197" s="26">
        <f t="shared" si="6"/>
        <v>23</v>
      </c>
      <c r="C197" s="26">
        <f t="shared" si="7"/>
        <v>2</v>
      </c>
      <c r="D197" s="112" t="str" cm="1">
        <f t="array" ref="D197">INDEX('Oth-2'!$B$2:$H$88,1+B197,C197)</f>
        <v>* differential.element[24].path = "OtherInfos.transfusion.moreThan10"</v>
      </c>
    </row>
    <row r="198" spans="1:4" x14ac:dyDescent="0.75">
      <c r="A198" s="26">
        <v>164</v>
      </c>
      <c r="B198" s="26">
        <f t="shared" si="6"/>
        <v>23</v>
      </c>
      <c r="C198" s="26">
        <f t="shared" si="7"/>
        <v>3</v>
      </c>
      <c r="D198" s="112" t="str" cm="1">
        <f t="array" ref="D198">INDEX('Oth-2'!$B$2:$H$88,1+B198,C198)</f>
        <v>* differential.element[24].short = "&gt;= 10 Transfusions ?"</v>
      </c>
    </row>
    <row r="199" spans="1:4" x14ac:dyDescent="0.75">
      <c r="A199" s="26">
        <v>165</v>
      </c>
      <c r="B199" s="26">
        <f t="shared" si="6"/>
        <v>23</v>
      </c>
      <c r="C199" s="26">
        <f t="shared" si="7"/>
        <v>4</v>
      </c>
      <c r="D199" s="112" t="str" cm="1">
        <f t="array" ref="D199">INDEX('Oth-2'!$B$2:$H$88,1+B199,C199)</f>
        <v>* differential.element[24].definition = "Please specify if patient recieved 10 or more than 10 trasfusions during therapy"</v>
      </c>
    </row>
    <row r="200" spans="1:4" x14ac:dyDescent="0.75">
      <c r="A200" s="26">
        <v>166</v>
      </c>
      <c r="B200" s="26">
        <f t="shared" si="6"/>
        <v>23</v>
      </c>
      <c r="C200" s="26">
        <f t="shared" si="7"/>
        <v>5</v>
      </c>
      <c r="D200" s="112" t="str" cm="1">
        <f t="array" ref="D200">INDEX('Oth-2'!$B$2:$H$88,1+B200,C200)</f>
        <v>* differential.element[24].min = 0</v>
      </c>
    </row>
    <row r="201" spans="1:4" x14ac:dyDescent="0.75">
      <c r="A201" s="26">
        <v>167</v>
      </c>
      <c r="B201" s="26">
        <f t="shared" si="6"/>
        <v>23</v>
      </c>
      <c r="C201" s="26">
        <f t="shared" si="7"/>
        <v>6</v>
      </c>
      <c r="D201" s="112" t="str" cm="1">
        <f t="array" ref="D201">INDEX('Oth-2'!$B$2:$H$88,1+B201,C201)</f>
        <v>* differential.element[24].max = "1"</v>
      </c>
    </row>
    <row r="202" spans="1:4" x14ac:dyDescent="0.75">
      <c r="A202" s="26">
        <v>168</v>
      </c>
      <c r="B202" s="26">
        <f t="shared" si="6"/>
        <v>23</v>
      </c>
      <c r="C202" s="26">
        <f t="shared" si="7"/>
        <v>7</v>
      </c>
      <c r="D202" s="112" t="str" cm="1">
        <f t="array" ref="D202">INDEX('Oth-2'!$B$2:$H$88,1+B202,C202)</f>
        <v>* differential.element[24].type.code = #CodeableConcept</v>
      </c>
    </row>
    <row r="203" spans="1:4" x14ac:dyDescent="0.75">
      <c r="A203" s="26">
        <v>169</v>
      </c>
      <c r="B203" s="26">
        <f t="shared" si="6"/>
        <v>24</v>
      </c>
      <c r="C203" s="26">
        <f t="shared" si="7"/>
        <v>1</v>
      </c>
      <c r="D203" s="112" t="str" cm="1">
        <f t="array" ref="D203">INDEX('Oth-2'!$B$2:$H$88,1+B203,C203)</f>
        <v>* differential.element[25].id = "OtherInfos.fertilityPreseervation"</v>
      </c>
    </row>
    <row r="204" spans="1:4" x14ac:dyDescent="0.75">
      <c r="A204" s="26">
        <v>170</v>
      </c>
      <c r="B204" s="26">
        <f t="shared" si="6"/>
        <v>24</v>
      </c>
      <c r="C204" s="26">
        <f t="shared" si="7"/>
        <v>2</v>
      </c>
      <c r="D204" s="112" t="str" cm="1">
        <f t="array" ref="D204">INDEX('Oth-2'!$B$2:$H$88,1+B204,C204)</f>
        <v>* differential.element[25].path = "OtherInfos.fertilityPreseervation"</v>
      </c>
    </row>
    <row r="205" spans="1:4" x14ac:dyDescent="0.75">
      <c r="A205" s="26">
        <v>171</v>
      </c>
      <c r="B205" s="26">
        <f t="shared" si="6"/>
        <v>24</v>
      </c>
      <c r="C205" s="26">
        <f t="shared" si="7"/>
        <v>3</v>
      </c>
      <c r="D205" s="112" t="str" cm="1">
        <f t="array" ref="D205">INDEX('Oth-2'!$B$2:$H$88,1+B205,C205)</f>
        <v>* differential.element[25].short = "Fertility preservation  "</v>
      </c>
    </row>
    <row r="206" spans="1:4" x14ac:dyDescent="0.75">
      <c r="A206" s="26">
        <v>172</v>
      </c>
      <c r="B206" s="26">
        <f t="shared" si="6"/>
        <v>24</v>
      </c>
      <c r="C206" s="26">
        <f t="shared" si="7"/>
        <v>4</v>
      </c>
      <c r="D206" s="112" t="str" cm="1">
        <f t="array" ref="D206">INDEX('Oth-2'!$B$2:$H$88,1+B206,C206)</f>
        <v>* differential.element[25].definition = "Please state if any procedure was performed for fertility preservation"</v>
      </c>
    </row>
    <row r="207" spans="1:4" x14ac:dyDescent="0.75">
      <c r="A207" s="26">
        <v>173</v>
      </c>
      <c r="B207" s="26">
        <f t="shared" si="6"/>
        <v>24</v>
      </c>
      <c r="C207" s="26">
        <f t="shared" si="7"/>
        <v>5</v>
      </c>
      <c r="D207" s="112" t="str" cm="1">
        <f t="array" ref="D207">INDEX('Oth-2'!$B$2:$H$88,1+B207,C207)</f>
        <v>* differential.element[25].min = 0</v>
      </c>
    </row>
    <row r="208" spans="1:4" x14ac:dyDescent="0.75">
      <c r="A208" s="26">
        <v>174</v>
      </c>
      <c r="B208" s="26">
        <f t="shared" si="6"/>
        <v>24</v>
      </c>
      <c r="C208" s="26">
        <f t="shared" si="7"/>
        <v>6</v>
      </c>
      <c r="D208" s="112" t="str" cm="1">
        <f t="array" ref="D208">INDEX('Oth-2'!$B$2:$H$88,1+B208,C208)</f>
        <v>* differential.element[25].max = "1"</v>
      </c>
    </row>
    <row r="209" spans="1:4" x14ac:dyDescent="0.75">
      <c r="A209" s="26">
        <v>175</v>
      </c>
      <c r="B209" s="26">
        <f t="shared" si="6"/>
        <v>24</v>
      </c>
      <c r="C209" s="26">
        <f t="shared" si="7"/>
        <v>7</v>
      </c>
      <c r="D209" s="112" t="str" cm="1">
        <f t="array" ref="D209">INDEX('Oth-2'!$B$2:$H$88,1+B209,C209)</f>
        <v>* differential.element[25].type.code = #BackboneElement</v>
      </c>
    </row>
    <row r="210" spans="1:4" x14ac:dyDescent="0.75">
      <c r="A210" s="26">
        <v>176</v>
      </c>
      <c r="B210" s="26">
        <f t="shared" si="6"/>
        <v>25</v>
      </c>
      <c r="C210" s="26">
        <f t="shared" si="7"/>
        <v>1</v>
      </c>
      <c r="D210" s="112" t="str" cm="1">
        <f t="array" ref="D210">INDEX('Oth-2'!$B$2:$H$88,1+B210,C210)</f>
        <v>* differential.element[26].id = "OtherInfos.fertilityPreseervation.occurred"</v>
      </c>
    </row>
    <row r="211" spans="1:4" x14ac:dyDescent="0.75">
      <c r="A211" s="26">
        <v>177</v>
      </c>
      <c r="B211" s="26">
        <f t="shared" si="6"/>
        <v>25</v>
      </c>
      <c r="C211" s="26">
        <f t="shared" si="7"/>
        <v>2</v>
      </c>
      <c r="D211" s="112" t="str" cm="1">
        <f t="array" ref="D211">INDEX('Oth-2'!$B$2:$H$88,1+B211,C211)</f>
        <v>* differential.element[26].path = "OtherInfos.fertilityPreseervation.occurred"</v>
      </c>
    </row>
    <row r="212" spans="1:4" x14ac:dyDescent="0.75">
      <c r="A212" s="26">
        <v>178</v>
      </c>
      <c r="B212" s="26">
        <f t="shared" si="6"/>
        <v>25</v>
      </c>
      <c r="C212" s="26">
        <f t="shared" si="7"/>
        <v>3</v>
      </c>
      <c r="D212" s="112" t="str" cm="1">
        <f t="array" ref="D212">INDEX('Oth-2'!$B$2:$H$88,1+B212,C212)</f>
        <v>* differential.element[26].short = "If yes, describe  "</v>
      </c>
    </row>
    <row r="213" spans="1:4" x14ac:dyDescent="0.75">
      <c r="A213" s="26">
        <v>179</v>
      </c>
      <c r="B213" s="26">
        <f t="shared" si="6"/>
        <v>25</v>
      </c>
      <c r="C213" s="26">
        <f t="shared" si="7"/>
        <v>4</v>
      </c>
      <c r="D213" s="112" t="str" cm="1">
        <f t="array" ref="D213">INDEX('Oth-2'!$B$2:$H$88,1+B213,C213)</f>
        <v>* differential.element[26].definition = "If fertility preservation was performed,please  describe it"</v>
      </c>
    </row>
    <row r="214" spans="1:4" x14ac:dyDescent="0.75">
      <c r="A214" s="26">
        <v>180</v>
      </c>
      <c r="B214" s="26">
        <f t="shared" si="6"/>
        <v>25</v>
      </c>
      <c r="C214" s="26">
        <f t="shared" si="7"/>
        <v>5</v>
      </c>
      <c r="D214" s="112" t="str" cm="1">
        <f t="array" ref="D214">INDEX('Oth-2'!$B$2:$H$88,1+B214,C214)</f>
        <v>* differential.element[26].min = 0</v>
      </c>
    </row>
    <row r="215" spans="1:4" x14ac:dyDescent="0.75">
      <c r="A215" s="26">
        <v>181</v>
      </c>
      <c r="B215" s="26">
        <f t="shared" si="6"/>
        <v>25</v>
      </c>
      <c r="C215" s="26">
        <f t="shared" si="7"/>
        <v>6</v>
      </c>
      <c r="D215" s="112" t="str" cm="1">
        <f t="array" ref="D215">INDEX('Oth-2'!$B$2:$H$88,1+B215,C215)</f>
        <v>* differential.element[26].max = "1"</v>
      </c>
    </row>
    <row r="216" spans="1:4" x14ac:dyDescent="0.75">
      <c r="A216" s="26">
        <v>182</v>
      </c>
      <c r="B216" s="26">
        <f t="shared" si="6"/>
        <v>25</v>
      </c>
      <c r="C216" s="26">
        <f t="shared" si="7"/>
        <v>7</v>
      </c>
      <c r="D216" s="112" t="str" cm="1">
        <f t="array" ref="D216">INDEX('Oth-2'!$B$2:$H$88,1+B216,C216)</f>
        <v>* differential.element[26].type.code = #CodeableConcept</v>
      </c>
    </row>
    <row r="217" spans="1:4" x14ac:dyDescent="0.75">
      <c r="A217" s="26">
        <v>183</v>
      </c>
      <c r="B217" s="26">
        <f t="shared" si="6"/>
        <v>26</v>
      </c>
      <c r="C217" s="26">
        <f t="shared" si="7"/>
        <v>1</v>
      </c>
      <c r="D217" s="112" t="str" cm="1">
        <f t="array" ref="D217">INDEX('Oth-2'!$B$2:$H$88,1+B217,C217)</f>
        <v>* differential.element[27].id = "OtherInfos.fertilityPreseervation.storage"</v>
      </c>
    </row>
    <row r="218" spans="1:4" x14ac:dyDescent="0.75">
      <c r="A218" s="26">
        <v>184</v>
      </c>
      <c r="B218" s="26">
        <f t="shared" si="6"/>
        <v>26</v>
      </c>
      <c r="C218" s="26">
        <f t="shared" si="7"/>
        <v>2</v>
      </c>
      <c r="D218" s="112" t="str" cm="1">
        <f t="array" ref="D218">INDEX('Oth-2'!$B$2:$H$88,1+B218,C218)</f>
        <v>* differential.element[27].path = "OtherInfos.fertilityPreseervation.storage"</v>
      </c>
    </row>
    <row r="219" spans="1:4" x14ac:dyDescent="0.75">
      <c r="A219" s="26">
        <v>185</v>
      </c>
      <c r="B219" s="26">
        <f t="shared" si="6"/>
        <v>26</v>
      </c>
      <c r="C219" s="26">
        <f t="shared" si="7"/>
        <v>3</v>
      </c>
      <c r="D219" s="112" t="str" cm="1">
        <f t="array" ref="D219">INDEX('Oth-2'!$B$2:$H$88,1+B219,C219)</f>
        <v>* differential.element[27].short = "Storage Institution"</v>
      </c>
    </row>
    <row r="220" spans="1:4" ht="29.5" x14ac:dyDescent="0.75">
      <c r="A220" s="26">
        <v>186</v>
      </c>
      <c r="B220" s="26">
        <f t="shared" si="6"/>
        <v>26</v>
      </c>
      <c r="C220" s="26">
        <f t="shared" si="7"/>
        <v>4</v>
      </c>
      <c r="D220" s="112" t="str" cm="1">
        <f t="array" ref="D220">INDEX('Oth-2'!$B$2:$H$88,1+B220,C220)</f>
        <v>* differential.element[27].definition = "If fertility preservation was performed, describe with details of the institution where either sperm or ovarian tissue/oocytes have been stored"</v>
      </c>
    </row>
    <row r="221" spans="1:4" x14ac:dyDescent="0.75">
      <c r="A221" s="26">
        <v>187</v>
      </c>
      <c r="B221" s="26">
        <f t="shared" si="6"/>
        <v>26</v>
      </c>
      <c r="C221" s="26">
        <f t="shared" si="7"/>
        <v>5</v>
      </c>
      <c r="D221" s="112" t="str" cm="1">
        <f t="array" ref="D221">INDEX('Oth-2'!$B$2:$H$88,1+B221,C221)</f>
        <v>* differential.element[27].min = 0</v>
      </c>
    </row>
    <row r="222" spans="1:4" x14ac:dyDescent="0.75">
      <c r="A222" s="26">
        <v>188</v>
      </c>
      <c r="B222" s="26">
        <f t="shared" si="6"/>
        <v>26</v>
      </c>
      <c r="C222" s="26">
        <f t="shared" si="7"/>
        <v>6</v>
      </c>
      <c r="D222" s="112" t="str" cm="1">
        <f t="array" ref="D222">INDEX('Oth-2'!$B$2:$H$88,1+B222,C222)</f>
        <v>* differential.element[27].max = "1"</v>
      </c>
    </row>
    <row r="223" spans="1:4" x14ac:dyDescent="0.75">
      <c r="A223" s="26">
        <v>189</v>
      </c>
      <c r="B223" s="26">
        <f t="shared" si="6"/>
        <v>26</v>
      </c>
      <c r="C223" s="26">
        <f t="shared" si="7"/>
        <v>7</v>
      </c>
      <c r="D223" s="112" t="str" cm="1">
        <f t="array" ref="D223">INDEX('Oth-2'!$B$2:$H$88,1+B223,C223)</f>
        <v>* differential.element[27].type.code = #string</v>
      </c>
    </row>
    <row r="224" spans="1:4" x14ac:dyDescent="0.75">
      <c r="A224" s="26">
        <v>190</v>
      </c>
      <c r="B224" s="26">
        <f t="shared" si="6"/>
        <v>27</v>
      </c>
      <c r="C224" s="26">
        <f t="shared" si="7"/>
        <v>1</v>
      </c>
      <c r="D224" s="112" t="str" cm="1">
        <f t="array" ref="D224">INDEX('Oth-2'!$B$2:$H$88,1+B224,C224)</f>
        <v>* differential.element[28].id = "OtherInfos.otherTreatment"</v>
      </c>
    </row>
    <row r="225" spans="1:4" x14ac:dyDescent="0.75">
      <c r="A225" s="26">
        <v>191</v>
      </c>
      <c r="B225" s="26">
        <f t="shared" si="6"/>
        <v>27</v>
      </c>
      <c r="C225" s="26">
        <f t="shared" si="7"/>
        <v>2</v>
      </c>
      <c r="D225" s="112" t="str" cm="1">
        <f t="array" ref="D225">INDEX('Oth-2'!$B$2:$H$88,1+B225,C225)</f>
        <v>* differential.element[28].path = "OtherInfos.otherTreatment"</v>
      </c>
    </row>
    <row r="226" spans="1:4" x14ac:dyDescent="0.75">
      <c r="A226" s="26">
        <v>192</v>
      </c>
      <c r="B226" s="26">
        <f t="shared" si="6"/>
        <v>27</v>
      </c>
      <c r="C226" s="26">
        <f t="shared" si="7"/>
        <v>3</v>
      </c>
      <c r="D226" s="112" t="str" cm="1">
        <f t="array" ref="D226">INDEX('Oth-2'!$B$2:$H$88,1+B226,C226)</f>
        <v>* differential.element[28].short = "Other oncological treatments"</v>
      </c>
    </row>
    <row r="227" spans="1:4" ht="29.5" x14ac:dyDescent="0.75">
      <c r="A227" s="26">
        <v>193</v>
      </c>
      <c r="B227" s="26">
        <f t="shared" si="6"/>
        <v>27</v>
      </c>
      <c r="C227" s="26">
        <f t="shared" si="7"/>
        <v>4</v>
      </c>
      <c r="D227" s="112" t="str" cm="1">
        <f t="array" ref="D227">INDEX('Oth-2'!$B$2:$H$88,1+B227,C227)</f>
        <v>* differential.element[28].definition = "Report here if any other treatment (not included in the chemotherapy, surgery or radiotherapy sections) was adminstered to the survivor"</v>
      </c>
    </row>
    <row r="228" spans="1:4" x14ac:dyDescent="0.75">
      <c r="A228" s="26">
        <v>194</v>
      </c>
      <c r="B228" s="26">
        <f t="shared" si="6"/>
        <v>27</v>
      </c>
      <c r="C228" s="26">
        <f t="shared" si="7"/>
        <v>5</v>
      </c>
      <c r="D228" s="112" t="str" cm="1">
        <f t="array" ref="D228">INDEX('Oth-2'!$B$2:$H$88,1+B228,C228)</f>
        <v>* differential.element[28].min = 0</v>
      </c>
    </row>
    <row r="229" spans="1:4" x14ac:dyDescent="0.75">
      <c r="A229" s="26">
        <v>195</v>
      </c>
      <c r="B229" s="26">
        <f t="shared" si="6"/>
        <v>27</v>
      </c>
      <c r="C229" s="26">
        <f t="shared" si="7"/>
        <v>6</v>
      </c>
      <c r="D229" s="112" t="str" cm="1">
        <f t="array" ref="D229">INDEX('Oth-2'!$B$2:$H$88,1+B229,C229)</f>
        <v>* differential.element[28].max = "*"</v>
      </c>
    </row>
    <row r="230" spans="1:4" x14ac:dyDescent="0.75">
      <c r="A230" s="26">
        <v>196</v>
      </c>
      <c r="B230" s="26">
        <f t="shared" si="6"/>
        <v>27</v>
      </c>
      <c r="C230" s="26">
        <f t="shared" si="7"/>
        <v>7</v>
      </c>
      <c r="D230" s="112" t="str" cm="1">
        <f t="array" ref="D230">INDEX('Oth-2'!$B$2:$H$88,1+B230,C230)</f>
        <v>* differential.element[28].type.code = #CodeableConcept</v>
      </c>
    </row>
    <row r="231" spans="1:4" x14ac:dyDescent="0.75">
      <c r="A231" s="26">
        <v>197</v>
      </c>
      <c r="B231" s="26">
        <f t="shared" si="6"/>
        <v>28</v>
      </c>
      <c r="C231" s="26">
        <f t="shared" si="7"/>
        <v>1</v>
      </c>
      <c r="D231" s="112" t="str" cm="1">
        <f t="array" ref="D231">INDEX('Oth-2'!$B$2:$H$88,1+B231,C231)</f>
        <v>* differential.element[29].id = "OtherInfos.dischargeLetter"</v>
      </c>
    </row>
    <row r="232" spans="1:4" x14ac:dyDescent="0.75">
      <c r="A232" s="26">
        <v>198</v>
      </c>
      <c r="B232" s="26">
        <f t="shared" si="6"/>
        <v>28</v>
      </c>
      <c r="C232" s="26">
        <f t="shared" si="7"/>
        <v>2</v>
      </c>
      <c r="D232" s="112" t="str" cm="1">
        <f t="array" ref="D232">INDEX('Oth-2'!$B$2:$H$88,1+B232,C232)</f>
        <v>* differential.element[29].path = "OtherInfos.dischargeLetter"</v>
      </c>
    </row>
    <row r="233" spans="1:4" x14ac:dyDescent="0.75">
      <c r="A233" s="26">
        <v>199</v>
      </c>
      <c r="B233" s="26">
        <f t="shared" si="6"/>
        <v>28</v>
      </c>
      <c r="C233" s="26">
        <f t="shared" si="7"/>
        <v>3</v>
      </c>
      <c r="D233" s="112" t="str" cm="1">
        <f t="array" ref="D233">INDEX('Oth-2'!$B$2:$H$88,1+B233,C233)</f>
        <v>* differential.element[29].short = "Discharge letter"</v>
      </c>
    </row>
    <row r="234" spans="1:4" x14ac:dyDescent="0.75">
      <c r="A234" s="26">
        <v>200</v>
      </c>
      <c r="B234" s="26">
        <f t="shared" ref="B234:B297" si="8">IF(MOD(A234,7)=0,A234/7-1,INT(A234/7))</f>
        <v>28</v>
      </c>
      <c r="C234" s="26">
        <f t="shared" ref="C234:C297" si="9">IF(MOD(A234,7)=0,7,MOD(A234,7))</f>
        <v>4</v>
      </c>
      <c r="D234" s="112" t="str" cm="1">
        <f t="array" ref="D234">INDEX('Oth-2'!$B$2:$H$88,1+B234,C234)</f>
        <v>* differential.element[29].definition = "Discharge letter"</v>
      </c>
    </row>
    <row r="235" spans="1:4" x14ac:dyDescent="0.75">
      <c r="A235" s="26">
        <v>201</v>
      </c>
      <c r="B235" s="26">
        <f t="shared" si="8"/>
        <v>28</v>
      </c>
      <c r="C235" s="26">
        <f t="shared" si="9"/>
        <v>5</v>
      </c>
      <c r="D235" s="112" t="str" cm="1">
        <f t="array" ref="D235">INDEX('Oth-2'!$B$2:$H$88,1+B235,C235)</f>
        <v>* differential.element[29].min = 0</v>
      </c>
    </row>
    <row r="236" spans="1:4" x14ac:dyDescent="0.75">
      <c r="A236" s="26">
        <v>202</v>
      </c>
      <c r="B236" s="26">
        <f t="shared" si="8"/>
        <v>28</v>
      </c>
      <c r="C236" s="26">
        <f t="shared" si="9"/>
        <v>6</v>
      </c>
      <c r="D236" s="112" t="str" cm="1">
        <f t="array" ref="D236">INDEX('Oth-2'!$B$2:$H$88,1+B236,C236)</f>
        <v>* differential.element[29].max = "*"</v>
      </c>
    </row>
    <row r="237" spans="1:4" x14ac:dyDescent="0.75">
      <c r="A237" s="26">
        <v>203</v>
      </c>
      <c r="B237" s="26">
        <f t="shared" si="8"/>
        <v>28</v>
      </c>
      <c r="C237" s="26">
        <f t="shared" si="9"/>
        <v>7</v>
      </c>
      <c r="D237" s="112" t="str" cm="1">
        <f t="array" ref="D237">INDEX('Oth-2'!$B$2:$H$88,1+B237,C237)</f>
        <v>* differential.element[29].type.code = #Attacchment</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INDEX('Oth-2'!$B$2:$H$88,1+B262,C262)</f>
        <v>0</v>
      </c>
    </row>
    <row r="263" spans="1:4" x14ac:dyDescent="0.75">
      <c r="A263" s="26">
        <v>229</v>
      </c>
      <c r="B263" s="26">
        <f t="shared" si="8"/>
        <v>32</v>
      </c>
      <c r="C263" s="26">
        <f t="shared" si="9"/>
        <v>5</v>
      </c>
      <c r="D263" s="112" cm="1">
        <f t="array" ref="D263">INDEX('Oth-2'!$B$2:$H$88,1+B263,C263)</f>
        <v>0</v>
      </c>
    </row>
    <row r="264" spans="1:4" x14ac:dyDescent="0.75">
      <c r="A264" s="26">
        <v>230</v>
      </c>
      <c r="B264" s="26">
        <f t="shared" si="8"/>
        <v>32</v>
      </c>
      <c r="C264" s="26">
        <f t="shared" si="9"/>
        <v>6</v>
      </c>
      <c r="D264" s="112" cm="1">
        <f t="array" ref="D264">INDEX('Oth-2'!$B$2:$H$88,1+B264,C264)</f>
        <v>0</v>
      </c>
    </row>
    <row r="265" spans="1:4" x14ac:dyDescent="0.75">
      <c r="A265" s="26">
        <v>231</v>
      </c>
      <c r="B265" s="26">
        <f t="shared" si="8"/>
        <v>32</v>
      </c>
      <c r="C265" s="26">
        <f t="shared" si="9"/>
        <v>7</v>
      </c>
      <c r="D265" s="112" cm="1">
        <f t="array" ref="D265">INDEX('Oth-2'!$B$2:$H$88,1+B265,C265)</f>
        <v>0</v>
      </c>
    </row>
    <row r="266" spans="1:4" x14ac:dyDescent="0.75">
      <c r="A266" s="26">
        <v>232</v>
      </c>
      <c r="B266" s="26">
        <f t="shared" si="8"/>
        <v>33</v>
      </c>
      <c r="C266" s="26">
        <f t="shared" si="9"/>
        <v>1</v>
      </c>
      <c r="D266" s="112" cm="1">
        <f t="array" ref="D266">INDEX('Oth-2'!$B$2:$H$88,1+B266,C266)</f>
        <v>0</v>
      </c>
    </row>
    <row r="267" spans="1:4" x14ac:dyDescent="0.75">
      <c r="A267" s="26">
        <v>233</v>
      </c>
      <c r="B267" s="26">
        <f t="shared" si="8"/>
        <v>33</v>
      </c>
      <c r="C267" s="26">
        <f t="shared" si="9"/>
        <v>2</v>
      </c>
      <c r="D267" s="112" cm="1">
        <f t="array" ref="D267">INDEX('Oth-2'!$B$2:$H$88,1+B267,C267)</f>
        <v>0</v>
      </c>
    </row>
    <row r="268" spans="1:4" x14ac:dyDescent="0.75">
      <c r="A268" s="26">
        <v>234</v>
      </c>
      <c r="B268" s="26">
        <f t="shared" si="8"/>
        <v>33</v>
      </c>
      <c r="C268" s="26">
        <f t="shared" si="9"/>
        <v>3</v>
      </c>
      <c r="D268" s="112" cm="1">
        <f t="array" ref="D268">INDEX('Oth-2'!$B$2:$H$88,1+B268,C268)</f>
        <v>0</v>
      </c>
    </row>
    <row r="269" spans="1:4" x14ac:dyDescent="0.75">
      <c r="A269" s="26">
        <v>235</v>
      </c>
      <c r="B269" s="26">
        <f t="shared" si="8"/>
        <v>33</v>
      </c>
      <c r="C269" s="26">
        <f t="shared" si="9"/>
        <v>4</v>
      </c>
      <c r="D269" s="112" cm="1">
        <f t="array" ref="D269">INDEX('Oth-2'!$B$2:$H$88,1+B269,C269)</f>
        <v>0</v>
      </c>
    </row>
    <row r="270" spans="1:4" x14ac:dyDescent="0.75">
      <c r="A270" s="26">
        <v>236</v>
      </c>
      <c r="B270" s="26">
        <f t="shared" si="8"/>
        <v>33</v>
      </c>
      <c r="C270" s="26">
        <f t="shared" si="9"/>
        <v>5</v>
      </c>
      <c r="D270" s="112" cm="1">
        <f t="array" ref="D270">INDEX('Oth-2'!$B$2:$H$88,1+B270,C270)</f>
        <v>0</v>
      </c>
    </row>
    <row r="271" spans="1:4" x14ac:dyDescent="0.75">
      <c r="A271" s="26">
        <v>237</v>
      </c>
      <c r="B271" s="26">
        <f t="shared" si="8"/>
        <v>33</v>
      </c>
      <c r="C271" s="26">
        <f t="shared" si="9"/>
        <v>6</v>
      </c>
      <c r="D271" s="112" cm="1">
        <f t="array" ref="D271">INDEX('Oth-2'!$B$2:$H$88,1+B271,C271)</f>
        <v>0</v>
      </c>
    </row>
    <row r="272" spans="1:4" x14ac:dyDescent="0.75">
      <c r="A272" s="26">
        <v>238</v>
      </c>
      <c r="B272" s="26">
        <f t="shared" si="8"/>
        <v>33</v>
      </c>
      <c r="C272" s="26">
        <f t="shared" si="9"/>
        <v>7</v>
      </c>
      <c r="D272" s="112" cm="1">
        <f t="array" ref="D272">INDEX('Oth-2'!$B$2:$H$88,1+B272,C272)</f>
        <v>0</v>
      </c>
    </row>
    <row r="273" spans="1:4" x14ac:dyDescent="0.75">
      <c r="A273" s="26">
        <v>239</v>
      </c>
      <c r="B273" s="26">
        <f t="shared" si="8"/>
        <v>34</v>
      </c>
      <c r="C273" s="26">
        <f t="shared" si="9"/>
        <v>1</v>
      </c>
      <c r="D273" s="112" cm="1">
        <f t="array" ref="D273">INDEX('Oth-2'!$B$2:$H$88,1+B273,C273)</f>
        <v>0</v>
      </c>
    </row>
    <row r="274" spans="1:4" x14ac:dyDescent="0.75">
      <c r="A274" s="26">
        <v>240</v>
      </c>
      <c r="B274" s="26">
        <f t="shared" si="8"/>
        <v>34</v>
      </c>
      <c r="C274" s="26">
        <f t="shared" si="9"/>
        <v>2</v>
      </c>
      <c r="D274" s="112" cm="1">
        <f t="array" ref="D274">INDEX('Oth-2'!$B$2:$H$88,1+B274,C274)</f>
        <v>0</v>
      </c>
    </row>
    <row r="275" spans="1:4" x14ac:dyDescent="0.75">
      <c r="A275" s="26">
        <v>241</v>
      </c>
      <c r="B275" s="26">
        <f t="shared" si="8"/>
        <v>34</v>
      </c>
      <c r="C275" s="26">
        <f t="shared" si="9"/>
        <v>3</v>
      </c>
      <c r="D275" s="112" cm="1">
        <f t="array" ref="D275">INDEX('Oth-2'!$B$2:$H$88,1+B275,C275)</f>
        <v>0</v>
      </c>
    </row>
    <row r="276" spans="1:4" x14ac:dyDescent="0.75">
      <c r="A276" s="26">
        <v>242</v>
      </c>
      <c r="B276" s="26">
        <f t="shared" si="8"/>
        <v>34</v>
      </c>
      <c r="C276" s="26">
        <f t="shared" si="9"/>
        <v>4</v>
      </c>
      <c r="D276" s="112" cm="1">
        <f t="array" ref="D276">INDEX('Oth-2'!$B$2:$H$88,1+B276,C276)</f>
        <v>0</v>
      </c>
    </row>
    <row r="277" spans="1:4" x14ac:dyDescent="0.75">
      <c r="A277" s="26">
        <v>243</v>
      </c>
      <c r="B277" s="26">
        <f t="shared" si="8"/>
        <v>34</v>
      </c>
      <c r="C277" s="26">
        <f t="shared" si="9"/>
        <v>5</v>
      </c>
      <c r="D277" s="112" cm="1">
        <f t="array" ref="D277">INDEX('Oth-2'!$B$2:$H$88,1+B277,C277)</f>
        <v>0</v>
      </c>
    </row>
    <row r="278" spans="1:4" x14ac:dyDescent="0.75">
      <c r="A278" s="26">
        <v>244</v>
      </c>
      <c r="B278" s="26">
        <f t="shared" si="8"/>
        <v>34</v>
      </c>
      <c r="C278" s="26">
        <f t="shared" si="9"/>
        <v>6</v>
      </c>
      <c r="D278" s="112" cm="1">
        <f t="array" ref="D278">INDEX('Oth-2'!$B$2:$H$88,1+B278,C278)</f>
        <v>0</v>
      </c>
    </row>
    <row r="279" spans="1:4" x14ac:dyDescent="0.75">
      <c r="A279" s="26">
        <v>245</v>
      </c>
      <c r="B279" s="26">
        <f t="shared" si="8"/>
        <v>34</v>
      </c>
      <c r="C279" s="26">
        <f t="shared" si="9"/>
        <v>7</v>
      </c>
      <c r="D279" s="112" cm="1">
        <f t="array" ref="D279">INDEX('Oth-2'!$B$2:$H$88,1+B279,C279)</f>
        <v>0</v>
      </c>
    </row>
    <row r="280" spans="1:4" x14ac:dyDescent="0.75">
      <c r="A280" s="26">
        <v>246</v>
      </c>
      <c r="B280" s="26">
        <f t="shared" si="8"/>
        <v>35</v>
      </c>
      <c r="C280" s="26">
        <f t="shared" si="9"/>
        <v>1</v>
      </c>
      <c r="D280" s="112" cm="1">
        <f t="array" ref="D280">INDEX('Oth-2'!$B$2:$H$88,1+B280,C280)</f>
        <v>0</v>
      </c>
    </row>
    <row r="281" spans="1:4" x14ac:dyDescent="0.75">
      <c r="A281" s="26">
        <v>247</v>
      </c>
      <c r="B281" s="26">
        <f t="shared" si="8"/>
        <v>35</v>
      </c>
      <c r="C281" s="26">
        <f t="shared" si="9"/>
        <v>2</v>
      </c>
      <c r="D281" s="112" cm="1">
        <f t="array" ref="D281">INDEX('Oth-2'!$B$2:$H$88,1+B281,C281)</f>
        <v>0</v>
      </c>
    </row>
    <row r="282" spans="1:4" x14ac:dyDescent="0.75">
      <c r="A282" s="26">
        <v>248</v>
      </c>
      <c r="B282" s="26">
        <f t="shared" si="8"/>
        <v>35</v>
      </c>
      <c r="C282" s="26">
        <f t="shared" si="9"/>
        <v>3</v>
      </c>
      <c r="D282" s="112" cm="1">
        <f t="array" ref="D282">INDEX('Oth-2'!$B$2:$H$88,1+B282,C282)</f>
        <v>0</v>
      </c>
    </row>
    <row r="283" spans="1:4" x14ac:dyDescent="0.75">
      <c r="A283" s="26">
        <v>249</v>
      </c>
      <c r="B283" s="26">
        <f t="shared" si="8"/>
        <v>35</v>
      </c>
      <c r="C283" s="26">
        <f t="shared" si="9"/>
        <v>4</v>
      </c>
      <c r="D283" s="112" cm="1">
        <f t="array" ref="D283">INDEX('Oth-2'!$B$2:$H$88,1+B283,C283)</f>
        <v>0</v>
      </c>
    </row>
    <row r="284" spans="1:4" x14ac:dyDescent="0.75">
      <c r="A284" s="26">
        <v>250</v>
      </c>
      <c r="B284" s="26">
        <f t="shared" si="8"/>
        <v>35</v>
      </c>
      <c r="C284" s="26">
        <f t="shared" si="9"/>
        <v>5</v>
      </c>
      <c r="D284" s="112" cm="1">
        <f t="array" ref="D284">INDEX('Oth-2'!$B$2:$H$88,1+B284,C284)</f>
        <v>0</v>
      </c>
    </row>
    <row r="285" spans="1:4" x14ac:dyDescent="0.75">
      <c r="A285" s="26">
        <v>251</v>
      </c>
      <c r="B285" s="26">
        <f t="shared" si="8"/>
        <v>35</v>
      </c>
      <c r="C285" s="26">
        <f t="shared" si="9"/>
        <v>6</v>
      </c>
      <c r="D285" s="112" cm="1">
        <f t="array" ref="D285">INDEX('Oth-2'!$B$2:$H$88,1+B285,C285)</f>
        <v>0</v>
      </c>
    </row>
    <row r="286" spans="1:4" x14ac:dyDescent="0.75">
      <c r="A286" s="26">
        <v>252</v>
      </c>
      <c r="B286" s="26">
        <f t="shared" si="8"/>
        <v>35</v>
      </c>
      <c r="C286" s="26">
        <f t="shared" si="9"/>
        <v>7</v>
      </c>
      <c r="D286" s="112" cm="1">
        <f t="array" ref="D286">INDEX('Oth-2'!$B$2:$H$88,1+B286,C286)</f>
        <v>0</v>
      </c>
    </row>
    <row r="287" spans="1:4" x14ac:dyDescent="0.75">
      <c r="A287" s="26">
        <v>253</v>
      </c>
      <c r="B287" s="26">
        <f t="shared" si="8"/>
        <v>36</v>
      </c>
      <c r="C287" s="26">
        <f t="shared" si="9"/>
        <v>1</v>
      </c>
      <c r="D287" s="112" cm="1">
        <f t="array" ref="D287">INDEX('Oth-2'!$B$2:$H$88,1+B287,C287)</f>
        <v>0</v>
      </c>
    </row>
    <row r="288" spans="1:4" x14ac:dyDescent="0.75">
      <c r="A288" s="26">
        <v>254</v>
      </c>
      <c r="B288" s="26">
        <f t="shared" si="8"/>
        <v>36</v>
      </c>
      <c r="C288" s="26">
        <f t="shared" si="9"/>
        <v>2</v>
      </c>
      <c r="D288" s="112" cm="1">
        <f t="array" ref="D288">INDEX('Oth-2'!$B$2:$H$88,1+B288,C288)</f>
        <v>0</v>
      </c>
    </row>
    <row r="289" spans="1:4" x14ac:dyDescent="0.75">
      <c r="A289" s="26">
        <v>255</v>
      </c>
      <c r="B289" s="26">
        <f t="shared" si="8"/>
        <v>36</v>
      </c>
      <c r="C289" s="26">
        <f t="shared" si="9"/>
        <v>3</v>
      </c>
      <c r="D289" s="112" cm="1">
        <f t="array" ref="D289">INDEX('Oth-2'!$B$2:$H$88,1+B289,C289)</f>
        <v>0</v>
      </c>
    </row>
    <row r="290" spans="1:4" x14ac:dyDescent="0.75">
      <c r="A290" s="26">
        <v>256</v>
      </c>
      <c r="B290" s="26">
        <f t="shared" si="8"/>
        <v>36</v>
      </c>
      <c r="C290" s="26">
        <f t="shared" si="9"/>
        <v>4</v>
      </c>
      <c r="D290" s="112" cm="1">
        <f t="array" ref="D290">INDEX('Oth-2'!$B$2:$H$88,1+B290,C290)</f>
        <v>0</v>
      </c>
    </row>
    <row r="291" spans="1:4" x14ac:dyDescent="0.75">
      <c r="A291" s="26">
        <v>257</v>
      </c>
      <c r="B291" s="26">
        <f t="shared" si="8"/>
        <v>36</v>
      </c>
      <c r="C291" s="26">
        <f t="shared" si="9"/>
        <v>5</v>
      </c>
      <c r="D291" s="112" cm="1">
        <f t="array" ref="D291">INDEX('Oth-2'!$B$2:$H$88,1+B291,C291)</f>
        <v>0</v>
      </c>
    </row>
    <row r="292" spans="1:4" x14ac:dyDescent="0.75">
      <c r="A292" s="26">
        <v>258</v>
      </c>
      <c r="B292" s="26">
        <f t="shared" si="8"/>
        <v>36</v>
      </c>
      <c r="C292" s="26">
        <f t="shared" si="9"/>
        <v>6</v>
      </c>
      <c r="D292" s="112" cm="1">
        <f t="array" ref="D292">INDEX('Oth-2'!$B$2:$H$88,1+B292,C292)</f>
        <v>0</v>
      </c>
    </row>
    <row r="293" spans="1:4" x14ac:dyDescent="0.75">
      <c r="A293" s="26">
        <v>259</v>
      </c>
      <c r="B293" s="26">
        <f t="shared" si="8"/>
        <v>36</v>
      </c>
      <c r="C293" s="26">
        <f t="shared" si="9"/>
        <v>7</v>
      </c>
      <c r="D293" s="112" cm="1">
        <f t="array" ref="D293">INDEX('Oth-2'!$B$2:$H$88,1+B293,C293)</f>
        <v>0</v>
      </c>
    </row>
    <row r="294" spans="1:4" x14ac:dyDescent="0.75">
      <c r="A294" s="26">
        <v>260</v>
      </c>
      <c r="B294" s="26">
        <f t="shared" si="8"/>
        <v>37</v>
      </c>
      <c r="C294" s="26">
        <f t="shared" si="9"/>
        <v>1</v>
      </c>
      <c r="D294" s="112" cm="1">
        <f t="array" ref="D294">INDEX('Oth-2'!$B$2:$H$88,1+B294,C294)</f>
        <v>0</v>
      </c>
    </row>
    <row r="295" spans="1:4" x14ac:dyDescent="0.75">
      <c r="A295" s="26">
        <v>261</v>
      </c>
      <c r="B295" s="26">
        <f t="shared" si="8"/>
        <v>37</v>
      </c>
      <c r="C295" s="26">
        <f t="shared" si="9"/>
        <v>2</v>
      </c>
      <c r="D295" s="112" cm="1">
        <f t="array" ref="D295">INDEX('Oth-2'!$B$2:$H$88,1+B295,C295)</f>
        <v>0</v>
      </c>
    </row>
    <row r="296" spans="1:4" x14ac:dyDescent="0.75">
      <c r="A296" s="26">
        <v>262</v>
      </c>
      <c r="B296" s="26">
        <f t="shared" si="8"/>
        <v>37</v>
      </c>
      <c r="C296" s="26">
        <f t="shared" si="9"/>
        <v>3</v>
      </c>
      <c r="D296" s="112" cm="1">
        <f t="array" ref="D296">INDEX('Oth-2'!$B$2:$H$88,1+B296,C296)</f>
        <v>0</v>
      </c>
    </row>
    <row r="297" spans="1:4" x14ac:dyDescent="0.75">
      <c r="A297" s="26">
        <v>263</v>
      </c>
      <c r="B297" s="26">
        <f t="shared" si="8"/>
        <v>37</v>
      </c>
      <c r="C297" s="26">
        <f t="shared" si="9"/>
        <v>4</v>
      </c>
      <c r="D297" s="112" cm="1">
        <f t="array" ref="D297">INDEX('Oth-2'!$B$2:$H$88,1+B297,C297)</f>
        <v>0</v>
      </c>
    </row>
    <row r="298" spans="1:4" x14ac:dyDescent="0.75">
      <c r="A298" s="26">
        <v>264</v>
      </c>
      <c r="B298" s="26">
        <f t="shared" ref="B298:B361" si="10">IF(MOD(A298,7)=0,A298/7-1,INT(A298/7))</f>
        <v>37</v>
      </c>
      <c r="C298" s="26">
        <f t="shared" ref="C298:C361" si="11">IF(MOD(A298,7)=0,7,MOD(A298,7))</f>
        <v>5</v>
      </c>
      <c r="D298" s="112" cm="1">
        <f t="array" ref="D298">INDEX('Oth-2'!$B$2:$H$88,1+B298,C298)</f>
        <v>0</v>
      </c>
    </row>
    <row r="299" spans="1:4" x14ac:dyDescent="0.75">
      <c r="A299" s="26">
        <v>265</v>
      </c>
      <c r="B299" s="26">
        <f t="shared" si="10"/>
        <v>37</v>
      </c>
      <c r="C299" s="26">
        <f t="shared" si="11"/>
        <v>6</v>
      </c>
      <c r="D299" s="112" cm="1">
        <f t="array" ref="D299">INDEX('Oth-2'!$B$2:$H$88,1+B299,C299)</f>
        <v>0</v>
      </c>
    </row>
    <row r="300" spans="1:4" x14ac:dyDescent="0.75">
      <c r="A300" s="26">
        <v>266</v>
      </c>
      <c r="B300" s="26">
        <f t="shared" si="10"/>
        <v>37</v>
      </c>
      <c r="C300" s="26">
        <f t="shared" si="11"/>
        <v>7</v>
      </c>
      <c r="D300" s="112" cm="1">
        <f t="array" ref="D300">INDEX('Oth-2'!$B$2:$H$88,1+B300,C300)</f>
        <v>0</v>
      </c>
    </row>
    <row r="301" spans="1:4" x14ac:dyDescent="0.75">
      <c r="A301" s="26">
        <v>267</v>
      </c>
      <c r="B301" s="26">
        <f t="shared" si="10"/>
        <v>38</v>
      </c>
      <c r="C301" s="26">
        <f t="shared" si="11"/>
        <v>1</v>
      </c>
      <c r="D301" s="112" cm="1">
        <f t="array" ref="D301">INDEX('Oth-2'!$B$2:$H$88,1+B301,C301)</f>
        <v>0</v>
      </c>
    </row>
    <row r="302" spans="1:4" x14ac:dyDescent="0.75">
      <c r="A302" s="26">
        <v>268</v>
      </c>
      <c r="B302" s="26">
        <f t="shared" si="10"/>
        <v>38</v>
      </c>
      <c r="C302" s="26">
        <f t="shared" si="11"/>
        <v>2</v>
      </c>
      <c r="D302" s="112" cm="1">
        <f t="array" ref="D302">INDEX('Oth-2'!$B$2:$H$88,1+B302,C302)</f>
        <v>0</v>
      </c>
    </row>
    <row r="303" spans="1:4" x14ac:dyDescent="0.75">
      <c r="A303" s="26">
        <v>269</v>
      </c>
      <c r="B303" s="26">
        <f t="shared" si="10"/>
        <v>38</v>
      </c>
      <c r="C303" s="26">
        <f t="shared" si="11"/>
        <v>3</v>
      </c>
      <c r="D303" s="112" cm="1">
        <f t="array" ref="D303">INDEX('Oth-2'!$B$2:$H$88,1+B303,C303)</f>
        <v>0</v>
      </c>
    </row>
    <row r="304" spans="1:4" x14ac:dyDescent="0.75">
      <c r="A304" s="26">
        <v>270</v>
      </c>
      <c r="B304" s="26">
        <f t="shared" si="10"/>
        <v>38</v>
      </c>
      <c r="C304" s="26">
        <f t="shared" si="11"/>
        <v>4</v>
      </c>
      <c r="D304" s="112" cm="1">
        <f t="array" ref="D304">INDEX('Oth-2'!$B$2:$H$88,1+B304,C304)</f>
        <v>0</v>
      </c>
    </row>
    <row r="305" spans="1:4" x14ac:dyDescent="0.75">
      <c r="A305" s="26">
        <v>271</v>
      </c>
      <c r="B305" s="26">
        <f t="shared" si="10"/>
        <v>38</v>
      </c>
      <c r="C305" s="26">
        <f t="shared" si="11"/>
        <v>5</v>
      </c>
      <c r="D305" s="112" cm="1">
        <f t="array" ref="D305">INDEX('Oth-2'!$B$2:$H$88,1+B305,C305)</f>
        <v>0</v>
      </c>
    </row>
    <row r="306" spans="1:4" x14ac:dyDescent="0.75">
      <c r="A306" s="26">
        <v>272</v>
      </c>
      <c r="B306" s="26">
        <f t="shared" si="10"/>
        <v>38</v>
      </c>
      <c r="C306" s="26">
        <f t="shared" si="11"/>
        <v>6</v>
      </c>
      <c r="D306" s="112" cm="1">
        <f t="array" ref="D306">INDEX('Oth-2'!$B$2:$H$88,1+B306,C306)</f>
        <v>0</v>
      </c>
    </row>
    <row r="307" spans="1:4" x14ac:dyDescent="0.75">
      <c r="A307" s="26">
        <v>273</v>
      </c>
      <c r="B307" s="26">
        <f t="shared" si="10"/>
        <v>38</v>
      </c>
      <c r="C307" s="26">
        <f t="shared" si="11"/>
        <v>7</v>
      </c>
      <c r="D307" s="112" cm="1">
        <f t="array" ref="D307">INDEX('Oth-2'!$B$2:$H$88,1+B307,C307)</f>
        <v>0</v>
      </c>
    </row>
    <row r="308" spans="1:4" x14ac:dyDescent="0.75">
      <c r="A308" s="26">
        <v>274</v>
      </c>
      <c r="B308" s="26">
        <f t="shared" si="10"/>
        <v>39</v>
      </c>
      <c r="C308" s="26">
        <f t="shared" si="11"/>
        <v>1</v>
      </c>
      <c r="D308" s="112" cm="1">
        <f t="array" ref="D308">INDEX('Oth-2'!$B$2:$H$88,1+B308,C308)</f>
        <v>0</v>
      </c>
    </row>
    <row r="309" spans="1:4" x14ac:dyDescent="0.75">
      <c r="A309" s="26">
        <v>275</v>
      </c>
      <c r="B309" s="26">
        <f t="shared" si="10"/>
        <v>39</v>
      </c>
      <c r="C309" s="26">
        <f t="shared" si="11"/>
        <v>2</v>
      </c>
      <c r="D309" s="112" cm="1">
        <f t="array" ref="D309">INDEX('Oth-2'!$B$2:$H$88,1+B309,C309)</f>
        <v>0</v>
      </c>
    </row>
    <row r="310" spans="1:4" x14ac:dyDescent="0.75">
      <c r="A310" s="26">
        <v>276</v>
      </c>
      <c r="B310" s="26">
        <f t="shared" si="10"/>
        <v>39</v>
      </c>
      <c r="C310" s="26">
        <f t="shared" si="11"/>
        <v>3</v>
      </c>
      <c r="D310" s="112" cm="1">
        <f t="array" ref="D310">INDEX('Oth-2'!$B$2:$H$88,1+B310,C310)</f>
        <v>0</v>
      </c>
    </row>
    <row r="311" spans="1:4" x14ac:dyDescent="0.75">
      <c r="A311" s="26">
        <v>277</v>
      </c>
      <c r="B311" s="26">
        <f t="shared" si="10"/>
        <v>39</v>
      </c>
      <c r="C311" s="26">
        <f t="shared" si="11"/>
        <v>4</v>
      </c>
      <c r="D311" s="112" cm="1">
        <f t="array" ref="D311">INDEX('Oth-2'!$B$2:$H$88,1+B311,C311)</f>
        <v>0</v>
      </c>
    </row>
    <row r="312" spans="1:4" x14ac:dyDescent="0.75">
      <c r="A312" s="26">
        <v>278</v>
      </c>
      <c r="B312" s="26">
        <f t="shared" si="10"/>
        <v>39</v>
      </c>
      <c r="C312" s="26">
        <f t="shared" si="11"/>
        <v>5</v>
      </c>
      <c r="D312" s="112" cm="1">
        <f t="array" ref="D312">INDEX('Oth-2'!$B$2:$H$88,1+B312,C312)</f>
        <v>0</v>
      </c>
    </row>
    <row r="313" spans="1:4" x14ac:dyDescent="0.75">
      <c r="A313" s="26">
        <v>279</v>
      </c>
      <c r="B313" s="26">
        <f t="shared" si="10"/>
        <v>39</v>
      </c>
      <c r="C313" s="26">
        <f t="shared" si="11"/>
        <v>6</v>
      </c>
      <c r="D313" s="112" cm="1">
        <f t="array" ref="D313">INDEX('Oth-2'!$B$2:$H$88,1+B313,C313)</f>
        <v>0</v>
      </c>
    </row>
    <row r="314" spans="1:4" x14ac:dyDescent="0.75">
      <c r="A314" s="26">
        <v>280</v>
      </c>
      <c r="B314" s="26">
        <f t="shared" si="10"/>
        <v>39</v>
      </c>
      <c r="C314" s="26">
        <f t="shared" si="11"/>
        <v>7</v>
      </c>
      <c r="D314" s="112" cm="1">
        <f t="array" ref="D314">INDEX('Oth-2'!$B$2:$H$88,1+B314,C314)</f>
        <v>0</v>
      </c>
    </row>
    <row r="315" spans="1:4" x14ac:dyDescent="0.75">
      <c r="A315" s="26">
        <v>281</v>
      </c>
      <c r="B315" s="26">
        <f t="shared" si="10"/>
        <v>40</v>
      </c>
      <c r="C315" s="26">
        <f t="shared" si="11"/>
        <v>1</v>
      </c>
      <c r="D315" s="112" cm="1">
        <f t="array" ref="D315">INDEX('Oth-2'!$B$2:$H$88,1+B315,C315)</f>
        <v>0</v>
      </c>
    </row>
    <row r="316" spans="1:4" x14ac:dyDescent="0.75">
      <c r="A316" s="26">
        <v>282</v>
      </c>
      <c r="B316" s="26">
        <f t="shared" si="10"/>
        <v>40</v>
      </c>
      <c r="C316" s="26">
        <f t="shared" si="11"/>
        <v>2</v>
      </c>
      <c r="D316" s="112" cm="1">
        <f t="array" ref="D316">INDEX('Oth-2'!$B$2:$H$88,1+B316,C316)</f>
        <v>0</v>
      </c>
    </row>
    <row r="317" spans="1:4" x14ac:dyDescent="0.75">
      <c r="A317" s="26">
        <v>283</v>
      </c>
      <c r="B317" s="26">
        <f t="shared" si="10"/>
        <v>40</v>
      </c>
      <c r="C317" s="26">
        <f t="shared" si="11"/>
        <v>3</v>
      </c>
      <c r="D317" s="112" cm="1">
        <f t="array" ref="D317">INDEX('Oth-2'!$B$2:$H$88,1+B317,C317)</f>
        <v>0</v>
      </c>
    </row>
    <row r="318" spans="1:4" x14ac:dyDescent="0.75">
      <c r="A318" s="26">
        <v>284</v>
      </c>
      <c r="B318" s="26">
        <f t="shared" si="10"/>
        <v>40</v>
      </c>
      <c r="C318" s="26">
        <f t="shared" si="11"/>
        <v>4</v>
      </c>
      <c r="D318" s="112" cm="1">
        <f t="array" ref="D318">INDEX('Oth-2'!$B$2:$H$88,1+B318,C318)</f>
        <v>0</v>
      </c>
    </row>
    <row r="319" spans="1:4" x14ac:dyDescent="0.75">
      <c r="A319" s="26">
        <v>285</v>
      </c>
      <c r="B319" s="26">
        <f t="shared" si="10"/>
        <v>40</v>
      </c>
      <c r="C319" s="26">
        <f t="shared" si="11"/>
        <v>5</v>
      </c>
      <c r="D319" s="112" cm="1">
        <f t="array" ref="D319">INDEX('Oth-2'!$B$2:$H$88,1+B319,C319)</f>
        <v>0</v>
      </c>
    </row>
    <row r="320" spans="1:4" x14ac:dyDescent="0.75">
      <c r="A320" s="26">
        <v>286</v>
      </c>
      <c r="B320" s="26">
        <f t="shared" si="10"/>
        <v>40</v>
      </c>
      <c r="C320" s="26">
        <f t="shared" si="11"/>
        <v>6</v>
      </c>
      <c r="D320" s="112" cm="1">
        <f t="array" ref="D320">INDEX('Oth-2'!$B$2:$H$88,1+B320,C320)</f>
        <v>0</v>
      </c>
    </row>
    <row r="321" spans="1:4" x14ac:dyDescent="0.75">
      <c r="A321" s="26">
        <v>287</v>
      </c>
      <c r="B321" s="26">
        <f t="shared" si="10"/>
        <v>40</v>
      </c>
      <c r="C321" s="26">
        <f t="shared" si="11"/>
        <v>7</v>
      </c>
      <c r="D321" s="112" cm="1">
        <f t="array" ref="D321">INDEX('Oth-2'!$B$2:$H$88,1+B321,C321)</f>
        <v>0</v>
      </c>
    </row>
    <row r="322" spans="1:4" x14ac:dyDescent="0.75">
      <c r="A322" s="26">
        <v>288</v>
      </c>
      <c r="B322" s="26">
        <f t="shared" si="10"/>
        <v>41</v>
      </c>
      <c r="C322" s="26">
        <f t="shared" si="11"/>
        <v>1</v>
      </c>
      <c r="D322" s="112" cm="1">
        <f t="array" ref="D322">INDEX('Oth-2'!$B$2:$H$88,1+B322,C322)</f>
        <v>0</v>
      </c>
    </row>
    <row r="323" spans="1:4" x14ac:dyDescent="0.75">
      <c r="A323" s="26">
        <v>289</v>
      </c>
      <c r="B323" s="26">
        <f t="shared" si="10"/>
        <v>41</v>
      </c>
      <c r="C323" s="26">
        <f t="shared" si="11"/>
        <v>2</v>
      </c>
      <c r="D323" s="112" cm="1">
        <f t="array" ref="D323">INDEX('Oth-2'!$B$2:$H$88,1+B323,C323)</f>
        <v>0</v>
      </c>
    </row>
    <row r="324" spans="1:4" x14ac:dyDescent="0.75">
      <c r="A324" s="26">
        <v>290</v>
      </c>
      <c r="B324" s="26">
        <f t="shared" si="10"/>
        <v>41</v>
      </c>
      <c r="C324" s="26">
        <f t="shared" si="11"/>
        <v>3</v>
      </c>
      <c r="D324" s="112" cm="1">
        <f t="array" ref="D324">INDEX('Oth-2'!$B$2:$H$88,1+B324,C324)</f>
        <v>0</v>
      </c>
    </row>
    <row r="325" spans="1:4" x14ac:dyDescent="0.75">
      <c r="A325" s="26">
        <v>291</v>
      </c>
      <c r="B325" s="26">
        <f t="shared" si="10"/>
        <v>41</v>
      </c>
      <c r="C325" s="26">
        <f t="shared" si="11"/>
        <v>4</v>
      </c>
      <c r="D325" s="112" cm="1">
        <f t="array" ref="D325">INDEX('Oth-2'!$B$2:$H$88,1+B325,C325)</f>
        <v>0</v>
      </c>
    </row>
    <row r="326" spans="1:4" x14ac:dyDescent="0.75">
      <c r="A326" s="26">
        <v>292</v>
      </c>
      <c r="B326" s="26">
        <f t="shared" si="10"/>
        <v>41</v>
      </c>
      <c r="C326" s="26">
        <f t="shared" si="11"/>
        <v>5</v>
      </c>
      <c r="D326" s="112" cm="1">
        <f t="array" ref="D326">INDEX('Oth-2'!$B$2:$H$88,1+B326,C326)</f>
        <v>0</v>
      </c>
    </row>
    <row r="327" spans="1:4" x14ac:dyDescent="0.75">
      <c r="A327" s="26">
        <v>293</v>
      </c>
      <c r="B327" s="26">
        <f t="shared" si="10"/>
        <v>41</v>
      </c>
      <c r="C327" s="26">
        <f t="shared" si="11"/>
        <v>6</v>
      </c>
      <c r="D327" s="112" cm="1">
        <f t="array" ref="D327">INDEX('Oth-2'!$B$2:$H$88,1+B327,C327)</f>
        <v>0</v>
      </c>
    </row>
    <row r="328" spans="1:4" x14ac:dyDescent="0.75">
      <c r="A328" s="26">
        <v>294</v>
      </c>
      <c r="B328" s="26">
        <f t="shared" si="10"/>
        <v>41</v>
      </c>
      <c r="C328" s="26">
        <f t="shared" si="11"/>
        <v>7</v>
      </c>
      <c r="D328" s="112" cm="1">
        <f t="array" ref="D328">INDEX('Oth-2'!$B$2:$H$88,1+B328,C328)</f>
        <v>0</v>
      </c>
    </row>
    <row r="329" spans="1:4" x14ac:dyDescent="0.75">
      <c r="A329" s="26">
        <v>295</v>
      </c>
      <c r="B329" s="26">
        <f t="shared" si="10"/>
        <v>42</v>
      </c>
      <c r="C329" s="26">
        <f t="shared" si="11"/>
        <v>1</v>
      </c>
      <c r="D329" s="112" cm="1">
        <f t="array" ref="D329">INDEX('Oth-2'!$B$2:$H$88,1+B329,C329)</f>
        <v>0</v>
      </c>
    </row>
    <row r="330" spans="1:4" x14ac:dyDescent="0.75">
      <c r="A330" s="26">
        <v>296</v>
      </c>
      <c r="B330" s="26">
        <f t="shared" si="10"/>
        <v>42</v>
      </c>
      <c r="C330" s="26">
        <f t="shared" si="11"/>
        <v>2</v>
      </c>
      <c r="D330" s="112" cm="1">
        <f t="array" ref="D330">INDEX('Oth-2'!$B$2:$H$88,1+B330,C330)</f>
        <v>0</v>
      </c>
    </row>
    <row r="331" spans="1:4" x14ac:dyDescent="0.75">
      <c r="A331" s="26">
        <v>297</v>
      </c>
      <c r="B331" s="26">
        <f t="shared" si="10"/>
        <v>42</v>
      </c>
      <c r="C331" s="26">
        <f t="shared" si="11"/>
        <v>3</v>
      </c>
      <c r="D331" s="112" cm="1">
        <f t="array" ref="D331">INDEX('Oth-2'!$B$2:$H$88,1+B331,C331)</f>
        <v>0</v>
      </c>
    </row>
    <row r="332" spans="1:4" x14ac:dyDescent="0.75">
      <c r="A332" s="26">
        <v>298</v>
      </c>
      <c r="B332" s="26">
        <f t="shared" si="10"/>
        <v>42</v>
      </c>
      <c r="C332" s="26">
        <f t="shared" si="11"/>
        <v>4</v>
      </c>
      <c r="D332" s="112" cm="1">
        <f t="array" ref="D332">INDEX('Oth-2'!$B$2:$H$88,1+B332,C332)</f>
        <v>0</v>
      </c>
    </row>
    <row r="333" spans="1:4" x14ac:dyDescent="0.75">
      <c r="A333" s="26">
        <v>299</v>
      </c>
      <c r="B333" s="26">
        <f t="shared" si="10"/>
        <v>42</v>
      </c>
      <c r="C333" s="26">
        <f t="shared" si="11"/>
        <v>5</v>
      </c>
      <c r="D333" s="112" cm="1">
        <f t="array" ref="D333">INDEX('Oth-2'!$B$2:$H$88,1+B333,C333)</f>
        <v>0</v>
      </c>
    </row>
    <row r="334" spans="1:4" x14ac:dyDescent="0.75">
      <c r="A334" s="26">
        <v>300</v>
      </c>
      <c r="B334" s="26">
        <f t="shared" si="10"/>
        <v>42</v>
      </c>
      <c r="C334" s="26">
        <f t="shared" si="11"/>
        <v>6</v>
      </c>
      <c r="D334" s="112" cm="1">
        <f t="array" ref="D334">INDEX('Oth-2'!$B$2:$H$88,1+B334,C334)</f>
        <v>0</v>
      </c>
    </row>
    <row r="335" spans="1:4" x14ac:dyDescent="0.75">
      <c r="A335" s="26">
        <v>301</v>
      </c>
      <c r="B335" s="26">
        <f t="shared" si="10"/>
        <v>42</v>
      </c>
      <c r="C335" s="26">
        <f t="shared" si="11"/>
        <v>7</v>
      </c>
      <c r="D335" s="112" cm="1">
        <f t="array" ref="D335">INDEX('Oth-2'!$B$2:$H$88,1+B335,C335)</f>
        <v>0</v>
      </c>
    </row>
    <row r="336" spans="1:4" x14ac:dyDescent="0.75">
      <c r="A336" s="26">
        <v>302</v>
      </c>
      <c r="B336" s="26">
        <f t="shared" si="10"/>
        <v>43</v>
      </c>
      <c r="C336" s="26">
        <f t="shared" si="11"/>
        <v>1</v>
      </c>
      <c r="D336" s="112" cm="1">
        <f t="array" ref="D336">INDEX('Oth-2'!$B$2:$H$88,1+B336,C336)</f>
        <v>0</v>
      </c>
    </row>
    <row r="337" spans="1:4" x14ac:dyDescent="0.75">
      <c r="A337" s="26">
        <v>303</v>
      </c>
      <c r="B337" s="26">
        <f t="shared" si="10"/>
        <v>43</v>
      </c>
      <c r="C337" s="26">
        <f t="shared" si="11"/>
        <v>2</v>
      </c>
      <c r="D337" s="112" cm="1">
        <f t="array" ref="D337">INDEX('Oth-2'!$B$2:$H$88,1+B337,C337)</f>
        <v>0</v>
      </c>
    </row>
    <row r="338" spans="1:4" x14ac:dyDescent="0.75">
      <c r="A338" s="26">
        <v>304</v>
      </c>
      <c r="B338" s="26">
        <f t="shared" si="10"/>
        <v>43</v>
      </c>
      <c r="C338" s="26">
        <f t="shared" si="11"/>
        <v>3</v>
      </c>
      <c r="D338" s="112" cm="1">
        <f t="array" ref="D338">INDEX('Oth-2'!$B$2:$H$88,1+B338,C338)</f>
        <v>0</v>
      </c>
    </row>
    <row r="339" spans="1:4" x14ac:dyDescent="0.75">
      <c r="A339" s="26">
        <v>305</v>
      </c>
      <c r="B339" s="26">
        <f t="shared" si="10"/>
        <v>43</v>
      </c>
      <c r="C339" s="26">
        <f t="shared" si="11"/>
        <v>4</v>
      </c>
      <c r="D339" s="112" cm="1">
        <f t="array" ref="D339">INDEX('Oth-2'!$B$2:$H$88,1+B339,C339)</f>
        <v>0</v>
      </c>
    </row>
    <row r="340" spans="1:4" x14ac:dyDescent="0.75">
      <c r="A340" s="26">
        <v>306</v>
      </c>
      <c r="B340" s="26">
        <f t="shared" si="10"/>
        <v>43</v>
      </c>
      <c r="C340" s="26">
        <f t="shared" si="11"/>
        <v>5</v>
      </c>
      <c r="D340" s="112" cm="1">
        <f t="array" ref="D340">INDEX('Oth-2'!$B$2:$H$88,1+B340,C340)</f>
        <v>0</v>
      </c>
    </row>
    <row r="341" spans="1:4" x14ac:dyDescent="0.75">
      <c r="A341" s="26">
        <v>307</v>
      </c>
      <c r="B341" s="26">
        <f t="shared" si="10"/>
        <v>43</v>
      </c>
      <c r="C341" s="26">
        <f t="shared" si="11"/>
        <v>6</v>
      </c>
      <c r="D341" s="112" cm="1">
        <f t="array" ref="D341">INDEX('Oth-2'!$B$2:$H$88,1+B341,C341)</f>
        <v>0</v>
      </c>
    </row>
    <row r="342" spans="1:4" x14ac:dyDescent="0.75">
      <c r="A342" s="26">
        <v>308</v>
      </c>
      <c r="B342" s="26">
        <f t="shared" si="10"/>
        <v>43</v>
      </c>
      <c r="C342" s="26">
        <f t="shared" si="11"/>
        <v>7</v>
      </c>
      <c r="D342" s="112" cm="1">
        <f t="array" ref="D342">INDEX('Oth-2'!$B$2:$H$88,1+B342,C342)</f>
        <v>0</v>
      </c>
    </row>
    <row r="343" spans="1:4" x14ac:dyDescent="0.75">
      <c r="A343" s="26">
        <v>309</v>
      </c>
      <c r="B343" s="26">
        <f t="shared" si="10"/>
        <v>44</v>
      </c>
      <c r="C343" s="26">
        <f t="shared" si="11"/>
        <v>1</v>
      </c>
      <c r="D343" s="112" cm="1">
        <f t="array" ref="D343">INDEX('Oth-2'!$B$2:$H$88,1+B343,C343)</f>
        <v>0</v>
      </c>
    </row>
    <row r="344" spans="1:4" x14ac:dyDescent="0.75">
      <c r="A344" s="26">
        <v>310</v>
      </c>
      <c r="B344" s="26">
        <f t="shared" si="10"/>
        <v>44</v>
      </c>
      <c r="C344" s="26">
        <f t="shared" si="11"/>
        <v>2</v>
      </c>
      <c r="D344" s="112" cm="1">
        <f t="array" ref="D344">INDEX('Oth-2'!$B$2:$H$88,1+B344,C344)</f>
        <v>0</v>
      </c>
    </row>
    <row r="345" spans="1:4" x14ac:dyDescent="0.75">
      <c r="A345" s="26">
        <v>311</v>
      </c>
      <c r="B345" s="26">
        <f t="shared" si="10"/>
        <v>44</v>
      </c>
      <c r="C345" s="26">
        <f t="shared" si="11"/>
        <v>3</v>
      </c>
      <c r="D345" s="112" cm="1">
        <f t="array" ref="D345">INDEX('Oth-2'!$B$2:$H$88,1+B345,C345)</f>
        <v>0</v>
      </c>
    </row>
    <row r="346" spans="1:4" x14ac:dyDescent="0.75">
      <c r="A346" s="26">
        <v>312</v>
      </c>
      <c r="B346" s="26">
        <f t="shared" si="10"/>
        <v>44</v>
      </c>
      <c r="C346" s="26">
        <f t="shared" si="11"/>
        <v>4</v>
      </c>
      <c r="D346" s="112" cm="1">
        <f t="array" ref="D346">INDEX('Oth-2'!$B$2:$H$88,1+B346,C346)</f>
        <v>0</v>
      </c>
    </row>
    <row r="347" spans="1:4" x14ac:dyDescent="0.75">
      <c r="A347" s="26">
        <v>313</v>
      </c>
      <c r="B347" s="26">
        <f t="shared" si="10"/>
        <v>44</v>
      </c>
      <c r="C347" s="26">
        <f t="shared" si="11"/>
        <v>5</v>
      </c>
      <c r="D347" s="112" cm="1">
        <f t="array" ref="D347">INDEX('Oth-2'!$B$2:$H$88,1+B347,C347)</f>
        <v>0</v>
      </c>
    </row>
    <row r="348" spans="1:4" x14ac:dyDescent="0.75">
      <c r="A348" s="26">
        <v>314</v>
      </c>
      <c r="B348" s="26">
        <f t="shared" si="10"/>
        <v>44</v>
      </c>
      <c r="C348" s="26">
        <f t="shared" si="11"/>
        <v>6</v>
      </c>
      <c r="D348" s="112" cm="1">
        <f t="array" ref="D348">INDEX('Oth-2'!$B$2:$H$88,1+B348,C348)</f>
        <v>0</v>
      </c>
    </row>
    <row r="349" spans="1:4" x14ac:dyDescent="0.75">
      <c r="A349" s="26">
        <v>315</v>
      </c>
      <c r="B349" s="26">
        <f t="shared" si="10"/>
        <v>44</v>
      </c>
      <c r="C349" s="26">
        <f t="shared" si="11"/>
        <v>7</v>
      </c>
      <c r="D349" s="112" cm="1">
        <f t="array" ref="D349">INDEX('Oth-2'!$B$2:$H$88,1+B349,C349)</f>
        <v>0</v>
      </c>
    </row>
    <row r="350" spans="1:4" x14ac:dyDescent="0.75">
      <c r="A350" s="26">
        <v>316</v>
      </c>
      <c r="B350" s="26">
        <f t="shared" si="10"/>
        <v>45</v>
      </c>
      <c r="C350" s="26">
        <f t="shared" si="11"/>
        <v>1</v>
      </c>
      <c r="D350" s="112" cm="1">
        <f t="array" ref="D350">INDEX('Oth-2'!$B$2:$H$88,1+B350,C350)</f>
        <v>0</v>
      </c>
    </row>
    <row r="351" spans="1:4" x14ac:dyDescent="0.75">
      <c r="A351" s="26">
        <v>317</v>
      </c>
      <c r="B351" s="26">
        <f t="shared" si="10"/>
        <v>45</v>
      </c>
      <c r="C351" s="26">
        <f t="shared" si="11"/>
        <v>2</v>
      </c>
      <c r="D351" s="112" cm="1">
        <f t="array" ref="D351">INDEX('Oth-2'!$B$2:$H$88,1+B351,C351)</f>
        <v>0</v>
      </c>
    </row>
    <row r="352" spans="1:4" x14ac:dyDescent="0.75">
      <c r="A352" s="26">
        <v>318</v>
      </c>
      <c r="B352" s="26">
        <f t="shared" si="10"/>
        <v>45</v>
      </c>
      <c r="C352" s="26">
        <f t="shared" si="11"/>
        <v>3</v>
      </c>
      <c r="D352" s="112" cm="1">
        <f t="array" ref="D352">INDEX('Oth-2'!$B$2:$H$88,1+B352,C352)</f>
        <v>0</v>
      </c>
    </row>
    <row r="353" spans="1:4" x14ac:dyDescent="0.75">
      <c r="A353" s="26">
        <v>319</v>
      </c>
      <c r="B353" s="26">
        <f t="shared" si="10"/>
        <v>45</v>
      </c>
      <c r="C353" s="26">
        <f t="shared" si="11"/>
        <v>4</v>
      </c>
      <c r="D353" s="112" cm="1">
        <f t="array" ref="D353">INDEX('Oth-2'!$B$2:$H$88,1+B353,C353)</f>
        <v>0</v>
      </c>
    </row>
    <row r="354" spans="1:4" x14ac:dyDescent="0.75">
      <c r="A354" s="26">
        <v>320</v>
      </c>
      <c r="B354" s="26">
        <f t="shared" si="10"/>
        <v>45</v>
      </c>
      <c r="C354" s="26">
        <f t="shared" si="11"/>
        <v>5</v>
      </c>
      <c r="D354" s="112" cm="1">
        <f t="array" ref="D354">INDEX('Oth-2'!$B$2:$H$88,1+B354,C354)</f>
        <v>0</v>
      </c>
    </row>
    <row r="355" spans="1:4" x14ac:dyDescent="0.75">
      <c r="A355" s="26">
        <v>321</v>
      </c>
      <c r="B355" s="26">
        <f t="shared" si="10"/>
        <v>45</v>
      </c>
      <c r="C355" s="26">
        <f t="shared" si="11"/>
        <v>6</v>
      </c>
      <c r="D355" s="112" cm="1">
        <f t="array" ref="D355">INDEX('Oth-2'!$B$2:$H$88,1+B355,C355)</f>
        <v>0</v>
      </c>
    </row>
    <row r="356" spans="1:4" x14ac:dyDescent="0.75">
      <c r="A356" s="26">
        <v>322</v>
      </c>
      <c r="B356" s="26">
        <f t="shared" si="10"/>
        <v>45</v>
      </c>
      <c r="C356" s="26">
        <f t="shared" si="11"/>
        <v>7</v>
      </c>
      <c r="D356" s="112" cm="1">
        <f t="array" ref="D356">INDEX('Oth-2'!$B$2:$H$88,1+B356,C356)</f>
        <v>0</v>
      </c>
    </row>
    <row r="357" spans="1:4" x14ac:dyDescent="0.75">
      <c r="A357" s="26">
        <v>323</v>
      </c>
      <c r="B357" s="26">
        <f t="shared" si="10"/>
        <v>46</v>
      </c>
      <c r="C357" s="26">
        <f t="shared" si="11"/>
        <v>1</v>
      </c>
      <c r="D357" s="112" cm="1">
        <f t="array" ref="D357">INDEX('Oth-2'!$B$2:$H$88,1+B357,C357)</f>
        <v>0</v>
      </c>
    </row>
    <row r="358" spans="1:4" x14ac:dyDescent="0.75">
      <c r="A358" s="26">
        <v>324</v>
      </c>
      <c r="B358" s="26">
        <f t="shared" si="10"/>
        <v>46</v>
      </c>
      <c r="C358" s="26">
        <f t="shared" si="11"/>
        <v>2</v>
      </c>
      <c r="D358" s="112" cm="1">
        <f t="array" ref="D358">INDEX('Oth-2'!$B$2:$H$88,1+B358,C358)</f>
        <v>0</v>
      </c>
    </row>
    <row r="359" spans="1:4" x14ac:dyDescent="0.75">
      <c r="A359" s="26">
        <v>325</v>
      </c>
      <c r="B359" s="26">
        <f t="shared" si="10"/>
        <v>46</v>
      </c>
      <c r="C359" s="26">
        <f t="shared" si="11"/>
        <v>3</v>
      </c>
      <c r="D359" s="112" cm="1">
        <f t="array" ref="D359">INDEX('Oth-2'!$B$2:$H$88,1+B359,C359)</f>
        <v>0</v>
      </c>
    </row>
    <row r="360" spans="1:4" x14ac:dyDescent="0.75">
      <c r="A360" s="26">
        <v>326</v>
      </c>
      <c r="B360" s="26">
        <f t="shared" si="10"/>
        <v>46</v>
      </c>
      <c r="C360" s="26">
        <f t="shared" si="11"/>
        <v>4</v>
      </c>
      <c r="D360" s="112" cm="1">
        <f t="array" ref="D360">INDEX('Oth-2'!$B$2:$H$88,1+B360,C360)</f>
        <v>0</v>
      </c>
    </row>
    <row r="361" spans="1:4" x14ac:dyDescent="0.75">
      <c r="A361" s="26">
        <v>327</v>
      </c>
      <c r="B361" s="26">
        <f t="shared" si="10"/>
        <v>46</v>
      </c>
      <c r="C361" s="26">
        <f t="shared" si="11"/>
        <v>5</v>
      </c>
      <c r="D361" s="112" cm="1">
        <f t="array" ref="D361">INDEX('Oth-2'!$B$2:$H$88,1+B361,C361)</f>
        <v>0</v>
      </c>
    </row>
    <row r="362" spans="1:4" x14ac:dyDescent="0.75">
      <c r="A362" s="26">
        <v>328</v>
      </c>
      <c r="B362" s="26">
        <f t="shared" ref="B362:B405" si="12">IF(MOD(A362,7)=0,A362/7-1,INT(A362/7))</f>
        <v>46</v>
      </c>
      <c r="C362" s="26">
        <f t="shared" ref="C362:C405" si="13">IF(MOD(A362,7)=0,7,MOD(A362,7))</f>
        <v>6</v>
      </c>
      <c r="D362" s="112" cm="1">
        <f t="array" ref="D362">INDEX('Oth-2'!$B$2:$H$88,1+B362,C362)</f>
        <v>0</v>
      </c>
    </row>
    <row r="363" spans="1:4" x14ac:dyDescent="0.75">
      <c r="A363" s="26">
        <v>329</v>
      </c>
      <c r="B363" s="26">
        <f t="shared" si="12"/>
        <v>46</v>
      </c>
      <c r="C363" s="26">
        <f t="shared" si="13"/>
        <v>7</v>
      </c>
      <c r="D363" s="112" cm="1">
        <f t="array" ref="D363">INDEX('Oth-2'!$B$2:$H$88,1+B363,C363)</f>
        <v>0</v>
      </c>
    </row>
    <row r="364" spans="1:4" x14ac:dyDescent="0.75">
      <c r="A364" s="26">
        <v>330</v>
      </c>
      <c r="B364" s="26">
        <f t="shared" si="12"/>
        <v>47</v>
      </c>
      <c r="C364" s="26">
        <f t="shared" si="13"/>
        <v>1</v>
      </c>
      <c r="D364" s="112" cm="1">
        <f t="array" ref="D364">INDEX('Oth-2'!$B$2:$H$88,1+B364,C364)</f>
        <v>0</v>
      </c>
    </row>
    <row r="365" spans="1:4" x14ac:dyDescent="0.75">
      <c r="A365" s="26">
        <v>331</v>
      </c>
      <c r="B365" s="26">
        <f t="shared" si="12"/>
        <v>47</v>
      </c>
      <c r="C365" s="26">
        <f t="shared" si="13"/>
        <v>2</v>
      </c>
      <c r="D365" s="112" cm="1">
        <f t="array" ref="D365">INDEX('Oth-2'!$B$2:$H$88,1+B365,C365)</f>
        <v>0</v>
      </c>
    </row>
    <row r="366" spans="1:4" x14ac:dyDescent="0.75">
      <c r="A366" s="26">
        <v>332</v>
      </c>
      <c r="B366" s="26">
        <f t="shared" si="12"/>
        <v>47</v>
      </c>
      <c r="C366" s="26">
        <f t="shared" si="13"/>
        <v>3</v>
      </c>
      <c r="D366" s="112" cm="1">
        <f t="array" ref="D366">INDEX('Oth-2'!$B$2:$H$88,1+B366,C366)</f>
        <v>0</v>
      </c>
    </row>
    <row r="367" spans="1:4" x14ac:dyDescent="0.75">
      <c r="A367" s="26">
        <v>333</v>
      </c>
      <c r="B367" s="26">
        <f t="shared" si="12"/>
        <v>47</v>
      </c>
      <c r="C367" s="26">
        <f t="shared" si="13"/>
        <v>4</v>
      </c>
      <c r="D367" s="112" cm="1">
        <f t="array" ref="D367">INDEX('Oth-2'!$B$2:$H$88,1+B367,C367)</f>
        <v>0</v>
      </c>
    </row>
    <row r="368" spans="1:4" x14ac:dyDescent="0.75">
      <c r="A368" s="26">
        <v>334</v>
      </c>
      <c r="B368" s="26">
        <f t="shared" si="12"/>
        <v>47</v>
      </c>
      <c r="C368" s="26">
        <f t="shared" si="13"/>
        <v>5</v>
      </c>
      <c r="D368" s="112" cm="1">
        <f t="array" ref="D368">INDEX('Oth-2'!$B$2:$H$88,1+B368,C368)</f>
        <v>0</v>
      </c>
    </row>
    <row r="369" spans="1:4" x14ac:dyDescent="0.75">
      <c r="A369" s="26">
        <v>335</v>
      </c>
      <c r="B369" s="26">
        <f t="shared" si="12"/>
        <v>47</v>
      </c>
      <c r="C369" s="26">
        <f t="shared" si="13"/>
        <v>6</v>
      </c>
      <c r="D369" s="112" cm="1">
        <f t="array" ref="D369">INDEX('Oth-2'!$B$2:$H$88,1+B369,C369)</f>
        <v>0</v>
      </c>
    </row>
    <row r="370" spans="1:4" x14ac:dyDescent="0.75">
      <c r="A370" s="26">
        <v>336</v>
      </c>
      <c r="B370" s="26">
        <f t="shared" si="12"/>
        <v>47</v>
      </c>
      <c r="C370" s="26">
        <f t="shared" si="13"/>
        <v>7</v>
      </c>
      <c r="D370" s="112" cm="1">
        <f t="array" ref="D370">INDEX('Oth-2'!$B$2:$H$88,1+B370,C370)</f>
        <v>0</v>
      </c>
    </row>
    <row r="371" spans="1:4" x14ac:dyDescent="0.75">
      <c r="A371" s="26">
        <v>337</v>
      </c>
      <c r="B371" s="26">
        <f t="shared" si="12"/>
        <v>48</v>
      </c>
      <c r="C371" s="26">
        <f t="shared" si="13"/>
        <v>1</v>
      </c>
      <c r="D371" s="112" cm="1">
        <f t="array" ref="D371">INDEX('Oth-2'!$B$2:$H$88,1+B371,C371)</f>
        <v>0</v>
      </c>
    </row>
    <row r="372" spans="1:4" x14ac:dyDescent="0.75">
      <c r="A372" s="26">
        <v>338</v>
      </c>
      <c r="B372" s="26">
        <f t="shared" si="12"/>
        <v>48</v>
      </c>
      <c r="C372" s="26">
        <f t="shared" si="13"/>
        <v>2</v>
      </c>
      <c r="D372" s="112" cm="1">
        <f t="array" ref="D372">INDEX('Oth-2'!$B$2:$H$88,1+B372,C372)</f>
        <v>0</v>
      </c>
    </row>
    <row r="373" spans="1:4" x14ac:dyDescent="0.75">
      <c r="A373" s="26">
        <v>339</v>
      </c>
      <c r="B373" s="26">
        <f t="shared" si="12"/>
        <v>48</v>
      </c>
      <c r="C373" s="26">
        <f t="shared" si="13"/>
        <v>3</v>
      </c>
      <c r="D373" s="112" cm="1">
        <f t="array" ref="D373">INDEX('Oth-2'!$B$2:$H$88,1+B373,C373)</f>
        <v>0</v>
      </c>
    </row>
    <row r="374" spans="1:4" x14ac:dyDescent="0.75">
      <c r="A374" s="26">
        <v>340</v>
      </c>
      <c r="B374" s="26">
        <f t="shared" si="12"/>
        <v>48</v>
      </c>
      <c r="C374" s="26">
        <f t="shared" si="13"/>
        <v>4</v>
      </c>
      <c r="D374" s="112" cm="1">
        <f t="array" ref="D374">INDEX('Oth-2'!$B$2:$H$88,1+B374,C374)</f>
        <v>0</v>
      </c>
    </row>
    <row r="375" spans="1:4" x14ac:dyDescent="0.75">
      <c r="A375" s="26">
        <v>341</v>
      </c>
      <c r="B375" s="26">
        <f t="shared" si="12"/>
        <v>48</v>
      </c>
      <c r="C375" s="26">
        <f t="shared" si="13"/>
        <v>5</v>
      </c>
      <c r="D375" s="112" cm="1">
        <f t="array" ref="D375">INDEX('Oth-2'!$B$2:$H$88,1+B375,C375)</f>
        <v>0</v>
      </c>
    </row>
    <row r="376" spans="1:4" x14ac:dyDescent="0.75">
      <c r="A376" s="26">
        <v>342</v>
      </c>
      <c r="B376" s="26">
        <f t="shared" si="12"/>
        <v>48</v>
      </c>
      <c r="C376" s="26">
        <f t="shared" si="13"/>
        <v>6</v>
      </c>
      <c r="D376" s="112" cm="1">
        <f t="array" ref="D376">INDEX('Oth-2'!$B$2:$H$88,1+B376,C376)</f>
        <v>0</v>
      </c>
    </row>
    <row r="377" spans="1:4" x14ac:dyDescent="0.75">
      <c r="A377" s="26">
        <v>343</v>
      </c>
      <c r="B377" s="26">
        <f t="shared" si="12"/>
        <v>48</v>
      </c>
      <c r="C377" s="26">
        <f t="shared" si="13"/>
        <v>7</v>
      </c>
      <c r="D377" s="112" cm="1">
        <f t="array" ref="D377">INDEX('Oth-2'!$B$2:$H$88,1+B377,C377)</f>
        <v>0</v>
      </c>
    </row>
    <row r="378" spans="1:4" x14ac:dyDescent="0.75">
      <c r="A378" s="26">
        <v>344</v>
      </c>
      <c r="B378" s="26">
        <f t="shared" si="12"/>
        <v>49</v>
      </c>
      <c r="C378" s="26">
        <f t="shared" si="13"/>
        <v>1</v>
      </c>
      <c r="D378" s="112" cm="1">
        <f t="array" ref="D378">INDEX('Oth-2'!$B$2:$H$88,1+B378,C378)</f>
        <v>0</v>
      </c>
    </row>
    <row r="379" spans="1:4" x14ac:dyDescent="0.75">
      <c r="A379" s="26">
        <v>345</v>
      </c>
      <c r="B379" s="26">
        <f t="shared" si="12"/>
        <v>49</v>
      </c>
      <c r="C379" s="26">
        <f t="shared" si="13"/>
        <v>2</v>
      </c>
      <c r="D379" s="112" cm="1">
        <f t="array" ref="D379">INDEX('Oth-2'!$B$2:$H$88,1+B379,C379)</f>
        <v>0</v>
      </c>
    </row>
    <row r="380" spans="1:4" x14ac:dyDescent="0.75">
      <c r="A380" s="26">
        <v>346</v>
      </c>
      <c r="B380" s="26">
        <f t="shared" si="12"/>
        <v>49</v>
      </c>
      <c r="C380" s="26">
        <f t="shared" si="13"/>
        <v>3</v>
      </c>
      <c r="D380" s="112" cm="1">
        <f t="array" ref="D380">INDEX('Oth-2'!$B$2:$H$88,1+B380,C380)</f>
        <v>0</v>
      </c>
    </row>
    <row r="381" spans="1:4" x14ac:dyDescent="0.75">
      <c r="A381" s="26">
        <v>347</v>
      </c>
      <c r="B381" s="26">
        <f t="shared" si="12"/>
        <v>49</v>
      </c>
      <c r="C381" s="26">
        <f t="shared" si="13"/>
        <v>4</v>
      </c>
      <c r="D381" s="112" cm="1">
        <f t="array" ref="D381">INDEX('Oth-2'!$B$2:$H$88,1+B381,C381)</f>
        <v>0</v>
      </c>
    </row>
    <row r="382" spans="1:4" x14ac:dyDescent="0.75">
      <c r="A382" s="26">
        <v>348</v>
      </c>
      <c r="B382" s="26">
        <f t="shared" si="12"/>
        <v>49</v>
      </c>
      <c r="C382" s="26">
        <f t="shared" si="13"/>
        <v>5</v>
      </c>
      <c r="D382" s="112" cm="1">
        <f t="array" ref="D382">INDEX('Oth-2'!$B$2:$H$88,1+B382,C382)</f>
        <v>0</v>
      </c>
    </row>
    <row r="383" spans="1:4" x14ac:dyDescent="0.75">
      <c r="A383" s="26">
        <v>349</v>
      </c>
      <c r="B383" s="26">
        <f t="shared" si="12"/>
        <v>49</v>
      </c>
      <c r="C383" s="26">
        <f t="shared" si="13"/>
        <v>6</v>
      </c>
      <c r="D383" s="112" cm="1">
        <f t="array" ref="D383">INDEX('Oth-2'!$B$2:$H$88,1+B383,C383)</f>
        <v>0</v>
      </c>
    </row>
    <row r="384" spans="1:4" x14ac:dyDescent="0.75">
      <c r="A384" s="26">
        <v>350</v>
      </c>
      <c r="B384" s="26">
        <f t="shared" si="12"/>
        <v>49</v>
      </c>
      <c r="C384" s="26">
        <f t="shared" si="13"/>
        <v>7</v>
      </c>
      <c r="D384" s="112" cm="1">
        <f t="array" ref="D384">INDEX('Oth-2'!$B$2:$H$88,1+B384,C384)</f>
        <v>0</v>
      </c>
    </row>
    <row r="385" spans="1:4" x14ac:dyDescent="0.75">
      <c r="A385" s="26">
        <v>351</v>
      </c>
      <c r="B385" s="26">
        <f t="shared" si="12"/>
        <v>50</v>
      </c>
      <c r="C385" s="26">
        <f t="shared" si="13"/>
        <v>1</v>
      </c>
      <c r="D385" s="112" cm="1">
        <f t="array" ref="D385">INDEX('Oth-2'!$B$2:$H$88,1+B385,C385)</f>
        <v>0</v>
      </c>
    </row>
    <row r="386" spans="1:4" x14ac:dyDescent="0.75">
      <c r="A386" s="26">
        <v>352</v>
      </c>
      <c r="B386" s="26">
        <f t="shared" si="12"/>
        <v>50</v>
      </c>
      <c r="C386" s="26">
        <f t="shared" si="13"/>
        <v>2</v>
      </c>
      <c r="D386" s="112" cm="1">
        <f t="array" ref="D386">INDEX('Oth-2'!$B$2:$H$88,1+B386,C386)</f>
        <v>0</v>
      </c>
    </row>
    <row r="387" spans="1:4" x14ac:dyDescent="0.75">
      <c r="A387" s="26">
        <v>353</v>
      </c>
      <c r="B387" s="26">
        <f t="shared" si="12"/>
        <v>50</v>
      </c>
      <c r="C387" s="26">
        <f t="shared" si="13"/>
        <v>3</v>
      </c>
      <c r="D387" s="112" cm="1">
        <f t="array" ref="D387">INDEX('Oth-2'!$B$2:$H$88,1+B387,C387)</f>
        <v>0</v>
      </c>
    </row>
    <row r="388" spans="1:4" x14ac:dyDescent="0.75">
      <c r="A388" s="26">
        <v>354</v>
      </c>
      <c r="B388" s="26">
        <f t="shared" si="12"/>
        <v>50</v>
      </c>
      <c r="C388" s="26">
        <f t="shared" si="13"/>
        <v>4</v>
      </c>
      <c r="D388" s="112" cm="1">
        <f t="array" ref="D388">INDEX('Oth-2'!$B$2:$H$88,1+B388,C388)</f>
        <v>0</v>
      </c>
    </row>
    <row r="389" spans="1:4" x14ac:dyDescent="0.75">
      <c r="A389" s="26">
        <v>355</v>
      </c>
      <c r="B389" s="26">
        <f t="shared" si="12"/>
        <v>50</v>
      </c>
      <c r="C389" s="26">
        <f t="shared" si="13"/>
        <v>5</v>
      </c>
      <c r="D389" s="112" cm="1">
        <f t="array" ref="D389">INDEX('Oth-2'!$B$2:$H$88,1+B389,C389)</f>
        <v>0</v>
      </c>
    </row>
    <row r="390" spans="1:4" x14ac:dyDescent="0.75">
      <c r="A390" s="26">
        <v>356</v>
      </c>
      <c r="B390" s="26">
        <f t="shared" si="12"/>
        <v>50</v>
      </c>
      <c r="C390" s="26">
        <f t="shared" si="13"/>
        <v>6</v>
      </c>
      <c r="D390" s="112" cm="1">
        <f t="array" ref="D390">INDEX('Oth-2'!$B$2:$H$88,1+B390,C390)</f>
        <v>0</v>
      </c>
    </row>
    <row r="391" spans="1:4" x14ac:dyDescent="0.75">
      <c r="A391" s="26">
        <v>357</v>
      </c>
      <c r="B391" s="26">
        <f t="shared" si="12"/>
        <v>50</v>
      </c>
      <c r="C391" s="26">
        <f t="shared" si="13"/>
        <v>7</v>
      </c>
      <c r="D391" s="112" cm="1">
        <f t="array" ref="D391">INDEX('Oth-2'!$B$2:$H$88,1+B391,C391)</f>
        <v>0</v>
      </c>
    </row>
    <row r="392" spans="1:4" x14ac:dyDescent="0.75">
      <c r="A392" s="26">
        <v>358</v>
      </c>
      <c r="B392" s="26">
        <f t="shared" si="12"/>
        <v>51</v>
      </c>
      <c r="C392" s="26">
        <f t="shared" si="13"/>
        <v>1</v>
      </c>
      <c r="D392" s="112" cm="1">
        <f t="array" ref="D392">INDEX('Oth-2'!$B$2:$H$88,1+B392,C392)</f>
        <v>0</v>
      </c>
    </row>
    <row r="393" spans="1:4" x14ac:dyDescent="0.75">
      <c r="A393" s="26">
        <v>359</v>
      </c>
      <c r="B393" s="26">
        <f t="shared" si="12"/>
        <v>51</v>
      </c>
      <c r="C393" s="26">
        <f t="shared" si="13"/>
        <v>2</v>
      </c>
      <c r="D393" s="112" cm="1">
        <f t="array" ref="D393">INDEX('Oth-2'!$B$2:$H$88,1+B393,C393)</f>
        <v>0</v>
      </c>
    </row>
    <row r="394" spans="1:4" x14ac:dyDescent="0.75">
      <c r="A394" s="26">
        <v>360</v>
      </c>
      <c r="B394" s="26">
        <f t="shared" si="12"/>
        <v>51</v>
      </c>
      <c r="C394" s="26">
        <f t="shared" si="13"/>
        <v>3</v>
      </c>
      <c r="D394" s="112" cm="1">
        <f t="array" ref="D394">INDEX('Oth-2'!$B$2:$H$88,1+B394,C394)</f>
        <v>0</v>
      </c>
    </row>
    <row r="395" spans="1:4" x14ac:dyDescent="0.75">
      <c r="A395" s="26">
        <v>361</v>
      </c>
      <c r="B395" s="26">
        <f t="shared" si="12"/>
        <v>51</v>
      </c>
      <c r="C395" s="26">
        <f t="shared" si="13"/>
        <v>4</v>
      </c>
      <c r="D395" s="112" cm="1">
        <f t="array" ref="D395">INDEX('Oth-2'!$B$2:$H$88,1+B395,C395)</f>
        <v>0</v>
      </c>
    </row>
    <row r="396" spans="1:4" x14ac:dyDescent="0.75">
      <c r="A396" s="26">
        <v>362</v>
      </c>
      <c r="B396" s="26">
        <f t="shared" si="12"/>
        <v>51</v>
      </c>
      <c r="C396" s="26">
        <f t="shared" si="13"/>
        <v>5</v>
      </c>
      <c r="D396" s="112" cm="1">
        <f t="array" ref="D396">INDEX('Oth-2'!$B$2:$H$88,1+B396,C396)</f>
        <v>0</v>
      </c>
    </row>
    <row r="397" spans="1:4" x14ac:dyDescent="0.75">
      <c r="A397" s="26">
        <v>363</v>
      </c>
      <c r="B397" s="26">
        <f t="shared" si="12"/>
        <v>51</v>
      </c>
      <c r="C397" s="26">
        <f t="shared" si="13"/>
        <v>6</v>
      </c>
      <c r="D397" s="112" cm="1">
        <f t="array" ref="D397">INDEX('Oth-2'!$B$2:$H$88,1+B397,C397)</f>
        <v>0</v>
      </c>
    </row>
    <row r="398" spans="1:4" x14ac:dyDescent="0.75">
      <c r="A398" s="26">
        <v>364</v>
      </c>
      <c r="B398" s="26">
        <f t="shared" si="12"/>
        <v>51</v>
      </c>
      <c r="C398" s="26">
        <f t="shared" si="13"/>
        <v>7</v>
      </c>
      <c r="D398" s="112" cm="1">
        <f t="array" ref="D398">INDEX('Oth-2'!$B$2:$H$88,1+B398,C398)</f>
        <v>0</v>
      </c>
    </row>
    <row r="399" spans="1:4" x14ac:dyDescent="0.75">
      <c r="A399" s="26">
        <v>365</v>
      </c>
      <c r="B399" s="26">
        <f t="shared" si="12"/>
        <v>52</v>
      </c>
      <c r="C399" s="26">
        <f t="shared" si="13"/>
        <v>1</v>
      </c>
      <c r="D399" s="112" cm="1">
        <f t="array" ref="D399">INDEX('Oth-2'!$B$2:$H$88,1+B399,C399)</f>
        <v>0</v>
      </c>
    </row>
    <row r="400" spans="1:4" x14ac:dyDescent="0.75">
      <c r="A400" s="26">
        <v>366</v>
      </c>
      <c r="B400" s="26">
        <f t="shared" si="12"/>
        <v>52</v>
      </c>
      <c r="C400" s="26">
        <f t="shared" si="13"/>
        <v>2</v>
      </c>
      <c r="D400" s="112" cm="1">
        <f t="array" ref="D400">INDEX('Oth-2'!$B$2:$H$88,1+B400,C400)</f>
        <v>0</v>
      </c>
    </row>
    <row r="401" spans="1:4" x14ac:dyDescent="0.75">
      <c r="A401" s="26">
        <v>367</v>
      </c>
      <c r="B401" s="26">
        <f t="shared" si="12"/>
        <v>52</v>
      </c>
      <c r="C401" s="26">
        <f t="shared" si="13"/>
        <v>3</v>
      </c>
      <c r="D401" s="112" cm="1">
        <f t="array" ref="D401">INDEX('Oth-2'!$B$2:$H$88,1+B401,C401)</f>
        <v>0</v>
      </c>
    </row>
    <row r="402" spans="1:4" x14ac:dyDescent="0.75">
      <c r="A402" s="26">
        <v>368</v>
      </c>
      <c r="B402" s="26">
        <f t="shared" si="12"/>
        <v>52</v>
      </c>
      <c r="C402" s="26">
        <f t="shared" si="13"/>
        <v>4</v>
      </c>
      <c r="D402" s="112" cm="1">
        <f t="array" ref="D402">INDEX('Oth-2'!$B$2:$H$88,1+B402,C402)</f>
        <v>0</v>
      </c>
    </row>
    <row r="403" spans="1:4" x14ac:dyDescent="0.75">
      <c r="A403" s="26">
        <v>369</v>
      </c>
      <c r="B403" s="26">
        <f t="shared" si="12"/>
        <v>52</v>
      </c>
      <c r="C403" s="26">
        <f t="shared" si="13"/>
        <v>5</v>
      </c>
      <c r="D403" s="112" cm="1">
        <f t="array" ref="D403">INDEX('Oth-2'!$B$2:$H$88,1+B403,C403)</f>
        <v>0</v>
      </c>
    </row>
    <row r="404" spans="1:4" x14ac:dyDescent="0.75">
      <c r="A404" s="26">
        <v>370</v>
      </c>
      <c r="B404" s="26">
        <f t="shared" si="12"/>
        <v>52</v>
      </c>
      <c r="C404" s="26">
        <f t="shared" si="13"/>
        <v>6</v>
      </c>
      <c r="D404" s="112" cm="1">
        <f t="array" ref="D404">INDEX('Oth-2'!$B$2:$H$88,1+B404,C404)</f>
        <v>0</v>
      </c>
    </row>
    <row r="405" spans="1:4" x14ac:dyDescent="0.75">
      <c r="A405" s="26">
        <v>371</v>
      </c>
      <c r="B405" s="26">
        <f t="shared" si="12"/>
        <v>52</v>
      </c>
      <c r="C405" s="26">
        <f t="shared" si="13"/>
        <v>7</v>
      </c>
      <c r="D405" s="112" cm="1">
        <f t="array" ref="D405">INDEX('Oth-2'!$B$2:$H$88,1+B405,C405)</f>
        <v>0</v>
      </c>
    </row>
    <row r="406" spans="1:4" x14ac:dyDescent="0.75">
      <c r="A406" s="26">
        <v>372</v>
      </c>
      <c r="B406" s="26">
        <f t="shared" ref="B406:B422" si="14">IF(MOD(A406,7)=0,A406/7-1,INT(A406/7))</f>
        <v>53</v>
      </c>
      <c r="C406" s="26">
        <f t="shared" ref="C406:C422" si="15">IF(MOD(A406,7)=0,7,MOD(A406,7))</f>
        <v>1</v>
      </c>
      <c r="D406" s="112" cm="1">
        <f t="array" ref="D406">INDEX('Oth-2'!$B$2:$H$88,1+B406,C406)</f>
        <v>0</v>
      </c>
    </row>
    <row r="407" spans="1:4" x14ac:dyDescent="0.75">
      <c r="A407" s="26">
        <v>373</v>
      </c>
      <c r="B407" s="26">
        <f t="shared" si="14"/>
        <v>53</v>
      </c>
      <c r="C407" s="26">
        <f t="shared" si="15"/>
        <v>2</v>
      </c>
      <c r="D407" s="112" cm="1">
        <f t="array" ref="D407">INDEX('Oth-2'!$B$2:$H$88,1+B407,C407)</f>
        <v>0</v>
      </c>
    </row>
    <row r="408" spans="1:4" x14ac:dyDescent="0.75">
      <c r="A408" s="26">
        <v>374</v>
      </c>
      <c r="B408" s="26">
        <f t="shared" si="14"/>
        <v>53</v>
      </c>
      <c r="C408" s="26">
        <f t="shared" si="15"/>
        <v>3</v>
      </c>
      <c r="D408" s="112" cm="1">
        <f t="array" ref="D408">INDEX('Oth-2'!$B$2:$H$88,1+B408,C408)</f>
        <v>0</v>
      </c>
    </row>
    <row r="409" spans="1:4" x14ac:dyDescent="0.75">
      <c r="A409" s="26">
        <v>375</v>
      </c>
      <c r="B409" s="26">
        <f t="shared" si="14"/>
        <v>53</v>
      </c>
      <c r="C409" s="26">
        <f t="shared" si="15"/>
        <v>4</v>
      </c>
      <c r="D409" s="112" cm="1">
        <f t="array" ref="D409">INDEX('Oth-2'!$B$2:$H$88,1+B409,C409)</f>
        <v>0</v>
      </c>
    </row>
    <row r="410" spans="1:4" x14ac:dyDescent="0.75">
      <c r="A410" s="26">
        <v>376</v>
      </c>
      <c r="B410" s="26">
        <f t="shared" si="14"/>
        <v>53</v>
      </c>
      <c r="C410" s="26">
        <f t="shared" si="15"/>
        <v>5</v>
      </c>
      <c r="D410" s="112" cm="1">
        <f t="array" ref="D410">INDEX('Oth-2'!$B$2:$H$88,1+B410,C410)</f>
        <v>0</v>
      </c>
    </row>
    <row r="411" spans="1:4" x14ac:dyDescent="0.75">
      <c r="A411" s="26">
        <v>377</v>
      </c>
      <c r="B411" s="26">
        <f t="shared" si="14"/>
        <v>53</v>
      </c>
      <c r="C411" s="26">
        <f t="shared" si="15"/>
        <v>6</v>
      </c>
      <c r="D411" s="112" cm="1">
        <f t="array" ref="D411">INDEX('Oth-2'!$B$2:$H$88,1+B411,C411)</f>
        <v>0</v>
      </c>
    </row>
    <row r="412" spans="1:4" x14ac:dyDescent="0.75">
      <c r="A412" s="26">
        <v>378</v>
      </c>
      <c r="B412" s="26">
        <f t="shared" si="14"/>
        <v>53</v>
      </c>
      <c r="C412" s="26">
        <f t="shared" si="15"/>
        <v>7</v>
      </c>
      <c r="D412" s="112" cm="1">
        <f t="array" ref="D412">INDEX('Oth-2'!$B$2:$H$88,1+B412,C412)</f>
        <v>0</v>
      </c>
    </row>
    <row r="413" spans="1:4" x14ac:dyDescent="0.75">
      <c r="A413" s="26">
        <v>379</v>
      </c>
      <c r="B413" s="26">
        <f t="shared" si="14"/>
        <v>54</v>
      </c>
      <c r="C413" s="26">
        <f t="shared" si="15"/>
        <v>1</v>
      </c>
      <c r="D413" s="112" cm="1">
        <f t="array" ref="D413">INDEX('Oth-2'!$B$2:$H$88,1+B413,C413)</f>
        <v>0</v>
      </c>
    </row>
    <row r="414" spans="1:4" x14ac:dyDescent="0.75">
      <c r="A414" s="26">
        <v>380</v>
      </c>
      <c r="B414" s="26">
        <f t="shared" si="14"/>
        <v>54</v>
      </c>
      <c r="C414" s="26">
        <f t="shared" si="15"/>
        <v>2</v>
      </c>
      <c r="D414" s="112" cm="1">
        <f t="array" ref="D414">INDEX('Oth-2'!$B$2:$H$88,1+B414,C414)</f>
        <v>0</v>
      </c>
    </row>
    <row r="415" spans="1:4" x14ac:dyDescent="0.75">
      <c r="A415" s="26">
        <v>381</v>
      </c>
      <c r="B415" s="26">
        <f t="shared" si="14"/>
        <v>54</v>
      </c>
      <c r="C415" s="26">
        <f t="shared" si="15"/>
        <v>3</v>
      </c>
      <c r="D415" s="112" cm="1">
        <f t="array" ref="D415">INDEX('Oth-2'!$B$2:$H$88,1+B415,C415)</f>
        <v>0</v>
      </c>
    </row>
    <row r="416" spans="1:4" x14ac:dyDescent="0.75">
      <c r="A416" s="26">
        <v>382</v>
      </c>
      <c r="B416" s="26">
        <f t="shared" si="14"/>
        <v>54</v>
      </c>
      <c r="C416" s="26">
        <f t="shared" si="15"/>
        <v>4</v>
      </c>
      <c r="D416" s="112" cm="1">
        <f t="array" ref="D416">INDEX('Oth-2'!$B$2:$H$88,1+B416,C416)</f>
        <v>0</v>
      </c>
    </row>
    <row r="417" spans="1:4" x14ac:dyDescent="0.75">
      <c r="A417" s="26">
        <v>383</v>
      </c>
      <c r="B417" s="26">
        <f t="shared" si="14"/>
        <v>54</v>
      </c>
      <c r="C417" s="26">
        <f t="shared" si="15"/>
        <v>5</v>
      </c>
      <c r="D417" s="112" cm="1">
        <f t="array" ref="D417">INDEX('Oth-2'!$B$2:$H$88,1+B417,C417)</f>
        <v>0</v>
      </c>
    </row>
    <row r="418" spans="1:4" x14ac:dyDescent="0.75">
      <c r="A418" s="26">
        <v>384</v>
      </c>
      <c r="B418" s="26">
        <f t="shared" si="14"/>
        <v>54</v>
      </c>
      <c r="C418" s="26">
        <f t="shared" si="15"/>
        <v>6</v>
      </c>
      <c r="D418" s="112" cm="1">
        <f t="array" ref="D418">INDEX('Oth-2'!$B$2:$H$88,1+B418,C418)</f>
        <v>0</v>
      </c>
    </row>
    <row r="419" spans="1:4" x14ac:dyDescent="0.75">
      <c r="A419" s="26">
        <v>385</v>
      </c>
      <c r="B419" s="26">
        <f t="shared" si="14"/>
        <v>54</v>
      </c>
      <c r="C419" s="26">
        <f t="shared" si="15"/>
        <v>7</v>
      </c>
      <c r="D419" s="112" cm="1">
        <f t="array" ref="D419">INDEX('Oth-2'!$B$2:$H$88,1+B419,C419)</f>
        <v>0</v>
      </c>
    </row>
    <row r="420" spans="1:4" x14ac:dyDescent="0.75">
      <c r="A420" s="26">
        <v>386</v>
      </c>
      <c r="B420" s="26">
        <f t="shared" si="14"/>
        <v>55</v>
      </c>
      <c r="C420" s="26">
        <f t="shared" si="15"/>
        <v>1</v>
      </c>
      <c r="D420" s="112" cm="1">
        <f t="array" ref="D420">INDEX('Oth-2'!$B$2:$H$88,1+B420,C420)</f>
        <v>0</v>
      </c>
    </row>
    <row r="421" spans="1:4" x14ac:dyDescent="0.75">
      <c r="A421" s="26">
        <v>387</v>
      </c>
      <c r="B421" s="26">
        <f t="shared" si="14"/>
        <v>55</v>
      </c>
      <c r="C421" s="26">
        <f t="shared" si="15"/>
        <v>2</v>
      </c>
      <c r="D421" s="112" cm="1">
        <f t="array" ref="D421">INDEX('Oth-2'!$B$2:$H$88,1+B421,C421)</f>
        <v>0</v>
      </c>
    </row>
    <row r="422" spans="1:4" x14ac:dyDescent="0.75">
      <c r="A422" s="26">
        <v>388</v>
      </c>
      <c r="B422" s="26">
        <f t="shared" si="14"/>
        <v>55</v>
      </c>
      <c r="C422" s="26">
        <f t="shared" si="15"/>
        <v>3</v>
      </c>
      <c r="D422" s="112" cm="1">
        <f t="array" ref="D422">INDEX('Oth-2'!$B$2:$H$88,1+B422,C422)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topLeftCell="A23" zoomScale="145" zoomScaleNormal="145" workbookViewId="0">
      <selection activeCell="D25" sqref="D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si="0"/>
        <v>1</v>
      </c>
      <c r="I9" s="110" t="str">
        <f t="shared" si="1"/>
        <v>* differential.element[2].mapping[0].identity = "fhir"</v>
      </c>
      <c r="J9" s="110" t="str">
        <f t="shared" si="2"/>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0"/>
        <v>1</v>
      </c>
      <c r="I10" s="110" t="str">
        <f t="shared" si="1"/>
        <v>* differential.element[3].mapping[0].identity = "fhir"</v>
      </c>
      <c r="J10" s="110" t="str">
        <f t="shared" si="2"/>
        <v>* differential.element[3].mapping[0].map = ".identifier"</v>
      </c>
      <c r="K10" s="110" t="str">
        <f t="shared" si="3"/>
        <v/>
      </c>
      <c r="M10" s="44"/>
      <c r="N10" s="109" t="str">
        <f t="shared" si="4"/>
        <v>* identifier -&gt; ".identifier"</v>
      </c>
    </row>
    <row r="11" spans="1:14" ht="73.75" x14ac:dyDescent="0.75">
      <c r="A11" s="111">
        <v>0</v>
      </c>
      <c r="B11" s="111">
        <f>'Surg-1'!A10</f>
        <v>4</v>
      </c>
      <c r="C11" s="111" t="str">
        <f>'Surg-1'!B10</f>
        <v>istitutionOfTreatment</v>
      </c>
      <c r="D11" s="112" t="s">
        <v>902</v>
      </c>
      <c r="H11" s="109" t="b">
        <f t="shared" si="0"/>
        <v>1</v>
      </c>
      <c r="I11" s="110" t="str">
        <f t="shared" si="1"/>
        <v>* differential.element[4].mapping[0].identity = "fhir"</v>
      </c>
      <c r="J11" s="110" t="str">
        <f t="shared" si="2"/>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0"/>
        <v>1</v>
      </c>
      <c r="I12" s="110" t="str">
        <f t="shared" si="1"/>
        <v>* differential.element[5].mapping[0].identity = "fhir"</v>
      </c>
      <c r="J12" s="110" t="str">
        <f t="shared" si="2"/>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0"/>
        <v>1</v>
      </c>
      <c r="I13" s="110" t="str">
        <f t="shared" si="1"/>
        <v>* differential.element[6].mapping[0].identity = "fhir"</v>
      </c>
      <c r="J13" s="110" t="str">
        <f t="shared" si="2"/>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0"/>
        <v>1</v>
      </c>
      <c r="I14" s="110" t="str">
        <f t="shared" si="1"/>
        <v>* differential.element[7].mapping[0].identity = "fhir"</v>
      </c>
      <c r="J14" s="110" t="str">
        <f t="shared" si="2"/>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0"/>
        <v>0</v>
      </c>
      <c r="I15" s="110" t="str">
        <f t="shared" si="1"/>
        <v/>
      </c>
      <c r="J15" s="110" t="str">
        <f t="shared" si="2"/>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0"/>
        <v>1</v>
      </c>
      <c r="I16" s="110" t="str">
        <f t="shared" si="1"/>
        <v>* differential.element[9].mapping[0].identity = "fhir"</v>
      </c>
      <c r="J16" s="110" t="str">
        <f t="shared" si="2"/>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0"/>
        <v>1</v>
      </c>
      <c r="I17" s="110" t="str">
        <f t="shared" si="1"/>
        <v>* differential.element[10].mapping[0].identity = "fhir"</v>
      </c>
      <c r="J17" s="110" t="str">
        <f t="shared" si="2"/>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0"/>
        <v>1</v>
      </c>
      <c r="I18" s="110" t="str">
        <f t="shared" si="1"/>
        <v>* differential.element[11].mapping[0].identity = "fhir"</v>
      </c>
      <c r="J18" s="110" t="str">
        <f t="shared" si="2"/>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0"/>
        <v>1</v>
      </c>
      <c r="I19" s="110" t="str">
        <f t="shared" si="1"/>
        <v>* differential.element[12].mapping[0].identity = "fhir"</v>
      </c>
      <c r="J19" s="110" t="str">
        <f t="shared" si="2"/>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0"/>
        <v>1</v>
      </c>
      <c r="I20" s="110" t="str">
        <f t="shared" si="1"/>
        <v>* differential.element[12].mapping[1].identity = "fhir"</v>
      </c>
      <c r="J20" s="110" t="str">
        <f t="shared" si="2"/>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0"/>
        <v>1</v>
      </c>
      <c r="I21" s="110" t="str">
        <f t="shared" si="1"/>
        <v>* differential.element[13].mapping[0].identity = "fhir"</v>
      </c>
      <c r="J21" s="110" t="str">
        <f t="shared" si="2"/>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0"/>
        <v>1</v>
      </c>
      <c r="I22" s="110" t="str">
        <f t="shared" si="1"/>
        <v>* differential.element[13].mapping[1].identity = "fhir"</v>
      </c>
      <c r="J22" s="110" t="str">
        <f t="shared" si="2"/>
        <v>* differential.element[13].mapping[1].map = ".code"</v>
      </c>
      <c r="K22" s="110" t="str">
        <f t="shared" si="3"/>
        <v/>
      </c>
    </row>
    <row r="23" spans="1:14" ht="88.5" x14ac:dyDescent="0.75">
      <c r="A23" s="111">
        <v>0</v>
      </c>
      <c r="B23" s="111">
        <f>'Surg-1'!A20</f>
        <v>14</v>
      </c>
      <c r="C23" s="111" t="str">
        <f>'Surg-1'!B20</f>
        <v>shuntApplication</v>
      </c>
      <c r="D23" s="138" t="s">
        <v>1031</v>
      </c>
      <c r="H23" s="109" t="b">
        <f t="shared" si="0"/>
        <v>1</v>
      </c>
      <c r="I23" s="110" t="str">
        <f t="shared" si="1"/>
        <v>* differential.element[14].mapping[0].identity = "fhir"</v>
      </c>
      <c r="J23" s="110" t="str">
        <f t="shared" si="2"/>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0"/>
        <v>1</v>
      </c>
      <c r="I24" s="110" t="str">
        <f t="shared" si="1"/>
        <v>* differential.element[15].mapping[0].identity = "fhir"</v>
      </c>
      <c r="J24" s="110" t="str">
        <f t="shared" si="2"/>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0"/>
        <v>1</v>
      </c>
      <c r="I25" s="110" t="str">
        <f t="shared" si="1"/>
        <v>* differential.element[16].mapping[0].identity = "fhir"</v>
      </c>
      <c r="J25" s="110" t="str">
        <f t="shared" si="2"/>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0"/>
        <v>1</v>
      </c>
      <c r="I26" s="110" t="str">
        <f t="shared" si="1"/>
        <v>* differential.element[17].mapping[0].identity = "fhir"</v>
      </c>
      <c r="J26" s="110" t="str">
        <f t="shared" si="2"/>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0"/>
        <v>1</v>
      </c>
      <c r="I27" s="110" t="str">
        <f t="shared" si="1"/>
        <v>* differential.element[18].mapping[0].identity = "fhir"</v>
      </c>
      <c r="J27" s="110" t="str">
        <f t="shared" si="2"/>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0"/>
        <v>1</v>
      </c>
      <c r="I28" s="110" t="str">
        <f t="shared" si="1"/>
        <v>* differential.element[19].mapping[0].identity = "fhir"</v>
      </c>
      <c r="J28" s="110" t="str">
        <f t="shared" si="2"/>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0"/>
        <v>1</v>
      </c>
      <c r="I29" s="110" t="str">
        <f t="shared" si="1"/>
        <v>* differential.element[20].mapping[0].identity = "fhir"</v>
      </c>
      <c r="J29" s="110" t="str">
        <f t="shared" si="2"/>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0"/>
        <v>1</v>
      </c>
      <c r="I30" s="110" t="str">
        <f t="shared" si="1"/>
        <v>* differential.element[21].mapping[0].identity = "fhir"</v>
      </c>
      <c r="J30" s="110" t="str">
        <f t="shared" si="2"/>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0"/>
        <v>1</v>
      </c>
      <c r="I31" s="110" t="str">
        <f t="shared" si="1"/>
        <v>* differential.element[22].mapping[0].identity = "fhir"</v>
      </c>
      <c r="J31" s="110" t="str">
        <f t="shared" si="2"/>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0"/>
        <v>1</v>
      </c>
      <c r="I32" s="110" t="str">
        <f t="shared" si="1"/>
        <v>* differential.element[23].mapping[0].identity = "fhir"</v>
      </c>
      <c r="J32" s="110" t="str">
        <f t="shared" si="2"/>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0"/>
        <v>1</v>
      </c>
      <c r="I33" s="110" t="str">
        <f t="shared" si="1"/>
        <v>* differential.element[24].mapping[0].identity = "fhir"</v>
      </c>
      <c r="J33" s="110" t="str">
        <f t="shared" si="2"/>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0"/>
        <v>1</v>
      </c>
      <c r="I34" s="110" t="str">
        <f t="shared" si="1"/>
        <v>* differential.element[25].mapping[0].identity = "fhir"</v>
      </c>
      <c r="J34" s="110" t="str">
        <f t="shared" si="2"/>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'Oth-1'!#REF!</f>
        <v>#REF!</v>
      </c>
      <c r="H48" s="109" t="b">
        <f t="shared" si="0"/>
        <v>0</v>
      </c>
      <c r="I48" s="110" t="str">
        <f t="shared" si="1"/>
        <v/>
      </c>
      <c r="J48" s="110" t="str">
        <f t="shared" si="2"/>
        <v/>
      </c>
      <c r="K48" s="110" t="str">
        <f t="shared" si="3"/>
        <v/>
      </c>
    </row>
    <row r="49" spans="2:11" x14ac:dyDescent="0.75">
      <c r="B49" s="109" t="e">
        <f>'Oth-1'!#REF!</f>
        <v>#REF!</v>
      </c>
      <c r="H49" s="109" t="b">
        <f t="shared" si="0"/>
        <v>0</v>
      </c>
      <c r="I49" s="110" t="str">
        <f t="shared" si="1"/>
        <v/>
      </c>
      <c r="J49" s="110" t="str">
        <f t="shared" si="2"/>
        <v/>
      </c>
      <c r="K49" s="110" t="str">
        <f t="shared" si="3"/>
        <v/>
      </c>
    </row>
    <row r="50" spans="2:11" x14ac:dyDescent="0.75">
      <c r="B50" s="109" t="e">
        <f>'Oth-1'!#REF!</f>
        <v>#REF!</v>
      </c>
      <c r="H50" s="109" t="b">
        <f t="shared" si="0"/>
        <v>0</v>
      </c>
      <c r="I50" s="110" t="str">
        <f t="shared" si="1"/>
        <v/>
      </c>
      <c r="J50" s="110" t="str">
        <f t="shared" si="2"/>
        <v/>
      </c>
      <c r="K50" s="110" t="str">
        <f t="shared" si="3"/>
        <v/>
      </c>
    </row>
    <row r="51" spans="2:11" x14ac:dyDescent="0.75">
      <c r="B51" s="109" t="e">
        <f>'Oth-1'!#REF!</f>
        <v>#REF!</v>
      </c>
      <c r="H51" s="109" t="b">
        <f t="shared" si="0"/>
        <v>0</v>
      </c>
      <c r="I51" s="110" t="str">
        <f t="shared" si="1"/>
        <v/>
      </c>
      <c r="J51" s="110" t="str">
        <f t="shared" si="2"/>
        <v/>
      </c>
      <c r="K51" s="110" t="str">
        <f t="shared" si="3"/>
        <v/>
      </c>
    </row>
    <row r="52" spans="2:11" x14ac:dyDescent="0.75">
      <c r="B52" s="109" t="e">
        <f>'Oth-1'!#REF!</f>
        <v>#REF!</v>
      </c>
      <c r="H52" s="109" t="b">
        <f t="shared" si="0"/>
        <v>0</v>
      </c>
      <c r="I52" s="110" t="str">
        <f t="shared" si="1"/>
        <v/>
      </c>
      <c r="J52" s="110" t="str">
        <f t="shared" si="2"/>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INDEX('Oth-Map-1'!$I$7:$K$102,1+B3,C3)</f>
        <v>* differential.element[0].mapping[0].identity = "fhir"</v>
      </c>
      <c r="E3" s="109" t="str">
        <f>INDEX('Oth-Map-1'!$I$8:$K$17,1,1)</f>
        <v>* differential.element[1].mapping[0].identity = "fhir"</v>
      </c>
    </row>
    <row r="4" spans="1:5" x14ac:dyDescent="0.75">
      <c r="A4" s="111">
        <v>2</v>
      </c>
      <c r="B4" s="111">
        <f t="shared" ref="B4:B67" si="0">IF(MOD(A4,3)=0,A4/3-1,INT(A4/3))</f>
        <v>0</v>
      </c>
      <c r="C4" s="111">
        <f t="shared" ref="C4:C67" si="1">IF(MOD(A4,3)=0,3,MOD(A4,3))</f>
        <v>2</v>
      </c>
      <c r="D4" s="109" t="str" cm="1">
        <f t="array" ref="D4">INDEX('Oth-Map-1'!$I$7:$K$102,1+B4,C4)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INDEX('Oth-Map-1'!$I$7:$K$102,1+B5,C5)</f>
        <v/>
      </c>
    </row>
    <row r="6" spans="1:5" x14ac:dyDescent="0.75">
      <c r="A6" s="111">
        <v>4</v>
      </c>
      <c r="B6" s="111">
        <f t="shared" si="0"/>
        <v>1</v>
      </c>
      <c r="C6" s="111">
        <f t="shared" si="1"/>
        <v>1</v>
      </c>
      <c r="D6" s="109" t="str" cm="1">
        <f t="array" ref="D6">INDEX('Oth-Map-1'!$I$7:$K$102,1+B6,C6)</f>
        <v>* differential.element[1].mapping[0].identity = "fhir"</v>
      </c>
    </row>
    <row r="7" spans="1:5" x14ac:dyDescent="0.75">
      <c r="A7" s="111">
        <v>5</v>
      </c>
      <c r="B7" s="111">
        <f t="shared" si="0"/>
        <v>1</v>
      </c>
      <c r="C7" s="111">
        <f t="shared" si="1"/>
        <v>2</v>
      </c>
      <c r="D7" s="109" t="str" cm="1">
        <f t="array" ref="D7">INDEX('Oth-Map-1'!$I$7:$K$102,1+B7,C7)</f>
        <v>* differential.element[1].mapping[0].map = ".reasonReference"</v>
      </c>
    </row>
    <row r="8" spans="1:5" x14ac:dyDescent="0.75">
      <c r="A8" s="111">
        <v>6</v>
      </c>
      <c r="B8" s="111">
        <f t="shared" si="0"/>
        <v>1</v>
      </c>
      <c r="C8" s="111">
        <f t="shared" si="1"/>
        <v>3</v>
      </c>
      <c r="D8" s="109" t="str" cm="1">
        <f t="array" ref="D8">INDEX('Oth-Map-1'!$I$7:$K$102,1+B8,C8)</f>
        <v/>
      </c>
    </row>
    <row r="9" spans="1:5" x14ac:dyDescent="0.75">
      <c r="A9" s="111">
        <v>7</v>
      </c>
      <c r="B9" s="111">
        <f t="shared" si="0"/>
        <v>2</v>
      </c>
      <c r="C9" s="111">
        <f t="shared" si="1"/>
        <v>1</v>
      </c>
      <c r="D9" s="109" t="str" cm="1">
        <f t="array" ref="D9">INDEX('Oth-Map-1'!$I$7:$K$102,1+B9,C9)</f>
        <v>* differential.element[2].mapping[0].identity = "fhir"</v>
      </c>
    </row>
    <row r="10" spans="1:5" x14ac:dyDescent="0.75">
      <c r="A10" s="111">
        <v>8</v>
      </c>
      <c r="B10" s="111">
        <f t="shared" si="0"/>
        <v>2</v>
      </c>
      <c r="C10" s="111">
        <f t="shared" si="1"/>
        <v>2</v>
      </c>
      <c r="D10" s="109" t="str" cm="1">
        <f t="array" ref="D10">INDEX('Oth-Map-1'!$I$7:$K$102,1+B10,C10)</f>
        <v>* differential.element[2].mapping[0].map = ".reasonReference"</v>
      </c>
    </row>
    <row r="11" spans="1:5" x14ac:dyDescent="0.75">
      <c r="A11" s="111">
        <v>9</v>
      </c>
      <c r="B11" s="111">
        <f t="shared" si="0"/>
        <v>2</v>
      </c>
      <c r="C11" s="111">
        <f t="shared" si="1"/>
        <v>3</v>
      </c>
      <c r="D11" s="109" t="str" cm="1">
        <f t="array" ref="D11">INDEX('Oth-Map-1'!$I$7:$K$102,1+B11,C11)</f>
        <v/>
      </c>
    </row>
    <row r="12" spans="1:5" x14ac:dyDescent="0.75">
      <c r="A12" s="111">
        <v>10</v>
      </c>
      <c r="B12" s="111">
        <f t="shared" si="0"/>
        <v>3</v>
      </c>
      <c r="C12" s="111">
        <f t="shared" si="1"/>
        <v>1</v>
      </c>
      <c r="D12" s="109" t="str" cm="1">
        <f t="array" ref="D12">INDEX('Oth-Map-1'!$I$7:$K$102,1+B12,C12)</f>
        <v>* differential.element[3].mapping[0].identity = "fhir"</v>
      </c>
    </row>
    <row r="13" spans="1:5" x14ac:dyDescent="0.75">
      <c r="A13" s="111">
        <v>11</v>
      </c>
      <c r="B13" s="111">
        <f t="shared" si="0"/>
        <v>3</v>
      </c>
      <c r="C13" s="111">
        <f t="shared" si="1"/>
        <v>2</v>
      </c>
      <c r="D13" s="109" t="str" cm="1">
        <f t="array" ref="D13">INDEX('Oth-Map-1'!$I$7:$K$102,1+B13,C13)</f>
        <v>* differential.element[3].mapping[0].map = ".identifier"</v>
      </c>
    </row>
    <row r="14" spans="1:5" x14ac:dyDescent="0.75">
      <c r="A14" s="111">
        <v>12</v>
      </c>
      <c r="B14" s="111">
        <f t="shared" si="0"/>
        <v>3</v>
      </c>
      <c r="C14" s="111">
        <f t="shared" si="1"/>
        <v>3</v>
      </c>
      <c r="D14" s="109" t="str" cm="1">
        <f t="array" ref="D14">INDEX('Oth-Map-1'!$I$7:$K$102,1+B14,C14)</f>
        <v/>
      </c>
    </row>
    <row r="15" spans="1:5" x14ac:dyDescent="0.75">
      <c r="A15" s="111">
        <v>13</v>
      </c>
      <c r="B15" s="111">
        <f t="shared" si="0"/>
        <v>4</v>
      </c>
      <c r="C15" s="111">
        <f t="shared" si="1"/>
        <v>1</v>
      </c>
      <c r="D15" s="109" t="str" cm="1">
        <f t="array" ref="D15">INDEX('Oth-Map-1'!$I$7:$K$102,1+B15,C15)</f>
        <v>* differential.element[4].mapping[0].identity = "fhir"</v>
      </c>
    </row>
    <row r="16" spans="1:5" x14ac:dyDescent="0.75">
      <c r="A16" s="111">
        <v>14</v>
      </c>
      <c r="B16" s="111">
        <f t="shared" si="0"/>
        <v>4</v>
      </c>
      <c r="C16" s="111">
        <f t="shared" si="1"/>
        <v>2</v>
      </c>
      <c r="D16" s="109" t="str" cm="1">
        <f t="array" ref="D16">INDEX('Oth-Map-1'!$I$7:$K$102,1+B16,C16)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INDEX('Oth-Map-1'!$I$7:$K$102,1+B17,C17)</f>
        <v/>
      </c>
    </row>
    <row r="18" spans="1:4" x14ac:dyDescent="0.75">
      <c r="A18" s="111">
        <v>16</v>
      </c>
      <c r="B18" s="111">
        <f t="shared" si="0"/>
        <v>5</v>
      </c>
      <c r="C18" s="111">
        <f t="shared" si="1"/>
        <v>1</v>
      </c>
      <c r="D18" s="109" t="str" cm="1">
        <f t="array" ref="D18">INDEX('Oth-Map-1'!$I$7:$K$102,1+B18,C18)</f>
        <v>* differential.element[5].mapping[0].identity = "fhir"</v>
      </c>
    </row>
    <row r="19" spans="1:4" x14ac:dyDescent="0.75">
      <c r="A19" s="111">
        <v>17</v>
      </c>
      <c r="B19" s="111">
        <f t="shared" si="0"/>
        <v>5</v>
      </c>
      <c r="C19" s="111">
        <f t="shared" si="1"/>
        <v>2</v>
      </c>
      <c r="D19" s="109" t="str" cm="1">
        <f t="array" ref="D19">INDEX('Oth-Map-1'!$I$7:$K$102,1+B19,C19)</f>
        <v>* differential.element[5].mapping[0].map = "Location.description"</v>
      </c>
    </row>
    <row r="20" spans="1:4" x14ac:dyDescent="0.75">
      <c r="A20" s="111">
        <v>18</v>
      </c>
      <c r="B20" s="111">
        <f t="shared" si="0"/>
        <v>5</v>
      </c>
      <c r="C20" s="111">
        <f t="shared" si="1"/>
        <v>3</v>
      </c>
      <c r="D20" s="109" t="str" cm="1">
        <f t="array" ref="D20">INDEX('Oth-Map-1'!$I$7:$K$102,1+B20,C20)</f>
        <v/>
      </c>
    </row>
    <row r="21" spans="1:4" x14ac:dyDescent="0.75">
      <c r="A21" s="111">
        <v>19</v>
      </c>
      <c r="B21" s="111">
        <f t="shared" si="0"/>
        <v>6</v>
      </c>
      <c r="C21" s="111">
        <f t="shared" si="1"/>
        <v>1</v>
      </c>
      <c r="D21" s="109" t="str" cm="1">
        <f t="array" ref="D21">INDEX('Oth-Map-1'!$I$7:$K$102,1+B21,C21)</f>
        <v>* differential.element[6].mapping[0].identity = "fhir"</v>
      </c>
    </row>
    <row r="22" spans="1:4" x14ac:dyDescent="0.75">
      <c r="A22" s="111">
        <v>20</v>
      </c>
      <c r="B22" s="111">
        <f t="shared" si="0"/>
        <v>6</v>
      </c>
      <c r="C22" s="111">
        <f t="shared" si="1"/>
        <v>2</v>
      </c>
      <c r="D22" s="109" t="str" cm="1">
        <f t="array" ref="D22">INDEX('Oth-Map-1'!$I$7:$K$102,1+B22,C22)</f>
        <v>* differential.element[6].mapping[0].map = "Location.name"</v>
      </c>
    </row>
    <row r="23" spans="1:4" x14ac:dyDescent="0.75">
      <c r="A23" s="111">
        <v>21</v>
      </c>
      <c r="B23" s="111">
        <f t="shared" si="0"/>
        <v>6</v>
      </c>
      <c r="C23" s="111">
        <f t="shared" si="1"/>
        <v>3</v>
      </c>
      <c r="D23" s="109" t="str" cm="1">
        <f t="array" ref="D23">INDEX('Oth-Map-1'!$I$7:$K$102,1+B23,C23)</f>
        <v/>
      </c>
    </row>
    <row r="24" spans="1:4" x14ac:dyDescent="0.75">
      <c r="A24" s="111">
        <v>22</v>
      </c>
      <c r="B24" s="111">
        <f t="shared" si="0"/>
        <v>7</v>
      </c>
      <c r="C24" s="111">
        <f t="shared" si="1"/>
        <v>1</v>
      </c>
      <c r="D24" s="109" t="str" cm="1">
        <f t="array" ref="D24">INDEX('Oth-Map-1'!$I$7:$K$102,1+B24,C24)</f>
        <v>* differential.element[7].mapping[0].identity = "fhir"</v>
      </c>
    </row>
    <row r="25" spans="1:4" x14ac:dyDescent="0.75">
      <c r="A25" s="111">
        <v>23</v>
      </c>
      <c r="B25" s="111">
        <f t="shared" si="0"/>
        <v>7</v>
      </c>
      <c r="C25" s="111">
        <f t="shared" si="1"/>
        <v>2</v>
      </c>
      <c r="D25" s="109" t="str" cm="1">
        <f t="array" ref="D25">INDEX('Oth-Map-1'!$I$7:$K$102,1+B25,C25)</f>
        <v>* differential.element[7].mapping[0].map = "Location.address.city"</v>
      </c>
    </row>
    <row r="26" spans="1:4" x14ac:dyDescent="0.75">
      <c r="A26" s="111">
        <v>24</v>
      </c>
      <c r="B26" s="111">
        <f t="shared" si="0"/>
        <v>7</v>
      </c>
      <c r="C26" s="111">
        <f t="shared" si="1"/>
        <v>3</v>
      </c>
      <c r="D26" s="109" t="str" cm="1">
        <f t="array" ref="D26">INDEX('Oth-Map-1'!$I$7:$K$102,1+B26,C26)</f>
        <v/>
      </c>
    </row>
    <row r="27" spans="1:4" x14ac:dyDescent="0.75">
      <c r="A27" s="111">
        <v>25</v>
      </c>
      <c r="B27" s="111">
        <f t="shared" si="0"/>
        <v>8</v>
      </c>
      <c r="C27" s="111">
        <f t="shared" si="1"/>
        <v>1</v>
      </c>
      <c r="D27" s="109" t="str" cm="1">
        <f t="array" ref="D27">INDEX('Oth-Map-1'!$I$7:$K$102,1+B27,C27)</f>
        <v/>
      </c>
    </row>
    <row r="28" spans="1:4" x14ac:dyDescent="0.75">
      <c r="A28" s="111">
        <v>26</v>
      </c>
      <c r="B28" s="111">
        <f t="shared" si="0"/>
        <v>8</v>
      </c>
      <c r="C28" s="111">
        <f t="shared" si="1"/>
        <v>2</v>
      </c>
      <c r="D28" s="109" t="str" cm="1">
        <f t="array" ref="D28">INDEX('Oth-Map-1'!$I$7:$K$102,1+B28,C28)</f>
        <v/>
      </c>
    </row>
    <row r="29" spans="1:4" x14ac:dyDescent="0.75">
      <c r="A29" s="111">
        <v>27</v>
      </c>
      <c r="B29" s="111">
        <f t="shared" si="0"/>
        <v>8</v>
      </c>
      <c r="C29" s="111">
        <f t="shared" si="1"/>
        <v>3</v>
      </c>
      <c r="D29" s="109" t="str" cm="1">
        <f t="array" ref="D29">INDEX('Oth-Map-1'!$I$7:$K$102,1+B29,C29)</f>
        <v/>
      </c>
    </row>
    <row r="30" spans="1:4" x14ac:dyDescent="0.75">
      <c r="A30" s="111">
        <v>28</v>
      </c>
      <c r="B30" s="111">
        <f t="shared" si="0"/>
        <v>9</v>
      </c>
      <c r="C30" s="111">
        <f t="shared" si="1"/>
        <v>1</v>
      </c>
      <c r="D30" s="109" t="str" cm="1">
        <f t="array" ref="D30">INDEX('Oth-Map-1'!$I$7:$K$102,1+B30,C30)</f>
        <v>* differential.element[9].mapping[0].identity = "fhir"</v>
      </c>
    </row>
    <row r="31" spans="1:4" x14ac:dyDescent="0.75">
      <c r="A31" s="111">
        <v>29</v>
      </c>
      <c r="B31" s="111">
        <f t="shared" si="0"/>
        <v>9</v>
      </c>
      <c r="C31" s="111">
        <f t="shared" si="1"/>
        <v>2</v>
      </c>
      <c r="D31" s="109" t="str" cm="1">
        <f t="array" ref="D31">INDEX('Oth-Map-1'!$I$7:$K$102,1+B31,C31)</f>
        <v>* differential.element[9].mapping[0].map = "Location.address.country"</v>
      </c>
    </row>
    <row r="32" spans="1:4" x14ac:dyDescent="0.75">
      <c r="A32" s="111">
        <v>30</v>
      </c>
      <c r="B32" s="111">
        <f t="shared" si="0"/>
        <v>9</v>
      </c>
      <c r="C32" s="111">
        <f t="shared" si="1"/>
        <v>3</v>
      </c>
      <c r="D32" s="109" t="str" cm="1">
        <f t="array" ref="D32">INDEX('Oth-Map-1'!$I$7:$K$102,1+B32,C32)</f>
        <v/>
      </c>
    </row>
    <row r="33" spans="1:4" x14ac:dyDescent="0.75">
      <c r="A33" s="111">
        <v>31</v>
      </c>
      <c r="B33" s="111">
        <f t="shared" si="0"/>
        <v>10</v>
      </c>
      <c r="C33" s="111">
        <f t="shared" si="1"/>
        <v>1</v>
      </c>
      <c r="D33" s="109" t="str" cm="1">
        <f t="array" ref="D33">INDEX('Oth-Map-1'!$I$7:$K$102,1+B33,C33)</f>
        <v>* differential.element[10].mapping[0].identity = "fhir"</v>
      </c>
    </row>
    <row r="34" spans="1:4" x14ac:dyDescent="0.75">
      <c r="A34" s="111">
        <v>32</v>
      </c>
      <c r="B34" s="111">
        <f t="shared" si="0"/>
        <v>10</v>
      </c>
      <c r="C34" s="111">
        <f t="shared" si="1"/>
        <v>2</v>
      </c>
      <c r="D34" s="109" t="str" cm="1">
        <f t="array" ref="D34">INDEX('Oth-Map-1'!$I$7:$K$102,1+B34,C34)</f>
        <v>* differential.element[10].mapping[0].map = "Procedure.performedDateTime	"</v>
      </c>
    </row>
    <row r="35" spans="1:4" x14ac:dyDescent="0.75">
      <c r="A35" s="111">
        <v>33</v>
      </c>
      <c r="B35" s="111">
        <f t="shared" si="0"/>
        <v>10</v>
      </c>
      <c r="C35" s="111">
        <f t="shared" si="1"/>
        <v>3</v>
      </c>
      <c r="D35" s="109" t="str" cm="1">
        <f t="array" ref="D35">INDEX('Oth-Map-1'!$I$7:$K$102,1+B35,C35)</f>
        <v/>
      </c>
    </row>
    <row r="36" spans="1:4" x14ac:dyDescent="0.75">
      <c r="A36" s="111">
        <v>34</v>
      </c>
      <c r="B36" s="111">
        <f t="shared" si="0"/>
        <v>11</v>
      </c>
      <c r="C36" s="111">
        <f t="shared" si="1"/>
        <v>1</v>
      </c>
      <c r="D36" s="109" t="str" cm="1">
        <f t="array" ref="D36">INDEX('Oth-Map-1'!$I$7:$K$102,1+B36,C36)</f>
        <v>* differential.element[11].mapping[0].identity = "fhir"</v>
      </c>
    </row>
    <row r="37" spans="1:4" x14ac:dyDescent="0.75">
      <c r="A37" s="111">
        <v>35</v>
      </c>
      <c r="B37" s="111">
        <f t="shared" si="0"/>
        <v>11</v>
      </c>
      <c r="C37" s="111">
        <f t="shared" si="1"/>
        <v>2</v>
      </c>
      <c r="D37" s="109" t="str" cm="1">
        <f t="array" ref="D37">INDEX('Oth-Map-1'!$I$7:$K$102,1+B37,C37)</f>
        <v>* differential.element[11].mapping[0].map = ".text"</v>
      </c>
    </row>
    <row r="38" spans="1:4" x14ac:dyDescent="0.75">
      <c r="A38" s="111">
        <v>36</v>
      </c>
      <c r="B38" s="111">
        <f t="shared" si="0"/>
        <v>11</v>
      </c>
      <c r="C38" s="111">
        <f t="shared" si="1"/>
        <v>3</v>
      </c>
      <c r="D38" s="109" t="str" cm="1">
        <f t="array" ref="D38">INDEX('Oth-Map-1'!$I$7:$K$102,1+B38,C38)</f>
        <v/>
      </c>
    </row>
    <row r="39" spans="1:4" x14ac:dyDescent="0.75">
      <c r="A39" s="111">
        <v>37</v>
      </c>
      <c r="B39" s="111">
        <f t="shared" si="0"/>
        <v>12</v>
      </c>
      <c r="C39" s="111">
        <f t="shared" si="1"/>
        <v>1</v>
      </c>
      <c r="D39" s="109" t="str" cm="1">
        <f t="array" ref="D39">INDEX('Oth-Map-1'!$I$7:$K$102,1+B39,C39)</f>
        <v>* differential.element[12].mapping[0].identity = "fhir"</v>
      </c>
    </row>
    <row r="40" spans="1:4" x14ac:dyDescent="0.75">
      <c r="A40" s="111">
        <v>38</v>
      </c>
      <c r="B40" s="111">
        <f t="shared" si="0"/>
        <v>12</v>
      </c>
      <c r="C40" s="111">
        <f t="shared" si="1"/>
        <v>2</v>
      </c>
      <c r="D40" s="109" t="str" cm="1">
        <f t="array" ref="D40">INDEX('Oth-Map-1'!$I$7:$K$102,1+B40,C40)</f>
        <v>* differential.element[12].mapping[0].map = ".bodySite"</v>
      </c>
    </row>
    <row r="41" spans="1:4" x14ac:dyDescent="0.75">
      <c r="A41" s="111">
        <v>39</v>
      </c>
      <c r="B41" s="111">
        <f t="shared" si="0"/>
        <v>12</v>
      </c>
      <c r="C41" s="111">
        <f t="shared" si="1"/>
        <v>3</v>
      </c>
      <c r="D41" s="109" t="str" cm="1">
        <f t="array" ref="D41">INDEX('Oth-Map-1'!$I$7:$K$102,1+B41,C41)</f>
        <v/>
      </c>
    </row>
    <row r="42" spans="1:4" x14ac:dyDescent="0.75">
      <c r="A42" s="111">
        <v>40</v>
      </c>
      <c r="B42" s="111">
        <f t="shared" si="0"/>
        <v>13</v>
      </c>
      <c r="C42" s="111">
        <f t="shared" si="1"/>
        <v>1</v>
      </c>
      <c r="D42" s="109" t="str" cm="1">
        <f t="array" ref="D42">INDEX('Oth-Map-1'!$I$7:$K$102,1+B42,C42)</f>
        <v>* differential.element[12].mapping[1].identity = "fhir"</v>
      </c>
    </row>
    <row r="43" spans="1:4" x14ac:dyDescent="0.75">
      <c r="A43" s="111">
        <v>41</v>
      </c>
      <c r="B43" s="111">
        <f t="shared" si="0"/>
        <v>13</v>
      </c>
      <c r="C43" s="111">
        <f t="shared" si="1"/>
        <v>2</v>
      </c>
      <c r="D43" s="109" t="str" cm="1">
        <f t="array" ref="D43">INDEX('Oth-Map-1'!$I$7:$K$102,1+B43,C43)</f>
        <v>* differential.element[12].mapping[1].map = ".code"</v>
      </c>
    </row>
    <row r="44" spans="1:4" x14ac:dyDescent="0.75">
      <c r="A44" s="111">
        <v>42</v>
      </c>
      <c r="B44" s="111">
        <f t="shared" si="0"/>
        <v>13</v>
      </c>
      <c r="C44" s="111">
        <f t="shared" si="1"/>
        <v>3</v>
      </c>
      <c r="D44" s="109" t="str" cm="1">
        <f t="array" ref="D44">INDEX('Oth-Map-1'!$I$7:$K$102,1+B44,C44)</f>
        <v/>
      </c>
    </row>
    <row r="45" spans="1:4" x14ac:dyDescent="0.75">
      <c r="A45" s="111">
        <v>43</v>
      </c>
      <c r="B45" s="111">
        <f t="shared" si="0"/>
        <v>14</v>
      </c>
      <c r="C45" s="111">
        <f t="shared" si="1"/>
        <v>1</v>
      </c>
      <c r="D45" s="109" t="str" cm="1">
        <f t="array" ref="D45">INDEX('Oth-Map-1'!$I$7:$K$102,1+B45,C45)</f>
        <v>* differential.element[13].mapping[0].identity = "fhir"</v>
      </c>
    </row>
    <row r="46" spans="1:4" x14ac:dyDescent="0.75">
      <c r="A46" s="111">
        <v>44</v>
      </c>
      <c r="B46" s="111">
        <f t="shared" si="0"/>
        <v>14</v>
      </c>
      <c r="C46" s="111">
        <f t="shared" si="1"/>
        <v>2</v>
      </c>
      <c r="D46" s="109" t="str" cm="1">
        <f t="array" ref="D46">INDEX('Oth-Map-1'!$I$7:$K$102,1+B46,C46)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INDEX('Oth-Map-1'!$I$7:$K$102,1+B47,C47)</f>
        <v/>
      </c>
    </row>
    <row r="48" spans="1:4" x14ac:dyDescent="0.75">
      <c r="A48" s="111">
        <v>46</v>
      </c>
      <c r="B48" s="111">
        <f t="shared" si="0"/>
        <v>15</v>
      </c>
      <c r="C48" s="111">
        <f t="shared" si="1"/>
        <v>1</v>
      </c>
      <c r="D48" s="109" t="str" cm="1">
        <f t="array" ref="D48">INDEX('Oth-Map-1'!$I$7:$K$102,1+B48,C48)</f>
        <v>* differential.element[13].mapping[1].identity = "fhir"</v>
      </c>
    </row>
    <row r="49" spans="1:7" x14ac:dyDescent="0.75">
      <c r="A49" s="111">
        <v>47</v>
      </c>
      <c r="B49" s="111">
        <f t="shared" si="0"/>
        <v>15</v>
      </c>
      <c r="C49" s="111">
        <f t="shared" si="1"/>
        <v>2</v>
      </c>
      <c r="D49" s="109" t="str" cm="1">
        <f t="array" ref="D49">INDEX('Oth-Map-1'!$I$7:$K$102,1+B49,C49)</f>
        <v>* differential.element[13].mapping[1].map = ".code"</v>
      </c>
    </row>
    <row r="50" spans="1:7" x14ac:dyDescent="0.75">
      <c r="A50" s="111">
        <v>48</v>
      </c>
      <c r="B50" s="111">
        <f t="shared" si="0"/>
        <v>15</v>
      </c>
      <c r="C50" s="111">
        <f t="shared" si="1"/>
        <v>3</v>
      </c>
      <c r="D50" s="109" t="str" cm="1">
        <f t="array" ref="D50">INDEX('Oth-Map-1'!$I$7:$K$102,1+B50,C50)</f>
        <v/>
      </c>
    </row>
    <row r="51" spans="1:7" x14ac:dyDescent="0.75">
      <c r="A51" s="111">
        <v>49</v>
      </c>
      <c r="B51" s="111">
        <f t="shared" si="0"/>
        <v>16</v>
      </c>
      <c r="C51" s="111">
        <f t="shared" si="1"/>
        <v>1</v>
      </c>
      <c r="D51" s="109" t="str" cm="1">
        <f t="array" ref="D51">INDEX('Oth-Map-1'!$I$7:$K$102,1+B51,C51)</f>
        <v>* differential.element[14].mapping[0].identity = "fhir"</v>
      </c>
    </row>
    <row r="52" spans="1:7" x14ac:dyDescent="0.75">
      <c r="A52" s="111">
        <v>50</v>
      </c>
      <c r="B52" s="111">
        <f t="shared" si="0"/>
        <v>16</v>
      </c>
      <c r="C52" s="111">
        <f t="shared" si="1"/>
        <v>2</v>
      </c>
      <c r="D52" s="109" t="str" cm="1">
        <f t="array" ref="D52">INDEX('Oth-Map-1'!$I$7:$K$102,1+B52,C52)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INDEX('Oth-Map-1'!$I$7:$K$102,1+B53,C53)</f>
        <v/>
      </c>
    </row>
    <row r="54" spans="1:7" x14ac:dyDescent="0.75">
      <c r="A54" s="111">
        <v>52</v>
      </c>
      <c r="B54" s="111">
        <f t="shared" si="0"/>
        <v>17</v>
      </c>
      <c r="C54" s="111">
        <f t="shared" si="1"/>
        <v>1</v>
      </c>
      <c r="D54" s="109" t="str" cm="1">
        <f t="array" ref="D54">INDEX('Oth-Map-1'!$I$7:$K$102,1+B54,C54)</f>
        <v>* differential.element[15].mapping[0].identity = "fhir"</v>
      </c>
    </row>
    <row r="55" spans="1:7" x14ac:dyDescent="0.75">
      <c r="A55" s="111">
        <v>53</v>
      </c>
      <c r="B55" s="111">
        <f t="shared" si="0"/>
        <v>17</v>
      </c>
      <c r="C55" s="111">
        <f t="shared" si="1"/>
        <v>2</v>
      </c>
      <c r="D55" s="109" t="str" cm="1">
        <f t="array" ref="D55">INDEX('Oth-Map-1'!$I$7:$K$102,1+B55,C55)</f>
        <v>* differential.element[15].mapping[0].map = ".code"</v>
      </c>
      <c r="G55" s="14"/>
    </row>
    <row r="56" spans="1:7" x14ac:dyDescent="0.75">
      <c r="A56" s="111">
        <v>54</v>
      </c>
      <c r="B56" s="111">
        <f t="shared" si="0"/>
        <v>17</v>
      </c>
      <c r="C56" s="111">
        <f t="shared" si="1"/>
        <v>3</v>
      </c>
      <c r="D56" s="109" t="str" cm="1">
        <f t="array" ref="D56">INDEX('Oth-Map-1'!$I$7:$K$102,1+B56,C56)</f>
        <v/>
      </c>
    </row>
    <row r="57" spans="1:7" x14ac:dyDescent="0.75">
      <c r="A57" s="111">
        <v>55</v>
      </c>
      <c r="B57" s="111">
        <f t="shared" si="0"/>
        <v>18</v>
      </c>
      <c r="C57" s="111">
        <f t="shared" si="1"/>
        <v>1</v>
      </c>
      <c r="D57" s="109" t="str" cm="1">
        <f t="array" ref="D57">INDEX('Oth-Map-1'!$I$7:$K$102,1+B57,C57)</f>
        <v>* differential.element[16].mapping[0].identity = "fhir"</v>
      </c>
    </row>
    <row r="58" spans="1:7" x14ac:dyDescent="0.75">
      <c r="A58" s="111">
        <v>56</v>
      </c>
      <c r="B58" s="111">
        <f t="shared" si="0"/>
        <v>18</v>
      </c>
      <c r="C58" s="111">
        <f t="shared" si="1"/>
        <v>2</v>
      </c>
      <c r="D58" s="109" t="str" cm="1">
        <f t="array" ref="D58">INDEX('Oth-Map-1'!$I$7:$K$102,1+B58,C58)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INDEX('Oth-Map-1'!$I$7:$K$102,1+B59,C59)</f>
        <v/>
      </c>
    </row>
    <row r="60" spans="1:7" x14ac:dyDescent="0.75">
      <c r="A60" s="111">
        <v>58</v>
      </c>
      <c r="B60" s="111">
        <f t="shared" si="0"/>
        <v>19</v>
      </c>
      <c r="C60" s="111">
        <f t="shared" si="1"/>
        <v>1</v>
      </c>
      <c r="D60" s="109" t="str" cm="1">
        <f t="array" ref="D60">INDEX('Oth-Map-1'!$I$7:$K$102,1+B60,C60)</f>
        <v>* differential.element[17].mapping[0].identity = "fhir"</v>
      </c>
    </row>
    <row r="61" spans="1:7" x14ac:dyDescent="0.75">
      <c r="A61" s="111">
        <v>59</v>
      </c>
      <c r="B61" s="111">
        <f t="shared" si="0"/>
        <v>19</v>
      </c>
      <c r="C61" s="111">
        <f t="shared" si="1"/>
        <v>2</v>
      </c>
      <c r="D61" s="109" t="str" cm="1">
        <f t="array" ref="D61">INDEX('Oth-Map-1'!$I$7:$K$102,1+B61,C61)</f>
        <v>* differential.element[17].mapping[0].map = ".focalDevice.action"</v>
      </c>
    </row>
    <row r="62" spans="1:7" x14ac:dyDescent="0.75">
      <c r="A62" s="111">
        <v>60</v>
      </c>
      <c r="B62" s="111">
        <f t="shared" si="0"/>
        <v>19</v>
      </c>
      <c r="C62" s="111">
        <f t="shared" si="1"/>
        <v>3</v>
      </c>
      <c r="D62" s="109" t="str" cm="1">
        <f t="array" ref="D62">INDEX('Oth-Map-1'!$I$7:$K$102,1+B62,C62)</f>
        <v/>
      </c>
    </row>
    <row r="63" spans="1:7" x14ac:dyDescent="0.75">
      <c r="A63" s="111">
        <v>61</v>
      </c>
      <c r="B63" s="111">
        <f t="shared" si="0"/>
        <v>20</v>
      </c>
      <c r="C63" s="111">
        <f t="shared" si="1"/>
        <v>1</v>
      </c>
      <c r="D63" s="109" t="str" cm="1">
        <f t="array" ref="D63">INDEX('Oth-Map-1'!$I$7:$K$102,1+B63,C63)</f>
        <v>* differential.element[18].mapping[0].identity = "fhir"</v>
      </c>
    </row>
    <row r="64" spans="1:7" x14ac:dyDescent="0.75">
      <c r="A64" s="111">
        <v>62</v>
      </c>
      <c r="B64" s="111">
        <f t="shared" si="0"/>
        <v>20</v>
      </c>
      <c r="C64" s="111">
        <f t="shared" si="1"/>
        <v>2</v>
      </c>
      <c r="D64" s="109" t="str" cm="1">
        <f t="array" ref="D64">INDEX('Oth-Map-1'!$I$7:$K$102,1+B64,C64)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INDEX('Oth-Map-1'!$I$7:$K$102,1+B65,C65)</f>
        <v/>
      </c>
    </row>
    <row r="66" spans="1:4" x14ac:dyDescent="0.75">
      <c r="A66" s="111">
        <v>64</v>
      </c>
      <c r="B66" s="111">
        <f t="shared" si="0"/>
        <v>21</v>
      </c>
      <c r="C66" s="111">
        <f t="shared" si="1"/>
        <v>1</v>
      </c>
      <c r="D66" s="109" t="str" cm="1">
        <f t="array" ref="D66">INDEX('Oth-Map-1'!$I$7:$K$102,1+B66,C66)</f>
        <v>* differential.element[19].mapping[0].identity = "fhir"</v>
      </c>
    </row>
    <row r="67" spans="1:4" x14ac:dyDescent="0.75">
      <c r="A67" s="111">
        <v>65</v>
      </c>
      <c r="B67" s="111">
        <f t="shared" si="0"/>
        <v>21</v>
      </c>
      <c r="C67" s="111">
        <f t="shared" si="1"/>
        <v>2</v>
      </c>
      <c r="D67" s="109" t="str" cm="1">
        <f t="array" ref="D67">INDEX('Oth-Map-1'!$I$7:$K$102,1+B67,C67)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INDEX('Oth-Map-1'!$I$7:$K$102,1+B68,C68)</f>
        <v/>
      </c>
    </row>
    <row r="69" spans="1:4" x14ac:dyDescent="0.75">
      <c r="A69" s="111">
        <v>67</v>
      </c>
      <c r="B69" s="111">
        <f t="shared" si="2"/>
        <v>22</v>
      </c>
      <c r="C69" s="111">
        <f t="shared" si="3"/>
        <v>1</v>
      </c>
      <c r="D69" s="109" t="str" cm="1">
        <f t="array" ref="D69">INDEX('Oth-Map-1'!$I$7:$K$102,1+B69,C69)</f>
        <v>* differential.element[20].mapping[0].identity = "fhir"</v>
      </c>
    </row>
    <row r="70" spans="1:4" x14ac:dyDescent="0.75">
      <c r="A70" s="111">
        <v>68</v>
      </c>
      <c r="B70" s="111">
        <f t="shared" si="2"/>
        <v>22</v>
      </c>
      <c r="C70" s="111">
        <f t="shared" si="3"/>
        <v>2</v>
      </c>
      <c r="D70" s="109" t="str" cm="1">
        <f t="array" ref="D70">INDEX('Oth-Map-1'!$I$7:$K$102,1+B70,C70)</f>
        <v>* differential.element[20].mapping[0].map = ".exists()"</v>
      </c>
    </row>
    <row r="71" spans="1:4" x14ac:dyDescent="0.75">
      <c r="A71" s="111">
        <v>69</v>
      </c>
      <c r="B71" s="111">
        <f t="shared" si="2"/>
        <v>22</v>
      </c>
      <c r="C71" s="111">
        <f t="shared" si="3"/>
        <v>3</v>
      </c>
      <c r="D71" s="109" t="str" cm="1">
        <f t="array" ref="D71">INDEX('Oth-Map-1'!$I$7:$K$102,1+B71,C71)</f>
        <v/>
      </c>
    </row>
    <row r="72" spans="1:4" x14ac:dyDescent="0.75">
      <c r="A72" s="111">
        <v>70</v>
      </c>
      <c r="B72" s="111">
        <f t="shared" si="2"/>
        <v>23</v>
      </c>
      <c r="C72" s="111">
        <f t="shared" si="3"/>
        <v>1</v>
      </c>
      <c r="D72" s="109" t="str" cm="1">
        <f t="array" ref="D72">INDEX('Oth-Map-1'!$I$7:$K$102,1+B72,C72)</f>
        <v>* differential.element[21].mapping[0].identity = "fhir"</v>
      </c>
    </row>
    <row r="73" spans="1:4" x14ac:dyDescent="0.75">
      <c r="A73" s="111">
        <v>71</v>
      </c>
      <c r="B73" s="111">
        <f t="shared" si="2"/>
        <v>23</v>
      </c>
      <c r="C73" s="111">
        <f t="shared" si="3"/>
        <v>2</v>
      </c>
      <c r="D73" s="109" t="str" cm="1">
        <f t="array" ref="D73">INDEX('Oth-Map-1'!$I$7:$K$102,1+B73,C73)</f>
        <v>* differential.element[21].mapping[0].map = "usedCode"</v>
      </c>
    </row>
    <row r="74" spans="1:4" x14ac:dyDescent="0.75">
      <c r="A74" s="111">
        <v>72</v>
      </c>
      <c r="B74" s="111">
        <f t="shared" si="2"/>
        <v>23</v>
      </c>
      <c r="C74" s="111">
        <f t="shared" si="3"/>
        <v>3</v>
      </c>
      <c r="D74" s="109" t="str" cm="1">
        <f t="array" ref="D74">INDEX('Oth-Map-1'!$I$7:$K$102,1+B74,C74)</f>
        <v/>
      </c>
    </row>
    <row r="75" spans="1:4" x14ac:dyDescent="0.75">
      <c r="A75" s="111">
        <v>73</v>
      </c>
      <c r="B75" s="111">
        <f t="shared" si="2"/>
        <v>24</v>
      </c>
      <c r="C75" s="111">
        <f t="shared" si="3"/>
        <v>1</v>
      </c>
      <c r="D75" s="109" t="str" cm="1">
        <f t="array" ref="D75">INDEX('Oth-Map-1'!$I$7:$K$102,1+B75,C75)</f>
        <v>* differential.element[22].mapping[0].identity = "fhir"</v>
      </c>
    </row>
    <row r="76" spans="1:4" x14ac:dyDescent="0.75">
      <c r="A76" s="111">
        <v>74</v>
      </c>
      <c r="B76" s="111">
        <f t="shared" si="2"/>
        <v>24</v>
      </c>
      <c r="C76" s="111">
        <f t="shared" si="3"/>
        <v>2</v>
      </c>
      <c r="D76" s="109" t="str" cm="1">
        <f t="array" ref="D76">INDEX('Oth-Map-1'!$I$7:$K$102,1+B76,C76)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INDEX('Oth-Map-1'!$I$7:$K$102,1+B77,C77)</f>
        <v/>
      </c>
    </row>
    <row r="78" spans="1:4" x14ac:dyDescent="0.75">
      <c r="A78" s="111">
        <v>76</v>
      </c>
      <c r="B78" s="111">
        <f t="shared" si="2"/>
        <v>25</v>
      </c>
      <c r="C78" s="111">
        <f t="shared" si="3"/>
        <v>1</v>
      </c>
      <c r="D78" s="109" t="str" cm="1">
        <f t="array" ref="D78">INDEX('Oth-Map-1'!$I$7:$K$102,1+B78,C78)</f>
        <v>* differential.element[23].mapping[0].identity = "fhir"</v>
      </c>
    </row>
    <row r="79" spans="1:4" x14ac:dyDescent="0.75">
      <c r="A79" s="111">
        <v>77</v>
      </c>
      <c r="B79" s="111">
        <f t="shared" si="2"/>
        <v>25</v>
      </c>
      <c r="C79" s="111">
        <f t="shared" si="3"/>
        <v>2</v>
      </c>
      <c r="D79" s="109" t="str" cm="1">
        <f t="array" ref="D79">INDEX('Oth-Map-1'!$I$7:$K$102,1+B79,C79)</f>
        <v>* differential.element[23].mapping[0].map = ".exists()"</v>
      </c>
    </row>
    <row r="80" spans="1:4" x14ac:dyDescent="0.75">
      <c r="A80" s="111">
        <v>78</v>
      </c>
      <c r="B80" s="111">
        <f t="shared" si="2"/>
        <v>25</v>
      </c>
      <c r="C80" s="111">
        <f t="shared" si="3"/>
        <v>3</v>
      </c>
      <c r="D80" s="109" t="str" cm="1">
        <f t="array" ref="D80">INDEX('Oth-Map-1'!$I$7:$K$102,1+B80,C80)</f>
        <v/>
      </c>
    </row>
    <row r="81" spans="1:4" x14ac:dyDescent="0.75">
      <c r="A81" s="111">
        <v>79</v>
      </c>
      <c r="B81" s="111">
        <f t="shared" si="2"/>
        <v>26</v>
      </c>
      <c r="C81" s="111">
        <f t="shared" si="3"/>
        <v>1</v>
      </c>
      <c r="D81" s="109" t="str" cm="1">
        <f t="array" ref="D81">INDEX('Oth-Map-1'!$I$7:$K$102,1+B81,C81)</f>
        <v>* differential.element[24].mapping[0].identity = "fhir"</v>
      </c>
    </row>
    <row r="82" spans="1:4" x14ac:dyDescent="0.75">
      <c r="A82" s="111">
        <v>80</v>
      </c>
      <c r="B82" s="111">
        <f t="shared" si="2"/>
        <v>26</v>
      </c>
      <c r="C82" s="111">
        <f t="shared" si="3"/>
        <v>2</v>
      </c>
      <c r="D82" s="109" t="str" cm="1">
        <f t="array" ref="D82">INDEX('Oth-Map-1'!$I$7:$K$102,1+B82,C82)</f>
        <v>* differential.element[24].mapping[0].map = ".focalDevice.action"</v>
      </c>
    </row>
    <row r="83" spans="1:4" x14ac:dyDescent="0.75">
      <c r="A83" s="111">
        <v>81</v>
      </c>
      <c r="B83" s="111">
        <f t="shared" si="2"/>
        <v>26</v>
      </c>
      <c r="C83" s="111">
        <f t="shared" si="3"/>
        <v>3</v>
      </c>
      <c r="D83" s="109" t="str" cm="1">
        <f t="array" ref="D83">INDEX('Oth-Map-1'!$I$7:$K$102,1+B83,C83)</f>
        <v/>
      </c>
    </row>
    <row r="84" spans="1:4" x14ac:dyDescent="0.75">
      <c r="A84" s="111">
        <v>82</v>
      </c>
      <c r="B84" s="111">
        <f t="shared" si="2"/>
        <v>27</v>
      </c>
      <c r="C84" s="111">
        <f t="shared" si="3"/>
        <v>1</v>
      </c>
      <c r="D84" s="109" t="str" cm="1">
        <f t="array" ref="D84">INDEX('Oth-Map-1'!$I$7:$K$102,1+B84,C84)</f>
        <v>* differential.element[25].mapping[0].identity = "fhir"</v>
      </c>
    </row>
    <row r="85" spans="1:4" x14ac:dyDescent="0.75">
      <c r="A85" s="111">
        <v>83</v>
      </c>
      <c r="B85" s="111">
        <f t="shared" si="2"/>
        <v>27</v>
      </c>
      <c r="C85" s="111">
        <f t="shared" si="3"/>
        <v>2</v>
      </c>
      <c r="D85" s="109" t="str" cm="1">
        <f t="array" ref="D85">INDEX('Oth-Map-1'!$I$7:$K$102,1+B85,C85)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INDEX('Oth-Map-1'!$I$7:$K$102,1+B86,C86)</f>
        <v/>
      </c>
    </row>
    <row r="87" spans="1:4" x14ac:dyDescent="0.75">
      <c r="A87" s="111">
        <v>85</v>
      </c>
      <c r="B87" s="111">
        <f t="shared" si="2"/>
        <v>28</v>
      </c>
      <c r="C87" s="111">
        <f t="shared" si="3"/>
        <v>1</v>
      </c>
      <c r="D87" s="109" t="str" cm="1">
        <f t="array" ref="D87">INDEX('Oth-Map-1'!$I$7:$K$102,1+B87,C87)</f>
        <v/>
      </c>
    </row>
    <row r="88" spans="1:4" x14ac:dyDescent="0.75">
      <c r="A88" s="111">
        <v>86</v>
      </c>
      <c r="B88" s="111">
        <f t="shared" si="2"/>
        <v>28</v>
      </c>
      <c r="C88" s="111">
        <f t="shared" si="3"/>
        <v>2</v>
      </c>
      <c r="D88" s="109" t="str" cm="1">
        <f t="array" ref="D88">INDEX('Oth-Map-1'!$I$7:$K$102,1+B88,C88)</f>
        <v/>
      </c>
    </row>
    <row r="89" spans="1:4" x14ac:dyDescent="0.75">
      <c r="A89" s="111">
        <v>87</v>
      </c>
      <c r="B89" s="111">
        <f t="shared" si="2"/>
        <v>28</v>
      </c>
      <c r="C89" s="111">
        <f t="shared" si="3"/>
        <v>3</v>
      </c>
      <c r="D89" s="109" t="str" cm="1">
        <f t="array" ref="D89">INDEX('Oth-Map-1'!$I$7:$K$102,1+B89,C89)</f>
        <v/>
      </c>
    </row>
    <row r="90" spans="1:4" x14ac:dyDescent="0.75">
      <c r="A90" s="111">
        <v>88</v>
      </c>
      <c r="B90" s="111">
        <f t="shared" si="2"/>
        <v>29</v>
      </c>
      <c r="C90" s="111">
        <f t="shared" si="3"/>
        <v>1</v>
      </c>
      <c r="D90" s="109" t="str" cm="1">
        <f t="array" ref="D90">INDEX('Oth-Map-1'!$I$7:$K$102,1+B90,C90)</f>
        <v/>
      </c>
    </row>
    <row r="91" spans="1:4" x14ac:dyDescent="0.75">
      <c r="A91" s="111">
        <v>89</v>
      </c>
      <c r="B91" s="111">
        <f t="shared" si="2"/>
        <v>29</v>
      </c>
      <c r="C91" s="111">
        <f t="shared" si="3"/>
        <v>2</v>
      </c>
      <c r="D91" s="109" t="str" cm="1">
        <f t="array" ref="D91">INDEX('Oth-Map-1'!$I$7:$K$102,1+B91,C91)</f>
        <v/>
      </c>
    </row>
    <row r="92" spans="1:4" x14ac:dyDescent="0.75">
      <c r="A92" s="111">
        <v>90</v>
      </c>
      <c r="B92" s="111">
        <f t="shared" si="2"/>
        <v>29</v>
      </c>
      <c r="C92" s="111">
        <f t="shared" si="3"/>
        <v>3</v>
      </c>
      <c r="D92" s="109" t="str" cm="1">
        <f t="array" ref="D92">INDEX('Oth-Map-1'!$I$7:$K$102,1+B92,C92)</f>
        <v/>
      </c>
    </row>
    <row r="93" spans="1:4" x14ac:dyDescent="0.75">
      <c r="A93" s="111">
        <v>91</v>
      </c>
      <c r="B93" s="111">
        <f t="shared" si="2"/>
        <v>30</v>
      </c>
      <c r="C93" s="111">
        <f t="shared" si="3"/>
        <v>1</v>
      </c>
      <c r="D93" s="109" t="str" cm="1">
        <f t="array" ref="D93">INDEX('Oth-Map-1'!$I$7:$K$102,1+B93,C93)</f>
        <v/>
      </c>
    </row>
    <row r="94" spans="1:4" x14ac:dyDescent="0.75">
      <c r="A94" s="111">
        <v>92</v>
      </c>
      <c r="B94" s="111">
        <f t="shared" si="2"/>
        <v>30</v>
      </c>
      <c r="C94" s="111">
        <f t="shared" si="3"/>
        <v>2</v>
      </c>
      <c r="D94" s="109" t="str" cm="1">
        <f t="array" ref="D94">INDEX('Oth-Map-1'!$I$7:$K$102,1+B94,C94)</f>
        <v/>
      </c>
    </row>
    <row r="95" spans="1:4" x14ac:dyDescent="0.75">
      <c r="A95" s="111">
        <v>93</v>
      </c>
      <c r="B95" s="111">
        <f t="shared" si="2"/>
        <v>30</v>
      </c>
      <c r="C95" s="111">
        <f t="shared" si="3"/>
        <v>3</v>
      </c>
      <c r="D95" s="109" t="str" cm="1">
        <f t="array" ref="D95">INDEX('Oth-Map-1'!$I$7:$K$102,1+B95,C95)</f>
        <v/>
      </c>
    </row>
    <row r="96" spans="1:4" x14ac:dyDescent="0.75">
      <c r="A96" s="111">
        <v>94</v>
      </c>
      <c r="B96" s="111">
        <f t="shared" si="2"/>
        <v>31</v>
      </c>
      <c r="C96" s="111">
        <f t="shared" si="3"/>
        <v>1</v>
      </c>
      <c r="D96" s="109" t="str" cm="1">
        <f t="array" ref="D96">INDEX('Oth-Map-1'!$I$7:$K$102,1+B96,C96)</f>
        <v/>
      </c>
    </row>
    <row r="97" spans="1:4" x14ac:dyDescent="0.75">
      <c r="A97" s="111">
        <v>95</v>
      </c>
      <c r="B97" s="111">
        <f t="shared" si="2"/>
        <v>31</v>
      </c>
      <c r="C97" s="111">
        <f t="shared" si="3"/>
        <v>2</v>
      </c>
      <c r="D97" s="109" t="str" cm="1">
        <f t="array" ref="D97">INDEX('Oth-Map-1'!$I$7:$K$102,1+B97,C97)</f>
        <v/>
      </c>
    </row>
    <row r="98" spans="1:4" x14ac:dyDescent="0.75">
      <c r="A98" s="111">
        <v>96</v>
      </c>
      <c r="B98" s="111">
        <f t="shared" si="2"/>
        <v>31</v>
      </c>
      <c r="C98" s="111">
        <f t="shared" si="3"/>
        <v>3</v>
      </c>
      <c r="D98" s="109" t="str" cm="1">
        <f t="array" ref="D98">INDEX('Oth-Map-1'!$I$7:$K$102,1+B98,C98)</f>
        <v/>
      </c>
    </row>
    <row r="99" spans="1:4" x14ac:dyDescent="0.75">
      <c r="A99" s="111">
        <v>97</v>
      </c>
      <c r="B99" s="111">
        <f t="shared" si="2"/>
        <v>32</v>
      </c>
      <c r="C99" s="111">
        <f t="shared" si="3"/>
        <v>1</v>
      </c>
      <c r="D99" s="109" t="str" cm="1">
        <f t="array" ref="D99">INDEX('Oth-Map-1'!$I$7:$K$102,1+B99,C99)</f>
        <v/>
      </c>
    </row>
    <row r="100" spans="1:4" x14ac:dyDescent="0.75">
      <c r="A100" s="111">
        <v>98</v>
      </c>
      <c r="B100" s="111">
        <f t="shared" si="2"/>
        <v>32</v>
      </c>
      <c r="C100" s="111">
        <f t="shared" si="3"/>
        <v>2</v>
      </c>
      <c r="D100" s="109" t="str" cm="1">
        <f t="array" ref="D100">INDEX('Oth-Map-1'!$I$7:$K$102,1+B100,C100)</f>
        <v/>
      </c>
    </row>
    <row r="101" spans="1:4" x14ac:dyDescent="0.75">
      <c r="A101" s="111">
        <v>99</v>
      </c>
      <c r="B101" s="111">
        <f t="shared" si="2"/>
        <v>32</v>
      </c>
      <c r="C101" s="111">
        <f t="shared" si="3"/>
        <v>3</v>
      </c>
      <c r="D101" s="109" t="str" cm="1">
        <f t="array" ref="D101">INDEX('Oth-Map-1'!$I$7:$K$102,1+B101,C101)</f>
        <v/>
      </c>
    </row>
    <row r="102" spans="1:4" x14ac:dyDescent="0.75">
      <c r="A102" s="111">
        <v>100</v>
      </c>
      <c r="B102" s="111">
        <f t="shared" si="2"/>
        <v>33</v>
      </c>
      <c r="C102" s="111">
        <f t="shared" si="3"/>
        <v>1</v>
      </c>
      <c r="D102" s="109" t="str" cm="1">
        <f t="array" ref="D102">INDEX('Oth-Map-1'!$I$7:$K$102,1+B102,C102)</f>
        <v/>
      </c>
    </row>
    <row r="103" spans="1:4" x14ac:dyDescent="0.75">
      <c r="A103" s="111">
        <v>101</v>
      </c>
      <c r="B103" s="111">
        <f t="shared" si="2"/>
        <v>33</v>
      </c>
      <c r="C103" s="111">
        <f t="shared" si="3"/>
        <v>2</v>
      </c>
      <c r="D103" s="109" t="str" cm="1">
        <f t="array" ref="D103">INDEX('Oth-Map-1'!$I$7:$K$102,1+B103,C103)</f>
        <v/>
      </c>
    </row>
    <row r="104" spans="1:4" x14ac:dyDescent="0.75">
      <c r="A104" s="111">
        <v>102</v>
      </c>
      <c r="B104" s="111">
        <f t="shared" si="2"/>
        <v>33</v>
      </c>
      <c r="C104" s="111">
        <f t="shared" si="3"/>
        <v>3</v>
      </c>
      <c r="D104" s="109" t="str" cm="1">
        <f t="array" ref="D104">INDEX('Oth-Map-1'!$I$7:$K$102,1+B104,C104)</f>
        <v/>
      </c>
    </row>
    <row r="105" spans="1:4" x14ac:dyDescent="0.75">
      <c r="A105" s="111">
        <v>103</v>
      </c>
      <c r="B105" s="111">
        <f t="shared" si="2"/>
        <v>34</v>
      </c>
      <c r="C105" s="111">
        <f t="shared" si="3"/>
        <v>1</v>
      </c>
      <c r="D105" s="109" t="str" cm="1">
        <f t="array" ref="D105">INDEX('Oth-Map-1'!$I$7:$K$102,1+B105,C105)</f>
        <v/>
      </c>
    </row>
    <row r="106" spans="1:4" x14ac:dyDescent="0.75">
      <c r="A106" s="111">
        <v>104</v>
      </c>
      <c r="B106" s="111">
        <f t="shared" si="2"/>
        <v>34</v>
      </c>
      <c r="C106" s="111">
        <f t="shared" si="3"/>
        <v>2</v>
      </c>
      <c r="D106" s="109" t="str" cm="1">
        <f t="array" ref="D106">INDEX('Oth-Map-1'!$I$7:$K$102,1+B106,C106)</f>
        <v/>
      </c>
    </row>
    <row r="107" spans="1:4" x14ac:dyDescent="0.75">
      <c r="A107" s="111">
        <v>105</v>
      </c>
      <c r="B107" s="111">
        <f t="shared" si="2"/>
        <v>34</v>
      </c>
      <c r="C107" s="111">
        <f t="shared" si="3"/>
        <v>3</v>
      </c>
      <c r="D107" s="109" t="str" cm="1">
        <f t="array" ref="D107">INDEX('Oth-Map-1'!$I$7:$K$102,1+B107,C107)</f>
        <v/>
      </c>
    </row>
    <row r="108" spans="1:4" x14ac:dyDescent="0.75">
      <c r="A108" s="111">
        <v>106</v>
      </c>
      <c r="B108" s="111">
        <f t="shared" si="2"/>
        <v>35</v>
      </c>
      <c r="C108" s="111">
        <f t="shared" si="3"/>
        <v>1</v>
      </c>
      <c r="D108" s="109" t="str" cm="1">
        <f t="array" ref="D108">INDEX('Oth-Map-1'!$I$7:$K$102,1+B108,C108)</f>
        <v/>
      </c>
    </row>
    <row r="109" spans="1:4" x14ac:dyDescent="0.75">
      <c r="A109" s="111">
        <v>107</v>
      </c>
      <c r="B109" s="111">
        <f t="shared" si="2"/>
        <v>35</v>
      </c>
      <c r="C109" s="111">
        <f t="shared" si="3"/>
        <v>2</v>
      </c>
      <c r="D109" s="109" t="str" cm="1">
        <f t="array" ref="D109">INDEX('Oth-Map-1'!$I$7:$K$102,1+B109,C109)</f>
        <v/>
      </c>
    </row>
    <row r="110" spans="1:4" x14ac:dyDescent="0.75">
      <c r="A110" s="111">
        <v>108</v>
      </c>
      <c r="B110" s="111">
        <f t="shared" si="2"/>
        <v>35</v>
      </c>
      <c r="C110" s="111">
        <f t="shared" si="3"/>
        <v>3</v>
      </c>
      <c r="D110" s="109" t="str" cm="1">
        <f t="array" ref="D110">INDEX('Oth-Map-1'!$I$7:$K$102,1+B110,C110)</f>
        <v/>
      </c>
    </row>
    <row r="111" spans="1:4" x14ac:dyDescent="0.75">
      <c r="A111" s="111">
        <v>109</v>
      </c>
      <c r="B111" s="111">
        <f t="shared" si="2"/>
        <v>36</v>
      </c>
      <c r="C111" s="111">
        <f t="shared" si="3"/>
        <v>1</v>
      </c>
      <c r="D111" s="109" t="str" cm="1">
        <f t="array" ref="D111">INDEX('Oth-Map-1'!$I$7:$K$102,1+B111,C111)</f>
        <v/>
      </c>
    </row>
    <row r="112" spans="1:4" x14ac:dyDescent="0.75">
      <c r="A112" s="111">
        <v>110</v>
      </c>
      <c r="B112" s="111">
        <f t="shared" si="2"/>
        <v>36</v>
      </c>
      <c r="C112" s="111">
        <f t="shared" si="3"/>
        <v>2</v>
      </c>
      <c r="D112" s="109" t="str" cm="1">
        <f t="array" ref="D112">INDEX('Oth-Map-1'!$I$7:$K$102,1+B112,C112)</f>
        <v/>
      </c>
    </row>
    <row r="113" spans="1:4" x14ac:dyDescent="0.75">
      <c r="A113" s="111">
        <v>111</v>
      </c>
      <c r="B113" s="111">
        <f t="shared" si="2"/>
        <v>36</v>
      </c>
      <c r="C113" s="111">
        <f t="shared" si="3"/>
        <v>3</v>
      </c>
      <c r="D113" s="109" t="str" cm="1">
        <f t="array" ref="D113">INDEX('Oth-Map-1'!$I$7:$K$102,1+B113,C113)</f>
        <v/>
      </c>
    </row>
    <row r="114" spans="1:4" x14ac:dyDescent="0.75">
      <c r="A114" s="111">
        <v>112</v>
      </c>
      <c r="B114" s="111">
        <f t="shared" si="2"/>
        <v>37</v>
      </c>
      <c r="C114" s="111">
        <f t="shared" si="3"/>
        <v>1</v>
      </c>
      <c r="D114" s="109" t="str" cm="1">
        <f t="array" ref="D114">INDEX('Oth-Map-1'!$I$7:$K$102,1+B114,C114)</f>
        <v/>
      </c>
    </row>
    <row r="115" spans="1:4" x14ac:dyDescent="0.75">
      <c r="A115" s="111">
        <v>113</v>
      </c>
      <c r="B115" s="111">
        <f t="shared" si="2"/>
        <v>37</v>
      </c>
      <c r="C115" s="111">
        <f t="shared" si="3"/>
        <v>2</v>
      </c>
      <c r="D115" s="109" t="str" cm="1">
        <f t="array" ref="D115">INDEX('Oth-Map-1'!$I$7:$K$102,1+B115,C115)</f>
        <v/>
      </c>
    </row>
    <row r="116" spans="1:4" x14ac:dyDescent="0.75">
      <c r="A116" s="111">
        <v>114</v>
      </c>
      <c r="B116" s="111">
        <f t="shared" si="2"/>
        <v>37</v>
      </c>
      <c r="C116" s="111">
        <f t="shared" si="3"/>
        <v>3</v>
      </c>
      <c r="D116" s="109" t="str" cm="1">
        <f t="array" ref="D116">INDEX('Oth-Map-1'!$I$7:$K$102,1+B116,C116)</f>
        <v/>
      </c>
    </row>
    <row r="117" spans="1:4" x14ac:dyDescent="0.75">
      <c r="A117" s="111">
        <v>115</v>
      </c>
      <c r="B117" s="111">
        <f t="shared" si="2"/>
        <v>38</v>
      </c>
      <c r="C117" s="111">
        <f t="shared" si="3"/>
        <v>1</v>
      </c>
      <c r="D117" s="109" t="str" cm="1">
        <f t="array" ref="D117">INDEX('Oth-Map-1'!$I$7:$K$102,1+B117,C117)</f>
        <v/>
      </c>
    </row>
    <row r="118" spans="1:4" x14ac:dyDescent="0.75">
      <c r="A118" s="111">
        <v>116</v>
      </c>
      <c r="B118" s="111">
        <f t="shared" si="2"/>
        <v>38</v>
      </c>
      <c r="C118" s="111">
        <f t="shared" si="3"/>
        <v>2</v>
      </c>
      <c r="D118" s="109" t="str" cm="1">
        <f t="array" ref="D118">INDEX('Oth-Map-1'!$I$7:$K$102,1+B118,C118)</f>
        <v/>
      </c>
    </row>
    <row r="119" spans="1:4" x14ac:dyDescent="0.75">
      <c r="A119" s="111">
        <v>117</v>
      </c>
      <c r="B119" s="111">
        <f t="shared" si="2"/>
        <v>38</v>
      </c>
      <c r="C119" s="111">
        <f t="shared" si="3"/>
        <v>3</v>
      </c>
      <c r="D119" s="109" t="str" cm="1">
        <f t="array" ref="D119">INDEX('Oth-Map-1'!$I$7:$K$102,1+B119,C119)</f>
        <v/>
      </c>
    </row>
    <row r="120" spans="1:4" x14ac:dyDescent="0.75">
      <c r="A120" s="111">
        <v>118</v>
      </c>
      <c r="B120" s="111">
        <f t="shared" si="2"/>
        <v>39</v>
      </c>
      <c r="C120" s="111">
        <f t="shared" si="3"/>
        <v>1</v>
      </c>
      <c r="D120" s="109" t="str" cm="1">
        <f t="array" ref="D120">INDEX('Oth-Map-1'!$I$7:$K$102,1+B120,C120)</f>
        <v/>
      </c>
    </row>
    <row r="121" spans="1:4" x14ac:dyDescent="0.75">
      <c r="A121" s="111">
        <v>119</v>
      </c>
      <c r="B121" s="111">
        <f t="shared" si="2"/>
        <v>39</v>
      </c>
      <c r="C121" s="111">
        <f t="shared" si="3"/>
        <v>2</v>
      </c>
      <c r="D121" s="109" t="str" cm="1">
        <f t="array" ref="D121">INDEX('Oth-Map-1'!$I$7:$K$102,1+B121,C121)</f>
        <v/>
      </c>
    </row>
    <row r="122" spans="1:4" x14ac:dyDescent="0.75">
      <c r="A122" s="111">
        <v>120</v>
      </c>
      <c r="B122" s="111">
        <f t="shared" si="2"/>
        <v>39</v>
      </c>
      <c r="C122" s="111">
        <f t="shared" si="3"/>
        <v>3</v>
      </c>
      <c r="D122" s="109" t="str" cm="1">
        <f t="array" ref="D122">INDEX('Oth-Map-1'!$I$7:$K$102,1+B122,C122)</f>
        <v/>
      </c>
    </row>
    <row r="123" spans="1:4" x14ac:dyDescent="0.75">
      <c r="A123" s="111">
        <v>121</v>
      </c>
      <c r="B123" s="111">
        <f t="shared" si="2"/>
        <v>40</v>
      </c>
      <c r="C123" s="111">
        <f t="shared" si="3"/>
        <v>1</v>
      </c>
      <c r="D123" s="109" t="str" cm="1">
        <f t="array" ref="D123">INDEX('Oth-Map-1'!$I$7:$K$102,1+B123,C123)</f>
        <v/>
      </c>
    </row>
    <row r="124" spans="1:4" x14ac:dyDescent="0.75">
      <c r="A124" s="111">
        <v>122</v>
      </c>
      <c r="B124" s="111">
        <f t="shared" si="2"/>
        <v>40</v>
      </c>
      <c r="C124" s="111">
        <f t="shared" si="3"/>
        <v>2</v>
      </c>
      <c r="D124" s="109" t="str" cm="1">
        <f t="array" ref="D124">INDEX('Oth-Map-1'!$I$7:$K$102,1+B124,C124)</f>
        <v/>
      </c>
    </row>
    <row r="125" spans="1:4" x14ac:dyDescent="0.75">
      <c r="A125" s="111">
        <v>123</v>
      </c>
      <c r="B125" s="111">
        <f t="shared" si="2"/>
        <v>40</v>
      </c>
      <c r="C125" s="111">
        <f t="shared" si="3"/>
        <v>3</v>
      </c>
      <c r="D125" s="109" t="str" cm="1">
        <f t="array" ref="D125">INDEX('Oth-Map-1'!$I$7:$K$102,1+B125,C125)</f>
        <v/>
      </c>
    </row>
    <row r="126" spans="1:4" x14ac:dyDescent="0.75">
      <c r="A126" s="111">
        <v>124</v>
      </c>
      <c r="B126" s="111">
        <f t="shared" si="2"/>
        <v>41</v>
      </c>
      <c r="C126" s="111">
        <f t="shared" si="3"/>
        <v>1</v>
      </c>
      <c r="D126" s="109" t="str" cm="1">
        <f t="array" ref="D126">INDEX('Oth-Map-1'!$I$7:$K$102,1+B126,C126)</f>
        <v/>
      </c>
    </row>
    <row r="127" spans="1:4" x14ac:dyDescent="0.75">
      <c r="A127" s="111">
        <v>125</v>
      </c>
      <c r="B127" s="111">
        <f t="shared" si="2"/>
        <v>41</v>
      </c>
      <c r="C127" s="111">
        <f t="shared" si="3"/>
        <v>2</v>
      </c>
      <c r="D127" s="109" t="str" cm="1">
        <f t="array" ref="D127">INDEX('Oth-Map-1'!$I$7:$K$102,1+B127,C127)</f>
        <v/>
      </c>
    </row>
    <row r="128" spans="1:4" x14ac:dyDescent="0.75">
      <c r="A128" s="111">
        <v>126</v>
      </c>
      <c r="B128" s="111">
        <f t="shared" si="2"/>
        <v>41</v>
      </c>
      <c r="C128" s="111">
        <f t="shared" si="3"/>
        <v>3</v>
      </c>
      <c r="D128" s="109" t="str" cm="1">
        <f t="array" ref="D128">INDEX('Oth-Map-1'!$I$7:$K$102,1+B128,C128)</f>
        <v/>
      </c>
    </row>
    <row r="129" spans="1:4" x14ac:dyDescent="0.75">
      <c r="A129" s="111">
        <v>127</v>
      </c>
      <c r="B129" s="111">
        <f t="shared" si="2"/>
        <v>42</v>
      </c>
      <c r="C129" s="111">
        <f t="shared" si="3"/>
        <v>1</v>
      </c>
      <c r="D129" s="109" t="str" cm="1">
        <f t="array" ref="D129">INDEX('Oth-Map-1'!$I$7:$K$102,1+B129,C129)</f>
        <v/>
      </c>
    </row>
    <row r="130" spans="1:4" x14ac:dyDescent="0.75">
      <c r="A130" s="111">
        <v>128</v>
      </c>
      <c r="B130" s="111">
        <f t="shared" si="2"/>
        <v>42</v>
      </c>
      <c r="C130" s="111">
        <f t="shared" si="3"/>
        <v>2</v>
      </c>
      <c r="D130" s="109" t="str" cm="1">
        <f t="array" ref="D130">INDEX('Oth-Map-1'!$I$7:$K$102,1+B130,C130)</f>
        <v/>
      </c>
    </row>
    <row r="131" spans="1:4" x14ac:dyDescent="0.75">
      <c r="A131" s="111">
        <v>129</v>
      </c>
      <c r="B131" s="111">
        <f t="shared" si="2"/>
        <v>42</v>
      </c>
      <c r="C131" s="111">
        <f t="shared" si="3"/>
        <v>3</v>
      </c>
      <c r="D131" s="109" t="str" cm="1">
        <f t="array" ref="D131">INDEX('Oth-Map-1'!$I$7:$K$102,1+B131,C131)</f>
        <v/>
      </c>
    </row>
    <row r="132" spans="1:4" x14ac:dyDescent="0.75">
      <c r="A132" s="111">
        <v>130</v>
      </c>
      <c r="B132" s="111">
        <f t="shared" ref="B132:B195" si="4">IF(MOD(A132,3)=0,A132/3-1,INT(A132/3))</f>
        <v>43</v>
      </c>
      <c r="C132" s="111">
        <f t="shared" ref="C132:C195" si="5">IF(MOD(A132,3)=0,3,MOD(A132,3))</f>
        <v>1</v>
      </c>
      <c r="D132" s="109" t="str" cm="1">
        <f t="array" ref="D132">INDEX('Oth-Map-1'!$I$7:$K$102,1+B132,C132)</f>
        <v/>
      </c>
    </row>
    <row r="133" spans="1:4" x14ac:dyDescent="0.75">
      <c r="A133" s="111">
        <v>131</v>
      </c>
      <c r="B133" s="111">
        <f t="shared" si="4"/>
        <v>43</v>
      </c>
      <c r="C133" s="111">
        <f t="shared" si="5"/>
        <v>2</v>
      </c>
      <c r="D133" s="109" t="str" cm="1">
        <f t="array" ref="D133">INDEX('Oth-Map-1'!$I$7:$K$102,1+B133,C133)</f>
        <v/>
      </c>
    </row>
    <row r="134" spans="1:4" x14ac:dyDescent="0.75">
      <c r="A134" s="111">
        <v>132</v>
      </c>
      <c r="B134" s="111">
        <f t="shared" si="4"/>
        <v>43</v>
      </c>
      <c r="C134" s="111">
        <f t="shared" si="5"/>
        <v>3</v>
      </c>
      <c r="D134" s="109" t="str" cm="1">
        <f t="array" ref="D134">INDEX('Oth-Map-1'!$I$7:$K$102,1+B134,C134)</f>
        <v/>
      </c>
    </row>
    <row r="135" spans="1:4" x14ac:dyDescent="0.75">
      <c r="A135" s="111">
        <v>133</v>
      </c>
      <c r="B135" s="111">
        <f t="shared" si="4"/>
        <v>44</v>
      </c>
      <c r="C135" s="111">
        <f t="shared" si="5"/>
        <v>1</v>
      </c>
      <c r="D135" s="109" t="str" cm="1">
        <f t="array" ref="D135">INDEX('Oth-Map-1'!$I$7:$K$102,1+B135,C135)</f>
        <v/>
      </c>
    </row>
    <row r="136" spans="1:4" x14ac:dyDescent="0.75">
      <c r="A136" s="111">
        <v>134</v>
      </c>
      <c r="B136" s="111">
        <f t="shared" si="4"/>
        <v>44</v>
      </c>
      <c r="C136" s="111">
        <f t="shared" si="5"/>
        <v>2</v>
      </c>
      <c r="D136" s="109" t="str" cm="1">
        <f t="array" ref="D136">INDEX('Oth-Map-1'!$I$7:$K$102,1+B136,C136)</f>
        <v/>
      </c>
    </row>
    <row r="137" spans="1:4" x14ac:dyDescent="0.75">
      <c r="A137" s="111">
        <v>135</v>
      </c>
      <c r="B137" s="111">
        <f t="shared" si="4"/>
        <v>44</v>
      </c>
      <c r="C137" s="111">
        <f t="shared" si="5"/>
        <v>3</v>
      </c>
      <c r="D137" s="109" t="str" cm="1">
        <f t="array" ref="D137">INDEX('Oth-Map-1'!$I$7:$K$102,1+B137,C137)</f>
        <v/>
      </c>
    </row>
    <row r="138" spans="1:4" x14ac:dyDescent="0.75">
      <c r="A138" s="111">
        <v>136</v>
      </c>
      <c r="B138" s="111">
        <f t="shared" si="4"/>
        <v>45</v>
      </c>
      <c r="C138" s="111">
        <f t="shared" si="5"/>
        <v>1</v>
      </c>
      <c r="D138" s="109" t="str" cm="1">
        <f t="array" ref="D138">INDEX('Oth-Map-1'!$I$7:$K$102,1+B138,C138)</f>
        <v/>
      </c>
    </row>
    <row r="139" spans="1:4" x14ac:dyDescent="0.75">
      <c r="A139" s="111">
        <v>137</v>
      </c>
      <c r="B139" s="111">
        <f t="shared" si="4"/>
        <v>45</v>
      </c>
      <c r="C139" s="111">
        <f t="shared" si="5"/>
        <v>2</v>
      </c>
      <c r="D139" s="109" t="str" cm="1">
        <f t="array" ref="D139">INDEX('Oth-Map-1'!$I$7:$K$102,1+B139,C139)</f>
        <v/>
      </c>
    </row>
    <row r="140" spans="1:4" x14ac:dyDescent="0.75">
      <c r="A140" s="111">
        <v>138</v>
      </c>
      <c r="B140" s="111">
        <f t="shared" si="4"/>
        <v>45</v>
      </c>
      <c r="C140" s="111">
        <f t="shared" si="5"/>
        <v>3</v>
      </c>
      <c r="D140" s="109" t="str" cm="1">
        <f t="array" ref="D140">INDEX('Oth-Map-1'!$I$7:$K$102,1+B140,C140)</f>
        <v/>
      </c>
    </row>
    <row r="141" spans="1:4" x14ac:dyDescent="0.75">
      <c r="A141" s="111">
        <v>139</v>
      </c>
      <c r="B141" s="111">
        <f t="shared" si="4"/>
        <v>46</v>
      </c>
      <c r="C141" s="111">
        <f t="shared" si="5"/>
        <v>1</v>
      </c>
      <c r="D141" s="109" cm="1">
        <f t="array" ref="D141">INDEX('Oth-Map-1'!$I$7:$K$102,1+B141,C141)</f>
        <v>0</v>
      </c>
    </row>
    <row r="142" spans="1:4" x14ac:dyDescent="0.75">
      <c r="A142" s="111">
        <v>140</v>
      </c>
      <c r="B142" s="111">
        <f t="shared" si="4"/>
        <v>46</v>
      </c>
      <c r="C142" s="111">
        <f t="shared" si="5"/>
        <v>2</v>
      </c>
      <c r="D142" s="109" cm="1">
        <f t="array" ref="D142">INDEX('Oth-Map-1'!$I$7:$K$102,1+B142,C142)</f>
        <v>0</v>
      </c>
    </row>
    <row r="143" spans="1:4" x14ac:dyDescent="0.75">
      <c r="A143" s="111">
        <v>141</v>
      </c>
      <c r="B143" s="111">
        <f t="shared" si="4"/>
        <v>46</v>
      </c>
      <c r="C143" s="111">
        <f t="shared" si="5"/>
        <v>3</v>
      </c>
      <c r="D143" s="109" cm="1">
        <f t="array" ref="D143">INDEX('Oth-Map-1'!$I$7:$K$102,1+B143,C143)</f>
        <v>0</v>
      </c>
    </row>
    <row r="144" spans="1:4" x14ac:dyDescent="0.75">
      <c r="A144" s="111">
        <v>142</v>
      </c>
      <c r="B144" s="111">
        <f t="shared" si="4"/>
        <v>47</v>
      </c>
      <c r="C144" s="111">
        <f t="shared" si="5"/>
        <v>1</v>
      </c>
      <c r="D144" s="109" cm="1">
        <f t="array" ref="D144">INDEX('Oth-Map-1'!$I$7:$K$102,1+B144,C144)</f>
        <v>0</v>
      </c>
    </row>
    <row r="145" spans="1:4" x14ac:dyDescent="0.75">
      <c r="A145" s="111">
        <v>143</v>
      </c>
      <c r="B145" s="111">
        <f t="shared" si="4"/>
        <v>47</v>
      </c>
      <c r="C145" s="111">
        <f t="shared" si="5"/>
        <v>2</v>
      </c>
      <c r="D145" s="109" cm="1">
        <f t="array" ref="D145">INDEX('Oth-Map-1'!$I$7:$K$102,1+B145,C145)</f>
        <v>0</v>
      </c>
    </row>
    <row r="146" spans="1:4" x14ac:dyDescent="0.75">
      <c r="A146" s="111">
        <v>144</v>
      </c>
      <c r="B146" s="111">
        <f t="shared" si="4"/>
        <v>47</v>
      </c>
      <c r="C146" s="111">
        <f t="shared" si="5"/>
        <v>3</v>
      </c>
      <c r="D146" s="109" cm="1">
        <f t="array" ref="D146">INDEX('Oth-Map-1'!$I$7:$K$102,1+B146,C146)</f>
        <v>0</v>
      </c>
    </row>
    <row r="147" spans="1:4" x14ac:dyDescent="0.75">
      <c r="A147" s="111">
        <v>145</v>
      </c>
      <c r="B147" s="111">
        <f t="shared" si="4"/>
        <v>48</v>
      </c>
      <c r="C147" s="111">
        <f t="shared" si="5"/>
        <v>1</v>
      </c>
      <c r="D147" s="109" cm="1">
        <f t="array" ref="D147">INDEX('Oth-Map-1'!$I$7:$K$102,1+B147,C147)</f>
        <v>0</v>
      </c>
    </row>
    <row r="148" spans="1:4" x14ac:dyDescent="0.75">
      <c r="A148" s="111">
        <v>146</v>
      </c>
      <c r="B148" s="111">
        <f t="shared" si="4"/>
        <v>48</v>
      </c>
      <c r="C148" s="111">
        <f t="shared" si="5"/>
        <v>2</v>
      </c>
      <c r="D148" s="109" cm="1">
        <f t="array" ref="D148">INDEX('Oth-Map-1'!$I$7:$K$102,1+B148,C148)</f>
        <v>0</v>
      </c>
    </row>
    <row r="149" spans="1:4" x14ac:dyDescent="0.75">
      <c r="A149" s="111">
        <v>147</v>
      </c>
      <c r="B149" s="111">
        <f t="shared" si="4"/>
        <v>48</v>
      </c>
      <c r="C149" s="111">
        <f t="shared" si="5"/>
        <v>3</v>
      </c>
      <c r="D149" s="109" cm="1">
        <f t="array" ref="D149">INDEX('Oth-Map-1'!$I$7:$K$102,1+B149,C149)</f>
        <v>0</v>
      </c>
    </row>
    <row r="150" spans="1:4" x14ac:dyDescent="0.75">
      <c r="A150" s="111">
        <v>148</v>
      </c>
      <c r="B150" s="111">
        <f t="shared" si="4"/>
        <v>49</v>
      </c>
      <c r="C150" s="111">
        <f t="shared" si="5"/>
        <v>1</v>
      </c>
      <c r="D150" s="109" cm="1">
        <f t="array" ref="D150">INDEX('Oth-Map-1'!$I$7:$K$102,1+B150,C150)</f>
        <v>0</v>
      </c>
    </row>
    <row r="151" spans="1:4" x14ac:dyDescent="0.75">
      <c r="A151" s="111">
        <v>149</v>
      </c>
      <c r="B151" s="111">
        <f t="shared" si="4"/>
        <v>49</v>
      </c>
      <c r="C151" s="111">
        <f t="shared" si="5"/>
        <v>2</v>
      </c>
      <c r="D151" s="109" cm="1">
        <f t="array" ref="D151">INDEX('Oth-Map-1'!$I$7:$K$102,1+B151,C151)</f>
        <v>0</v>
      </c>
    </row>
    <row r="152" spans="1:4" x14ac:dyDescent="0.75">
      <c r="A152" s="111">
        <v>150</v>
      </c>
      <c r="B152" s="111">
        <f t="shared" si="4"/>
        <v>49</v>
      </c>
      <c r="C152" s="111">
        <f t="shared" si="5"/>
        <v>3</v>
      </c>
      <c r="D152" s="109" cm="1">
        <f t="array" ref="D152">INDEX('Oth-Map-1'!$I$7:$K$102,1+B152,C152)</f>
        <v>0</v>
      </c>
    </row>
    <row r="153" spans="1:4" x14ac:dyDescent="0.75">
      <c r="A153" s="111">
        <v>151</v>
      </c>
      <c r="B153" s="111">
        <f t="shared" si="4"/>
        <v>50</v>
      </c>
      <c r="C153" s="111">
        <f t="shared" si="5"/>
        <v>1</v>
      </c>
      <c r="D153" s="109" cm="1">
        <f t="array" ref="D153">INDEX('Oth-Map-1'!$I$7:$K$102,1+B153,C153)</f>
        <v>0</v>
      </c>
    </row>
    <row r="154" spans="1:4" x14ac:dyDescent="0.75">
      <c r="A154" s="111">
        <v>152</v>
      </c>
      <c r="B154" s="111">
        <f t="shared" si="4"/>
        <v>50</v>
      </c>
      <c r="C154" s="111">
        <f t="shared" si="5"/>
        <v>2</v>
      </c>
      <c r="D154" s="109" cm="1">
        <f t="array" ref="D154">INDEX('Oth-Map-1'!$I$7:$K$102,1+B154,C154)</f>
        <v>0</v>
      </c>
    </row>
    <row r="155" spans="1:4" x14ac:dyDescent="0.75">
      <c r="A155" s="111">
        <v>153</v>
      </c>
      <c r="B155" s="111">
        <f t="shared" si="4"/>
        <v>50</v>
      </c>
      <c r="C155" s="111">
        <f t="shared" si="5"/>
        <v>3</v>
      </c>
      <c r="D155" s="109" cm="1">
        <f t="array" ref="D155">INDEX('Oth-Map-1'!$I$7:$K$102,1+B155,C155)</f>
        <v>0</v>
      </c>
    </row>
    <row r="156" spans="1:4" x14ac:dyDescent="0.75">
      <c r="A156" s="111">
        <v>154</v>
      </c>
      <c r="B156" s="111">
        <f t="shared" si="4"/>
        <v>51</v>
      </c>
      <c r="C156" s="111">
        <f t="shared" si="5"/>
        <v>1</v>
      </c>
      <c r="D156" s="109" cm="1">
        <f t="array" ref="D156">INDEX('Oth-Map-1'!$I$7:$K$102,1+B156,C156)</f>
        <v>0</v>
      </c>
    </row>
    <row r="157" spans="1:4" x14ac:dyDescent="0.75">
      <c r="A157" s="111">
        <v>155</v>
      </c>
      <c r="B157" s="111">
        <f t="shared" si="4"/>
        <v>51</v>
      </c>
      <c r="C157" s="111">
        <f t="shared" si="5"/>
        <v>2</v>
      </c>
      <c r="D157" s="109" cm="1">
        <f t="array" ref="D157">INDEX('Oth-Map-1'!$I$7:$K$102,1+B157,C157)</f>
        <v>0</v>
      </c>
    </row>
    <row r="158" spans="1:4" x14ac:dyDescent="0.75">
      <c r="A158" s="111">
        <v>156</v>
      </c>
      <c r="B158" s="111">
        <f t="shared" si="4"/>
        <v>51</v>
      </c>
      <c r="C158" s="111">
        <f t="shared" si="5"/>
        <v>3</v>
      </c>
      <c r="D158" s="109" cm="1">
        <f t="array" ref="D158">INDEX('Oth-Map-1'!$I$7:$K$102,1+B158,C158)</f>
        <v>0</v>
      </c>
    </row>
    <row r="159" spans="1:4" x14ac:dyDescent="0.75">
      <c r="A159" s="111">
        <v>157</v>
      </c>
      <c r="B159" s="111">
        <f t="shared" si="4"/>
        <v>52</v>
      </c>
      <c r="C159" s="111">
        <f t="shared" si="5"/>
        <v>1</v>
      </c>
      <c r="D159" s="109" cm="1">
        <f t="array" ref="D159">INDEX('Oth-Map-1'!$I$7:$K$102,1+B159,C159)</f>
        <v>0</v>
      </c>
    </row>
    <row r="160" spans="1:4" x14ac:dyDescent="0.75">
      <c r="A160" s="111">
        <v>158</v>
      </c>
      <c r="B160" s="111">
        <f t="shared" si="4"/>
        <v>52</v>
      </c>
      <c r="C160" s="111">
        <f t="shared" si="5"/>
        <v>2</v>
      </c>
      <c r="D160" s="109" cm="1">
        <f t="array" ref="D160">INDEX('Oth-Map-1'!$I$7:$K$102,1+B160,C160)</f>
        <v>0</v>
      </c>
    </row>
    <row r="161" spans="1:4" x14ac:dyDescent="0.75">
      <c r="A161" s="111">
        <v>159</v>
      </c>
      <c r="B161" s="111">
        <f t="shared" si="4"/>
        <v>52</v>
      </c>
      <c r="C161" s="111">
        <f t="shared" si="5"/>
        <v>3</v>
      </c>
      <c r="D161" s="109" cm="1">
        <f t="array" ref="D161">INDEX('Oth-Map-1'!$I$7:$K$102,1+B161,C161)</f>
        <v>0</v>
      </c>
    </row>
    <row r="162" spans="1:4" x14ac:dyDescent="0.75">
      <c r="A162" s="111">
        <v>160</v>
      </c>
      <c r="B162" s="111">
        <f t="shared" si="4"/>
        <v>53</v>
      </c>
      <c r="C162" s="111">
        <f t="shared" si="5"/>
        <v>1</v>
      </c>
      <c r="D162" s="109" cm="1">
        <f t="array" ref="D162">INDEX('Oth-Map-1'!$I$7:$K$102,1+B162,C162)</f>
        <v>0</v>
      </c>
    </row>
    <row r="163" spans="1:4" x14ac:dyDescent="0.75">
      <c r="A163" s="111">
        <v>161</v>
      </c>
      <c r="B163" s="111">
        <f t="shared" si="4"/>
        <v>53</v>
      </c>
      <c r="C163" s="111">
        <f t="shared" si="5"/>
        <v>2</v>
      </c>
      <c r="D163" s="109" cm="1">
        <f t="array" ref="D163">INDEX('Oth-Map-1'!$I$7:$K$102,1+B163,C163)</f>
        <v>0</v>
      </c>
    </row>
    <row r="164" spans="1:4" x14ac:dyDescent="0.75">
      <c r="A164" s="111">
        <v>162</v>
      </c>
      <c r="B164" s="111">
        <f t="shared" si="4"/>
        <v>53</v>
      </c>
      <c r="C164" s="111">
        <f t="shared" si="5"/>
        <v>3</v>
      </c>
      <c r="D164" s="109" cm="1">
        <f t="array" ref="D164">INDEX('Oth-Map-1'!$I$7:$K$102,1+B164,C164)</f>
        <v>0</v>
      </c>
    </row>
    <row r="165" spans="1:4" x14ac:dyDescent="0.75">
      <c r="A165" s="111">
        <v>163</v>
      </c>
      <c r="B165" s="111">
        <f t="shared" si="4"/>
        <v>54</v>
      </c>
      <c r="C165" s="111">
        <f t="shared" si="5"/>
        <v>1</v>
      </c>
      <c r="D165" s="109" cm="1">
        <f t="array" ref="D165">INDEX('Oth-Map-1'!$I$7:$K$102,1+B165,C165)</f>
        <v>0</v>
      </c>
    </row>
    <row r="166" spans="1:4" x14ac:dyDescent="0.75">
      <c r="A166" s="111">
        <v>164</v>
      </c>
      <c r="B166" s="111">
        <f t="shared" si="4"/>
        <v>54</v>
      </c>
      <c r="C166" s="111">
        <f t="shared" si="5"/>
        <v>2</v>
      </c>
      <c r="D166" s="109" cm="1">
        <f t="array" ref="D166">INDEX('Oth-Map-1'!$I$7:$K$102,1+B166,C166)</f>
        <v>0</v>
      </c>
    </row>
    <row r="167" spans="1:4" x14ac:dyDescent="0.75">
      <c r="A167" s="111">
        <v>165</v>
      </c>
      <c r="B167" s="111">
        <f t="shared" si="4"/>
        <v>54</v>
      </c>
      <c r="C167" s="111">
        <f t="shared" si="5"/>
        <v>3</v>
      </c>
      <c r="D167" s="109" cm="1">
        <f t="array" ref="D167">INDEX('Oth-Map-1'!$I$7:$K$102,1+B167,C167)</f>
        <v>0</v>
      </c>
    </row>
    <row r="168" spans="1:4" x14ac:dyDescent="0.75">
      <c r="A168" s="111">
        <v>166</v>
      </c>
      <c r="B168" s="111">
        <f t="shared" si="4"/>
        <v>55</v>
      </c>
      <c r="C168" s="111">
        <f t="shared" si="5"/>
        <v>1</v>
      </c>
      <c r="D168" s="109" cm="1">
        <f t="array" ref="D168">INDEX('Oth-Map-1'!$I$7:$K$102,1+B168,C168)</f>
        <v>0</v>
      </c>
    </row>
    <row r="169" spans="1:4" x14ac:dyDescent="0.75">
      <c r="A169" s="111">
        <v>167</v>
      </c>
      <c r="B169" s="111">
        <f t="shared" si="4"/>
        <v>55</v>
      </c>
      <c r="C169" s="111">
        <f t="shared" si="5"/>
        <v>2</v>
      </c>
      <c r="D169" s="109" cm="1">
        <f t="array" ref="D169">INDEX('Oth-Map-1'!$I$7:$K$102,1+B169,C169)</f>
        <v>0</v>
      </c>
    </row>
    <row r="170" spans="1:4" x14ac:dyDescent="0.75">
      <c r="A170" s="111">
        <v>168</v>
      </c>
      <c r="B170" s="111">
        <f t="shared" si="4"/>
        <v>55</v>
      </c>
      <c r="C170" s="111">
        <f t="shared" si="5"/>
        <v>3</v>
      </c>
      <c r="D170" s="109" cm="1">
        <f t="array" ref="D170">INDEX('Oth-Map-1'!$I$7:$K$102,1+B170,C170)</f>
        <v>0</v>
      </c>
    </row>
    <row r="171" spans="1:4" x14ac:dyDescent="0.75">
      <c r="A171" s="111">
        <v>169</v>
      </c>
      <c r="B171" s="111">
        <f t="shared" si="4"/>
        <v>56</v>
      </c>
      <c r="C171" s="111">
        <f t="shared" si="5"/>
        <v>1</v>
      </c>
      <c r="D171" s="109" cm="1">
        <f t="array" ref="D171">INDEX('Oth-Map-1'!$I$7:$K$102,1+B171,C171)</f>
        <v>0</v>
      </c>
    </row>
    <row r="172" spans="1:4" x14ac:dyDescent="0.75">
      <c r="A172" s="111">
        <v>170</v>
      </c>
      <c r="B172" s="111">
        <f t="shared" si="4"/>
        <v>56</v>
      </c>
      <c r="C172" s="111">
        <f t="shared" si="5"/>
        <v>2</v>
      </c>
      <c r="D172" s="109" cm="1">
        <f t="array" ref="D172">INDEX('Oth-Map-1'!$I$7:$K$102,1+B172,C172)</f>
        <v>0</v>
      </c>
    </row>
    <row r="173" spans="1:4" x14ac:dyDescent="0.75">
      <c r="A173" s="111">
        <v>171</v>
      </c>
      <c r="B173" s="111">
        <f t="shared" si="4"/>
        <v>56</v>
      </c>
      <c r="C173" s="111">
        <f t="shared" si="5"/>
        <v>3</v>
      </c>
      <c r="D173" s="109" cm="1">
        <f t="array" ref="D173">INDEX('Oth-Map-1'!$I$7:$K$102,1+B173,C173)</f>
        <v>0</v>
      </c>
    </row>
    <row r="174" spans="1:4" x14ac:dyDescent="0.75">
      <c r="A174" s="111">
        <v>172</v>
      </c>
      <c r="B174" s="111">
        <f t="shared" si="4"/>
        <v>57</v>
      </c>
      <c r="C174" s="111">
        <f t="shared" si="5"/>
        <v>1</v>
      </c>
      <c r="D174" s="109" cm="1">
        <f t="array" ref="D174">INDEX('Oth-Map-1'!$I$7:$K$102,1+B174,C174)</f>
        <v>0</v>
      </c>
    </row>
    <row r="175" spans="1:4" x14ac:dyDescent="0.75">
      <c r="A175" s="111">
        <v>173</v>
      </c>
      <c r="B175" s="111">
        <f t="shared" si="4"/>
        <v>57</v>
      </c>
      <c r="C175" s="111">
        <f t="shared" si="5"/>
        <v>2</v>
      </c>
      <c r="D175" s="109" cm="1">
        <f t="array" ref="D175">INDEX('Oth-Map-1'!$I$7:$K$102,1+B175,C175)</f>
        <v>0</v>
      </c>
    </row>
    <row r="176" spans="1:4" x14ac:dyDescent="0.75">
      <c r="A176" s="111">
        <v>174</v>
      </c>
      <c r="B176" s="111">
        <f t="shared" si="4"/>
        <v>57</v>
      </c>
      <c r="C176" s="111">
        <f t="shared" si="5"/>
        <v>3</v>
      </c>
      <c r="D176" s="109" cm="1">
        <f t="array" ref="D176">INDEX('Oth-Map-1'!$I$7:$K$102,1+B176,C176)</f>
        <v>0</v>
      </c>
    </row>
    <row r="177" spans="1:4" x14ac:dyDescent="0.75">
      <c r="A177" s="111">
        <v>175</v>
      </c>
      <c r="B177" s="111">
        <f t="shared" si="4"/>
        <v>58</v>
      </c>
      <c r="C177" s="111">
        <f t="shared" si="5"/>
        <v>1</v>
      </c>
      <c r="D177" s="109" cm="1">
        <f t="array" ref="D177">INDEX('Oth-Map-1'!$I$7:$K$102,1+B177,C177)</f>
        <v>0</v>
      </c>
    </row>
    <row r="178" spans="1:4" x14ac:dyDescent="0.75">
      <c r="A178" s="111">
        <v>176</v>
      </c>
      <c r="B178" s="111">
        <f t="shared" si="4"/>
        <v>58</v>
      </c>
      <c r="C178" s="111">
        <f t="shared" si="5"/>
        <v>2</v>
      </c>
      <c r="D178" s="109" cm="1">
        <f t="array" ref="D178">INDEX('Oth-Map-1'!$I$7:$K$102,1+B178,C178)</f>
        <v>0</v>
      </c>
    </row>
    <row r="179" spans="1:4" x14ac:dyDescent="0.75">
      <c r="A179" s="111">
        <v>177</v>
      </c>
      <c r="B179" s="111">
        <f t="shared" si="4"/>
        <v>58</v>
      </c>
      <c r="C179" s="111">
        <f t="shared" si="5"/>
        <v>3</v>
      </c>
      <c r="D179" s="109" cm="1">
        <f t="array" ref="D179">INDEX('Oth-Map-1'!$I$7:$K$102,1+B179,C179)</f>
        <v>0</v>
      </c>
    </row>
    <row r="180" spans="1:4" x14ac:dyDescent="0.75">
      <c r="A180" s="111">
        <v>178</v>
      </c>
      <c r="B180" s="111">
        <f t="shared" si="4"/>
        <v>59</v>
      </c>
      <c r="C180" s="111">
        <f t="shared" si="5"/>
        <v>1</v>
      </c>
      <c r="D180" s="109" cm="1">
        <f t="array" ref="D180">INDEX('Oth-Map-1'!$I$7:$K$102,1+B180,C180)</f>
        <v>0</v>
      </c>
    </row>
    <row r="181" spans="1:4" x14ac:dyDescent="0.75">
      <c r="A181" s="111">
        <v>179</v>
      </c>
      <c r="B181" s="111">
        <f t="shared" si="4"/>
        <v>59</v>
      </c>
      <c r="C181" s="111">
        <f t="shared" si="5"/>
        <v>2</v>
      </c>
      <c r="D181" s="109" cm="1">
        <f t="array" ref="D181">INDEX('Oth-Map-1'!$I$7:$K$102,1+B181,C181)</f>
        <v>0</v>
      </c>
    </row>
    <row r="182" spans="1:4" x14ac:dyDescent="0.75">
      <c r="A182" s="111">
        <v>180</v>
      </c>
      <c r="B182" s="111">
        <f t="shared" si="4"/>
        <v>59</v>
      </c>
      <c r="C182" s="111">
        <f t="shared" si="5"/>
        <v>3</v>
      </c>
      <c r="D182" s="109" cm="1">
        <f t="array" ref="D182">INDEX('Oth-Map-1'!$I$7:$K$102,1+B182,C182)</f>
        <v>0</v>
      </c>
    </row>
    <row r="183" spans="1:4" x14ac:dyDescent="0.75">
      <c r="A183" s="111">
        <v>181</v>
      </c>
      <c r="B183" s="111">
        <f t="shared" si="4"/>
        <v>60</v>
      </c>
      <c r="C183" s="111">
        <f t="shared" si="5"/>
        <v>1</v>
      </c>
      <c r="D183" s="109" cm="1">
        <f t="array" ref="D183">INDEX('Oth-Map-1'!$I$7:$K$102,1+B183,C183)</f>
        <v>0</v>
      </c>
    </row>
    <row r="184" spans="1:4" x14ac:dyDescent="0.75">
      <c r="A184" s="111">
        <v>182</v>
      </c>
      <c r="B184" s="111">
        <f t="shared" si="4"/>
        <v>60</v>
      </c>
      <c r="C184" s="111">
        <f t="shared" si="5"/>
        <v>2</v>
      </c>
      <c r="D184" s="109" cm="1">
        <f t="array" ref="D184">INDEX('Oth-Map-1'!$I$7:$K$102,1+B184,C184)</f>
        <v>0</v>
      </c>
    </row>
    <row r="185" spans="1:4" x14ac:dyDescent="0.75">
      <c r="A185" s="111">
        <v>183</v>
      </c>
      <c r="B185" s="111">
        <f t="shared" si="4"/>
        <v>60</v>
      </c>
      <c r="C185" s="111">
        <f t="shared" si="5"/>
        <v>3</v>
      </c>
      <c r="D185" s="109" cm="1">
        <f t="array" ref="D185">INDEX('Oth-Map-1'!$I$7:$K$102,1+B185,C185)</f>
        <v>0</v>
      </c>
    </row>
    <row r="186" spans="1:4" x14ac:dyDescent="0.75">
      <c r="A186" s="111">
        <v>184</v>
      </c>
      <c r="B186" s="111">
        <f t="shared" si="4"/>
        <v>61</v>
      </c>
      <c r="C186" s="111">
        <f t="shared" si="5"/>
        <v>1</v>
      </c>
      <c r="D186" s="109" cm="1">
        <f t="array" ref="D186">INDEX('Oth-Map-1'!$I$7:$K$102,1+B186,C186)</f>
        <v>0</v>
      </c>
    </row>
    <row r="187" spans="1:4" x14ac:dyDescent="0.75">
      <c r="A187" s="111">
        <v>185</v>
      </c>
      <c r="B187" s="111">
        <f t="shared" si="4"/>
        <v>61</v>
      </c>
      <c r="C187" s="111">
        <f t="shared" si="5"/>
        <v>2</v>
      </c>
      <c r="D187" s="109" cm="1">
        <f t="array" ref="D187">INDEX('Oth-Map-1'!$I$7:$K$102,1+B187,C187)</f>
        <v>0</v>
      </c>
    </row>
    <row r="188" spans="1:4" x14ac:dyDescent="0.75">
      <c r="A188" s="111">
        <v>186</v>
      </c>
      <c r="B188" s="111">
        <f t="shared" si="4"/>
        <v>61</v>
      </c>
      <c r="C188" s="111">
        <f t="shared" si="5"/>
        <v>3</v>
      </c>
      <c r="D188" s="109" cm="1">
        <f t="array" ref="D188">INDEX('Oth-Map-1'!$I$7:$K$102,1+B188,C188)</f>
        <v>0</v>
      </c>
    </row>
    <row r="189" spans="1:4" x14ac:dyDescent="0.75">
      <c r="A189" s="111">
        <v>187</v>
      </c>
      <c r="B189" s="111">
        <f t="shared" si="4"/>
        <v>62</v>
      </c>
      <c r="C189" s="111">
        <f t="shared" si="5"/>
        <v>1</v>
      </c>
      <c r="D189" s="109" cm="1">
        <f t="array" ref="D189">INDEX('Oth-Map-1'!$I$7:$K$102,1+B189,C189)</f>
        <v>0</v>
      </c>
    </row>
    <row r="190" spans="1:4" x14ac:dyDescent="0.75">
      <c r="A190" s="111">
        <v>188</v>
      </c>
      <c r="B190" s="111">
        <f t="shared" si="4"/>
        <v>62</v>
      </c>
      <c r="C190" s="111">
        <f t="shared" si="5"/>
        <v>2</v>
      </c>
      <c r="D190" s="109" cm="1">
        <f t="array" ref="D190">INDEX('Oth-Map-1'!$I$7:$K$102,1+B190,C190)</f>
        <v>0</v>
      </c>
    </row>
    <row r="191" spans="1:4" x14ac:dyDescent="0.75">
      <c r="A191" s="111">
        <v>189</v>
      </c>
      <c r="B191" s="111">
        <f t="shared" si="4"/>
        <v>62</v>
      </c>
      <c r="C191" s="111">
        <f t="shared" si="5"/>
        <v>3</v>
      </c>
      <c r="D191" s="109" cm="1">
        <f t="array" ref="D191">INDEX('Oth-Map-1'!$I$7:$K$102,1+B191,C191)</f>
        <v>0</v>
      </c>
    </row>
    <row r="192" spans="1:4" x14ac:dyDescent="0.75">
      <c r="A192" s="111">
        <v>190</v>
      </c>
      <c r="B192" s="111">
        <f t="shared" si="4"/>
        <v>63</v>
      </c>
      <c r="C192" s="111">
        <f t="shared" si="5"/>
        <v>1</v>
      </c>
      <c r="D192" s="109" cm="1">
        <f t="array" ref="D192">INDEX('Oth-Map-1'!$I$7:$K$102,1+B192,C192)</f>
        <v>0</v>
      </c>
    </row>
    <row r="193" spans="1:4" x14ac:dyDescent="0.75">
      <c r="A193" s="111">
        <v>191</v>
      </c>
      <c r="B193" s="111">
        <f t="shared" si="4"/>
        <v>63</v>
      </c>
      <c r="C193" s="111">
        <f t="shared" si="5"/>
        <v>2</v>
      </c>
      <c r="D193" s="109" cm="1">
        <f t="array" ref="D193">INDEX('Oth-Map-1'!$I$7:$K$102,1+B193,C193)</f>
        <v>0</v>
      </c>
    </row>
    <row r="194" spans="1:4" x14ac:dyDescent="0.75">
      <c r="A194" s="111">
        <v>192</v>
      </c>
      <c r="B194" s="111">
        <f t="shared" si="4"/>
        <v>63</v>
      </c>
      <c r="C194" s="111">
        <f t="shared" si="5"/>
        <v>3</v>
      </c>
      <c r="D194" s="109" cm="1">
        <f t="array" ref="D194">INDEX('Oth-Map-1'!$I$7:$K$102,1+B194,C194)</f>
        <v>0</v>
      </c>
    </row>
    <row r="195" spans="1:4" x14ac:dyDescent="0.75">
      <c r="A195" s="111">
        <v>193</v>
      </c>
      <c r="B195" s="111">
        <f t="shared" si="4"/>
        <v>64</v>
      </c>
      <c r="C195" s="111">
        <f t="shared" si="5"/>
        <v>1</v>
      </c>
      <c r="D195" s="109" cm="1">
        <f t="array" ref="D195">INDEX('Oth-Map-1'!$I$7:$K$102,1+B195,C195)</f>
        <v>0</v>
      </c>
    </row>
    <row r="196" spans="1:4" x14ac:dyDescent="0.75">
      <c r="A196" s="111">
        <v>194</v>
      </c>
      <c r="B196" s="111">
        <f t="shared" ref="B196:B206" si="6">IF(MOD(A196,3)=0,A196/3-1,INT(A196/3))</f>
        <v>64</v>
      </c>
      <c r="C196" s="111">
        <f t="shared" ref="C196:C206" si="7">IF(MOD(A196,3)=0,3,MOD(A196,3))</f>
        <v>2</v>
      </c>
      <c r="D196" s="109" cm="1">
        <f t="array" ref="D196">INDEX('Oth-Map-1'!$I$7:$K$102,1+B196,C196)</f>
        <v>0</v>
      </c>
    </row>
    <row r="197" spans="1:4" x14ac:dyDescent="0.75">
      <c r="A197" s="111">
        <v>195</v>
      </c>
      <c r="B197" s="111">
        <f t="shared" si="6"/>
        <v>64</v>
      </c>
      <c r="C197" s="111">
        <f t="shared" si="7"/>
        <v>3</v>
      </c>
      <c r="D197" s="109" cm="1">
        <f t="array" ref="D197">INDEX('Oth-Map-1'!$I$7:$K$102,1+B197,C197)</f>
        <v>0</v>
      </c>
    </row>
    <row r="198" spans="1:4" x14ac:dyDescent="0.75">
      <c r="A198" s="111">
        <v>196</v>
      </c>
      <c r="B198" s="111">
        <f t="shared" si="6"/>
        <v>65</v>
      </c>
      <c r="C198" s="111">
        <f t="shared" si="7"/>
        <v>1</v>
      </c>
      <c r="D198" s="109" cm="1">
        <f t="array" ref="D198">INDEX('Oth-Map-1'!$I$7:$K$102,1+B198,C198)</f>
        <v>0</v>
      </c>
    </row>
    <row r="199" spans="1:4" x14ac:dyDescent="0.75">
      <c r="A199" s="111">
        <v>197</v>
      </c>
      <c r="B199" s="111">
        <f t="shared" si="6"/>
        <v>65</v>
      </c>
      <c r="C199" s="111">
        <f t="shared" si="7"/>
        <v>2</v>
      </c>
      <c r="D199" s="109" cm="1">
        <f t="array" ref="D199">INDEX('Oth-Map-1'!$I$7:$K$102,1+B199,C199)</f>
        <v>0</v>
      </c>
    </row>
    <row r="200" spans="1:4" x14ac:dyDescent="0.75">
      <c r="A200" s="111">
        <v>198</v>
      </c>
      <c r="B200" s="111">
        <f t="shared" si="6"/>
        <v>65</v>
      </c>
      <c r="C200" s="111">
        <f t="shared" si="7"/>
        <v>3</v>
      </c>
      <c r="D200" s="109" cm="1">
        <f t="array" ref="D200">INDEX('Oth-Map-1'!$I$7:$K$102,1+B200,C200)</f>
        <v>0</v>
      </c>
    </row>
    <row r="201" spans="1:4" x14ac:dyDescent="0.75">
      <c r="A201" s="111">
        <v>199</v>
      </c>
      <c r="B201" s="111">
        <f t="shared" si="6"/>
        <v>66</v>
      </c>
      <c r="C201" s="111">
        <f t="shared" si="7"/>
        <v>1</v>
      </c>
      <c r="D201" s="109" cm="1">
        <f t="array" ref="D201">INDEX('Oth-Map-1'!$I$7:$K$102,1+B201,C201)</f>
        <v>0</v>
      </c>
    </row>
    <row r="202" spans="1:4" x14ac:dyDescent="0.75">
      <c r="A202" s="111">
        <v>200</v>
      </c>
      <c r="B202" s="111">
        <f t="shared" si="6"/>
        <v>66</v>
      </c>
      <c r="C202" s="111">
        <f t="shared" si="7"/>
        <v>2</v>
      </c>
      <c r="D202" s="109" cm="1">
        <f t="array" ref="D202">INDEX('Oth-Map-1'!$I$7:$K$102,1+B202,C202)</f>
        <v>0</v>
      </c>
    </row>
    <row r="203" spans="1:4" x14ac:dyDescent="0.75">
      <c r="A203" s="111">
        <v>201</v>
      </c>
      <c r="B203" s="111">
        <f t="shared" si="6"/>
        <v>66</v>
      </c>
      <c r="C203" s="111">
        <f t="shared" si="7"/>
        <v>3</v>
      </c>
      <c r="D203" s="109" cm="1">
        <f t="array" ref="D203">INDEX('Oth-Map-1'!$I$7:$K$102,1+B203,C203)</f>
        <v>0</v>
      </c>
    </row>
    <row r="204" spans="1:4" x14ac:dyDescent="0.75">
      <c r="A204" s="111">
        <v>202</v>
      </c>
      <c r="B204" s="111">
        <f t="shared" si="6"/>
        <v>67</v>
      </c>
      <c r="C204" s="111">
        <f t="shared" si="7"/>
        <v>1</v>
      </c>
      <c r="D204" s="109" cm="1">
        <f t="array" ref="D204">INDEX('Oth-Map-1'!$I$7:$K$102,1+B204,C204)</f>
        <v>0</v>
      </c>
    </row>
    <row r="205" spans="1:4" x14ac:dyDescent="0.75">
      <c r="A205" s="111">
        <v>203</v>
      </c>
      <c r="B205" s="111">
        <f t="shared" si="6"/>
        <v>67</v>
      </c>
      <c r="C205" s="111">
        <f t="shared" si="7"/>
        <v>2</v>
      </c>
      <c r="D205" s="109" cm="1">
        <f t="array" ref="D205">INDEX('Oth-Map-1'!$I$7:$K$102,1+B205,C205)</f>
        <v>0</v>
      </c>
    </row>
    <row r="206" spans="1:4" x14ac:dyDescent="0.75">
      <c r="A206" s="111">
        <v>204</v>
      </c>
      <c r="B206" s="111">
        <f t="shared" si="6"/>
        <v>67</v>
      </c>
      <c r="C206" s="111">
        <f t="shared" si="7"/>
        <v>3</v>
      </c>
      <c r="D206" s="109" cm="1">
        <f t="array" ref="D206">INDEX('Oth-Map-1'!$I$7:$K$102,1+B206,C206)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topLeftCell="A22" workbookViewId="0">
      <selection activeCell="D3" sqref="D3:D107"/>
    </sheetView>
  </sheetViews>
  <sheetFormatPr defaultRowHeight="14.75" x14ac:dyDescent="0.75"/>
  <cols>
    <col min="1" max="3" width="8.7265625" style="109"/>
    <col min="4" max="4" width="108.2265625" style="111" customWidth="1"/>
    <col min="5" max="16384" width="8.7265625" style="109"/>
  </cols>
  <sheetData>
    <row r="3" spans="4:4" x14ac:dyDescent="0.75">
      <c r="D3" s="111" t="str">
        <f>'Oth-Map-2'!D3</f>
        <v>* differential.element[0].mapping[0].identity = "fhir"</v>
      </c>
    </row>
    <row r="4" spans="4:4" x14ac:dyDescent="0.75">
      <c r="D4" s="111" t="str">
        <f>'Oth-Map-2'!D4</f>
        <v>* differential.element[0].mapping[0].map = "Procedure.conformsTo('http://hl7.eu/fhir/ig/pcsp/StructureDefinition/Procedure-surgery-eu-pcsp')"</v>
      </c>
    </row>
    <row r="5" spans="4:4" x14ac:dyDescent="0.75">
      <c r="D5" s="111" t="str">
        <f>'Oth-Map-2'!D5</f>
        <v/>
      </c>
    </row>
    <row r="6" spans="4:4" x14ac:dyDescent="0.75">
      <c r="D6" s="111" t="str">
        <f>'Oth-Map-2'!D6</f>
        <v>* differential.element[1].mapping[0].identity = "fhir"</v>
      </c>
    </row>
    <row r="7" spans="4:4" x14ac:dyDescent="0.75">
      <c r="D7" s="111" t="str">
        <f>'Oth-Map-2'!D7</f>
        <v>* differential.element[1].mapping[0].map = ".reasonReference"</v>
      </c>
    </row>
    <row r="8" spans="4:4" x14ac:dyDescent="0.75">
      <c r="D8" s="111" t="str">
        <f>'Oth-Map-2'!D8</f>
        <v/>
      </c>
    </row>
    <row r="9" spans="4:4" x14ac:dyDescent="0.75">
      <c r="D9" s="111" t="str">
        <f>'Oth-Map-2'!D9</f>
        <v>* differential.element[2].mapping[0].identity = "fhir"</v>
      </c>
    </row>
    <row r="10" spans="4:4" x14ac:dyDescent="0.75">
      <c r="D10" s="111" t="str">
        <f>'Oth-Map-2'!D10</f>
        <v>* differential.element[2].mapping[0].map = ".reasonReference"</v>
      </c>
    </row>
    <row r="11" spans="4:4" x14ac:dyDescent="0.75">
      <c r="D11" s="111" t="str">
        <f>'Oth-Map-2'!D11</f>
        <v/>
      </c>
    </row>
    <row r="12" spans="4:4" x14ac:dyDescent="0.75">
      <c r="D12" s="111" t="str">
        <f>'Oth-Map-2'!D12</f>
        <v>* differential.element[3].mapping[0].identity = "fhir"</v>
      </c>
    </row>
    <row r="13" spans="4:4" x14ac:dyDescent="0.75">
      <c r="D13" s="111" t="str">
        <f>'Oth-Map-2'!D13</f>
        <v>* differential.element[3].mapping[0].map = ".identifier"</v>
      </c>
    </row>
    <row r="14" spans="4:4" x14ac:dyDescent="0.75">
      <c r="D14" s="111" t="str">
        <f>'Oth-Map-2'!D14</f>
        <v/>
      </c>
    </row>
    <row r="15" spans="4:4" x14ac:dyDescent="0.75">
      <c r="D15" s="111" t="str">
        <f>'Oth-Map-2'!D15</f>
        <v>* differential.element[4].mapping[0].identity = "fhir"</v>
      </c>
    </row>
    <row r="16" spans="4:4" x14ac:dyDescent="0.75">
      <c r="D16" s="111" t="str">
        <f>'Oth-Map-2'!D16</f>
        <v>* differential.element[4].mapping[0].map = ".extension(http://hl7.eu/fhir/ig/pcsp/StructureDefinition/ActLocation-eu-pcsp).conformsTo(http://hl7.eu/fhir/ig/pcsp/StructureDefinition/Location-eu-pcsp)"</v>
      </c>
    </row>
    <row r="17" spans="4:4" x14ac:dyDescent="0.75">
      <c r="D17" s="111" t="str">
        <f>'Oth-Map-2'!D17</f>
        <v/>
      </c>
    </row>
    <row r="18" spans="4:4" x14ac:dyDescent="0.75">
      <c r="D18" s="111" t="str">
        <f>'Oth-Map-2'!D18</f>
        <v>* differential.element[5].mapping[0].identity = "fhir"</v>
      </c>
    </row>
    <row r="19" spans="4:4" x14ac:dyDescent="0.75">
      <c r="D19" s="111" t="str">
        <f>'Oth-Map-2'!D19</f>
        <v>* differential.element[5].mapping[0].map = "Location.description"</v>
      </c>
    </row>
    <row r="20" spans="4:4" x14ac:dyDescent="0.75">
      <c r="D20" s="111" t="str">
        <f>'Oth-Map-2'!D20</f>
        <v/>
      </c>
    </row>
    <row r="21" spans="4:4" x14ac:dyDescent="0.75">
      <c r="D21" s="111" t="str">
        <f>'Oth-Map-2'!D21</f>
        <v>* differential.element[6].mapping[0].identity = "fhir"</v>
      </c>
    </row>
    <row r="22" spans="4:4" x14ac:dyDescent="0.75">
      <c r="D22" s="111" t="str">
        <f>'Oth-Map-2'!D22</f>
        <v>* differential.element[6].mapping[0].map = "Location.name"</v>
      </c>
    </row>
    <row r="23" spans="4:4" x14ac:dyDescent="0.75">
      <c r="D23" s="111" t="str">
        <f>'Oth-Map-2'!D23</f>
        <v/>
      </c>
    </row>
    <row r="24" spans="4:4" x14ac:dyDescent="0.75">
      <c r="D24" s="111" t="str">
        <f>'Oth-Map-2'!D24</f>
        <v>* differential.element[7].mapping[0].identity = "fhir"</v>
      </c>
    </row>
    <row r="25" spans="4:4" x14ac:dyDescent="0.75">
      <c r="D25" s="111" t="str">
        <f>'Oth-Map-2'!D25</f>
        <v>* differential.element[7].mapping[0].map = "Location.address.city"</v>
      </c>
    </row>
    <row r="26" spans="4:4" x14ac:dyDescent="0.75">
      <c r="D26" s="111" t="str">
        <f>'Oth-Map-2'!D26</f>
        <v/>
      </c>
    </row>
    <row r="27" spans="4:4" x14ac:dyDescent="0.75">
      <c r="D27" s="111" t="str">
        <f>'Oth-Map-2'!D27</f>
        <v/>
      </c>
    </row>
    <row r="28" spans="4:4" x14ac:dyDescent="0.75">
      <c r="D28" s="111" t="str">
        <f>'Oth-Map-2'!D28</f>
        <v/>
      </c>
    </row>
    <row r="29" spans="4:4" x14ac:dyDescent="0.75">
      <c r="D29" s="111" t="str">
        <f>'Oth-Map-2'!D29</f>
        <v/>
      </c>
    </row>
    <row r="30" spans="4:4" x14ac:dyDescent="0.75">
      <c r="D30" s="111" t="str">
        <f>'Oth-Map-2'!D30</f>
        <v>* differential.element[9].mapping[0].identity = "fhir"</v>
      </c>
    </row>
    <row r="31" spans="4:4" x14ac:dyDescent="0.75">
      <c r="D31" s="111" t="str">
        <f>'Oth-Map-2'!D31</f>
        <v>* differential.element[9].mapping[0].map = "Location.address.country"</v>
      </c>
    </row>
    <row r="32" spans="4:4" x14ac:dyDescent="0.75">
      <c r="D32" s="111" t="str">
        <f>'Oth-Map-2'!D32</f>
        <v/>
      </c>
    </row>
    <row r="33" spans="4:4" x14ac:dyDescent="0.75">
      <c r="D33" s="111" t="str">
        <f>'Oth-Map-2'!D33</f>
        <v>* differential.element[10].mapping[0].identity = "fhir"</v>
      </c>
    </row>
    <row r="34" spans="4:4" x14ac:dyDescent="0.75">
      <c r="D34" s="111" t="str">
        <f>'Oth-Map-2'!D34</f>
        <v>* differential.element[10].mapping[0].map = "Procedure.performedDateTime	"</v>
      </c>
    </row>
    <row r="35" spans="4:4" x14ac:dyDescent="0.75">
      <c r="D35" s="111" t="str">
        <f>'Oth-Map-2'!D35</f>
        <v/>
      </c>
    </row>
    <row r="36" spans="4:4" x14ac:dyDescent="0.75">
      <c r="D36" s="111" t="str">
        <f>'Oth-Map-2'!D36</f>
        <v>* differential.element[11].mapping[0].identity = "fhir"</v>
      </c>
    </row>
    <row r="37" spans="4:4" x14ac:dyDescent="0.75">
      <c r="D37" s="111" t="str">
        <f>'Oth-Map-2'!D37</f>
        <v>* differential.element[11].mapping[0].map = ".text"</v>
      </c>
    </row>
    <row r="38" spans="4:4" x14ac:dyDescent="0.75">
      <c r="D38" s="111" t="str">
        <f>'Oth-Map-2'!D38</f>
        <v/>
      </c>
    </row>
    <row r="39" spans="4:4" x14ac:dyDescent="0.75">
      <c r="D39" s="111" t="str">
        <f>'Oth-Map-2'!D39</f>
        <v>* differential.element[12].mapping[0].identity = "fhir"</v>
      </c>
    </row>
    <row r="40" spans="4:4" x14ac:dyDescent="0.75">
      <c r="D40" s="111" t="str">
        <f>'Oth-Map-2'!D40</f>
        <v>* differential.element[12].mapping[0].map = ".bodySite"</v>
      </c>
    </row>
    <row r="41" spans="4:4" x14ac:dyDescent="0.75">
      <c r="D41" s="111" t="str">
        <f>'Oth-Map-2'!D41</f>
        <v/>
      </c>
    </row>
    <row r="42" spans="4:4" x14ac:dyDescent="0.75">
      <c r="D42" s="111" t="str">
        <f>'Oth-Map-2'!D42</f>
        <v>* differential.element[12].mapping[1].identity = "fhir"</v>
      </c>
    </row>
    <row r="43" spans="4:4" x14ac:dyDescent="0.75">
      <c r="D43" s="111" t="str">
        <f>'Oth-Map-2'!D43</f>
        <v>* differential.element[12].mapping[1].map = ".code"</v>
      </c>
    </row>
    <row r="44" spans="4:4" x14ac:dyDescent="0.75">
      <c r="D44" s="111" t="str">
        <f>'Oth-Map-2'!D44</f>
        <v/>
      </c>
    </row>
    <row r="45" spans="4:4" x14ac:dyDescent="0.75">
      <c r="D45" s="111" t="str">
        <f>'Oth-Map-2'!D45</f>
        <v>* differential.element[13].mapping[0].identity = "fhir"</v>
      </c>
    </row>
    <row r="46" spans="4:4" x14ac:dyDescent="0.75">
      <c r="D46" s="111" t="str">
        <f>'Oth-Map-2'!D46</f>
        <v>* differential.element[13].mapping[0].map = ".extension('http://hl7.eu/fhir/ig/pcsp/StructureDefinition/surgery-sacrifiedOrgan').valueCodeableConcept"</v>
      </c>
    </row>
    <row r="47" spans="4:4" x14ac:dyDescent="0.75">
      <c r="D47" s="111" t="str">
        <f>'Oth-Map-2'!D47</f>
        <v/>
      </c>
    </row>
    <row r="48" spans="4:4" x14ac:dyDescent="0.75">
      <c r="D48" s="111" t="str">
        <f>'Oth-Map-2'!D48</f>
        <v>* differential.element[13].mapping[1].identity = "fhir"</v>
      </c>
    </row>
    <row r="49" spans="4:4" x14ac:dyDescent="0.75">
      <c r="D49" s="111" t="str">
        <f>'Oth-Map-2'!D49</f>
        <v>* differential.element[13].mapping[1].map = ".code"</v>
      </c>
    </row>
    <row r="50" spans="4:4" x14ac:dyDescent="0.75">
      <c r="D50" s="111" t="str">
        <f>'Oth-Map-2'!D50</f>
        <v/>
      </c>
    </row>
    <row r="51" spans="4:4" x14ac:dyDescent="0.75">
      <c r="D51" s="111" t="str">
        <f>'Oth-Map-2'!D51</f>
        <v>* differential.element[14].mapping[0].identity = "fhir"</v>
      </c>
    </row>
    <row r="52" spans="4:4" x14ac:dyDescent="0.75">
      <c r="D52" s="111" t="str">
        <f>'Oth-Map-2'!D52</f>
        <v>* differential.element[14].mapping[0].map = "Procedure.conformsTo('http://hl7.eu/fhir/ig/pcsp/StructureDefinition/Procedure-surgery-eu-pcsp').where(code.memberOf(OtherSurgicalProcedureTypeVs))"</v>
      </c>
    </row>
    <row r="53" spans="4:4" x14ac:dyDescent="0.75">
      <c r="D53" s="111" t="str">
        <f>'Oth-Map-2'!D53</f>
        <v/>
      </c>
    </row>
    <row r="54" spans="4:4" x14ac:dyDescent="0.75">
      <c r="D54" s="111" t="str">
        <f>'Oth-Map-2'!D54</f>
        <v>* differential.element[15].mapping[0].identity = "fhir"</v>
      </c>
    </row>
    <row r="55" spans="4:4" x14ac:dyDescent="0.75">
      <c r="D55" s="111" t="str">
        <f>'Oth-Map-2'!D55</f>
        <v>* differential.element[15].mapping[0].map = ".code"</v>
      </c>
    </row>
    <row r="56" spans="4:4" x14ac:dyDescent="0.75">
      <c r="D56" s="111" t="str">
        <f>'Oth-Map-2'!D56</f>
        <v/>
      </c>
    </row>
    <row r="57" spans="4:4" x14ac:dyDescent="0.75">
      <c r="D57" s="111" t="str">
        <f>'Oth-Map-2'!D57</f>
        <v>* differential.element[16].mapping[0].identity = "fhir"</v>
      </c>
    </row>
    <row r="58" spans="4:4" x14ac:dyDescent="0.75">
      <c r="D58" s="111" t="str">
        <f>'Oth-Map-2'!D58</f>
        <v>* differential.element[16].mapping[0].map = ".extension('http://hl7.eu/fhir/ig/pcsp/StructureDefinition/mcode-laterality-qualifier').valueCodeableConcept"</v>
      </c>
    </row>
    <row r="59" spans="4:4" x14ac:dyDescent="0.75">
      <c r="D59" s="111" t="str">
        <f>'Oth-Map-2'!D59</f>
        <v/>
      </c>
    </row>
    <row r="60" spans="4:4" x14ac:dyDescent="0.75">
      <c r="D60" s="111" t="str">
        <f>'Oth-Map-2'!D60</f>
        <v>* differential.element[17].mapping[0].identity = "fhir"</v>
      </c>
    </row>
    <row r="61" spans="4:4" x14ac:dyDescent="0.75">
      <c r="D61" s="111" t="str">
        <f>'Oth-Map-2'!D61</f>
        <v>* differential.element[17].mapping[0].map = ".focalDevice.action"</v>
      </c>
    </row>
    <row r="62" spans="4:4" x14ac:dyDescent="0.75">
      <c r="D62" s="111" t="str">
        <f>'Oth-Map-2'!D62</f>
        <v/>
      </c>
    </row>
    <row r="63" spans="4:4" x14ac:dyDescent="0.75">
      <c r="D63" s="111" t="str">
        <f>'Oth-Map-2'!D63</f>
        <v>* differential.element[18].mapping[0].identity = "fhir"</v>
      </c>
    </row>
    <row r="64" spans="4:4" x14ac:dyDescent="0.75">
      <c r="D64" s="111" t="str">
        <f>'Oth-Map-2'!D64</f>
        <v>* differential.element[18].mapping[0].map = "Procedure.conformsTo('http://hl7.eu/fhir/ig/pcsp/StructureDefinition/Procedure-surgery-eu-pcsp').where(code.memberOf(AmputationProcedureTypeVs)).exists()"</v>
      </c>
    </row>
    <row r="65" spans="4:4" x14ac:dyDescent="0.75">
      <c r="D65" s="111" t="str">
        <f>'Oth-Map-2'!D65</f>
        <v/>
      </c>
    </row>
    <row r="66" spans="4:4" x14ac:dyDescent="0.75">
      <c r="D66" s="111" t="str">
        <f>'Oth-Map-2'!D66</f>
        <v>* differential.element[19].mapping[0].identity = "fhir"</v>
      </c>
    </row>
    <row r="67" spans="4:4" x14ac:dyDescent="0.75">
      <c r="D67" s="111" t="str">
        <f>'Oth-Map-2'!D67</f>
        <v>* differential.element[19].mapping[0].map = "Procedure.conformsTo('http://hl7.eu/fhir/ig/pcsp/StructureDefinition/Procedure-surgery-eu-pcsp').where(code from ProstheticProcedureTypeVs)"</v>
      </c>
    </row>
    <row r="68" spans="4:4" x14ac:dyDescent="0.75">
      <c r="D68" s="111" t="str">
        <f>'Oth-Map-2'!D68</f>
        <v/>
      </c>
    </row>
    <row r="69" spans="4:4" x14ac:dyDescent="0.75">
      <c r="D69" s="111" t="str">
        <f>'Oth-Map-2'!D69</f>
        <v>* differential.element[20].mapping[0].identity = "fhir"</v>
      </c>
    </row>
    <row r="70" spans="4:4" x14ac:dyDescent="0.75">
      <c r="D70" s="111" t="str">
        <f>'Oth-Map-2'!D70</f>
        <v>* differential.element[20].mapping[0].map = ".exists()"</v>
      </c>
    </row>
    <row r="71" spans="4:4" x14ac:dyDescent="0.75">
      <c r="D71" s="111" t="str">
        <f>'Oth-Map-2'!D71</f>
        <v/>
      </c>
    </row>
    <row r="72" spans="4:4" x14ac:dyDescent="0.75">
      <c r="D72" s="111" t="str">
        <f>'Oth-Map-2'!D72</f>
        <v>* differential.element[21].mapping[0].identity = "fhir"</v>
      </c>
    </row>
    <row r="73" spans="4:4" x14ac:dyDescent="0.75">
      <c r="D73" s="111" t="str">
        <f>'Oth-Map-2'!D73</f>
        <v>* differential.element[21].mapping[0].map = "usedCode"</v>
      </c>
    </row>
    <row r="74" spans="4:4" x14ac:dyDescent="0.75">
      <c r="D74" s="111" t="str">
        <f>'Oth-Map-2'!D74</f>
        <v/>
      </c>
    </row>
    <row r="75" spans="4:4" x14ac:dyDescent="0.75">
      <c r="D75" s="111" t="str">
        <f>'Oth-Map-2'!D75</f>
        <v>* differential.element[22].mapping[0].identity = "fhir"</v>
      </c>
    </row>
    <row r="76" spans="4:4" x14ac:dyDescent="0.75">
      <c r="D76" s="111" t="str">
        <f>'Oth-Map-2'!D76</f>
        <v>* differential.element[22].mapping[0].map = "Procedure.conformsTo('http://hl7.eu/fhir/ig/pcsp/StructureDefinition/Procedure-surgery-eu-pcsp').where(code.memberOf(ColostomyProcedureTypeVs))"</v>
      </c>
    </row>
    <row r="77" spans="4:4" x14ac:dyDescent="0.75">
      <c r="D77" s="111" t="str">
        <f>'Oth-Map-2'!D77</f>
        <v/>
      </c>
    </row>
    <row r="78" spans="4:4" x14ac:dyDescent="0.75">
      <c r="D78" s="111" t="str">
        <f>'Oth-Map-2'!D78</f>
        <v>* differential.element[23].mapping[0].identity = "fhir"</v>
      </c>
    </row>
    <row r="79" spans="4:4" x14ac:dyDescent="0.75">
      <c r="D79" s="111" t="str">
        <f>'Oth-Map-2'!D79</f>
        <v>* differential.element[23].mapping[0].map = ".exists()"</v>
      </c>
    </row>
    <row r="80" spans="4:4" x14ac:dyDescent="0.75">
      <c r="D80" s="111" t="str">
        <f>'Oth-Map-2'!D80</f>
        <v/>
      </c>
    </row>
    <row r="81" spans="4:4" x14ac:dyDescent="0.75">
      <c r="D81" s="111" t="str">
        <f>'Oth-Map-2'!D81</f>
        <v>* differential.element[24].mapping[0].identity = "fhir"</v>
      </c>
    </row>
    <row r="82" spans="4:4" x14ac:dyDescent="0.75">
      <c r="D82" s="111" t="str">
        <f>'Oth-Map-2'!D82</f>
        <v>* differential.element[24].mapping[0].map = ".focalDevice.action"</v>
      </c>
    </row>
    <row r="83" spans="4:4" x14ac:dyDescent="0.75">
      <c r="D83" s="111" t="str">
        <f>'Oth-Map-2'!D83</f>
        <v/>
      </c>
    </row>
    <row r="84" spans="4:4" x14ac:dyDescent="0.75">
      <c r="D84" s="111" t="str">
        <f>'Oth-Map-2'!D84</f>
        <v>* differential.element[25].mapping[0].identity = "fhir"</v>
      </c>
    </row>
    <row r="85" spans="4:4" x14ac:dyDescent="0.75">
      <c r="D85" s="111" t="str">
        <f>'Oth-Map-2'!D85</f>
        <v>* differential.element[25].mapping[0].map = "Procedure.conformsTo('http://hl7.eu/fhir/ig/pcsp/StructureDefinition/Procedure-surgery-eu-pcsp').where(code.memberOf(GastrostomyProcedureTypeVs)).exists()"</v>
      </c>
    </row>
    <row r="86" spans="4:4" x14ac:dyDescent="0.75">
      <c r="D86" s="111" t="str">
        <f>'Oth-Map-2'!D86</f>
        <v/>
      </c>
    </row>
    <row r="87" spans="4:4" x14ac:dyDescent="0.75">
      <c r="D87" s="111" t="str">
        <f>'Oth-Map-2'!D87</f>
        <v/>
      </c>
    </row>
    <row r="88" spans="4:4" x14ac:dyDescent="0.75">
      <c r="D88" s="111" t="str">
        <f>'Oth-Map-2'!D88</f>
        <v/>
      </c>
    </row>
    <row r="89" spans="4:4" x14ac:dyDescent="0.75">
      <c r="D89" s="111" t="str">
        <f>'Oth-Map-2'!D89</f>
        <v/>
      </c>
    </row>
    <row r="90" spans="4:4" x14ac:dyDescent="0.75">
      <c r="D90" s="111" t="str">
        <f>'Oth-Map-2'!D90</f>
        <v/>
      </c>
    </row>
    <row r="91" spans="4:4" x14ac:dyDescent="0.75">
      <c r="D91" s="111" t="str">
        <f>'Oth-Map-2'!D91</f>
        <v/>
      </c>
    </row>
    <row r="92" spans="4:4" x14ac:dyDescent="0.75">
      <c r="D92" s="111" t="str">
        <f>'Oth-Map-2'!D92</f>
        <v/>
      </c>
    </row>
    <row r="93" spans="4:4" x14ac:dyDescent="0.75">
      <c r="D93" s="111" t="str">
        <f>'Oth-Map-2'!D93</f>
        <v/>
      </c>
    </row>
    <row r="94" spans="4:4" x14ac:dyDescent="0.75">
      <c r="D94" s="111" t="str">
        <f>'Oth-Map-2'!D94</f>
        <v/>
      </c>
    </row>
    <row r="95" spans="4:4" x14ac:dyDescent="0.75">
      <c r="D95" s="111" t="str">
        <f>'Oth-Map-2'!D95</f>
        <v/>
      </c>
    </row>
    <row r="96" spans="4:4" x14ac:dyDescent="0.75">
      <c r="D96" s="111" t="str">
        <f>'Oth-Map-2'!D96</f>
        <v/>
      </c>
    </row>
    <row r="97" spans="4:4" x14ac:dyDescent="0.75">
      <c r="D97" s="111" t="str">
        <f>'Oth-Map-2'!D97</f>
        <v/>
      </c>
    </row>
    <row r="98" spans="4:4" x14ac:dyDescent="0.75">
      <c r="D98" s="111" t="str">
        <f>'Oth-Map-2'!D98</f>
        <v/>
      </c>
    </row>
    <row r="99" spans="4:4" x14ac:dyDescent="0.75">
      <c r="D99" s="111" t="str">
        <f>'Oth-Map-2'!D99</f>
        <v/>
      </c>
    </row>
    <row r="100" spans="4:4" x14ac:dyDescent="0.75">
      <c r="D100" s="111" t="str">
        <f>'Oth-Map-2'!D100</f>
        <v/>
      </c>
    </row>
    <row r="101" spans="4:4" x14ac:dyDescent="0.75">
      <c r="D101" s="111" t="str">
        <f>'Oth-Map-2'!D101</f>
        <v/>
      </c>
    </row>
    <row r="102" spans="4:4" x14ac:dyDescent="0.75">
      <c r="D102" s="111" t="str">
        <f>'Oth-Map-2'!D102</f>
        <v/>
      </c>
    </row>
    <row r="103" spans="4:4" x14ac:dyDescent="0.75">
      <c r="D103" s="111" t="str">
        <f>'Oth-Map-2'!D103</f>
        <v/>
      </c>
    </row>
    <row r="104" spans="4:4" x14ac:dyDescent="0.75">
      <c r="D104" s="111" t="str">
        <f>'Oth-Map-2'!D104</f>
        <v/>
      </c>
    </row>
    <row r="105" spans="4:4" x14ac:dyDescent="0.75">
      <c r="D105" s="111" t="str">
        <f>'Oth-Map-2'!D105</f>
        <v/>
      </c>
    </row>
    <row r="106" spans="4:4" x14ac:dyDescent="0.75">
      <c r="D106" s="111" t="str">
        <f>'Oth-Map-2'!D106</f>
        <v/>
      </c>
    </row>
    <row r="107" spans="4:4" x14ac:dyDescent="0.75">
      <c r="D107" s="111" t="str">
        <f>'Oth-Map-2'!D107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B7" sqref="B7:B9"/>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1019</v>
      </c>
    </row>
    <row r="3" spans="1:9" x14ac:dyDescent="0.75">
      <c r="B3" s="20" t="s">
        <v>34</v>
      </c>
      <c r="D3" s="134"/>
    </row>
    <row r="4" spans="1:9" ht="15.5" thickBot="1" x14ac:dyDescent="0.9">
      <c r="B4" s="22" t="s">
        <v>52</v>
      </c>
      <c r="C4" s="23" t="s">
        <v>915</v>
      </c>
      <c r="D4" s="135"/>
    </row>
    <row r="5" spans="1:9" x14ac:dyDescent="0.75">
      <c r="C5" s="51" t="s">
        <v>7</v>
      </c>
      <c r="D5" s="4" t="s">
        <v>8</v>
      </c>
      <c r="E5" s="11" t="s">
        <v>17</v>
      </c>
      <c r="F5" s="11" t="s">
        <v>18</v>
      </c>
      <c r="G5" s="11" t="s">
        <v>19</v>
      </c>
    </row>
    <row r="6" spans="1:9" ht="15.5" thickBot="1" x14ac:dyDescent="0.9">
      <c r="A6" s="109">
        <v>0</v>
      </c>
      <c r="B6" s="23" t="s">
        <v>915</v>
      </c>
      <c r="C6" s="33" t="s">
        <v>65</v>
      </c>
      <c r="D6" s="33" t="s">
        <v>65</v>
      </c>
      <c r="E6" s="34">
        <v>1</v>
      </c>
      <c r="F6" s="34">
        <v>1</v>
      </c>
      <c r="G6" s="34" t="s">
        <v>21</v>
      </c>
    </row>
    <row r="7" spans="1:9" ht="44.25" x14ac:dyDescent="0.75">
      <c r="A7" s="111">
        <v>1</v>
      </c>
      <c r="B7" s="45" t="s">
        <v>897</v>
      </c>
      <c r="C7" s="45" t="s">
        <v>129</v>
      </c>
      <c r="D7" s="112" t="s">
        <v>608</v>
      </c>
      <c r="E7" s="111">
        <v>0</v>
      </c>
      <c r="F7" s="111">
        <v>1</v>
      </c>
      <c r="G7" s="111" t="s">
        <v>0</v>
      </c>
      <c r="H7" s="111"/>
      <c r="I7" s="111" t="str">
        <f>TRIM(C7)</f>
        <v>Progressive number of diagnosis</v>
      </c>
    </row>
    <row r="8" spans="1:9" x14ac:dyDescent="0.75">
      <c r="A8" s="111">
        <v>2</v>
      </c>
      <c r="B8" s="45" t="s">
        <v>898</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875</v>
      </c>
      <c r="C10" s="112" t="s">
        <v>888</v>
      </c>
      <c r="D10" s="112" t="s">
        <v>613</v>
      </c>
      <c r="E10" s="111">
        <v>0</v>
      </c>
      <c r="F10" s="111">
        <v>1</v>
      </c>
      <c r="G10" s="111" t="s">
        <v>5</v>
      </c>
      <c r="H10" s="111"/>
      <c r="I10" s="111" t="str">
        <f t="shared" si="0"/>
        <v>Institution of treatment</v>
      </c>
    </row>
    <row r="11" spans="1:9" x14ac:dyDescent="0.75">
      <c r="A11" s="111">
        <v>5</v>
      </c>
      <c r="B11" s="112" t="s">
        <v>878</v>
      </c>
      <c r="C11" s="112" t="s">
        <v>881</v>
      </c>
      <c r="D11" s="112" t="s">
        <v>881</v>
      </c>
      <c r="E11" s="111">
        <v>0</v>
      </c>
      <c r="F11" s="111">
        <v>1</v>
      </c>
      <c r="G11" s="111" t="s">
        <v>3</v>
      </c>
      <c r="H11" s="111"/>
      <c r="I11" s="111" t="str">
        <f t="shared" si="0"/>
        <v>Institution description</v>
      </c>
    </row>
    <row r="12" spans="1:9" x14ac:dyDescent="0.75">
      <c r="A12" s="111">
        <v>6</v>
      </c>
      <c r="B12" s="112" t="s">
        <v>876</v>
      </c>
      <c r="C12" s="112" t="s">
        <v>882</v>
      </c>
      <c r="D12" s="112" t="s">
        <v>882</v>
      </c>
      <c r="E12" s="111">
        <v>0</v>
      </c>
      <c r="F12" s="111">
        <v>1</v>
      </c>
      <c r="G12" s="111" t="s">
        <v>3</v>
      </c>
      <c r="H12" s="111"/>
      <c r="I12" s="111" t="str">
        <f t="shared" si="0"/>
        <v>Institution name</v>
      </c>
    </row>
    <row r="13" spans="1:9" x14ac:dyDescent="0.75">
      <c r="A13" s="111">
        <v>7</v>
      </c>
      <c r="B13" s="112" t="s">
        <v>877</v>
      </c>
      <c r="C13" s="112" t="s">
        <v>883</v>
      </c>
      <c r="D13" s="112" t="s">
        <v>883</v>
      </c>
      <c r="E13" s="111">
        <v>0</v>
      </c>
      <c r="F13" s="111">
        <v>1</v>
      </c>
      <c r="G13" s="111" t="s">
        <v>5</v>
      </c>
      <c r="H13" s="111"/>
      <c r="I13" s="111" t="str">
        <f t="shared" si="0"/>
        <v>Institution address</v>
      </c>
    </row>
    <row r="14" spans="1:9" x14ac:dyDescent="0.75">
      <c r="A14" s="111">
        <v>8</v>
      </c>
      <c r="B14" s="112" t="s">
        <v>879</v>
      </c>
      <c r="C14" s="112" t="s">
        <v>884</v>
      </c>
      <c r="D14" s="112" t="s">
        <v>884</v>
      </c>
      <c r="E14" s="111">
        <v>0</v>
      </c>
      <c r="F14" s="111">
        <v>1</v>
      </c>
      <c r="G14" s="111" t="s">
        <v>3</v>
      </c>
      <c r="H14" s="111"/>
      <c r="I14" s="111" t="str">
        <f t="shared" si="0"/>
        <v>Institution city</v>
      </c>
    </row>
    <row r="15" spans="1:9" x14ac:dyDescent="0.75">
      <c r="A15" s="111">
        <v>9</v>
      </c>
      <c r="B15" s="112" t="s">
        <v>880</v>
      </c>
      <c r="C15" s="112" t="s">
        <v>885</v>
      </c>
      <c r="D15" s="112" t="s">
        <v>885</v>
      </c>
      <c r="E15" s="111">
        <v>0</v>
      </c>
      <c r="F15" s="111">
        <v>1</v>
      </c>
      <c r="G15" s="111" t="s">
        <v>3</v>
      </c>
      <c r="H15" s="111"/>
      <c r="I15" s="111" t="str">
        <f t="shared" si="0"/>
        <v>Institution country</v>
      </c>
    </row>
    <row r="16" spans="1:9" ht="29.5" x14ac:dyDescent="0.75">
      <c r="A16" s="111">
        <v>10</v>
      </c>
      <c r="B16" s="111" t="s">
        <v>4</v>
      </c>
      <c r="C16" s="111" t="s">
        <v>940</v>
      </c>
      <c r="D16" s="112" t="s">
        <v>617</v>
      </c>
      <c r="E16" s="111">
        <v>0</v>
      </c>
      <c r="F16" s="111">
        <v>1</v>
      </c>
      <c r="G16" s="111" t="s">
        <v>2</v>
      </c>
      <c r="H16" s="111"/>
      <c r="I16" s="111" t="str">
        <f t="shared" si="0"/>
        <v>Date of surgery</v>
      </c>
    </row>
    <row r="17" spans="1:9" ht="29.5" x14ac:dyDescent="0.75">
      <c r="A17" s="111">
        <v>11</v>
      </c>
      <c r="B17" s="111" t="s">
        <v>892</v>
      </c>
      <c r="C17" s="111" t="s">
        <v>941</v>
      </c>
      <c r="D17" s="112" t="s">
        <v>620</v>
      </c>
      <c r="E17" s="111">
        <v>0</v>
      </c>
      <c r="F17" s="111">
        <v>1</v>
      </c>
      <c r="G17" s="111" t="s">
        <v>3</v>
      </c>
      <c r="H17" s="111"/>
      <c r="I17" s="111" t="str">
        <f t="shared" si="0"/>
        <v>Surgery description</v>
      </c>
    </row>
    <row r="18" spans="1:9" ht="44.25" x14ac:dyDescent="0.75">
      <c r="A18" s="111">
        <v>12</v>
      </c>
      <c r="B18" s="112" t="s">
        <v>936</v>
      </c>
      <c r="C18" s="112" t="s">
        <v>937</v>
      </c>
      <c r="D18" s="112" t="s">
        <v>916</v>
      </c>
      <c r="E18" s="111">
        <v>0</v>
      </c>
      <c r="F18" s="111" t="s">
        <v>20</v>
      </c>
      <c r="G18" s="111" t="s">
        <v>1</v>
      </c>
      <c r="H18" s="111"/>
      <c r="I18" s="111" t="str">
        <f>TRIM(C18)</f>
        <v>Affected Organs</v>
      </c>
    </row>
    <row r="19" spans="1:9" ht="162.25" x14ac:dyDescent="0.75">
      <c r="A19" s="111">
        <v>13</v>
      </c>
      <c r="B19" s="24" t="s">
        <v>946</v>
      </c>
      <c r="C19" s="111" t="s">
        <v>651</v>
      </c>
      <c r="D19" s="112" t="s">
        <v>930</v>
      </c>
      <c r="E19" s="111">
        <v>0</v>
      </c>
      <c r="F19" s="111" t="s">
        <v>20</v>
      </c>
      <c r="G19" s="111" t="s">
        <v>1</v>
      </c>
      <c r="H19" s="111"/>
      <c r="I19" s="111" t="str">
        <f t="shared" si="0"/>
        <v>Sacrified Organs</v>
      </c>
    </row>
    <row r="20" spans="1:9" x14ac:dyDescent="0.75">
      <c r="A20" s="111">
        <v>14</v>
      </c>
      <c r="B20" s="111" t="s">
        <v>935</v>
      </c>
      <c r="C20" s="111" t="s">
        <v>925</v>
      </c>
      <c r="D20" s="112" t="s">
        <v>666</v>
      </c>
      <c r="E20" s="111">
        <v>0</v>
      </c>
      <c r="F20" s="111" t="s">
        <v>20</v>
      </c>
      <c r="G20" s="111" t="s">
        <v>5</v>
      </c>
      <c r="H20" s="114"/>
      <c r="I20" s="111" t="str">
        <f t="shared" si="0"/>
        <v>Shunt application</v>
      </c>
    </row>
    <row r="21" spans="1:9" ht="118" x14ac:dyDescent="0.75">
      <c r="A21" s="111">
        <v>15</v>
      </c>
      <c r="B21" s="112" t="s">
        <v>938</v>
      </c>
      <c r="C21" s="111" t="s">
        <v>1008</v>
      </c>
      <c r="D21" s="112" t="s">
        <v>919</v>
      </c>
      <c r="E21" s="111">
        <v>0</v>
      </c>
      <c r="F21" s="111">
        <v>1</v>
      </c>
      <c r="G21" s="111" t="s">
        <v>1</v>
      </c>
      <c r="I21" s="111" t="str">
        <f t="shared" si="0"/>
        <v>Type of shunt</v>
      </c>
    </row>
    <row r="22" spans="1:9" ht="88.5" x14ac:dyDescent="0.75">
      <c r="A22" s="111">
        <v>16</v>
      </c>
      <c r="B22" s="112" t="s">
        <v>939</v>
      </c>
      <c r="C22" s="112" t="s">
        <v>1009</v>
      </c>
      <c r="D22" s="112" t="s">
        <v>920</v>
      </c>
      <c r="E22" s="111">
        <v>0</v>
      </c>
      <c r="F22" s="111">
        <v>1</v>
      </c>
      <c r="G22" s="111" t="s">
        <v>1</v>
      </c>
      <c r="I22" s="111" t="str">
        <f t="shared" si="0"/>
        <v>Laterality of shunt</v>
      </c>
    </row>
    <row r="23" spans="1:9" ht="73.75" x14ac:dyDescent="0.75">
      <c r="A23" s="111">
        <v>17</v>
      </c>
      <c r="B23" s="111" t="s">
        <v>917</v>
      </c>
      <c r="C23" s="111" t="s">
        <v>918</v>
      </c>
      <c r="D23" s="112" t="s">
        <v>921</v>
      </c>
      <c r="E23" s="111">
        <v>0</v>
      </c>
      <c r="F23" s="111">
        <v>1</v>
      </c>
      <c r="G23" s="111" t="s">
        <v>1</v>
      </c>
      <c r="I23" s="111" t="str">
        <f t="shared" si="0"/>
        <v>In place or removed ?</v>
      </c>
    </row>
    <row r="24" spans="1:9" ht="88.5" x14ac:dyDescent="0.75">
      <c r="A24" s="111">
        <v>18</v>
      </c>
      <c r="B24" s="111" t="s">
        <v>934</v>
      </c>
      <c r="C24" s="111" t="s">
        <v>926</v>
      </c>
      <c r="D24" s="112" t="s">
        <v>924</v>
      </c>
      <c r="E24" s="111">
        <v>0</v>
      </c>
      <c r="F24" s="111">
        <v>1</v>
      </c>
      <c r="G24" s="111" t="s">
        <v>1</v>
      </c>
      <c r="I24" s="111" t="str">
        <f t="shared" si="0"/>
        <v>Amputation</v>
      </c>
    </row>
    <row r="25" spans="1:9" x14ac:dyDescent="0.75">
      <c r="A25" s="111">
        <v>19</v>
      </c>
      <c r="B25" s="111" t="s">
        <v>933</v>
      </c>
      <c r="C25" s="111" t="s">
        <v>927</v>
      </c>
      <c r="D25" s="111" t="s">
        <v>927</v>
      </c>
      <c r="E25" s="111">
        <v>0</v>
      </c>
      <c r="F25" s="111">
        <v>1</v>
      </c>
      <c r="G25" s="111" t="s">
        <v>5</v>
      </c>
      <c r="I25" s="111" t="str">
        <f t="shared" si="0"/>
        <v>Prothesis</v>
      </c>
    </row>
    <row r="26" spans="1:9" ht="29.5" x14ac:dyDescent="0.75">
      <c r="A26" s="111">
        <v>20</v>
      </c>
      <c r="B26" s="111" t="s">
        <v>1013</v>
      </c>
      <c r="C26" s="111" t="s">
        <v>1012</v>
      </c>
      <c r="D26" s="112" t="s">
        <v>688</v>
      </c>
      <c r="E26" s="111">
        <v>0</v>
      </c>
      <c r="F26" s="111">
        <v>1</v>
      </c>
      <c r="G26" s="111" t="s">
        <v>1</v>
      </c>
      <c r="I26" s="111"/>
    </row>
    <row r="27" spans="1:9" ht="73.75" x14ac:dyDescent="0.75">
      <c r="A27" s="111">
        <v>21</v>
      </c>
      <c r="B27" s="111" t="s">
        <v>1014</v>
      </c>
      <c r="C27" s="111" t="s">
        <v>1016</v>
      </c>
      <c r="D27" s="112" t="s">
        <v>1015</v>
      </c>
      <c r="E27" s="111">
        <v>0</v>
      </c>
      <c r="F27" s="111">
        <v>1</v>
      </c>
      <c r="G27" s="111" t="s">
        <v>1</v>
      </c>
      <c r="I27" s="111"/>
    </row>
    <row r="28" spans="1:9" x14ac:dyDescent="0.75">
      <c r="A28" s="111">
        <v>22</v>
      </c>
      <c r="B28" s="111" t="s">
        <v>932</v>
      </c>
      <c r="C28" s="111" t="s">
        <v>928</v>
      </c>
      <c r="D28" s="111" t="s">
        <v>928</v>
      </c>
      <c r="E28" s="111">
        <v>0</v>
      </c>
      <c r="F28" s="111">
        <v>1</v>
      </c>
      <c r="G28" s="111" t="s">
        <v>5</v>
      </c>
      <c r="I28" s="111" t="str">
        <f t="shared" si="0"/>
        <v>Colostomy</v>
      </c>
    </row>
    <row r="29" spans="1:9" x14ac:dyDescent="0.75">
      <c r="A29" s="111">
        <v>23</v>
      </c>
      <c r="B29" s="111" t="s">
        <v>1011</v>
      </c>
      <c r="C29" s="111" t="s">
        <v>1012</v>
      </c>
      <c r="D29" s="112" t="s">
        <v>697</v>
      </c>
      <c r="E29" s="111">
        <v>0</v>
      </c>
      <c r="F29" s="111">
        <v>1</v>
      </c>
      <c r="G29" s="111" t="s">
        <v>1</v>
      </c>
      <c r="I29" s="111" t="str">
        <f t="shared" si="0"/>
        <v>status</v>
      </c>
    </row>
    <row r="30" spans="1:9" ht="59" x14ac:dyDescent="0.75">
      <c r="A30" s="111">
        <v>24</v>
      </c>
      <c r="B30" s="111" t="s">
        <v>1010</v>
      </c>
      <c r="C30" s="111" t="s">
        <v>918</v>
      </c>
      <c r="D30" s="112" t="s">
        <v>922</v>
      </c>
      <c r="E30" s="111">
        <v>0</v>
      </c>
      <c r="F30" s="111">
        <v>1</v>
      </c>
      <c r="G30" s="111" t="s">
        <v>1</v>
      </c>
      <c r="I30" s="111"/>
    </row>
    <row r="31" spans="1:9" ht="67.5" x14ac:dyDescent="0.75">
      <c r="A31" s="111">
        <v>25</v>
      </c>
      <c r="B31" s="111" t="s">
        <v>931</v>
      </c>
      <c r="C31" s="111" t="s">
        <v>929</v>
      </c>
      <c r="D31" s="28" t="s">
        <v>923</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73.7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73.7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73.7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73.7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73.7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73.7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73.7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73.75"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73.75"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73.75"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73.7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73.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73.7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73.7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73.7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73.7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73.7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73.7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73.7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73.7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73.7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73.7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zoomScale="145" zoomScaleNormal="145" workbookViewId="0">
      <selection activeCell="D25" sqref="D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29.5" x14ac:dyDescent="0.75">
      <c r="A11" s="111">
        <v>0</v>
      </c>
      <c r="B11" s="111">
        <f>'Surg-1'!A10</f>
        <v>4</v>
      </c>
      <c r="C11" s="111" t="str">
        <f>'Surg-1'!B10</f>
        <v>istitutionOfTreatment</v>
      </c>
      <c r="D11" s="112" t="s">
        <v>902</v>
      </c>
      <c r="H11" s="109" t="b">
        <f t="shared" si="5"/>
        <v>1</v>
      </c>
      <c r="I11" s="110" t="str">
        <f t="shared" si="6"/>
        <v>* differential.element[4].mapping[0].identity = "fhir"</v>
      </c>
      <c r="J11" s="110" t="str">
        <f t="shared" si="7"/>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ht="29.5"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1031</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5"/>
        <v>1</v>
      </c>
      <c r="I28" s="110" t="str">
        <f t="shared" si="6"/>
        <v>* differential.element[19].mapping[0].identity = "fhir"</v>
      </c>
      <c r="J28" s="110" t="str">
        <f t="shared" si="7"/>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'Oth-1'!#REF!</f>
        <v>#REF!</v>
      </c>
      <c r="H48" s="109" t="b">
        <f t="shared" si="5"/>
        <v>0</v>
      </c>
      <c r="I48" s="110" t="str">
        <f t="shared" si="6"/>
        <v/>
      </c>
      <c r="J48" s="110" t="str">
        <f t="shared" si="7"/>
        <v/>
      </c>
      <c r="K48" s="110" t="str">
        <f t="shared" si="3"/>
        <v/>
      </c>
    </row>
    <row r="49" spans="2:11" x14ac:dyDescent="0.75">
      <c r="B49" s="109" t="e">
        <f>'Oth-1'!#REF!</f>
        <v>#REF!</v>
      </c>
      <c r="H49" s="109" t="b">
        <f t="shared" si="5"/>
        <v>0</v>
      </c>
      <c r="I49" s="110" t="str">
        <f t="shared" si="6"/>
        <v/>
      </c>
      <c r="J49" s="110" t="str">
        <f t="shared" si="7"/>
        <v/>
      </c>
      <c r="K49" s="110" t="str">
        <f t="shared" si="3"/>
        <v/>
      </c>
    </row>
    <row r="50" spans="2:11" x14ac:dyDescent="0.75">
      <c r="B50" s="109" t="e">
        <f>'Oth-1'!#REF!</f>
        <v>#REF!</v>
      </c>
      <c r="H50" s="109" t="b">
        <f t="shared" si="5"/>
        <v>0</v>
      </c>
      <c r="I50" s="110" t="str">
        <f t="shared" si="6"/>
        <v/>
      </c>
      <c r="J50" s="110" t="str">
        <f t="shared" si="7"/>
        <v/>
      </c>
      <c r="K50" s="110" t="str">
        <f t="shared" si="3"/>
        <v/>
      </c>
    </row>
    <row r="51" spans="2:11" x14ac:dyDescent="0.75">
      <c r="B51" s="109" t="e">
        <f>'Oth-1'!#REF!</f>
        <v>#REF!</v>
      </c>
      <c r="H51" s="109" t="b">
        <f t="shared" si="5"/>
        <v>0</v>
      </c>
      <c r="I51" s="110" t="str">
        <f t="shared" si="6"/>
        <v/>
      </c>
      <c r="J51" s="110" t="str">
        <f t="shared" si="7"/>
        <v/>
      </c>
      <c r="K51" s="110" t="str">
        <f t="shared" si="3"/>
        <v/>
      </c>
    </row>
    <row r="52" spans="2:11" x14ac:dyDescent="0.75">
      <c r="B52" s="109" t="e">
        <f>'Oth-1'!#REF!</f>
        <v>#REF!</v>
      </c>
      <c r="H52" s="109" t="b">
        <f t="shared" si="5"/>
        <v>0</v>
      </c>
      <c r="I52" s="110" t="str">
        <f t="shared" si="6"/>
        <v/>
      </c>
      <c r="J52" s="110" t="str">
        <f t="shared" si="7"/>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".extension(http://hl7.eu/fhir/ig/pcsp/StructureDefinition/ActLocation-eu-pcsp).conformsTo(http://hl7.eu/fhir/ig/pcsp/StructureDefinition/Location-eu-pcsp)"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"Procedure.conformsTo('http://hl7.eu/fhir/ig/pcsp/StructureDefinition/Procedure-surgery-eu-pcsp').where(code.memberOf(OtherSurgicalProcedureTypeVs))"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 from 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zoomScaleNormal="100" workbookViewId="0">
      <selection activeCell="G7" sqref="G7:G9"/>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947</v>
      </c>
      <c r="D2" s="152" t="s">
        <v>1042</v>
      </c>
      <c r="E2" s="25"/>
      <c r="F2" s="25"/>
      <c r="G2" s="25"/>
    </row>
    <row r="3" spans="1:9" x14ac:dyDescent="0.75">
      <c r="B3" s="20" t="s">
        <v>34</v>
      </c>
      <c r="C3" s="25"/>
      <c r="D3" s="56"/>
      <c r="E3" s="25"/>
      <c r="F3" s="25"/>
      <c r="G3" s="25"/>
    </row>
    <row r="4" spans="1:9" ht="15.5" thickBot="1" x14ac:dyDescent="0.9">
      <c r="B4" s="22" t="s">
        <v>52</v>
      </c>
      <c r="C4" s="148" t="s">
        <v>948</v>
      </c>
      <c r="D4" s="57"/>
      <c r="E4" s="25"/>
      <c r="F4" s="25"/>
      <c r="G4" s="25"/>
    </row>
    <row r="5" spans="1:9" x14ac:dyDescent="0.75">
      <c r="B5" s="25"/>
      <c r="C5" s="51" t="s">
        <v>7</v>
      </c>
      <c r="D5" s="4" t="s">
        <v>8</v>
      </c>
      <c r="E5" s="11" t="s">
        <v>17</v>
      </c>
      <c r="F5" s="11" t="s">
        <v>18</v>
      </c>
      <c r="G5" s="11" t="s">
        <v>19</v>
      </c>
    </row>
    <row r="6" spans="1:9" ht="15.5" thickBot="1" x14ac:dyDescent="0.9">
      <c r="A6">
        <v>0</v>
      </c>
      <c r="B6" s="33" t="s">
        <v>948</v>
      </c>
      <c r="C6" s="148" t="s">
        <v>947</v>
      </c>
      <c r="D6" s="148" t="s">
        <v>947</v>
      </c>
      <c r="E6" s="34">
        <v>1</v>
      </c>
      <c r="F6" s="34">
        <v>1</v>
      </c>
      <c r="G6" s="34" t="s">
        <v>21</v>
      </c>
    </row>
    <row r="7" spans="1:9" x14ac:dyDescent="0.75">
      <c r="A7" s="2">
        <v>1</v>
      </c>
      <c r="B7" s="26" t="s">
        <v>35</v>
      </c>
      <c r="C7" s="111" t="s">
        <v>949</v>
      </c>
      <c r="D7" s="111" t="s">
        <v>343</v>
      </c>
      <c r="E7" s="26">
        <v>1</v>
      </c>
      <c r="F7" s="26" t="s">
        <v>20</v>
      </c>
      <c r="G7" s="26" t="s">
        <v>0</v>
      </c>
      <c r="H7" s="2"/>
      <c r="I7" s="2"/>
    </row>
    <row r="8" spans="1:9" x14ac:dyDescent="0.75">
      <c r="A8" s="25">
        <v>2</v>
      </c>
      <c r="B8" s="111" t="s">
        <v>897</v>
      </c>
      <c r="C8" s="111" t="s">
        <v>129</v>
      </c>
      <c r="D8" s="111" t="s">
        <v>129</v>
      </c>
      <c r="E8" s="26">
        <v>1</v>
      </c>
      <c r="F8" s="26" t="s">
        <v>20</v>
      </c>
      <c r="G8" s="111" t="s">
        <v>0</v>
      </c>
      <c r="H8" s="2"/>
      <c r="I8" s="2"/>
    </row>
    <row r="9" spans="1:9" x14ac:dyDescent="0.75">
      <c r="A9" s="26">
        <v>3</v>
      </c>
      <c r="B9" s="111" t="s">
        <v>898</v>
      </c>
      <c r="C9" s="111" t="s">
        <v>282</v>
      </c>
      <c r="D9" s="111" t="s">
        <v>282</v>
      </c>
      <c r="E9" s="26">
        <v>1</v>
      </c>
      <c r="F9" s="26" t="s">
        <v>20</v>
      </c>
      <c r="G9" s="111" t="s">
        <v>0</v>
      </c>
      <c r="H9" s="2"/>
      <c r="I9" s="2"/>
    </row>
    <row r="10" spans="1:9" x14ac:dyDescent="0.75">
      <c r="A10" s="25">
        <v>4</v>
      </c>
      <c r="B10" s="112" t="s">
        <v>875</v>
      </c>
      <c r="C10" s="112" t="s">
        <v>888</v>
      </c>
      <c r="D10" s="112" t="s">
        <v>950</v>
      </c>
      <c r="E10" s="111">
        <v>0</v>
      </c>
      <c r="F10" s="111">
        <v>1</v>
      </c>
      <c r="G10" s="111" t="s">
        <v>5</v>
      </c>
      <c r="H10" s="2"/>
      <c r="I10" s="2"/>
    </row>
    <row r="11" spans="1:9" x14ac:dyDescent="0.75">
      <c r="A11" s="26">
        <v>5</v>
      </c>
      <c r="B11" s="112" t="s">
        <v>878</v>
      </c>
      <c r="C11" s="112" t="s">
        <v>881</v>
      </c>
      <c r="D11" s="112" t="s">
        <v>881</v>
      </c>
      <c r="E11" s="111">
        <v>0</v>
      </c>
      <c r="F11" s="111">
        <v>1</v>
      </c>
      <c r="G11" s="111" t="s">
        <v>3</v>
      </c>
      <c r="H11" s="2"/>
      <c r="I11" s="2"/>
    </row>
    <row r="12" spans="1:9" x14ac:dyDescent="0.75">
      <c r="A12" s="109">
        <v>6</v>
      </c>
      <c r="B12" s="112" t="s">
        <v>876</v>
      </c>
      <c r="C12" s="112" t="s">
        <v>882</v>
      </c>
      <c r="D12" s="112" t="s">
        <v>882</v>
      </c>
      <c r="E12" s="111">
        <v>0</v>
      </c>
      <c r="F12" s="111">
        <v>1</v>
      </c>
      <c r="G12" s="111" t="s">
        <v>3</v>
      </c>
      <c r="H12" s="2"/>
      <c r="I12" s="2"/>
    </row>
    <row r="13" spans="1:9" x14ac:dyDescent="0.75">
      <c r="A13" s="111">
        <v>7</v>
      </c>
      <c r="B13" s="112" t="s">
        <v>877</v>
      </c>
      <c r="C13" s="112" t="s">
        <v>883</v>
      </c>
      <c r="D13" s="112" t="s">
        <v>883</v>
      </c>
      <c r="E13" s="111">
        <v>0</v>
      </c>
      <c r="F13" s="111">
        <v>1</v>
      </c>
      <c r="G13" s="111" t="s">
        <v>5</v>
      </c>
      <c r="H13" s="2"/>
      <c r="I13" s="2"/>
    </row>
    <row r="14" spans="1:9" x14ac:dyDescent="0.75">
      <c r="A14" s="109">
        <v>8</v>
      </c>
      <c r="B14" s="112" t="s">
        <v>879</v>
      </c>
      <c r="C14" s="112" t="s">
        <v>884</v>
      </c>
      <c r="D14" s="112" t="s">
        <v>884</v>
      </c>
      <c r="E14" s="111">
        <v>0</v>
      </c>
      <c r="F14" s="111">
        <v>1</v>
      </c>
      <c r="G14" s="111" t="s">
        <v>3</v>
      </c>
      <c r="H14" s="2"/>
      <c r="I14" s="2"/>
    </row>
    <row r="15" spans="1:9" x14ac:dyDescent="0.75">
      <c r="A15" s="111">
        <v>9</v>
      </c>
      <c r="B15" s="112" t="s">
        <v>880</v>
      </c>
      <c r="C15" s="112" t="s">
        <v>885</v>
      </c>
      <c r="D15" s="112" t="s">
        <v>885</v>
      </c>
      <c r="E15" s="111">
        <v>0</v>
      </c>
      <c r="F15" s="111">
        <v>1</v>
      </c>
      <c r="G15" s="111" t="s">
        <v>3</v>
      </c>
      <c r="H15" s="2"/>
      <c r="I15" s="2"/>
    </row>
    <row r="16" spans="1:9" ht="55.5" x14ac:dyDescent="0.75">
      <c r="A16" s="109">
        <v>10</v>
      </c>
      <c r="B16" s="149" t="s">
        <v>4</v>
      </c>
      <c r="C16" s="26" t="s">
        <v>982</v>
      </c>
      <c r="D16" s="67" t="s">
        <v>351</v>
      </c>
      <c r="E16" s="26">
        <v>0</v>
      </c>
      <c r="F16" s="26" t="s">
        <v>20</v>
      </c>
      <c r="G16" s="26" t="s">
        <v>5</v>
      </c>
      <c r="H16" s="2"/>
      <c r="I16" s="2"/>
    </row>
    <row r="17" spans="1:11" ht="74" x14ac:dyDescent="0.75">
      <c r="A17" s="111">
        <v>11</v>
      </c>
      <c r="B17" s="149" t="s">
        <v>953</v>
      </c>
      <c r="C17" s="26" t="s">
        <v>983</v>
      </c>
      <c r="D17" s="67" t="s">
        <v>952</v>
      </c>
      <c r="E17" s="26">
        <v>0</v>
      </c>
      <c r="F17" s="26">
        <v>1</v>
      </c>
      <c r="G17" s="111" t="s">
        <v>1</v>
      </c>
      <c r="H17" s="67"/>
      <c r="I17" s="2"/>
    </row>
    <row r="18" spans="1:11" ht="240.5" x14ac:dyDescent="0.75">
      <c r="A18" s="109">
        <v>12</v>
      </c>
      <c r="B18" s="149" t="s">
        <v>954</v>
      </c>
      <c r="C18" s="26" t="s">
        <v>956</v>
      </c>
      <c r="D18" s="95" t="s">
        <v>955</v>
      </c>
      <c r="E18" s="26">
        <v>0</v>
      </c>
      <c r="F18" s="26">
        <v>1</v>
      </c>
      <c r="G18" s="111" t="s">
        <v>1</v>
      </c>
      <c r="H18" s="67"/>
      <c r="I18" s="2"/>
    </row>
    <row r="19" spans="1:11" ht="92.5" x14ac:dyDescent="0.75">
      <c r="A19" s="109">
        <v>13</v>
      </c>
      <c r="B19" s="149" t="s">
        <v>957</v>
      </c>
      <c r="C19" s="26" t="s">
        <v>366</v>
      </c>
      <c r="D19" s="67" t="s">
        <v>951</v>
      </c>
      <c r="E19" s="32">
        <v>0</v>
      </c>
      <c r="F19" s="2">
        <v>1</v>
      </c>
      <c r="G19" s="111" t="s">
        <v>1</v>
      </c>
      <c r="H19" s="67"/>
    </row>
    <row r="20" spans="1:11" ht="129.5" x14ac:dyDescent="0.75">
      <c r="A20" s="111">
        <v>14</v>
      </c>
      <c r="B20" s="151" t="s">
        <v>979</v>
      </c>
      <c r="C20" s="24" t="s">
        <v>984</v>
      </c>
      <c r="D20" s="71" t="s">
        <v>373</v>
      </c>
      <c r="E20" s="32">
        <v>0</v>
      </c>
      <c r="F20" s="2">
        <v>1</v>
      </c>
      <c r="G20" s="2" t="s">
        <v>3</v>
      </c>
      <c r="H20" s="67"/>
    </row>
    <row r="21" spans="1:11" s="109" customFormat="1" ht="18.5" x14ac:dyDescent="0.75">
      <c r="A21" s="109">
        <v>15</v>
      </c>
      <c r="B21" s="149" t="s">
        <v>958</v>
      </c>
      <c r="C21" s="111" t="s">
        <v>995</v>
      </c>
      <c r="D21" s="95" t="s">
        <v>995</v>
      </c>
      <c r="E21" s="113">
        <v>0</v>
      </c>
      <c r="F21" s="111">
        <v>1</v>
      </c>
      <c r="G21" s="111" t="s">
        <v>5</v>
      </c>
      <c r="H21" s="67"/>
    </row>
    <row r="22" spans="1:11" ht="111" x14ac:dyDescent="0.75">
      <c r="A22" s="111">
        <v>16</v>
      </c>
      <c r="B22" s="26" t="s">
        <v>959</v>
      </c>
      <c r="C22" s="26" t="s">
        <v>985</v>
      </c>
      <c r="D22" s="95" t="s">
        <v>980</v>
      </c>
      <c r="E22" s="32">
        <v>0</v>
      </c>
      <c r="F22" s="2">
        <v>1</v>
      </c>
      <c r="G22" s="111" t="s">
        <v>1</v>
      </c>
      <c r="H22" s="67"/>
    </row>
    <row r="23" spans="1:11" ht="18.5" x14ac:dyDescent="0.75">
      <c r="A23" s="109">
        <v>17</v>
      </c>
      <c r="B23" s="111" t="s">
        <v>960</v>
      </c>
      <c r="C23" s="26" t="s">
        <v>986</v>
      </c>
      <c r="D23" s="67" t="s">
        <v>996</v>
      </c>
      <c r="E23" s="113">
        <v>0</v>
      </c>
      <c r="F23" s="113">
        <v>1</v>
      </c>
      <c r="G23" s="111" t="s">
        <v>5</v>
      </c>
      <c r="H23" s="67"/>
      <c r="K23">
        <f>800*20</f>
        <v>16000</v>
      </c>
    </row>
    <row r="24" spans="1:11" s="109" customFormat="1" ht="74" x14ac:dyDescent="0.75">
      <c r="A24" s="111">
        <v>18</v>
      </c>
      <c r="B24" s="111" t="s">
        <v>968</v>
      </c>
      <c r="C24" s="111" t="s">
        <v>987</v>
      </c>
      <c r="D24" s="67" t="s">
        <v>997</v>
      </c>
      <c r="E24" s="113">
        <v>1</v>
      </c>
      <c r="F24" s="113">
        <v>1</v>
      </c>
      <c r="G24" s="111" t="s">
        <v>1</v>
      </c>
      <c r="H24" s="67"/>
    </row>
    <row r="25" spans="1:11" ht="129.5" x14ac:dyDescent="0.75">
      <c r="A25" s="109">
        <v>19</v>
      </c>
      <c r="B25" s="111" t="s">
        <v>962</v>
      </c>
      <c r="C25" s="26" t="s">
        <v>382</v>
      </c>
      <c r="D25" s="67" t="s">
        <v>998</v>
      </c>
      <c r="E25" s="113">
        <v>1</v>
      </c>
      <c r="F25" s="113">
        <v>1</v>
      </c>
      <c r="G25" s="111" t="s">
        <v>1</v>
      </c>
      <c r="H25" s="67"/>
    </row>
    <row r="26" spans="1:11" ht="37" x14ac:dyDescent="0.75">
      <c r="A26" s="111">
        <v>20</v>
      </c>
      <c r="B26" s="111" t="s">
        <v>963</v>
      </c>
      <c r="C26" s="26" t="s">
        <v>886</v>
      </c>
      <c r="D26" s="67" t="s">
        <v>389</v>
      </c>
      <c r="E26" s="32">
        <v>0</v>
      </c>
      <c r="F26" s="2">
        <v>1</v>
      </c>
      <c r="G26" s="2" t="s">
        <v>4</v>
      </c>
      <c r="H26" s="67" t="s">
        <v>109</v>
      </c>
    </row>
    <row r="27" spans="1:11" ht="37" x14ac:dyDescent="0.75">
      <c r="A27" s="109">
        <v>21</v>
      </c>
      <c r="B27" s="111" t="s">
        <v>964</v>
      </c>
      <c r="C27" s="26" t="s">
        <v>887</v>
      </c>
      <c r="D27" s="67" t="s">
        <v>392</v>
      </c>
      <c r="E27" s="113">
        <v>0</v>
      </c>
      <c r="F27" s="111">
        <v>1</v>
      </c>
      <c r="G27" s="111" t="s">
        <v>4</v>
      </c>
      <c r="H27" s="67" t="s">
        <v>109</v>
      </c>
    </row>
    <row r="28" spans="1:11" ht="18.5" x14ac:dyDescent="0.75">
      <c r="A28" s="111">
        <v>22</v>
      </c>
      <c r="B28" s="111" t="s">
        <v>961</v>
      </c>
      <c r="C28" s="111" t="s">
        <v>988</v>
      </c>
      <c r="D28" s="111" t="s">
        <v>999</v>
      </c>
      <c r="E28" s="113">
        <v>0</v>
      </c>
      <c r="F28" s="113">
        <v>1</v>
      </c>
      <c r="G28" s="111" t="s">
        <v>5</v>
      </c>
      <c r="H28" s="67"/>
    </row>
    <row r="29" spans="1:11" s="109" customFormat="1" ht="74" x14ac:dyDescent="0.75">
      <c r="A29" s="109">
        <v>23</v>
      </c>
      <c r="B29" s="111" t="s">
        <v>969</v>
      </c>
      <c r="C29" s="111" t="s">
        <v>989</v>
      </c>
      <c r="D29" s="95" t="s">
        <v>1000</v>
      </c>
      <c r="E29" s="113">
        <v>1</v>
      </c>
      <c r="F29" s="113">
        <v>1</v>
      </c>
      <c r="G29" s="111" t="s">
        <v>1</v>
      </c>
      <c r="H29" s="67"/>
    </row>
    <row r="30" spans="1:11" ht="74" x14ac:dyDescent="0.75">
      <c r="A30" s="111">
        <v>24</v>
      </c>
      <c r="B30" s="111" t="s">
        <v>965</v>
      </c>
      <c r="C30" s="111" t="s">
        <v>382</v>
      </c>
      <c r="D30" s="67" t="s">
        <v>1001</v>
      </c>
      <c r="E30" s="113">
        <v>1</v>
      </c>
      <c r="F30" s="113">
        <v>1</v>
      </c>
      <c r="G30" s="111" t="s">
        <v>1</v>
      </c>
      <c r="H30" s="67"/>
    </row>
    <row r="31" spans="1:11" ht="37" x14ac:dyDescent="0.75">
      <c r="A31" s="109">
        <v>25</v>
      </c>
      <c r="B31" s="111" t="s">
        <v>966</v>
      </c>
      <c r="C31" s="111" t="s">
        <v>886</v>
      </c>
      <c r="D31" s="67" t="s">
        <v>401</v>
      </c>
      <c r="E31" s="10">
        <v>0</v>
      </c>
      <c r="F31" s="10">
        <v>1</v>
      </c>
      <c r="G31" s="2" t="s">
        <v>4</v>
      </c>
      <c r="H31" s="67" t="s">
        <v>109</v>
      </c>
    </row>
    <row r="32" spans="1:11" ht="37" x14ac:dyDescent="0.75">
      <c r="A32" s="109">
        <v>26</v>
      </c>
      <c r="B32" s="111" t="s">
        <v>967</v>
      </c>
      <c r="C32" s="111" t="s">
        <v>887</v>
      </c>
      <c r="D32" s="67" t="s">
        <v>403</v>
      </c>
      <c r="E32" s="10">
        <v>0</v>
      </c>
      <c r="F32" s="10">
        <v>1</v>
      </c>
      <c r="G32" s="2" t="s">
        <v>4</v>
      </c>
      <c r="H32" s="67" t="s">
        <v>109</v>
      </c>
    </row>
    <row r="33" spans="1:8" ht="18.5" x14ac:dyDescent="0.75">
      <c r="A33" s="111">
        <v>27</v>
      </c>
      <c r="B33" s="26" t="s">
        <v>970</v>
      </c>
      <c r="C33" s="111" t="s">
        <v>990</v>
      </c>
      <c r="D33" s="67" t="s">
        <v>407</v>
      </c>
      <c r="E33" s="10">
        <v>0</v>
      </c>
      <c r="F33" s="10" t="s">
        <v>20</v>
      </c>
      <c r="G33" s="2" t="s">
        <v>3</v>
      </c>
      <c r="H33" s="67"/>
    </row>
    <row r="34" spans="1:8" s="109" customFormat="1" ht="18.5" x14ac:dyDescent="0.75">
      <c r="A34" s="109">
        <v>28</v>
      </c>
      <c r="B34" s="111" t="s">
        <v>971</v>
      </c>
      <c r="C34" s="111" t="s">
        <v>991</v>
      </c>
      <c r="D34" s="111" t="s">
        <v>1002</v>
      </c>
      <c r="E34" s="113">
        <v>0</v>
      </c>
      <c r="F34" s="113">
        <v>1</v>
      </c>
      <c r="G34" s="111" t="s">
        <v>5</v>
      </c>
      <c r="H34" s="67"/>
    </row>
    <row r="35" spans="1:8" ht="111" x14ac:dyDescent="0.75">
      <c r="A35" s="111">
        <v>29</v>
      </c>
      <c r="B35" s="111" t="s">
        <v>973</v>
      </c>
      <c r="C35" s="111" t="s">
        <v>972</v>
      </c>
      <c r="D35" s="67" t="s">
        <v>1003</v>
      </c>
      <c r="E35" s="10">
        <v>1</v>
      </c>
      <c r="F35" s="10">
        <v>1</v>
      </c>
      <c r="G35" s="111" t="s">
        <v>1</v>
      </c>
      <c r="H35" s="70"/>
    </row>
    <row r="36" spans="1:8" ht="74" x14ac:dyDescent="0.75">
      <c r="A36" s="109">
        <v>30</v>
      </c>
      <c r="B36" s="111" t="s">
        <v>974</v>
      </c>
      <c r="C36" s="111" t="s">
        <v>992</v>
      </c>
      <c r="D36" s="67" t="s">
        <v>1004</v>
      </c>
      <c r="E36" s="10">
        <v>1</v>
      </c>
      <c r="F36" s="10">
        <v>1</v>
      </c>
      <c r="G36" s="111" t="s">
        <v>1</v>
      </c>
      <c r="H36" s="67"/>
    </row>
    <row r="37" spans="1:8" s="109" customFormat="1" ht="18.5" x14ac:dyDescent="0.75">
      <c r="A37" s="111">
        <v>31</v>
      </c>
      <c r="B37" s="111" t="s">
        <v>975</v>
      </c>
      <c r="C37" s="111" t="s">
        <v>993</v>
      </c>
      <c r="D37" s="111" t="s">
        <v>1005</v>
      </c>
      <c r="E37" s="113">
        <v>0</v>
      </c>
      <c r="F37" s="113">
        <v>1</v>
      </c>
      <c r="G37" s="111" t="s">
        <v>5</v>
      </c>
      <c r="H37" s="67"/>
    </row>
    <row r="38" spans="1:8" ht="111" x14ac:dyDescent="0.75">
      <c r="A38" s="109">
        <v>32</v>
      </c>
      <c r="B38" s="111" t="s">
        <v>976</v>
      </c>
      <c r="C38" s="111" t="s">
        <v>972</v>
      </c>
      <c r="D38" s="67" t="s">
        <v>1006</v>
      </c>
      <c r="E38" s="113">
        <v>1</v>
      </c>
      <c r="F38" s="113">
        <v>1</v>
      </c>
      <c r="G38" s="111" t="s">
        <v>1</v>
      </c>
      <c r="H38" s="70"/>
    </row>
    <row r="39" spans="1:8" ht="74" x14ac:dyDescent="0.75">
      <c r="A39" s="111">
        <v>33</v>
      </c>
      <c r="B39" s="111" t="s">
        <v>977</v>
      </c>
      <c r="C39" s="111" t="s">
        <v>992</v>
      </c>
      <c r="D39" s="67" t="s">
        <v>1007</v>
      </c>
      <c r="E39" s="113">
        <v>1</v>
      </c>
      <c r="F39" s="113">
        <v>1</v>
      </c>
      <c r="G39" s="111" t="s">
        <v>1</v>
      </c>
      <c r="H39" s="67"/>
    </row>
    <row r="40" spans="1:8" ht="55.5" x14ac:dyDescent="0.75">
      <c r="A40" s="109">
        <v>34</v>
      </c>
      <c r="B40" s="150" t="s">
        <v>978</v>
      </c>
      <c r="C40" s="111" t="s">
        <v>994</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#BackboneElement</v>
      </c>
      <c r="I11" s="9"/>
    </row>
    <row r="12" spans="2:10" ht="44.2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44.2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#BackboneElement</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zoomScale="160" zoomScaleNormal="160" workbookViewId="0">
      <selection activeCell="G4" sqref="G4"/>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1119</v>
      </c>
      <c r="E2" s="35"/>
      <c r="G2" s="25" t="s">
        <v>38</v>
      </c>
      <c r="M2" s="44"/>
      <c r="N2" s="25" t="str">
        <f>CONCATENATE("Mapping: ",E2)</f>
        <v xml:space="preserve">Mapping: </v>
      </c>
    </row>
    <row r="3" spans="1:14" x14ac:dyDescent="0.75">
      <c r="C3" s="104" t="str">
        <f>'Sct-1'!B3</f>
        <v>Publisher</v>
      </c>
      <c r="D3" s="40"/>
      <c r="E3" s="36"/>
      <c r="G3" s="25" t="s">
        <v>1119</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981</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908</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907</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907</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29.5" x14ac:dyDescent="0.75">
      <c r="A11" s="26">
        <v>0</v>
      </c>
      <c r="B11" s="111">
        <f>'Sct-1'!A10</f>
        <v>4</v>
      </c>
      <c r="C11" s="111" t="str">
        <f>'Sct-1'!B10</f>
        <v>istitutionOfTreatment</v>
      </c>
      <c r="D11" s="112" t="s">
        <v>902</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4"/>
      <c r="N11" s="25" t="str">
        <f t="shared" si="0"/>
        <v>* istitutionOfTreatment -&gt; ".extension(http://hl7.eu/fhir/ig/pcsp/StructureDefinition/ActLocation-eu-pcsp).conformsTo(http://hl7.eu/fhir/ig/pcsp/StructureDefinition/Location-eu-pcsp)"</v>
      </c>
    </row>
    <row r="12" spans="1:14" x14ac:dyDescent="0.75">
      <c r="A12" s="26">
        <v>0</v>
      </c>
      <c r="B12" s="111">
        <f>'Sct-1'!A11</f>
        <v>5</v>
      </c>
      <c r="C12" s="111" t="str">
        <f>'Sct-1'!B11</f>
        <v>istitutionOfTreatment.description</v>
      </c>
      <c r="D12" s="138" t="s">
        <v>903</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x14ac:dyDescent="0.75">
      <c r="A13" s="26">
        <v>0</v>
      </c>
      <c r="B13" s="111">
        <f>'Sct-1'!A12</f>
        <v>6</v>
      </c>
      <c r="C13" s="111" t="str">
        <f>'Sct-1'!B12</f>
        <v>istitutionOfTreatment.name</v>
      </c>
      <c r="D13" s="138" t="s">
        <v>904</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x14ac:dyDescent="0.75">
      <c r="A14" s="26">
        <v>0</v>
      </c>
      <c r="B14" s="111">
        <f>'Sct-1'!A13</f>
        <v>7</v>
      </c>
      <c r="C14" s="111" t="str">
        <f>'Sct-1'!B13</f>
        <v>istitutionOfTreatment.address</v>
      </c>
      <c r="D14" s="138" t="s">
        <v>905</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x14ac:dyDescent="0.75">
      <c r="A16" s="26">
        <v>0</v>
      </c>
      <c r="B16" s="111">
        <f>'Sct-1'!A15</f>
        <v>9</v>
      </c>
      <c r="C16" s="111" t="str">
        <f>'Sct-1'!B15</f>
        <v>istitutionOfTreatment.address.country</v>
      </c>
      <c r="D16" s="138" t="s">
        <v>906</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1020</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909</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73.75" x14ac:dyDescent="0.75">
      <c r="A19" s="26">
        <v>0</v>
      </c>
      <c r="B19" s="111">
        <f>'Sct-1'!A18</f>
        <v>12</v>
      </c>
      <c r="C19" s="111" t="str">
        <f>'Sct-1'!B18</f>
        <v>donorType</v>
      </c>
      <c r="D19" s="138" t="s">
        <v>1037</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1038</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1039</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1021</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1040</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1025</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1026</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1022</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899</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900</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1027</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1028</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1022</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899</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900</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910</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1023</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1029</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1030</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1024</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1029</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1030</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1041</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894</v>
      </c>
      <c r="M2" s="44"/>
      <c r="N2" s="25" t="str">
        <f>CONCATENATE("Mapping: ",E2)</f>
        <v xml:space="preserve">Mapping: </v>
      </c>
    </row>
    <row r="3" spans="1:14" x14ac:dyDescent="0.75">
      <c r="C3" s="104" t="str">
        <f>'Sct-1'!B3</f>
        <v>Publisher</v>
      </c>
      <c r="D3" s="40"/>
      <c r="E3" s="36"/>
      <c r="G3" s="25" t="s">
        <v>895</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893</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896</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896</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'Oth-1'!#REF!</f>
        <v>#REF!</v>
      </c>
      <c r="H46" s="25" t="b">
        <f t="shared" si="1"/>
        <v>0</v>
      </c>
      <c r="I46" s="1" t="str">
        <f t="shared" si="2"/>
        <v/>
      </c>
      <c r="J46" s="1" t="str">
        <f t="shared" si="3"/>
        <v/>
      </c>
      <c r="K46" s="1" t="str">
        <f t="shared" si="4"/>
        <v/>
      </c>
    </row>
    <row r="47" spans="1:14" x14ac:dyDescent="0.75">
      <c r="B47" s="25" t="e">
        <f>'Oth-1'!#REF!</f>
        <v>#REF!</v>
      </c>
      <c r="C47" s="25" t="str">
        <f>'Oth-1'!C16</f>
        <v>Hypogonadal ?</v>
      </c>
      <c r="H47" s="25" t="b">
        <f t="shared" si="1"/>
        <v>0</v>
      </c>
      <c r="I47" s="1" t="str">
        <f t="shared" si="2"/>
        <v/>
      </c>
      <c r="J47" s="1" t="str">
        <f t="shared" si="3"/>
        <v/>
      </c>
      <c r="K47" s="1" t="str">
        <f t="shared" si="4"/>
        <v/>
      </c>
    </row>
    <row r="48" spans="1:14" x14ac:dyDescent="0.75">
      <c r="B48" s="25" t="e">
        <f>'Oth-1'!#REF!</f>
        <v>#REF!</v>
      </c>
      <c r="C48" s="25" t="e">
        <f>'Oth-1'!#REF!</f>
        <v>#REF!</v>
      </c>
      <c r="H48" s="25" t="b">
        <f t="shared" si="1"/>
        <v>0</v>
      </c>
      <c r="I48" s="1" t="str">
        <f t="shared" si="2"/>
        <v/>
      </c>
      <c r="J48" s="1" t="str">
        <f t="shared" si="3"/>
        <v/>
      </c>
      <c r="K48" s="1" t="str">
        <f t="shared" si="4"/>
        <v/>
      </c>
    </row>
    <row r="49" spans="2:11" x14ac:dyDescent="0.75">
      <c r="B49" s="25" t="e">
        <f>'Oth-1'!#REF!</f>
        <v>#REF!</v>
      </c>
      <c r="C49" s="25" t="e">
        <f>'Oth-1'!#REF!</f>
        <v>#REF!</v>
      </c>
      <c r="H49" s="25" t="b">
        <f t="shared" si="1"/>
        <v>0</v>
      </c>
      <c r="I49" s="1" t="str">
        <f t="shared" si="2"/>
        <v/>
      </c>
      <c r="J49" s="1" t="str">
        <f t="shared" si="3"/>
        <v/>
      </c>
      <c r="K49" s="1" t="str">
        <f t="shared" si="4"/>
        <v/>
      </c>
    </row>
    <row r="50" spans="2:11" x14ac:dyDescent="0.75">
      <c r="B50" s="25" t="e">
        <f>'Oth-1'!#REF!</f>
        <v>#REF!</v>
      </c>
      <c r="C50" s="25" t="e">
        <f>'Oth-1'!#REF!</f>
        <v>#REF!</v>
      </c>
      <c r="H50" s="25" t="b">
        <f t="shared" si="1"/>
        <v>0</v>
      </c>
      <c r="I50" s="1" t="str">
        <f t="shared" si="2"/>
        <v/>
      </c>
      <c r="J50" s="1" t="str">
        <f t="shared" si="3"/>
        <v/>
      </c>
      <c r="K50" s="1" t="str">
        <f t="shared" si="4"/>
        <v/>
      </c>
    </row>
    <row r="51" spans="2:11" x14ac:dyDescent="0.75">
      <c r="B51" s="25">
        <f>'Oth-1'!A40</f>
        <v>0</v>
      </c>
      <c r="C51" s="25">
        <f>'Oth-1'!B40</f>
        <v>0</v>
      </c>
    </row>
    <row r="52" spans="2:11" x14ac:dyDescent="0.75">
      <c r="B52" s="25">
        <f>'Oth-1'!A41</f>
        <v>0</v>
      </c>
      <c r="C52" s="25">
        <f>'Oth-1'!B41</f>
        <v>0</v>
      </c>
    </row>
    <row r="53" spans="2:11" x14ac:dyDescent="0.75">
      <c r="B53" s="25">
        <f>'Oth-1'!A42</f>
        <v>0</v>
      </c>
      <c r="C53" s="25">
        <f>'Oth-1'!B42</f>
        <v>0</v>
      </c>
    </row>
    <row r="54" spans="2:11" x14ac:dyDescent="0.75">
      <c r="B54" s="25">
        <f>'Oth-1'!A43</f>
        <v>0</v>
      </c>
      <c r="C54" s="25">
        <f>'Oth-1'!B43</f>
        <v>0</v>
      </c>
    </row>
    <row r="55" spans="2:11" x14ac:dyDescent="0.75">
      <c r="B55" s="25">
        <f>'Oth-1'!A44</f>
        <v>0</v>
      </c>
      <c r="C55" s="25">
        <f>'Oth-1'!B44</f>
        <v>0</v>
      </c>
    </row>
    <row r="56" spans="2:11" x14ac:dyDescent="0.75">
      <c r="B56" s="25">
        <f>'Oth-1'!A45</f>
        <v>0</v>
      </c>
      <c r="C56" s="25">
        <f>'Oth-1'!B45</f>
        <v>0</v>
      </c>
    </row>
    <row r="57" spans="2:11" x14ac:dyDescent="0.75">
      <c r="B57" s="25">
        <f>'Oth-1'!A46</f>
        <v>0</v>
      </c>
      <c r="C57" s="25">
        <f>'Oth-1'!B46</f>
        <v>0</v>
      </c>
    </row>
    <row r="58" spans="2:11" x14ac:dyDescent="0.75">
      <c r="B58" s="25">
        <f>'Oth-1'!A47</f>
        <v>0</v>
      </c>
      <c r="C58" s="25">
        <f>'Oth-1'!B47</f>
        <v>0</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".extension(http://hl7.eu/fhir/ig/pcsp/StructureDefinition/ActLocation-eu-pcsp).conformsTo(http://hl7.eu/fhir/ig/pcsp/StructureDefinition/Location-eu-pcsp)"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2" sqref="D2"/>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12" t="s">
        <v>1043</v>
      </c>
      <c r="D2" s="112" t="s">
        <v>1075</v>
      </c>
    </row>
    <row r="3" spans="1:9" x14ac:dyDescent="0.75">
      <c r="B3" s="118" t="s">
        <v>34</v>
      </c>
      <c r="C3" s="123" t="s">
        <v>36</v>
      </c>
      <c r="D3" s="56"/>
    </row>
    <row r="4" spans="1:9" ht="15.5" thickBot="1" x14ac:dyDescent="0.9">
      <c r="B4" s="119" t="s">
        <v>52</v>
      </c>
      <c r="C4" s="112" t="s">
        <v>1043</v>
      </c>
      <c r="D4" s="57"/>
    </row>
    <row r="5" spans="1:9" x14ac:dyDescent="0.75">
      <c r="B5" s="110"/>
      <c r="C5" s="3" t="s">
        <v>7</v>
      </c>
      <c r="D5" s="4" t="s">
        <v>8</v>
      </c>
      <c r="E5" s="11" t="s">
        <v>17</v>
      </c>
      <c r="F5" s="11" t="s">
        <v>18</v>
      </c>
      <c r="G5" s="11" t="s">
        <v>19</v>
      </c>
    </row>
    <row r="6" spans="1:9" x14ac:dyDescent="0.75">
      <c r="A6" s="109">
        <v>0</v>
      </c>
      <c r="B6" s="112" t="s">
        <v>1043</v>
      </c>
      <c r="C6" s="111" t="s">
        <v>63</v>
      </c>
      <c r="D6" s="111" t="s">
        <v>63</v>
      </c>
      <c r="E6" s="34">
        <v>1</v>
      </c>
      <c r="F6" s="34">
        <v>1</v>
      </c>
      <c r="G6" s="34"/>
    </row>
    <row r="7" spans="1:9" x14ac:dyDescent="0.75">
      <c r="A7" s="109">
        <v>1</v>
      </c>
      <c r="B7" s="112" t="s">
        <v>1057</v>
      </c>
      <c r="C7" s="111" t="s">
        <v>858</v>
      </c>
      <c r="D7" s="111" t="s">
        <v>858</v>
      </c>
      <c r="E7" s="111">
        <v>0</v>
      </c>
      <c r="F7" s="111" t="s">
        <v>20</v>
      </c>
      <c r="G7" s="111" t="s">
        <v>5</v>
      </c>
      <c r="H7" s="111"/>
      <c r="I7" s="111"/>
    </row>
    <row r="8" spans="1:9" ht="59" x14ac:dyDescent="0.75">
      <c r="A8" s="109">
        <v>2</v>
      </c>
      <c r="B8" s="112" t="s">
        <v>1044</v>
      </c>
      <c r="C8" s="111" t="s">
        <v>862</v>
      </c>
      <c r="D8" s="112" t="s">
        <v>861</v>
      </c>
      <c r="E8" s="111">
        <v>0</v>
      </c>
      <c r="F8" s="111">
        <v>1</v>
      </c>
      <c r="G8" s="111" t="s">
        <v>1</v>
      </c>
      <c r="H8" s="111"/>
      <c r="I8" s="111"/>
    </row>
    <row r="9" spans="1:9" x14ac:dyDescent="0.75">
      <c r="A9" s="109">
        <v>3</v>
      </c>
      <c r="B9" s="112" t="s">
        <v>1069</v>
      </c>
      <c r="C9" s="111" t="s">
        <v>1070</v>
      </c>
      <c r="D9" s="111" t="s">
        <v>1070</v>
      </c>
      <c r="E9" s="111">
        <v>0</v>
      </c>
      <c r="F9" s="111">
        <v>1</v>
      </c>
      <c r="G9" s="111" t="s">
        <v>3</v>
      </c>
      <c r="H9" s="111"/>
      <c r="I9" s="111"/>
    </row>
    <row r="10" spans="1:9" ht="59" x14ac:dyDescent="0.75">
      <c r="A10" s="109">
        <v>4</v>
      </c>
      <c r="B10" s="112" t="s">
        <v>1045</v>
      </c>
      <c r="C10" s="111" t="s">
        <v>859</v>
      </c>
      <c r="D10" s="112" t="s">
        <v>860</v>
      </c>
      <c r="E10" s="111">
        <v>0</v>
      </c>
      <c r="F10" s="111">
        <v>1</v>
      </c>
      <c r="G10" s="111" t="s">
        <v>3</v>
      </c>
      <c r="H10" s="111"/>
      <c r="I10" s="111"/>
    </row>
    <row r="11" spans="1:9" x14ac:dyDescent="0.75">
      <c r="A11" s="109">
        <v>5</v>
      </c>
      <c r="B11" s="112" t="s">
        <v>1046</v>
      </c>
      <c r="C11" s="115" t="s">
        <v>870</v>
      </c>
      <c r="D11" s="111" t="s">
        <v>250</v>
      </c>
      <c r="E11" s="111">
        <v>0</v>
      </c>
      <c r="F11" s="111">
        <v>1</v>
      </c>
      <c r="G11" s="111" t="s">
        <v>3</v>
      </c>
      <c r="H11" s="111"/>
      <c r="I11" s="111"/>
    </row>
    <row r="12" spans="1:9" x14ac:dyDescent="0.75">
      <c r="A12" s="109">
        <v>6</v>
      </c>
      <c r="B12" s="112" t="s">
        <v>1047</v>
      </c>
      <c r="C12" s="111" t="s">
        <v>871</v>
      </c>
      <c r="D12" s="111" t="s">
        <v>871</v>
      </c>
      <c r="E12" s="111">
        <v>0</v>
      </c>
      <c r="F12" s="111">
        <v>1</v>
      </c>
      <c r="G12" s="111" t="s">
        <v>3</v>
      </c>
      <c r="H12" s="111"/>
      <c r="I12" s="111"/>
    </row>
    <row r="13" spans="1:9" x14ac:dyDescent="0.75">
      <c r="A13" s="109">
        <v>7</v>
      </c>
      <c r="B13" s="112" t="s">
        <v>1048</v>
      </c>
      <c r="C13" s="112" t="s">
        <v>866</v>
      </c>
      <c r="D13" s="112" t="s">
        <v>866</v>
      </c>
      <c r="E13" s="111">
        <v>0</v>
      </c>
      <c r="F13" s="111">
        <v>1</v>
      </c>
      <c r="G13" s="111" t="s">
        <v>5</v>
      </c>
      <c r="H13" s="111"/>
      <c r="I13" s="111"/>
    </row>
    <row r="14" spans="1:9" x14ac:dyDescent="0.75">
      <c r="A14" s="109">
        <v>8</v>
      </c>
      <c r="B14" s="112" t="s">
        <v>1049</v>
      </c>
      <c r="C14" s="112" t="s">
        <v>867</v>
      </c>
      <c r="D14" s="112" t="s">
        <v>867</v>
      </c>
      <c r="E14" s="111">
        <v>1</v>
      </c>
      <c r="F14" s="111">
        <v>1</v>
      </c>
      <c r="G14" s="111" t="s">
        <v>2</v>
      </c>
      <c r="I14" s="111"/>
    </row>
    <row r="15" spans="1:9" x14ac:dyDescent="0.75">
      <c r="A15" s="109">
        <v>9</v>
      </c>
      <c r="B15" s="112" t="s">
        <v>1050</v>
      </c>
      <c r="C15" s="112" t="s">
        <v>868</v>
      </c>
      <c r="D15" s="112" t="s">
        <v>868</v>
      </c>
      <c r="E15" s="111">
        <v>1</v>
      </c>
      <c r="F15" s="111">
        <v>1</v>
      </c>
      <c r="G15" s="111" t="s">
        <v>1</v>
      </c>
      <c r="H15" s="111"/>
      <c r="I15" s="111"/>
    </row>
    <row r="16" spans="1:9" x14ac:dyDescent="0.75">
      <c r="A16" s="109">
        <v>10</v>
      </c>
      <c r="B16" s="112" t="s">
        <v>1051</v>
      </c>
      <c r="C16" s="115" t="s">
        <v>863</v>
      </c>
      <c r="D16" s="115" t="s">
        <v>863</v>
      </c>
      <c r="E16" s="111">
        <v>0</v>
      </c>
      <c r="F16" s="111">
        <v>1</v>
      </c>
      <c r="G16" s="111" t="s">
        <v>3</v>
      </c>
      <c r="H16" s="111"/>
      <c r="I16" s="111"/>
    </row>
    <row r="17" spans="1:9" x14ac:dyDescent="0.75">
      <c r="A17" s="109">
        <v>11</v>
      </c>
      <c r="B17" s="112" t="s">
        <v>1052</v>
      </c>
      <c r="C17" s="115" t="s">
        <v>864</v>
      </c>
      <c r="D17" s="115" t="s">
        <v>864</v>
      </c>
      <c r="E17" s="111">
        <v>0</v>
      </c>
      <c r="F17" s="111">
        <v>1</v>
      </c>
      <c r="G17" s="111" t="s">
        <v>1</v>
      </c>
      <c r="H17" s="111"/>
      <c r="I17" s="111"/>
    </row>
    <row r="18" spans="1:9" x14ac:dyDescent="0.75">
      <c r="A18" s="109">
        <v>12</v>
      </c>
      <c r="B18" s="112" t="s">
        <v>1053</v>
      </c>
      <c r="C18" s="115" t="s">
        <v>872</v>
      </c>
      <c r="D18" s="115" t="s">
        <v>872</v>
      </c>
      <c r="E18" s="111">
        <v>0</v>
      </c>
      <c r="F18" s="111">
        <v>1</v>
      </c>
      <c r="G18" s="111" t="s">
        <v>1</v>
      </c>
      <c r="H18" s="111"/>
      <c r="I18" s="111"/>
    </row>
    <row r="19" spans="1:9" x14ac:dyDescent="0.75">
      <c r="A19" s="109">
        <v>13</v>
      </c>
      <c r="B19" s="112" t="s">
        <v>1054</v>
      </c>
      <c r="C19" s="115" t="s">
        <v>865</v>
      </c>
      <c r="D19" s="115" t="s">
        <v>865</v>
      </c>
      <c r="E19" s="111">
        <v>0</v>
      </c>
      <c r="F19" s="111">
        <v>1</v>
      </c>
      <c r="G19" s="111" t="s">
        <v>1</v>
      </c>
      <c r="H19" s="111"/>
      <c r="I19" s="111"/>
    </row>
    <row r="20" spans="1:9" x14ac:dyDescent="0.75">
      <c r="A20" s="109">
        <v>14</v>
      </c>
      <c r="B20" s="112" t="s">
        <v>1055</v>
      </c>
      <c r="C20" s="111" t="s">
        <v>873</v>
      </c>
      <c r="D20" s="111" t="s">
        <v>873</v>
      </c>
      <c r="E20" s="111">
        <v>0</v>
      </c>
      <c r="F20" s="111">
        <v>1</v>
      </c>
      <c r="G20" s="111" t="s">
        <v>1</v>
      </c>
      <c r="H20" s="111"/>
      <c r="I20" s="111"/>
    </row>
    <row r="21" spans="1:9" ht="29.5" x14ac:dyDescent="0.75">
      <c r="A21" s="109">
        <v>15</v>
      </c>
      <c r="B21" s="112" t="s">
        <v>1056</v>
      </c>
      <c r="C21" s="112" t="s">
        <v>869</v>
      </c>
      <c r="D21" s="112" t="s">
        <v>869</v>
      </c>
      <c r="E21" s="111">
        <v>0</v>
      </c>
      <c r="F21" s="111">
        <v>1</v>
      </c>
      <c r="G21" s="111" t="s">
        <v>1</v>
      </c>
      <c r="H21" s="111"/>
      <c r="I21" s="111"/>
    </row>
    <row r="22" spans="1:9" x14ac:dyDescent="0.75">
      <c r="B22" s="112"/>
      <c r="C22" s="112"/>
      <c r="D22" s="112"/>
      <c r="E22" s="111"/>
      <c r="F22" s="111"/>
      <c r="G22" s="111"/>
    </row>
    <row r="23" spans="1:9" x14ac:dyDescent="0.75">
      <c r="B23" s="112"/>
      <c r="C23" s="112"/>
      <c r="D23" s="112"/>
      <c r="E23" s="111"/>
      <c r="F23" s="111"/>
      <c r="G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25"/>
      <c r="D27" s="125"/>
      <c r="E27" s="111"/>
      <c r="F27" s="111"/>
      <c r="G27" s="111"/>
      <c r="H27" s="111"/>
      <c r="I27" s="111"/>
    </row>
    <row r="28" spans="1:9" x14ac:dyDescent="0.75">
      <c r="B28" s="112"/>
      <c r="C28" s="112"/>
      <c r="D28" s="112"/>
      <c r="E28" s="113"/>
      <c r="F28" s="113"/>
      <c r="G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1"/>
      <c r="F31" s="111"/>
      <c r="G31" s="111"/>
    </row>
    <row r="32" spans="1: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H17" sqref="H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44.2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first elective end of treatment"</v>
      </c>
      <c r="E7" s="112" t="str">
        <f>CONCATENATE("* differential.element[",'Flt-1'!$A12,"].definition = """,'Flt-1'!D12,"""")</f>
        <v>* differential.element[6].definition = "Date of first elective end of treatment"</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#string</v>
      </c>
      <c r="I7" s="9"/>
      <c r="J7" s="109" t="s">
        <v>14</v>
      </c>
    </row>
    <row r="8" spans="2:10" ht="44.25" x14ac:dyDescent="0.75">
      <c r="B8" s="112" t="str">
        <f>CONCATENATE("* differential.element[",'Flt-1'!$A13,"].id = """,'Flt-1'!$B$6,".",'Flt-1'!B13,"""")</f>
        <v>* differential.element[7].id = "FrontLineTreatment.completeRemission"</v>
      </c>
      <c r="C8" s="112" t="str">
        <f>CONCATENATE("* differential.element[",'Flt-1'!$A13,"].path = """,'Flt-1'!$B$6,".",'Flt-1'!$B13,"""")</f>
        <v>* differential.element[7].path = "FrontLineTreatment.completeRemission"</v>
      </c>
      <c r="D8" s="112" t="str">
        <f>CONCATENATE("* differential.element[",'Flt-1'!$A13,"].short = """,'Flt-1'!C13,"""")</f>
        <v>* differential.element[7].short = "Complete remission"</v>
      </c>
      <c r="E8" s="112" t="str">
        <f>CONCATENATE("* differential.element[",'Flt-1'!$A13,"].definition = """,'Flt-1'!D13,"""")</f>
        <v>* differential.element[7].definition = "Complete remission"</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#BackboneElement</v>
      </c>
      <c r="I8" s="9"/>
      <c r="J8" s="109" t="s">
        <v>15</v>
      </c>
    </row>
    <row r="9" spans="2:10" ht="44.25" x14ac:dyDescent="0.75">
      <c r="B9" s="112" t="str">
        <f>CONCATENATE("* differential.element[",'Flt-1'!$A14,"].id = """,'Flt-1'!$B$6,".",'Flt-1'!B14,"""")</f>
        <v>* differential.element[8].id = "FrontLineTreatment.completeRemission.status"</v>
      </c>
      <c r="C9" s="112" t="str">
        <f>CONCATENATE("* differential.element[",'Flt-1'!$A14,"].path = """,'Flt-1'!$B$6,".",'Flt-1'!$B14,"""")</f>
        <v>* differential.element[8].path = "FrontLineTreatment.completeRemission.status"</v>
      </c>
      <c r="D9" s="112" t="str">
        <f>CONCATENATE("* differential.element[",'Flt-1'!$A14,"].short = """,'Flt-1'!C14,"""")</f>
        <v>* differential.element[8].short = "Complete remission (Yes/No)"</v>
      </c>
      <c r="E9" s="112" t="str">
        <f>CONCATENATE("* differential.element[",'Flt-1'!$A14,"].definition = """,'Flt-1'!D14,"""")</f>
        <v>* differential.element[8].definition = "Complete remission (Yes/No)"</v>
      </c>
      <c r="F9" s="112" t="str">
        <f>CONCATENATE("* differential.element[",'Flt-1'!$A14,"].min = ",'Flt-1'!E14,"")</f>
        <v>* differential.element[8].min = 1</v>
      </c>
      <c r="G9" s="112" t="str">
        <f>CONCATENATE("* differential.element[",'Flt-1'!$A14,"].max = """,'Flt-1'!F14,"""")</f>
        <v>* differential.element[8].max = "1"</v>
      </c>
      <c r="H9" s="112" t="str">
        <f>CONCATENATE("* differential.element[",'Flt-1'!$A14,"].type.code = #",'Flt-1'!G14,"")</f>
        <v>* differential.element[8].type.code = #dateTime</v>
      </c>
      <c r="I9" s="9"/>
    </row>
    <row r="10" spans="2:10" ht="44.25" x14ac:dyDescent="0.75">
      <c r="B10" s="112" t="str">
        <f>CONCATENATE("* differential.element[",'Flt-1'!$A15,"].id = """,'Flt-1'!$B$6,".",'Flt-1'!B15,"""")</f>
        <v>* differential.element[9].id = "FrontLineTreatment.completeRemission.description"</v>
      </c>
      <c r="C10" s="112" t="str">
        <f>CONCATENATE("* differential.element[",'Flt-1'!$A15,"].path = """,'Flt-1'!$B$6,".",'Flt-1'!$B15,"""")</f>
        <v>* differential.element[9].path = "FrontLineTreatment.completeRemission.description"</v>
      </c>
      <c r="D10" s="112" t="str">
        <f>CONCATENATE("* differential.element[",'Flt-1'!$A15,"].short = """,'Flt-1'!C15,"""")</f>
        <v>* differential.element[9].short = "Textual description in case of no remission"</v>
      </c>
      <c r="E10" s="112" t="str">
        <f>CONCATENATE("* differential.element[",'Flt-1'!$A15,"].definition = """,'Flt-1'!D15,"""")</f>
        <v>* differential.element[9].definition = "Textual description in case of no remission"</v>
      </c>
      <c r="F10" s="112" t="str">
        <f>CONCATENATE("* differential.element[",'Flt-1'!$A15,"].min = ",'Flt-1'!E15,"")</f>
        <v>* differential.element[9].min = 1</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"FrontLineTreatment.isChemotherapy"</v>
      </c>
      <c r="C11" s="112" t="str">
        <f>CONCATENATE("* differential.element[",'Flt-1'!$A16,"].path = """,'Flt-1'!$B$6,".",'Flt-1'!$B16,"""")</f>
        <v>* differential.element[10].path = "FrontLineTreatment.isChemotherapy"</v>
      </c>
      <c r="D11" s="112" t="str">
        <f>CONCATENATE("* differential.element[",'Flt-1'!$A16,"].short = """,'Flt-1'!C16,"""")</f>
        <v>* differential.element[10].short = "Chemotherapy ?"</v>
      </c>
      <c r="E11" s="112" t="str">
        <f>CONCATENATE("* differential.element[",'Flt-1'!$A16,"].definition = """,'Flt-1'!D16,"""")</f>
        <v>* differential.element[10].definition = "Chemotherapy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#string</v>
      </c>
      <c r="I11" s="9"/>
    </row>
    <row r="12" spans="2:10" ht="44.25" x14ac:dyDescent="0.75">
      <c r="B12" s="112" t="str">
        <f>CONCATENATE("* differential.element[",'Flt-1'!$A17,"].id = """,'Flt-1'!$B$6,".",'Flt-1'!B17,"""")</f>
        <v>* differential.element[11].id = "FrontLineTreatment.isStemCellTransplantation"</v>
      </c>
      <c r="C12" s="112" t="str">
        <f>CONCATENATE("* differential.element[",'Flt-1'!$A17,"].path = """,'Flt-1'!$B$6,".",'Flt-1'!$B17,"""")</f>
        <v>* differential.element[11].path = "FrontLineTreatment.isStemCellTransplantation"</v>
      </c>
      <c r="D12" s="112" t="str">
        <f>CONCATENATE("* differential.element[",'Flt-1'!$A17,"].short = """,'Flt-1'!C17,"""")</f>
        <v>* differential.element[11].short = "Stem Cell transplantation ?"</v>
      </c>
      <c r="E12" s="112" t="str">
        <f>CONCATENATE("* differential.element[",'Flt-1'!$A17,"].definition = """,'Flt-1'!D17,"""")</f>
        <v>* differential.element[11].definition = "Stem Cell transplantation ?"</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#CodeableConcept</v>
      </c>
      <c r="I12" s="9"/>
    </row>
    <row r="13" spans="2:10" ht="44.25" x14ac:dyDescent="0.75">
      <c r="B13" s="112" t="str">
        <f>CONCATENATE("* differential.element[",'Flt-1'!$A18,"].id = """,'Flt-1'!$B$6,".",'Flt-1'!B18,"""")</f>
        <v>* differential.element[12].id = "FrontLineTreatment.isRadiotherapy"</v>
      </c>
      <c r="C13" s="112" t="str">
        <f>CONCATENATE("* differential.element[",'Flt-1'!$A18,"].path = """,'Flt-1'!$B$6,".",'Flt-1'!$B18,"""")</f>
        <v>* differential.element[12].path = "FrontLineTreatment.isRadiotherapy"</v>
      </c>
      <c r="D13" s="112" t="str">
        <f>CONCATENATE("* differential.element[",'Flt-1'!$A18,"].short = """,'Flt-1'!C18,"""")</f>
        <v>* differential.element[12].short = "Radiotherapy ?"</v>
      </c>
      <c r="E13" s="112" t="str">
        <f>CONCATENATE("* differential.element[",'Flt-1'!$A18,"].definition = """,'Flt-1'!D18,"""")</f>
        <v>* differential.element[12].definition = "Radiotherapy ?"</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#CodeableConcept</v>
      </c>
      <c r="I13" s="9"/>
    </row>
    <row r="14" spans="2:10" ht="44.25" x14ac:dyDescent="0.75">
      <c r="B14" s="112" t="str">
        <f>CONCATENATE("* differential.element[",'Flt-1'!$A19,"].id = """,'Flt-1'!$B$6,".",'Flt-1'!B19,"""")</f>
        <v>* differential.element[13].id = "FrontLineTreatment.isMajorSurgery"</v>
      </c>
      <c r="C14" s="112" t="str">
        <f>CONCATENATE("* differential.element[",'Flt-1'!$A19,"].path = """,'Flt-1'!$B$6,".",'Flt-1'!$B19,"""")</f>
        <v>* differential.element[13].path = "FrontLineTreatment.isMajorSurgery"</v>
      </c>
      <c r="D14" s="112" t="str">
        <f>CONCATENATE("* differential.element[",'Flt-1'!$A19,"].short = """,'Flt-1'!C19,"""")</f>
        <v>* differential.element[13].short = "Major Surgery ?"</v>
      </c>
      <c r="E14" s="112" t="str">
        <f>CONCATENATE("* differential.element[",'Flt-1'!$A19,"].definition = """,'Flt-1'!D19,"""")</f>
        <v>* differential.element[13].definition = "Major Surgery ?"</v>
      </c>
      <c r="F14" s="112" t="str">
        <f>CONCATENATE("* differential.element[",'Flt-1'!$A19,"].min = ",'Flt-1'!E19,"")</f>
        <v>* differential.element[13].min = 0</v>
      </c>
      <c r="G14" s="112" t="str">
        <f>CONCATENATE("* differential.element[",'Flt-1'!$A19,"].max = """,'Flt-1'!F19,"""")</f>
        <v>* differential.element[13].max = "1"</v>
      </c>
      <c r="H14" s="112" t="str">
        <f>CONCATENATE("* differential.element[",'Flt-1'!$A19,"].type.code = #",'Flt-1'!G19,"")</f>
        <v>* differential.element[13].type.code = #CodeableConcept</v>
      </c>
      <c r="I14" s="9"/>
    </row>
    <row r="15" spans="2:10" ht="44.25" x14ac:dyDescent="0.75">
      <c r="B15" s="112" t="str">
        <f>CONCATENATE("* differential.element[",'Flt-1'!$A20,"].id = """,'Flt-1'!$B$6,".",'Flt-1'!B20,"""")</f>
        <v>* differential.element[14].id = "FrontLineTreatment.isProgressionRelapseDuringFLT"</v>
      </c>
      <c r="C15" s="112" t="str">
        <f>CONCATENATE("* differential.element[",'Flt-1'!$A20,"].path = """,'Flt-1'!$B$6,".",'Flt-1'!$B20,"""")</f>
        <v>* differential.element[14].path = "FrontLineTreatment.isProgressionRelapseDuringFLT"</v>
      </c>
      <c r="D15" s="112" t="str">
        <f>CONCATENATE("* differential.element[",'Flt-1'!$A20,"].short = """,'Flt-1'!C20,"""")</f>
        <v>* differential.element[14].short = "Progression/relapse during frontline treatment ?"</v>
      </c>
      <c r="E15" s="112" t="str">
        <f>CONCATENATE("* differential.element[",'Flt-1'!$A20,"].definition = """,'Flt-1'!D20,"""")</f>
        <v>* differential.element[14].definition = "Progression/relapse during frontline treatment ?"</v>
      </c>
      <c r="F15" s="112" t="str">
        <f>CONCATENATE("* differential.element[",'Flt-1'!$A20,"].min = ",'Flt-1'!E20,"")</f>
        <v>* differential.element[14].min = 0</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"FrontLineTreatment.isProgressionRelapseAfterFLT"</v>
      </c>
      <c r="C16" s="112" t="str">
        <f>CONCATENATE("* differential.element[",'Flt-1'!$A21,"].path = """,'Flt-1'!$B$6,".",'Flt-1'!$B21,"""")</f>
        <v>* differential.element[15].path = "FrontLineTreatment.isProgressionRelapseAfterFLT"</v>
      </c>
      <c r="D16" s="112" t="str">
        <f>CONCATENATE("* differential.element[",'Flt-1'!$A21,"].short = """,'Flt-1'!C21,"""")</f>
        <v>* differential.element[15].short = "Progression/relapse after first elective end of treatment ?"</v>
      </c>
      <c r="E16" s="112" t="str">
        <f>CONCATENATE("* differential.element[",'Flt-1'!$A21,"].definition = """,'Flt-1'!D21,"""")</f>
        <v>* differential.element[15].definition = "Progression/relapse after first elective end of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3" workbookViewId="0">
      <selection activeCell="D179" sqref="D179:D261"/>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"FrontLineTreatment
Maturity Level  1"</v>
      </c>
      <c r="E4" s="15"/>
    </row>
    <row r="5" spans="4:7" x14ac:dyDescent="0.75">
      <c r="D5" s="15" t="str">
        <f>CONCATENATE("Title: """,'Flt-1'!C2,"""")</f>
        <v>Title: "FrontLineTreatment"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874</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26</v>
      </c>
      <c r="E13" s="15"/>
    </row>
    <row r="14" spans="4:7" x14ac:dyDescent="0.75">
      <c r="D14" s="15" t="s">
        <v>27</v>
      </c>
      <c r="E14" s="15"/>
    </row>
    <row r="15" spans="4:7" x14ac:dyDescent="0.75">
      <c r="D15" s="15" t="str">
        <f>CONCATENATE("* description = """,'Flt-1'!D2,"""")</f>
        <v>* description = "FrontLineTreatment
Maturity Level  1"</v>
      </c>
      <c r="E15" s="15"/>
    </row>
    <row r="16" spans="4:7" x14ac:dyDescent="0.75">
      <c r="D16" s="15" t="s">
        <v>28</v>
      </c>
      <c r="E16" s="15"/>
    </row>
    <row r="18" spans="2:7" x14ac:dyDescent="0.75">
      <c r="C18" s="109">
        <v>0</v>
      </c>
      <c r="D18" s="46" t="e">
        <f>CONCATENATE("* mapping[",C18,"].identity = """,#REF!,"""")</f>
        <v>#REF!</v>
      </c>
      <c r="G18" s="110" t="s">
        <v>42</v>
      </c>
    </row>
    <row r="19" spans="2:7" x14ac:dyDescent="0.75">
      <c r="B19" s="47" t="s">
        <v>44</v>
      </c>
      <c r="C19" s="109">
        <v>0</v>
      </c>
      <c r="D19" s="46" t="e">
        <f>CONCATENATE("* mapping[",C19,"].uri = """,#REF!,"""")</f>
        <v>#REF!</v>
      </c>
      <c r="G19" s="110" t="s">
        <v>43</v>
      </c>
    </row>
    <row r="20" spans="2:7" x14ac:dyDescent="0.75">
      <c r="C20" s="109">
        <v>0</v>
      </c>
      <c r="D20" s="46" t="e">
        <f>CONCATENATE("* mapping[",C20,"].name = """,#REF!,"""")</f>
        <v>#REF!</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first elective end of treatment"</v>
      </c>
    </row>
    <row r="73" spans="1:4" x14ac:dyDescent="0.75">
      <c r="A73" s="111">
        <v>39</v>
      </c>
      <c r="B73" s="111">
        <f t="shared" si="0"/>
        <v>5</v>
      </c>
      <c r="C73" s="111">
        <f t="shared" si="1"/>
        <v>4</v>
      </c>
      <c r="D73" s="112" t="str" cm="1">
        <f t="array" ref="D73">INDEX('Flt-2'!$B$2:$H$30,1+B73,C73)</f>
        <v>* differential.element[6].definition = "Date of first elective end of treatment"</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#string</v>
      </c>
    </row>
    <row r="77" spans="1:4" x14ac:dyDescent="0.75">
      <c r="A77" s="111">
        <v>43</v>
      </c>
      <c r="B77" s="111">
        <f t="shared" si="0"/>
        <v>6</v>
      </c>
      <c r="C77" s="111">
        <f t="shared" si="1"/>
        <v>1</v>
      </c>
      <c r="D77" s="112" t="str" cm="1">
        <f t="array" ref="D77">INDEX('Flt-2'!$B$2:$H$30,1+B77,C77)</f>
        <v>* differential.element[7].id = "FrontLineTreatment.completeRemission"</v>
      </c>
    </row>
    <row r="78" spans="1:4" x14ac:dyDescent="0.75">
      <c r="A78" s="111">
        <v>44</v>
      </c>
      <c r="B78" s="111">
        <f t="shared" si="0"/>
        <v>6</v>
      </c>
      <c r="C78" s="111">
        <f t="shared" si="1"/>
        <v>2</v>
      </c>
      <c r="D78" s="112" t="str" cm="1">
        <f t="array" ref="D78">INDEX('Flt-2'!$B$2:$H$30,1+B78,C78)</f>
        <v>* differential.element[7].path = "FrontLineTreatment.completeRemission"</v>
      </c>
    </row>
    <row r="79" spans="1:4" x14ac:dyDescent="0.75">
      <c r="A79" s="111">
        <v>45</v>
      </c>
      <c r="B79" s="111">
        <f t="shared" si="0"/>
        <v>6</v>
      </c>
      <c r="C79" s="111">
        <f t="shared" si="1"/>
        <v>3</v>
      </c>
      <c r="D79" s="112" t="str" cm="1">
        <f t="array" ref="D79">INDEX('Flt-2'!$B$2:$H$30,1+B79,C79)</f>
        <v>* differential.element[7].short = "Complete remission"</v>
      </c>
    </row>
    <row r="80" spans="1:4" x14ac:dyDescent="0.75">
      <c r="A80" s="111">
        <v>46</v>
      </c>
      <c r="B80" s="111">
        <f t="shared" si="0"/>
        <v>6</v>
      </c>
      <c r="C80" s="111">
        <f t="shared" si="1"/>
        <v>4</v>
      </c>
      <c r="D80" s="112" t="str" cm="1">
        <f t="array" ref="D80">INDEX('Flt-2'!$B$2:$H$30,1+B80,C80)</f>
        <v>* differential.element[7].definition = "Complete remission"</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#BackboneElement</v>
      </c>
    </row>
    <row r="84" spans="1:7" x14ac:dyDescent="0.75">
      <c r="A84" s="111">
        <v>50</v>
      </c>
      <c r="B84" s="111">
        <f t="shared" si="0"/>
        <v>7</v>
      </c>
      <c r="C84" s="111">
        <f t="shared" si="1"/>
        <v>1</v>
      </c>
      <c r="D84" s="112" t="str" cm="1">
        <f t="array" ref="D84">INDEX('Flt-2'!$B$2:$H$30,1+B84,C84)</f>
        <v>* differential.element[8].id = "FrontLineTreatment.completeRemission.status"</v>
      </c>
    </row>
    <row r="85" spans="1:7" x14ac:dyDescent="0.75">
      <c r="A85" s="111">
        <v>51</v>
      </c>
      <c r="B85" s="111">
        <f t="shared" si="0"/>
        <v>7</v>
      </c>
      <c r="C85" s="111">
        <f t="shared" si="1"/>
        <v>2</v>
      </c>
      <c r="D85" s="112" t="str" cm="1">
        <f t="array" ref="D85">INDEX('Flt-2'!$B$2:$H$30,1+B85,C85)</f>
        <v>* differential.element[8].path = "FrontLineTreatment.completeRemission.status"</v>
      </c>
    </row>
    <row r="86" spans="1:7" x14ac:dyDescent="0.75">
      <c r="A86" s="111">
        <v>52</v>
      </c>
      <c r="B86" s="111">
        <f t="shared" si="0"/>
        <v>7</v>
      </c>
      <c r="C86" s="111">
        <f t="shared" si="1"/>
        <v>3</v>
      </c>
      <c r="D86" s="112" t="str" cm="1">
        <f t="array" ref="D86">INDEX('Flt-2'!$B$2:$H$30,1+B86,C86)</f>
        <v>* differential.element[8].short = "Complete remission (Yes/No)"</v>
      </c>
    </row>
    <row r="87" spans="1:7" x14ac:dyDescent="0.75">
      <c r="A87" s="111">
        <v>53</v>
      </c>
      <c r="B87" s="111">
        <f t="shared" si="0"/>
        <v>7</v>
      </c>
      <c r="C87" s="111">
        <f t="shared" si="1"/>
        <v>4</v>
      </c>
      <c r="D87" s="112" t="str" cm="1">
        <f t="array" ref="D87">INDEX('Flt-2'!$B$2:$H$30,1+B87,C87)</f>
        <v>* differential.element[8].definition = "Complete remission (Yes/No)"</v>
      </c>
      <c r="G87" s="14"/>
    </row>
    <row r="88" spans="1:7" x14ac:dyDescent="0.75">
      <c r="A88" s="111">
        <v>54</v>
      </c>
      <c r="B88" s="111">
        <f t="shared" si="0"/>
        <v>7</v>
      </c>
      <c r="C88" s="111">
        <f t="shared" si="1"/>
        <v>5</v>
      </c>
      <c r="D88" s="112" t="str" cm="1">
        <f t="array" ref="D88">INDEX('Flt-2'!$B$2:$H$30,1+B88,C88)</f>
        <v>* differential.element[8].min = 1</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#dateTime</v>
      </c>
    </row>
    <row r="91" spans="1:7" x14ac:dyDescent="0.75">
      <c r="A91" s="111">
        <v>57</v>
      </c>
      <c r="B91" s="111">
        <f t="shared" si="0"/>
        <v>8</v>
      </c>
      <c r="C91" s="111">
        <f t="shared" si="1"/>
        <v>1</v>
      </c>
      <c r="D91" s="112" t="str" cm="1">
        <f t="array" ref="D91">INDEX('Flt-2'!$B$2:$H$30,1+B91,C91)</f>
        <v>* differential.element[9].id = "FrontLineTreatment.completeRemission.description"</v>
      </c>
    </row>
    <row r="92" spans="1:7" x14ac:dyDescent="0.75">
      <c r="A92" s="111">
        <v>58</v>
      </c>
      <c r="B92" s="111">
        <f t="shared" si="0"/>
        <v>8</v>
      </c>
      <c r="C92" s="111">
        <f t="shared" si="1"/>
        <v>2</v>
      </c>
      <c r="D92" s="112" t="str" cm="1">
        <f t="array" ref="D92">INDEX('Flt-2'!$B$2:$H$30,1+B92,C92)</f>
        <v>* differential.element[9].path = "FrontLineTreatment.completeRemission.description"</v>
      </c>
    </row>
    <row r="93" spans="1:7" x14ac:dyDescent="0.75">
      <c r="A93" s="111">
        <v>59</v>
      </c>
      <c r="B93" s="111">
        <f t="shared" si="0"/>
        <v>8</v>
      </c>
      <c r="C93" s="111">
        <f t="shared" si="1"/>
        <v>3</v>
      </c>
      <c r="D93" s="112" t="str" cm="1">
        <f t="array" ref="D93">INDEX('Flt-2'!$B$2:$H$30,1+B93,C93)</f>
        <v>* differential.element[9].short = "Textual description in case of no remission"</v>
      </c>
    </row>
    <row r="94" spans="1:7" x14ac:dyDescent="0.75">
      <c r="A94" s="111">
        <v>60</v>
      </c>
      <c r="B94" s="111">
        <f t="shared" si="0"/>
        <v>8</v>
      </c>
      <c r="C94" s="111">
        <f t="shared" si="1"/>
        <v>4</v>
      </c>
      <c r="D94" s="112" t="str" cm="1">
        <f t="array" ref="D94">INDEX('Flt-2'!$B$2:$H$30,1+B94,C94)</f>
        <v>* differential.element[9].definition = "Textual description in case of no remission"</v>
      </c>
    </row>
    <row r="95" spans="1:7" x14ac:dyDescent="0.75">
      <c r="A95" s="111">
        <v>61</v>
      </c>
      <c r="B95" s="111">
        <f t="shared" si="0"/>
        <v>8</v>
      </c>
      <c r="C95" s="111">
        <f t="shared" si="1"/>
        <v>5</v>
      </c>
      <c r="D95" s="112" t="str" cm="1">
        <f t="array" ref="D95">INDEX('Flt-2'!$B$2:$H$30,1+B95,C95)</f>
        <v>* differential.element[9].min = 1</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"FrontLineTreatment.isChemotherapy"</v>
      </c>
    </row>
    <row r="99" spans="1:4" x14ac:dyDescent="0.75">
      <c r="A99" s="111">
        <v>65</v>
      </c>
      <c r="B99" s="111">
        <f t="shared" si="0"/>
        <v>9</v>
      </c>
      <c r="C99" s="111">
        <f t="shared" si="1"/>
        <v>2</v>
      </c>
      <c r="D99" s="112" t="str" cm="1">
        <f t="array" ref="D99">INDEX('Flt-2'!$B$2:$H$30,1+B99,C99)</f>
        <v>* differential.element[10].path = "FrontLineTreatment.isChemotherapy"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"Chemotherapy ?"</v>
      </c>
    </row>
    <row r="101" spans="1:4" x14ac:dyDescent="0.75">
      <c r="A101" s="111">
        <v>67</v>
      </c>
      <c r="B101" s="111">
        <f t="shared" si="2"/>
        <v>9</v>
      </c>
      <c r="C101" s="111">
        <f t="shared" si="3"/>
        <v>4</v>
      </c>
      <c r="D101" s="112" t="str" cm="1">
        <f t="array" ref="D101">INDEX('Flt-2'!$B$2:$H$30,1+B101,C101)</f>
        <v>* differential.element[10].definition = "Chemotherapy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#string</v>
      </c>
    </row>
    <row r="105" spans="1:4" x14ac:dyDescent="0.75">
      <c r="A105" s="111">
        <v>71</v>
      </c>
      <c r="B105" s="111">
        <f t="shared" si="2"/>
        <v>10</v>
      </c>
      <c r="C105" s="111">
        <f t="shared" si="3"/>
        <v>1</v>
      </c>
      <c r="D105" s="112" t="str" cm="1">
        <f t="array" ref="D105">INDEX('Flt-2'!$B$2:$H$30,1+B105,C105)</f>
        <v>* differential.element[11].id = "FrontLineTreatment.isStemCellTransplantation"</v>
      </c>
    </row>
    <row r="106" spans="1:4" x14ac:dyDescent="0.75">
      <c r="A106" s="111">
        <v>72</v>
      </c>
      <c r="B106" s="111">
        <f t="shared" si="2"/>
        <v>10</v>
      </c>
      <c r="C106" s="111">
        <f t="shared" si="3"/>
        <v>2</v>
      </c>
      <c r="D106" s="112" t="str" cm="1">
        <f t="array" ref="D106">INDEX('Flt-2'!$B$2:$H$30,1+B106,C106)</f>
        <v>* differential.element[11].path = "FrontLineTreatment.isStemCellTransplantation"</v>
      </c>
    </row>
    <row r="107" spans="1:4" x14ac:dyDescent="0.75">
      <c r="A107" s="111">
        <v>73</v>
      </c>
      <c r="B107" s="111">
        <f t="shared" si="2"/>
        <v>10</v>
      </c>
      <c r="C107" s="111">
        <f t="shared" si="3"/>
        <v>3</v>
      </c>
      <c r="D107" s="112" t="str" cm="1">
        <f t="array" ref="D107">INDEX('Flt-2'!$B$2:$H$30,1+B107,C107)</f>
        <v>* differential.element[11].short = "Stem Cell transplantation ?"</v>
      </c>
    </row>
    <row r="108" spans="1:4" x14ac:dyDescent="0.75">
      <c r="A108" s="111">
        <v>74</v>
      </c>
      <c r="B108" s="111">
        <f t="shared" si="2"/>
        <v>10</v>
      </c>
      <c r="C108" s="111">
        <f t="shared" si="3"/>
        <v>4</v>
      </c>
      <c r="D108" s="112" t="str" cm="1">
        <f t="array" ref="D108">INDEX('Flt-2'!$B$2:$H$30,1+B108,C108)</f>
        <v>* differential.element[11].definition = "Stem Cell transplantation ?"</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#CodeableConcept</v>
      </c>
    </row>
    <row r="112" spans="1:4" x14ac:dyDescent="0.75">
      <c r="A112" s="111">
        <v>78</v>
      </c>
      <c r="B112" s="111">
        <f t="shared" si="2"/>
        <v>11</v>
      </c>
      <c r="C112" s="111">
        <f t="shared" si="3"/>
        <v>1</v>
      </c>
      <c r="D112" s="112" t="str" cm="1">
        <f t="array" ref="D112">INDEX('Flt-2'!$B$2:$H$30,1+B112,C112)</f>
        <v>* differential.element[12].id = "FrontLineTreatment.isRadiotherapy"</v>
      </c>
    </row>
    <row r="113" spans="1:4" x14ac:dyDescent="0.75">
      <c r="A113" s="111">
        <v>79</v>
      </c>
      <c r="B113" s="111">
        <f t="shared" si="2"/>
        <v>11</v>
      </c>
      <c r="C113" s="111">
        <f t="shared" si="3"/>
        <v>2</v>
      </c>
      <c r="D113" s="112" t="str" cm="1">
        <f t="array" ref="D113">INDEX('Flt-2'!$B$2:$H$30,1+B113,C113)</f>
        <v>* differential.element[12].path = "FrontLineTreatment.isRadiotherapy"</v>
      </c>
    </row>
    <row r="114" spans="1:4" x14ac:dyDescent="0.75">
      <c r="A114" s="111">
        <v>80</v>
      </c>
      <c r="B114" s="111">
        <f t="shared" si="2"/>
        <v>11</v>
      </c>
      <c r="C114" s="111">
        <f t="shared" si="3"/>
        <v>3</v>
      </c>
      <c r="D114" s="112" t="str" cm="1">
        <f t="array" ref="D114">INDEX('Flt-2'!$B$2:$H$30,1+B114,C114)</f>
        <v>* differential.element[12].short = "Radiotherapy ?"</v>
      </c>
    </row>
    <row r="115" spans="1:4" x14ac:dyDescent="0.75">
      <c r="A115" s="111">
        <v>81</v>
      </c>
      <c r="B115" s="111">
        <f t="shared" si="2"/>
        <v>11</v>
      </c>
      <c r="C115" s="111">
        <f t="shared" si="3"/>
        <v>4</v>
      </c>
      <c r="D115" s="112" t="str" cm="1">
        <f t="array" ref="D115">INDEX('Flt-2'!$B$2:$H$30,1+B115,C115)</f>
        <v>* differential.element[12].definition = "Radiotherapy ?"</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#CodeableConcept</v>
      </c>
    </row>
    <row r="119" spans="1:4" x14ac:dyDescent="0.75">
      <c r="A119" s="111">
        <v>85</v>
      </c>
      <c r="B119" s="111">
        <f t="shared" si="2"/>
        <v>12</v>
      </c>
      <c r="C119" s="111">
        <f t="shared" si="3"/>
        <v>1</v>
      </c>
      <c r="D119" s="112" t="str" cm="1">
        <f t="array" ref="D119">INDEX('Flt-2'!$B$2:$H$30,1+B119,C119)</f>
        <v>* differential.element[13].id = "FrontLineTreatment.isMajorSurgery"</v>
      </c>
    </row>
    <row r="120" spans="1:4" x14ac:dyDescent="0.75">
      <c r="A120" s="111">
        <v>86</v>
      </c>
      <c r="B120" s="111">
        <f t="shared" si="2"/>
        <v>12</v>
      </c>
      <c r="C120" s="111">
        <f t="shared" si="3"/>
        <v>2</v>
      </c>
      <c r="D120" s="112" t="str" cm="1">
        <f t="array" ref="D120">INDEX('Flt-2'!$B$2:$H$30,1+B120,C120)</f>
        <v>* differential.element[13].path = "FrontLineTreatment.isMajorSurgery"</v>
      </c>
    </row>
    <row r="121" spans="1:4" x14ac:dyDescent="0.75">
      <c r="A121" s="111">
        <v>87</v>
      </c>
      <c r="B121" s="111">
        <f t="shared" si="2"/>
        <v>12</v>
      </c>
      <c r="C121" s="111">
        <f t="shared" si="3"/>
        <v>3</v>
      </c>
      <c r="D121" s="112" t="str" cm="1">
        <f t="array" ref="D121">INDEX('Flt-2'!$B$2:$H$30,1+B121,C121)</f>
        <v>* differential.element[13].short = "Major Surgery ?"</v>
      </c>
    </row>
    <row r="122" spans="1:4" x14ac:dyDescent="0.75">
      <c r="A122" s="111">
        <v>88</v>
      </c>
      <c r="B122" s="111">
        <f t="shared" si="2"/>
        <v>12</v>
      </c>
      <c r="C122" s="111">
        <f t="shared" si="3"/>
        <v>4</v>
      </c>
      <c r="D122" s="112" t="str" cm="1">
        <f t="array" ref="D122">INDEX('Flt-2'!$B$2:$H$30,1+B122,C122)</f>
        <v>* differential.element[13].definition = "Major Surgery ?"</v>
      </c>
    </row>
    <row r="123" spans="1:4" x14ac:dyDescent="0.75">
      <c r="A123" s="111">
        <v>89</v>
      </c>
      <c r="B123" s="111">
        <f t="shared" si="2"/>
        <v>12</v>
      </c>
      <c r="C123" s="111">
        <f t="shared" si="3"/>
        <v>5</v>
      </c>
      <c r="D123" s="112" t="str" cm="1">
        <f t="array" ref="D123">INDEX('Flt-2'!$B$2:$H$30,1+B123,C123)</f>
        <v>* differential.element[13].min = 0</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#CodeableConcept</v>
      </c>
    </row>
    <row r="126" spans="1:4" x14ac:dyDescent="0.75">
      <c r="A126" s="111">
        <v>92</v>
      </c>
      <c r="B126" s="111">
        <f t="shared" si="2"/>
        <v>13</v>
      </c>
      <c r="C126" s="111">
        <f t="shared" si="3"/>
        <v>1</v>
      </c>
      <c r="D126" s="112" t="str" cm="1">
        <f t="array" ref="D126">INDEX('Flt-2'!$B$2:$H$30,1+B126,C126)</f>
        <v>* differential.element[14].id = "FrontLineTreatment.isProgressionRelapseDuringFLT"</v>
      </c>
    </row>
    <row r="127" spans="1:4" x14ac:dyDescent="0.75">
      <c r="A127" s="111">
        <v>93</v>
      </c>
      <c r="B127" s="111">
        <f t="shared" si="2"/>
        <v>13</v>
      </c>
      <c r="C127" s="111">
        <f t="shared" si="3"/>
        <v>2</v>
      </c>
      <c r="D127" s="112" t="str" cm="1">
        <f t="array" ref="D127">INDEX('Flt-2'!$B$2:$H$30,1+B127,C127)</f>
        <v>* differential.element[14].path = "FrontLineTreatment.isProgressionRelapseDuringFLT"</v>
      </c>
    </row>
    <row r="128" spans="1:4" x14ac:dyDescent="0.75">
      <c r="A128" s="111">
        <v>94</v>
      </c>
      <c r="B128" s="111">
        <f t="shared" si="2"/>
        <v>13</v>
      </c>
      <c r="C128" s="111">
        <f t="shared" si="3"/>
        <v>3</v>
      </c>
      <c r="D128" s="112" t="str" cm="1">
        <f t="array" ref="D128">INDEX('Flt-2'!$B$2:$H$30,1+B128,C128)</f>
        <v>* differential.element[14].short = "Progression/relapse during frontline treatment ?"</v>
      </c>
    </row>
    <row r="129" spans="1:4" x14ac:dyDescent="0.75">
      <c r="A129" s="111">
        <v>95</v>
      </c>
      <c r="B129" s="111">
        <f t="shared" si="2"/>
        <v>13</v>
      </c>
      <c r="C129" s="111">
        <f t="shared" si="3"/>
        <v>4</v>
      </c>
      <c r="D129" s="112" t="str" cm="1">
        <f t="array" ref="D129">INDEX('Flt-2'!$B$2:$H$30,1+B129,C129)</f>
        <v>* differential.element[14].definition = "Progression/relapse during frontline treatment ?"</v>
      </c>
    </row>
    <row r="130" spans="1:4" x14ac:dyDescent="0.75">
      <c r="A130" s="111">
        <v>96</v>
      </c>
      <c r="B130" s="111">
        <f t="shared" si="2"/>
        <v>13</v>
      </c>
      <c r="C130" s="111">
        <f t="shared" si="3"/>
        <v>5</v>
      </c>
      <c r="D130" s="112" t="str" cm="1">
        <f t="array" ref="D130">INDEX('Flt-2'!$B$2:$H$30,1+B130,C130)</f>
        <v>* differential.element[14].min = 0</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"FrontLineTreatment.isProgressionRelapseAfterFLT"</v>
      </c>
    </row>
    <row r="134" spans="1:4" x14ac:dyDescent="0.75">
      <c r="A134" s="111">
        <v>100</v>
      </c>
      <c r="B134" s="111">
        <f t="shared" si="2"/>
        <v>14</v>
      </c>
      <c r="C134" s="111">
        <f t="shared" si="3"/>
        <v>2</v>
      </c>
      <c r="D134" s="112" t="str" cm="1">
        <f t="array" ref="D134">INDEX('Flt-2'!$B$2:$H$30,1+B134,C134)</f>
        <v>* differential.element[15].path = "FrontLineTreatment.isProgressionRelapseAfterFLT"</v>
      </c>
    </row>
    <row r="135" spans="1:4" x14ac:dyDescent="0.75">
      <c r="A135" s="111">
        <v>101</v>
      </c>
      <c r="B135" s="111">
        <f t="shared" si="2"/>
        <v>14</v>
      </c>
      <c r="C135" s="111">
        <f t="shared" si="3"/>
        <v>3</v>
      </c>
      <c r="D135" s="112" t="str" cm="1">
        <f t="array" ref="D135">INDEX('Flt-2'!$B$2:$H$30,1+B135,C135)</f>
        <v>* differential.element[15].short = "Progression/relapse after first elective end of treatment ?"</v>
      </c>
    </row>
    <row r="136" spans="1:4" x14ac:dyDescent="0.75">
      <c r="A136" s="111">
        <v>102</v>
      </c>
      <c r="B136" s="111">
        <f t="shared" si="2"/>
        <v>14</v>
      </c>
      <c r="C136" s="111">
        <f t="shared" si="3"/>
        <v>4</v>
      </c>
      <c r="D136" s="112" t="str" cm="1">
        <f t="array" ref="D136">INDEX('Flt-2'!$B$2:$H$30,1+B136,C136)</f>
        <v>* differential.element[15].definition = "Progression/relapse after first elective end of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election activeCell="K6" sqref="K6"/>
    </sheetView>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46</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1068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1058</v>
      </c>
      <c r="H8" s="109" t="b">
        <f t="shared" ref="H8:H23" si="0">IF(D8&gt;"",TRUE,FALSE)</f>
        <v>1</v>
      </c>
      <c r="I8" s="110" t="str">
        <f t="shared" ref="I8:I23"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1071</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1072</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1073</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1074</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29.5" x14ac:dyDescent="0.75">
      <c r="A13" s="111">
        <v>0</v>
      </c>
      <c r="B13" s="111">
        <f>'Flt-1'!A11</f>
        <v>5</v>
      </c>
      <c r="C13" s="112" t="str">
        <f>'Flt-1'!B11</f>
        <v>followedProtocol.arm</v>
      </c>
      <c r="D13" s="112" t="s">
        <v>1059</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1060</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"outcome"</v>
      </c>
    </row>
    <row r="15" spans="1:14" ht="29.5" x14ac:dyDescent="0.75">
      <c r="A15" s="111">
        <v>0</v>
      </c>
      <c r="B15" s="111">
        <f>'Flt-1'!A13</f>
        <v>7</v>
      </c>
      <c r="C15" s="112" t="str">
        <f>'Flt-1'!B13</f>
        <v>completeRemission</v>
      </c>
      <c r="D15" s="138" t="s">
        <v>1061</v>
      </c>
      <c r="H15" s="109" t="b">
        <f t="shared" si="0"/>
        <v>1</v>
      </c>
      <c r="I15" s="110" t="str">
        <f t="shared" si="1"/>
        <v>* differential.element[7].mapping[0].identity = "fhir"</v>
      </c>
      <c r="J15" s="110" t="str">
        <f t="shared" si="2"/>
        <v>* differential.element[7].mapping[0].map = "outcome"</v>
      </c>
      <c r="K15" s="110" t="str">
        <f t="shared" si="3"/>
        <v/>
      </c>
      <c r="M15" s="44"/>
      <c r="N15" s="109" t="str">
        <f t="shared" si="5"/>
        <v>* completeRemission -&gt; "outcome.coding"</v>
      </c>
    </row>
    <row r="16" spans="1:14" ht="29.5" x14ac:dyDescent="0.75">
      <c r="A16" s="111">
        <v>0</v>
      </c>
      <c r="B16" s="111">
        <f>'Flt-1'!A14</f>
        <v>8</v>
      </c>
      <c r="C16" s="112" t="str">
        <f>'Flt-1'!B14</f>
        <v>completeRemission.status</v>
      </c>
      <c r="D16" s="138" t="s">
        <v>1062</v>
      </c>
      <c r="H16" s="109" t="b">
        <f t="shared" si="0"/>
        <v>1</v>
      </c>
      <c r="I16" s="110" t="str">
        <f t="shared" si="1"/>
        <v>* differential.element[8].mapping[0].identity = "fhir"</v>
      </c>
      <c r="J16" s="110" t="str">
        <f t="shared" si="2"/>
        <v>* differential.element[8].mapping[0].map = "outcome.coding"</v>
      </c>
      <c r="K16" s="110" t="str">
        <f t="shared" si="3"/>
        <v/>
      </c>
      <c r="N16" s="109" t="str">
        <f t="shared" si="5"/>
        <v>* completeRemission.status -&gt; "outcome.text"</v>
      </c>
    </row>
    <row r="17" spans="1:14" ht="29.5" x14ac:dyDescent="0.75">
      <c r="A17" s="111">
        <v>0</v>
      </c>
      <c r="B17" s="111">
        <f>'Flt-1'!A15</f>
        <v>9</v>
      </c>
      <c r="C17" s="112" t="str">
        <f>'Flt-1'!B15</f>
        <v>completeRemission.description</v>
      </c>
      <c r="D17" s="138" t="s">
        <v>1063</v>
      </c>
      <c r="H17" s="109" t="b">
        <f t="shared" si="0"/>
        <v>1</v>
      </c>
      <c r="I17" s="110" t="str">
        <f t="shared" si="1"/>
        <v>* differential.element[9].mapping[0].identity = "fhir"</v>
      </c>
      <c r="J17" s="110" t="str">
        <f t="shared" si="2"/>
        <v>* differential.element[9].mapping[0].map = "outcome.text"</v>
      </c>
      <c r="K17" s="110" t="str">
        <f t="shared" si="3"/>
        <v/>
      </c>
      <c r="N17" s="109" t="str">
        <f t="shared" si="5"/>
        <v>* completeRemission.description -&gt; "MedicationAdministration.conformsTo('http://hl7.eu/fhir/ig/pcsp/StructureDefinition/MedicationAdministration-eu-pcsp').exists()"</v>
      </c>
    </row>
    <row r="18" spans="1:14" ht="59" x14ac:dyDescent="0.75">
      <c r="A18" s="111">
        <v>0</v>
      </c>
      <c r="B18" s="111">
        <f>'Flt-1'!A16</f>
        <v>10</v>
      </c>
      <c r="C18" s="112" t="str">
        <f>'Flt-1'!B16</f>
        <v>isChemotherapy</v>
      </c>
      <c r="D18" s="138" t="s">
        <v>1064</v>
      </c>
      <c r="H18" s="109" t="b">
        <f t="shared" si="0"/>
        <v>1</v>
      </c>
      <c r="I18" s="110" t="str">
        <f t="shared" si="1"/>
        <v>* differential.element[10].mapping[0].identity = "fhir"</v>
      </c>
      <c r="J18" s="110" t="str">
        <f t="shared" si="2"/>
        <v>* differential.element[10].mapping[0].map = "MedicationAdministration.conformsTo('http://hl7.eu/fhir/ig/pcsp/StructureDefinition/MedicationAdministration-eu-pcsp').exists()"</v>
      </c>
      <c r="K18" s="110" t="str">
        <f t="shared" si="3"/>
        <v/>
      </c>
      <c r="N18" s="109" t="str">
        <f t="shared" si="5"/>
        <v>* isChemotherapy -&gt; "Procedure.conformsTo('http://hl7.eu/fhir/ig/pcsp/StructureDefinition/Procedure-sct-eu-pcsp').exists()"</v>
      </c>
    </row>
    <row r="19" spans="1:14" ht="59" x14ac:dyDescent="0.75">
      <c r="A19" s="111">
        <v>0</v>
      </c>
      <c r="B19" s="111">
        <f>'Flt-1'!A17</f>
        <v>11</v>
      </c>
      <c r="C19" s="112" t="str">
        <f>'Flt-1'!B17</f>
        <v>isStemCellTransplantation</v>
      </c>
      <c r="D19" s="112" t="s">
        <v>1065</v>
      </c>
      <c r="H19" s="109" t="b">
        <f t="shared" si="0"/>
        <v>1</v>
      </c>
      <c r="I19" s="110" t="str">
        <f t="shared" si="1"/>
        <v>* differential.element[11].mapping[0].identity = "fhir"</v>
      </c>
      <c r="J19" s="110" t="str">
        <f t="shared" si="2"/>
        <v>* differential.element[11].mapping[0].map = "Procedure.conformsTo('http://hl7.eu/fhir/ig/pcsp/StructureDefinition/Procedure-sct-eu-pcsp').exists()"</v>
      </c>
      <c r="K19" s="110" t="str">
        <f t="shared" si="3"/>
        <v/>
      </c>
      <c r="N19" s="109" t="str">
        <f t="shared" si="5"/>
        <v>* isStemCellTransplantation -&gt; "Procedure.conformsTo('http://hl7.eu/fhir/ig/pcsp/StructureDefinition/Procedure-radiotheraphy-eu-pcsp').exists()"</v>
      </c>
    </row>
    <row r="20" spans="1:14" ht="59" x14ac:dyDescent="0.75">
      <c r="A20" s="111">
        <v>0</v>
      </c>
      <c r="B20" s="111">
        <f>'Flt-1'!A18</f>
        <v>12</v>
      </c>
      <c r="C20" s="112" t="str">
        <f>'Flt-1'!B18</f>
        <v>isRadiotherapy</v>
      </c>
      <c r="D20" s="112" t="s">
        <v>1066</v>
      </c>
      <c r="H20" s="109" t="b">
        <f t="shared" si="0"/>
        <v>1</v>
      </c>
      <c r="I20" s="110" t="str">
        <f t="shared" si="1"/>
        <v>* differential.element[12].mapping[0].identity = "fhir"</v>
      </c>
      <c r="J20" s="110" t="str">
        <f t="shared" si="2"/>
        <v>* differential.element[12].mapping[0].map = "Procedure.conformsTo('http://hl7.eu/fhir/ig/pcsp/StructureDefinition/Procedure-radiotheraphy-eu-pcsp').exists()"</v>
      </c>
      <c r="K20" s="110" t="str">
        <f t="shared" si="3"/>
        <v/>
      </c>
      <c r="N20" s="109" t="str">
        <f t="shared" si="5"/>
        <v>* isRadiotherapy -&gt; "Procedure.conformsTo('http://hl7.eu/fhir/ig/pcsp/StructureDefinition/Procedure-surgery-eu-pcsp').exists()"</v>
      </c>
    </row>
    <row r="21" spans="1:14" ht="59" x14ac:dyDescent="0.75">
      <c r="A21" s="111">
        <v>0</v>
      </c>
      <c r="B21" s="111">
        <f>'Flt-1'!A19</f>
        <v>13</v>
      </c>
      <c r="C21" s="112" t="str">
        <f>'Flt-1'!B19</f>
        <v>isMajorSurgery</v>
      </c>
      <c r="D21" s="112" t="s">
        <v>1067</v>
      </c>
      <c r="H21" s="109" t="b">
        <f t="shared" si="0"/>
        <v>1</v>
      </c>
      <c r="I21" s="110" t="str">
        <f t="shared" si="1"/>
        <v>* differential.element[13].mapping[0].identity = "fhir"</v>
      </c>
      <c r="J21" s="110" t="str">
        <f t="shared" si="2"/>
        <v>* differential.element[13].mapping[0].map = "Procedure.conformsTo('http://hl7.eu/fhir/ig/pcsp/StructureDefinition/Procedure-surgery-eu-pcsp').exists()"</v>
      </c>
      <c r="K21" s="110" t="str">
        <f t="shared" si="3"/>
        <v/>
      </c>
      <c r="N21" s="109" t="str">
        <f t="shared" si="5"/>
        <v>* isMajorSurgery -&gt; "TBD"</v>
      </c>
    </row>
    <row r="22" spans="1:14" ht="29.5" x14ac:dyDescent="0.75">
      <c r="A22" s="111">
        <v>0</v>
      </c>
      <c r="B22" s="111">
        <f>'Flt-1'!A20</f>
        <v>14</v>
      </c>
      <c r="C22" s="112" t="str">
        <f>'Flt-1'!B20</f>
        <v>isProgressionRelapseDuringFLT</v>
      </c>
      <c r="D22" s="112" t="s">
        <v>1059</v>
      </c>
      <c r="H22" s="109" t="b">
        <f t="shared" si="0"/>
        <v>1</v>
      </c>
      <c r="I22" s="110" t="str">
        <f t="shared" si="1"/>
        <v>* differential.element[14].mapping[0].identity = "fhir"</v>
      </c>
      <c r="J22" s="110" t="str">
        <f t="shared" si="2"/>
        <v>* differential.element[14].mapping[0].map = "TBD"</v>
      </c>
      <c r="K22" s="110" t="str">
        <f>IF(E22&gt;"",CONCATENATE("* differential.element[",$B22,"].mapping[",$A22,"].comment = """,E22,""""),"")</f>
        <v/>
      </c>
      <c r="N22" s="109" t="str">
        <f t="shared" si="5"/>
        <v>* isProgressionRelapseDuringFLT -&gt; "TBD"</v>
      </c>
    </row>
    <row r="23" spans="1:14" ht="29.5" x14ac:dyDescent="0.75">
      <c r="A23" s="111">
        <v>0</v>
      </c>
      <c r="B23" s="111">
        <f>'Flt-1'!A21</f>
        <v>15</v>
      </c>
      <c r="C23" s="112" t="str">
        <f>'Flt-1'!B21</f>
        <v>isProgressionRelapseAfterFLT</v>
      </c>
      <c r="D23" s="112" t="s">
        <v>1059</v>
      </c>
      <c r="H23" s="109" t="b">
        <f t="shared" si="0"/>
        <v>1</v>
      </c>
      <c r="I23" s="110" t="str">
        <f t="shared" si="1"/>
        <v>* differential.element[15].mapping[0].identity = "fhir"</v>
      </c>
      <c r="J23" s="110" t="str">
        <f t="shared" si="2"/>
        <v>* differential.element[15].mapping[0].map = "TBD"</v>
      </c>
      <c r="K23" s="110" t="str">
        <f t="shared" si="3"/>
        <v/>
      </c>
      <c r="N23" s="109" t="e">
        <f>CONCATENATE("* ",C23," -&gt; """,#REF!,"""")</f>
        <v>#REF!</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 t="shared" si="4"/>
        <v>*  -&gt; ""</v>
      </c>
    </row>
    <row r="28" spans="1:14" x14ac:dyDescent="0.75">
      <c r="A28" s="111"/>
      <c r="B28" s="111"/>
      <c r="C28" s="112"/>
      <c r="D28" s="112"/>
      <c r="I28" s="110"/>
      <c r="N28" s="109" t="str">
        <f>CONCATENATE("* ",C28," -&gt; """,D29,"""")</f>
        <v>*  -&gt; ""</v>
      </c>
    </row>
    <row r="29" spans="1:14" x14ac:dyDescent="0.75">
      <c r="A29" s="111"/>
      <c r="B29" s="111"/>
      <c r="C29" s="112"/>
      <c r="D29" s="112"/>
      <c r="I29" s="110"/>
      <c r="N29" s="109" t="str">
        <f>CONCATENATE("* ",C29," -&gt; """,D28,"""")</f>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6">IF(D44&gt;"",TRUE,FALSE)</f>
        <v>0</v>
      </c>
      <c r="I44" s="110" t="str">
        <f t="shared" ref="I44:I51" si="7">IF(H44,CONCATENATE("* differential.element[",$B44,"].mapping[",$A44,"].identity = """,$G$1,""""),"")</f>
        <v/>
      </c>
      <c r="J44" s="110" t="str">
        <f t="shared" ref="J44:J51" si="8">IF(H44,CONCATENATE("* differential.element[",$B44,"].mapping[",$A44,"].map = """,D44,""""),"")</f>
        <v/>
      </c>
      <c r="K44" s="110" t="str">
        <f t="shared" ref="K44:K51" si="9">IF(E44&gt;"",CONCATENATE("* differential.element[",$B44,"].mapping[",$A44,"].comment = """,E44,""""),"")</f>
        <v/>
      </c>
    </row>
    <row r="45" spans="1:14" x14ac:dyDescent="0.75">
      <c r="A45" s="111"/>
      <c r="B45" s="111"/>
      <c r="C45" s="112"/>
      <c r="D45" s="112"/>
      <c r="H45" s="109" t="b">
        <f t="shared" si="6"/>
        <v>0</v>
      </c>
      <c r="I45" s="110" t="str">
        <f t="shared" si="7"/>
        <v/>
      </c>
      <c r="J45" s="110" t="str">
        <f t="shared" si="8"/>
        <v/>
      </c>
      <c r="K45" s="110" t="str">
        <f t="shared" si="9"/>
        <v/>
      </c>
    </row>
    <row r="46" spans="1:14" x14ac:dyDescent="0.75">
      <c r="A46" s="111"/>
      <c r="B46" s="111"/>
      <c r="C46" s="112"/>
      <c r="D46" s="112"/>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c r="H51" s="109" t="b">
        <f t="shared" si="6"/>
        <v>0</v>
      </c>
      <c r="I51" s="110" t="str">
        <f t="shared" si="7"/>
        <v/>
      </c>
      <c r="J51" s="110" t="str">
        <f t="shared" si="8"/>
        <v/>
      </c>
      <c r="K51" s="110" t="str">
        <f t="shared" si="9"/>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'Oth-1'!A69</f>
        <v>0</v>
      </c>
      <c r="C81" s="110">
        <f>'Oth-1'!B69</f>
        <v>0</v>
      </c>
    </row>
    <row r="82" spans="2:3" x14ac:dyDescent="0.75">
      <c r="B82" s="109">
        <f>'Oth-1'!A70</f>
        <v>0</v>
      </c>
      <c r="C82" s="110">
        <f>'Oth-1'!B70</f>
        <v>0</v>
      </c>
    </row>
    <row r="83" spans="2:3" x14ac:dyDescent="0.75">
      <c r="B83" s="109">
        <f>'Oth-1'!A71</f>
        <v>0</v>
      </c>
      <c r="C83" s="110">
        <f>'Oth-1'!B71</f>
        <v>0</v>
      </c>
    </row>
    <row r="84" spans="2:3" x14ac:dyDescent="0.75">
      <c r="B84" s="109">
        <f>'Oth-1'!A72</f>
        <v>0</v>
      </c>
      <c r="C84" s="110">
        <f>'Oth-1'!B72</f>
        <v>0</v>
      </c>
    </row>
    <row r="85" spans="2:3" x14ac:dyDescent="0.75">
      <c r="B85" s="109">
        <f>'Oth-1'!A73</f>
        <v>0</v>
      </c>
      <c r="C85" s="110">
        <f>'Oth-1'!B73</f>
        <v>0</v>
      </c>
    </row>
    <row r="86" spans="2:3" x14ac:dyDescent="0.75">
      <c r="B86" s="109">
        <f>'Oth-1'!A74</f>
        <v>0</v>
      </c>
      <c r="C86" s="110">
        <f>'Oth-1'!B74</f>
        <v>0</v>
      </c>
    </row>
    <row r="87" spans="2:3" x14ac:dyDescent="0.75">
      <c r="B87" s="109">
        <f>'Oth-1'!A75</f>
        <v>0</v>
      </c>
      <c r="C87" s="110">
        <f>'Oth-1'!B75</f>
        <v>0</v>
      </c>
    </row>
    <row r="88" spans="2:3" x14ac:dyDescent="0.75">
      <c r="B88" s="109">
        <f>'Oth-1'!A76</f>
        <v>0</v>
      </c>
      <c r="C88" s="110">
        <f>'Oth-1'!B76</f>
        <v>0</v>
      </c>
    </row>
    <row r="89" spans="2:3" x14ac:dyDescent="0.75">
      <c r="B89" s="109">
        <f>'Oth-1'!A77</f>
        <v>0</v>
      </c>
      <c r="C89" s="110">
        <f>'Oth-1'!B77</f>
        <v>0</v>
      </c>
    </row>
    <row r="90" spans="2:3" x14ac:dyDescent="0.75">
      <c r="B90" s="109">
        <f>'Oth-1'!A78</f>
        <v>0</v>
      </c>
      <c r="C90" s="110">
        <f>'Oth-1'!B78</f>
        <v>0</v>
      </c>
    </row>
    <row r="91" spans="2:3" x14ac:dyDescent="0.75">
      <c r="B91" s="109">
        <f>'Oth-1'!A79</f>
        <v>0</v>
      </c>
      <c r="C91" s="110">
        <f>'Oth-1'!B79</f>
        <v>0</v>
      </c>
    </row>
    <row r="92" spans="2:3" x14ac:dyDescent="0.75">
      <c r="B92" s="109">
        <f>'Oth-1'!A80</f>
        <v>0</v>
      </c>
      <c r="C92" s="110">
        <f>'Oth-1'!B80</f>
        <v>0</v>
      </c>
    </row>
    <row r="93" spans="2:3" x14ac:dyDescent="0.75">
      <c r="B93" s="109">
        <f>'Oth-1'!A81</f>
        <v>0</v>
      </c>
      <c r="C93" s="110">
        <f>'Oth-1'!B81</f>
        <v>0</v>
      </c>
    </row>
    <row r="94" spans="2:3" x14ac:dyDescent="0.75">
      <c r="B94" s="109">
        <f>'Oth-1'!A82</f>
        <v>0</v>
      </c>
      <c r="C94" s="110">
        <f>'Oth-1'!B82</f>
        <v>0</v>
      </c>
    </row>
    <row r="95" spans="2:3" x14ac:dyDescent="0.75">
      <c r="B95" s="109">
        <f>'Oth-1'!A83</f>
        <v>0</v>
      </c>
      <c r="C95" s="110">
        <f>'Oth-1'!B83</f>
        <v>0</v>
      </c>
    </row>
    <row r="96" spans="2:3" x14ac:dyDescent="0.75">
      <c r="B96" s="109">
        <f>'Oth-1'!A84</f>
        <v>0</v>
      </c>
      <c r="C96" s="110">
        <f>'Oth-1'!B84</f>
        <v>0</v>
      </c>
    </row>
    <row r="97" spans="2:3" x14ac:dyDescent="0.75">
      <c r="B97" s="109">
        <f>'Oth-1'!A85</f>
        <v>0</v>
      </c>
      <c r="C97" s="110">
        <f>'Oth-1'!B85</f>
        <v>0</v>
      </c>
    </row>
    <row r="98" spans="2:3" x14ac:dyDescent="0.75">
      <c r="B98" s="109">
        <f>'Oth-1'!A86</f>
        <v>0</v>
      </c>
      <c r="C98" s="110">
        <f>'Oth-1'!B86</f>
        <v>0</v>
      </c>
    </row>
    <row r="99" spans="2:3" x14ac:dyDescent="0.75">
      <c r="B99" s="109">
        <f>'Oth-1'!A87</f>
        <v>0</v>
      </c>
      <c r="C99" s="110">
        <f>'Oth-1'!B87</f>
        <v>0</v>
      </c>
    </row>
    <row r="100" spans="2:3" x14ac:dyDescent="0.75">
      <c r="B100" s="109">
        <f>'Oth-1'!A88</f>
        <v>0</v>
      </c>
      <c r="C100" s="110">
        <f>'Oth-1'!B88</f>
        <v>0</v>
      </c>
    </row>
    <row r="101" spans="2:3" x14ac:dyDescent="0.75">
      <c r="B101" s="109">
        <f>'Oth-1'!A89</f>
        <v>0</v>
      </c>
      <c r="C101" s="110">
        <f>'Oth-1'!B89</f>
        <v>0</v>
      </c>
    </row>
    <row r="102" spans="2:3" x14ac:dyDescent="0.75">
      <c r="B102" s="109">
        <f>'Oth-1'!A90</f>
        <v>0</v>
      </c>
      <c r="C102" s="110">
        <f>'Oth-1'!B90</f>
        <v>0</v>
      </c>
    </row>
    <row r="103" spans="2:3" x14ac:dyDescent="0.75">
      <c r="B103" s="109">
        <f>'Oth-1'!A91</f>
        <v>0</v>
      </c>
      <c r="C103" s="110">
        <f>'Oth-1'!B91</f>
        <v>0</v>
      </c>
    </row>
    <row r="104" spans="2:3" x14ac:dyDescent="0.75">
      <c r="B104" s="109">
        <f>'Oth-1'!A92</f>
        <v>0</v>
      </c>
      <c r="C104" s="110">
        <f>'Oth-1'!B92</f>
        <v>0</v>
      </c>
    </row>
    <row r="105" spans="2:3" x14ac:dyDescent="0.75">
      <c r="B105" s="109">
        <f>'Oth-1'!A93</f>
        <v>0</v>
      </c>
      <c r="C105" s="110">
        <f>'Oth-1'!B93</f>
        <v>0</v>
      </c>
    </row>
    <row r="106" spans="2:3" x14ac:dyDescent="0.75">
      <c r="B106" s="109">
        <f>'Oth-1'!A94</f>
        <v>0</v>
      </c>
      <c r="C106" s="110">
        <f>'Oth-1'!B94</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2" workbookViewId="0">
      <selection activeCell="D54" sqref="D54:D5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"outcome"</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"outcome.coding"</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"outcome.text"</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"MedicationAdministration.conformsTo('http://hl7.eu/fhir/ig/pcsp/StructureDefinition/MedicationAdministration-eu-pcsp').exists()"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differential.element[11].mapping[0].identity = "fhir"</v>
      </c>
    </row>
    <row r="40" spans="1:4" x14ac:dyDescent="0.75">
      <c r="A40" s="111">
        <v>38</v>
      </c>
      <c r="B40" s="111">
        <f t="shared" si="0"/>
        <v>12</v>
      </c>
      <c r="C40" s="111">
        <f t="shared" si="1"/>
        <v>2</v>
      </c>
      <c r="D40" s="109" t="str" cm="1">
        <f t="array" ref="D40">INDEX('Flt-Map-1'!$I$7:$K$101,1+B40,C40)</f>
        <v>* differential.element[11].mapping[0].map = "Procedure.conformsTo('http://hl7.eu/fhir/ig/pcsp/StructureDefinition/Procedure-sct-eu-pcsp').exists()"</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"Procedure.conformsTo('http://hl7.eu/fhir/ig/pcsp/StructureDefinition/Procedure-radiotheraphy-eu-pcsp').exists()"</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"Procedure.conformsTo('http://hl7.eu/fhir/ig/pcsp/StructureDefinition/Procedure-surgery-eu-pcsp').exists()"</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"TBD"</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"TBD"</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'Flt-1'!A13</f>
        <v>7</v>
      </c>
      <c r="C13" s="111" t="str">
        <f>'Flt-1'!B13</f>
        <v>completeRemission</v>
      </c>
      <c r="D13" s="113"/>
      <c r="H13" s="109" t="b">
        <f t="shared" si="1"/>
        <v>0</v>
      </c>
      <c r="I13" s="110" t="str">
        <f t="shared" si="2"/>
        <v/>
      </c>
      <c r="J13" s="110" t="str">
        <f t="shared" si="3"/>
        <v/>
      </c>
      <c r="K13" s="110" t="str">
        <f t="shared" si="4"/>
        <v/>
      </c>
      <c r="M13" s="44"/>
      <c r="N13" s="109" t="str">
        <f t="shared" si="0"/>
        <v>* completeRemission -&gt; ""</v>
      </c>
    </row>
    <row r="14" spans="1:14" x14ac:dyDescent="0.75">
      <c r="A14" s="111">
        <v>0</v>
      </c>
      <c r="B14" s="111">
        <f>'Flt-1'!A14</f>
        <v>8</v>
      </c>
      <c r="C14" s="111" t="str">
        <f>'Flt-1'!B14</f>
        <v>completeRemission.status</v>
      </c>
      <c r="D14" s="111"/>
      <c r="H14" s="109" t="b">
        <f t="shared" si="1"/>
        <v>0</v>
      </c>
      <c r="I14" s="110" t="str">
        <f t="shared" si="2"/>
        <v/>
      </c>
      <c r="J14" s="110" t="str">
        <f t="shared" si="3"/>
        <v/>
      </c>
      <c r="K14" s="110" t="str">
        <f t="shared" si="4"/>
        <v/>
      </c>
      <c r="M14" s="44"/>
      <c r="N14" s="109" t="str">
        <f t="shared" si="0"/>
        <v>* completeRemission.status -&gt; ""</v>
      </c>
    </row>
    <row r="15" spans="1:14" x14ac:dyDescent="0.75">
      <c r="A15" s="111">
        <v>0</v>
      </c>
      <c r="B15" s="111">
        <f>'Flt-1'!A15</f>
        <v>9</v>
      </c>
      <c r="C15" s="111" t="str">
        <f>'Flt-1'!B15</f>
        <v>completeRemission.description</v>
      </c>
      <c r="D15" s="111"/>
      <c r="H15" s="109" t="b">
        <f t="shared" si="1"/>
        <v>0</v>
      </c>
      <c r="I15" s="110" t="str">
        <f t="shared" si="2"/>
        <v/>
      </c>
      <c r="J15" s="110" t="str">
        <f t="shared" si="3"/>
        <v/>
      </c>
      <c r="K15" s="110" t="str">
        <f t="shared" si="4"/>
        <v/>
      </c>
      <c r="N15" s="109" t="str">
        <f t="shared" si="0"/>
        <v>* completeRemission.description -&gt; ""</v>
      </c>
    </row>
    <row r="16" spans="1:14" x14ac:dyDescent="0.75">
      <c r="A16" s="111">
        <v>0</v>
      </c>
      <c r="B16" s="111">
        <f>'Flt-1'!A16</f>
        <v>10</v>
      </c>
      <c r="C16" s="111" t="str">
        <f>'Flt-1'!B16</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'Flt-1'!A17</f>
        <v>11</v>
      </c>
      <c r="C17" s="111" t="str">
        <f>'Flt-1'!B17</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'Flt-1'!A18</f>
        <v>12</v>
      </c>
      <c r="C18" s="111" t="str">
        <f>'Flt-1'!B18</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'Flt-1'!A19</f>
        <v>13</v>
      </c>
      <c r="C19" s="111" t="str">
        <f>'Flt-1'!B19</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'Flt-1'!A20</f>
        <v>14</v>
      </c>
      <c r="C20" s="111" t="str">
        <f>'Flt-1'!B20</f>
        <v>isProgressionRelapseDuringFLT</v>
      </c>
      <c r="D20" s="111"/>
      <c r="H20" s="109" t="b">
        <f t="shared" si="1"/>
        <v>0</v>
      </c>
      <c r="I20" s="110" t="str">
        <f t="shared" si="2"/>
        <v/>
      </c>
      <c r="J20" s="110" t="str">
        <f t="shared" si="3"/>
        <v/>
      </c>
      <c r="K20" s="110" t="str">
        <f t="shared" si="4"/>
        <v/>
      </c>
      <c r="N20" s="109" t="str">
        <f t="shared" si="0"/>
        <v>* isProgressionRelapseDuringFLT -&gt; ""</v>
      </c>
    </row>
    <row r="21" spans="1:14" x14ac:dyDescent="0.75">
      <c r="A21" s="111">
        <v>0</v>
      </c>
      <c r="B21" s="111">
        <f>'Flt-1'!A21</f>
        <v>15</v>
      </c>
      <c r="C21" s="111" t="str">
        <f>'Flt-1'!B21</f>
        <v>isProgressionRelapseAfterFLT</v>
      </c>
      <c r="D21" s="111"/>
      <c r="H21" s="109" t="b">
        <f t="shared" si="1"/>
        <v>0</v>
      </c>
      <c r="I21" s="110" t="str">
        <f t="shared" si="2"/>
        <v/>
      </c>
      <c r="J21" s="110" t="str">
        <f t="shared" si="3"/>
        <v/>
      </c>
      <c r="K21" s="110" t="str">
        <f t="shared" si="4"/>
        <v/>
      </c>
      <c r="N21" s="109" t="str">
        <f t="shared" si="0"/>
        <v>* isProgressionRelapseAfterFLT -&gt; ""</v>
      </c>
    </row>
    <row r="22" spans="1:14" x14ac:dyDescent="0.75">
      <c r="A22" s="111">
        <v>0</v>
      </c>
      <c r="B22" s="111">
        <f>'Flt-1'!A22</f>
        <v>0</v>
      </c>
      <c r="C22" s="111">
        <f>'Flt-1'!B22</f>
        <v>0</v>
      </c>
      <c r="D22" s="111"/>
      <c r="H22" s="109" t="b">
        <f t="shared" si="1"/>
        <v>0</v>
      </c>
      <c r="I22" s="110" t="str">
        <f t="shared" si="2"/>
        <v/>
      </c>
      <c r="J22" s="110" t="str">
        <f t="shared" si="3"/>
        <v/>
      </c>
      <c r="K22" s="110" t="str">
        <f t="shared" si="4"/>
        <v/>
      </c>
      <c r="N22" s="109" t="str">
        <f t="shared" si="0"/>
        <v>* 0 -&gt; ""</v>
      </c>
    </row>
    <row r="23" spans="1:14" x14ac:dyDescent="0.75">
      <c r="A23" s="111">
        <v>0</v>
      </c>
      <c r="B23" s="111">
        <f>'Flt-1'!A23</f>
        <v>0</v>
      </c>
      <c r="C23" s="111">
        <f>'Flt-1'!B23</f>
        <v>0</v>
      </c>
      <c r="D23" s="111"/>
      <c r="H23" s="109" t="b">
        <f t="shared" si="1"/>
        <v>0</v>
      </c>
      <c r="I23" s="110" t="str">
        <f t="shared" si="2"/>
        <v/>
      </c>
      <c r="J23" s="110" t="str">
        <f t="shared" si="3"/>
        <v/>
      </c>
      <c r="K23" s="110" t="str">
        <f t="shared" si="4"/>
        <v/>
      </c>
      <c r="N23" s="109" t="str">
        <f t="shared" si="0"/>
        <v>* 0 -&gt; ""</v>
      </c>
    </row>
    <row r="24" spans="1:14" x14ac:dyDescent="0.75">
      <c r="A24" s="111">
        <v>0</v>
      </c>
      <c r="B24" s="111">
        <f>'Flt-1'!A24</f>
        <v>0</v>
      </c>
      <c r="C24" s="111">
        <f>'Flt-1'!B24</f>
        <v>0</v>
      </c>
      <c r="D24" s="111"/>
      <c r="H24" s="109" t="b">
        <f t="shared" si="1"/>
        <v>0</v>
      </c>
      <c r="I24" s="110" t="str">
        <f t="shared" si="2"/>
        <v/>
      </c>
      <c r="J24" s="110" t="str">
        <f t="shared" si="3"/>
        <v/>
      </c>
      <c r="K24" s="110" t="str">
        <f t="shared" si="4"/>
        <v/>
      </c>
      <c r="N24" s="109" t="str">
        <f t="shared" si="0"/>
        <v>* 0 -&gt; ""</v>
      </c>
    </row>
    <row r="25" spans="1:14" x14ac:dyDescent="0.75">
      <c r="A25" s="111">
        <v>0</v>
      </c>
      <c r="B25" s="111">
        <f>'Flt-1'!A25</f>
        <v>0</v>
      </c>
      <c r="C25" s="111">
        <f>'Flt-1'!B25</f>
        <v>0</v>
      </c>
      <c r="D25" s="111"/>
      <c r="H25" s="109" t="b">
        <f t="shared" si="1"/>
        <v>0</v>
      </c>
      <c r="I25" s="110" t="str">
        <f t="shared" si="2"/>
        <v/>
      </c>
      <c r="J25" s="110" t="str">
        <f t="shared" si="3"/>
        <v/>
      </c>
      <c r="K25" s="110" t="str">
        <f t="shared" si="4"/>
        <v/>
      </c>
      <c r="N25" s="109" t="str">
        <f t="shared" si="0"/>
        <v>* 0 -&gt; ""</v>
      </c>
    </row>
    <row r="26" spans="1:14" x14ac:dyDescent="0.75">
      <c r="A26" s="111">
        <v>0</v>
      </c>
      <c r="B26" s="111">
        <f>'Flt-1'!A26</f>
        <v>0</v>
      </c>
      <c r="C26" s="111">
        <f>'Flt-1'!B26</f>
        <v>0</v>
      </c>
      <c r="D26" s="111"/>
      <c r="H26" s="109" t="b">
        <f t="shared" si="1"/>
        <v>0</v>
      </c>
      <c r="I26" s="110" t="str">
        <f t="shared" si="2"/>
        <v/>
      </c>
      <c r="J26" s="110" t="str">
        <f t="shared" si="3"/>
        <v/>
      </c>
      <c r="K26" s="110" t="str">
        <f t="shared" si="4"/>
        <v/>
      </c>
      <c r="N26" s="109" t="str">
        <f t="shared" si="0"/>
        <v>* 0 -&gt; ""</v>
      </c>
    </row>
    <row r="27" spans="1:14" x14ac:dyDescent="0.75">
      <c r="A27" s="111">
        <v>0</v>
      </c>
      <c r="B27" s="111">
        <f>'Flt-1'!A27</f>
        <v>0</v>
      </c>
      <c r="C27" s="111">
        <f>'Flt-1'!B27</f>
        <v>0</v>
      </c>
      <c r="D27" s="111"/>
      <c r="H27" s="109" t="b">
        <f t="shared" si="1"/>
        <v>0</v>
      </c>
      <c r="I27" s="110" t="str">
        <f t="shared" si="2"/>
        <v/>
      </c>
      <c r="J27" s="110" t="str">
        <f t="shared" si="3"/>
        <v/>
      </c>
      <c r="K27" s="110" t="str">
        <f t="shared" si="4"/>
        <v/>
      </c>
      <c r="N27" s="109" t="str">
        <f t="shared" si="0"/>
        <v>* 0 -&gt; ""</v>
      </c>
    </row>
    <row r="28" spans="1:14" x14ac:dyDescent="0.75">
      <c r="A28" s="111">
        <v>0</v>
      </c>
      <c r="B28" s="111">
        <f>'Flt-1'!A28</f>
        <v>0</v>
      </c>
      <c r="C28" s="111">
        <f>'Flt-1'!B28</f>
        <v>0</v>
      </c>
      <c r="D28" s="111"/>
      <c r="H28" s="109" t="b">
        <f t="shared" si="1"/>
        <v>0</v>
      </c>
      <c r="I28" s="110" t="str">
        <f t="shared" si="2"/>
        <v/>
      </c>
      <c r="J28" s="110" t="str">
        <f t="shared" si="3"/>
        <v/>
      </c>
      <c r="K28" s="110" t="str">
        <f t="shared" si="4"/>
        <v/>
      </c>
      <c r="N28" s="109" t="str">
        <f t="shared" si="0"/>
        <v>* 0 -&gt; ""</v>
      </c>
    </row>
    <row r="29" spans="1:14" x14ac:dyDescent="0.75">
      <c r="A29" s="111">
        <v>0</v>
      </c>
      <c r="B29" s="111">
        <f>'Flt-1'!A29</f>
        <v>0</v>
      </c>
      <c r="C29" s="111">
        <f>'Flt-1'!B29</f>
        <v>0</v>
      </c>
      <c r="D29" s="111"/>
      <c r="H29" s="109" t="b">
        <f t="shared" si="1"/>
        <v>0</v>
      </c>
      <c r="I29" s="110" t="str">
        <f t="shared" si="2"/>
        <v/>
      </c>
      <c r="J29" s="110" t="str">
        <f t="shared" si="3"/>
        <v/>
      </c>
      <c r="K29" s="110" t="str">
        <f t="shared" si="4"/>
        <v/>
      </c>
      <c r="N29" s="109" t="str">
        <f t="shared" si="0"/>
        <v>* 0 -&gt; ""</v>
      </c>
    </row>
    <row r="30" spans="1:14" x14ac:dyDescent="0.75">
      <c r="A30" s="111">
        <v>0</v>
      </c>
      <c r="B30" s="111">
        <f>'Flt-1'!A30</f>
        <v>0</v>
      </c>
      <c r="C30" s="111">
        <f>'Flt-1'!B30</f>
        <v>0</v>
      </c>
      <c r="D30" s="24"/>
      <c r="H30" s="109" t="b">
        <f t="shared" si="1"/>
        <v>0</v>
      </c>
      <c r="I30" s="110" t="str">
        <f t="shared" si="2"/>
        <v/>
      </c>
      <c r="J30" s="110" t="str">
        <f t="shared" si="3"/>
        <v/>
      </c>
      <c r="K30" s="110" t="str">
        <f t="shared" si="4"/>
        <v/>
      </c>
      <c r="N30" s="109" t="str">
        <f t="shared" si="0"/>
        <v>* 0 -&gt; ""</v>
      </c>
    </row>
    <row r="31" spans="1:14" x14ac:dyDescent="0.75">
      <c r="A31" s="111">
        <v>0</v>
      </c>
      <c r="B31" s="111">
        <f>'Flt-1'!A31</f>
        <v>0</v>
      </c>
      <c r="C31" s="111">
        <f>'Flt-1'!B31</f>
        <v>0</v>
      </c>
      <c r="D31" s="111"/>
      <c r="H31" s="109" t="b">
        <f t="shared" si="1"/>
        <v>0</v>
      </c>
      <c r="I31" s="110" t="str">
        <f t="shared" si="2"/>
        <v/>
      </c>
      <c r="J31" s="110" t="str">
        <f t="shared" si="3"/>
        <v/>
      </c>
      <c r="K31" s="110" t="str">
        <f t="shared" si="4"/>
        <v/>
      </c>
      <c r="N31" s="109" t="str">
        <f t="shared" si="0"/>
        <v>* 0 -&gt; ""</v>
      </c>
    </row>
    <row r="32" spans="1:14" x14ac:dyDescent="0.75">
      <c r="A32" s="111">
        <v>0</v>
      </c>
      <c r="B32" s="111">
        <f>'Flt-1'!A32</f>
        <v>0</v>
      </c>
      <c r="C32" s="111">
        <f>'Flt-1'!B32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"outcome"</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"outcome.coding"</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"outcome.text"</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"MedicationAdministration.conformsTo('http://hl7.eu/fhir/ig/pcsp/StructureDefinition/MedicationAdministration-eu-pcsp').exists()"</v>
      </c>
    </row>
    <row r="38" spans="4:4" x14ac:dyDescent="0.75">
      <c r="D38" s="111" t="str">
        <f>'Flt-Map-2'!D38</f>
        <v/>
      </c>
    </row>
    <row r="39" spans="4:4" x14ac:dyDescent="0.75">
      <c r="D39" s="111" t="str">
        <f>'Flt-Map-2'!D39</f>
        <v>* differential.element[11].mapping[0].identity = "fhir"</v>
      </c>
    </row>
    <row r="40" spans="4:4" x14ac:dyDescent="0.75">
      <c r="D40" s="111" t="str">
        <f>'Flt-Map-2'!D40</f>
        <v>* differential.element[11].mapping[0].map = "Procedure.conformsTo('http://hl7.eu/fhir/ig/pcsp/StructureDefinition/Procedure-sct-eu-pcsp').exists()"</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"Procedure.conformsTo('http://hl7.eu/fhir/ig/pcsp/StructureDefinition/Procedure-radiotheraphy-eu-pcsp').exists()"</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"Procedure.conformsTo('http://hl7.eu/fhir/ig/pcsp/StructureDefinition/Procedure-surgery-eu-pcsp').exists()"</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"TBD"</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"TBD"</v>
      </c>
    </row>
    <row r="53" spans="4:4" x14ac:dyDescent="0.75">
      <c r="D53" s="111" t="str">
        <f>'Flt-Map-2'!D53</f>
        <v/>
      </c>
    </row>
    <row r="54" spans="4:4" x14ac:dyDescent="0.75">
      <c r="D54" s="111">
        <f>'Flt-Map-2'!D54</f>
        <v>0</v>
      </c>
    </row>
    <row r="55" spans="4:4" x14ac:dyDescent="0.75">
      <c r="D55" s="111">
        <f>'Flt-Map-2'!D55</f>
        <v>0</v>
      </c>
    </row>
    <row r="56" spans="4:4" x14ac:dyDescent="0.75">
      <c r="D56" s="111">
        <f>'Flt-Map-2'!D56</f>
        <v>0</v>
      </c>
    </row>
    <row r="57" spans="4:4" x14ac:dyDescent="0.75">
      <c r="D57" s="111">
        <f>'Flt-Map-2'!D57</f>
        <v>0</v>
      </c>
    </row>
    <row r="58" spans="4:4" x14ac:dyDescent="0.75">
      <c r="D58" s="111">
        <f>'Flt-Map-2'!D58</f>
        <v>0</v>
      </c>
    </row>
    <row r="59" spans="4:4" x14ac:dyDescent="0.75">
      <c r="D59" s="111">
        <f>'Flt-Map-2'!D59</f>
        <v>0</v>
      </c>
    </row>
    <row r="60" spans="4:4" x14ac:dyDescent="0.75">
      <c r="D60" s="111">
        <f>'Flt-Map-2'!D60</f>
        <v>0</v>
      </c>
    </row>
    <row r="61" spans="4:4" x14ac:dyDescent="0.75">
      <c r="D61" s="111">
        <f>'Flt-Map-2'!D61</f>
        <v>0</v>
      </c>
    </row>
    <row r="62" spans="4:4" x14ac:dyDescent="0.75">
      <c r="D62" s="111">
        <f>'Flt-Map-2'!D62</f>
        <v>0</v>
      </c>
    </row>
    <row r="63" spans="4:4" x14ac:dyDescent="0.75">
      <c r="D63" s="111">
        <f>'Flt-Map-2'!D63</f>
        <v>0</v>
      </c>
    </row>
    <row r="64" spans="4:4" x14ac:dyDescent="0.75">
      <c r="D64" s="111">
        <f>'Flt-Map-2'!D64</f>
        <v>0</v>
      </c>
    </row>
    <row r="65" spans="4:4" x14ac:dyDescent="0.75">
      <c r="D65" s="111">
        <f>'Flt-Map-2'!D65</f>
        <v>0</v>
      </c>
    </row>
    <row r="66" spans="4:4" x14ac:dyDescent="0.75">
      <c r="D66" s="111">
        <f>'Flt-Map-2'!D66</f>
        <v>0</v>
      </c>
    </row>
    <row r="67" spans="4:4" x14ac:dyDescent="0.75">
      <c r="D67" s="111">
        <f>'Flt-Map-2'!D67</f>
        <v>0</v>
      </c>
    </row>
    <row r="68" spans="4:4" x14ac:dyDescent="0.75">
      <c r="D68" s="111">
        <f>'Flt-Map-2'!D68</f>
        <v>0</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t="str">
        <f>'Flt-Map2-2'!D5</f>
        <v/>
      </c>
    </row>
    <row r="113" spans="4:4" x14ac:dyDescent="0.75">
      <c r="D113" s="111" t="str">
        <f>'Flt-Map2-2'!D6</f>
        <v/>
      </c>
    </row>
    <row r="114" spans="4:4" x14ac:dyDescent="0.75">
      <c r="D114" s="111" t="str">
        <f>'Flt-Map2-2'!D7</f>
        <v/>
      </c>
    </row>
    <row r="115" spans="4:4" x14ac:dyDescent="0.75">
      <c r="D115" s="111" t="str">
        <f>'Flt-Map2-2'!D8</f>
        <v/>
      </c>
    </row>
    <row r="116" spans="4:4" x14ac:dyDescent="0.75">
      <c r="D116" s="111" t="str">
        <f>'Flt-Map2-2'!D9</f>
        <v/>
      </c>
    </row>
    <row r="117" spans="4:4" x14ac:dyDescent="0.75">
      <c r="D117" s="111" t="str">
        <f>'Flt-Map2-2'!D10</f>
        <v/>
      </c>
    </row>
    <row r="118" spans="4:4" x14ac:dyDescent="0.75">
      <c r="D118" s="111" t="str">
        <f>'Flt-Map2-2'!D11</f>
        <v/>
      </c>
    </row>
    <row r="119" spans="4:4" x14ac:dyDescent="0.75">
      <c r="D119" s="111" t="str">
        <f>'Flt-Map2-2'!D12</f>
        <v/>
      </c>
    </row>
    <row r="120" spans="4:4" x14ac:dyDescent="0.75">
      <c r="D120" s="111" t="str">
        <f>'Flt-Map2-2'!D13</f>
        <v/>
      </c>
    </row>
    <row r="121" spans="4:4" x14ac:dyDescent="0.75">
      <c r="D121" s="111" t="str">
        <f>'Flt-Map2-2'!D14</f>
        <v/>
      </c>
    </row>
    <row r="122" spans="4:4" x14ac:dyDescent="0.75">
      <c r="D122" s="111" t="str">
        <f>'Flt-Map2-2'!D15</f>
        <v/>
      </c>
    </row>
    <row r="123" spans="4:4" x14ac:dyDescent="0.75">
      <c r="D123" s="111" t="str">
        <f>'Flt-Map2-2'!D16</f>
        <v/>
      </c>
    </row>
    <row r="124" spans="4:4" x14ac:dyDescent="0.75">
      <c r="D124" s="111" t="str">
        <f>'Flt-Map2-2'!D17</f>
        <v/>
      </c>
    </row>
    <row r="125" spans="4:4" x14ac:dyDescent="0.75">
      <c r="D125" s="111" t="str">
        <f>'Flt-Map2-2'!D18</f>
        <v/>
      </c>
    </row>
    <row r="126" spans="4:4" x14ac:dyDescent="0.75">
      <c r="D126" s="111" t="str">
        <f>'Flt-Map2-2'!D19</f>
        <v/>
      </c>
    </row>
    <row r="127" spans="4:4" x14ac:dyDescent="0.75">
      <c r="D127" s="111" t="str">
        <f>'Flt-Map2-2'!D20</f>
        <v/>
      </c>
    </row>
    <row r="128" spans="4:4" x14ac:dyDescent="0.75">
      <c r="D128" s="111" t="str">
        <f>'Flt-Map2-2'!D21</f>
        <v/>
      </c>
    </row>
    <row r="129" spans="4:4" x14ac:dyDescent="0.75">
      <c r="D129" s="111" t="str">
        <f>'Flt-Map2-2'!D22</f>
        <v/>
      </c>
    </row>
    <row r="130" spans="4:4" x14ac:dyDescent="0.75">
      <c r="D130" s="111" t="str">
        <f>'Flt-Map2-2'!D23</f>
        <v/>
      </c>
    </row>
    <row r="131" spans="4:4" x14ac:dyDescent="0.75">
      <c r="D131" s="111" t="str">
        <f>'Flt-Map2-2'!D24</f>
        <v/>
      </c>
    </row>
    <row r="132" spans="4:4" x14ac:dyDescent="0.75">
      <c r="D132" s="111" t="str">
        <f>'Flt-Map2-2'!D25</f>
        <v/>
      </c>
    </row>
    <row r="133" spans="4:4" x14ac:dyDescent="0.75">
      <c r="D133" s="111" t="str">
        <f>'Flt-Map2-2'!D26</f>
        <v/>
      </c>
    </row>
    <row r="134" spans="4:4" x14ac:dyDescent="0.75">
      <c r="D134" s="111" t="str">
        <f>'Flt-Map2-2'!D27</f>
        <v/>
      </c>
    </row>
    <row r="135" spans="4:4" x14ac:dyDescent="0.75">
      <c r="D135" s="111" t="str">
        <f>'Flt-Map2-2'!D28</f>
        <v/>
      </c>
    </row>
    <row r="136" spans="4:4" x14ac:dyDescent="0.75">
      <c r="D136" s="111" t="str">
        <f>'Flt-Map2-2'!D29</f>
        <v/>
      </c>
    </row>
    <row r="137" spans="4:4" x14ac:dyDescent="0.75">
      <c r="D137" s="111" t="str">
        <f>'Flt-Map2-2'!D30</f>
        <v/>
      </c>
    </row>
    <row r="138" spans="4:4" x14ac:dyDescent="0.75">
      <c r="D138" s="111" t="str">
        <f>'Flt-Map2-2'!D31</f>
        <v/>
      </c>
    </row>
    <row r="139" spans="4:4" x14ac:dyDescent="0.75">
      <c r="D139" s="111" t="str">
        <f>'Flt-Map2-2'!D32</f>
        <v/>
      </c>
    </row>
    <row r="140" spans="4:4" x14ac:dyDescent="0.75">
      <c r="D140" s="111" t="str">
        <f>'Flt-Map2-2'!D33</f>
        <v/>
      </c>
    </row>
    <row r="141" spans="4:4" x14ac:dyDescent="0.75">
      <c r="D141" s="111" t="str">
        <f>'Flt-Map2-2'!D34</f>
        <v/>
      </c>
    </row>
    <row r="142" spans="4:4" x14ac:dyDescent="0.75">
      <c r="D142" s="111" t="str">
        <f>'Flt-Map2-2'!D35</f>
        <v/>
      </c>
    </row>
    <row r="143" spans="4:4" x14ac:dyDescent="0.75">
      <c r="D143" s="111" t="str">
        <f>'Flt-Map2-2'!D36</f>
        <v/>
      </c>
    </row>
    <row r="144" spans="4:4" x14ac:dyDescent="0.75">
      <c r="D144" s="111" t="str">
        <f>'Flt-Map2-2'!D37</f>
        <v/>
      </c>
    </row>
    <row r="145" spans="4:4" x14ac:dyDescent="0.75">
      <c r="D145" s="111" t="str">
        <f>'Flt-Map2-2'!D38</f>
        <v/>
      </c>
    </row>
    <row r="146" spans="4:4" x14ac:dyDescent="0.75">
      <c r="D146" s="111" t="str">
        <f>'Flt-Map2-2'!D39</f>
        <v/>
      </c>
    </row>
    <row r="147" spans="4:4" x14ac:dyDescent="0.75">
      <c r="D147" s="111" t="str">
        <f>'Flt-Map2-2'!D40</f>
        <v/>
      </c>
    </row>
    <row r="148" spans="4:4" x14ac:dyDescent="0.75">
      <c r="D148" s="111" t="str">
        <f>'Flt-Map2-2'!D41</f>
        <v/>
      </c>
    </row>
    <row r="149" spans="4:4" x14ac:dyDescent="0.75">
      <c r="D149" s="111" t="str">
        <f>'Flt-Map2-2'!D42</f>
        <v/>
      </c>
    </row>
    <row r="150" spans="4:4" x14ac:dyDescent="0.75">
      <c r="D150" s="111" t="str">
        <f>'Flt-Map2-2'!D43</f>
        <v/>
      </c>
    </row>
    <row r="151" spans="4:4" x14ac:dyDescent="0.75">
      <c r="D151" s="111" t="str">
        <f>'Flt-Map2-2'!D44</f>
        <v/>
      </c>
    </row>
    <row r="152" spans="4:4" x14ac:dyDescent="0.75">
      <c r="D152" s="111" t="str">
        <f>'Flt-Map2-2'!D45</f>
        <v/>
      </c>
    </row>
    <row r="153" spans="4:4" x14ac:dyDescent="0.75">
      <c r="D153" s="111" t="str">
        <f>'Flt-Map2-2'!D46</f>
        <v/>
      </c>
    </row>
    <row r="154" spans="4:4" x14ac:dyDescent="0.75">
      <c r="D154" s="111" t="str">
        <f>'Flt-Map2-2'!D47</f>
        <v/>
      </c>
    </row>
    <row r="155" spans="4:4" x14ac:dyDescent="0.75">
      <c r="D155" s="111" t="str">
        <f>'Flt-Map2-2'!D48</f>
        <v/>
      </c>
    </row>
    <row r="156" spans="4:4" x14ac:dyDescent="0.75">
      <c r="D156" s="111" t="str">
        <f>'Flt-Map2-2'!D49</f>
        <v/>
      </c>
    </row>
    <row r="157" spans="4:4" x14ac:dyDescent="0.75">
      <c r="D157" s="111" t="str">
        <f>'Flt-Map2-2'!D50</f>
        <v/>
      </c>
    </row>
    <row r="158" spans="4:4" x14ac:dyDescent="0.75">
      <c r="D158" s="111" t="str">
        <f>'Flt-Map2-2'!D51</f>
        <v/>
      </c>
    </row>
    <row r="159" spans="4:4" x14ac:dyDescent="0.75">
      <c r="D159" s="111" t="str">
        <f>'Flt-Map2-2'!D52</f>
        <v/>
      </c>
    </row>
    <row r="160" spans="4:4" x14ac:dyDescent="0.75">
      <c r="D160" s="111" t="str">
        <f>'Flt-Map2-2'!D53</f>
        <v/>
      </c>
    </row>
    <row r="161" spans="4:4" x14ac:dyDescent="0.75">
      <c r="D161" s="111" t="str">
        <f>'Flt-Map2-2'!D54</f>
        <v/>
      </c>
    </row>
    <row r="162" spans="4:4" x14ac:dyDescent="0.75">
      <c r="D162" s="111" t="str">
        <f>'Flt-Map2-2'!D55</f>
        <v/>
      </c>
    </row>
    <row r="163" spans="4:4" x14ac:dyDescent="0.75">
      <c r="D163" s="111" t="str">
        <f>'Flt-Map2-2'!D56</f>
        <v/>
      </c>
    </row>
    <row r="164" spans="4:4" x14ac:dyDescent="0.75">
      <c r="D164" s="111" t="str">
        <f>'Flt-Map2-2'!D57</f>
        <v/>
      </c>
    </row>
    <row r="165" spans="4:4" x14ac:dyDescent="0.75">
      <c r="D165" s="111" t="str">
        <f>'Flt-Map2-2'!D58</f>
        <v/>
      </c>
    </row>
    <row r="166" spans="4:4" x14ac:dyDescent="0.75">
      <c r="D166" s="111" t="str">
        <f>'Flt-Map2-2'!D59</f>
        <v/>
      </c>
    </row>
    <row r="167" spans="4:4" x14ac:dyDescent="0.75">
      <c r="D167" s="111" t="str">
        <f>'Flt-Map2-2'!D60</f>
        <v/>
      </c>
    </row>
    <row r="168" spans="4:4" x14ac:dyDescent="0.75">
      <c r="D168" s="111" t="str">
        <f>'Flt-Map2-2'!D61</f>
        <v/>
      </c>
    </row>
    <row r="169" spans="4:4" x14ac:dyDescent="0.75">
      <c r="D169" s="111" t="str">
        <f>'Flt-Map2-2'!D62</f>
        <v/>
      </c>
    </row>
    <row r="170" spans="4:4" x14ac:dyDescent="0.75">
      <c r="D170" s="111" t="str">
        <f>'Flt-Map2-2'!D63</f>
        <v/>
      </c>
    </row>
    <row r="171" spans="4:4" x14ac:dyDescent="0.75">
      <c r="D171" s="111" t="str">
        <f>'Flt-Map2-2'!D64</f>
        <v/>
      </c>
    </row>
    <row r="172" spans="4:4" x14ac:dyDescent="0.75">
      <c r="D172" s="111" t="str">
        <f>'Flt-Map2-2'!D65</f>
        <v/>
      </c>
    </row>
    <row r="173" spans="4:4" x14ac:dyDescent="0.75">
      <c r="D173" s="111" t="str">
        <f>'Flt-Map2-2'!D66</f>
        <v/>
      </c>
    </row>
    <row r="174" spans="4:4" x14ac:dyDescent="0.75">
      <c r="D174" s="111" t="str">
        <f>'Flt-Map2-2'!D67</f>
        <v/>
      </c>
    </row>
    <row r="175" spans="4:4" x14ac:dyDescent="0.75">
      <c r="D175" s="111" t="str">
        <f>'Flt-Map2-2'!D68</f>
        <v/>
      </c>
    </row>
    <row r="176" spans="4:4" x14ac:dyDescent="0.75">
      <c r="D176" s="111" t="str">
        <f>'Flt-Map2-2'!D69</f>
        <v/>
      </c>
    </row>
    <row r="177" spans="4:4" x14ac:dyDescent="0.75">
      <c r="D177" s="111" t="str">
        <f>'Flt-Map2-2'!D70</f>
        <v/>
      </c>
    </row>
    <row r="178" spans="4:4" x14ac:dyDescent="0.75">
      <c r="D178" s="111" t="str">
        <f>'Flt-Map2-2'!D71</f>
        <v/>
      </c>
    </row>
    <row r="179" spans="4:4" x14ac:dyDescent="0.75">
      <c r="D179" s="111" t="str">
        <f>'Flt-Map2-2'!D72</f>
        <v/>
      </c>
    </row>
    <row r="180" spans="4:4" x14ac:dyDescent="0.75">
      <c r="D180" s="111" t="str">
        <f>'Flt-Map2-2'!D73</f>
        <v/>
      </c>
    </row>
    <row r="181" spans="4:4" x14ac:dyDescent="0.75">
      <c r="D181" s="111" t="str">
        <f>'Flt-Map2-2'!D74</f>
        <v/>
      </c>
    </row>
    <row r="182" spans="4:4" x14ac:dyDescent="0.75">
      <c r="D182" s="111" t="str">
        <f>'Flt-Map2-2'!D75</f>
        <v/>
      </c>
    </row>
    <row r="183" spans="4:4" x14ac:dyDescent="0.75">
      <c r="D183" s="111" t="str">
        <f>'Flt-Map2-2'!D76</f>
        <v/>
      </c>
    </row>
    <row r="184" spans="4:4" x14ac:dyDescent="0.75">
      <c r="D184" s="111" t="str">
        <f>'Flt-Map2-2'!D77</f>
        <v/>
      </c>
    </row>
    <row r="185" spans="4:4" x14ac:dyDescent="0.75">
      <c r="D185" s="111" t="str">
        <f>'Flt-Map2-2'!D78</f>
        <v/>
      </c>
    </row>
    <row r="186" spans="4:4" x14ac:dyDescent="0.75">
      <c r="D186" s="111" t="str">
        <f>'Flt-Map2-2'!D79</f>
        <v/>
      </c>
    </row>
    <row r="187" spans="4:4" x14ac:dyDescent="0.75">
      <c r="D187" s="111" t="str">
        <f>'Flt-Map2-2'!D80</f>
        <v/>
      </c>
    </row>
    <row r="188" spans="4:4" x14ac:dyDescent="0.75">
      <c r="D188" s="111" t="str">
        <f>'Flt-Map2-2'!D81</f>
        <v/>
      </c>
    </row>
    <row r="189" spans="4:4" x14ac:dyDescent="0.75">
      <c r="D189" s="111" t="str">
        <f>'Flt-Map2-2'!D82</f>
        <v/>
      </c>
    </row>
    <row r="190" spans="4:4" x14ac:dyDescent="0.75">
      <c r="D190" s="111" t="str">
        <f>'Flt-Map2-2'!D83</f>
        <v/>
      </c>
    </row>
    <row r="191" spans="4:4" x14ac:dyDescent="0.75">
      <c r="D191" s="111" t="str">
        <f>'Flt-Map2-2'!D84</f>
        <v/>
      </c>
    </row>
    <row r="192" spans="4:4" x14ac:dyDescent="0.75">
      <c r="D192" s="111" t="str">
        <f>'Flt-Map2-2'!D85</f>
        <v/>
      </c>
    </row>
    <row r="193" spans="4:4" x14ac:dyDescent="0.75">
      <c r="D193" s="111" t="str">
        <f>'Flt-Map2-2'!D86</f>
        <v/>
      </c>
    </row>
    <row r="194" spans="4:4" x14ac:dyDescent="0.75">
      <c r="D194" s="111" t="str">
        <f>'Flt-Map2-2'!D87</f>
        <v/>
      </c>
    </row>
    <row r="195" spans="4:4" x14ac:dyDescent="0.75">
      <c r="D195" s="111" t="str">
        <f>'Flt-Map2-2'!D88</f>
        <v/>
      </c>
    </row>
    <row r="196" spans="4:4" x14ac:dyDescent="0.75">
      <c r="D196" s="111" t="str">
        <f>'Flt-Map2-2'!D89</f>
        <v/>
      </c>
    </row>
    <row r="197" spans="4:4" x14ac:dyDescent="0.75">
      <c r="D197" s="111" t="str">
        <f>'Flt-Map2-2'!D90</f>
        <v/>
      </c>
    </row>
    <row r="198" spans="4:4" x14ac:dyDescent="0.75">
      <c r="D198" s="111" t="str">
        <f>'Flt-Map2-2'!D91</f>
        <v/>
      </c>
    </row>
    <row r="199" spans="4:4" x14ac:dyDescent="0.75">
      <c r="D199" s="111" t="str">
        <f>'Flt-Map2-2'!D92</f>
        <v/>
      </c>
    </row>
    <row r="200" spans="4:4" x14ac:dyDescent="0.75">
      <c r="D200" s="111" t="str">
        <f>'Flt-Map2-2'!D93</f>
        <v/>
      </c>
    </row>
    <row r="201" spans="4:4" x14ac:dyDescent="0.75">
      <c r="D201" s="111" t="str">
        <f>'Flt-Map2-2'!D94</f>
        <v/>
      </c>
    </row>
    <row r="202" spans="4:4" x14ac:dyDescent="0.75">
      <c r="D202" s="111" t="str">
        <f>'Flt-Map2-2'!D95</f>
        <v/>
      </c>
    </row>
    <row r="203" spans="4:4" x14ac:dyDescent="0.75">
      <c r="D203" s="111" t="str">
        <f>'Flt-Map2-2'!D96</f>
        <v/>
      </c>
    </row>
    <row r="204" spans="4:4" x14ac:dyDescent="0.75">
      <c r="D204" s="111" t="str">
        <f>'Flt-Map2-2'!D97</f>
        <v/>
      </c>
    </row>
    <row r="205" spans="4:4" x14ac:dyDescent="0.75">
      <c r="D205" s="111" t="str">
        <f>'Flt-Map2-2'!D98</f>
        <v/>
      </c>
    </row>
    <row r="206" spans="4:4" x14ac:dyDescent="0.75">
      <c r="D206" s="111" t="str">
        <f>'Flt-Map2-2'!D99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topLeftCell="B1" zoomScaleNormal="100" workbookViewId="0">
      <selection activeCell="D8" sqref="D8"/>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1090</v>
      </c>
    </row>
    <row r="3" spans="1:9" x14ac:dyDescent="0.75">
      <c r="B3" s="118" t="s">
        <v>34</v>
      </c>
      <c r="C3" s="123" t="s">
        <v>36</v>
      </c>
      <c r="D3" s="56"/>
    </row>
    <row r="4" spans="1:9" ht="15.5" thickBot="1" x14ac:dyDescent="0.9">
      <c r="B4" s="119" t="s">
        <v>52</v>
      </c>
      <c r="C4" s="124" t="s">
        <v>1079</v>
      </c>
      <c r="D4" s="57"/>
    </row>
    <row r="5" spans="1:9" x14ac:dyDescent="0.75">
      <c r="C5" s="3" t="s">
        <v>7</v>
      </c>
      <c r="D5" s="4" t="s">
        <v>8</v>
      </c>
      <c r="E5" s="11" t="s">
        <v>17</v>
      </c>
      <c r="F5" s="11" t="s">
        <v>18</v>
      </c>
      <c r="G5" s="11" t="s">
        <v>19</v>
      </c>
      <c r="H5" s="170" t="s">
        <v>889</v>
      </c>
      <c r="I5" s="170"/>
    </row>
    <row r="6" spans="1:9" ht="15.5" thickBot="1" x14ac:dyDescent="0.9">
      <c r="A6" s="109">
        <v>0</v>
      </c>
      <c r="B6" s="124" t="s">
        <v>1079</v>
      </c>
      <c r="C6" s="16" t="s">
        <v>66</v>
      </c>
      <c r="D6" s="16" t="s">
        <v>66</v>
      </c>
      <c r="E6" s="34">
        <v>1</v>
      </c>
      <c r="F6" s="34">
        <v>1</v>
      </c>
      <c r="G6" s="34"/>
    </row>
    <row r="7" spans="1:9" x14ac:dyDescent="0.75">
      <c r="A7" s="109">
        <v>1</v>
      </c>
      <c r="B7" s="111" t="s">
        <v>35</v>
      </c>
      <c r="C7" s="112" t="s">
        <v>1091</v>
      </c>
      <c r="D7" s="112" t="s">
        <v>1091</v>
      </c>
      <c r="E7" s="111">
        <v>0</v>
      </c>
      <c r="F7" s="111">
        <v>1</v>
      </c>
      <c r="G7" s="111" t="s">
        <v>0</v>
      </c>
      <c r="H7" s="111"/>
      <c r="I7" s="111"/>
    </row>
    <row r="8" spans="1:9" x14ac:dyDescent="0.75">
      <c r="A8" s="109">
        <v>2</v>
      </c>
      <c r="B8" s="111" t="s">
        <v>897</v>
      </c>
      <c r="C8" s="112" t="s">
        <v>1080</v>
      </c>
      <c r="D8" s="112" t="s">
        <v>1080</v>
      </c>
      <c r="E8" s="111">
        <v>0</v>
      </c>
      <c r="F8" s="111">
        <v>1</v>
      </c>
      <c r="G8" s="111" t="s">
        <v>0</v>
      </c>
      <c r="H8" s="111"/>
      <c r="I8" s="111"/>
    </row>
    <row r="9" spans="1:9" ht="29.5" x14ac:dyDescent="0.75">
      <c r="A9" s="109">
        <v>4</v>
      </c>
      <c r="B9" s="154" t="s">
        <v>4</v>
      </c>
      <c r="C9" s="155" t="s">
        <v>713</v>
      </c>
      <c r="D9" s="112" t="s">
        <v>715</v>
      </c>
      <c r="E9" s="111">
        <v>0</v>
      </c>
      <c r="F9" s="111">
        <v>1</v>
      </c>
      <c r="G9" s="111" t="s">
        <v>2</v>
      </c>
      <c r="H9" s="111"/>
      <c r="I9" s="111"/>
    </row>
    <row r="10" spans="1:9" ht="59" x14ac:dyDescent="0.75">
      <c r="A10" s="109">
        <v>3</v>
      </c>
      <c r="B10" s="111" t="s">
        <v>47</v>
      </c>
      <c r="C10" s="112" t="s">
        <v>1083</v>
      </c>
      <c r="D10" s="112" t="s">
        <v>1076</v>
      </c>
      <c r="E10" s="111">
        <v>0</v>
      </c>
      <c r="F10" s="111">
        <v>1</v>
      </c>
      <c r="G10" s="111" t="s">
        <v>1</v>
      </c>
      <c r="H10" s="111"/>
      <c r="I10" s="111"/>
    </row>
    <row r="11" spans="1:9" x14ac:dyDescent="0.75">
      <c r="A11" s="109">
        <v>5</v>
      </c>
      <c r="B11" s="112" t="s">
        <v>1082</v>
      </c>
      <c r="C11" s="112" t="s">
        <v>1081</v>
      </c>
      <c r="D11" s="112" t="s">
        <v>1078</v>
      </c>
      <c r="E11" s="111">
        <v>0</v>
      </c>
      <c r="F11" s="111">
        <v>1</v>
      </c>
      <c r="G11" s="111" t="s">
        <v>1</v>
      </c>
      <c r="H11" s="111"/>
      <c r="I11" s="111"/>
    </row>
    <row r="12" spans="1:9" x14ac:dyDescent="0.75">
      <c r="A12" s="109">
        <v>6</v>
      </c>
      <c r="B12" s="112" t="s">
        <v>1084</v>
      </c>
      <c r="C12" s="112" t="s">
        <v>721</v>
      </c>
      <c r="D12" s="112" t="s">
        <v>1077</v>
      </c>
      <c r="E12" s="111">
        <v>0</v>
      </c>
      <c r="F12" s="111">
        <v>1</v>
      </c>
      <c r="G12" s="111" t="s">
        <v>3</v>
      </c>
      <c r="H12" s="111"/>
      <c r="I12" s="111"/>
    </row>
    <row r="13" spans="1:9" x14ac:dyDescent="0.75">
      <c r="A13" s="109">
        <v>7</v>
      </c>
      <c r="B13" s="112"/>
      <c r="C13" s="112"/>
      <c r="D13" s="112"/>
      <c r="E13" s="111"/>
      <c r="F13" s="111"/>
      <c r="G13" s="111"/>
      <c r="H13" s="111"/>
      <c r="I13" s="111"/>
    </row>
    <row r="14" spans="1:9" x14ac:dyDescent="0.75">
      <c r="A14" s="109">
        <v>8</v>
      </c>
      <c r="B14" s="112"/>
      <c r="C14" s="112"/>
      <c r="D14" s="112"/>
      <c r="E14" s="111"/>
      <c r="F14" s="111"/>
      <c r="G14" s="111"/>
      <c r="H14" s="111"/>
      <c r="I14" s="111"/>
    </row>
    <row r="15" spans="1:9" x14ac:dyDescent="0.75">
      <c r="A15" s="109">
        <v>9</v>
      </c>
      <c r="B15" s="112"/>
      <c r="C15" s="112"/>
      <c r="D15" s="112"/>
      <c r="E15" s="111"/>
      <c r="F15" s="111"/>
      <c r="G15" s="111"/>
      <c r="H15" s="111"/>
      <c r="I15" s="111"/>
    </row>
    <row r="16" spans="1:9" ht="51.5" customHeight="1" x14ac:dyDescent="0.75">
      <c r="A16" s="109">
        <v>10</v>
      </c>
      <c r="B16" s="112"/>
      <c r="C16" s="112"/>
      <c r="D16" s="112"/>
      <c r="E16" s="111"/>
      <c r="F16" s="111"/>
      <c r="G16" s="111"/>
      <c r="H16" s="111"/>
      <c r="I16" s="111"/>
    </row>
    <row r="17" spans="1:9" x14ac:dyDescent="0.75">
      <c r="A17" s="109">
        <v>11</v>
      </c>
      <c r="B17" s="112"/>
      <c r="C17" s="112"/>
      <c r="D17" s="112"/>
      <c r="E17" s="111"/>
      <c r="F17" s="111"/>
      <c r="G17" s="111"/>
      <c r="H17" s="111"/>
      <c r="I17" s="111"/>
    </row>
    <row r="18" spans="1:9" x14ac:dyDescent="0.75">
      <c r="A18" s="109">
        <v>12</v>
      </c>
      <c r="B18" s="112"/>
      <c r="C18" s="112"/>
      <c r="D18" s="112"/>
      <c r="E18" s="111"/>
      <c r="F18" s="111"/>
      <c r="G18" s="111"/>
      <c r="H18" s="111"/>
      <c r="I18" s="111"/>
    </row>
    <row r="19" spans="1:9" x14ac:dyDescent="0.75">
      <c r="A19" s="109">
        <v>13</v>
      </c>
      <c r="B19" s="112"/>
      <c r="C19" s="112"/>
      <c r="D19" s="112"/>
      <c r="E19" s="111"/>
      <c r="F19" s="111"/>
      <c r="G19" s="111"/>
      <c r="H19" s="111"/>
      <c r="I19" s="111"/>
    </row>
    <row r="20" spans="1:9" x14ac:dyDescent="0.75">
      <c r="A20" s="109">
        <v>14</v>
      </c>
      <c r="B20" s="112"/>
      <c r="C20" s="112"/>
      <c r="D20" s="112"/>
      <c r="E20" s="111"/>
      <c r="F20" s="111"/>
      <c r="G20" s="111"/>
      <c r="H20" s="111"/>
      <c r="I20" s="111"/>
    </row>
    <row r="21" spans="1:9" x14ac:dyDescent="0.75">
      <c r="A21" s="109">
        <v>15</v>
      </c>
      <c r="B21" s="112"/>
      <c r="C21" s="112"/>
      <c r="D21" s="112"/>
      <c r="E21" s="111"/>
      <c r="F21" s="111"/>
      <c r="G21" s="111"/>
      <c r="H21" s="111"/>
      <c r="I21" s="111"/>
    </row>
    <row r="22" spans="1:9" x14ac:dyDescent="0.75">
      <c r="A22" s="109">
        <v>16</v>
      </c>
      <c r="B22" s="112"/>
      <c r="C22" s="112"/>
      <c r="D22" s="112"/>
      <c r="E22" s="111"/>
      <c r="F22" s="111"/>
      <c r="G22" s="111"/>
      <c r="H22" s="111"/>
      <c r="I22" s="111"/>
    </row>
    <row r="23" spans="1:9" x14ac:dyDescent="0.75">
      <c r="A23" s="109">
        <v>17</v>
      </c>
      <c r="B23" s="112"/>
      <c r="C23" s="112"/>
      <c r="D23" s="112"/>
      <c r="E23" s="111"/>
      <c r="F23" s="111"/>
      <c r="G23" s="111"/>
      <c r="H23" s="111"/>
      <c r="I23" s="111"/>
    </row>
    <row r="24" spans="1:9" x14ac:dyDescent="0.75">
      <c r="A24" s="109">
        <v>18</v>
      </c>
      <c r="B24" s="112"/>
      <c r="C24" s="112"/>
      <c r="D24" s="112"/>
      <c r="E24" s="111"/>
      <c r="F24" s="111"/>
      <c r="G24" s="111"/>
      <c r="H24" s="111"/>
      <c r="I24" s="111"/>
    </row>
    <row r="25" spans="1:9" x14ac:dyDescent="0.75">
      <c r="A25" s="109">
        <v>19</v>
      </c>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2"/>
      <c r="E33" s="111"/>
      <c r="F33" s="111"/>
      <c r="G33" s="111"/>
      <c r="H33" s="111"/>
      <c r="I33" s="111"/>
    </row>
    <row r="34" spans="2:9" x14ac:dyDescent="0.75">
      <c r="B34" s="112"/>
      <c r="C34" s="112"/>
      <c r="D34" s="111"/>
      <c r="E34" s="111"/>
      <c r="F34" s="111"/>
      <c r="G34" s="111"/>
      <c r="H34" s="111"/>
      <c r="I34" s="111"/>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67"/>
      <c r="E38" s="67"/>
      <c r="F38" s="70"/>
      <c r="G38" s="67"/>
    </row>
    <row r="39" spans="2:9" ht="18.5" x14ac:dyDescent="0.75">
      <c r="B39" s="67"/>
      <c r="C39" s="112"/>
      <c r="D39" s="95"/>
      <c r="E39" s="67"/>
      <c r="F39" s="70"/>
      <c r="G39" s="95"/>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67"/>
      <c r="G42" s="67"/>
    </row>
    <row r="43" spans="2:9" ht="18.5" x14ac:dyDescent="0.75">
      <c r="B43" s="67"/>
      <c r="C43" s="112"/>
      <c r="D43" s="67"/>
      <c r="E43" s="67"/>
      <c r="F43" s="70"/>
      <c r="G43" s="67"/>
    </row>
    <row r="44" spans="2:9" ht="18.5" x14ac:dyDescent="0.75">
      <c r="B44" s="67"/>
      <c r="C44" s="112"/>
      <c r="D44" s="67"/>
      <c r="E44" s="67"/>
      <c r="F44" s="67"/>
      <c r="G44" s="67"/>
    </row>
    <row r="45" spans="2:9" ht="18.5" x14ac:dyDescent="0.75">
      <c r="B45" s="67"/>
      <c r="C45" s="112"/>
      <c r="D45" s="67"/>
      <c r="E45" s="67"/>
      <c r="F45" s="70"/>
      <c r="G45" s="67"/>
    </row>
    <row r="46" spans="2:9" ht="18.5" x14ac:dyDescent="0.75">
      <c r="B46" s="67"/>
      <c r="C46" s="112"/>
      <c r="D46" s="67"/>
      <c r="E46" s="67"/>
      <c r="F46" s="70"/>
      <c r="G46" s="67"/>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x14ac:dyDescent="0.75">
      <c r="B50" s="130"/>
      <c r="C50" s="112"/>
      <c r="D50" s="130"/>
      <c r="E50" s="130"/>
      <c r="F50" s="130"/>
      <c r="G50" s="130"/>
    </row>
    <row r="51" spans="2:8" s="129" customFormat="1" ht="45.75" customHeight="1" x14ac:dyDescent="0.75">
      <c r="B51" s="130"/>
      <c r="C51" s="112"/>
      <c r="D51" s="130"/>
      <c r="E51" s="130"/>
      <c r="F51" s="130"/>
      <c r="G51" s="130"/>
    </row>
    <row r="52" spans="2:8" ht="23.5" customHeight="1" x14ac:dyDescent="0.75">
      <c r="B52" s="67"/>
      <c r="C52" s="112"/>
      <c r="D52" s="67"/>
      <c r="E52" s="67"/>
      <c r="F52" s="70"/>
      <c r="G52" s="67"/>
    </row>
    <row r="53" spans="2:8" ht="23.5" customHeight="1" x14ac:dyDescent="0.75">
      <c r="B53" s="67"/>
      <c r="C53" s="112"/>
      <c r="D53" s="67"/>
      <c r="E53" s="67"/>
      <c r="F53" s="70"/>
      <c r="G53" s="67"/>
    </row>
    <row r="54" spans="2:8" ht="23.5" customHeight="1" x14ac:dyDescent="0.75">
      <c r="B54" s="67"/>
      <c r="C54" s="112"/>
      <c r="D54" s="67"/>
      <c r="E54" s="67"/>
      <c r="F54" s="67"/>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23.5" customHeight="1" x14ac:dyDescent="0.75">
      <c r="B57" s="67"/>
      <c r="C57" s="112"/>
      <c r="D57" s="67"/>
      <c r="E57" s="67"/>
      <c r="F57" s="70"/>
      <c r="G57" s="67"/>
    </row>
    <row r="58" spans="2:8" ht="18.5" x14ac:dyDescent="0.75">
      <c r="B58" s="67"/>
      <c r="C58" s="112"/>
      <c r="D58" s="67"/>
      <c r="E58" s="67"/>
      <c r="F58" s="70"/>
      <c r="G58" s="67"/>
    </row>
    <row r="59" spans="2:8" ht="18.5" x14ac:dyDescent="0.75">
      <c r="B59" s="67"/>
      <c r="C59" s="112"/>
      <c r="D59" s="95"/>
      <c r="E59" s="67"/>
      <c r="F59" s="95"/>
      <c r="G59" s="95"/>
    </row>
    <row r="60" spans="2:8" ht="18.5" x14ac:dyDescent="0.75">
      <c r="B60" s="67"/>
      <c r="C60" s="112"/>
      <c r="D60" s="95"/>
      <c r="E60" s="67"/>
      <c r="F60" s="95"/>
      <c r="G60" s="95"/>
    </row>
    <row r="61" spans="2:8" s="129" customFormat="1" ht="12.25" x14ac:dyDescent="0.65">
      <c r="B61" s="130"/>
      <c r="C61" s="130"/>
      <c r="D61" s="132"/>
      <c r="E61" s="130"/>
      <c r="F61" s="130"/>
      <c r="G61" s="132"/>
    </row>
    <row r="62" spans="2:8" s="127" customFormat="1" ht="11" x14ac:dyDescent="0.6">
      <c r="B62" s="128"/>
      <c r="C62" s="128"/>
      <c r="D62" s="128"/>
      <c r="E62" s="128"/>
      <c r="F62" s="128"/>
      <c r="G62" s="128"/>
    </row>
    <row r="63" spans="2:8" s="129" customFormat="1" ht="12.25" x14ac:dyDescent="0.65">
      <c r="B63" s="130"/>
      <c r="C63" s="130"/>
      <c r="D63" s="130"/>
      <c r="E63" s="130"/>
      <c r="F63" s="130"/>
      <c r="G63" s="130"/>
      <c r="H63" s="131"/>
    </row>
    <row r="64" spans="2:8" s="129" customFormat="1" ht="12.25" x14ac:dyDescent="0.65">
      <c r="B64" s="130"/>
      <c r="C64" s="130"/>
      <c r="D64" s="130"/>
      <c r="E64" s="130"/>
      <c r="F64" s="130"/>
      <c r="G64" s="130"/>
    </row>
    <row r="65" spans="2:7" ht="18.5" x14ac:dyDescent="0.75">
      <c r="B65" s="67"/>
      <c r="C65" s="70"/>
      <c r="D65" s="67"/>
      <c r="E65" s="67"/>
      <c r="F65" s="67"/>
      <c r="G65" s="67"/>
    </row>
    <row r="66" spans="2:7" ht="18.5" x14ac:dyDescent="0.75">
      <c r="B66" s="67"/>
      <c r="C66" s="70"/>
      <c r="D66" s="67"/>
      <c r="E66" s="67"/>
      <c r="F66" s="67"/>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67"/>
      <c r="G69" s="67"/>
    </row>
    <row r="70" spans="2:7" ht="18.5" x14ac:dyDescent="0.75">
      <c r="B70" s="67"/>
      <c r="C70" s="70"/>
      <c r="D70" s="67"/>
      <c r="E70" s="67"/>
      <c r="F70" s="67"/>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67"/>
      <c r="C75" s="70"/>
      <c r="D75" s="67"/>
      <c r="E75" s="67"/>
      <c r="F75" s="70"/>
      <c r="G75" s="67"/>
    </row>
    <row r="76" spans="2:7" ht="18.5" x14ac:dyDescent="0.75">
      <c r="B76" s="70"/>
      <c r="C76" s="70"/>
      <c r="D76" s="67"/>
      <c r="E76" s="70"/>
      <c r="F76" s="70"/>
      <c r="G76" s="67"/>
    </row>
    <row r="77" spans="2:7" ht="18.5" x14ac:dyDescent="0.75">
      <c r="B77" s="70"/>
      <c r="C77" s="70"/>
      <c r="D77" s="67"/>
      <c r="E77" s="67"/>
      <c r="F77" s="70"/>
      <c r="G77" s="67"/>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236" x14ac:dyDescent="0.75">
      <c r="B2" s="112" t="str">
        <f>CONCATENATE("* differential.element[",'RelFlt-1'!$A7,"].id = """,'RelFlt-1'!$B$6,".",'RelFlt-1'!B7,"""")</f>
        <v>* differential.element[1].id = "RelapseDuringFLT.identifier"</v>
      </c>
      <c r="C2" s="112" t="str">
        <f>CONCATENATE("* differential.element[",'RelFlt-1'!$A7,"].path = """,'RelFlt-1'!$B$6,".",'RelFlt-1'!B7,"""")</f>
        <v>* differential.element[1].path = "RelapseDuringFLT.identifier"</v>
      </c>
      <c r="D2" s="112" t="str">
        <f>CONCATENATE("* differential.element[",'RelFlt-1'!A7,"].short = """,'RelFlt-1'!C7,"""")</f>
        <v>* differential.element[1].short = "Progression-Relapse during FLT identifier"</v>
      </c>
      <c r="E2" s="112" t="str">
        <f>CONCATENATE("* differential.element[",'RelFlt-1'!A7,"].definition = """,'RelFlt-1'!D7,"""")</f>
        <v>* differential.element[1].definition = "Progression-Relapse during FLT identifier"</v>
      </c>
      <c r="F2" s="112" t="str">
        <f>CONCATENATE("* differential.element[",'RelFlt-1'!A7,"].min = ",'RelFlt-1'!E7,"")</f>
        <v>* differential.element[1].min = 0</v>
      </c>
      <c r="G2" s="112" t="str">
        <f>CONCATENATE("* differential.element[",'RelFlt-1'!A7,"].max = """,'RelFlt-1'!F7,"""")</f>
        <v>* differential.element[1].max = "1"</v>
      </c>
      <c r="H2" s="112" t="str">
        <f>CONCATENATE("* differential.element[",'RelFlt-1'!A7,"].type.code = #",'RelFlt-1'!G7,"")</f>
        <v>* differential.element[1].type.code = #Identifier</v>
      </c>
      <c r="I2" s="112" t="str">
        <f>IF('RelFlt-1'!H7&gt; "", CONCATENATE("* differential.element[",'RelFlt-1'!A7,"].binding.valueSet = """,'RelFlt-1'!H7,""""),"")</f>
        <v/>
      </c>
      <c r="J2" s="112" t="str">
        <f>IF('RelFlt-1'!I7&gt; "", CONCATENATE("* differential.element[",'RelFlt-1'!A7,"].binding.strength = #",'RelFlt-1'!I7,""),"")</f>
        <v/>
      </c>
    </row>
    <row r="3" spans="2:10" ht="59" x14ac:dyDescent="0.75">
      <c r="B3" s="112" t="str">
        <f>CONCATENATE("* differential.element[",'RelFlt-1'!$A8,"].id = """,'RelFlt-1'!$B$6,".",'RelFlt-1'!B8,"""")</f>
        <v>* differential.element[2].id = "RelapseDuringFLT.relatedDiagnosis"</v>
      </c>
      <c r="C3" s="112" t="str">
        <f>CONCATENATE("* differential.element[",'RelFlt-1'!$A8,"].path = """,'RelFlt-1'!$B$6,".",'RelFlt-1'!B8,"""")</f>
        <v>* differential.element[2].path = "RelapseDuringFLT.relatedDiagnosis"</v>
      </c>
      <c r="D3" s="112" t="str">
        <f>CONCATENATE("* differential.element[",'RelFlt-1'!A8,"].short = """,'RelFlt-1'!C8,"""")</f>
        <v>* differential.element[2].short = "Related diagnosis identifier"</v>
      </c>
      <c r="E3" s="112" t="str">
        <f>CONCATENATE("* differential.element[",'RelFlt-1'!A8,"].definition = """,'RelFlt-1'!D8,"""")</f>
        <v>* differential.element[2].definition = "Related diagnosis identifier"</v>
      </c>
      <c r="F3" s="112" t="str">
        <f>CONCATENATE("* differential.element[",'RelFlt-1'!A8,"].min = ",'RelFlt-1'!E8,"")</f>
        <v>* differential.element[2].min = 0</v>
      </c>
      <c r="G3" s="112" t="str">
        <f>CONCATENATE("* differential.element[",'RelFlt-1'!A8,"].max = """,'RelFlt-1'!F8,"""")</f>
        <v>* differential.element[2].max = "1"</v>
      </c>
      <c r="H3" s="112" t="str">
        <f>CONCATENATE("* differential.element[",'RelFlt-1'!A8,"].type.code = #",'RelFlt-1'!G8,"")</f>
        <v>* differential.element[2].type.code = #Identifier</v>
      </c>
      <c r="I3" s="112" t="str">
        <f>IF('RelFlt-1'!H8&gt; "", CONCATENATE("* differential.element[",'RelFlt-1'!A8,"].binding.valueSet = """,'RelFlt-1'!H8,""""),"")</f>
        <v/>
      </c>
      <c r="J3" s="112" t="str">
        <f>IF('RelFlt-1'!I8&gt; "", CONCATENATE("* differential.element[",'RelFlt-1'!A8,"].binding.strength = #",'RelFlt-1'!I8,""),"")</f>
        <v/>
      </c>
    </row>
    <row r="4" spans="2:10" ht="59" x14ac:dyDescent="0.75">
      <c r="B4" s="112" t="str">
        <f>CONCATENATE("* differential.element[",'RelFlt-1'!$A9,"].id = """,'RelFlt-1'!$B$6,".",'RelFlt-1'!B9,"""")</f>
        <v>* differential.element[4].id = "RelapseDuringFLT.date"</v>
      </c>
      <c r="C4" s="112" t="str">
        <f>CONCATENATE("* differential.element[",'RelFlt-1'!$A9,"].path = """,'RelFlt-1'!$B$6,".",'RelFlt-1'!B9,"""")</f>
        <v>* differential.element[4].path = "RelapseDuringFLT.date"</v>
      </c>
      <c r="D4" s="112" t="str">
        <f>CONCATENATE("* differential.element[",'RelFlt-1'!A9,"].short = """,'RelFlt-1'!C9,"""")</f>
        <v>* differential.element[4].short = "Date  "</v>
      </c>
      <c r="E4" s="112" t="str">
        <f>CONCATENATE("* differential.element[",'RelFlt-1'!A9,"].definition = """,'RelFlt-1'!D9,"""")</f>
        <v>* differential.element[4].definition = "Report the date of the event in DD/MM/YYYY format. If the date is unkown or partially missed insert the year at the best of your knowledge."</v>
      </c>
      <c r="F4" s="112" t="str">
        <f>CONCATENATE("* differential.element[",'RelFlt-1'!A9,"].min = ",'RelFlt-1'!E9,"")</f>
        <v>* differential.element[4].min = 0</v>
      </c>
      <c r="G4" s="112" t="str">
        <f>CONCATENATE("* differential.element[",'RelFlt-1'!A9,"].max = """,'RelFlt-1'!F9,"""")</f>
        <v>* differential.element[4].max = "1"</v>
      </c>
      <c r="H4" s="112" t="str">
        <f>CONCATENATE("* differential.element[",'RelFlt-1'!A9,"].type.code = #",'RelFlt-1'!G9,"")</f>
        <v>* differential.element[4].type.code = #dateTime</v>
      </c>
      <c r="I4" s="112" t="str">
        <f>IF('RelFlt-1'!H10&gt; "", CONCATENATE("* differential.element[",'RelFlt-1'!A10,"].binding.valueSet = """,'RelFlt-1'!H10,""""),"")</f>
        <v/>
      </c>
      <c r="J4" s="112" t="str">
        <f>IF('RelFlt-1'!I10&gt; "", CONCATENATE("* differential.element[",'RelFlt-1'!A10,"].binding.strength = #",'RelFlt-1'!I10,""),"")</f>
        <v/>
      </c>
    </row>
    <row r="5" spans="2:10" ht="59" x14ac:dyDescent="0.75">
      <c r="B5" s="112" t="str">
        <f>CONCATENATE("* differential.element[",'RelFlt-1'!$A10,"].id = """,'RelFlt-1'!$B$6,".",'RelFlt-1'!B10,"""")</f>
        <v>* differential.element[3].id = "RelapseDuringFLT.type"</v>
      </c>
      <c r="C5" s="112" t="str">
        <f>CONCATENATE("* differential.element[",'RelFlt-1'!$A10,"].path = """,'RelFlt-1'!$B$6,".",'RelFlt-1'!B10,"""")</f>
        <v>* differential.element[3].path = "RelapseDuringFLT.type"</v>
      </c>
      <c r="D5" s="112" t="str">
        <f>CONCATENATE("* differential.element[",'RelFlt-1'!A10,"].short = """,'RelFlt-1'!C10,"""")</f>
        <v>* differential.element[3].short = "relapse | progression"</v>
      </c>
      <c r="E5" s="112" t="str">
        <f>CONCATENATE("* differential.element[",'RelFlt-1'!A10,"].definition = """,'RelFlt-1'!D10,"""")</f>
        <v>* differential.element[3].definition = "The type of event should be reported
1 =&gt; Relapse
2 =&gt; Progression 
-9922= NK"</v>
      </c>
      <c r="F5" s="112" t="str">
        <f>CONCATENATE("* differential.element[",'RelFlt-1'!A10,"].min = ",'RelFlt-1'!E10,"")</f>
        <v>* differential.element[3].min = 0</v>
      </c>
      <c r="G5" s="112" t="str">
        <f>CONCATENATE("* differential.element[",'RelFlt-1'!A10,"].max = """,'RelFlt-1'!F10,"""")</f>
        <v>* differential.element[3].max = "1"</v>
      </c>
      <c r="H5" s="112" t="str">
        <f>CONCATENATE("* differential.element[",'RelFlt-1'!A10,"].type.code = #",'RelFlt-1'!G10,"")</f>
        <v>* differential.element[3].type.code = #CodeableConcept</v>
      </c>
      <c r="I5" s="112" t="str">
        <f>IF('RelFlt-1'!H9&gt; "", CONCATENATE("* differential.element[",'RelFlt-1'!A9,"].binding.valueSet = """,'RelFlt-1'!H9,""""),"")</f>
        <v/>
      </c>
      <c r="J5" s="112" t="str">
        <f>IF('RelFlt-1'!I9&gt; "", CONCATENATE("* differential.element[",'RelFlt-1'!A9,"].binding.strength = #",'RelFlt-1'!I9,""),"")</f>
        <v/>
      </c>
    </row>
    <row r="6" spans="2:10" ht="59" x14ac:dyDescent="0.75">
      <c r="B6" s="112" t="str">
        <f>CONCATENATE("* differential.element[",'RelFlt-1'!$A11,"].id = """,'RelFlt-1'!$B$6,".",'RelFlt-1'!B11,"""")</f>
        <v>* differential.element[5].id = "RelapseDuringFLT.qualifier"</v>
      </c>
      <c r="C6" s="112" t="str">
        <f>CONCATENATE("* differential.element[",'RelFlt-1'!$A11,"].path = """,'RelFlt-1'!$B$6,".",'RelFlt-1'!B11,"""")</f>
        <v>* differential.element[5].path = "RelapseDuringFLT.qualifier"</v>
      </c>
      <c r="D6" s="112" t="str">
        <f>CONCATENATE("* differential.element[",'RelFlt-1'!A11,"].short = """,'RelFlt-1'!C11,"""")</f>
        <v>* differential.element[5].short = "local | distant | combined"</v>
      </c>
      <c r="E6" s="112" t="str">
        <f>CONCATENATE("* differential.element[",'RelFlt-1'!A11,"].definition = """,'RelFlt-1'!D11,"""")</f>
        <v>* differential.element[5].definition = "Please state if the relapse or progression was local, distant,  combined or unk"</v>
      </c>
      <c r="F6" s="112" t="str">
        <f>CONCATENATE("* differential.element[",'RelFlt-1'!A11,"].min = ",'RelFlt-1'!E11,"")</f>
        <v>* differential.element[5].min = 0</v>
      </c>
      <c r="G6" s="112" t="str">
        <f>CONCATENATE("* differential.element[",'RelFlt-1'!A11,"].max = """,'RelFlt-1'!F11,"""")</f>
        <v>* differential.element[5].max = "1"</v>
      </c>
      <c r="H6" s="112" t="str">
        <f>CONCATENATE("* differential.element[",'RelFlt-1'!A11,"].type.code = #",'RelFlt-1'!G11,"")</f>
        <v>* differential.element[5].type.code = #CodeableConcept</v>
      </c>
      <c r="I6" s="112" t="str">
        <f>IF('RelFlt-1'!H11&gt; "", CONCATENATE("* differential.element[",'RelFlt-1'!A11,"].binding.valueSet = """,'RelFlt-1'!H11,""""),"")</f>
        <v/>
      </c>
      <c r="J6" s="112" t="str">
        <f>IF('RelFlt-1'!I11&gt; "", CONCATENATE("* differential.element[",'RelFlt-1'!A11,"].binding.strength = #",'RelFlt-1'!I11,""),"")</f>
        <v/>
      </c>
    </row>
    <row r="7" spans="2:10" ht="59" x14ac:dyDescent="0.75">
      <c r="B7" s="112" t="str">
        <f>CONCATENATE("* differential.element[",'RelFlt-1'!$A12,"].id = """,'RelFlt-1'!$B$6,".",'RelFlt-1'!B12,"""")</f>
        <v>* differential.element[6].id = "RelapseDuringFLT.site"</v>
      </c>
      <c r="C7" s="112" t="str">
        <f>CONCATENATE("* differential.element[",'RelFlt-1'!$A12,"].path = """,'RelFlt-1'!$B$6,".",'RelFlt-1'!B12,"""")</f>
        <v>* differential.element[6].path = "RelapseDuringFLT.site"</v>
      </c>
      <c r="D7" s="112" t="str">
        <f>CONCATENATE("* differential.element[",'RelFlt-1'!A12,"].short = """,'RelFlt-1'!C12,"""")</f>
        <v>* differential.element[6].short = "If distant, site of metastases"</v>
      </c>
      <c r="E7" s="112" t="str">
        <f>CONCATENATE("* differential.element[",'RelFlt-1'!A12,"].definition = """,'RelFlt-1'!D12,"""")</f>
        <v>* differential.element[6].definition = "If distant, specify site  (text)"</v>
      </c>
      <c r="F7" s="112" t="str">
        <f>CONCATENATE("* differential.element[",'RelFlt-1'!A12,"].min = ",'RelFlt-1'!E12,"")</f>
        <v>* differential.element[6].min = 0</v>
      </c>
      <c r="G7" s="112" t="str">
        <f>CONCATENATE("* differential.element[",'RelFlt-1'!A12,"].max = """,'RelFlt-1'!F12,"""")</f>
        <v>* differential.element[6].max = "1"</v>
      </c>
      <c r="H7" s="112" t="str">
        <f>CONCATENATE("* differential.element[",'RelFlt-1'!A12,"].type.code = #",'RelFlt-1'!G12,"")</f>
        <v>* differential.element[6].type.code = #string</v>
      </c>
      <c r="I7" s="112" t="str">
        <f>IF('RelFlt-1'!H12&gt; "", CONCATENATE("* differential.element[",'RelFlt-1'!A12,"].binding.valueSet = """,'RelFlt-1'!H12,""""),"")</f>
        <v/>
      </c>
      <c r="J7" s="112" t="str">
        <f>IF('RelFlt-1'!I12&gt; "", CONCATENATE("* differential.element[",'RelFlt-1'!A12,"].binding.strength = #",'RelFlt-1'!I12,""),"")</f>
        <v/>
      </c>
    </row>
    <row r="8" spans="2:10" x14ac:dyDescent="0.75">
      <c r="B8" s="112"/>
      <c r="C8" s="112"/>
      <c r="D8" s="112"/>
      <c r="E8" s="112"/>
      <c r="F8" s="112"/>
      <c r="G8" s="112"/>
      <c r="H8" s="112"/>
      <c r="I8" s="112"/>
      <c r="J8" s="112" t="str">
        <f>IF('RelFlt-1'!I13&gt; "", CONCATENATE("* differential.element[",'RelFlt-1'!A13,"].binding.strength = #",'RelFlt-1'!I13,""),"")</f>
        <v/>
      </c>
    </row>
    <row r="9" spans="2:10" x14ac:dyDescent="0.75">
      <c r="B9" s="112"/>
      <c r="C9" s="112"/>
      <c r="D9" s="112"/>
      <c r="E9" s="112"/>
      <c r="F9" s="112"/>
      <c r="G9" s="112"/>
      <c r="H9" s="112"/>
      <c r="I9" s="112"/>
      <c r="J9" s="112" t="str">
        <f>IF('RelFlt-1'!I14&gt; "", CONCATENATE("* differential.element[",'RelFlt-1'!A14,"].binding.strength = #",'RelFlt-1'!I14,""),"")</f>
        <v/>
      </c>
    </row>
    <row r="10" spans="2:10" x14ac:dyDescent="0.75">
      <c r="B10" s="112"/>
      <c r="C10" s="112"/>
      <c r="D10" s="112"/>
      <c r="E10" s="112"/>
      <c r="F10" s="112"/>
      <c r="G10" s="112"/>
      <c r="H10" s="112"/>
      <c r="I10" s="112"/>
      <c r="J10" s="112" t="str">
        <f>IF('RelFlt-1'!I15&gt; "", CONCATENATE("* differential.element[",'RelFlt-1'!A15,"].binding.strength = #",'RelFlt-1'!I15,""),"")</f>
        <v/>
      </c>
    </row>
    <row r="11" spans="2:10" x14ac:dyDescent="0.75">
      <c r="B11" s="112"/>
      <c r="C11" s="112"/>
      <c r="D11" s="112"/>
      <c r="E11" s="112"/>
      <c r="F11" s="112"/>
      <c r="G11" s="112"/>
      <c r="H11" s="112"/>
      <c r="I11" s="112"/>
      <c r="J11" s="112" t="str">
        <f>IF('RelFlt-1'!I16&gt; "", CONCATENATE("* differential.element[",'RelFlt-1'!A16,"].binding.strength = #",'RelFlt-1'!I16,""),"")</f>
        <v/>
      </c>
    </row>
    <row r="12" spans="2:10" x14ac:dyDescent="0.75">
      <c r="B12" s="112"/>
      <c r="C12" s="112"/>
      <c r="D12" s="112"/>
      <c r="E12" s="112"/>
      <c r="F12" s="112"/>
      <c r="G12" s="112"/>
      <c r="H12" s="112"/>
      <c r="I12" s="112"/>
      <c r="J12" s="112" t="str">
        <f>IF('RelFlt-1'!I17&gt; "", CONCATENATE("* differential.element[",'RelFlt-1'!A17,"].binding.strength = #",'RelFlt-1'!I17,""),"")</f>
        <v/>
      </c>
    </row>
    <row r="13" spans="2:10" x14ac:dyDescent="0.75">
      <c r="B13" s="112"/>
      <c r="C13" s="112"/>
      <c r="D13" s="112"/>
      <c r="E13" s="112"/>
      <c r="F13" s="112"/>
      <c r="G13" s="112"/>
      <c r="H13" s="112"/>
      <c r="I13" s="112"/>
      <c r="J13" s="112" t="str">
        <f>IF('RelFlt-1'!I18&gt; "", CONCATENATE("* differential.element[",'RelFlt-1'!A18,"].binding.strength = #",'RelFlt-1'!I18,""),"")</f>
        <v/>
      </c>
    </row>
    <row r="14" spans="2:10" x14ac:dyDescent="0.75">
      <c r="B14" s="112"/>
      <c r="C14" s="112"/>
      <c r="D14" s="112"/>
      <c r="E14" s="112"/>
      <c r="F14" s="112"/>
      <c r="G14" s="112"/>
      <c r="H14" s="112"/>
      <c r="I14" s="112"/>
      <c r="J14" s="112" t="str">
        <f>IF('RelFlt-1'!I19&gt; "", CONCATENATE("* differential.element[",'RelFlt-1'!A19,"].binding.strength = #",'RelFlt-1'!I19,""),"")</f>
        <v/>
      </c>
    </row>
    <row r="15" spans="2:10" x14ac:dyDescent="0.75">
      <c r="B15" s="112"/>
      <c r="C15" s="112"/>
      <c r="D15" s="112"/>
      <c r="E15" s="112"/>
      <c r="F15" s="112"/>
      <c r="G15" s="112"/>
      <c r="H15" s="112"/>
      <c r="I15" s="112"/>
      <c r="J15" s="112" t="str">
        <f>IF('RelFlt-1'!I20&gt; "", CONCATENATE("* differential.element[",'RelFlt-1'!A20,"].binding.strength = #",'RelFlt-1'!I20,""),"")</f>
        <v/>
      </c>
    </row>
    <row r="16" spans="2:10" ht="59" x14ac:dyDescent="0.75">
      <c r="B16" s="112" t="str">
        <f>CONCATENATE("* differential.element[",'RelFlt-1'!$A21,"].id = """,'RelFlt-1'!$B$6,".",'RelFlt-1'!B21,"""")</f>
        <v>* differential.element[15].id = "RelapseDuringFLT."</v>
      </c>
      <c r="C16" s="112" t="str">
        <f>CONCATENATE("* differential.element[",'RelFlt-1'!$A21,"].path = """,'RelFlt-1'!$B$6,".",'RelFlt-1'!B21,"""")</f>
        <v>* differential.element[15].path = "RelapseDuringFLT."</v>
      </c>
      <c r="D16" s="112" t="str">
        <f>CONCATENATE("* differential.element[",'RelFlt-1'!A21,"].short = """,'RelFlt-1'!C21,"""")</f>
        <v>* differential.element[15].short = ""</v>
      </c>
      <c r="E16" s="112" t="str">
        <f>CONCATENATE("* differential.element[",'RelFlt-1'!A21,"].definition = """,'RelFlt-1'!D21,"""")</f>
        <v>* differential.element[15].definition = ""</v>
      </c>
      <c r="F16" s="112" t="str">
        <f>CONCATENATE("* differential.element[",'RelFlt-1'!A21,"].min = ",'RelFlt-1'!E21,"")</f>
        <v xml:space="preserve">* differential.element[15].min = </v>
      </c>
      <c r="G16" s="112" t="str">
        <f>CONCATENATE("* differential.element[",'RelFlt-1'!A21,"].max = """,'RelFlt-1'!F21,"""")</f>
        <v>* differential.element[15].max = ""</v>
      </c>
      <c r="H16" s="112" t="str">
        <f>CONCATENATE("* differential.element[",'RelFlt-1'!A21,"].type.code = #",'RelFlt-1'!G21,"")</f>
        <v>* differential.element[15].type.code = #</v>
      </c>
      <c r="I16" s="112" t="str">
        <f>IF('RelFlt-1'!H21&gt; "", CONCATENATE("* differential.element[",'RelFlt-1'!A21,"].binding.valueSet = """,'RelFlt-1'!H21,""""),"")</f>
        <v/>
      </c>
      <c r="J16" s="112" t="str">
        <f>IF('RelFlt-1'!I21&gt; "", CONCATENATE("* differential.element[",'RelFlt-1'!A21,"].binding.strength = #",'RelFlt-1'!I21,""),"")</f>
        <v/>
      </c>
    </row>
    <row r="17" spans="2:10" ht="59" x14ac:dyDescent="0.75">
      <c r="B17" s="112" t="str">
        <f>CONCATENATE("* differential.element[",'RelFlt-1'!$A22,"].id = """,'RelFlt-1'!$B$6,".",'RelFlt-1'!B22,"""")</f>
        <v>* differential.element[16].id = "RelapseDuringFLT."</v>
      </c>
      <c r="C17" s="112" t="str">
        <f>CONCATENATE("* differential.element[",'RelFlt-1'!$A22,"].path = """,'RelFlt-1'!$B$6,".",'RelFlt-1'!B22,"""")</f>
        <v>* differential.element[16].path = "RelapseDuringFLT."</v>
      </c>
      <c r="D17" s="112" t="str">
        <f>CONCATENATE("* differential.element[",'RelFlt-1'!A22,"].short = """,'RelFlt-1'!C22,"""")</f>
        <v>* differential.element[16].short = ""</v>
      </c>
      <c r="E17" s="112" t="str">
        <f>CONCATENATE("* differential.element[",'RelFlt-1'!A22,"].definition = """,'RelFlt-1'!D22,"""")</f>
        <v>* differential.element[16].definition = ""</v>
      </c>
      <c r="F17" s="112" t="str">
        <f>CONCATENATE("* differential.element[",'RelFlt-1'!A22,"].min = ",'RelFlt-1'!E22,"")</f>
        <v xml:space="preserve">* differential.element[16].min = </v>
      </c>
      <c r="G17" s="112" t="str">
        <f>CONCATENATE("* differential.element[",'RelFlt-1'!A22,"].max = """,'RelFlt-1'!F22,"""")</f>
        <v>* differential.element[16].max = ""</v>
      </c>
      <c r="H17" s="112" t="str">
        <f>CONCATENATE("* differential.element[",'RelFlt-1'!A22,"].type.code = #",'RelFlt-1'!G22,"")</f>
        <v>* differential.element[16].type.code = #</v>
      </c>
      <c r="I17" s="112" t="str">
        <f>IF('RelFlt-1'!H22&gt; "", CONCATENATE("* differential.element[",'RelFlt-1'!A22,"].binding.valueSet = """,'RelFlt-1'!H22,""""),"")</f>
        <v/>
      </c>
      <c r="J17" s="112" t="str">
        <f>IF('RelFlt-1'!I22&gt; "", CONCATENATE("* differential.element[",'RelFlt-1'!A22,"].binding.strength = #",'RelFlt-1'!I22,""),"")</f>
        <v/>
      </c>
    </row>
    <row r="18" spans="2:10" ht="59" x14ac:dyDescent="0.75">
      <c r="B18" s="112" t="str">
        <f>CONCATENATE("* differential.element[",'RelFlt-1'!$A23,"].id = """,'RelFlt-1'!$B$6,".",'RelFlt-1'!B23,"""")</f>
        <v>* differential.element[17].id = "RelapseDuringFLT."</v>
      </c>
      <c r="C18" s="112" t="str">
        <f>CONCATENATE("* differential.element[",'RelFlt-1'!$A23,"].path = """,'RelFlt-1'!$B$6,".",'RelFlt-1'!B23,"""")</f>
        <v>* differential.element[17].path = "RelapseDuringFLT."</v>
      </c>
      <c r="D18" s="112" t="str">
        <f>CONCATENATE("* differential.element[",'RelFlt-1'!A23,"].short = """,'RelFlt-1'!C23,"""")</f>
        <v>* differential.element[17].short = ""</v>
      </c>
      <c r="E18" s="112" t="str">
        <f>CONCATENATE("* differential.element[",'RelFlt-1'!A23,"].definition = """,'RelFlt-1'!D23,"""")</f>
        <v>* differential.element[17].definition = ""</v>
      </c>
      <c r="F18" s="112" t="str">
        <f>CONCATENATE("* differential.element[",'RelFlt-1'!A23,"].min = ",'RelFlt-1'!E23,"")</f>
        <v xml:space="preserve">* differential.element[17].min = </v>
      </c>
      <c r="G18" s="112" t="str">
        <f>CONCATENATE("* differential.element[",'RelFlt-1'!A23,"].max = """,'RelFlt-1'!F23,"""")</f>
        <v>* differential.element[17].max = ""</v>
      </c>
      <c r="H18" s="112" t="str">
        <f>CONCATENATE("* differential.element[",'RelFlt-1'!A23,"].type.code = #",'RelFlt-1'!G23,"")</f>
        <v>* differential.element[17].type.code = #</v>
      </c>
      <c r="I18" s="112" t="str">
        <f>IF('RelFlt-1'!H23&gt; "", CONCATENATE("* differential.element[",'RelFlt-1'!A23,"].binding.valueSet = """,'RelFlt-1'!H23,""""),"")</f>
        <v/>
      </c>
      <c r="J18" s="112" t="str">
        <f>IF('RelFlt-1'!I23&gt; "", CONCATENATE("* differential.element[",'RelFlt-1'!A23,"].binding.strength = #",'RelFlt-1'!I23,""),"")</f>
        <v/>
      </c>
    </row>
    <row r="19" spans="2:10" ht="59" x14ac:dyDescent="0.75">
      <c r="B19" s="112" t="str">
        <f>CONCATENATE("* differential.element[",'RelFlt-1'!$A24,"].id = """,'RelFlt-1'!$B$6,".",'RelFlt-1'!B24,"""")</f>
        <v>* differential.element[18].id = "RelapseDuringFLT."</v>
      </c>
      <c r="C19" s="112" t="str">
        <f>CONCATENATE("* differential.element[",'RelFlt-1'!$A24,"].path = """,'RelFlt-1'!$B$6,".",'RelFlt-1'!B24,"""")</f>
        <v>* differential.element[18].path = "RelapseDuringFLT."</v>
      </c>
      <c r="D19" s="112" t="str">
        <f>CONCATENATE("* differential.element[",'RelFlt-1'!A24,"].short = """,'RelFlt-1'!C24,"""")</f>
        <v>* differential.element[18].short = ""</v>
      </c>
      <c r="E19" s="112" t="str">
        <f>CONCATENATE("* differential.element[",'RelFlt-1'!A24,"].definition = """,'RelFlt-1'!D24,"""")</f>
        <v>* differential.element[18].definition = ""</v>
      </c>
      <c r="F19" s="112" t="str">
        <f>CONCATENATE("* differential.element[",'RelFlt-1'!A24,"].min = ",'RelFlt-1'!E24,"")</f>
        <v xml:space="preserve">* differential.element[18].min = </v>
      </c>
      <c r="G19" s="112" t="str">
        <f>CONCATENATE("* differential.element[",'RelFlt-1'!A24,"].max = """,'RelFlt-1'!F24,"""")</f>
        <v>* differential.element[18].max = ""</v>
      </c>
      <c r="H19" s="112" t="str">
        <f>CONCATENATE("* differential.element[",'RelFlt-1'!A24,"].type.code = #",'RelFlt-1'!G24,"")</f>
        <v>* differential.element[18].type.code = #</v>
      </c>
      <c r="I19" s="112" t="str">
        <f>IF('RelFlt-1'!H24&gt; "", CONCATENATE("* differential.element[",'RelFlt-1'!A24,"].binding.valueSet = """,'RelFlt-1'!H24,""""),"")</f>
        <v/>
      </c>
      <c r="J19" s="112" t="str">
        <f>IF('RelFlt-1'!I24&gt; "", CONCATENATE("* differential.element[",'RelFlt-1'!A24,"].binding.strength = #",'RelFlt-1'!I24,""),"")</f>
        <v/>
      </c>
    </row>
    <row r="20" spans="2:10" ht="59" x14ac:dyDescent="0.75">
      <c r="B20" s="112" t="str">
        <f>CONCATENATE("* differential.element[",'RelFlt-1'!$A25,"].id = """,'RelFlt-1'!$B$6,".",'RelFlt-1'!B25,"""")</f>
        <v>* differential.element[19].id = "RelapseDuringFLT."</v>
      </c>
      <c r="C20" s="112" t="str">
        <f>CONCATENATE("* differential.element[",'RelFlt-1'!$A25,"].path = """,'RelFlt-1'!$B$6,".",'RelFlt-1'!B25,"""")</f>
        <v>* differential.element[19].path = "RelapseDuringFLT."</v>
      </c>
      <c r="D20" s="112" t="str">
        <f>CONCATENATE("* differential.element[",'RelFlt-1'!A25,"].short = """,'RelFlt-1'!C25,"""")</f>
        <v>* differential.element[19].short = ""</v>
      </c>
      <c r="E20" s="112" t="str">
        <f>CONCATENATE("* differential.element[",'RelFlt-1'!A25,"].definition = """,'RelFlt-1'!D25,"""")</f>
        <v>* differential.element[19].definition = ""</v>
      </c>
      <c r="F20" s="112" t="str">
        <f>CONCATENATE("* differential.element[",'RelFlt-1'!A25,"].min = ",'RelFlt-1'!E25,"")</f>
        <v xml:space="preserve">* differential.element[19].min = </v>
      </c>
      <c r="G20" s="112" t="str">
        <f>CONCATENATE("* differential.element[",'RelFlt-1'!A25,"].max = """,'RelFlt-1'!F25,"""")</f>
        <v>* differential.element[19].max = ""</v>
      </c>
      <c r="H20" s="112" t="str">
        <f>CONCATENATE("* differential.element[",'RelFlt-1'!A25,"].type.code = #",'RelFlt-1'!G25,"")</f>
        <v>* differential.element[19].type.code = #</v>
      </c>
      <c r="I20" s="112" t="str">
        <f>IF('RelFlt-1'!H25&gt; "", CONCATENATE("* differential.element[",'RelFlt-1'!A25,"].binding.valueSet = """,'RelFlt-1'!H25,""""),"")</f>
        <v/>
      </c>
      <c r="J20" s="112" t="str">
        <f>IF('RelFlt-1'!I25&gt; "", CONCATENATE("* differential.element[",'RelFlt-1'!A25,"].binding.strength = #",'RelFlt-1'!I25,""),"")</f>
        <v/>
      </c>
    </row>
    <row r="21" spans="2:10" ht="59" x14ac:dyDescent="0.75">
      <c r="B21" s="112" t="str">
        <f>CONCATENATE("* differential.element[",'RelFlt-1'!$A26,"].id = """,'RelFlt-1'!$B$6,".",'RelFlt-1'!B26,"""")</f>
        <v>* differential.element[].id = "RelapseDuringFLT."</v>
      </c>
      <c r="C21" s="112" t="str">
        <f>CONCATENATE("* differential.element[",'RelFlt-1'!$A26,"].path = """,'RelFlt-1'!$B$6,".",'RelFlt-1'!B26,"""")</f>
        <v>* differential.element[].path = "RelapseDuringFLT."</v>
      </c>
      <c r="D21" s="112" t="str">
        <f>CONCATENATE("* differential.element[",'RelFlt-1'!A26,"].short = """,'RelFlt-1'!C26,"""")</f>
        <v>* differential.element[].short = ""</v>
      </c>
      <c r="E21" s="112" t="str">
        <f>CONCATENATE("* differential.element[",'RelFlt-1'!A26,"].definition = """,'RelFlt-1'!D26,"""")</f>
        <v>* differential.element[].definition = ""</v>
      </c>
      <c r="F21" s="112" t="str">
        <f>CONCATENATE("* differential.element[",'RelFlt-1'!A26,"].min = ",'RelFlt-1'!E26,"")</f>
        <v xml:space="preserve">* differential.element[].min = </v>
      </c>
      <c r="G21" s="112" t="str">
        <f>CONCATENATE("* differential.element[",'RelFlt-1'!A26,"].max = """,'RelFlt-1'!F26,"""")</f>
        <v>* differential.element[].max = ""</v>
      </c>
      <c r="H21" s="112" t="str">
        <f>CONCATENATE("* differential.element[",'RelFlt-1'!A26,"].type.code = #",'RelFlt-1'!G26,"")</f>
        <v>* differential.element[].type.code = #</v>
      </c>
      <c r="I21" s="112" t="str">
        <f>IF('RelFlt-1'!H26&gt; "", CONCATENATE("* differential.element[",'RelFlt-1'!A26,"].binding.valueSet = """,'RelFlt-1'!H26,""""),"")</f>
        <v/>
      </c>
      <c r="J21" s="112" t="str">
        <f>IF('RelFlt-1'!I26&gt; "", CONCATENATE("* differential.element[",'RelFlt-1'!A26,"].binding.strength = #",'RelFlt-1'!I26,""),"")</f>
        <v/>
      </c>
    </row>
    <row r="22" spans="2:10" ht="59" x14ac:dyDescent="0.75">
      <c r="B22" s="112" t="str">
        <f>CONCATENATE("* differential.element[",'RelFlt-1'!$A27,"].id = """,'RelFlt-1'!$B$6,".",'RelFlt-1'!B27,"""")</f>
        <v>* differential.element[].id = "RelapseDuringFLT."</v>
      </c>
      <c r="C22" s="112" t="str">
        <f>CONCATENATE("* differential.element[",'RelFlt-1'!$A27,"].path = """,'RelFlt-1'!$B$6,".",'RelFlt-1'!B27,"""")</f>
        <v>* differential.element[].path = "RelapseDuringFLT."</v>
      </c>
      <c r="D22" s="112" t="str">
        <f>CONCATENATE("* differential.element[",'RelFlt-1'!A27,"].short = """,'RelFlt-1'!C27,"""")</f>
        <v>* differential.element[].short = ""</v>
      </c>
      <c r="E22" s="112" t="str">
        <f>CONCATENATE("* differential.element[",'RelFlt-1'!A27,"].definition = """,'RelFlt-1'!D27,"""")</f>
        <v>* differential.element[].definition = ""</v>
      </c>
      <c r="F22" s="112" t="str">
        <f>CONCATENATE("* differential.element[",'RelFlt-1'!A27,"].min = ",'RelFlt-1'!E27,"")</f>
        <v xml:space="preserve">* differential.element[].min = </v>
      </c>
      <c r="G22" s="112" t="str">
        <f>CONCATENATE("* differential.element[",'RelFlt-1'!A27,"].max = """,'RelFlt-1'!F27,"""")</f>
        <v>* differential.element[].max = ""</v>
      </c>
      <c r="H22" s="112" t="str">
        <f>CONCATENATE("* differential.element[",'RelFlt-1'!A27,"].type.code = #",'RelFlt-1'!G27,"")</f>
        <v>* differential.element[].type.code = #</v>
      </c>
      <c r="I22" s="112" t="str">
        <f>IF('RelFlt-1'!H27&gt; "", CONCATENATE("* differential.element[",'RelFlt-1'!A27,"].binding.valueSet = """,'RelFlt-1'!H27,""""),"")</f>
        <v/>
      </c>
      <c r="J22" s="112" t="str">
        <f>IF('RelFlt-1'!I27&gt; "", CONCATENATE("* differential.element[",'RelFlt-1'!A27,"].binding.strength = #",'RelFlt-1'!I27,""),"")</f>
        <v/>
      </c>
    </row>
    <row r="23" spans="2:10" ht="59" x14ac:dyDescent="0.75">
      <c r="B23" s="112" t="str">
        <f>CONCATENATE("* differential.element[",'RelFlt-1'!$A28,"].id = """,'RelFlt-1'!$B$6,".",'RelFlt-1'!B28,"""")</f>
        <v>* differential.element[].id = "RelapseDuringFLT."</v>
      </c>
      <c r="C23" s="112" t="str">
        <f>CONCATENATE("* differential.element[",'RelFlt-1'!$A28,"].path = """,'RelFlt-1'!$B$6,".",'RelFlt-1'!B28,"""")</f>
        <v>* differential.element[].path = "RelapseDuringFLT."</v>
      </c>
      <c r="D23" s="112" t="str">
        <f>CONCATENATE("* differential.element[",'RelFlt-1'!A28,"].short = """,'RelFlt-1'!C28,"""")</f>
        <v>* differential.element[].short = ""</v>
      </c>
      <c r="E23" s="112" t="str">
        <f>CONCATENATE("* differential.element[",'RelFlt-1'!A28,"].definition = """,'RelFlt-1'!D28,"""")</f>
        <v>* differential.element[].definition = ""</v>
      </c>
      <c r="F23" s="112" t="str">
        <f>CONCATENATE("* differential.element[",'RelFlt-1'!A28,"].min = ",'RelFlt-1'!E28,"")</f>
        <v xml:space="preserve">* differential.element[].min = </v>
      </c>
      <c r="G23" s="112" t="str">
        <f>CONCATENATE("* differential.element[",'RelFlt-1'!A28,"].max = """,'RelFlt-1'!F28,"""")</f>
        <v>* differential.element[].max = ""</v>
      </c>
      <c r="H23" s="112" t="str">
        <f>CONCATENATE("* differential.element[",'RelFlt-1'!A28,"].type.code = #",'RelFlt-1'!G28,"")</f>
        <v>* differential.element[].type.code = #</v>
      </c>
      <c r="I23" s="112" t="str">
        <f>IF('RelFlt-1'!H28&gt; "", CONCATENATE("* differential.element[",'RelFlt-1'!A28,"].binding.valueSet = """,'RelFlt-1'!H28,""""),"")</f>
        <v/>
      </c>
      <c r="J23" s="112" t="str">
        <f>IF('RelFlt-1'!I28&gt; "", CONCATENATE("* differential.element[",'RelFlt-1'!A28,"].binding.strength = #",'RelFlt-1'!I28,""),"")</f>
        <v/>
      </c>
    </row>
    <row r="24" spans="2:10" ht="59" x14ac:dyDescent="0.75">
      <c r="B24" s="112" t="str">
        <f>CONCATENATE("* differential.element[",'RelFlt-1'!$A29,"].id = """,'RelFlt-1'!$B$6,".",'RelFlt-1'!B29,"""")</f>
        <v>* differential.element[].id = "RelapseDuringFLT."</v>
      </c>
      <c r="C24" s="112" t="str">
        <f>CONCATENATE("* differential.element[",'RelFlt-1'!$A29,"].path = """,'RelFlt-1'!$B$6,".",'RelFlt-1'!B29,"""")</f>
        <v>* differential.element[].path = "RelapseDuringFLT."</v>
      </c>
      <c r="D24" s="112" t="str">
        <f>CONCATENATE("* differential.element[",'RelFlt-1'!A29,"].short = """,'RelFlt-1'!C29,"""")</f>
        <v>* differential.element[].short = ""</v>
      </c>
      <c r="E24" s="112" t="str">
        <f>CONCATENATE("* differential.element[",'RelFlt-1'!A29,"].definition = """,'RelFlt-1'!D29,"""")</f>
        <v>* differential.element[].definition = ""</v>
      </c>
      <c r="F24" s="112" t="str">
        <f>CONCATENATE("* differential.element[",'RelFlt-1'!A29,"].min = ",'RelFlt-1'!E29,"")</f>
        <v xml:space="preserve">* differential.element[].min = </v>
      </c>
      <c r="G24" s="112" t="str">
        <f>CONCATENATE("* differential.element[",'RelFlt-1'!A29,"].max = """,'RelFlt-1'!F29,"""")</f>
        <v>* differential.element[].max = ""</v>
      </c>
      <c r="H24" s="112" t="str">
        <f>CONCATENATE("* differential.element[",'RelFlt-1'!A29,"].type.code = #",'RelFlt-1'!G29,"")</f>
        <v>* differential.element[].type.code = #</v>
      </c>
      <c r="I24" s="112" t="e">
        <f>IF('RelFlt-1'!#REF!&gt; "", CONCATENATE("* differential.element[",'RelFlt-1'!#REF!,"].binding.valueSet = """,'RelFlt-1'!#REF!,""""),"")</f>
        <v>#REF!</v>
      </c>
      <c r="J24" s="112" t="e">
        <f>IF('RelFlt-1'!#REF!&gt; "", CONCATENATE("* differential.element[",'RelFlt-1'!#REF!,"].binding.strength = #",'RelFlt-1'!#REF!,""),"")</f>
        <v>#REF!</v>
      </c>
    </row>
    <row r="25" spans="2:10" ht="44.25" x14ac:dyDescent="0.75">
      <c r="B25" s="112" t="str">
        <f>CONCATENATE("* differential.element[",'RelFlt-1'!$A30,"].id = """,'RelFlt-1'!$B$6,".",'RelFlt-1'!B30,"""")</f>
        <v>* differential.element[].id = "RelapseDuringFLT."</v>
      </c>
      <c r="C25" s="112" t="str">
        <f>CONCATENATE("* differential.element[",'RelFlt-1'!$A30,"].path = """,'RelFlt-1'!$B$6,".",'RelFlt-1'!B30,"""")</f>
        <v>* differential.element[].path = "RelapseDuringFLT."</v>
      </c>
      <c r="D25" s="112" t="str">
        <f>CONCATENATE("* differential.element[",'RelFlt-1'!A30,"].short = """,'RelFlt-1'!C30,"""")</f>
        <v>* differential.element[].short = ""</v>
      </c>
      <c r="E25" s="112" t="str">
        <f>CONCATENATE("* differential.element[",'RelFlt-1'!A30,"].definition = """,'RelFlt-1'!D30,"""")</f>
        <v>* differential.element[].definition = ""</v>
      </c>
      <c r="F25" s="112" t="str">
        <f>CONCATENATE("* differential.element[",'RelFlt-1'!A30,"].min = ",'RelFlt-1'!E30,"")</f>
        <v xml:space="preserve">* differential.element[].min = </v>
      </c>
      <c r="G25" s="112" t="str">
        <f>CONCATENATE("* differential.element[",'RelFlt-1'!A30,"].max = """,'RelFlt-1'!F30,"""")</f>
        <v>* differential.element[].max = ""</v>
      </c>
      <c r="H25" s="112" t="str">
        <f>CONCATENATE("* differential.element[",'RelFlt-1'!A30,"].type.code = #",'RelFlt-1'!G30,"")</f>
        <v>* differential.element[].type.code = #</v>
      </c>
      <c r="I25" s="112" t="e">
        <f>IF('RelFlt-1'!#REF!&gt; "", CONCATENATE("* differential.element[",'RelFlt-1'!#REF!,"].binding.valueSet = """,'RelFlt-1'!#REF!,""""),"")</f>
        <v>#REF!</v>
      </c>
      <c r="J25" s="112" t="e">
        <f>IF('RelFlt-1'!#REF!&gt; "", CONCATENATE("* differential.element[",'RelFlt-1'!#REF!,"].binding.strength = #",'RelFlt-1'!#REF!,""),"")</f>
        <v>#REF!</v>
      </c>
    </row>
    <row r="26" spans="2:10" ht="44.25" x14ac:dyDescent="0.75">
      <c r="B26" s="112" t="str">
        <f>CONCATENATE("* differential.element[",'RelFlt-1'!$A31,"].id = """,'RelFlt-1'!$B$6,".",'RelFlt-1'!B31,"""")</f>
        <v>* differential.element[].id = "RelapseDuringFLT."</v>
      </c>
      <c r="C26" s="112" t="str">
        <f>CONCATENATE("* differential.element[",'RelFlt-1'!$A31,"].path = """,'RelFlt-1'!$B$6,".",'RelFlt-1'!B31,"""")</f>
        <v>* differential.element[].path = "RelapseDuringFLT."</v>
      </c>
      <c r="D26" s="112" t="str">
        <f>CONCATENATE("* differential.element[",'RelFlt-1'!A31,"].short = """,'RelFlt-1'!C31,"""")</f>
        <v>* differential.element[].short = ""</v>
      </c>
      <c r="E26" s="112" t="str">
        <f>CONCATENATE("* differential.element[",'RelFlt-1'!A31,"].definition = """,'RelFlt-1'!D31,"""")</f>
        <v>* differential.element[].definition = ""</v>
      </c>
      <c r="F26" s="112" t="str">
        <f>CONCATENATE("* differential.element[",'RelFlt-1'!A31,"].min = ",'RelFlt-1'!E31,"")</f>
        <v xml:space="preserve">* differential.element[].min = </v>
      </c>
      <c r="G26" s="112" t="str">
        <f>CONCATENATE("* differential.element[",'RelFlt-1'!A31,"].max = """,'RelFlt-1'!F31,"""")</f>
        <v>* differential.element[].max = ""</v>
      </c>
      <c r="H26" s="112" t="str">
        <f>CONCATENATE("* differential.element[",'RelFlt-1'!A31,"].type.code = #",'RelFlt-1'!G31,"")</f>
        <v>* differential.element[].type.code = #</v>
      </c>
      <c r="I26" s="112" t="e">
        <f>IF('RelFlt-1'!#REF!&gt; "", CONCATENATE("* differential.element[",'RelFlt-1'!#REF!,"].binding.valueSet = """,'RelFlt-1'!#REF!,""""),"")</f>
        <v>#REF!</v>
      </c>
      <c r="J26" s="112" t="e">
        <f>IF('RelFlt-1'!#REF!&gt; "", CONCATENATE("* differential.element[",'RelFlt-1'!#REF!,"].binding.strength = #",'RelFlt-1'!#REF!,""),"")</f>
        <v>#REF!</v>
      </c>
    </row>
    <row r="27" spans="2:10" ht="44.25" x14ac:dyDescent="0.75">
      <c r="B27" s="112" t="str">
        <f>CONCATENATE("* differential.element[",'RelFlt-1'!$A32,"].id = """,'RelFlt-1'!$B$6,".",'RelFlt-1'!B32,"""")</f>
        <v>* differential.element[].id = "RelapseDuringFLT."</v>
      </c>
      <c r="C27" s="112" t="str">
        <f>CONCATENATE("* differential.element[",'RelFlt-1'!$A32,"].path = """,'RelFlt-1'!$B$6,".",'RelFlt-1'!B32,"""")</f>
        <v>* differential.element[].path = "RelapseDuringFLT."</v>
      </c>
      <c r="D27" s="112" t="str">
        <f>CONCATENATE("* differential.element[",'RelFlt-1'!A32,"].short = """,'RelFlt-1'!C32,"""")</f>
        <v>* differential.element[].short = ""</v>
      </c>
      <c r="E27" s="112" t="str">
        <f>CONCATENATE("* differential.element[",'RelFlt-1'!A32,"].definition = """,'RelFlt-1'!D32,"""")</f>
        <v>* differential.element[].definition = ""</v>
      </c>
      <c r="F27" s="112" t="str">
        <f>CONCATENATE("* differential.element[",'RelFlt-1'!A32,"].min = ",'RelFlt-1'!E32,"")</f>
        <v xml:space="preserve">* differential.element[].min = </v>
      </c>
      <c r="G27" s="112" t="str">
        <f>CONCATENATE("* differential.element[",'RelFlt-1'!A32,"].max = """,'RelFlt-1'!F32,"""")</f>
        <v>* differential.element[].max = ""</v>
      </c>
      <c r="H27" s="112" t="str">
        <f>CONCATENATE("* differential.element[",'RelFlt-1'!A32,"].type.code = #",'RelFlt-1'!G32,"")</f>
        <v>* differential.element[].type.code = #</v>
      </c>
      <c r="I27" s="112" t="e">
        <f>IF('RelFlt-1'!#REF!&gt; "", CONCATENATE("* differential.element[",'RelFlt-1'!#REF!,"].binding.valueSet = """,'RelFlt-1'!#REF!,""""),"")</f>
        <v>#REF!</v>
      </c>
      <c r="J27" s="112" t="e">
        <f>IF('RelFlt-1'!#REF!&gt; "", CONCATENATE("* differential.element[",'RelFlt-1'!#REF!,"].binding.strength = #",'RelFlt-1'!#REF!,""),"")</f>
        <v>#REF!</v>
      </c>
    </row>
    <row r="28" spans="2:10" ht="44.25" x14ac:dyDescent="0.75">
      <c r="B28" s="112" t="str">
        <f>CONCATENATE("* differential.element[",'RelFlt-1'!$A33,"].id = """,'RelFlt-1'!$B$6,".",'RelFlt-1'!B33,"""")</f>
        <v>* differential.element[].id = "RelapseDuringFLT."</v>
      </c>
      <c r="C28" s="112" t="str">
        <f>CONCATENATE("* differential.element[",'RelFlt-1'!$A33,"].path = """,'RelFlt-1'!$B$6,".",'RelFlt-1'!B33,"""")</f>
        <v>* differential.element[].path = "RelapseDuringFLT."</v>
      </c>
      <c r="D28" s="112" t="str">
        <f>CONCATENATE("* differential.element[",'RelFlt-1'!A33,"].short = """,'RelFlt-1'!C33,"""")</f>
        <v>* differential.element[].short = ""</v>
      </c>
      <c r="E28" s="112" t="str">
        <f>CONCATENATE("* differential.element[",'RelFlt-1'!A33,"].definition = """,'RelFlt-1'!D33,"""")</f>
        <v>* differential.element[].definition = ""</v>
      </c>
      <c r="F28" s="112" t="str">
        <f>CONCATENATE("* differential.element[",'RelFlt-1'!A33,"].min = ",'RelFlt-1'!E33,"")</f>
        <v xml:space="preserve">* differential.element[].min = </v>
      </c>
      <c r="G28" s="112" t="str">
        <f>CONCATENATE("* differential.element[",'RelFlt-1'!A33,"].max = """,'RelFlt-1'!F33,"""")</f>
        <v>* differential.element[].max = ""</v>
      </c>
      <c r="H28" s="112" t="str">
        <f>CONCATENATE("* differential.element[",'RelFlt-1'!A33,"].type.code = #",'RelFlt-1'!G33,"")</f>
        <v>* differential.element[].type.code = #</v>
      </c>
      <c r="I28" s="112" t="e">
        <f>IF('RelFlt-1'!#REF!&gt; "", CONCATENATE("* differential.element[",'RelFlt-1'!#REF!,"].binding.valueSet = """,'RelFlt-1'!#REF!,""""),"")</f>
        <v>#REF!</v>
      </c>
      <c r="J28" s="112" t="e">
        <f>IF('RelFlt-1'!#REF!&gt; "", CONCATENATE("* differential.element[",'RelFlt-1'!#REF!,"].binding.strength = #",'RelFlt-1'!#REF!,""),"")</f>
        <v>#REF!</v>
      </c>
    </row>
    <row r="29" spans="2:10" ht="44.25" x14ac:dyDescent="0.75">
      <c r="B29" s="112" t="str">
        <f>CONCATENATE("* differential.element[",'RelFlt-1'!$A34,"].id = """,'RelFlt-1'!$B$6,".",'RelFlt-1'!B34,"""")</f>
        <v>* differential.element[].id = "RelapseDuringFLT."</v>
      </c>
      <c r="C29" s="112" t="str">
        <f>CONCATENATE("* differential.element[",'RelFlt-1'!$A34,"].path = """,'RelFlt-1'!$B$6,".",'RelFlt-1'!B34,"""")</f>
        <v>* differential.element[].path = "RelapseDuringFLT."</v>
      </c>
      <c r="D29" s="112" t="str">
        <f>CONCATENATE("* differential.element[",'RelFlt-1'!A34,"].short = """,'RelFlt-1'!C34,"""")</f>
        <v>* differential.element[].short = ""</v>
      </c>
      <c r="E29" s="112" t="str">
        <f>CONCATENATE("* differential.element[",'RelFlt-1'!A34,"].definition = """,'RelFlt-1'!D34,"""")</f>
        <v>* differential.element[].definition = ""</v>
      </c>
      <c r="F29" s="112" t="str">
        <f>CONCATENATE("* differential.element[",'RelFlt-1'!A34,"].min = ",'RelFlt-1'!E34,"")</f>
        <v xml:space="preserve">* differential.element[].min = </v>
      </c>
      <c r="G29" s="112" t="str">
        <f>CONCATENATE("* differential.element[",'RelFlt-1'!A34,"].max = """,'RelFlt-1'!F34,"""")</f>
        <v>* differential.element[].max = ""</v>
      </c>
      <c r="H29" s="112" t="str">
        <f>CONCATENATE("* differential.element[",'RelFlt-1'!A34,"].type.code = #",'RelFlt-1'!G34,"")</f>
        <v>* differential.element[].type.code = #</v>
      </c>
      <c r="I29" s="112" t="e">
        <f>IF('RelFlt-1'!#REF!&gt; "", CONCATENATE("* differential.element[",'RelFlt-1'!#REF!,"].binding.valueSet = """,'RelFlt-1'!#REF!,""""),"")</f>
        <v>#REF!</v>
      </c>
      <c r="J29" s="112" t="e">
        <f>IF('RelFlt-1'!#REF!&gt; "", CONCATENATE("* differential.element[",'RelFlt-1'!#REF!,"].binding.strength = #",'RelFlt-1'!#REF!,""),"")</f>
        <v>#REF!</v>
      </c>
    </row>
    <row r="30" spans="2:10" ht="44.25" x14ac:dyDescent="0.75">
      <c r="B30" s="112" t="str">
        <f>CONCATENATE("* differential.element[",'RelFlt-1'!$A35,"].id = """,'RelFlt-1'!$B$6,".",'RelFlt-1'!B35,"""")</f>
        <v>* differential.element[].id = "RelapseDuringFLT."</v>
      </c>
      <c r="C30" s="112" t="str">
        <f>CONCATENATE("* differential.element[",'RelFlt-1'!$A35,"].path = """,'RelFlt-1'!$B$6,".",'RelFlt-1'!B35,"""")</f>
        <v>* differential.element[].path = "RelapseDuringFLT."</v>
      </c>
      <c r="D30" s="112" t="str">
        <f>CONCATENATE("* differential.element[",'RelFlt-1'!A35,"].short = """,'RelFlt-1'!C35,"""")</f>
        <v>* differential.element[].short = ""</v>
      </c>
      <c r="E30" s="112" t="str">
        <f>CONCATENATE("* differential.element[",'RelFlt-1'!A35,"].definition = """,'RelFlt-1'!D35,"""")</f>
        <v>* differential.element[].definition = ""</v>
      </c>
      <c r="F30" s="112" t="str">
        <f>CONCATENATE("* differential.element[",'RelFlt-1'!A35,"].min = ",'RelFlt-1'!E35,"")</f>
        <v xml:space="preserve">* differential.element[].min = </v>
      </c>
      <c r="G30" s="112" t="str">
        <f>CONCATENATE("* differential.element[",'RelFlt-1'!A35,"].max = """,'RelFlt-1'!F35,"""")</f>
        <v>* differential.element[].max = ""</v>
      </c>
      <c r="H30" s="112" t="str">
        <f>CONCATENATE("* differential.element[",'RelFlt-1'!A35,"].type.code = #",'RelFlt-1'!G35,"")</f>
        <v>* differential.element[].type.code = #</v>
      </c>
      <c r="I30" s="112" t="e">
        <f>IF('RelFlt-1'!#REF!&gt; "", CONCATENATE("* differential.element[",'RelFlt-1'!#REF!,"].binding.valueSet = """,'RelFlt-1'!#REF!,""""),"")</f>
        <v>#REF!</v>
      </c>
      <c r="J30" s="112" t="e">
        <f>IF('RelFlt-1'!#REF!&gt; "", CONCATENATE("* differential.element[",'RelFlt-1'!#REF!,"].binding.strength = #",'RelFlt-1'!#REF!,""),"")</f>
        <v>#REF!</v>
      </c>
    </row>
    <row r="31" spans="2:10" ht="44.25" x14ac:dyDescent="0.75">
      <c r="B31" s="112" t="str">
        <f>CONCATENATE("* differential.element[",'RelFlt-1'!$A36,"].id = """,'RelFlt-1'!$B$6,".",'RelFlt-1'!B36,"""")</f>
        <v>* differential.element[].id = "RelapseDuringFLT."</v>
      </c>
      <c r="C31" s="112" t="str">
        <f>CONCATENATE("* differential.element[",'RelFlt-1'!$A36,"].path = """,'RelFlt-1'!$B$6,".",'RelFlt-1'!B36,"""")</f>
        <v>* differential.element[].path = "RelapseDuringFLT."</v>
      </c>
      <c r="D31" s="112" t="str">
        <f>CONCATENATE("* differential.element[",'RelFlt-1'!A36,"].short = """,'RelFlt-1'!C36,"""")</f>
        <v>* differential.element[].short = ""</v>
      </c>
      <c r="E31" s="112" t="str">
        <f>CONCATENATE("* differential.element[",'RelFlt-1'!A36,"].definition = """,'RelFlt-1'!D36,"""")</f>
        <v>* differential.element[].definition = ""</v>
      </c>
      <c r="F31" s="112" t="str">
        <f>CONCATENATE("* differential.element[",'RelFlt-1'!A36,"].min = ",'RelFlt-1'!E36,"")</f>
        <v xml:space="preserve">* differential.element[].min = </v>
      </c>
      <c r="G31" s="112" t="str">
        <f>CONCATENATE("* differential.element[",'RelFlt-1'!A36,"].max = """,'RelFlt-1'!F36,"""")</f>
        <v>* differential.element[].max = ""</v>
      </c>
      <c r="H31" s="112" t="str">
        <f>CONCATENATE("* differential.element[",'RelFlt-1'!A36,"].type.code = #",'RelFlt-1'!G36,"")</f>
        <v>* differential.element[].type.code = #</v>
      </c>
      <c r="I31" s="112" t="e">
        <f>IF('RelFlt-1'!#REF!&gt; "", CONCATENATE("* differential.element[",'RelFlt-1'!#REF!,"].binding.valueSet = """,'RelFlt-1'!#REF!,""""),"")</f>
        <v>#REF!</v>
      </c>
      <c r="J31" s="112" t="e">
        <f>IF('RelFlt-1'!#REF!&gt; "", CONCATENATE("* differential.element[",'RelFlt-1'!#REF!,"].binding.strength = #",'RelFlt-1'!#REF!,""),"")</f>
        <v>#REF!</v>
      </c>
    </row>
    <row r="32" spans="2:10" ht="44.25" x14ac:dyDescent="0.75">
      <c r="B32" s="112" t="str">
        <f>CONCATENATE("* differential.element[",'RelFlt-1'!$A37,"].id = """,'RelFlt-1'!$B$6,".",'RelFlt-1'!B37,"""")</f>
        <v>* differential.element[].id = "RelapseDuringFLT."</v>
      </c>
      <c r="C32" s="112" t="str">
        <f>CONCATENATE("* differential.element[",'RelFlt-1'!$A37,"].path = """,'RelFlt-1'!$B$6,".",'RelFlt-1'!B37,"""")</f>
        <v>* differential.element[].path = "RelapseDuringFLT."</v>
      </c>
      <c r="D32" s="112" t="str">
        <f>CONCATENATE("* differential.element[",'RelFlt-1'!A37,"].short = """,'RelFlt-1'!C37,"""")</f>
        <v>* differential.element[].short = ""</v>
      </c>
      <c r="E32" s="112" t="str">
        <f>CONCATENATE("* differential.element[",'RelFlt-1'!A37,"].definition = """,'RelFlt-1'!D37,"""")</f>
        <v>* differential.element[].definition = ""</v>
      </c>
      <c r="F32" s="112" t="str">
        <f>CONCATENATE("* differential.element[",'RelFlt-1'!A37,"].min = ",'RelFlt-1'!E37,"")</f>
        <v xml:space="preserve">* differential.element[].min = </v>
      </c>
      <c r="G32" s="112" t="str">
        <f>CONCATENATE("* differential.element[",'RelFlt-1'!A37,"].max = """,'RelFlt-1'!F37,"""")</f>
        <v>* differential.element[].max = ""</v>
      </c>
      <c r="H32" s="112" t="str">
        <f>CONCATENATE("* differential.element[",'RelFlt-1'!A37,"].type.code = #",'RelFlt-1'!G37,"")</f>
        <v>* differential.element[].type.code = #</v>
      </c>
      <c r="I32" s="112" t="e">
        <f>IF('RelFlt-1'!#REF!&gt; "", CONCATENATE("* differential.element[",'RelFlt-1'!#REF!,"].binding.valueSet = """,'RelFlt-1'!#REF!,""""),"")</f>
        <v>#REF!</v>
      </c>
      <c r="J32" s="112" t="e">
        <f>IF('RelFlt-1'!#REF!&gt; "", CONCATENATE("* differential.element[",'RelFlt-1'!#REF!,"].binding.strength = #",'RelFlt-1'!#REF!,""),"")</f>
        <v>#REF!</v>
      </c>
    </row>
    <row r="33" spans="2:10" ht="44.25" x14ac:dyDescent="0.75">
      <c r="B33" s="112" t="str">
        <f>CONCATENATE("* differential.element[",'RelFlt-1'!$A38,"].id = """,'RelFlt-1'!$B$6,".",'RelFlt-1'!B38,"""")</f>
        <v>* differential.element[].id = "RelapseDuringFLT."</v>
      </c>
      <c r="C33" s="112" t="str">
        <f>CONCATENATE("* differential.element[",'RelFlt-1'!$A38,"].path = """,'RelFlt-1'!$B$6,".",'RelFlt-1'!B38,"""")</f>
        <v>* differential.element[].path = "RelapseDuringFLT."</v>
      </c>
      <c r="D33" s="112" t="str">
        <f>CONCATENATE("* differential.element[",'RelFlt-1'!A38,"].short = """,'RelFlt-1'!C38,"""")</f>
        <v>* differential.element[].short = ""</v>
      </c>
      <c r="E33" s="112" t="str">
        <f>CONCATENATE("* differential.element[",'RelFlt-1'!A38,"].definition = """,'RelFlt-1'!D38,"""")</f>
        <v>* differential.element[].definition = ""</v>
      </c>
      <c r="F33" s="112" t="str">
        <f>CONCATENATE("* differential.element[",'RelFlt-1'!A38,"].min = ",'RelFlt-1'!E38,"")</f>
        <v xml:space="preserve">* differential.element[].min = </v>
      </c>
      <c r="G33" s="112" t="str">
        <f>CONCATENATE("* differential.element[",'RelFlt-1'!A38,"].max = """,'RelFlt-1'!F38,"""")</f>
        <v>* differential.element[].max = ""</v>
      </c>
      <c r="H33" s="112" t="str">
        <f>CONCATENATE("* differential.element[",'RelFlt-1'!A38,"].type.code = #",'RelFlt-1'!G38,"")</f>
        <v>* differential.element[].type.code = #</v>
      </c>
      <c r="I33" s="112" t="e">
        <f>IF('RelFlt-1'!#REF!&gt; "", CONCATENATE("* differential.element[",'RelFlt-1'!#REF!,"].binding.valueSet = """,'RelFlt-1'!#REF!,""""),"")</f>
        <v>#REF!</v>
      </c>
      <c r="J33" s="112" t="e">
        <f>IF('RelFlt-1'!#REF!&gt; "", CONCATENATE("* differential.element[",'RelFlt-1'!#REF!,"].binding.strength = #",'RelFlt-1'!#REF!,""),"")</f>
        <v>#REF!</v>
      </c>
    </row>
    <row r="34" spans="2:10" ht="44.25" x14ac:dyDescent="0.75">
      <c r="B34" s="112" t="str">
        <f>CONCATENATE("* differential.element[",'RelFlt-1'!$A39,"].id = """,'RelFlt-1'!$B$6,".",'RelFlt-1'!B39,"""")</f>
        <v>* differential.element[].id = "RelapseDuringFLT."</v>
      </c>
      <c r="C34" s="112" t="str">
        <f>CONCATENATE("* differential.element[",'RelFlt-1'!$A39,"].path = """,'RelFlt-1'!$B$6,".",'RelFlt-1'!B39,"""")</f>
        <v>* differential.element[].path = "RelapseDuringFLT."</v>
      </c>
      <c r="D34" s="112" t="str">
        <f>CONCATENATE("* differential.element[",'RelFlt-1'!A39,"].short = """,'RelFlt-1'!C39,"""")</f>
        <v>* differential.element[].short = ""</v>
      </c>
      <c r="E34" s="112" t="str">
        <f>CONCATENATE("* differential.element[",'RelFlt-1'!A39,"].definition = """,'RelFlt-1'!D39,"""")</f>
        <v>* differential.element[].definition = ""</v>
      </c>
      <c r="F34" s="112" t="str">
        <f>CONCATENATE("* differential.element[",'RelFlt-1'!A39,"].min = ",'RelFlt-1'!E39,"")</f>
        <v xml:space="preserve">* differential.element[].min = </v>
      </c>
      <c r="G34" s="112" t="str">
        <f>CONCATENATE("* differential.element[",'RelFlt-1'!A39,"].max = """,'RelFlt-1'!F39,"""")</f>
        <v>* differential.element[].max = ""</v>
      </c>
      <c r="H34" s="112" t="str">
        <f>CONCATENATE("* differential.element[",'RelFlt-1'!A39,"].type.code = #",'RelFlt-1'!G39,"")</f>
        <v>* differential.element[].type.code = #</v>
      </c>
      <c r="I34" s="112" t="e">
        <f>IF('RelFlt-1'!#REF!&gt; "", CONCATENATE("* differential.element[",'RelFlt-1'!#REF!,"].binding.valueSet = """,'RelFlt-1'!#REF!,""""),"")</f>
        <v>#REF!</v>
      </c>
      <c r="J34" s="112" t="e">
        <f>IF('RelFlt-1'!#REF!&gt; "", CONCATENATE("* differential.element[",'RelFlt-1'!#REF!,"].binding.strength = #",'RelFlt-1'!#REF!,""),"")</f>
        <v>#REF!</v>
      </c>
    </row>
    <row r="35" spans="2:10" ht="44.25" x14ac:dyDescent="0.75">
      <c r="B35" s="112" t="str">
        <f>CONCATENATE("* differential.element[",'RelFlt-1'!$A40,"].id = """,'RelFlt-1'!$B$6,".",'RelFlt-1'!B40,"""")</f>
        <v>* differential.element[].id = "RelapseDuringFLT."</v>
      </c>
      <c r="C35" s="112" t="str">
        <f>CONCATENATE("* differential.element[",'RelFlt-1'!$A40,"].path = """,'RelFlt-1'!$B$6,".",'RelFlt-1'!B40,"""")</f>
        <v>* differential.element[].path = "RelapseDuringFLT."</v>
      </c>
      <c r="D35" s="112" t="str">
        <f>CONCATENATE("* differential.element[",'RelFlt-1'!A40,"].short = """,'RelFlt-1'!C40,"""")</f>
        <v>* differential.element[].short = ""</v>
      </c>
      <c r="E35" s="112" t="str">
        <f>CONCATENATE("* differential.element[",'RelFlt-1'!A40,"].definition = """,'RelFlt-1'!D40,"""")</f>
        <v>* differential.element[].definition = ""</v>
      </c>
      <c r="F35" s="112" t="str">
        <f>CONCATENATE("* differential.element[",'RelFlt-1'!A40,"].min = ",'RelFlt-1'!E40,"")</f>
        <v xml:space="preserve">* differential.element[].min = </v>
      </c>
      <c r="G35" s="112" t="str">
        <f>CONCATENATE("* differential.element[",'RelFlt-1'!A40,"].max = """,'RelFlt-1'!F40,"""")</f>
        <v>* differential.element[].max = ""</v>
      </c>
      <c r="H35" s="112" t="str">
        <f>CONCATENATE("* differential.element[",'RelFlt-1'!A40,"].type.code = #",'RelFlt-1'!G40,"")</f>
        <v>* differential.element[].type.code = #</v>
      </c>
      <c r="I35" s="112" t="e">
        <f>IF('RelFlt-1'!#REF!&gt; "", CONCATENATE("* differential.element[",'RelFlt-1'!#REF!,"].binding.valueSet = """,'RelFlt-1'!#REF!,""""),"")</f>
        <v>#REF!</v>
      </c>
      <c r="J35" s="112" t="e">
        <f>IF('RelFlt-1'!#REF!&gt; "", CONCATENATE("* differential.element[",'RelFlt-1'!#REF!,"].binding.strength = #",'RelFlt-1'!#REF!,""),"")</f>
        <v>#REF!</v>
      </c>
    </row>
    <row r="36" spans="2:10" ht="44.25" x14ac:dyDescent="0.75">
      <c r="B36" s="112" t="str">
        <f>CONCATENATE("* differential.element[",'RelFlt-1'!$A41,"].id = """,'RelFlt-1'!$B$6,".",'RelFlt-1'!B41,"""")</f>
        <v>* differential.element[].id = "RelapseDuringFLT."</v>
      </c>
      <c r="C36" s="112" t="str">
        <f>CONCATENATE("* differential.element[",'RelFlt-1'!$A41,"].path = """,'RelFlt-1'!$B$6,".",'RelFlt-1'!B41,"""")</f>
        <v>* differential.element[].path = "RelapseDuringFLT."</v>
      </c>
      <c r="D36" s="112" t="str">
        <f>CONCATENATE("* differential.element[",'RelFlt-1'!A41,"].short = """,'RelFlt-1'!C41,"""")</f>
        <v>* differential.element[].short = ""</v>
      </c>
      <c r="E36" s="112" t="str">
        <f>CONCATENATE("* differential.element[",'RelFlt-1'!A41,"].definition = """,'RelFlt-1'!D41,"""")</f>
        <v>* differential.element[].definition = ""</v>
      </c>
      <c r="F36" s="112" t="str">
        <f>CONCATENATE("* differential.element[",'RelFlt-1'!A41,"].min = ",'RelFlt-1'!E41,"")</f>
        <v xml:space="preserve">* differential.element[].min = </v>
      </c>
      <c r="G36" s="112" t="str">
        <f>CONCATENATE("* differential.element[",'RelFlt-1'!A41,"].max = """,'RelFlt-1'!F41,"""")</f>
        <v>* differential.element[].max = ""</v>
      </c>
      <c r="H36" s="112" t="str">
        <f>CONCATENATE("* differential.element[",'RelFlt-1'!A41,"].type.code = #",'RelFlt-1'!G41,"")</f>
        <v>* differential.element[].type.code = #</v>
      </c>
      <c r="I36" s="112" t="e">
        <f>IF('RelFlt-1'!#REF!&gt; "", CONCATENATE("* differential.element[",'RelFlt-1'!#REF!,"].binding.valueSet = """,'RelFlt-1'!#REF!,""""),"")</f>
        <v>#REF!</v>
      </c>
      <c r="J36" s="112" t="e">
        <f>IF('RelFlt-1'!#REF!&gt; "", CONCATENATE("* differential.element[",'RelFlt-1'!#REF!,"].binding.strength = #",'RelFlt-1'!#REF!,""),"")</f>
        <v>#REF!</v>
      </c>
    </row>
    <row r="37" spans="2:10" ht="44.25" x14ac:dyDescent="0.75">
      <c r="B37" s="112" t="str">
        <f>CONCATENATE("* differential.element[",'RelFlt-1'!$A42,"].id = """,'RelFlt-1'!$B$6,".",'RelFlt-1'!B42,"""")</f>
        <v>* differential.element[].id = "RelapseDuringFLT."</v>
      </c>
      <c r="C37" s="112" t="str">
        <f>CONCATENATE("* differential.element[",'RelFlt-1'!$A42,"].path = """,'RelFlt-1'!$B$6,".",'RelFlt-1'!B42,"""")</f>
        <v>* differential.element[].path = "RelapseDuringFLT."</v>
      </c>
      <c r="D37" s="112" t="str">
        <f>CONCATENATE("* differential.element[",'RelFlt-1'!A42,"].short = """,'RelFlt-1'!C42,"""")</f>
        <v>* differential.element[].short = ""</v>
      </c>
      <c r="E37" s="112" t="str">
        <f>CONCATENATE("* differential.element[",'RelFlt-1'!A42,"].definition = """,'RelFlt-1'!D42,"""")</f>
        <v>* differential.element[].definition = ""</v>
      </c>
      <c r="F37" s="112" t="str">
        <f>CONCATENATE("* differential.element[",'RelFlt-1'!A42,"].min = ",'RelFlt-1'!E42,"")</f>
        <v xml:space="preserve">* differential.element[].min = </v>
      </c>
      <c r="G37" s="112" t="str">
        <f>CONCATENATE("* differential.element[",'RelFlt-1'!A42,"].max = """,'RelFlt-1'!F42,"""")</f>
        <v>* differential.element[].max = ""</v>
      </c>
      <c r="H37" s="112" t="str">
        <f>CONCATENATE("* differential.element[",'RelFlt-1'!A42,"].type.code = #",'RelFlt-1'!G42,"")</f>
        <v>* differential.element[].type.code = #</v>
      </c>
      <c r="I37" s="112" t="e">
        <f>IF('RelFlt-1'!#REF!&gt; "", CONCATENATE("* differential.element[",'RelFlt-1'!#REF!,"].binding.valueSet = """,'RelFlt-1'!#REF!,""""),"")</f>
        <v>#REF!</v>
      </c>
      <c r="J37" s="112" t="e">
        <f>IF('RelFlt-1'!#REF!&gt; "", CONCATENATE("* differential.element[",'RelFlt-1'!#REF!,"].binding.strength = #",'RelFlt-1'!#REF!,""),"")</f>
        <v>#REF!</v>
      </c>
    </row>
    <row r="38" spans="2:10" ht="44.25" x14ac:dyDescent="0.75">
      <c r="B38" s="112" t="str">
        <f>CONCATENATE("* differential.element[",'RelFlt-1'!$A43,"].id = """,'RelFlt-1'!$B$6,".",'RelFlt-1'!B43,"""")</f>
        <v>* differential.element[].id = "RelapseDuringFLT."</v>
      </c>
      <c r="C38" s="112" t="str">
        <f>CONCATENATE("* differential.element[",'RelFlt-1'!$A43,"].path = """,'RelFlt-1'!$B$6,".",'RelFlt-1'!B43,"""")</f>
        <v>* differential.element[].path = "RelapseDuringFLT."</v>
      </c>
      <c r="D38" s="112" t="str">
        <f>CONCATENATE("* differential.element[",'RelFlt-1'!A43,"].short = """,'RelFlt-1'!C43,"""")</f>
        <v>* differential.element[].short = ""</v>
      </c>
      <c r="E38" s="112" t="str">
        <f>CONCATENATE("* differential.element[",'RelFlt-1'!A43,"].definition = """,'RelFlt-1'!D43,"""")</f>
        <v>* differential.element[].definition = ""</v>
      </c>
      <c r="F38" s="112" t="str">
        <f>CONCATENATE("* differential.element[",'RelFlt-1'!A43,"].min = ",'RelFlt-1'!E43,"")</f>
        <v xml:space="preserve">* differential.element[].min = </v>
      </c>
      <c r="G38" s="112" t="str">
        <f>CONCATENATE("* differential.element[",'RelFlt-1'!A43,"].max = """,'RelFlt-1'!F43,"""")</f>
        <v>* differential.element[].max = ""</v>
      </c>
      <c r="H38" s="112" t="str">
        <f>CONCATENATE("* differential.element[",'RelFlt-1'!A43,"].type.code = #",'RelFlt-1'!G43,"")</f>
        <v>* differential.element[].type.code = #</v>
      </c>
      <c r="I38" s="112" t="e">
        <f>IF('RelFlt-1'!#REF!&gt; "", CONCATENATE("* differential.element[",'RelFlt-1'!#REF!,"].binding.valueSet = """,'RelFlt-1'!#REF!,""""),"")</f>
        <v>#REF!</v>
      </c>
      <c r="J38" s="112" t="e">
        <f>IF('RelFlt-1'!#REF!&gt; "", CONCATENATE("* differential.element[",'RelFlt-1'!#REF!,"].binding.strength = #",'RelFlt-1'!#REF!,""),"")</f>
        <v>#REF!</v>
      </c>
    </row>
    <row r="39" spans="2:10" ht="44.25" x14ac:dyDescent="0.75">
      <c r="B39" s="112" t="str">
        <f>CONCATENATE("* differential.element[",'RelFlt-1'!$A44,"].id = """,'RelFlt-1'!$B$6,".",'RelFlt-1'!B44,"""")</f>
        <v>* differential.element[].id = "RelapseDuringFLT."</v>
      </c>
      <c r="C39" s="112" t="str">
        <f>CONCATENATE("* differential.element[",'RelFlt-1'!$A44,"].path = """,'RelFlt-1'!$B$6,".",'RelFlt-1'!B44,"""")</f>
        <v>* differential.element[].path = "RelapseDuringFLT."</v>
      </c>
      <c r="D39" s="112" t="str">
        <f>CONCATENATE("* differential.element[",'RelFlt-1'!A44,"].short = """,'RelFlt-1'!C44,"""")</f>
        <v>* differential.element[].short = ""</v>
      </c>
      <c r="E39" s="112" t="str">
        <f>CONCATENATE("* differential.element[",'RelFlt-1'!A44,"].definition = """,'RelFlt-1'!D44,"""")</f>
        <v>* differential.element[].definition = ""</v>
      </c>
      <c r="F39" s="112" t="str">
        <f>CONCATENATE("* differential.element[",'RelFlt-1'!A44,"].min = ",'RelFlt-1'!E44,"")</f>
        <v xml:space="preserve">* differential.element[].min = </v>
      </c>
      <c r="G39" s="112" t="str">
        <f>CONCATENATE("* differential.element[",'RelFlt-1'!A44,"].max = """,'RelFlt-1'!F44,"""")</f>
        <v>* differential.element[].max = ""</v>
      </c>
      <c r="H39" s="112" t="str">
        <f>CONCATENATE("* differential.element[",'RelFlt-1'!A44,"].type.code = #",'RelFlt-1'!G44,"")</f>
        <v>* differential.element[].type.code = #</v>
      </c>
      <c r="I39" s="112" t="e">
        <f>IF('RelFlt-1'!#REF!&gt; "", CONCATENATE("* differential.element[",'RelFlt-1'!#REF!,"].binding.valueSet = """,'RelFlt-1'!#REF!,""""),"")</f>
        <v>#REF!</v>
      </c>
      <c r="J39" s="112" t="e">
        <f>IF('RelFlt-1'!#REF!&gt; "", CONCATENATE("* differential.element[",'RelFlt-1'!#REF!,"].binding.strength = #",'RelFlt-1'!#REF!,""),"")</f>
        <v>#REF!</v>
      </c>
    </row>
    <row r="40" spans="2:10" ht="44.25" x14ac:dyDescent="0.75">
      <c r="B40" s="112" t="str">
        <f>CONCATENATE("* differential.element[",'RelFlt-1'!$A45,"].id = """,'RelFlt-1'!$B$6,".",'RelFlt-1'!B45,"""")</f>
        <v>* differential.element[].id = "RelapseDuringFLT."</v>
      </c>
      <c r="C40" s="112" t="str">
        <f>CONCATENATE("* differential.element[",'RelFlt-1'!$A45,"].path = """,'RelFlt-1'!$B$6,".",'RelFlt-1'!B45,"""")</f>
        <v>* differential.element[].path = "RelapseDuringFLT."</v>
      </c>
      <c r="D40" s="112" t="str">
        <f>CONCATENATE("* differential.element[",'RelFlt-1'!A45,"].short = """,'RelFlt-1'!C45,"""")</f>
        <v>* differential.element[].short = ""</v>
      </c>
      <c r="E40" s="112" t="str">
        <f>CONCATENATE("* differential.element[",'RelFlt-1'!A45,"].definition = """,'RelFlt-1'!D45,"""")</f>
        <v>* differential.element[].definition = ""</v>
      </c>
      <c r="F40" s="112" t="str">
        <f>CONCATENATE("* differential.element[",'RelFlt-1'!A45,"].min = ",'RelFlt-1'!E45,"")</f>
        <v xml:space="preserve">* differential.element[].min = </v>
      </c>
      <c r="G40" s="112" t="str">
        <f>CONCATENATE("* differential.element[",'RelFlt-1'!A45,"].max = """,'RelFlt-1'!F45,"""")</f>
        <v>* differential.element[].max = ""</v>
      </c>
      <c r="H40" s="112" t="str">
        <f>CONCATENATE("* differential.element[",'RelFlt-1'!A45,"].type.code = #",'RelFlt-1'!G45,"")</f>
        <v>* differential.element[].type.code = #</v>
      </c>
      <c r="I40" s="112" t="e">
        <f>IF('RelFlt-1'!#REF!&gt; "", CONCATENATE("* differential.element[",'RelFlt-1'!#REF!,"].binding.valueSet = """,'RelFlt-1'!#REF!,""""),"")</f>
        <v>#REF!</v>
      </c>
      <c r="J40" s="112" t="e">
        <f>IF('RelFlt-1'!#REF!&gt; "", CONCATENATE("* differential.element[",'RelFlt-1'!#REF!,"].binding.strength = #",'RelFlt-1'!#REF!,""),"")</f>
        <v>#REF!</v>
      </c>
    </row>
    <row r="41" spans="2:10" ht="44.25" x14ac:dyDescent="0.75">
      <c r="B41" s="112" t="str">
        <f>CONCATENATE("* differential.element[",'RelFlt-1'!$A46,"].id = """,'RelFlt-1'!$B$6,".",'RelFlt-1'!B46,"""")</f>
        <v>* differential.element[].id = "RelapseDuringFLT."</v>
      </c>
      <c r="C41" s="112" t="str">
        <f>CONCATENATE("* differential.element[",'RelFlt-1'!$A46,"].path = """,'RelFlt-1'!$B$6,".",'RelFlt-1'!B46,"""")</f>
        <v>* differential.element[].path = "RelapseDuringFLT."</v>
      </c>
      <c r="D41" s="112" t="str">
        <f>CONCATENATE("* differential.element[",'RelFlt-1'!A46,"].short = """,'RelFlt-1'!C46,"""")</f>
        <v>* differential.element[].short = ""</v>
      </c>
      <c r="E41" s="112" t="str">
        <f>CONCATENATE("* differential.element[",'RelFlt-1'!A46,"].definition = """,'RelFlt-1'!D46,"""")</f>
        <v>* differential.element[].definition = ""</v>
      </c>
      <c r="F41" s="112" t="str">
        <f>CONCATENATE("* differential.element[",'RelFlt-1'!A46,"].min = ",'RelFlt-1'!E46,"")</f>
        <v xml:space="preserve">* differential.element[].min = </v>
      </c>
      <c r="G41" s="112" t="str">
        <f>CONCATENATE("* differential.element[",'RelFlt-1'!A46,"].max = """,'RelFlt-1'!F46,"""")</f>
        <v>* differential.element[].max = ""</v>
      </c>
      <c r="H41" s="112" t="str">
        <f>CONCATENATE("* differential.element[",'RelFlt-1'!A46,"].type.code = #",'RelFlt-1'!G46,"")</f>
        <v>* differential.element[].type.code = #</v>
      </c>
      <c r="I41" s="112" t="e">
        <f>IF('RelFlt-1'!#REF!&gt; "", CONCATENATE("* differential.element[",'RelFlt-1'!#REF!,"].binding.valueSet = """,'RelFlt-1'!#REF!,""""),"")</f>
        <v>#REF!</v>
      </c>
      <c r="J41" s="112" t="e">
        <f>IF('RelFlt-1'!#REF!&gt; "", CONCATENATE("* differential.element[",'RelFlt-1'!#REF!,"].binding.strength = #",'RelFlt-1'!#REF!,""),"")</f>
        <v>#REF!</v>
      </c>
    </row>
    <row r="42" spans="2:10" ht="44.25" x14ac:dyDescent="0.75">
      <c r="B42" s="112" t="str">
        <f>CONCATENATE("* differential.element[",'RelFlt-1'!$A47,"].id = """,'RelFlt-1'!$B$6,".",'RelFlt-1'!B47,"""")</f>
        <v>* differential.element[].id = "RelapseDuringFLT."</v>
      </c>
      <c r="C42" s="112" t="str">
        <f>CONCATENATE("* differential.element[",'RelFlt-1'!$A47,"].path = """,'RelFlt-1'!$B$6,".",'RelFlt-1'!B47,"""")</f>
        <v>* differential.element[].path = "RelapseDuringFLT."</v>
      </c>
      <c r="D42" s="112" t="str">
        <f>CONCATENATE("* differential.element[",'RelFlt-1'!A47,"].short = """,'RelFlt-1'!C47,"""")</f>
        <v>* differential.element[].short = ""</v>
      </c>
      <c r="E42" s="112" t="str">
        <f>CONCATENATE("* differential.element[",'RelFlt-1'!A47,"].definition = """,'RelFlt-1'!D47,"""")</f>
        <v>* differential.element[].definition = ""</v>
      </c>
      <c r="F42" s="112" t="str">
        <f>CONCATENATE("* differential.element[",'RelFlt-1'!A47,"].min = ",'RelFlt-1'!E47,"")</f>
        <v xml:space="preserve">* differential.element[].min = </v>
      </c>
      <c r="G42" s="112" t="str">
        <f>CONCATENATE("* differential.element[",'RelFlt-1'!A47,"].max = """,'RelFlt-1'!F47,"""")</f>
        <v>* differential.element[].max = ""</v>
      </c>
      <c r="H42" s="112" t="str">
        <f>CONCATENATE("* differential.element[",'RelFlt-1'!A47,"].type.code = #",'RelFlt-1'!G47,"")</f>
        <v>* differential.element[].type.code = #</v>
      </c>
      <c r="I42" s="112" t="e">
        <f>IF('RelFlt-1'!#REF!&gt; "", CONCATENATE("* differential.element[",'RelFlt-1'!#REF!,"].binding.valueSet = """,'RelFlt-1'!#REF!,""""),"")</f>
        <v>#REF!</v>
      </c>
      <c r="J42" s="112" t="e">
        <f>IF('RelFlt-1'!#REF!&gt; "", CONCATENATE("* differential.element[",'RelFlt-1'!#REF!,"].binding.strength = #",'RelFlt-1'!#REF!,""),"")</f>
        <v>#REF!</v>
      </c>
    </row>
    <row r="43" spans="2:10" ht="44.25" x14ac:dyDescent="0.75">
      <c r="B43" s="112" t="str">
        <f>CONCATENATE("* differential.element[",'RelFlt-1'!$A48,"].id = """,'RelFlt-1'!$B$6,".",'RelFlt-1'!B48,"""")</f>
        <v>* differential.element[].id = "RelapseDuringFLT."</v>
      </c>
      <c r="C43" s="112" t="str">
        <f>CONCATENATE("* differential.element[",'RelFlt-1'!$A48,"].path = """,'RelFlt-1'!$B$6,".",'RelFlt-1'!B48,"""")</f>
        <v>* differential.element[].path = "RelapseDuringFLT."</v>
      </c>
      <c r="D43" s="112" t="str">
        <f>CONCATENATE("* differential.element[",'RelFlt-1'!A48,"].short = """,'RelFlt-1'!C48,"""")</f>
        <v>* differential.element[].short = ""</v>
      </c>
      <c r="E43" s="112" t="str">
        <f>CONCATENATE("* differential.element[",'RelFlt-1'!A48,"].definition = """,'RelFlt-1'!D48,"""")</f>
        <v>* differential.element[].definition = ""</v>
      </c>
      <c r="F43" s="112" t="str">
        <f>CONCATENATE("* differential.element[",'RelFlt-1'!A48,"].min = ",'RelFlt-1'!E48,"")</f>
        <v xml:space="preserve">* differential.element[].min = </v>
      </c>
      <c r="G43" s="112" t="str">
        <f>CONCATENATE("* differential.element[",'RelFlt-1'!A48,"].max = """,'RelFlt-1'!F48,"""")</f>
        <v>* differential.element[].max = ""</v>
      </c>
      <c r="H43" s="112" t="str">
        <f>CONCATENATE("* differential.element[",'RelFlt-1'!A48,"].type.code = #",'RelFlt-1'!G48,"")</f>
        <v>* differential.element[].type.code = #</v>
      </c>
      <c r="I43" s="112" t="e">
        <f>IF('RelFlt-1'!#REF!&gt; "", CONCATENATE("* differential.element[",'RelFlt-1'!#REF!,"].binding.valueSet = """,'RelFlt-1'!#REF!,""""),"")</f>
        <v>#REF!</v>
      </c>
      <c r="J43" s="112" t="e">
        <f>IF('RelFlt-1'!#REF!&gt; "", CONCATENATE("* differential.element[",'RelFlt-1'!#REF!,"].binding.strength = #",'RelFlt-1'!#REF!,""),"")</f>
        <v>#REF!</v>
      </c>
    </row>
    <row r="44" spans="2:10" ht="44.25" x14ac:dyDescent="0.75">
      <c r="B44" s="112" t="str">
        <f>CONCATENATE("* differential.element[",'RelFlt-1'!$A49,"].id = """,'RelFlt-1'!$B$6,".",'RelFlt-1'!B49,"""")</f>
        <v>* differential.element[].id = "RelapseDuringFLT."</v>
      </c>
      <c r="C44" s="112" t="str">
        <f>CONCATENATE("* differential.element[",'RelFlt-1'!$A49,"].path = """,'RelFlt-1'!$B$6,".",'RelFlt-1'!B49,"""")</f>
        <v>* differential.element[].path = "RelapseDuringFLT."</v>
      </c>
      <c r="D44" s="112" t="str">
        <f>CONCATENATE("* differential.element[",'RelFlt-1'!A49,"].short = """,'RelFlt-1'!C49,"""")</f>
        <v>* differential.element[].short = ""</v>
      </c>
      <c r="E44" s="112" t="str">
        <f>CONCATENATE("* differential.element[",'RelFlt-1'!A49,"].definition = """,'RelFlt-1'!D49,"""")</f>
        <v>* differential.element[].definition = ""</v>
      </c>
      <c r="F44" s="112" t="str">
        <f>CONCATENATE("* differential.element[",'RelFlt-1'!A49,"].min = ",'RelFlt-1'!E49,"")</f>
        <v xml:space="preserve">* differential.element[].min = </v>
      </c>
      <c r="G44" s="112" t="str">
        <f>CONCATENATE("* differential.element[",'RelFlt-1'!A49,"].max = """,'RelFlt-1'!F49,"""")</f>
        <v>* differential.element[].max = ""</v>
      </c>
      <c r="H44" s="112" t="str">
        <f>CONCATENATE("* differential.element[",'RelFlt-1'!A49,"].type.code = #",'RelFlt-1'!G49,"")</f>
        <v>* differential.element[].type.code = #</v>
      </c>
      <c r="I44" s="112" t="e">
        <f>IF('RelFlt-1'!#REF!&gt; "", CONCATENATE("* differential.element[",'RelFlt-1'!#REF!,"].binding.valueSet = """,'RelFlt-1'!#REF!,""""),"")</f>
        <v>#REF!</v>
      </c>
      <c r="J44" s="112" t="e">
        <f>IF('RelFlt-1'!#REF!&gt; "", CONCATENATE("* differential.element[",'RelFlt-1'!#REF!,"].binding.strength = #",'RelFlt-1'!#REF!,""),"")</f>
        <v>#REF!</v>
      </c>
    </row>
    <row r="45" spans="2:10" ht="44.25" x14ac:dyDescent="0.75">
      <c r="B45" s="112" t="str">
        <f>CONCATENATE("* differential.element[",'RelFlt-1'!$A50,"].id = """,'RelFlt-1'!$B$6,".",'RelFlt-1'!B50,"""")</f>
        <v>* differential.element[].id = "RelapseDuringFLT."</v>
      </c>
      <c r="C45" s="112" t="str">
        <f>CONCATENATE("* differential.element[",'RelFlt-1'!$A50,"].path = """,'RelFlt-1'!$B$6,".",'RelFlt-1'!B50,"""")</f>
        <v>* differential.element[].path = "RelapseDuringFLT."</v>
      </c>
      <c r="D45" s="112" t="str">
        <f>CONCATENATE("* differential.element[",'RelFlt-1'!A50,"].short = """,'RelFlt-1'!C50,"""")</f>
        <v>* differential.element[].short = ""</v>
      </c>
      <c r="E45" s="112" t="str">
        <f>CONCATENATE("* differential.element[",'RelFlt-1'!A50,"].definition = """,'RelFlt-1'!D50,"""")</f>
        <v>* differential.element[].definition = ""</v>
      </c>
      <c r="F45" s="112" t="str">
        <f>CONCATENATE("* differential.element[",'RelFlt-1'!A50,"].min = ",'RelFlt-1'!E50,"")</f>
        <v xml:space="preserve">* differential.element[].min = </v>
      </c>
      <c r="G45" s="112" t="str">
        <f>CONCATENATE("* differential.element[",'RelFlt-1'!A50,"].max = """,'RelFlt-1'!F50,"""")</f>
        <v>* differential.element[].max = ""</v>
      </c>
      <c r="H45" s="112" t="str">
        <f>CONCATENATE("* differential.element[",'RelFlt-1'!A50,"].type.code = #",'RelFlt-1'!G50,"")</f>
        <v>* differential.element[].type.code = #</v>
      </c>
      <c r="I45" s="112" t="e">
        <f>IF('RelFlt-1'!#REF!&gt; "", CONCATENATE("* differential.element[",'RelFlt-1'!#REF!,"].binding.valueSet = """,'RelFlt-1'!#REF!,""""),"")</f>
        <v>#REF!</v>
      </c>
      <c r="J45" s="112" t="e">
        <f>IF('RelFlt-1'!#REF!&gt; "", CONCATENATE("* differential.element[",'RelFlt-1'!#REF!,"].binding.strength = #",'RelFlt-1'!#REF!,""),"")</f>
        <v>#REF!</v>
      </c>
    </row>
    <row r="46" spans="2:10" ht="44.25" x14ac:dyDescent="0.75">
      <c r="B46" s="112" t="str">
        <f>CONCATENATE("* differential.element[",'RelFlt-1'!$A51,"].id = """,'RelFlt-1'!$B$6,".",'RelFlt-1'!B51,"""")</f>
        <v>* differential.element[].id = "RelapseDuringFLT."</v>
      </c>
      <c r="C46" s="112" t="str">
        <f>CONCATENATE("* differential.element[",'RelFlt-1'!$A51,"].path = """,'RelFlt-1'!$B$6,".",'RelFlt-1'!B51,"""")</f>
        <v>* differential.element[].path = "RelapseDuringFLT."</v>
      </c>
      <c r="D46" s="112" t="str">
        <f>CONCATENATE("* differential.element[",'RelFlt-1'!A51,"].short = """,'RelFlt-1'!C51,"""")</f>
        <v>* differential.element[].short = ""</v>
      </c>
      <c r="E46" s="112" t="str">
        <f>CONCATENATE("* differential.element[",'RelFlt-1'!A51,"].definition = """,'RelFlt-1'!D51,"""")</f>
        <v>* differential.element[].definition = ""</v>
      </c>
      <c r="F46" s="112" t="str">
        <f>CONCATENATE("* differential.element[",'RelFlt-1'!A51,"].min = ",'RelFlt-1'!E51,"")</f>
        <v xml:space="preserve">* differential.element[].min = </v>
      </c>
      <c r="G46" s="112" t="str">
        <f>CONCATENATE("* differential.element[",'RelFlt-1'!A51,"].max = """,'RelFlt-1'!F51,"""")</f>
        <v>* differential.element[].max = ""</v>
      </c>
      <c r="H46" s="112" t="str">
        <f>CONCATENATE("* differential.element[",'RelFlt-1'!A51,"].type.code = #",'RelFlt-1'!G51,"")</f>
        <v>* differential.element[].type.code = #</v>
      </c>
      <c r="I46" s="112" t="e">
        <f>IF('RelFlt-1'!#REF!&gt; "", CONCATENATE("* differential.element[",'RelFlt-1'!#REF!,"].binding.valueSet = """,'RelFlt-1'!#REF!,""""),"")</f>
        <v>#REF!</v>
      </c>
      <c r="J46" s="112" t="e">
        <f>IF('RelFlt-1'!#REF!&gt; "", CONCATENATE("* differential.element[",'RelFlt-1'!#REF!,"].binding.strength = #",'RelFlt-1'!#REF!,""),"")</f>
        <v>#REF!</v>
      </c>
    </row>
    <row r="47" spans="2:10" ht="44.25" x14ac:dyDescent="0.75">
      <c r="B47" s="112" t="str">
        <f>CONCATENATE("* differential.element[",'RelFlt-1'!$A52,"].id = """,'RelFlt-1'!$B$6,".",'RelFlt-1'!B52,"""")</f>
        <v>* differential.element[].id = "RelapseDuringFLT."</v>
      </c>
      <c r="C47" s="112" t="str">
        <f>CONCATENATE("* differential.element[",'RelFlt-1'!$A52,"].path = """,'RelFlt-1'!$B$6,".",'RelFlt-1'!B52,"""")</f>
        <v>* differential.element[].path = "RelapseDuringFLT."</v>
      </c>
      <c r="D47" s="112" t="str">
        <f>CONCATENATE("* differential.element[",'RelFlt-1'!A52,"].short = """,'RelFlt-1'!C52,"""")</f>
        <v>* differential.element[].short = ""</v>
      </c>
      <c r="E47" s="112" t="str">
        <f>CONCATENATE("* differential.element[",'RelFlt-1'!A52,"].definition = """,'RelFlt-1'!D52,"""")</f>
        <v>* differential.element[].definition = ""</v>
      </c>
      <c r="F47" s="112" t="str">
        <f>CONCATENATE("* differential.element[",'RelFlt-1'!A52,"].min = ",'RelFlt-1'!E52,"")</f>
        <v xml:space="preserve">* differential.element[].min = </v>
      </c>
      <c r="G47" s="112" t="str">
        <f>CONCATENATE("* differential.element[",'RelFlt-1'!A52,"].max = """,'RelFlt-1'!F52,"""")</f>
        <v>* differential.element[].max = ""</v>
      </c>
      <c r="H47" s="112" t="str">
        <f>CONCATENATE("* differential.element[",'RelFlt-1'!A52,"].type.code = #",'RelFlt-1'!G52,"")</f>
        <v>* differential.element[].type.code = #</v>
      </c>
      <c r="I47" s="112" t="e">
        <f>IF('RelFlt-1'!#REF!&gt; "", CONCATENATE("* differential.element[",'RelFlt-1'!#REF!,"].binding.valueSet = """,'RelFlt-1'!#REF!,""""),"")</f>
        <v>#REF!</v>
      </c>
      <c r="J47" s="112" t="e">
        <f>IF('RelFlt-1'!#REF!&gt; "", CONCATENATE("* differential.element[",'RelFlt-1'!#REF!,"].binding.strength = #",'RelFlt-1'!#REF!,""),"")</f>
        <v>#REF!</v>
      </c>
    </row>
    <row r="48" spans="2:10" ht="44.25" x14ac:dyDescent="0.75">
      <c r="B48" s="112" t="str">
        <f>CONCATENATE("* differential.element[",'RelFlt-1'!$A53,"].id = """,'RelFlt-1'!$B$6,".",'RelFlt-1'!B53,"""")</f>
        <v>* differential.element[].id = "RelapseDuringFLT."</v>
      </c>
      <c r="C48" s="112" t="str">
        <f>CONCATENATE("* differential.element[",'RelFlt-1'!$A53,"].path = """,'RelFlt-1'!$B$6,".",'RelFlt-1'!B53,"""")</f>
        <v>* differential.element[].path = "RelapseDuringFLT."</v>
      </c>
      <c r="D48" s="112" t="str">
        <f>CONCATENATE("* differential.element[",'RelFlt-1'!A53,"].short = """,'RelFlt-1'!C53,"""")</f>
        <v>* differential.element[].short = ""</v>
      </c>
      <c r="E48" s="112" t="str">
        <f>CONCATENATE("* differential.element[",'RelFlt-1'!A53,"].definition = """,'RelFlt-1'!D53,"""")</f>
        <v>* differential.element[].definition = ""</v>
      </c>
      <c r="F48" s="112" t="str">
        <f>CONCATENATE("* differential.element[",'RelFlt-1'!A53,"].min = ",'RelFlt-1'!E53,"")</f>
        <v xml:space="preserve">* differential.element[].min = </v>
      </c>
      <c r="G48" s="112" t="str">
        <f>CONCATENATE("* differential.element[",'RelFlt-1'!A53,"].max = """,'RelFlt-1'!F53,"""")</f>
        <v>* differential.element[].max = ""</v>
      </c>
      <c r="H48" s="112" t="str">
        <f>CONCATENATE("* differential.element[",'RelFlt-1'!A53,"].type.code = #",'RelFlt-1'!G53,"")</f>
        <v>* differential.element[].type.code = #</v>
      </c>
      <c r="I48" s="112" t="e">
        <f>IF('RelFlt-1'!#REF!&gt; "", CONCATENATE("* differential.element[",'RelFlt-1'!#REF!,"].binding.valueSet = """,'RelFlt-1'!#REF!,""""),"")</f>
        <v>#REF!</v>
      </c>
      <c r="J48" s="112" t="e">
        <f>IF('RelFlt-1'!#REF!&gt; "", CONCATENATE("* differential.element[",'RelFlt-1'!#REF!,"].binding.strength = #",'RelFlt-1'!#REF!,""),"")</f>
        <v>#REF!</v>
      </c>
    </row>
    <row r="49" spans="2:10" ht="44.25" x14ac:dyDescent="0.75">
      <c r="B49" s="112" t="str">
        <f>CONCATENATE("* differential.element[",'RelFlt-1'!$A54,"].id = """,'RelFlt-1'!$B$6,".",'RelFlt-1'!B54,"""")</f>
        <v>* differential.element[].id = "RelapseDuringFLT."</v>
      </c>
      <c r="C49" s="112" t="str">
        <f>CONCATENATE("* differential.element[",'RelFlt-1'!$A54,"].path = """,'RelFlt-1'!$B$6,".",'RelFlt-1'!B54,"""")</f>
        <v>* differential.element[].path = "RelapseDuringFLT."</v>
      </c>
      <c r="D49" s="112" t="str">
        <f>CONCATENATE("* differential.element[",'RelFlt-1'!A54,"].short = """,'RelFlt-1'!C54,"""")</f>
        <v>* differential.element[].short = ""</v>
      </c>
      <c r="E49" s="112" t="str">
        <f>CONCATENATE("* differential.element[",'RelFlt-1'!A54,"].definition = """,'RelFlt-1'!D54,"""")</f>
        <v>* differential.element[].definition = ""</v>
      </c>
      <c r="F49" s="112" t="str">
        <f>CONCATENATE("* differential.element[",'RelFlt-1'!A54,"].min = ",'RelFlt-1'!E54,"")</f>
        <v xml:space="preserve">* differential.element[].min = </v>
      </c>
      <c r="G49" s="112" t="str">
        <f>CONCATENATE("* differential.element[",'RelFlt-1'!A54,"].max = """,'RelFlt-1'!F54,"""")</f>
        <v>* differential.element[].max = ""</v>
      </c>
      <c r="H49" s="112" t="str">
        <f>CONCATENATE("* differential.element[",'RelFlt-1'!A54,"].type.code = #",'RelFlt-1'!G54,"")</f>
        <v>* differential.element[].type.code = #</v>
      </c>
      <c r="I49" s="112" t="e">
        <f>IF('RelFlt-1'!#REF!&gt; "", CONCATENATE("* differential.element[",'RelFlt-1'!#REF!,"].binding.valueSet = """,'RelFlt-1'!#REF!,""""),"")</f>
        <v>#REF!</v>
      </c>
      <c r="J49" s="112" t="e">
        <f>IF('RelFlt-1'!#REF!&gt; "", CONCATENATE("* differential.element[",'RelFlt-1'!#REF!,"].binding.strength = #",'RelFlt-1'!#REF!,""),"")</f>
        <v>#REF!</v>
      </c>
    </row>
    <row r="50" spans="2:10" ht="44.25" x14ac:dyDescent="0.75">
      <c r="B50" s="112" t="str">
        <f>CONCATENATE("* differential.element[",'RelFlt-1'!$A55,"].id = """,'RelFlt-1'!$B$6,".",'RelFlt-1'!B55,"""")</f>
        <v>* differential.element[].id = "RelapseDuringFLT."</v>
      </c>
      <c r="C50" s="112" t="str">
        <f>CONCATENATE("* differential.element[",'RelFlt-1'!$A55,"].path = """,'RelFlt-1'!$B$6,".",'RelFlt-1'!B55,"""")</f>
        <v>* differential.element[].path = "RelapseDuringFLT."</v>
      </c>
      <c r="D50" s="112" t="str">
        <f>CONCATENATE("* differential.element[",'RelFlt-1'!A55,"].short = """,'RelFlt-1'!C55,"""")</f>
        <v>* differential.element[].short = ""</v>
      </c>
      <c r="E50" s="112" t="str">
        <f>CONCATENATE("* differential.element[",'RelFlt-1'!A55,"].definition = """,'RelFlt-1'!D55,"""")</f>
        <v>* differential.element[].definition = ""</v>
      </c>
      <c r="F50" s="112" t="str">
        <f>CONCATENATE("* differential.element[",'RelFlt-1'!A55,"].min = ",'RelFlt-1'!E55,"")</f>
        <v xml:space="preserve">* differential.element[].min = </v>
      </c>
      <c r="G50" s="112" t="str">
        <f>CONCATENATE("* differential.element[",'RelFlt-1'!A55,"].max = """,'RelFlt-1'!F55,"""")</f>
        <v>* differential.element[].max = ""</v>
      </c>
      <c r="H50" s="112" t="str">
        <f>CONCATENATE("* differential.element[",'RelFlt-1'!A55,"].type.code = #",'RelFlt-1'!G55,"")</f>
        <v>* differential.element[].type.code = #</v>
      </c>
      <c r="I50" s="112" t="e">
        <f>IF('RelFlt-1'!#REF!&gt; "", CONCATENATE("* differential.element[",'RelFlt-1'!#REF!,"].binding.valueSet = """,'RelFlt-1'!#REF!,""""),"")</f>
        <v>#REF!</v>
      </c>
      <c r="J50" s="112" t="e">
        <f>IF('RelFlt-1'!#REF!&gt; "", CONCATENATE("* differential.element[",'RelFlt-1'!#REF!,"].binding.strength = #",'RelFlt-1'!#REF!,""),"")</f>
        <v>#REF!</v>
      </c>
    </row>
    <row r="51" spans="2:10" ht="44.25" x14ac:dyDescent="0.75">
      <c r="B51" s="112" t="str">
        <f>CONCATENATE("* differential.element[",'RelFlt-1'!$A56,"].id = """,'RelFlt-1'!$B$6,".",'RelFlt-1'!B56,"""")</f>
        <v>* differential.element[].id = "RelapseDuringFLT."</v>
      </c>
      <c r="C51" s="112" t="str">
        <f>CONCATENATE("* differential.element[",'RelFlt-1'!$A56,"].path = """,'RelFlt-1'!$B$6,".",'RelFlt-1'!B56,"""")</f>
        <v>* differential.element[].path = "RelapseDuringFLT."</v>
      </c>
      <c r="D51" s="112" t="str">
        <f>CONCATENATE("* differential.element[",'RelFlt-1'!A56,"].short = """,'RelFlt-1'!C56,"""")</f>
        <v>* differential.element[].short = ""</v>
      </c>
      <c r="E51" s="112" t="str">
        <f>CONCATENATE("* differential.element[",'RelFlt-1'!A56,"].definition = """,'RelFlt-1'!D56,"""")</f>
        <v>* differential.element[].definition = ""</v>
      </c>
      <c r="F51" s="112" t="str">
        <f>CONCATENATE("* differential.element[",'RelFlt-1'!A56,"].min = ",'RelFlt-1'!E56,"")</f>
        <v xml:space="preserve">* differential.element[].min = </v>
      </c>
      <c r="G51" s="112" t="str">
        <f>CONCATENATE("* differential.element[",'RelFlt-1'!A56,"].max = """,'RelFlt-1'!F56,"""")</f>
        <v>* differential.element[].max = ""</v>
      </c>
      <c r="H51" s="112" t="str">
        <f>CONCATENATE("* differential.element[",'RelFlt-1'!A56,"].type.code = #",'RelFlt-1'!G56,"")</f>
        <v>* differential.element[].type.code = #</v>
      </c>
      <c r="I51" s="112" t="e">
        <f>IF('RelFlt-1'!#REF!&gt; "", CONCATENATE("* differential.element[",'RelFlt-1'!#REF!,"].binding.valueSet = """,'RelFlt-1'!#REF!,""""),"")</f>
        <v>#REF!</v>
      </c>
      <c r="J51" s="112" t="e">
        <f>IF('RelFlt-1'!#REF!&gt; "", CONCATENATE("* differential.element[",'RelFlt-1'!#REF!,"].binding.strength = #",'RelFlt-1'!#REF!,""),"")</f>
        <v>#REF!</v>
      </c>
    </row>
    <row r="52" spans="2:10" ht="44.25" x14ac:dyDescent="0.75">
      <c r="B52" s="112" t="str">
        <f>CONCATENATE("* differential.element[",'RelFlt-1'!$A57,"].id = """,'RelFlt-1'!$B$6,".",'RelFlt-1'!B57,"""")</f>
        <v>* differential.element[].id = "RelapseDuringFLT."</v>
      </c>
      <c r="C52" s="112" t="str">
        <f>CONCATENATE("* differential.element[",'RelFlt-1'!$A57,"].path = """,'RelFlt-1'!$B$6,".",'RelFlt-1'!B57,"""")</f>
        <v>* differential.element[].path = "RelapseDuringFLT."</v>
      </c>
      <c r="D52" s="112" t="str">
        <f>CONCATENATE("* differential.element[",'RelFlt-1'!A57,"].short = """,'RelFlt-1'!C57,"""")</f>
        <v>* differential.element[].short = ""</v>
      </c>
      <c r="E52" s="112" t="str">
        <f>CONCATENATE("* differential.element[",'RelFlt-1'!A57,"].definition = """,'RelFlt-1'!D57,"""")</f>
        <v>* differential.element[].definition = ""</v>
      </c>
      <c r="F52" s="112" t="str">
        <f>CONCATENATE("* differential.element[",'RelFlt-1'!A57,"].min = ",'RelFlt-1'!E57,"")</f>
        <v xml:space="preserve">* differential.element[].min = </v>
      </c>
      <c r="G52" s="112" t="str">
        <f>CONCATENATE("* differential.element[",'RelFlt-1'!A57,"].max = """,'RelFlt-1'!F57,"""")</f>
        <v>* differential.element[].max = ""</v>
      </c>
      <c r="H52" s="112" t="str">
        <f>CONCATENATE("* differential.element[",'RelFlt-1'!A57,"].type.code = #",'RelFlt-1'!G57,"")</f>
        <v>* differential.element[].type.code = #</v>
      </c>
      <c r="I52" s="112" t="e">
        <f>IF('RelFlt-1'!#REF!&gt; "", CONCATENATE("* differential.element[",'RelFlt-1'!#REF!,"].binding.valueSet = """,'RelFlt-1'!#REF!,""""),"")</f>
        <v>#REF!</v>
      </c>
      <c r="J52" s="112" t="e">
        <f>IF('RelFlt-1'!#REF!&gt; "", CONCATENATE("* differential.element[",'RelFlt-1'!#REF!,"].binding.strength = #",'RelFlt-1'!#REF!,""),"")</f>
        <v>#REF!</v>
      </c>
    </row>
    <row r="53" spans="2:10" ht="44.25" x14ac:dyDescent="0.75">
      <c r="B53" s="112" t="str">
        <f>CONCATENATE("* differential.element[",'RelFlt-1'!$A58,"].id = """,'RelFlt-1'!$B$6,".",'RelFlt-1'!B58,"""")</f>
        <v>* differential.element[].id = "RelapseDuringFLT."</v>
      </c>
      <c r="C53" s="112" t="str">
        <f>CONCATENATE("* differential.element[",'RelFlt-1'!$A58,"].path = """,'RelFlt-1'!$B$6,".",'RelFlt-1'!B58,"""")</f>
        <v>* differential.element[].path = "RelapseDuringFLT."</v>
      </c>
      <c r="D53" s="112" t="str">
        <f>CONCATENATE("* differential.element[",'RelFlt-1'!A58,"].short = """,'RelFlt-1'!C58,"""")</f>
        <v>* differential.element[].short = ""</v>
      </c>
      <c r="E53" s="112" t="str">
        <f>CONCATENATE("* differential.element[",'RelFlt-1'!A58,"].definition = """,'RelFlt-1'!D58,"""")</f>
        <v>* differential.element[].definition = ""</v>
      </c>
      <c r="F53" s="112" t="str">
        <f>CONCATENATE("* differential.element[",'RelFlt-1'!A58,"].min = ",'RelFlt-1'!E58,"")</f>
        <v xml:space="preserve">* differential.element[].min = </v>
      </c>
      <c r="G53" s="112" t="str">
        <f>CONCATENATE("* differential.element[",'RelFlt-1'!A58,"].max = """,'RelFlt-1'!F58,"""")</f>
        <v>* differential.element[].max = ""</v>
      </c>
      <c r="H53" s="112" t="str">
        <f>CONCATENATE("* differential.element[",'RelFlt-1'!A58,"].type.code = #",'RelFlt-1'!G58,"")</f>
        <v>* differential.element[].type.code = #</v>
      </c>
      <c r="I53" s="112" t="e">
        <f>IF('RelFlt-1'!#REF!&gt; "", CONCATENATE("* differential.element[",'RelFlt-1'!#REF!,"].binding.valueSet = """,'RelFlt-1'!#REF!,""""),"")</f>
        <v>#REF!</v>
      </c>
      <c r="J53" s="112" t="e">
        <f>IF('RelFlt-1'!#REF!&gt; "", CONCATENATE("* differential.element[",'RelFlt-1'!#REF!,"].binding.strength = #",'RelFlt-1'!#REF!,""),"")</f>
        <v>#REF!</v>
      </c>
    </row>
    <row r="54" spans="2:10" ht="44.25" x14ac:dyDescent="0.75">
      <c r="B54" s="112" t="str">
        <f>CONCATENATE("* differential.element[",'RelFlt-1'!$A59,"].id = """,'RelFlt-1'!$B$6,".",'RelFlt-1'!B59,"""")</f>
        <v>* differential.element[].id = "RelapseDuringFLT."</v>
      </c>
      <c r="C54" s="112" t="str">
        <f>CONCATENATE("* differential.element[",'RelFlt-1'!$A59,"].path = """,'RelFlt-1'!$B$6,".",'RelFlt-1'!B59,"""")</f>
        <v>* differential.element[].path = "RelapseDuringFLT."</v>
      </c>
      <c r="D54" s="112" t="str">
        <f>CONCATENATE("* differential.element[",'RelFlt-1'!A59,"].short = """,'RelFlt-1'!C59,"""")</f>
        <v>* differential.element[].short = ""</v>
      </c>
      <c r="E54" s="112" t="str">
        <f>CONCATENATE("* differential.element[",'RelFlt-1'!A59,"].definition = """,'RelFlt-1'!D59,"""")</f>
        <v>* differential.element[].definition = ""</v>
      </c>
      <c r="F54" s="112" t="str">
        <f>CONCATENATE("* differential.element[",'RelFlt-1'!A59,"].min = ",'RelFlt-1'!E59,"")</f>
        <v xml:space="preserve">* differential.element[].min = </v>
      </c>
      <c r="G54" s="112" t="str">
        <f>CONCATENATE("* differential.element[",'RelFlt-1'!A59,"].max = """,'RelFlt-1'!F59,"""")</f>
        <v>* differential.element[].max = ""</v>
      </c>
      <c r="H54" s="112" t="str">
        <f>CONCATENATE("* differential.element[",'RelFlt-1'!A59,"].type.code = #",'RelFlt-1'!G59,"")</f>
        <v>* differential.element[].type.code = #</v>
      </c>
      <c r="I54" s="112" t="str">
        <f>IF('RelFlt-1'!H29&gt; "", CONCATENATE("* differential.element[",'RelFlt-1'!A29,"].binding.valueSet = """,'RelFlt-1'!H29,""""),"")</f>
        <v/>
      </c>
      <c r="J54" s="112" t="str">
        <f>IF('RelFlt-1'!I29&gt; "", CONCATENATE("* differential.element[",'RelFlt-1'!A29,"].binding.strength = #",'RelFlt-1'!I29,""),"")</f>
        <v/>
      </c>
    </row>
    <row r="55" spans="2:10" ht="44.25" x14ac:dyDescent="0.75">
      <c r="B55" s="112" t="str">
        <f>CONCATENATE("* differential.element[",'RelFlt-1'!$A60,"].id = """,'RelFlt-1'!$B$6,".",'RelFlt-1'!B60,"""")</f>
        <v>* differential.element[].id = "RelapseDuringFLT."</v>
      </c>
      <c r="C55" s="112" t="str">
        <f>CONCATENATE("* differential.element[",'RelFlt-1'!$A60,"].path = """,'RelFlt-1'!$B$6,".",'RelFlt-1'!B60,"""")</f>
        <v>* differential.element[].path = "RelapseDuringFLT."</v>
      </c>
      <c r="D55" s="112" t="str">
        <f>CONCATENATE("* differential.element[",'RelFlt-1'!A60,"].short = """,'RelFlt-1'!C60,"""")</f>
        <v>* differential.element[].short = ""</v>
      </c>
      <c r="E55" s="112" t="str">
        <f>CONCATENATE("* differential.element[",'RelFlt-1'!A60,"].definition = """,'RelFlt-1'!D60,"""")</f>
        <v>* differential.element[].definition = ""</v>
      </c>
      <c r="F55" s="112" t="str">
        <f>CONCATENATE("* differential.element[",'RelFlt-1'!A60,"].min = ",'RelFlt-1'!E60,"")</f>
        <v xml:space="preserve">* differential.element[].min = </v>
      </c>
      <c r="G55" s="112" t="str">
        <f>CONCATENATE("* differential.element[",'RelFlt-1'!A60,"].max = """,'RelFlt-1'!F60,"""")</f>
        <v>* differential.element[].max = ""</v>
      </c>
      <c r="H55" s="112" t="str">
        <f>CONCATENATE("* differential.element[",'RelFlt-1'!A60,"].type.code = #",'RelFlt-1'!G60,"")</f>
        <v>* differential.element[].type.code = #</v>
      </c>
      <c r="I55" s="112" t="str">
        <f>IF('RelFlt-1'!H30&gt; "", CONCATENATE("* differential.element[",'RelFlt-1'!A30,"].binding.valueSet = """,'RelFlt-1'!H30,""""),"")</f>
        <v/>
      </c>
      <c r="J55" s="112" t="str">
        <f>IF('RelFlt-1'!I30&gt; "", CONCATENATE("* differential.element[",'RelFlt-1'!A30,"].binding.strength = #",'RelFlt-1'!I30,""),"")</f>
        <v/>
      </c>
    </row>
    <row r="56" spans="2:10" ht="44.25" x14ac:dyDescent="0.75">
      <c r="B56" s="112" t="str">
        <f>CONCATENATE("* differential.element[",'RelFlt-1'!$A61,"].id = """,'RelFlt-1'!$B$6,".",'RelFlt-1'!B61,"""")</f>
        <v>* differential.element[].id = "RelapseDuringFLT."</v>
      </c>
      <c r="C56" s="112" t="str">
        <f>CONCATENATE("* differential.element[",'RelFlt-1'!$A61,"].path = """,'RelFlt-1'!$B$6,".",'RelFlt-1'!B61,"""")</f>
        <v>* differential.element[].path = "RelapseDuringFLT."</v>
      </c>
      <c r="D56" s="112" t="str">
        <f>CONCATENATE("* differential.element[",'RelFlt-1'!A61,"].short = """,'RelFlt-1'!C61,"""")</f>
        <v>* differential.element[].short = ""</v>
      </c>
      <c r="E56" s="112" t="str">
        <f>CONCATENATE("* differential.element[",'RelFlt-1'!A61,"].definition = """,'RelFlt-1'!D61,"""")</f>
        <v>* differential.element[].definition = ""</v>
      </c>
      <c r="F56" s="112" t="str">
        <f>CONCATENATE("* differential.element[",'RelFlt-1'!A61,"].min = ",'RelFlt-1'!E61,"")</f>
        <v xml:space="preserve">* differential.element[].min = </v>
      </c>
      <c r="G56" s="112" t="str">
        <f>CONCATENATE("* differential.element[",'RelFlt-1'!A61,"].max = """,'RelFlt-1'!F61,"""")</f>
        <v>* differential.element[].max = ""</v>
      </c>
      <c r="H56" s="112" t="str">
        <f>CONCATENATE("* differential.element[",'RelFlt-1'!A61,"].type.code = #",'RelFlt-1'!G61,"")</f>
        <v>* differential.element[].type.code = #</v>
      </c>
      <c r="I56" s="112" t="str">
        <f>IF('RelFlt-1'!H31&gt; "", CONCATENATE("* differential.element[",'RelFlt-1'!A31,"].binding.valueSet = """,'RelFlt-1'!H31,""""),"")</f>
        <v/>
      </c>
      <c r="J56" s="112" t="str">
        <f>IF('RelFlt-1'!I31&gt; "", CONCATENATE("* differential.element[",'RelFlt-1'!A31,"].binding.strength = #",'RelFlt-1'!I31,""),"")</f>
        <v/>
      </c>
    </row>
    <row r="57" spans="2:10" ht="44.25" x14ac:dyDescent="0.75">
      <c r="B57" s="112" t="str">
        <f>CONCATENATE("* differential.element[",'RelFlt-1'!$A62,"].id = """,'RelFlt-1'!$B$6,".",'RelFlt-1'!B62,"""")</f>
        <v>* differential.element[].id = "RelapseDuringFLT."</v>
      </c>
      <c r="C57" s="112" t="str">
        <f>CONCATENATE("* differential.element[",'RelFlt-1'!$A62,"].path = """,'RelFlt-1'!$B$6,".",'RelFlt-1'!B62,"""")</f>
        <v>* differential.element[].path = "RelapseDuringFLT."</v>
      </c>
      <c r="D57" s="112" t="str">
        <f>CONCATENATE("* differential.element[",'RelFlt-1'!A62,"].short = """,'RelFlt-1'!C62,"""")</f>
        <v>* differential.element[].short = ""</v>
      </c>
      <c r="E57" s="112" t="str">
        <f>CONCATENATE("* differential.element[",'RelFlt-1'!A62,"].definition = """,'RelFlt-1'!D62,"""")</f>
        <v>* differential.element[].definition = ""</v>
      </c>
      <c r="F57" s="112" t="str">
        <f>CONCATENATE("* differential.element[",'RelFlt-1'!A62,"].min = ",'RelFlt-1'!E62,"")</f>
        <v xml:space="preserve">* differential.element[].min = </v>
      </c>
      <c r="G57" s="112" t="str">
        <f>CONCATENATE("* differential.element[",'RelFlt-1'!A62,"].max = """,'RelFlt-1'!F62,"""")</f>
        <v>* differential.element[].max = ""</v>
      </c>
      <c r="H57" s="112" t="str">
        <f>CONCATENATE("* differential.element[",'RelFlt-1'!A62,"].type.code = #",'RelFlt-1'!G62,"")</f>
        <v>* differential.element[].type.code = #</v>
      </c>
      <c r="I57" s="112" t="str">
        <f>IF('RelFlt-1'!H32&gt; "", CONCATENATE("* differential.element[",'RelFlt-1'!A32,"].binding.valueSet = """,'RelFlt-1'!H32,""""),"")</f>
        <v/>
      </c>
      <c r="J57" s="112" t="str">
        <f>IF('RelFlt-1'!I32&gt; "", CONCATENATE("* differential.element[",'RelFlt-1'!A32,"].binding.strength = #",'RelFlt-1'!I32,""),"")</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",'RelFlt-1'!B6)</f>
        <v>Instance: RelapseDuringFLT</v>
      </c>
    </row>
    <row r="3" spans="4:7" x14ac:dyDescent="0.75">
      <c r="D3" s="15" t="s">
        <v>24</v>
      </c>
    </row>
    <row r="4" spans="4:7" x14ac:dyDescent="0.75">
      <c r="D4" s="15" t="str">
        <f>CONCATENATE("Description: """,'RelFlt-1'!D2,"""")</f>
        <v>Description: "Progression-Relapse during FLT
Marturity Level: 1"</v>
      </c>
      <c r="E4" s="15"/>
    </row>
    <row r="5" spans="4:7" x14ac:dyDescent="0.75">
      <c r="D5" s="15" t="str">
        <f>CONCATENATE("Title: """,'RelFlt-1'!C2,"""")</f>
        <v>Title: "Progression-Relapse during FLT"</v>
      </c>
      <c r="E5" s="15"/>
    </row>
    <row r="6" spans="4:7" x14ac:dyDescent="0.75">
      <c r="D6" s="15" t="s">
        <v>25</v>
      </c>
      <c r="E6" s="15"/>
    </row>
    <row r="7" spans="4:7" x14ac:dyDescent="0.75">
      <c r="D7" s="15"/>
      <c r="E7" s="15"/>
    </row>
    <row r="8" spans="4:7" x14ac:dyDescent="0.75">
      <c r="D8" s="15" t="str">
        <f>CONCATENATE("* publisher = """,'RelFlt-1'!B4,"""")</f>
        <v>* publisher = "PanCareSurPass project"</v>
      </c>
      <c r="E8" s="15"/>
    </row>
    <row r="9" spans="4:7" x14ac:dyDescent="0.75">
      <c r="D9" s="15" t="s">
        <v>26</v>
      </c>
      <c r="E9" s="15"/>
    </row>
    <row r="10" spans="4:7" x14ac:dyDescent="0.75">
      <c r="D10" s="15" t="str">
        <f>CONCATENATE("* url = """,'RelFlt-1'!B2,"/StructureDefinition/",'RelFlt-1'!B6,"""")</f>
        <v>* url = "http://hl7.eu/fhir/ig/pcsp/StructureDefinition/RelapseDuringFLT"</v>
      </c>
      <c r="E10" s="15"/>
      <c r="G10" s="52" t="s">
        <v>48</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""",'RelFlt-1'!D2,"""")</f>
        <v>* description = "Progression-Relapse during FLT
Marturity Level: 1"</v>
      </c>
      <c r="E15" s="15"/>
    </row>
    <row r="16" spans="4:7" x14ac:dyDescent="0.75">
      <c r="D16" s="15" t="s">
        <v>28</v>
      </c>
      <c r="E16" s="15"/>
    </row>
    <row r="18" spans="1:7" x14ac:dyDescent="0.75">
      <c r="C18" s="109">
        <v>0</v>
      </c>
      <c r="D18" s="46" t="str">
        <f>CONCATENATE("* mapping[",C18,"].identity = """,'RelFlt-Map-1'!F1,"""")</f>
        <v>* mapping[0].identity = "fhir"</v>
      </c>
      <c r="G18" s="110" t="s">
        <v>42</v>
      </c>
    </row>
    <row r="19" spans="1:7" x14ac:dyDescent="0.75">
      <c r="B19" s="47" t="s">
        <v>44</v>
      </c>
      <c r="C19" s="109">
        <v>0</v>
      </c>
      <c r="D19" s="46" t="str">
        <f>CONCATENATE("* mapping[",C19,"].uri = """,'RelFlt-Map-1'!F2,"""")</f>
        <v>* mapping[0].uri = "hl7.org/fhir/r4"</v>
      </c>
      <c r="G19" s="110" t="s">
        <v>43</v>
      </c>
    </row>
    <row r="20" spans="1:7" x14ac:dyDescent="0.75">
      <c r="C20" s="109">
        <v>0</v>
      </c>
      <c r="D20" s="46" t="str">
        <f>CONCATENATE("* mapping[",C20,"].name = """,'RelFlt-Map-1'!D2,"""")</f>
        <v>* mapping[0].name = "FHIR"</v>
      </c>
      <c r="G20" s="110" t="s">
        <v>45</v>
      </c>
    </row>
    <row r="22" spans="1:7" x14ac:dyDescent="0.75">
      <c r="D22" s="15" t="s">
        <v>29</v>
      </c>
      <c r="E22" s="15"/>
    </row>
    <row r="23" spans="1:7" x14ac:dyDescent="0.75">
      <c r="D23" s="15" t="s">
        <v>49</v>
      </c>
      <c r="E23" s="15"/>
    </row>
    <row r="24" spans="1:7" x14ac:dyDescent="0.75">
      <c r="D24" s="15" t="str">
        <f>CONCATENATE("* type = """,'RelFlt-1'!B6,"""")</f>
        <v>* type = "RelapseDuringFLT"</v>
      </c>
      <c r="E24" s="15"/>
    </row>
    <row r="25" spans="1:7" x14ac:dyDescent="0.75">
      <c r="A25" s="107" t="s">
        <v>890</v>
      </c>
      <c r="B25" s="107">
        <v>9</v>
      </c>
      <c r="D25" s="15" t="s">
        <v>30</v>
      </c>
    </row>
    <row r="26" spans="1:7" x14ac:dyDescent="0.75">
      <c r="D26" s="15" t="s">
        <v>31</v>
      </c>
    </row>
    <row r="28" spans="1:7" x14ac:dyDescent="0.75">
      <c r="D28" s="33" t="str">
        <f>'RelFlt-2'!B1</f>
        <v>* differential.element[0].id = "RelapseDuringFLT"</v>
      </c>
    </row>
    <row r="29" spans="1:7" x14ac:dyDescent="0.75">
      <c r="D29" s="33" t="str">
        <f>'RelFlt-2'!C1</f>
        <v>* differential.element[0].path = "RelapseDuringFLT"</v>
      </c>
      <c r="G29" s="109" t="s">
        <v>50</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INDEX('RelFlt-2'!$B$2:$J$100,1+B35,C35)</f>
        <v>* differential.element[1].id = "RelapseDuringFLT.identifier"</v>
      </c>
    </row>
    <row r="36" spans="1:4" x14ac:dyDescent="0.75">
      <c r="A36" s="111">
        <v>2</v>
      </c>
      <c r="B36" s="111">
        <f t="shared" ref="B36:B44" si="0">IF(MOD(A36,$B$25)=0,A36/$B$25-1,INT(A36/$B$25))</f>
        <v>0</v>
      </c>
      <c r="C36" s="111">
        <f t="shared" ref="C36:C44" si="1">IF(MOD(A36,$B$25)=0,$B$25,MOD(A36,$B$25))</f>
        <v>2</v>
      </c>
      <c r="D36" s="112" t="str" cm="1">
        <f t="array" ref="D36">INDEX('RelFlt-2'!$B$2:$J$100,1+B36,C36)</f>
        <v>* differential.element[1].path = "RelapseDuringFLT.identifier"</v>
      </c>
    </row>
    <row r="37" spans="1:4" x14ac:dyDescent="0.75">
      <c r="A37" s="111">
        <v>3</v>
      </c>
      <c r="B37" s="111">
        <f t="shared" si="0"/>
        <v>0</v>
      </c>
      <c r="C37" s="111">
        <f t="shared" si="1"/>
        <v>3</v>
      </c>
      <c r="D37" s="112" t="str" cm="1">
        <f t="array" ref="D37">INDEX('RelFlt-2'!$B$2:$J$100,1+B37,C37)</f>
        <v>* differential.element[1].short = "Progression-Relapse during FLT identifier"</v>
      </c>
    </row>
    <row r="38" spans="1:4" x14ac:dyDescent="0.75">
      <c r="A38" s="111">
        <v>4</v>
      </c>
      <c r="B38" s="111">
        <f t="shared" si="0"/>
        <v>0</v>
      </c>
      <c r="C38" s="111">
        <f t="shared" si="1"/>
        <v>4</v>
      </c>
      <c r="D38" s="112" t="str" cm="1">
        <f t="array" ref="D38">INDEX('RelFlt-2'!$B$2:$J$100,1+B38,C38)</f>
        <v>* differential.element[1].definition = "Progression-Relapse during FLT identifier"</v>
      </c>
    </row>
    <row r="39" spans="1:4" x14ac:dyDescent="0.75">
      <c r="A39" s="111">
        <v>5</v>
      </c>
      <c r="B39" s="111">
        <f t="shared" si="0"/>
        <v>0</v>
      </c>
      <c r="C39" s="111">
        <f t="shared" si="1"/>
        <v>5</v>
      </c>
      <c r="D39" s="112" t="str" cm="1">
        <f t="array" ref="D39">INDEX('RelFlt-2'!$B$2:$J$100,1+B39,C39)</f>
        <v>* differential.element[1].min = 0</v>
      </c>
    </row>
    <row r="40" spans="1:4" x14ac:dyDescent="0.75">
      <c r="A40" s="111">
        <v>6</v>
      </c>
      <c r="B40" s="111">
        <f t="shared" si="0"/>
        <v>0</v>
      </c>
      <c r="C40" s="111">
        <f t="shared" si="1"/>
        <v>6</v>
      </c>
      <c r="D40" s="112" t="str" cm="1">
        <f t="array" ref="D40">INDEX('RelFlt-2'!$B$2:$J$100,1+B40,C40)</f>
        <v>* differential.element[1].max = "1"</v>
      </c>
    </row>
    <row r="41" spans="1:4" x14ac:dyDescent="0.75">
      <c r="A41" s="111">
        <v>7</v>
      </c>
      <c r="B41" s="111">
        <f t="shared" si="0"/>
        <v>0</v>
      </c>
      <c r="C41" s="111">
        <f t="shared" si="1"/>
        <v>7</v>
      </c>
      <c r="D41" s="112" t="str" cm="1">
        <f t="array" ref="D41">INDEX('RelFlt-2'!$B$2:$J$100,1+B41,C41)</f>
        <v>* differential.element[1].type.code = #Identifier</v>
      </c>
    </row>
    <row r="42" spans="1:4" x14ac:dyDescent="0.75">
      <c r="A42" s="111">
        <v>8</v>
      </c>
      <c r="B42" s="111">
        <f t="shared" si="0"/>
        <v>0</v>
      </c>
      <c r="C42" s="111">
        <f t="shared" si="1"/>
        <v>8</v>
      </c>
      <c r="D42" s="112" t="str" cm="1">
        <f t="array" ref="D42">INDEX('RelFlt-2'!$B$2:$J$100,1+B42,C42)</f>
        <v/>
      </c>
    </row>
    <row r="43" spans="1:4" x14ac:dyDescent="0.75">
      <c r="A43" s="111">
        <v>9</v>
      </c>
      <c r="B43" s="111">
        <f t="shared" si="0"/>
        <v>0</v>
      </c>
      <c r="C43" s="111">
        <f t="shared" si="1"/>
        <v>9</v>
      </c>
      <c r="D43" s="112" t="str" cm="1">
        <f t="array" ref="D43">INDEX('RelFlt-2'!$B$2:$J$100,1+B43,C43)</f>
        <v/>
      </c>
    </row>
    <row r="44" spans="1:4" x14ac:dyDescent="0.75">
      <c r="A44" s="111">
        <v>10</v>
      </c>
      <c r="B44" s="111">
        <f t="shared" si="0"/>
        <v>1</v>
      </c>
      <c r="C44" s="111">
        <f t="shared" si="1"/>
        <v>1</v>
      </c>
      <c r="D44" s="112" t="str" cm="1">
        <f t="array" ref="D44">INDEX('RelFlt-2'!$B$2:$J$100,1+B44,C44)</f>
        <v>* differential.element[2].id = "RelapseDuringFLT.relatedDiagnosis"</v>
      </c>
    </row>
    <row r="45" spans="1:4" x14ac:dyDescent="0.75">
      <c r="A45" s="111">
        <v>11</v>
      </c>
      <c r="B45" s="111">
        <f t="shared" ref="B45:B108" si="2">IF(MOD(A45,$B$25)=0,A45/$B$25-1,INT(A45/$B$25))</f>
        <v>1</v>
      </c>
      <c r="C45" s="111">
        <f t="shared" ref="C45:C108" si="3">IF(MOD(A45,$B$25)=0,$B$25,MOD(A45,$B$25))</f>
        <v>2</v>
      </c>
      <c r="D45" s="112" t="str" cm="1">
        <f t="array" ref="D45">INDEX('RelFlt-2'!$B$2:$J$100,1+B45,C45)</f>
        <v>* differential.element[2].path = "RelapseDuringFLT.relatedDiagnosis"</v>
      </c>
    </row>
    <row r="46" spans="1:4" x14ac:dyDescent="0.75">
      <c r="A46" s="111">
        <v>12</v>
      </c>
      <c r="B46" s="111">
        <f t="shared" si="2"/>
        <v>1</v>
      </c>
      <c r="C46" s="111">
        <f t="shared" si="3"/>
        <v>3</v>
      </c>
      <c r="D46" s="112" t="str" cm="1">
        <f t="array" ref="D46">INDEX('RelFlt-2'!$B$2:$J$100,1+B46,C46)</f>
        <v>* differential.element[2].short = "Related diagnosis identifier"</v>
      </c>
    </row>
    <row r="47" spans="1:4" x14ac:dyDescent="0.75">
      <c r="A47" s="111">
        <v>13</v>
      </c>
      <c r="B47" s="111">
        <f t="shared" si="2"/>
        <v>1</v>
      </c>
      <c r="C47" s="111">
        <f t="shared" si="3"/>
        <v>4</v>
      </c>
      <c r="D47" s="112" t="str" cm="1">
        <f t="array" ref="D47">INDEX('RelFlt-2'!$B$2:$J$100,1+B47,C47)</f>
        <v>* differential.element[2].definition = "Related diagnosis identifier"</v>
      </c>
    </row>
    <row r="48" spans="1:4" x14ac:dyDescent="0.75">
      <c r="A48" s="111">
        <v>14</v>
      </c>
      <c r="B48" s="111">
        <f t="shared" si="2"/>
        <v>1</v>
      </c>
      <c r="C48" s="111">
        <f t="shared" si="3"/>
        <v>5</v>
      </c>
      <c r="D48" s="112" t="str" cm="1">
        <f t="array" ref="D48">INDEX('RelFlt-2'!$B$2:$J$100,1+B48,C48)</f>
        <v>* differential.element[2].min = 0</v>
      </c>
    </row>
    <row r="49" spans="1:4" x14ac:dyDescent="0.75">
      <c r="A49" s="111">
        <v>15</v>
      </c>
      <c r="B49" s="111">
        <f t="shared" si="2"/>
        <v>1</v>
      </c>
      <c r="C49" s="111">
        <f t="shared" si="3"/>
        <v>6</v>
      </c>
      <c r="D49" s="112" t="str" cm="1">
        <f t="array" ref="D49">INDEX('RelFlt-2'!$B$2:$J$100,1+B49,C49)</f>
        <v>* differential.element[2].max = "1"</v>
      </c>
    </row>
    <row r="50" spans="1:4" x14ac:dyDescent="0.75">
      <c r="A50" s="111">
        <v>16</v>
      </c>
      <c r="B50" s="111">
        <f t="shared" si="2"/>
        <v>1</v>
      </c>
      <c r="C50" s="111">
        <f t="shared" si="3"/>
        <v>7</v>
      </c>
      <c r="D50" s="112" t="str" cm="1">
        <f t="array" ref="D50">INDEX('RelFlt-2'!$B$2:$J$100,1+B50,C50)</f>
        <v>* differential.element[2].type.code = #Identifier</v>
      </c>
    </row>
    <row r="51" spans="1:4" x14ac:dyDescent="0.75">
      <c r="A51" s="111">
        <v>17</v>
      </c>
      <c r="B51" s="111">
        <f t="shared" si="2"/>
        <v>1</v>
      </c>
      <c r="C51" s="111">
        <f t="shared" si="3"/>
        <v>8</v>
      </c>
      <c r="D51" s="112" t="str" cm="1">
        <f t="array" ref="D51">INDEX('RelFlt-2'!$B$2:$J$100,1+B51,C51)</f>
        <v/>
      </c>
    </row>
    <row r="52" spans="1:4" x14ac:dyDescent="0.75">
      <c r="A52" s="111">
        <v>18</v>
      </c>
      <c r="B52" s="111">
        <f t="shared" si="2"/>
        <v>1</v>
      </c>
      <c r="C52" s="111">
        <f t="shared" si="3"/>
        <v>9</v>
      </c>
      <c r="D52" s="112" t="str" cm="1">
        <f t="array" ref="D52">INDEX('RelFlt-2'!$B$2:$J$100,1+B52,C52)</f>
        <v/>
      </c>
    </row>
    <row r="53" spans="1:4" x14ac:dyDescent="0.75">
      <c r="A53" s="111">
        <v>19</v>
      </c>
      <c r="B53" s="111">
        <f t="shared" si="2"/>
        <v>2</v>
      </c>
      <c r="C53" s="111">
        <f t="shared" si="3"/>
        <v>1</v>
      </c>
      <c r="D53" s="112" t="str" cm="1">
        <f t="array" ref="D53">INDEX('RelFlt-2'!$B$2:$J$100,1+B53,C53)</f>
        <v>* differential.element[4].id = "RelapseDuringFLT.date"</v>
      </c>
    </row>
    <row r="54" spans="1:4" x14ac:dyDescent="0.75">
      <c r="A54" s="111">
        <v>20</v>
      </c>
      <c r="B54" s="111">
        <f t="shared" si="2"/>
        <v>2</v>
      </c>
      <c r="C54" s="111">
        <f t="shared" si="3"/>
        <v>2</v>
      </c>
      <c r="D54" s="112" t="str" cm="1">
        <f t="array" ref="D54">INDEX('RelFlt-2'!$B$2:$J$100,1+B54,C54)</f>
        <v>* differential.element[4].path = "RelapseDuringFLT.date"</v>
      </c>
    </row>
    <row r="55" spans="1:4" x14ac:dyDescent="0.75">
      <c r="A55" s="111">
        <v>21</v>
      </c>
      <c r="B55" s="111">
        <f t="shared" si="2"/>
        <v>2</v>
      </c>
      <c r="C55" s="111">
        <f t="shared" si="3"/>
        <v>3</v>
      </c>
      <c r="D55" s="112" t="str" cm="1">
        <f t="array" ref="D55">INDEX('RelFlt-2'!$B$2:$J$100,1+B55,C55)</f>
        <v>* differential.element[4].short = "Date  "</v>
      </c>
    </row>
    <row r="56" spans="1:4" x14ac:dyDescent="0.75">
      <c r="A56" s="111">
        <v>22</v>
      </c>
      <c r="B56" s="111">
        <f t="shared" si="2"/>
        <v>2</v>
      </c>
      <c r="C56" s="111">
        <f t="shared" si="3"/>
        <v>4</v>
      </c>
      <c r="D56" s="112" t="str" cm="1">
        <f t="array" ref="D56">INDEX('RelFlt-2'!$B$2:$J$100,1+B56,C56)</f>
        <v>* differential.element[4].definition = "Report the date of the event in DD/MM/YYYY format. If the date is unkown or partially missed insert the year at the best of your knowledge."</v>
      </c>
    </row>
    <row r="57" spans="1:4" x14ac:dyDescent="0.75">
      <c r="A57" s="111">
        <v>23</v>
      </c>
      <c r="B57" s="111">
        <f t="shared" si="2"/>
        <v>2</v>
      </c>
      <c r="C57" s="111">
        <f t="shared" si="3"/>
        <v>5</v>
      </c>
      <c r="D57" s="112" t="str" cm="1">
        <f t="array" ref="D57">INDEX('RelFlt-2'!$B$2:$J$100,1+B57,C57)</f>
        <v>* differential.element[4].min = 0</v>
      </c>
    </row>
    <row r="58" spans="1:4" x14ac:dyDescent="0.75">
      <c r="A58" s="111">
        <v>24</v>
      </c>
      <c r="B58" s="111">
        <f t="shared" si="2"/>
        <v>2</v>
      </c>
      <c r="C58" s="111">
        <f t="shared" si="3"/>
        <v>6</v>
      </c>
      <c r="D58" s="112" t="str" cm="1">
        <f t="array" ref="D58">INDEX('RelFlt-2'!$B$2:$J$100,1+B58,C58)</f>
        <v>* differential.element[4].max = "1"</v>
      </c>
    </row>
    <row r="59" spans="1:4" x14ac:dyDescent="0.75">
      <c r="A59" s="111">
        <v>25</v>
      </c>
      <c r="B59" s="111">
        <f t="shared" si="2"/>
        <v>2</v>
      </c>
      <c r="C59" s="111">
        <f t="shared" si="3"/>
        <v>7</v>
      </c>
      <c r="D59" s="112" t="str" cm="1">
        <f t="array" ref="D59">INDEX('RelFlt-2'!$B$2:$J$100,1+B59,C59)</f>
        <v>* differential.element[4].type.code = #dateTime</v>
      </c>
    </row>
    <row r="60" spans="1:4" x14ac:dyDescent="0.75">
      <c r="A60" s="111">
        <v>26</v>
      </c>
      <c r="B60" s="111">
        <f t="shared" si="2"/>
        <v>2</v>
      </c>
      <c r="C60" s="111">
        <f t="shared" si="3"/>
        <v>8</v>
      </c>
      <c r="D60" s="112" t="str" cm="1">
        <f t="array" ref="D60">INDEX('RelFlt-2'!$B$2:$J$100,1+B60,C60)</f>
        <v/>
      </c>
    </row>
    <row r="61" spans="1:4" x14ac:dyDescent="0.75">
      <c r="A61" s="111">
        <v>27</v>
      </c>
      <c r="B61" s="111">
        <f t="shared" si="2"/>
        <v>2</v>
      </c>
      <c r="C61" s="111">
        <f t="shared" si="3"/>
        <v>9</v>
      </c>
      <c r="D61" s="112" t="str" cm="1">
        <f t="array" ref="D61">INDEX('RelFlt-2'!$B$2:$J$100,1+B61,C61)</f>
        <v/>
      </c>
    </row>
    <row r="62" spans="1:4" x14ac:dyDescent="0.75">
      <c r="A62" s="111">
        <v>28</v>
      </c>
      <c r="B62" s="111">
        <f t="shared" si="2"/>
        <v>3</v>
      </c>
      <c r="C62" s="111">
        <f t="shared" si="3"/>
        <v>1</v>
      </c>
      <c r="D62" s="112" t="str" cm="1">
        <f t="array" ref="D62">INDEX('RelFlt-2'!$B$2:$J$100,1+B62,C62)</f>
        <v>* differential.element[3].id = "RelapseDuringFLT.type"</v>
      </c>
    </row>
    <row r="63" spans="1:4" x14ac:dyDescent="0.75">
      <c r="A63" s="111">
        <v>29</v>
      </c>
      <c r="B63" s="111">
        <f t="shared" si="2"/>
        <v>3</v>
      </c>
      <c r="C63" s="111">
        <f t="shared" si="3"/>
        <v>2</v>
      </c>
      <c r="D63" s="112" t="str" cm="1">
        <f t="array" ref="D63">INDEX('RelFlt-2'!$B$2:$J$100,1+B63,C63)</f>
        <v>* differential.element[3].path = "RelapseDuringFLT.type"</v>
      </c>
    </row>
    <row r="64" spans="1:4" x14ac:dyDescent="0.75">
      <c r="A64" s="111">
        <v>30</v>
      </c>
      <c r="B64" s="111">
        <f t="shared" si="2"/>
        <v>3</v>
      </c>
      <c r="C64" s="111">
        <f t="shared" si="3"/>
        <v>3</v>
      </c>
      <c r="D64" s="112" t="str" cm="1">
        <f t="array" ref="D64">INDEX('RelFlt-2'!$B$2:$J$100,1+B64,C64)</f>
        <v>* differential.element[3].short = "relapse | progression"</v>
      </c>
    </row>
    <row r="65" spans="1:4" x14ac:dyDescent="0.75">
      <c r="A65" s="111">
        <v>31</v>
      </c>
      <c r="B65" s="111">
        <f t="shared" si="2"/>
        <v>3</v>
      </c>
      <c r="C65" s="111">
        <f t="shared" si="3"/>
        <v>4</v>
      </c>
      <c r="D65" s="112" t="str" cm="1">
        <f t="array" ref="D65">INDEX('RelFlt-2'!$B$2:$J$100,1+B65,C65)</f>
        <v>* differential.element[3].definition = "The type of event should be reported
1 =&gt; Relapse
2 =&gt; Progression 
-9922= NK"</v>
      </c>
    </row>
    <row r="66" spans="1:4" x14ac:dyDescent="0.75">
      <c r="A66" s="111">
        <v>32</v>
      </c>
      <c r="B66" s="111">
        <f t="shared" si="2"/>
        <v>3</v>
      </c>
      <c r="C66" s="111">
        <f t="shared" si="3"/>
        <v>5</v>
      </c>
      <c r="D66" s="112" t="str" cm="1">
        <f t="array" ref="D66">INDEX('RelFlt-2'!$B$2:$J$100,1+B66,C66)</f>
        <v>* differential.element[3].min = 0</v>
      </c>
    </row>
    <row r="67" spans="1:4" x14ac:dyDescent="0.75">
      <c r="A67" s="111">
        <v>33</v>
      </c>
      <c r="B67" s="111">
        <f t="shared" si="2"/>
        <v>3</v>
      </c>
      <c r="C67" s="111">
        <f t="shared" si="3"/>
        <v>6</v>
      </c>
      <c r="D67" s="112" t="str" cm="1">
        <f t="array" ref="D67">INDEX('RelFlt-2'!$B$2:$J$100,1+B67,C67)</f>
        <v>* differential.element[3].max = "1"</v>
      </c>
    </row>
    <row r="68" spans="1:4" x14ac:dyDescent="0.75">
      <c r="A68" s="111">
        <v>34</v>
      </c>
      <c r="B68" s="111">
        <f t="shared" si="2"/>
        <v>3</v>
      </c>
      <c r="C68" s="111">
        <f t="shared" si="3"/>
        <v>7</v>
      </c>
      <c r="D68" s="112" t="str" cm="1">
        <f t="array" ref="D68">INDEX('RelFlt-2'!$B$2:$J$100,1+B68,C68)</f>
        <v>* differential.element[3].type.code = #CodeableConcept</v>
      </c>
    </row>
    <row r="69" spans="1:4" x14ac:dyDescent="0.75">
      <c r="A69" s="111">
        <v>35</v>
      </c>
      <c r="B69" s="111">
        <f t="shared" si="2"/>
        <v>3</v>
      </c>
      <c r="C69" s="111">
        <f t="shared" si="3"/>
        <v>8</v>
      </c>
      <c r="D69" s="112" t="str" cm="1">
        <f t="array" ref="D69">INDEX('RelFlt-2'!$B$2:$J$100,1+B69,C69)</f>
        <v/>
      </c>
    </row>
    <row r="70" spans="1:4" x14ac:dyDescent="0.75">
      <c r="A70" s="111">
        <v>36</v>
      </c>
      <c r="B70" s="111">
        <f t="shared" si="2"/>
        <v>3</v>
      </c>
      <c r="C70" s="111">
        <f t="shared" si="3"/>
        <v>9</v>
      </c>
      <c r="D70" s="112" t="str" cm="1">
        <f t="array" ref="D70">INDEX('RelFlt-2'!$B$2:$J$100,1+B70,C70)</f>
        <v/>
      </c>
    </row>
    <row r="71" spans="1:4" x14ac:dyDescent="0.75">
      <c r="A71" s="111">
        <v>37</v>
      </c>
      <c r="B71" s="111">
        <f t="shared" si="2"/>
        <v>4</v>
      </c>
      <c r="C71" s="111">
        <f t="shared" si="3"/>
        <v>1</v>
      </c>
      <c r="D71" s="112" t="str" cm="1">
        <f t="array" ref="D71">INDEX('RelFlt-2'!$B$2:$J$100,1+B71,C71)</f>
        <v>* differential.element[5].id = "RelapseDuringFLT.qualifier"</v>
      </c>
    </row>
    <row r="72" spans="1:4" x14ac:dyDescent="0.75">
      <c r="A72" s="111">
        <v>38</v>
      </c>
      <c r="B72" s="111">
        <f t="shared" si="2"/>
        <v>4</v>
      </c>
      <c r="C72" s="111">
        <f t="shared" si="3"/>
        <v>2</v>
      </c>
      <c r="D72" s="112" t="str" cm="1">
        <f t="array" ref="D72">INDEX('RelFlt-2'!$B$2:$J$100,1+B72,C72)</f>
        <v>* differential.element[5].path = "RelapseDuringFLT.qualifier"</v>
      </c>
    </row>
    <row r="73" spans="1:4" x14ac:dyDescent="0.75">
      <c r="A73" s="111">
        <v>39</v>
      </c>
      <c r="B73" s="111">
        <f t="shared" si="2"/>
        <v>4</v>
      </c>
      <c r="C73" s="111">
        <f t="shared" si="3"/>
        <v>3</v>
      </c>
      <c r="D73" s="112" t="str" cm="1">
        <f t="array" ref="D73">INDEX('RelFlt-2'!$B$2:$J$100,1+B73,C73)</f>
        <v>* differential.element[5].short = "local | distant | combined"</v>
      </c>
    </row>
    <row r="74" spans="1:4" x14ac:dyDescent="0.75">
      <c r="A74" s="111">
        <v>40</v>
      </c>
      <c r="B74" s="111">
        <f t="shared" si="2"/>
        <v>4</v>
      </c>
      <c r="C74" s="111">
        <f t="shared" si="3"/>
        <v>4</v>
      </c>
      <c r="D74" s="112" t="str" cm="1">
        <f t="array" ref="D74">INDEX('RelFlt-2'!$B$2:$J$100,1+B74,C74)</f>
        <v>* differential.element[5].definition = "Please state if the relapse or progression was local, distant,  combined or unk"</v>
      </c>
    </row>
    <row r="75" spans="1:4" x14ac:dyDescent="0.75">
      <c r="A75" s="111">
        <v>41</v>
      </c>
      <c r="B75" s="111">
        <f t="shared" si="2"/>
        <v>4</v>
      </c>
      <c r="C75" s="111">
        <f t="shared" si="3"/>
        <v>5</v>
      </c>
      <c r="D75" s="112" t="str" cm="1">
        <f t="array" ref="D75">INDEX('RelFlt-2'!$B$2:$J$100,1+B75,C75)</f>
        <v>* differential.element[5].min = 0</v>
      </c>
    </row>
    <row r="76" spans="1:4" x14ac:dyDescent="0.75">
      <c r="A76" s="111">
        <v>42</v>
      </c>
      <c r="B76" s="111">
        <f t="shared" si="2"/>
        <v>4</v>
      </c>
      <c r="C76" s="111">
        <f t="shared" si="3"/>
        <v>6</v>
      </c>
      <c r="D76" s="112" t="str" cm="1">
        <f t="array" ref="D76">INDEX('RelFlt-2'!$B$2:$J$100,1+B76,C76)</f>
        <v>* differential.element[5].max = "1"</v>
      </c>
    </row>
    <row r="77" spans="1:4" x14ac:dyDescent="0.75">
      <c r="A77" s="111">
        <v>43</v>
      </c>
      <c r="B77" s="111">
        <f t="shared" si="2"/>
        <v>4</v>
      </c>
      <c r="C77" s="111">
        <f t="shared" si="3"/>
        <v>7</v>
      </c>
      <c r="D77" s="112" t="str" cm="1">
        <f t="array" ref="D77">INDEX('RelFlt-2'!$B$2:$J$100,1+B77,C77)</f>
        <v>* differential.element[5].type.code = #CodeableConcept</v>
      </c>
    </row>
    <row r="78" spans="1:4" x14ac:dyDescent="0.75">
      <c r="A78" s="111">
        <v>44</v>
      </c>
      <c r="B78" s="111">
        <f t="shared" si="2"/>
        <v>4</v>
      </c>
      <c r="C78" s="111">
        <f t="shared" si="3"/>
        <v>8</v>
      </c>
      <c r="D78" s="112" t="str" cm="1">
        <f t="array" ref="D78">INDEX('RelFlt-2'!$B$2:$J$100,1+B78,C78)</f>
        <v/>
      </c>
    </row>
    <row r="79" spans="1:4" x14ac:dyDescent="0.75">
      <c r="A79" s="111">
        <v>45</v>
      </c>
      <c r="B79" s="111">
        <f t="shared" si="2"/>
        <v>4</v>
      </c>
      <c r="C79" s="111">
        <f t="shared" si="3"/>
        <v>9</v>
      </c>
      <c r="D79" s="112" t="str" cm="1">
        <f t="array" ref="D79">INDEX('RelFlt-2'!$B$2:$J$100,1+B79,C79)</f>
        <v/>
      </c>
    </row>
    <row r="80" spans="1:4" x14ac:dyDescent="0.75">
      <c r="A80" s="111">
        <v>46</v>
      </c>
      <c r="B80" s="111">
        <f t="shared" si="2"/>
        <v>5</v>
      </c>
      <c r="C80" s="111">
        <f t="shared" si="3"/>
        <v>1</v>
      </c>
      <c r="D80" s="112" t="str" cm="1">
        <f t="array" ref="D80">INDEX('RelFlt-2'!$B$2:$J$100,1+B80,C80)</f>
        <v>* differential.element[6].id = "RelapseDuringFLT.site"</v>
      </c>
    </row>
    <row r="81" spans="1:7" x14ac:dyDescent="0.75">
      <c r="A81" s="111">
        <v>47</v>
      </c>
      <c r="B81" s="111">
        <f t="shared" si="2"/>
        <v>5</v>
      </c>
      <c r="C81" s="111">
        <f t="shared" si="3"/>
        <v>2</v>
      </c>
      <c r="D81" s="112" t="str" cm="1">
        <f t="array" ref="D81">INDEX('RelFlt-2'!$B$2:$J$100,1+B81,C81)</f>
        <v>* differential.element[6].path = "RelapseDuringFLT.site"</v>
      </c>
    </row>
    <row r="82" spans="1:7" x14ac:dyDescent="0.75">
      <c r="A82" s="111">
        <v>48</v>
      </c>
      <c r="B82" s="111">
        <f t="shared" si="2"/>
        <v>5</v>
      </c>
      <c r="C82" s="111">
        <f t="shared" si="3"/>
        <v>3</v>
      </c>
      <c r="D82" s="112" t="str" cm="1">
        <f t="array" ref="D82">INDEX('RelFlt-2'!$B$2:$J$100,1+B82,C82)</f>
        <v>* differential.element[6].short = "If distant, site of metastases"</v>
      </c>
    </row>
    <row r="83" spans="1:7" x14ac:dyDescent="0.75">
      <c r="A83" s="111">
        <v>49</v>
      </c>
      <c r="B83" s="111">
        <f t="shared" si="2"/>
        <v>5</v>
      </c>
      <c r="C83" s="111">
        <f t="shared" si="3"/>
        <v>4</v>
      </c>
      <c r="D83" s="112" t="str" cm="1">
        <f t="array" ref="D83">INDEX('RelFlt-2'!$B$2:$J$100,1+B83,C83)</f>
        <v>* differential.element[6].definition = "If distant, specify site  (text)"</v>
      </c>
    </row>
    <row r="84" spans="1:7" x14ac:dyDescent="0.75">
      <c r="A84" s="111">
        <v>50</v>
      </c>
      <c r="B84" s="111">
        <f t="shared" si="2"/>
        <v>5</v>
      </c>
      <c r="C84" s="111">
        <f t="shared" si="3"/>
        <v>5</v>
      </c>
      <c r="D84" s="112" t="str" cm="1">
        <f t="array" ref="D84">INDEX('RelFlt-2'!$B$2:$J$100,1+B84,C84)</f>
        <v>* differential.element[6].min = 0</v>
      </c>
    </row>
    <row r="85" spans="1:7" x14ac:dyDescent="0.75">
      <c r="A85" s="111">
        <v>51</v>
      </c>
      <c r="B85" s="111">
        <f t="shared" si="2"/>
        <v>5</v>
      </c>
      <c r="C85" s="111">
        <f t="shared" si="3"/>
        <v>6</v>
      </c>
      <c r="D85" s="112" t="str" cm="1">
        <f t="array" ref="D85">INDEX('RelFlt-2'!$B$2:$J$100,1+B85,C85)</f>
        <v>* differential.element[6].max = "1"</v>
      </c>
    </row>
    <row r="86" spans="1:7" x14ac:dyDescent="0.75">
      <c r="A86" s="111">
        <v>52</v>
      </c>
      <c r="B86" s="111">
        <f t="shared" si="2"/>
        <v>5</v>
      </c>
      <c r="C86" s="111">
        <f t="shared" si="3"/>
        <v>7</v>
      </c>
      <c r="D86" s="112" t="str" cm="1">
        <f t="array" ref="D86">INDEX('RelFlt-2'!$B$2:$J$100,1+B86,C86)</f>
        <v>* differential.element[6].type.code = #string</v>
      </c>
    </row>
    <row r="87" spans="1:7" x14ac:dyDescent="0.75">
      <c r="A87" s="111">
        <v>53</v>
      </c>
      <c r="B87" s="111">
        <f t="shared" si="2"/>
        <v>5</v>
      </c>
      <c r="C87" s="111">
        <f t="shared" si="3"/>
        <v>8</v>
      </c>
      <c r="D87" s="112" t="str" cm="1">
        <f t="array" ref="D87">INDEX('RelFlt-2'!$B$2:$J$100,1+B87,C87)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D12" sqref="D12"/>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'RelFlt-1'!B1</f>
        <v>canonical</v>
      </c>
      <c r="D1" s="53" t="s">
        <v>32</v>
      </c>
      <c r="E1" s="54"/>
      <c r="F1" s="107" t="s">
        <v>41</v>
      </c>
      <c r="M1" s="109" t="s">
        <v>39</v>
      </c>
    </row>
    <row r="2" spans="1:13" ht="15.5" thickBot="1" x14ac:dyDescent="0.9">
      <c r="C2" s="126" t="str">
        <f>'RelFlt-1'!B2</f>
        <v>http://hl7.eu/fhir/ig/pcsp</v>
      </c>
      <c r="D2" s="16" t="s">
        <v>46</v>
      </c>
      <c r="E2" s="16"/>
      <c r="F2" s="109" t="s">
        <v>38</v>
      </c>
      <c r="M2" s="109" t="str">
        <f>CONCATENATE("Mapping: ",E2)</f>
        <v xml:space="preserve">Mapping: </v>
      </c>
    </row>
    <row r="3" spans="1:13" ht="15.5" thickBot="1" x14ac:dyDescent="0.9">
      <c r="C3" s="104" t="str">
        <f>'RelFlt-1'!B3</f>
        <v>Publisher</v>
      </c>
      <c r="D3" s="41"/>
      <c r="E3" s="56"/>
      <c r="M3" s="109" t="str">
        <f>CONCATENATE("Id: ",E2)</f>
        <v xml:space="preserve">Id: </v>
      </c>
    </row>
    <row r="4" spans="1:13" ht="15.5" thickBot="1" x14ac:dyDescent="0.9">
      <c r="C4" s="126" t="str">
        <f>'RelFlt-1'!B4</f>
        <v>PanCareSurPass project</v>
      </c>
      <c r="D4" s="43"/>
      <c r="E4" s="57"/>
      <c r="M4" s="109" t="str">
        <f>CONCATENATE("Title: """,D2,"""")</f>
        <v>Title: "FHIR"</v>
      </c>
    </row>
    <row r="5" spans="1:13" x14ac:dyDescent="0.75">
      <c r="M5" s="109" t="str">
        <f>CONCATENATE("Source: ",C2,"/",C7)</f>
        <v>Source: http://hl7.eu/fhir/ig/pcsp/RelapseDuringFLT</v>
      </c>
    </row>
    <row r="6" spans="1:13" x14ac:dyDescent="0.75">
      <c r="D6" s="109" t="s">
        <v>37</v>
      </c>
      <c r="E6" s="109" t="s">
        <v>230</v>
      </c>
      <c r="J6" s="110" t="s">
        <v>230</v>
      </c>
      <c r="M6" s="109" t="str">
        <f>CONCATENATE("Target: """,D4,"""")</f>
        <v>Target: ""</v>
      </c>
    </row>
    <row r="7" spans="1:13" ht="59" x14ac:dyDescent="0.75">
      <c r="A7" s="111">
        <v>0</v>
      </c>
      <c r="B7" s="111">
        <f>'RelFlt-1'!A6</f>
        <v>0</v>
      </c>
      <c r="C7" s="24" t="str">
        <f>'RelFlt-1'!B6</f>
        <v>RelapseDuringFLT</v>
      </c>
      <c r="D7" s="24" t="s">
        <v>1085</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v>
      </c>
      <c r="J7" s="110" t="str">
        <f>IF(E7&gt;"",CONCATENATE("* differential.element[",$B7,"].mapping[",$A7,"].comment = """,E7,""""),"")</f>
        <v/>
      </c>
      <c r="L7" s="109" t="s">
        <v>40</v>
      </c>
      <c r="M7" s="109" t="s">
        <v>39</v>
      </c>
    </row>
    <row r="8" spans="1:13" x14ac:dyDescent="0.75">
      <c r="A8" s="111">
        <v>0</v>
      </c>
      <c r="B8" s="111">
        <f>'RelFlt-1'!A7</f>
        <v>1</v>
      </c>
      <c r="C8" s="113" t="str">
        <f>'RelFlt-1'!B7</f>
        <v>identifier</v>
      </c>
      <c r="D8" s="48" t="s">
        <v>908</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'RelFlt-1'!A8</f>
        <v>2</v>
      </c>
      <c r="C9" s="113" t="str">
        <f>'RelFlt-1'!B8</f>
        <v>relatedDiagnosis</v>
      </c>
      <c r="D9" s="138" t="s">
        <v>1086</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29.5" x14ac:dyDescent="0.75">
      <c r="A10" s="111">
        <v>0</v>
      </c>
      <c r="B10" s="111">
        <f>'RelFlt-1'!A9</f>
        <v>4</v>
      </c>
      <c r="C10" s="113" t="str">
        <f>'RelFlt-1'!B9</f>
        <v>date</v>
      </c>
      <c r="D10" s="111" t="s">
        <v>1087</v>
      </c>
      <c r="G10" s="109" t="b">
        <f t="shared" si="1"/>
        <v>1</v>
      </c>
      <c r="H10" s="110" t="str">
        <f t="shared" si="2"/>
        <v>* differential.element[4].mapping[0].identity = "fhir"</v>
      </c>
      <c r="I10" s="110" t="str">
        <f t="shared" si="3"/>
        <v>* differential.element[4].mapping[0].map = ".extension('http://hl7.org/fhir/StructureDefinition/condition-assertedDate')"</v>
      </c>
      <c r="J10" s="110" t="str">
        <f t="shared" si="4"/>
        <v/>
      </c>
      <c r="M10" s="109" t="str">
        <f t="shared" si="0"/>
        <v>* date -&gt; ".extension('http://hl7.org/fhir/StructureDefinition/condition-assertedDate')"</v>
      </c>
    </row>
    <row r="11" spans="1:13" ht="103.25" x14ac:dyDescent="0.75">
      <c r="A11" s="111">
        <v>0</v>
      </c>
      <c r="B11" s="111">
        <f>'RelFlt-1'!A10</f>
        <v>3</v>
      </c>
      <c r="C11" s="113" t="str">
        <f>'RelFlt-1'!B10</f>
        <v>type</v>
      </c>
      <c r="D11" s="112" t="s">
        <v>1088</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29.5" x14ac:dyDescent="0.75">
      <c r="A12" s="111">
        <v>0</v>
      </c>
      <c r="B12" s="111">
        <f>'RelFlt-1'!A11</f>
        <v>5</v>
      </c>
      <c r="C12" s="113" t="str">
        <f>'RelFlt-1'!B11</f>
        <v>qualifier</v>
      </c>
      <c r="D12" s="48" t="s">
        <v>1059</v>
      </c>
      <c r="G12" s="109" t="b">
        <f t="shared" si="1"/>
        <v>1</v>
      </c>
      <c r="H12" s="110" t="str">
        <f t="shared" si="2"/>
        <v>* differential.element[5].mapping[0].identity = "fhir"</v>
      </c>
      <c r="I12" s="110" t="str">
        <f t="shared" si="3"/>
        <v>* differential.element[5].mapping[0].map = "TBD"</v>
      </c>
      <c r="J12" s="110" t="str">
        <f t="shared" si="4"/>
        <v/>
      </c>
      <c r="M12" s="109" t="str">
        <f t="shared" si="0"/>
        <v>* qualifier -&gt; "TBD"</v>
      </c>
    </row>
    <row r="13" spans="1:13" ht="29.5" x14ac:dyDescent="0.75">
      <c r="A13" s="111">
        <v>0</v>
      </c>
      <c r="B13" s="111">
        <f>'RelFlt-1'!A12</f>
        <v>6</v>
      </c>
      <c r="C13" s="113" t="str">
        <f>'RelFlt-1'!B12</f>
        <v>site</v>
      </c>
      <c r="D13" s="48" t="s">
        <v>1089</v>
      </c>
      <c r="G13" s="109" t="b">
        <f t="shared" si="1"/>
        <v>1</v>
      </c>
      <c r="H13" s="110" t="str">
        <f t="shared" si="2"/>
        <v>* differential.element[6].mapping[0].identity = "fhir"</v>
      </c>
      <c r="I13" s="110" t="str">
        <f t="shared" si="3"/>
        <v>* differential.element[6].mapping[0].map = "bodySite"</v>
      </c>
      <c r="J13" s="110" t="str">
        <f t="shared" si="4"/>
        <v/>
      </c>
      <c r="M13" s="109" t="str">
        <f t="shared" si="0"/>
        <v>* site -&gt; "bodySite"</v>
      </c>
    </row>
    <row r="14" spans="1:13" ht="29.5" x14ac:dyDescent="0.75">
      <c r="A14" s="111">
        <v>0</v>
      </c>
      <c r="B14" s="111">
        <f>'RelFlt-1'!A13</f>
        <v>7</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'RelFlt-1'!A14</f>
        <v>8</v>
      </c>
      <c r="C15" s="113"/>
      <c r="D15" s="48"/>
      <c r="G15" s="109" t="b">
        <f t="shared" si="1"/>
        <v>0</v>
      </c>
      <c r="H15" s="110" t="str">
        <f t="shared" si="2"/>
        <v/>
      </c>
      <c r="I15" s="110" t="str">
        <f t="shared" si="3"/>
        <v/>
      </c>
      <c r="J15" s="110" t="str">
        <f t="shared" si="4"/>
        <v/>
      </c>
      <c r="M15" s="109" t="str">
        <f t="shared" si="0"/>
        <v>*  -&gt; ""</v>
      </c>
    </row>
    <row r="16" spans="1:13" ht="29.5" x14ac:dyDescent="0.75">
      <c r="A16" s="111">
        <v>0</v>
      </c>
      <c r="B16" s="111">
        <f>'RelFlt-1'!A15</f>
        <v>9</v>
      </c>
      <c r="C16" s="113"/>
      <c r="D16" s="48"/>
      <c r="G16" s="109" t="b">
        <f t="shared" si="1"/>
        <v>0</v>
      </c>
      <c r="H16" s="110" t="str">
        <f t="shared" si="2"/>
        <v/>
      </c>
      <c r="I16" s="110" t="str">
        <f t="shared" si="3"/>
        <v/>
      </c>
      <c r="J16" s="110" t="str">
        <f t="shared" si="4"/>
        <v/>
      </c>
      <c r="M16" s="109" t="str">
        <f t="shared" si="0"/>
        <v>*  -&gt; ""</v>
      </c>
    </row>
    <row r="17" spans="1:13" ht="29.5" x14ac:dyDescent="0.75">
      <c r="A17" s="111">
        <v>0</v>
      </c>
      <c r="B17" s="111">
        <f>'RelFlt-1'!A16</f>
        <v>10</v>
      </c>
      <c r="C17" s="113"/>
      <c r="D17" s="48"/>
      <c r="G17" s="109" t="b">
        <f t="shared" si="1"/>
        <v>0</v>
      </c>
      <c r="H17" s="110" t="str">
        <f t="shared" si="2"/>
        <v/>
      </c>
      <c r="I17" s="110" t="str">
        <f t="shared" si="3"/>
        <v/>
      </c>
      <c r="J17" s="110" t="str">
        <f t="shared" si="4"/>
        <v/>
      </c>
      <c r="M17" s="109" t="str">
        <f t="shared" si="0"/>
        <v>*  -&gt; ""</v>
      </c>
    </row>
    <row r="18" spans="1:13" ht="29.5" x14ac:dyDescent="0.75">
      <c r="A18" s="111">
        <v>0</v>
      </c>
      <c r="B18" s="111">
        <f>'RelFlt-1'!A17</f>
        <v>11</v>
      </c>
      <c r="C18" s="113"/>
      <c r="D18" s="48"/>
      <c r="G18" s="109" t="b">
        <f t="shared" si="1"/>
        <v>0</v>
      </c>
      <c r="H18" s="110" t="str">
        <f t="shared" si="2"/>
        <v/>
      </c>
      <c r="I18" s="110" t="str">
        <f t="shared" si="3"/>
        <v/>
      </c>
      <c r="J18" s="110" t="str">
        <f t="shared" si="4"/>
        <v/>
      </c>
      <c r="M18" s="109" t="str">
        <f t="shared" si="0"/>
        <v>*  -&gt; ""</v>
      </c>
    </row>
    <row r="19" spans="1:13" ht="29.5" x14ac:dyDescent="0.75">
      <c r="A19" s="111">
        <v>0</v>
      </c>
      <c r="B19" s="111">
        <f>'RelFlt-1'!A18</f>
        <v>12</v>
      </c>
      <c r="C19" s="113"/>
      <c r="D19" s="111"/>
      <c r="G19" s="109" t="b">
        <f t="shared" si="1"/>
        <v>0</v>
      </c>
      <c r="H19" s="110" t="str">
        <f t="shared" si="2"/>
        <v/>
      </c>
      <c r="I19" s="110" t="str">
        <f t="shared" si="3"/>
        <v/>
      </c>
      <c r="J19" s="110" t="str">
        <f t="shared" si="4"/>
        <v/>
      </c>
      <c r="M19" s="109" t="str">
        <f t="shared" si="0"/>
        <v>*  -&gt; ""</v>
      </c>
    </row>
    <row r="20" spans="1:13" ht="29.5" x14ac:dyDescent="0.75">
      <c r="A20" s="111">
        <v>0</v>
      </c>
      <c r="B20" s="111">
        <f>'RelFlt-1'!A19</f>
        <v>13</v>
      </c>
      <c r="C20" s="113"/>
      <c r="D20" s="111"/>
      <c r="G20" s="109" t="b">
        <f t="shared" si="1"/>
        <v>0</v>
      </c>
      <c r="H20" s="110" t="str">
        <f t="shared" si="2"/>
        <v/>
      </c>
      <c r="I20" s="110" t="str">
        <f t="shared" si="3"/>
        <v/>
      </c>
      <c r="J20" s="110" t="str">
        <f t="shared" si="4"/>
        <v/>
      </c>
      <c r="M20" s="109" t="str">
        <f t="shared" si="0"/>
        <v>*  -&gt; ""</v>
      </c>
    </row>
    <row r="21" spans="1:13" ht="59" x14ac:dyDescent="0.75">
      <c r="A21" s="111">
        <v>0</v>
      </c>
      <c r="B21" s="111">
        <f>'RelFlt-1'!A20</f>
        <v>14</v>
      </c>
      <c r="C21" s="113"/>
      <c r="D21" s="111"/>
      <c r="G21" s="109" t="b">
        <f t="shared" si="1"/>
        <v>0</v>
      </c>
      <c r="H21" s="110" t="str">
        <f t="shared" si="2"/>
        <v/>
      </c>
      <c r="I21" s="110" t="str">
        <f t="shared" si="3"/>
        <v/>
      </c>
      <c r="J21" s="110" t="str">
        <f t="shared" si="4"/>
        <v/>
      </c>
      <c r="M21" s="109" t="str">
        <f t="shared" si="0"/>
        <v>*  -&gt; ""</v>
      </c>
    </row>
    <row r="22" spans="1:13" ht="59" x14ac:dyDescent="0.75">
      <c r="A22" s="111">
        <v>0</v>
      </c>
      <c r="B22" s="111">
        <f>'RelFlt-1'!A21</f>
        <v>15</v>
      </c>
      <c r="C22" s="113"/>
      <c r="D22" s="111"/>
      <c r="G22" s="109" t="b">
        <f t="shared" si="1"/>
        <v>0</v>
      </c>
      <c r="H22" s="110" t="str">
        <f t="shared" si="2"/>
        <v/>
      </c>
      <c r="I22" s="110" t="str">
        <f t="shared" si="3"/>
        <v/>
      </c>
      <c r="J22" s="110" t="str">
        <f t="shared" si="4"/>
        <v/>
      </c>
      <c r="M22" s="109" t="str">
        <f t="shared" si="0"/>
        <v>*  -&gt; ""</v>
      </c>
    </row>
    <row r="23" spans="1:13" ht="59" x14ac:dyDescent="0.75">
      <c r="A23" s="111">
        <v>0</v>
      </c>
      <c r="B23" s="111">
        <f>'RelFlt-1'!A22</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'RelFlt-1'!A23</f>
        <v>17</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'RelFlt-1'!A24</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'RelFlt-1'!A25</f>
        <v>19</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'RelFlt-1'!A26</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'RelFlt-1'!A27</f>
        <v>0</v>
      </c>
      <c r="C28" s="113"/>
      <c r="D28" s="141"/>
      <c r="G28" s="109" t="b">
        <f t="shared" si="1"/>
        <v>0</v>
      </c>
      <c r="H28" s="110" t="str">
        <f t="shared" si="2"/>
        <v/>
      </c>
      <c r="I28" s="110" t="str">
        <f t="shared" si="3"/>
        <v/>
      </c>
      <c r="J28" s="110" t="str">
        <f t="shared" si="4"/>
        <v/>
      </c>
    </row>
    <row r="29" spans="1:13" x14ac:dyDescent="0.75">
      <c r="A29" s="111">
        <v>0</v>
      </c>
      <c r="B29" s="111">
        <f>'RelFlt-1'!A28</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'RelFlt-1'!A29</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'RelFlt-1'!A30</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'RelFlt-1'!A31</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'RelFlt-1'!A32</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'RelFlt-1'!A33</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'RelFlt-1'!A34</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'RelFlt-1'!A35</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'RelFlt-1'!A36</f>
        <v>0</v>
      </c>
      <c r="C37" s="113">
        <f>'RelFlt-1'!B36</f>
        <v>0</v>
      </c>
      <c r="D37" s="141"/>
      <c r="G37" s="109" t="b">
        <f t="shared" si="1"/>
        <v>0</v>
      </c>
      <c r="H37" s="110" t="str">
        <f t="shared" si="2"/>
        <v/>
      </c>
      <c r="I37" s="110" t="str">
        <f t="shared" si="3"/>
        <v/>
      </c>
      <c r="J37" s="110" t="str">
        <f t="shared" si="4"/>
        <v/>
      </c>
      <c r="M37" s="109" t="str">
        <f t="shared" si="9"/>
        <v>* 0 -&gt; ""</v>
      </c>
    </row>
    <row r="38" spans="1:13" x14ac:dyDescent="0.75">
      <c r="A38" s="111">
        <v>0</v>
      </c>
      <c r="B38" s="111">
        <f>'RelFlt-1'!A37</f>
        <v>0</v>
      </c>
      <c r="C38" s="113">
        <f>'RelFlt-1'!B37</f>
        <v>0</v>
      </c>
      <c r="D38" s="141"/>
      <c r="G38" s="109" t="b">
        <f t="shared" si="1"/>
        <v>0</v>
      </c>
      <c r="H38" s="110" t="str">
        <f t="shared" si="2"/>
        <v/>
      </c>
      <c r="I38" s="110" t="str">
        <f t="shared" si="3"/>
        <v/>
      </c>
      <c r="J38" s="110" t="str">
        <f t="shared" si="4"/>
        <v/>
      </c>
    </row>
    <row r="39" spans="1:13" x14ac:dyDescent="0.75">
      <c r="A39" s="111">
        <v>0</v>
      </c>
      <c r="B39" s="111">
        <f>'RelFlt-1'!A38</f>
        <v>0</v>
      </c>
      <c r="C39" s="113">
        <f>'RelFlt-1'!B38</f>
        <v>0</v>
      </c>
      <c r="D39" s="141"/>
      <c r="G39" s="109" t="b">
        <f t="shared" si="1"/>
        <v>0</v>
      </c>
      <c r="H39" s="110" t="str">
        <f t="shared" si="2"/>
        <v/>
      </c>
      <c r="I39" s="110" t="str">
        <f t="shared" si="3"/>
        <v/>
      </c>
      <c r="J39" s="110" t="str">
        <f t="shared" si="4"/>
        <v/>
      </c>
    </row>
    <row r="40" spans="1:13" ht="59" x14ac:dyDescent="0.75">
      <c r="A40" s="111">
        <v>0</v>
      </c>
      <c r="B40" s="111">
        <f>'RelFlt-1'!A39</f>
        <v>0</v>
      </c>
      <c r="C40" s="113">
        <f>'RelFlt-1'!B39</f>
        <v>0</v>
      </c>
      <c r="D40" s="24" t="s">
        <v>913</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'RelFlt-1'!A40</f>
        <v>0</v>
      </c>
      <c r="C41" s="113">
        <f>'RelFlt-1'!B40</f>
        <v>0</v>
      </c>
      <c r="D41" s="111" t="s">
        <v>909</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'RelFlt-1'!A41</f>
        <v>0</v>
      </c>
      <c r="C42" s="113">
        <f>'RelFlt-1'!B41</f>
        <v>0</v>
      </c>
      <c r="D42" s="109" t="s">
        <v>914</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'RelFlt-1'!A42</f>
        <v>0</v>
      </c>
      <c r="C43" s="113">
        <f>'RelFlt-1'!B42</f>
        <v>0</v>
      </c>
      <c r="D43" s="111" t="s">
        <v>910</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'RelFlt-1'!A43</f>
        <v>0</v>
      </c>
      <c r="C44" s="113">
        <f>'RelFlt-1'!B43</f>
        <v>0</v>
      </c>
      <c r="D44" s="112" t="s">
        <v>912</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'RelFlt-1'!A44</f>
        <v>0</v>
      </c>
      <c r="C45" s="113">
        <f>'RelFlt-1'!B44</f>
        <v>0</v>
      </c>
      <c r="D45" s="142"/>
      <c r="G45" s="109" t="b">
        <f t="shared" si="1"/>
        <v>0</v>
      </c>
      <c r="H45" s="110" t="str">
        <f t="shared" si="2"/>
        <v/>
      </c>
      <c r="I45" s="110" t="str">
        <f t="shared" si="3"/>
        <v/>
      </c>
      <c r="J45" s="110" t="str">
        <f t="shared" si="4"/>
        <v/>
      </c>
    </row>
    <row r="46" spans="1:13" x14ac:dyDescent="0.75">
      <c r="A46" s="111">
        <v>0</v>
      </c>
      <c r="B46" s="111">
        <f>'RelFlt-1'!A45</f>
        <v>0</v>
      </c>
      <c r="C46" s="113">
        <f>'RelFlt-1'!B45</f>
        <v>0</v>
      </c>
      <c r="D46" s="142"/>
      <c r="G46" s="109" t="b">
        <f t="shared" si="1"/>
        <v>0</v>
      </c>
      <c r="H46" s="110" t="str">
        <f t="shared" si="2"/>
        <v/>
      </c>
      <c r="I46" s="110" t="str">
        <f t="shared" si="3"/>
        <v/>
      </c>
      <c r="J46" s="110" t="str">
        <f t="shared" si="4"/>
        <v/>
      </c>
    </row>
    <row r="47" spans="1:13" x14ac:dyDescent="0.75">
      <c r="A47" s="111">
        <v>0</v>
      </c>
      <c r="B47" s="111">
        <f>'RelFlt-1'!A46</f>
        <v>0</v>
      </c>
      <c r="C47" s="113">
        <f>'RelFlt-1'!B46</f>
        <v>0</v>
      </c>
      <c r="D47" s="142"/>
      <c r="G47" s="109" t="b">
        <f t="shared" si="1"/>
        <v>0</v>
      </c>
      <c r="H47" s="110" t="str">
        <f t="shared" si="2"/>
        <v/>
      </c>
      <c r="I47" s="110" t="str">
        <f t="shared" si="3"/>
        <v/>
      </c>
      <c r="J47" s="110" t="str">
        <f t="shared" si="4"/>
        <v/>
      </c>
    </row>
    <row r="48" spans="1:13" x14ac:dyDescent="0.75">
      <c r="A48" s="111">
        <v>0</v>
      </c>
      <c r="B48" s="111">
        <f>'RelFlt-1'!A47</f>
        <v>0</v>
      </c>
      <c r="C48" s="113">
        <f>'RelFlt-1'!B47</f>
        <v>0</v>
      </c>
      <c r="D48" s="143"/>
      <c r="G48" s="109" t="b">
        <f t="shared" si="1"/>
        <v>0</v>
      </c>
      <c r="H48" s="110" t="str">
        <f t="shared" si="2"/>
        <v/>
      </c>
      <c r="I48" s="110" t="str">
        <f t="shared" si="3"/>
        <v/>
      </c>
      <c r="J48" s="110" t="str">
        <f t="shared" si="4"/>
        <v/>
      </c>
    </row>
    <row r="49" spans="1:10" x14ac:dyDescent="0.75">
      <c r="A49" s="111">
        <v>0</v>
      </c>
      <c r="B49" s="111">
        <f>'RelFlt-1'!A48</f>
        <v>0</v>
      </c>
      <c r="C49" s="113">
        <f>'RelFlt-1'!B48</f>
        <v>0</v>
      </c>
      <c r="D49" s="143"/>
      <c r="G49" s="109" t="b">
        <f t="shared" si="1"/>
        <v>0</v>
      </c>
      <c r="H49" s="110" t="str">
        <f t="shared" si="2"/>
        <v/>
      </c>
      <c r="I49" s="110" t="str">
        <f t="shared" si="3"/>
        <v/>
      </c>
      <c r="J49" s="110" t="str">
        <f t="shared" si="4"/>
        <v/>
      </c>
    </row>
    <row r="50" spans="1:10" ht="88.5" x14ac:dyDescent="0.75">
      <c r="A50" s="111">
        <v>0</v>
      </c>
      <c r="B50" s="111">
        <f>'RelFlt-1'!A49</f>
        <v>0</v>
      </c>
      <c r="C50" s="113">
        <f>'RelFlt-1'!B49</f>
        <v>0</v>
      </c>
      <c r="D50" s="112" t="s">
        <v>911</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'RelFlt-1'!A50</f>
        <v>0</v>
      </c>
      <c r="C51" s="113">
        <f>'RelFlt-1'!B50</f>
        <v>0</v>
      </c>
      <c r="D51" s="143"/>
      <c r="G51" s="109" t="b">
        <f t="shared" si="1"/>
        <v>0</v>
      </c>
      <c r="H51" s="110" t="str">
        <f t="shared" si="2"/>
        <v/>
      </c>
      <c r="I51" s="110" t="str">
        <f t="shared" si="3"/>
        <v/>
      </c>
      <c r="J51" s="110" t="str">
        <f t="shared" si="4"/>
        <v/>
      </c>
    </row>
    <row r="52" spans="1:10" x14ac:dyDescent="0.75">
      <c r="A52" s="111">
        <v>0</v>
      </c>
      <c r="B52" s="111">
        <f>'RelFlt-1'!A51</f>
        <v>0</v>
      </c>
      <c r="C52" s="113">
        <f>'RelFlt-1'!B51</f>
        <v>0</v>
      </c>
      <c r="D52" s="143"/>
      <c r="G52" s="109" t="b">
        <f t="shared" si="1"/>
        <v>0</v>
      </c>
      <c r="H52" s="110" t="str">
        <f t="shared" si="2"/>
        <v/>
      </c>
      <c r="I52" s="110" t="str">
        <f t="shared" si="3"/>
        <v/>
      </c>
      <c r="J52" s="110" t="str">
        <f t="shared" si="4"/>
        <v/>
      </c>
    </row>
    <row r="53" spans="1:10" x14ac:dyDescent="0.75">
      <c r="A53" s="111">
        <v>0</v>
      </c>
      <c r="B53" s="111">
        <f>'RelFlt-1'!A52</f>
        <v>0</v>
      </c>
      <c r="C53" s="113">
        <f>'RelFlt-1'!B52</f>
        <v>0</v>
      </c>
      <c r="D53" s="143"/>
      <c r="G53" s="109" t="b">
        <f t="shared" si="1"/>
        <v>0</v>
      </c>
      <c r="H53" s="110" t="str">
        <f t="shared" si="2"/>
        <v/>
      </c>
      <c r="I53" s="110" t="str">
        <f t="shared" si="3"/>
        <v/>
      </c>
      <c r="J53" s="110" t="str">
        <f t="shared" si="4"/>
        <v/>
      </c>
    </row>
    <row r="54" spans="1:10" x14ac:dyDescent="0.75">
      <c r="A54" s="111">
        <v>0</v>
      </c>
      <c r="B54" s="111">
        <f>'RelFlt-1'!A53</f>
        <v>0</v>
      </c>
      <c r="C54" s="113">
        <f>'RelFlt-1'!B53</f>
        <v>0</v>
      </c>
      <c r="D54" s="143"/>
      <c r="G54" s="109" t="b">
        <f t="shared" si="1"/>
        <v>0</v>
      </c>
      <c r="H54" s="110" t="str">
        <f t="shared" si="2"/>
        <v/>
      </c>
      <c r="I54" s="110" t="str">
        <f t="shared" si="3"/>
        <v/>
      </c>
      <c r="J54" s="110" t="str">
        <f t="shared" si="4"/>
        <v/>
      </c>
    </row>
    <row r="55" spans="1:10" x14ac:dyDescent="0.75">
      <c r="A55" s="111">
        <v>0</v>
      </c>
      <c r="B55" s="111">
        <f>'RelFlt-1'!A54</f>
        <v>0</v>
      </c>
      <c r="C55" s="113">
        <f>'RelFlt-1'!B54</f>
        <v>0</v>
      </c>
      <c r="D55" s="143"/>
      <c r="G55" s="109" t="b">
        <f t="shared" si="1"/>
        <v>0</v>
      </c>
      <c r="H55" s="110" t="str">
        <f t="shared" si="2"/>
        <v/>
      </c>
      <c r="I55" s="110" t="str">
        <f t="shared" si="3"/>
        <v/>
      </c>
      <c r="J55" s="110" t="str">
        <f t="shared" si="4"/>
        <v/>
      </c>
    </row>
    <row r="56" spans="1:10" x14ac:dyDescent="0.75">
      <c r="A56" s="111">
        <v>0</v>
      </c>
      <c r="B56" s="111">
        <f>'RelFlt-1'!A55</f>
        <v>0</v>
      </c>
      <c r="C56" s="113">
        <f>'RelFlt-1'!B55</f>
        <v>0</v>
      </c>
      <c r="D56" s="143"/>
      <c r="G56" s="109" t="b">
        <f t="shared" si="1"/>
        <v>0</v>
      </c>
      <c r="H56" s="110" t="str">
        <f t="shared" si="2"/>
        <v/>
      </c>
      <c r="I56" s="110" t="str">
        <f t="shared" si="3"/>
        <v/>
      </c>
      <c r="J56" s="110" t="str">
        <f t="shared" si="4"/>
        <v/>
      </c>
    </row>
    <row r="57" spans="1:10" x14ac:dyDescent="0.75">
      <c r="A57" s="111">
        <v>0</v>
      </c>
      <c r="B57" s="111">
        <f>'RelFlt-1'!A56</f>
        <v>0</v>
      </c>
      <c r="C57" s="113">
        <f>'RelFlt-1'!B56</f>
        <v>0</v>
      </c>
      <c r="G57" s="109" t="b">
        <f t="shared" si="1"/>
        <v>0</v>
      </c>
      <c r="H57" s="110" t="str">
        <f t="shared" si="2"/>
        <v/>
      </c>
      <c r="I57" s="110" t="str">
        <f t="shared" si="3"/>
        <v/>
      </c>
      <c r="J57" s="110" t="str">
        <f t="shared" si="4"/>
        <v/>
      </c>
    </row>
    <row r="58" spans="1:10" x14ac:dyDescent="0.75">
      <c r="A58" s="111">
        <v>0</v>
      </c>
      <c r="B58" s="111">
        <f>'RelFlt-1'!A57</f>
        <v>0</v>
      </c>
      <c r="C58" s="113">
        <f>'RelFlt-1'!B57</f>
        <v>0</v>
      </c>
      <c r="G58" s="109" t="b">
        <f t="shared" si="1"/>
        <v>0</v>
      </c>
      <c r="H58" s="110" t="str">
        <f t="shared" si="2"/>
        <v/>
      </c>
      <c r="I58" s="110" t="str">
        <f t="shared" si="3"/>
        <v/>
      </c>
      <c r="J58" s="110" t="str">
        <f t="shared" si="4"/>
        <v/>
      </c>
    </row>
    <row r="59" spans="1:10" x14ac:dyDescent="0.75">
      <c r="A59" s="111">
        <v>0</v>
      </c>
      <c r="B59" s="111">
        <f>'RelFlt-1'!A58</f>
        <v>0</v>
      </c>
      <c r="C59" s="113">
        <f>'RelFlt-1'!B58</f>
        <v>0</v>
      </c>
      <c r="G59" s="109" t="b">
        <f t="shared" si="1"/>
        <v>0</v>
      </c>
      <c r="H59" s="110" t="str">
        <f t="shared" si="2"/>
        <v/>
      </c>
      <c r="I59" s="110" t="str">
        <f t="shared" si="3"/>
        <v/>
      </c>
      <c r="J59" s="110" t="str">
        <f t="shared" si="4"/>
        <v/>
      </c>
    </row>
    <row r="60" spans="1:10" x14ac:dyDescent="0.75">
      <c r="A60" s="111">
        <v>0</v>
      </c>
      <c r="B60" s="111">
        <f>'RelFlt-1'!A59</f>
        <v>0</v>
      </c>
      <c r="C60" s="113">
        <f>'RelFlt-1'!B59</f>
        <v>0</v>
      </c>
      <c r="G60" s="109" t="b">
        <f t="shared" si="1"/>
        <v>0</v>
      </c>
      <c r="H60" s="110" t="str">
        <f t="shared" si="2"/>
        <v/>
      </c>
      <c r="I60" s="110" t="str">
        <f t="shared" si="3"/>
        <v/>
      </c>
      <c r="J60" s="110" t="str">
        <f t="shared" si="4"/>
        <v/>
      </c>
    </row>
    <row r="61" spans="1:10" x14ac:dyDescent="0.75">
      <c r="A61" s="111">
        <v>0</v>
      </c>
      <c r="B61" s="111">
        <f>'RelFlt-1'!A60</f>
        <v>0</v>
      </c>
      <c r="C61" s="113">
        <f>'RelFlt-1'!B60</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'RelFlt-1'!A61</f>
        <v>0</v>
      </c>
      <c r="C62" s="113">
        <f>'RelFlt-1'!B61</f>
        <v>0</v>
      </c>
      <c r="G62" s="109" t="b">
        <f t="shared" si="1"/>
        <v>0</v>
      </c>
      <c r="H62" s="110" t="str">
        <f t="shared" si="10"/>
        <v/>
      </c>
      <c r="I62" s="110" t="str">
        <f t="shared" si="11"/>
        <v/>
      </c>
    </row>
    <row r="63" spans="1:10" x14ac:dyDescent="0.75">
      <c r="A63" s="111">
        <v>0</v>
      </c>
      <c r="B63" s="111">
        <f>'RelFlt-1'!A62</f>
        <v>0</v>
      </c>
      <c r="C63" s="113">
        <f>'RelFlt-1'!B62</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'RelFlt-1'!A63</f>
        <v>0</v>
      </c>
      <c r="C64" s="113">
        <f>'RelFlt-1'!B63</f>
        <v>0</v>
      </c>
      <c r="G64" s="109" t="b">
        <f t="shared" si="1"/>
        <v>0</v>
      </c>
      <c r="H64" s="110" t="str">
        <f t="shared" si="12"/>
        <v/>
      </c>
      <c r="I64" s="110" t="str">
        <f t="shared" si="13"/>
        <v/>
      </c>
    </row>
    <row r="65" spans="1:9" x14ac:dyDescent="0.75">
      <c r="A65" s="111">
        <v>0</v>
      </c>
      <c r="B65" s="111">
        <f>'RelFlt-1'!A64</f>
        <v>0</v>
      </c>
      <c r="C65" s="113">
        <f>'RelFlt-1'!B64</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INDEX('RelFlt-Map-1'!$H$7:$J$96,1+B4,C4)</f>
        <v>* differential.element[0].mapping[0].map = "Condition.conformsTo('http://hl7.eu/fhir/ig/pcsp/StructureDefinition/Condition-primaryCancer-eu-pcsp')"</v>
      </c>
    </row>
    <row r="5" spans="1:4" x14ac:dyDescent="0.75">
      <c r="A5" s="111">
        <v>3</v>
      </c>
      <c r="B5" s="111">
        <f t="shared" si="0"/>
        <v>0</v>
      </c>
      <c r="C5" s="111">
        <f t="shared" si="1"/>
        <v>3</v>
      </c>
      <c r="D5" s="109" t="str" cm="1">
        <f t="array" ref="D5">INDEX('RelFlt-Map-1'!$H$7:$J$96,1+B5,C5)</f>
        <v/>
      </c>
    </row>
    <row r="6" spans="1:4" x14ac:dyDescent="0.75">
      <c r="A6" s="111">
        <v>4</v>
      </c>
      <c r="B6" s="111">
        <f t="shared" si="0"/>
        <v>1</v>
      </c>
      <c r="C6" s="111">
        <f t="shared" si="1"/>
        <v>1</v>
      </c>
      <c r="D6" s="109" t="str" cm="1">
        <f t="array" ref="D6">INDEX('RelFlt-Map-1'!$H$7:$J$96,1+B6,C6)</f>
        <v>* differential.element[1].mapping[0].identity = "fhir"</v>
      </c>
    </row>
    <row r="7" spans="1:4" x14ac:dyDescent="0.75">
      <c r="A7" s="111">
        <v>5</v>
      </c>
      <c r="B7" s="111">
        <f t="shared" si="0"/>
        <v>1</v>
      </c>
      <c r="C7" s="111">
        <f t="shared" si="1"/>
        <v>2</v>
      </c>
      <c r="D7" s="109" t="str" cm="1">
        <f t="array" ref="D7">INDEX('RelFlt-Map-1'!$H$7:$J$96,1+B7,C7)</f>
        <v>* differential.element[1].mapping[0].map = ".identifier"</v>
      </c>
    </row>
    <row r="8" spans="1:4" x14ac:dyDescent="0.75">
      <c r="A8" s="111">
        <v>6</v>
      </c>
      <c r="B8" s="111">
        <f t="shared" si="0"/>
        <v>1</v>
      </c>
      <c r="C8" s="111">
        <f t="shared" si="1"/>
        <v>3</v>
      </c>
      <c r="D8" s="109" t="str" cm="1">
        <f t="array" ref="D8">INDEX('RelFlt-Map-1'!$H$7:$J$96,1+B8,C8)</f>
        <v/>
      </c>
    </row>
    <row r="9" spans="1:4" x14ac:dyDescent="0.75">
      <c r="A9" s="111">
        <v>7</v>
      </c>
      <c r="B9" s="111">
        <f t="shared" si="0"/>
        <v>2</v>
      </c>
      <c r="C9" s="111">
        <f t="shared" si="1"/>
        <v>1</v>
      </c>
      <c r="D9" s="109" t="str" cm="1">
        <f t="array" ref="D9">INDEX('RelFlt-Map-1'!$H$7:$J$96,1+B9,C9)</f>
        <v>* differential.element[2].mapping[0].identity = "fhir"</v>
      </c>
    </row>
    <row r="10" spans="1:4" x14ac:dyDescent="0.75">
      <c r="A10" s="111">
        <v>8</v>
      </c>
      <c r="B10" s="111">
        <f t="shared" si="0"/>
        <v>2</v>
      </c>
      <c r="C10" s="111">
        <f t="shared" si="1"/>
        <v>2</v>
      </c>
      <c r="D10" s="109" t="str" cm="1">
        <f t="array" ref="D10">INDEX('RelFlt-Map-1'!$H$7:$J$96,1+B10,C10)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INDEX('RelFlt-Map-1'!$H$7:$J$96,1+B11,C11)</f>
        <v/>
      </c>
    </row>
    <row r="12" spans="1:4" x14ac:dyDescent="0.75">
      <c r="A12" s="111">
        <v>10</v>
      </c>
      <c r="B12" s="111">
        <f t="shared" si="0"/>
        <v>3</v>
      </c>
      <c r="C12" s="111">
        <f t="shared" si="1"/>
        <v>1</v>
      </c>
      <c r="D12" s="109" t="str" cm="1">
        <f t="array" ref="D12">INDEX('RelFlt-Map-1'!$H$7:$J$96,1+B12,C12)</f>
        <v>* differential.element[4].mapping[0].identity = "fhir"</v>
      </c>
    </row>
    <row r="13" spans="1:4" x14ac:dyDescent="0.75">
      <c r="A13" s="111">
        <v>11</v>
      </c>
      <c r="B13" s="111">
        <f t="shared" si="0"/>
        <v>3</v>
      </c>
      <c r="C13" s="111">
        <f t="shared" si="1"/>
        <v>2</v>
      </c>
      <c r="D13" s="109" t="str" cm="1">
        <f t="array" ref="D13">INDEX('RelFlt-Map-1'!$H$7:$J$96,1+B13,C13)</f>
        <v>* differential.element[4].mapping[0].map = ".extension('http://hl7.org/fhir/StructureDefinition/condition-assertedDate')"</v>
      </c>
    </row>
    <row r="14" spans="1:4" x14ac:dyDescent="0.75">
      <c r="A14" s="111">
        <v>12</v>
      </c>
      <c r="B14" s="111">
        <f t="shared" si="0"/>
        <v>3</v>
      </c>
      <c r="C14" s="111">
        <f t="shared" si="1"/>
        <v>3</v>
      </c>
      <c r="D14" s="109" t="str" cm="1">
        <f t="array" ref="D14">INDEX('RelFlt-Map-1'!$H$7:$J$96,1+B14,C14)</f>
        <v/>
      </c>
    </row>
    <row r="15" spans="1:4" x14ac:dyDescent="0.75">
      <c r="A15" s="111">
        <v>13</v>
      </c>
      <c r="B15" s="111">
        <f t="shared" si="0"/>
        <v>4</v>
      </c>
      <c r="C15" s="111">
        <f t="shared" si="1"/>
        <v>1</v>
      </c>
      <c r="D15" s="109" t="str" cm="1">
        <f t="array" ref="D15">INDEX('RelFlt-Map-1'!$H$7:$J$96,1+B15,C15)</f>
        <v>* differential.element[3].mapping[0].identity = "fhir"</v>
      </c>
    </row>
    <row r="16" spans="1:4" x14ac:dyDescent="0.75">
      <c r="A16" s="111">
        <v>14</v>
      </c>
      <c r="B16" s="111">
        <f t="shared" si="0"/>
        <v>4</v>
      </c>
      <c r="C16" s="111">
        <f t="shared" si="1"/>
        <v>2</v>
      </c>
      <c r="D16" s="109"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INDEX('RelFlt-Map-1'!$H$7:$J$96,1+B17,C17)</f>
        <v/>
      </c>
    </row>
    <row r="18" spans="1:4" x14ac:dyDescent="0.75">
      <c r="A18" s="111">
        <v>16</v>
      </c>
      <c r="B18" s="111">
        <f t="shared" si="0"/>
        <v>5</v>
      </c>
      <c r="C18" s="111">
        <f t="shared" si="1"/>
        <v>1</v>
      </c>
      <c r="D18" s="109" t="str" cm="1">
        <f t="array" ref="D18">INDEX('RelFlt-Map-1'!$H$7:$J$96,1+B18,C18)</f>
        <v>* differential.element[5].mapping[0].identity = "fhir"</v>
      </c>
    </row>
    <row r="19" spans="1:4" x14ac:dyDescent="0.75">
      <c r="A19" s="111">
        <v>17</v>
      </c>
      <c r="B19" s="111">
        <f t="shared" si="0"/>
        <v>5</v>
      </c>
      <c r="C19" s="111">
        <f t="shared" si="1"/>
        <v>2</v>
      </c>
      <c r="D19" s="109" t="str" cm="1">
        <f t="array" ref="D19">INDEX('RelFlt-Map-1'!$H$7:$J$96,1+B19,C19)</f>
        <v>* differential.element[5].mapping[0].map = "TBD"</v>
      </c>
    </row>
    <row r="20" spans="1:4" x14ac:dyDescent="0.75">
      <c r="A20" s="111">
        <v>18</v>
      </c>
      <c r="B20" s="111">
        <f t="shared" si="0"/>
        <v>5</v>
      </c>
      <c r="C20" s="111">
        <f t="shared" si="1"/>
        <v>3</v>
      </c>
      <c r="D20" s="109" t="str" cm="1">
        <f t="array" ref="D20">INDEX('RelFlt-Map-1'!$H$7:$J$96,1+B20,C20)</f>
        <v/>
      </c>
    </row>
    <row r="21" spans="1:4" x14ac:dyDescent="0.75">
      <c r="A21" s="111">
        <v>19</v>
      </c>
      <c r="B21" s="111">
        <f t="shared" si="0"/>
        <v>6</v>
      </c>
      <c r="C21" s="111">
        <f t="shared" si="1"/>
        <v>1</v>
      </c>
      <c r="D21" s="109" t="str" cm="1">
        <f t="array" ref="D21">INDEX('RelFlt-Map-1'!$H$7:$J$96,1+B21,C21)</f>
        <v>* differential.element[6].mapping[0].identity = "fhir"</v>
      </c>
    </row>
    <row r="22" spans="1:4" x14ac:dyDescent="0.75">
      <c r="A22" s="111">
        <v>20</v>
      </c>
      <c r="B22" s="111">
        <f t="shared" si="0"/>
        <v>6</v>
      </c>
      <c r="C22" s="111">
        <f t="shared" si="1"/>
        <v>2</v>
      </c>
      <c r="D22" s="109" t="str" cm="1">
        <f t="array" ref="D22">INDEX('RelFlt-Map-1'!$H$7:$J$96,1+B22,C22)</f>
        <v>* differential.element[6].mapping[0].map = "bodySite"</v>
      </c>
    </row>
    <row r="23" spans="1:4" x14ac:dyDescent="0.75">
      <c r="A23" s="111">
        <v>21</v>
      </c>
      <c r="B23" s="111">
        <f t="shared" si="0"/>
        <v>6</v>
      </c>
      <c r="C23" s="111">
        <f t="shared" si="1"/>
        <v>3</v>
      </c>
      <c r="D23" s="109" t="str" cm="1">
        <f t="array" ref="D23">INDEX('RelFlt-Map-1'!$H$7:$J$96,1+B23,C23)</f>
        <v/>
      </c>
    </row>
    <row r="24" spans="1:4" x14ac:dyDescent="0.75">
      <c r="A24" s="111">
        <v>22</v>
      </c>
      <c r="B24" s="111">
        <f t="shared" si="0"/>
        <v>7</v>
      </c>
      <c r="C24" s="111">
        <f t="shared" si="1"/>
        <v>1</v>
      </c>
      <c r="D24" s="109" t="str" cm="1">
        <f t="array" ref="D24">INDEX('RelFlt-Map-1'!$H$7:$J$96,1+B24,C24)</f>
        <v/>
      </c>
    </row>
    <row r="25" spans="1:4" x14ac:dyDescent="0.75">
      <c r="A25" s="111">
        <v>23</v>
      </c>
      <c r="B25" s="111">
        <f t="shared" si="0"/>
        <v>7</v>
      </c>
      <c r="C25" s="111">
        <f t="shared" si="1"/>
        <v>2</v>
      </c>
      <c r="D25" s="109" t="str" cm="1">
        <f t="array" ref="D25">INDEX('RelFlt-Map-1'!$H$7:$J$96,1+B25,C25)</f>
        <v/>
      </c>
    </row>
    <row r="26" spans="1:4" x14ac:dyDescent="0.75">
      <c r="A26" s="111">
        <v>24</v>
      </c>
      <c r="B26" s="111">
        <f t="shared" si="0"/>
        <v>7</v>
      </c>
      <c r="C26" s="111">
        <f t="shared" si="1"/>
        <v>3</v>
      </c>
      <c r="D26" s="109" t="str" cm="1">
        <f t="array" ref="D26">INDEX('RelFlt-Map-1'!$H$7:$J$96,1+B26,C26)</f>
        <v/>
      </c>
    </row>
    <row r="27" spans="1:4" x14ac:dyDescent="0.75">
      <c r="A27" s="111">
        <v>25</v>
      </c>
      <c r="B27" s="111">
        <f t="shared" si="0"/>
        <v>8</v>
      </c>
      <c r="C27" s="111">
        <f t="shared" si="1"/>
        <v>1</v>
      </c>
      <c r="D27" s="109" t="str" cm="1">
        <f t="array" ref="D27">INDEX('RelFlt-Map-1'!$H$7:$J$96,1+B27,C27)</f>
        <v/>
      </c>
    </row>
    <row r="28" spans="1:4" x14ac:dyDescent="0.75">
      <c r="A28" s="111">
        <v>26</v>
      </c>
      <c r="B28" s="111">
        <f t="shared" si="0"/>
        <v>8</v>
      </c>
      <c r="C28" s="111">
        <f t="shared" si="1"/>
        <v>2</v>
      </c>
      <c r="D28" s="109" t="str" cm="1">
        <f t="array" ref="D28">INDEX('RelFlt-Map-1'!$H$7:$J$96,1+B28,C28)</f>
        <v/>
      </c>
    </row>
    <row r="29" spans="1:4" x14ac:dyDescent="0.75">
      <c r="A29" s="111">
        <v>27</v>
      </c>
      <c r="B29" s="111">
        <f t="shared" si="0"/>
        <v>8</v>
      </c>
      <c r="C29" s="111">
        <f t="shared" si="1"/>
        <v>3</v>
      </c>
      <c r="D29" s="109" t="str" cm="1">
        <f t="array" ref="D29">INDEX('RelFlt-Map-1'!$H$7:$J$96,1+B29,C29)</f>
        <v/>
      </c>
    </row>
    <row r="30" spans="1:4" x14ac:dyDescent="0.75">
      <c r="A30" s="111">
        <v>28</v>
      </c>
      <c r="B30" s="111">
        <f t="shared" si="0"/>
        <v>9</v>
      </c>
      <c r="C30" s="111">
        <f t="shared" si="1"/>
        <v>1</v>
      </c>
      <c r="D30" s="109" t="str" cm="1">
        <f t="array" ref="D30">INDEX('RelFlt-Map-1'!$H$7:$J$96,1+B30,C30)</f>
        <v/>
      </c>
    </row>
    <row r="31" spans="1:4" x14ac:dyDescent="0.75">
      <c r="A31" s="111">
        <v>29</v>
      </c>
      <c r="B31" s="111">
        <f t="shared" si="0"/>
        <v>9</v>
      </c>
      <c r="C31" s="111">
        <f t="shared" si="1"/>
        <v>2</v>
      </c>
      <c r="D31" s="109" t="str" cm="1">
        <f t="array" ref="D31">INDEX('RelFlt-Map-1'!$H$7:$J$96,1+B31,C31)</f>
        <v/>
      </c>
    </row>
    <row r="32" spans="1:4" x14ac:dyDescent="0.75">
      <c r="A32" s="111">
        <v>30</v>
      </c>
      <c r="B32" s="111">
        <f t="shared" si="0"/>
        <v>9</v>
      </c>
      <c r="C32" s="111">
        <f t="shared" si="1"/>
        <v>3</v>
      </c>
      <c r="D32" s="109" t="str" cm="1">
        <f t="array" ref="D32">INDEX('RelFlt-Map-1'!$H$7:$J$96,1+B32,C32)</f>
        <v/>
      </c>
    </row>
    <row r="33" spans="1:4" x14ac:dyDescent="0.75">
      <c r="A33" s="111">
        <v>31</v>
      </c>
      <c r="B33" s="111">
        <f t="shared" si="0"/>
        <v>10</v>
      </c>
      <c r="C33" s="111">
        <f t="shared" si="1"/>
        <v>1</v>
      </c>
      <c r="D33" s="109" t="str" cm="1">
        <f t="array" ref="D33">INDEX('RelFlt-Map-1'!$H$7:$J$96,1+B33,C33)</f>
        <v/>
      </c>
    </row>
    <row r="34" spans="1:4" x14ac:dyDescent="0.75">
      <c r="A34" s="111">
        <v>32</v>
      </c>
      <c r="B34" s="111">
        <f t="shared" si="0"/>
        <v>10</v>
      </c>
      <c r="C34" s="111">
        <f t="shared" si="1"/>
        <v>2</v>
      </c>
      <c r="D34" s="109" t="str" cm="1">
        <f t="array" ref="D34">INDEX('RelFlt-Map-1'!$H$7:$J$96,1+B34,C34)</f>
        <v/>
      </c>
    </row>
    <row r="35" spans="1:4" x14ac:dyDescent="0.75">
      <c r="A35" s="111">
        <v>33</v>
      </c>
      <c r="B35" s="111">
        <f t="shared" si="0"/>
        <v>10</v>
      </c>
      <c r="C35" s="111">
        <f t="shared" si="1"/>
        <v>3</v>
      </c>
      <c r="D35" s="109" t="str" cm="1">
        <f t="array" ref="D35">INDEX('RelFlt-Map-1'!$H$7:$J$96,1+B35,C35)</f>
        <v/>
      </c>
    </row>
    <row r="36" spans="1:4" x14ac:dyDescent="0.75">
      <c r="A36" s="111">
        <v>34</v>
      </c>
      <c r="B36" s="111">
        <f t="shared" si="0"/>
        <v>11</v>
      </c>
      <c r="C36" s="111">
        <f t="shared" si="1"/>
        <v>1</v>
      </c>
      <c r="D36" s="109" t="str" cm="1">
        <f t="array" ref="D36">INDEX('RelFlt-Map-1'!$H$7:$J$96,1+B36,C36)</f>
        <v/>
      </c>
    </row>
    <row r="37" spans="1:4" x14ac:dyDescent="0.75">
      <c r="A37" s="111">
        <v>35</v>
      </c>
      <c r="B37" s="111">
        <f t="shared" si="0"/>
        <v>11</v>
      </c>
      <c r="C37" s="111">
        <f t="shared" si="1"/>
        <v>2</v>
      </c>
      <c r="D37" s="109" t="str" cm="1">
        <f t="array" ref="D37">INDEX('RelFlt-Map-1'!$H$7:$J$96,1+B37,C37)</f>
        <v/>
      </c>
    </row>
    <row r="38" spans="1:4" x14ac:dyDescent="0.75">
      <c r="A38" s="111">
        <v>36</v>
      </c>
      <c r="B38" s="111">
        <f t="shared" si="0"/>
        <v>11</v>
      </c>
      <c r="C38" s="111">
        <f t="shared" si="1"/>
        <v>3</v>
      </c>
      <c r="D38" s="109" t="str" cm="1">
        <f t="array" ref="D38">INDEX('RelFlt-Map-1'!$H$7:$J$96,1+B38,C38)</f>
        <v/>
      </c>
    </row>
    <row r="39" spans="1:4" x14ac:dyDescent="0.75">
      <c r="A39" s="111">
        <v>37</v>
      </c>
      <c r="B39" s="111">
        <f t="shared" si="0"/>
        <v>12</v>
      </c>
      <c r="C39" s="111">
        <f t="shared" si="1"/>
        <v>1</v>
      </c>
      <c r="D39" s="109" t="str" cm="1">
        <f t="array" ref="D39">INDEX('RelFlt-Map-1'!$H$7:$J$96,1+B39,C39)</f>
        <v/>
      </c>
    </row>
    <row r="40" spans="1:4" x14ac:dyDescent="0.75">
      <c r="A40" s="111">
        <v>38</v>
      </c>
      <c r="B40" s="111">
        <f t="shared" si="0"/>
        <v>12</v>
      </c>
      <c r="C40" s="111">
        <f t="shared" si="1"/>
        <v>2</v>
      </c>
      <c r="D40" s="109" t="str" cm="1">
        <f t="array" ref="D40">INDEX('RelFlt-Map-1'!$H$7:$J$96,1+B40,C40)</f>
        <v/>
      </c>
    </row>
    <row r="41" spans="1:4" x14ac:dyDescent="0.75">
      <c r="A41" s="111">
        <v>39</v>
      </c>
      <c r="B41" s="111">
        <f t="shared" si="0"/>
        <v>12</v>
      </c>
      <c r="C41" s="111">
        <f t="shared" si="1"/>
        <v>3</v>
      </c>
      <c r="D41" s="109" t="str" cm="1">
        <f t="array" ref="D41">INDEX('RelFlt-Map-1'!$H$7:$J$96,1+B41,C41)</f>
        <v/>
      </c>
    </row>
    <row r="42" spans="1:4" x14ac:dyDescent="0.75">
      <c r="A42" s="111">
        <v>40</v>
      </c>
      <c r="B42" s="111">
        <f t="shared" si="0"/>
        <v>13</v>
      </c>
      <c r="C42" s="111">
        <f t="shared" si="1"/>
        <v>1</v>
      </c>
      <c r="D42" s="109" t="str" cm="1">
        <f t="array" ref="D42">INDEX('RelFlt-Map-1'!$H$7:$J$96,1+B42,C42)</f>
        <v/>
      </c>
    </row>
    <row r="43" spans="1:4" x14ac:dyDescent="0.75">
      <c r="A43" s="111">
        <v>41</v>
      </c>
      <c r="B43" s="111">
        <f t="shared" si="0"/>
        <v>13</v>
      </c>
      <c r="C43" s="111">
        <f t="shared" si="1"/>
        <v>2</v>
      </c>
      <c r="D43" s="109" t="str" cm="1">
        <f t="array" ref="D43">INDEX('RelFlt-Map-1'!$H$7:$J$96,1+B43,C43)</f>
        <v/>
      </c>
    </row>
    <row r="44" spans="1:4" x14ac:dyDescent="0.75">
      <c r="A44" s="111">
        <v>42</v>
      </c>
      <c r="B44" s="111">
        <f t="shared" si="0"/>
        <v>13</v>
      </c>
      <c r="C44" s="111">
        <f t="shared" si="1"/>
        <v>3</v>
      </c>
      <c r="D44" s="109" t="str" cm="1">
        <f t="array" ref="D44">INDEX('RelFlt-Map-1'!$H$7:$J$96,1+B44,C44)</f>
        <v/>
      </c>
    </row>
    <row r="45" spans="1:4" x14ac:dyDescent="0.75">
      <c r="A45" s="111">
        <v>43</v>
      </c>
      <c r="B45" s="111">
        <f t="shared" si="0"/>
        <v>14</v>
      </c>
      <c r="C45" s="111">
        <f t="shared" si="1"/>
        <v>1</v>
      </c>
      <c r="D45" s="109" t="str" cm="1">
        <f t="array" ref="D45">INDEX('RelFlt-Map-1'!$H$7:$J$96,1+B45,C45)</f>
        <v/>
      </c>
    </row>
    <row r="46" spans="1:4" x14ac:dyDescent="0.75">
      <c r="A46" s="111">
        <v>44</v>
      </c>
      <c r="B46" s="111">
        <f t="shared" si="0"/>
        <v>14</v>
      </c>
      <c r="C46" s="111">
        <f t="shared" si="1"/>
        <v>2</v>
      </c>
      <c r="D46" s="109" t="str" cm="1">
        <f t="array" ref="D46">INDEX('RelFlt-Map-1'!$H$7:$J$96,1+B46,C46)</f>
        <v/>
      </c>
    </row>
    <row r="47" spans="1:4" x14ac:dyDescent="0.75">
      <c r="A47" s="111">
        <v>45</v>
      </c>
      <c r="B47" s="111">
        <f t="shared" si="0"/>
        <v>14</v>
      </c>
      <c r="C47" s="111">
        <f t="shared" si="1"/>
        <v>3</v>
      </c>
      <c r="D47" s="109" t="str" cm="1">
        <f t="array" ref="D47">INDEX('RelFlt-Map-1'!$H$7:$J$96,1+B47,C47)</f>
        <v/>
      </c>
    </row>
    <row r="48" spans="1:4" x14ac:dyDescent="0.75">
      <c r="A48" s="111">
        <v>46</v>
      </c>
      <c r="B48" s="111">
        <f t="shared" si="0"/>
        <v>15</v>
      </c>
      <c r="C48" s="111">
        <f t="shared" si="1"/>
        <v>1</v>
      </c>
      <c r="D48" s="109" t="str" cm="1">
        <f t="array" ref="D48">INDEX('RelFlt-Map-1'!$H$7:$J$96,1+B48,C48)</f>
        <v/>
      </c>
    </row>
    <row r="49" spans="1:7" x14ac:dyDescent="0.75">
      <c r="A49" s="111">
        <v>47</v>
      </c>
      <c r="B49" s="111">
        <f t="shared" si="0"/>
        <v>15</v>
      </c>
      <c r="C49" s="111">
        <f t="shared" si="1"/>
        <v>2</v>
      </c>
      <c r="D49" s="109" t="str" cm="1">
        <f t="array" ref="D49">INDEX('RelFlt-Map-1'!$H$7:$J$96,1+B49,C49)</f>
        <v/>
      </c>
    </row>
    <row r="50" spans="1:7" x14ac:dyDescent="0.75">
      <c r="A50" s="111">
        <v>48</v>
      </c>
      <c r="B50" s="111">
        <f t="shared" si="0"/>
        <v>15</v>
      </c>
      <c r="C50" s="111">
        <f t="shared" si="1"/>
        <v>3</v>
      </c>
      <c r="D50" s="109" t="str" cm="1">
        <f t="array" ref="D50">INDEX('RelFlt-Map-1'!$H$7:$J$96,1+B50,C50)</f>
        <v/>
      </c>
    </row>
    <row r="51" spans="1:7" x14ac:dyDescent="0.75">
      <c r="A51" s="111">
        <v>49</v>
      </c>
      <c r="B51" s="111">
        <f t="shared" si="0"/>
        <v>16</v>
      </c>
      <c r="C51" s="111">
        <f t="shared" si="1"/>
        <v>1</v>
      </c>
      <c r="D51" s="109" t="str" cm="1">
        <f t="array" ref="D51">INDEX('RelFlt-Map-1'!$H$7:$J$96,1+B51,C51)</f>
        <v/>
      </c>
    </row>
    <row r="52" spans="1:7" x14ac:dyDescent="0.75">
      <c r="A52" s="111">
        <v>50</v>
      </c>
      <c r="B52" s="111">
        <f t="shared" si="0"/>
        <v>16</v>
      </c>
      <c r="C52" s="111">
        <f t="shared" si="1"/>
        <v>2</v>
      </c>
      <c r="D52" s="109" t="str" cm="1">
        <f t="array" ref="D52">INDEX('RelFlt-Map-1'!$H$7:$J$96,1+B52,C52)</f>
        <v/>
      </c>
    </row>
    <row r="53" spans="1:7" x14ac:dyDescent="0.75">
      <c r="A53" s="111">
        <v>51</v>
      </c>
      <c r="B53" s="111">
        <f t="shared" si="0"/>
        <v>16</v>
      </c>
      <c r="C53" s="111">
        <f t="shared" si="1"/>
        <v>3</v>
      </c>
      <c r="D53" s="109" t="str" cm="1">
        <f t="array" ref="D53">INDEX('RelFlt-Map-1'!$H$7:$J$96,1+B53,C53)</f>
        <v/>
      </c>
    </row>
    <row r="54" spans="1:7" x14ac:dyDescent="0.75">
      <c r="A54" s="111">
        <v>52</v>
      </c>
      <c r="B54" s="111">
        <f t="shared" si="0"/>
        <v>17</v>
      </c>
      <c r="C54" s="111">
        <f t="shared" si="1"/>
        <v>1</v>
      </c>
      <c r="D54" s="109" t="str" cm="1">
        <f t="array" ref="D54">INDEX('RelFlt-Map-1'!$H$7:$J$96,1+B54,C54)</f>
        <v/>
      </c>
    </row>
    <row r="55" spans="1:7" x14ac:dyDescent="0.75">
      <c r="A55" s="111">
        <v>53</v>
      </c>
      <c r="B55" s="111">
        <f t="shared" si="0"/>
        <v>17</v>
      </c>
      <c r="C55" s="111">
        <f t="shared" si="1"/>
        <v>2</v>
      </c>
      <c r="D55" s="109" t="str" cm="1">
        <f t="array" ref="D55">INDEX('RelFlt-Map-1'!$H$7:$J$96,1+B55,C55)</f>
        <v/>
      </c>
      <c r="G55" s="14"/>
    </row>
    <row r="56" spans="1:7" x14ac:dyDescent="0.75">
      <c r="A56" s="111">
        <v>54</v>
      </c>
      <c r="B56" s="111">
        <f t="shared" si="0"/>
        <v>17</v>
      </c>
      <c r="C56" s="111">
        <f t="shared" si="1"/>
        <v>3</v>
      </c>
      <c r="D56" s="109" t="str" cm="1">
        <f t="array" ref="D56">INDEX('RelFlt-Map-1'!$H$7:$J$96,1+B56,C56)</f>
        <v/>
      </c>
    </row>
    <row r="57" spans="1:7" x14ac:dyDescent="0.75">
      <c r="A57" s="111">
        <v>55</v>
      </c>
      <c r="B57" s="111">
        <f t="shared" si="0"/>
        <v>18</v>
      </c>
      <c r="C57" s="111">
        <f t="shared" si="1"/>
        <v>1</v>
      </c>
      <c r="D57" s="109" t="str" cm="1">
        <f t="array" ref="D57">INDEX('RelFlt-Map-1'!$H$7:$J$96,1+B57,C57)</f>
        <v/>
      </c>
    </row>
    <row r="58" spans="1:7" x14ac:dyDescent="0.75">
      <c r="A58" s="111">
        <v>56</v>
      </c>
      <c r="B58" s="111">
        <f t="shared" si="0"/>
        <v>18</v>
      </c>
      <c r="C58" s="111">
        <f t="shared" si="1"/>
        <v>2</v>
      </c>
      <c r="D58" s="109" t="str" cm="1">
        <f t="array" ref="D58">INDEX('RelFlt-Map-1'!$H$7:$J$96,1+B58,C58)</f>
        <v/>
      </c>
    </row>
    <row r="59" spans="1:7" x14ac:dyDescent="0.75">
      <c r="A59" s="111">
        <v>57</v>
      </c>
      <c r="B59" s="111">
        <f t="shared" si="0"/>
        <v>18</v>
      </c>
      <c r="C59" s="111">
        <f t="shared" si="1"/>
        <v>3</v>
      </c>
      <c r="D59" s="109" t="str" cm="1">
        <f t="array" ref="D59">INDEX('RelFlt-Map-1'!$H$7:$J$96,1+B59,C59)</f>
        <v/>
      </c>
    </row>
    <row r="60" spans="1:7" x14ac:dyDescent="0.75">
      <c r="A60" s="111">
        <v>58</v>
      </c>
      <c r="B60" s="111">
        <f t="shared" si="0"/>
        <v>19</v>
      </c>
      <c r="C60" s="111">
        <f t="shared" si="1"/>
        <v>1</v>
      </c>
      <c r="D60" s="109" t="str" cm="1">
        <f t="array" ref="D60">INDEX('RelFlt-Map-1'!$H$7:$J$96,1+B60,C60)</f>
        <v/>
      </c>
    </row>
    <row r="61" spans="1:7" x14ac:dyDescent="0.75">
      <c r="A61" s="111">
        <v>59</v>
      </c>
      <c r="B61" s="111">
        <f t="shared" si="0"/>
        <v>19</v>
      </c>
      <c r="C61" s="111">
        <f t="shared" si="1"/>
        <v>2</v>
      </c>
      <c r="D61" s="109" t="str" cm="1">
        <f t="array" ref="D61">INDEX('RelFlt-Map-1'!$H$7:$J$96,1+B61,C61)</f>
        <v/>
      </c>
    </row>
    <row r="62" spans="1:7" x14ac:dyDescent="0.75">
      <c r="A62" s="111">
        <v>60</v>
      </c>
      <c r="B62" s="111">
        <f t="shared" si="0"/>
        <v>19</v>
      </c>
      <c r="C62" s="111">
        <f t="shared" si="1"/>
        <v>3</v>
      </c>
      <c r="D62" s="109" t="str" cm="1">
        <f t="array" ref="D62">INDEX('RelFlt-Map-1'!$H$7:$J$96,1+B62,C62)</f>
        <v/>
      </c>
    </row>
    <row r="63" spans="1:7" x14ac:dyDescent="0.75">
      <c r="A63" s="111">
        <v>61</v>
      </c>
      <c r="B63" s="111">
        <f t="shared" si="0"/>
        <v>20</v>
      </c>
      <c r="C63" s="111">
        <f t="shared" si="1"/>
        <v>1</v>
      </c>
      <c r="D63" s="109" t="str" cm="1">
        <f t="array" ref="D63">INDEX('RelFlt-Map-1'!$H$7:$J$96,1+B63,C63)</f>
        <v/>
      </c>
    </row>
    <row r="64" spans="1:7" x14ac:dyDescent="0.75">
      <c r="A64" s="111">
        <v>62</v>
      </c>
      <c r="B64" s="111">
        <f t="shared" si="0"/>
        <v>20</v>
      </c>
      <c r="C64" s="111">
        <f t="shared" si="1"/>
        <v>2</v>
      </c>
      <c r="D64" s="109" t="str" cm="1">
        <f t="array" ref="D64">INDEX('RelFlt-Map-1'!$H$7:$J$96,1+B64,C64)</f>
        <v/>
      </c>
    </row>
    <row r="65" spans="1:4" x14ac:dyDescent="0.75">
      <c r="A65" s="111">
        <v>63</v>
      </c>
      <c r="B65" s="111">
        <f t="shared" si="0"/>
        <v>20</v>
      </c>
      <c r="C65" s="111">
        <f t="shared" si="1"/>
        <v>3</v>
      </c>
      <c r="D65" s="109" t="str" cm="1">
        <f t="array" ref="D65">INDEX('RelFlt-Map-1'!$H$7:$J$96,1+B65,C65)</f>
        <v/>
      </c>
    </row>
    <row r="66" spans="1:4" x14ac:dyDescent="0.75">
      <c r="A66" s="111">
        <v>64</v>
      </c>
      <c r="B66" s="111">
        <f t="shared" si="0"/>
        <v>21</v>
      </c>
      <c r="C66" s="111">
        <f t="shared" si="1"/>
        <v>1</v>
      </c>
      <c r="D66" s="109" t="str" cm="1">
        <f t="array" ref="D66">INDEX('RelFlt-Map-1'!$H$7:$J$96,1+B66,C66)</f>
        <v/>
      </c>
    </row>
    <row r="67" spans="1:4" x14ac:dyDescent="0.75">
      <c r="A67" s="111">
        <v>65</v>
      </c>
      <c r="B67" s="111">
        <f t="shared" si="0"/>
        <v>21</v>
      </c>
      <c r="C67" s="111">
        <f t="shared" si="1"/>
        <v>2</v>
      </c>
      <c r="D67" s="109" t="str" cm="1">
        <f t="array" ref="D67">INDEX('RelFlt-Map-1'!$H$7:$J$96,1+B67,C67)</f>
        <v/>
      </c>
    </row>
    <row r="68" spans="1:4" x14ac:dyDescent="0.75">
      <c r="A68" s="111">
        <v>66</v>
      </c>
      <c r="B68" s="111">
        <f t="shared" ref="B68:B131" si="2">IF(MOD(A68,3)=0,A68/3-1,INT(A68/3))</f>
        <v>21</v>
      </c>
      <c r="C68" s="111">
        <f t="shared" ref="C68:C131" si="3">IF(MOD(A68,3)=0,3,MOD(A68,3))</f>
        <v>3</v>
      </c>
      <c r="D68" s="109" t="str" cm="1">
        <f t="array" ref="D68">INDEX('RelFlt-Map-1'!$H$7:$J$96,1+B68,C68)</f>
        <v/>
      </c>
    </row>
    <row r="69" spans="1:4" x14ac:dyDescent="0.75">
      <c r="A69" s="111">
        <v>67</v>
      </c>
      <c r="B69" s="111">
        <f t="shared" si="2"/>
        <v>22</v>
      </c>
      <c r="C69" s="111">
        <f t="shared" si="3"/>
        <v>1</v>
      </c>
      <c r="D69" s="109" t="str" cm="1">
        <f t="array" ref="D69">INDEX('RelFlt-Map-1'!$H$7:$J$96,1+B69,C69)</f>
        <v/>
      </c>
    </row>
    <row r="70" spans="1:4" x14ac:dyDescent="0.75">
      <c r="A70" s="111">
        <v>68</v>
      </c>
      <c r="B70" s="111">
        <f t="shared" si="2"/>
        <v>22</v>
      </c>
      <c r="C70" s="111">
        <f t="shared" si="3"/>
        <v>2</v>
      </c>
      <c r="D70" s="109" t="str" cm="1">
        <f t="array" ref="D70">INDEX('RelFlt-Map-1'!$H$7:$J$96,1+B70,C70)</f>
        <v/>
      </c>
    </row>
    <row r="71" spans="1:4" x14ac:dyDescent="0.75">
      <c r="A71" s="111">
        <v>69</v>
      </c>
      <c r="B71" s="111">
        <f t="shared" si="2"/>
        <v>22</v>
      </c>
      <c r="C71" s="111">
        <f t="shared" si="3"/>
        <v>3</v>
      </c>
      <c r="D71" s="109" t="str" cm="1">
        <f t="array" ref="D71">INDEX('RelFlt-Map-1'!$H$7:$J$96,1+B71,C71)</f>
        <v/>
      </c>
    </row>
    <row r="72" spans="1:4" x14ac:dyDescent="0.75">
      <c r="A72" s="111">
        <v>70</v>
      </c>
      <c r="B72" s="111">
        <f t="shared" si="2"/>
        <v>23</v>
      </c>
      <c r="C72" s="111">
        <f t="shared" si="3"/>
        <v>1</v>
      </c>
      <c r="D72" s="109" t="str" cm="1">
        <f t="array" ref="D72">INDEX('RelFlt-Map-1'!$H$7:$J$96,1+B72,C72)</f>
        <v/>
      </c>
    </row>
    <row r="73" spans="1:4" x14ac:dyDescent="0.75">
      <c r="A73" s="111">
        <v>71</v>
      </c>
      <c r="B73" s="111">
        <f t="shared" si="2"/>
        <v>23</v>
      </c>
      <c r="C73" s="111">
        <f t="shared" si="3"/>
        <v>2</v>
      </c>
      <c r="D73" s="109" t="str" cm="1">
        <f t="array" ref="D73">INDEX('RelFlt-Map-1'!$H$7:$J$96,1+B73,C73)</f>
        <v/>
      </c>
    </row>
    <row r="74" spans="1:4" x14ac:dyDescent="0.75">
      <c r="A74" s="111">
        <v>72</v>
      </c>
      <c r="B74" s="111">
        <f t="shared" si="2"/>
        <v>23</v>
      </c>
      <c r="C74" s="111">
        <f t="shared" si="3"/>
        <v>3</v>
      </c>
      <c r="D74" s="109" t="str" cm="1">
        <f t="array" ref="D74">INDEX('RelFlt-Map-1'!$H$7:$J$96,1+B74,C74)</f>
        <v/>
      </c>
    </row>
    <row r="75" spans="1:4" x14ac:dyDescent="0.75">
      <c r="A75" s="111">
        <v>73</v>
      </c>
      <c r="B75" s="111">
        <f t="shared" si="2"/>
        <v>24</v>
      </c>
      <c r="C75" s="111">
        <f t="shared" si="3"/>
        <v>1</v>
      </c>
      <c r="D75" s="109" t="str" cm="1">
        <f t="array" ref="D75">INDEX('RelFlt-Map-1'!$H$7:$J$96,1+B75,C75)</f>
        <v/>
      </c>
    </row>
    <row r="76" spans="1:4" x14ac:dyDescent="0.75">
      <c r="A76" s="111">
        <v>74</v>
      </c>
      <c r="B76" s="111">
        <f t="shared" si="2"/>
        <v>24</v>
      </c>
      <c r="C76" s="111">
        <f t="shared" si="3"/>
        <v>2</v>
      </c>
      <c r="D76" s="109" t="str" cm="1">
        <f t="array" ref="D76">INDEX('RelFlt-Map-1'!$H$7:$J$96,1+B76,C76)</f>
        <v/>
      </c>
    </row>
    <row r="77" spans="1:4" x14ac:dyDescent="0.75">
      <c r="A77" s="111">
        <v>75</v>
      </c>
      <c r="B77" s="111">
        <f t="shared" si="2"/>
        <v>24</v>
      </c>
      <c r="C77" s="111">
        <f t="shared" si="3"/>
        <v>3</v>
      </c>
      <c r="D77" s="109" t="str" cm="1">
        <f t="array" ref="D77">INDEX('RelFlt-Map-1'!$H$7:$J$96,1+B77,C77)</f>
        <v/>
      </c>
    </row>
    <row r="78" spans="1:4" x14ac:dyDescent="0.75">
      <c r="A78" s="111">
        <v>76</v>
      </c>
      <c r="B78" s="111">
        <f t="shared" si="2"/>
        <v>25</v>
      </c>
      <c r="C78" s="111">
        <f t="shared" si="3"/>
        <v>1</v>
      </c>
      <c r="D78" s="109" t="str" cm="1">
        <f t="array" ref="D78">INDEX('RelFlt-Map-1'!$H$7:$J$96,1+B78,C78)</f>
        <v/>
      </c>
    </row>
    <row r="79" spans="1:4" x14ac:dyDescent="0.75">
      <c r="A79" s="111">
        <v>77</v>
      </c>
      <c r="B79" s="111">
        <f t="shared" si="2"/>
        <v>25</v>
      </c>
      <c r="C79" s="111">
        <f t="shared" si="3"/>
        <v>2</v>
      </c>
      <c r="D79" s="109" t="str" cm="1">
        <f t="array" ref="D79">INDEX('RelFlt-Map-1'!$H$7:$J$96,1+B79,C79)</f>
        <v/>
      </c>
    </row>
    <row r="80" spans="1:4" x14ac:dyDescent="0.75">
      <c r="A80" s="111">
        <v>78</v>
      </c>
      <c r="B80" s="111">
        <f t="shared" si="2"/>
        <v>25</v>
      </c>
      <c r="C80" s="111">
        <f t="shared" si="3"/>
        <v>3</v>
      </c>
      <c r="D80" s="109" t="str" cm="1">
        <f t="array" ref="D80">INDEX('RelFlt-Map-1'!$H$7:$J$96,1+B80,C80)</f>
        <v/>
      </c>
    </row>
    <row r="81" spans="1:4" x14ac:dyDescent="0.75">
      <c r="A81" s="111">
        <v>79</v>
      </c>
      <c r="B81" s="111">
        <f t="shared" si="2"/>
        <v>26</v>
      </c>
      <c r="C81" s="111">
        <f t="shared" si="3"/>
        <v>1</v>
      </c>
      <c r="D81" s="109" t="str" cm="1">
        <f t="array" ref="D81">INDEX('RelFlt-Map-1'!$H$7:$J$96,1+B81,C81)</f>
        <v/>
      </c>
    </row>
    <row r="82" spans="1:4" x14ac:dyDescent="0.75">
      <c r="A82" s="111">
        <v>80</v>
      </c>
      <c r="B82" s="111">
        <f t="shared" si="2"/>
        <v>26</v>
      </c>
      <c r="C82" s="111">
        <f t="shared" si="3"/>
        <v>2</v>
      </c>
      <c r="D82" s="109" t="str" cm="1">
        <f t="array" ref="D82">INDEX('RelFlt-Map-1'!$H$7:$J$96,1+B82,C82)</f>
        <v/>
      </c>
    </row>
    <row r="83" spans="1:4" x14ac:dyDescent="0.75">
      <c r="A83" s="111">
        <v>81</v>
      </c>
      <c r="B83" s="111">
        <f t="shared" si="2"/>
        <v>26</v>
      </c>
      <c r="C83" s="111">
        <f t="shared" si="3"/>
        <v>3</v>
      </c>
      <c r="D83" s="109" t="str" cm="1">
        <f t="array" ref="D83">INDEX('RelFlt-Map-1'!$H$7:$J$96,1+B83,C83)</f>
        <v/>
      </c>
    </row>
    <row r="84" spans="1:4" x14ac:dyDescent="0.75">
      <c r="A84" s="111">
        <v>82</v>
      </c>
      <c r="B84" s="111">
        <f t="shared" si="2"/>
        <v>27</v>
      </c>
      <c r="C84" s="111">
        <f t="shared" si="3"/>
        <v>1</v>
      </c>
      <c r="D84" s="109" t="str" cm="1">
        <f t="array" ref="D84">INDEX('RelFlt-Map-1'!$H$7:$J$96,1+B84,C84)</f>
        <v/>
      </c>
    </row>
    <row r="85" spans="1:4" x14ac:dyDescent="0.75">
      <c r="A85" s="111">
        <v>83</v>
      </c>
      <c r="B85" s="111">
        <f t="shared" si="2"/>
        <v>27</v>
      </c>
      <c r="C85" s="111">
        <f t="shared" si="3"/>
        <v>2</v>
      </c>
      <c r="D85" s="109" t="str" cm="1">
        <f t="array" ref="D85">INDEX('RelFlt-Map-1'!$H$7:$J$96,1+B85,C85)</f>
        <v/>
      </c>
    </row>
    <row r="86" spans="1:4" x14ac:dyDescent="0.75">
      <c r="A86" s="111">
        <v>84</v>
      </c>
      <c r="B86" s="111">
        <f t="shared" si="2"/>
        <v>27</v>
      </c>
      <c r="C86" s="111">
        <f t="shared" si="3"/>
        <v>3</v>
      </c>
      <c r="D86" s="109" t="str" cm="1">
        <f t="array" ref="D86">INDEX('RelFlt-Map-1'!$H$7:$J$96,1+B86,C86)</f>
        <v/>
      </c>
    </row>
    <row r="87" spans="1:4" x14ac:dyDescent="0.75">
      <c r="A87" s="111">
        <v>85</v>
      </c>
      <c r="B87" s="111">
        <f t="shared" si="2"/>
        <v>28</v>
      </c>
      <c r="C87" s="111">
        <f t="shared" si="3"/>
        <v>1</v>
      </c>
      <c r="D87" s="109" t="str" cm="1">
        <f t="array" ref="D87">INDEX('RelFlt-Map-1'!$H$7:$J$96,1+B87,C87)</f>
        <v/>
      </c>
    </row>
    <row r="88" spans="1:4" x14ac:dyDescent="0.75">
      <c r="A88" s="111">
        <v>86</v>
      </c>
      <c r="B88" s="111">
        <f t="shared" si="2"/>
        <v>28</v>
      </c>
      <c r="C88" s="111">
        <f t="shared" si="3"/>
        <v>2</v>
      </c>
      <c r="D88" s="109" t="str" cm="1">
        <f t="array" ref="D88">INDEX('RelFlt-Map-1'!$H$7:$J$96,1+B88,C88)</f>
        <v/>
      </c>
    </row>
    <row r="89" spans="1:4" x14ac:dyDescent="0.75">
      <c r="A89" s="111">
        <v>87</v>
      </c>
      <c r="B89" s="111">
        <f t="shared" si="2"/>
        <v>28</v>
      </c>
      <c r="C89" s="111">
        <f t="shared" si="3"/>
        <v>3</v>
      </c>
      <c r="D89" s="109" t="str" cm="1">
        <f t="array" ref="D89">INDEX('RelFlt-Map-1'!$H$7:$J$96,1+B89,C89)</f>
        <v/>
      </c>
    </row>
    <row r="90" spans="1:4" x14ac:dyDescent="0.75">
      <c r="A90" s="111">
        <v>88</v>
      </c>
      <c r="B90" s="111">
        <f t="shared" si="2"/>
        <v>29</v>
      </c>
      <c r="C90" s="111">
        <f t="shared" si="3"/>
        <v>1</v>
      </c>
      <c r="D90" s="109" t="str" cm="1">
        <f t="array" ref="D90">INDEX('RelFlt-Map-1'!$H$7:$J$96,1+B90,C90)</f>
        <v/>
      </c>
    </row>
    <row r="91" spans="1:4" x14ac:dyDescent="0.75">
      <c r="A91" s="111">
        <v>89</v>
      </c>
      <c r="B91" s="111">
        <f t="shared" si="2"/>
        <v>29</v>
      </c>
      <c r="C91" s="111">
        <f t="shared" si="3"/>
        <v>2</v>
      </c>
      <c r="D91" s="109" t="str" cm="1">
        <f t="array" ref="D91">INDEX('RelFlt-Map-1'!$H$7:$J$96,1+B91,C91)</f>
        <v/>
      </c>
    </row>
    <row r="92" spans="1:4" x14ac:dyDescent="0.75">
      <c r="A92" s="111">
        <v>90</v>
      </c>
      <c r="B92" s="111">
        <f t="shared" si="2"/>
        <v>29</v>
      </c>
      <c r="C92" s="111">
        <f t="shared" si="3"/>
        <v>3</v>
      </c>
      <c r="D92" s="109" t="str" cm="1">
        <f t="array" ref="D92">INDEX('RelFlt-Map-1'!$H$7:$J$96,1+B92,C92)</f>
        <v/>
      </c>
    </row>
    <row r="93" spans="1:4" x14ac:dyDescent="0.75">
      <c r="A93" s="111">
        <v>91</v>
      </c>
      <c r="B93" s="111">
        <f t="shared" si="2"/>
        <v>30</v>
      </c>
      <c r="C93" s="111">
        <f t="shared" si="3"/>
        <v>1</v>
      </c>
      <c r="D93" s="109" t="str" cm="1">
        <f t="array" ref="D93">INDEX('RelFlt-Map-1'!$H$7:$J$96,1+B93,C93)</f>
        <v/>
      </c>
    </row>
    <row r="94" spans="1:4" x14ac:dyDescent="0.75">
      <c r="A94" s="111">
        <v>92</v>
      </c>
      <c r="B94" s="111">
        <f t="shared" si="2"/>
        <v>30</v>
      </c>
      <c r="C94" s="111">
        <f t="shared" si="3"/>
        <v>2</v>
      </c>
      <c r="D94" s="109" t="str" cm="1">
        <f t="array" ref="D94">INDEX('RelFlt-Map-1'!$H$7:$J$96,1+B94,C94)</f>
        <v/>
      </c>
    </row>
    <row r="95" spans="1:4" x14ac:dyDescent="0.75">
      <c r="A95" s="111">
        <v>93</v>
      </c>
      <c r="B95" s="111">
        <f t="shared" si="2"/>
        <v>30</v>
      </c>
      <c r="C95" s="111">
        <f t="shared" si="3"/>
        <v>3</v>
      </c>
      <c r="D95" s="109" t="str" cm="1">
        <f t="array" ref="D95">INDEX('RelFlt-Map-1'!$H$7:$J$96,1+B95,C95)</f>
        <v/>
      </c>
    </row>
    <row r="96" spans="1:4" x14ac:dyDescent="0.75">
      <c r="A96" s="111">
        <v>94</v>
      </c>
      <c r="B96" s="111">
        <f t="shared" si="2"/>
        <v>31</v>
      </c>
      <c r="C96" s="111">
        <f t="shared" si="3"/>
        <v>1</v>
      </c>
      <c r="D96" s="109" t="str" cm="1">
        <f t="array" ref="D96">INDEX('RelFlt-Map-1'!$H$7:$J$96,1+B96,C96)</f>
        <v/>
      </c>
    </row>
    <row r="97" spans="1:4" x14ac:dyDescent="0.75">
      <c r="A97" s="111">
        <v>95</v>
      </c>
      <c r="B97" s="111">
        <f t="shared" si="2"/>
        <v>31</v>
      </c>
      <c r="C97" s="111">
        <f t="shared" si="3"/>
        <v>2</v>
      </c>
      <c r="D97" s="109" t="str" cm="1">
        <f t="array" ref="D97">INDEX('RelFlt-Map-1'!$H$7:$J$96,1+B97,C97)</f>
        <v/>
      </c>
    </row>
    <row r="98" spans="1:4" x14ac:dyDescent="0.75">
      <c r="A98" s="111">
        <v>96</v>
      </c>
      <c r="B98" s="111">
        <f t="shared" si="2"/>
        <v>31</v>
      </c>
      <c r="C98" s="111">
        <f t="shared" si="3"/>
        <v>3</v>
      </c>
      <c r="D98" s="109" t="str" cm="1">
        <f t="array" ref="D98">INDEX('RelFlt-Map-1'!$H$7:$J$96,1+B98,C98)</f>
        <v/>
      </c>
    </row>
    <row r="99" spans="1:4" x14ac:dyDescent="0.75">
      <c r="A99" s="111">
        <v>97</v>
      </c>
      <c r="B99" s="111">
        <f t="shared" si="2"/>
        <v>32</v>
      </c>
      <c r="C99" s="111">
        <f t="shared" si="3"/>
        <v>1</v>
      </c>
      <c r="D99" s="109" t="str" cm="1">
        <f t="array" ref="D99">INDEX('RelFlt-Map-1'!$H$7:$J$96,1+B99,C99)</f>
        <v/>
      </c>
    </row>
    <row r="100" spans="1:4" x14ac:dyDescent="0.75">
      <c r="A100" s="111">
        <v>98</v>
      </c>
      <c r="B100" s="111">
        <f t="shared" si="2"/>
        <v>32</v>
      </c>
      <c r="C100" s="111">
        <f t="shared" si="3"/>
        <v>2</v>
      </c>
      <c r="D100" s="109" t="str" cm="1">
        <f t="array" ref="D100">INDEX('RelFlt-Map-1'!$H$7:$J$96,1+B100,C100)</f>
        <v/>
      </c>
    </row>
    <row r="101" spans="1:4" x14ac:dyDescent="0.75">
      <c r="A101" s="111">
        <v>99</v>
      </c>
      <c r="B101" s="111">
        <f t="shared" si="2"/>
        <v>32</v>
      </c>
      <c r="C101" s="111">
        <f t="shared" si="3"/>
        <v>3</v>
      </c>
      <c r="D101" s="109" t="str" cm="1">
        <f t="array" ref="D101">INDEX('RelFlt-Map-1'!$H$7:$J$96,1+B101,C101)</f>
        <v/>
      </c>
    </row>
    <row r="102" spans="1:4" x14ac:dyDescent="0.75">
      <c r="A102" s="111">
        <v>100</v>
      </c>
      <c r="B102" s="111">
        <f t="shared" si="2"/>
        <v>33</v>
      </c>
      <c r="C102" s="111">
        <f t="shared" si="3"/>
        <v>1</v>
      </c>
      <c r="D102" s="109" t="str" cm="1">
        <f t="array" ref="D102">INDEX('RelFlt-Map-1'!$H$7:$J$96,1+B102,C102)</f>
        <v>* differential.element[0].mapping[0].identity = "fhir"</v>
      </c>
    </row>
    <row r="103" spans="1:4" x14ac:dyDescent="0.75">
      <c r="A103" s="111">
        <v>101</v>
      </c>
      <c r="B103" s="111">
        <f t="shared" si="2"/>
        <v>33</v>
      </c>
      <c r="C103" s="111">
        <f t="shared" si="3"/>
        <v>2</v>
      </c>
      <c r="D103" s="109" t="str" cm="1">
        <f t="array" ref="D103">INDEX('RelFlt-Map-1'!$H$7:$J$96,1+B103,C103)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INDEX('RelFlt-Map-1'!$H$7:$J$96,1+B104,C104)</f>
        <v/>
      </c>
    </row>
    <row r="105" spans="1:4" x14ac:dyDescent="0.75">
      <c r="A105" s="111">
        <v>103</v>
      </c>
      <c r="B105" s="111">
        <f t="shared" si="2"/>
        <v>34</v>
      </c>
      <c r="C105" s="111">
        <f t="shared" si="3"/>
        <v>1</v>
      </c>
      <c r="D105" s="109" t="str" cm="1">
        <f t="array" ref="D105">INDEX('RelFlt-Map-1'!$H$7:$J$96,1+B105,C105)</f>
        <v>* differential.element[0].mapping[0].identity = "fhir"</v>
      </c>
    </row>
    <row r="106" spans="1:4" x14ac:dyDescent="0.75">
      <c r="A106" s="111">
        <v>104</v>
      </c>
      <c r="B106" s="111">
        <f t="shared" si="2"/>
        <v>34</v>
      </c>
      <c r="C106" s="111">
        <f t="shared" si="3"/>
        <v>2</v>
      </c>
      <c r="D106" s="109" t="str" cm="1">
        <f t="array" ref="D106">INDEX('RelFlt-Map-1'!$H$7:$J$96,1+B106,C106)</f>
        <v>* differential.element[0].mapping[0].map = ".code"</v>
      </c>
    </row>
    <row r="107" spans="1:4" x14ac:dyDescent="0.75">
      <c r="A107" s="111">
        <v>105</v>
      </c>
      <c r="B107" s="111">
        <f t="shared" si="2"/>
        <v>34</v>
      </c>
      <c r="C107" s="111">
        <f t="shared" si="3"/>
        <v>3</v>
      </c>
      <c r="D107" s="109" t="str" cm="1">
        <f t="array" ref="D107">INDEX('RelFlt-Map-1'!$H$7:$J$96,1+B107,C107)</f>
        <v/>
      </c>
    </row>
    <row r="108" spans="1:4" x14ac:dyDescent="0.75">
      <c r="A108" s="111">
        <v>106</v>
      </c>
      <c r="B108" s="111">
        <f t="shared" si="2"/>
        <v>35</v>
      </c>
      <c r="C108" s="111">
        <f t="shared" si="3"/>
        <v>1</v>
      </c>
      <c r="D108" s="109" t="str" cm="1">
        <f t="array" ref="D108">INDEX('RelFlt-Map-1'!$H$7:$J$96,1+B108,C108)</f>
        <v>* differential.element[0].mapping[0].identity = "fhir"</v>
      </c>
    </row>
    <row r="109" spans="1:4" x14ac:dyDescent="0.75">
      <c r="A109" s="111">
        <v>107</v>
      </c>
      <c r="B109" s="111">
        <f t="shared" si="2"/>
        <v>35</v>
      </c>
      <c r="C109" s="111">
        <f t="shared" si="3"/>
        <v>2</v>
      </c>
      <c r="D109" s="109" t="str" cm="1">
        <f t="array" ref="D109">INDEX('RelFlt-Map-1'!$H$7:$J$96,1+B109,C109)</f>
        <v>* differential.element[0].mapping[0].map = ".status"</v>
      </c>
    </row>
    <row r="110" spans="1:4" x14ac:dyDescent="0.75">
      <c r="A110" s="111">
        <v>108</v>
      </c>
      <c r="B110" s="111">
        <f t="shared" si="2"/>
        <v>35</v>
      </c>
      <c r="C110" s="111">
        <f t="shared" si="3"/>
        <v>3</v>
      </c>
      <c r="D110" s="109" t="str" cm="1">
        <f t="array" ref="D110">INDEX('RelFlt-Map-1'!$H$7:$J$96,1+B110,C110)</f>
        <v/>
      </c>
    </row>
    <row r="111" spans="1:4" x14ac:dyDescent="0.75">
      <c r="A111" s="111">
        <v>109</v>
      </c>
      <c r="B111" s="111">
        <f t="shared" si="2"/>
        <v>36</v>
      </c>
      <c r="C111" s="111">
        <f t="shared" si="3"/>
        <v>1</v>
      </c>
      <c r="D111" s="109" t="str" cm="1">
        <f t="array" ref="D111">INDEX('RelFlt-Map-1'!$H$7:$J$96,1+B111,C111)</f>
        <v>* differential.element[0].mapping[0].identity = "fhir"</v>
      </c>
    </row>
    <row r="112" spans="1:4" x14ac:dyDescent="0.75">
      <c r="A112" s="111">
        <v>110</v>
      </c>
      <c r="B112" s="111">
        <f t="shared" si="2"/>
        <v>36</v>
      </c>
      <c r="C112" s="111">
        <f t="shared" si="3"/>
        <v>2</v>
      </c>
      <c r="D112" s="109" t="str" cm="1">
        <f t="array" ref="D112">INDEX('RelFlt-Map-1'!$H$7:$J$96,1+B112,C112)</f>
        <v>* differential.element[0].mapping[0].map = ".bodySite"</v>
      </c>
    </row>
    <row r="113" spans="1:4" x14ac:dyDescent="0.75">
      <c r="A113" s="111">
        <v>111</v>
      </c>
      <c r="B113" s="111">
        <f t="shared" si="2"/>
        <v>36</v>
      </c>
      <c r="C113" s="111">
        <f t="shared" si="3"/>
        <v>3</v>
      </c>
      <c r="D113" s="109" t="str" cm="1">
        <f t="array" ref="D113">INDEX('RelFlt-Map-1'!$H$7:$J$96,1+B113,C113)</f>
        <v/>
      </c>
    </row>
    <row r="114" spans="1:4" x14ac:dyDescent="0.75">
      <c r="A114" s="111">
        <v>112</v>
      </c>
      <c r="B114" s="111">
        <f t="shared" si="2"/>
        <v>37</v>
      </c>
      <c r="C114" s="111">
        <f t="shared" si="3"/>
        <v>1</v>
      </c>
      <c r="D114" s="109" t="str" cm="1">
        <f t="array" ref="D114">INDEX('RelFlt-Map-1'!$H$7:$J$96,1+B114,C114)</f>
        <v>* differential.element[0].mapping[0].identity = "fhir"</v>
      </c>
    </row>
    <row r="115" spans="1:4" x14ac:dyDescent="0.75">
      <c r="A115" s="111">
        <v>113</v>
      </c>
      <c r="B115" s="111">
        <f t="shared" si="2"/>
        <v>37</v>
      </c>
      <c r="C115" s="111">
        <f t="shared" si="3"/>
        <v>2</v>
      </c>
      <c r="D115" s="109" t="str" cm="1">
        <f t="array" ref="D115">INDEX('RelFlt-Map-1'!$H$7:$J$96,1+B115,C115)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INDEX('RelFlt-Map-1'!$H$7:$J$96,1+B116,C116)</f>
        <v/>
      </c>
    </row>
    <row r="117" spans="1:4" x14ac:dyDescent="0.75">
      <c r="A117" s="111">
        <v>115</v>
      </c>
      <c r="B117" s="111">
        <f t="shared" si="2"/>
        <v>38</v>
      </c>
      <c r="C117" s="111">
        <f t="shared" si="3"/>
        <v>1</v>
      </c>
      <c r="D117" s="109" t="str" cm="1">
        <f t="array" ref="D117">INDEX('RelFlt-Map-1'!$H$7:$J$96,1+B117,C117)</f>
        <v/>
      </c>
    </row>
    <row r="118" spans="1:4" x14ac:dyDescent="0.75">
      <c r="A118" s="111">
        <v>116</v>
      </c>
      <c r="B118" s="111">
        <f t="shared" si="2"/>
        <v>38</v>
      </c>
      <c r="C118" s="111">
        <f t="shared" si="3"/>
        <v>2</v>
      </c>
      <c r="D118" s="109" t="str" cm="1">
        <f t="array" ref="D118">INDEX('RelFlt-Map-1'!$H$7:$J$96,1+B118,C118)</f>
        <v/>
      </c>
    </row>
    <row r="119" spans="1:4" x14ac:dyDescent="0.75">
      <c r="A119" s="111">
        <v>117</v>
      </c>
      <c r="B119" s="111">
        <f t="shared" si="2"/>
        <v>38</v>
      </c>
      <c r="C119" s="111">
        <f t="shared" si="3"/>
        <v>3</v>
      </c>
      <c r="D119" s="109" t="str" cm="1">
        <f t="array" ref="D119">INDEX('RelFlt-Map-1'!$H$7:$J$96,1+B119,C119)</f>
        <v/>
      </c>
    </row>
    <row r="120" spans="1:4" x14ac:dyDescent="0.75">
      <c r="A120" s="111">
        <v>118</v>
      </c>
      <c r="B120" s="111">
        <f t="shared" si="2"/>
        <v>39</v>
      </c>
      <c r="C120" s="111">
        <f t="shared" si="3"/>
        <v>1</v>
      </c>
      <c r="D120" s="109" t="str" cm="1">
        <f t="array" ref="D120">INDEX('RelFlt-Map-1'!$H$7:$J$96,1+B120,C120)</f>
        <v/>
      </c>
    </row>
    <row r="121" spans="1:4" x14ac:dyDescent="0.75">
      <c r="A121" s="111">
        <v>119</v>
      </c>
      <c r="B121" s="111">
        <f t="shared" si="2"/>
        <v>39</v>
      </c>
      <c r="C121" s="111">
        <f t="shared" si="3"/>
        <v>2</v>
      </c>
      <c r="D121" s="109" t="str" cm="1">
        <f t="array" ref="D121">INDEX('RelFlt-Map-1'!$H$7:$J$96,1+B121,C121)</f>
        <v/>
      </c>
    </row>
    <row r="122" spans="1:4" x14ac:dyDescent="0.75">
      <c r="A122" s="111">
        <v>120</v>
      </c>
      <c r="B122" s="111">
        <f t="shared" si="2"/>
        <v>39</v>
      </c>
      <c r="C122" s="111">
        <f t="shared" si="3"/>
        <v>3</v>
      </c>
      <c r="D122" s="109" t="str" cm="1">
        <f t="array" ref="D122">INDEX('RelFlt-Map-1'!$H$7:$J$96,1+B122,C122)</f>
        <v/>
      </c>
    </row>
    <row r="123" spans="1:4" x14ac:dyDescent="0.75">
      <c r="A123" s="111">
        <v>121</v>
      </c>
      <c r="B123" s="111">
        <f t="shared" si="2"/>
        <v>40</v>
      </c>
      <c r="C123" s="111">
        <f t="shared" si="3"/>
        <v>1</v>
      </c>
      <c r="D123" s="109" t="str" cm="1">
        <f t="array" ref="D123">INDEX('RelFlt-Map-1'!$H$7:$J$96,1+B123,C123)</f>
        <v/>
      </c>
    </row>
    <row r="124" spans="1:4" x14ac:dyDescent="0.75">
      <c r="A124" s="111">
        <v>122</v>
      </c>
      <c r="B124" s="111">
        <f t="shared" si="2"/>
        <v>40</v>
      </c>
      <c r="C124" s="111">
        <f t="shared" si="3"/>
        <v>2</v>
      </c>
      <c r="D124" s="109" t="str" cm="1">
        <f t="array" ref="D124">INDEX('RelFlt-Map-1'!$H$7:$J$96,1+B124,C124)</f>
        <v/>
      </c>
    </row>
    <row r="125" spans="1:4" x14ac:dyDescent="0.75">
      <c r="A125" s="111">
        <v>123</v>
      </c>
      <c r="B125" s="111">
        <f t="shared" si="2"/>
        <v>40</v>
      </c>
      <c r="C125" s="111">
        <f t="shared" si="3"/>
        <v>3</v>
      </c>
      <c r="D125" s="109" t="str" cm="1">
        <f t="array" ref="D125">INDEX('RelFlt-Map-1'!$H$7:$J$96,1+B125,C125)</f>
        <v/>
      </c>
    </row>
    <row r="126" spans="1:4" x14ac:dyDescent="0.75">
      <c r="A126" s="111">
        <v>124</v>
      </c>
      <c r="B126" s="111">
        <f t="shared" si="2"/>
        <v>41</v>
      </c>
      <c r="C126" s="111">
        <f t="shared" si="3"/>
        <v>1</v>
      </c>
      <c r="D126" s="109" t="str" cm="1">
        <f t="array" ref="D126">INDEX('RelFlt-Map-1'!$H$7:$J$96,1+B126,C126)</f>
        <v/>
      </c>
    </row>
    <row r="127" spans="1:4" x14ac:dyDescent="0.75">
      <c r="A127" s="111">
        <v>125</v>
      </c>
      <c r="B127" s="111">
        <f t="shared" si="2"/>
        <v>41</v>
      </c>
      <c r="C127" s="111">
        <f t="shared" si="3"/>
        <v>2</v>
      </c>
      <c r="D127" s="109" t="str" cm="1">
        <f t="array" ref="D127">INDEX('RelFlt-Map-1'!$H$7:$J$96,1+B127,C127)</f>
        <v/>
      </c>
    </row>
    <row r="128" spans="1:4" x14ac:dyDescent="0.75">
      <c r="A128" s="111">
        <v>126</v>
      </c>
      <c r="B128" s="111">
        <f t="shared" si="2"/>
        <v>41</v>
      </c>
      <c r="C128" s="111">
        <f t="shared" si="3"/>
        <v>3</v>
      </c>
      <c r="D128" s="109" t="str" cm="1">
        <f t="array" ref="D128">INDEX('RelFlt-Map-1'!$H$7:$J$96,1+B128,C128)</f>
        <v/>
      </c>
    </row>
    <row r="129" spans="1:4" x14ac:dyDescent="0.75">
      <c r="A129" s="111">
        <v>127</v>
      </c>
      <c r="B129" s="111">
        <f t="shared" si="2"/>
        <v>42</v>
      </c>
      <c r="C129" s="111">
        <f t="shared" si="3"/>
        <v>1</v>
      </c>
      <c r="D129" s="109" t="str" cm="1">
        <f t="array" ref="D129">INDEX('RelFlt-Map-1'!$H$7:$J$96,1+B129,C129)</f>
        <v/>
      </c>
    </row>
    <row r="130" spans="1:4" x14ac:dyDescent="0.75">
      <c r="A130" s="111">
        <v>128</v>
      </c>
      <c r="B130" s="111">
        <f t="shared" si="2"/>
        <v>42</v>
      </c>
      <c r="C130" s="111">
        <f t="shared" si="3"/>
        <v>2</v>
      </c>
      <c r="D130" s="109" t="str" cm="1">
        <f t="array" ref="D130">INDEX('RelFlt-Map-1'!$H$7:$J$96,1+B130,C130)</f>
        <v/>
      </c>
    </row>
    <row r="131" spans="1:4" x14ac:dyDescent="0.75">
      <c r="A131" s="111">
        <v>129</v>
      </c>
      <c r="B131" s="111">
        <f t="shared" si="2"/>
        <v>42</v>
      </c>
      <c r="C131" s="111">
        <f t="shared" si="3"/>
        <v>3</v>
      </c>
      <c r="D131" s="109" t="str" cm="1">
        <f t="array" ref="D131">INDEX('RelFlt-Map-1'!$H$7:$J$96,1+B131,C131)</f>
        <v/>
      </c>
    </row>
    <row r="132" spans="1:4" x14ac:dyDescent="0.75">
      <c r="A132" s="111">
        <v>130</v>
      </c>
      <c r="B132" s="111">
        <f t="shared" ref="B132:B195" si="4">IF(MOD(A132,3)=0,A132/3-1,INT(A132/3))</f>
        <v>43</v>
      </c>
      <c r="C132" s="111">
        <f t="shared" ref="C132:C195" si="5">IF(MOD(A132,3)=0,3,MOD(A132,3))</f>
        <v>1</v>
      </c>
      <c r="D132" s="109" t="str" cm="1">
        <f t="array" ref="D132">INDEX('RelFlt-Map-1'!$H$7:$J$96,1+B132,C132)</f>
        <v>* differential.element[0].mapping[0].identity = "fhir"</v>
      </c>
    </row>
    <row r="133" spans="1:4" x14ac:dyDescent="0.75">
      <c r="A133" s="111">
        <v>131</v>
      </c>
      <c r="B133" s="111">
        <f t="shared" si="4"/>
        <v>43</v>
      </c>
      <c r="C133" s="111">
        <f t="shared" si="5"/>
        <v>2</v>
      </c>
      <c r="D133" s="109" t="str" cm="1">
        <f t="array" ref="D133">INDEX('RelFlt-Map-1'!$H$7:$J$96,1+B133,C133)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INDEX('RelFlt-Map-1'!$H$7:$J$96,1+B134,C134)</f>
        <v/>
      </c>
    </row>
    <row r="135" spans="1:4" x14ac:dyDescent="0.75">
      <c r="A135" s="111">
        <v>133</v>
      </c>
      <c r="B135" s="111">
        <f t="shared" si="4"/>
        <v>44</v>
      </c>
      <c r="C135" s="111">
        <f t="shared" si="5"/>
        <v>1</v>
      </c>
      <c r="D135" s="109" t="str" cm="1">
        <f t="array" ref="D135">INDEX('RelFlt-Map-1'!$H$7:$J$96,1+B135,C135)</f>
        <v/>
      </c>
    </row>
    <row r="136" spans="1:4" x14ac:dyDescent="0.75">
      <c r="A136" s="111">
        <v>134</v>
      </c>
      <c r="B136" s="111">
        <f t="shared" si="4"/>
        <v>44</v>
      </c>
      <c r="C136" s="111">
        <f t="shared" si="5"/>
        <v>2</v>
      </c>
      <c r="D136" s="109" t="str" cm="1">
        <f t="array" ref="D136">INDEX('RelFlt-Map-1'!$H$7:$J$96,1+B136,C136)</f>
        <v/>
      </c>
    </row>
    <row r="137" spans="1:4" x14ac:dyDescent="0.75">
      <c r="A137" s="111">
        <v>135</v>
      </c>
      <c r="B137" s="111">
        <f t="shared" si="4"/>
        <v>44</v>
      </c>
      <c r="C137" s="111">
        <f t="shared" si="5"/>
        <v>3</v>
      </c>
      <c r="D137" s="109" t="str" cm="1">
        <f t="array" ref="D137">INDEX('RelFlt-Map-1'!$H$7:$J$96,1+B137,C137)</f>
        <v/>
      </c>
    </row>
    <row r="138" spans="1:4" x14ac:dyDescent="0.75">
      <c r="A138" s="111">
        <v>136</v>
      </c>
      <c r="B138" s="111">
        <f t="shared" si="4"/>
        <v>45</v>
      </c>
      <c r="C138" s="111">
        <f t="shared" si="5"/>
        <v>1</v>
      </c>
      <c r="D138" s="109" t="str" cm="1">
        <f t="array" ref="D138">INDEX('RelFlt-Map-1'!$H$7:$J$96,1+B138,C138)</f>
        <v/>
      </c>
    </row>
    <row r="139" spans="1:4" x14ac:dyDescent="0.75">
      <c r="A139" s="111">
        <v>137</v>
      </c>
      <c r="B139" s="111">
        <f t="shared" si="4"/>
        <v>45</v>
      </c>
      <c r="C139" s="111">
        <f t="shared" si="5"/>
        <v>2</v>
      </c>
      <c r="D139" s="109" t="str" cm="1">
        <f t="array" ref="D139">INDEX('RelFlt-Map-1'!$H$7:$J$96,1+B139,C139)</f>
        <v/>
      </c>
    </row>
    <row r="140" spans="1:4" x14ac:dyDescent="0.75">
      <c r="A140" s="111">
        <v>138</v>
      </c>
      <c r="B140" s="111">
        <f t="shared" si="4"/>
        <v>45</v>
      </c>
      <c r="C140" s="111">
        <f t="shared" si="5"/>
        <v>3</v>
      </c>
      <c r="D140" s="109" t="str" cm="1">
        <f t="array" ref="D140">INDEX('RelFlt-Map-1'!$H$7:$J$96,1+B140,C140)</f>
        <v/>
      </c>
    </row>
    <row r="141" spans="1:4" x14ac:dyDescent="0.75">
      <c r="A141" s="111">
        <v>139</v>
      </c>
      <c r="B141" s="111">
        <f t="shared" si="4"/>
        <v>46</v>
      </c>
      <c r="C141" s="111">
        <f t="shared" si="5"/>
        <v>1</v>
      </c>
      <c r="D141" s="109" t="str" cm="1">
        <f t="array" ref="D141">INDEX('RelFlt-Map-1'!$H$7:$J$96,1+B141,C141)</f>
        <v/>
      </c>
    </row>
    <row r="142" spans="1:4" x14ac:dyDescent="0.75">
      <c r="A142" s="111">
        <v>140</v>
      </c>
      <c r="B142" s="111">
        <f t="shared" si="4"/>
        <v>46</v>
      </c>
      <c r="C142" s="111">
        <f t="shared" si="5"/>
        <v>2</v>
      </c>
      <c r="D142" s="109" t="str" cm="1">
        <f t="array" ref="D142">INDEX('RelFlt-Map-1'!$H$7:$J$96,1+B142,C142)</f>
        <v/>
      </c>
    </row>
    <row r="143" spans="1:4" x14ac:dyDescent="0.75">
      <c r="A143" s="111">
        <v>141</v>
      </c>
      <c r="B143" s="111">
        <f t="shared" si="4"/>
        <v>46</v>
      </c>
      <c r="C143" s="111">
        <f t="shared" si="5"/>
        <v>3</v>
      </c>
      <c r="D143" s="109" t="str" cm="1">
        <f t="array" ref="D143">INDEX('RelFlt-Map-1'!$H$7:$J$96,1+B143,C143)</f>
        <v/>
      </c>
    </row>
    <row r="144" spans="1:4" x14ac:dyDescent="0.75">
      <c r="A144" s="111">
        <v>142</v>
      </c>
      <c r="B144" s="111">
        <f t="shared" si="4"/>
        <v>47</v>
      </c>
      <c r="C144" s="111">
        <f t="shared" si="5"/>
        <v>1</v>
      </c>
      <c r="D144" s="109" t="str" cm="1">
        <f t="array" ref="D144">INDEX('RelFlt-Map-1'!$H$7:$J$96,1+B144,C144)</f>
        <v/>
      </c>
    </row>
    <row r="145" spans="1:4" x14ac:dyDescent="0.75">
      <c r="A145" s="111">
        <v>143</v>
      </c>
      <c r="B145" s="111">
        <f t="shared" si="4"/>
        <v>47</v>
      </c>
      <c r="C145" s="111">
        <f t="shared" si="5"/>
        <v>2</v>
      </c>
      <c r="D145" s="109" t="str" cm="1">
        <f t="array" ref="D145">INDEX('RelFlt-Map-1'!$H$7:$J$96,1+B145,C145)</f>
        <v/>
      </c>
    </row>
    <row r="146" spans="1:4" x14ac:dyDescent="0.75">
      <c r="A146" s="111">
        <v>144</v>
      </c>
      <c r="B146" s="111">
        <f t="shared" si="4"/>
        <v>47</v>
      </c>
      <c r="C146" s="111">
        <f t="shared" si="5"/>
        <v>3</v>
      </c>
      <c r="D146" s="109" t="str" cm="1">
        <f t="array" ref="D146">INDEX('RelFlt-Map-1'!$H$7:$J$96,1+B146,C146)</f>
        <v/>
      </c>
    </row>
    <row r="147" spans="1:4" x14ac:dyDescent="0.75">
      <c r="A147" s="111">
        <v>145</v>
      </c>
      <c r="B147" s="111">
        <f t="shared" si="4"/>
        <v>48</v>
      </c>
      <c r="C147" s="111">
        <f t="shared" si="5"/>
        <v>1</v>
      </c>
      <c r="D147" s="109" t="str" cm="1">
        <f t="array" ref="D147">INDEX('RelFlt-Map-1'!$H$7:$J$96,1+B147,C147)</f>
        <v/>
      </c>
    </row>
    <row r="148" spans="1:4" x14ac:dyDescent="0.75">
      <c r="A148" s="111">
        <v>146</v>
      </c>
      <c r="B148" s="111">
        <f t="shared" si="4"/>
        <v>48</v>
      </c>
      <c r="C148" s="111">
        <f t="shared" si="5"/>
        <v>2</v>
      </c>
      <c r="D148" s="109" t="str" cm="1">
        <f t="array" ref="D148">INDEX('RelFlt-Map-1'!$H$7:$J$96,1+B148,C148)</f>
        <v/>
      </c>
    </row>
    <row r="149" spans="1:4" x14ac:dyDescent="0.75">
      <c r="A149" s="111">
        <v>147</v>
      </c>
      <c r="B149" s="111">
        <f t="shared" si="4"/>
        <v>48</v>
      </c>
      <c r="C149" s="111">
        <f t="shared" si="5"/>
        <v>3</v>
      </c>
      <c r="D149" s="109" t="str" cm="1">
        <f t="array" ref="D149">INDEX('RelFlt-Map-1'!$H$7:$J$96,1+B149,C149)</f>
        <v/>
      </c>
    </row>
    <row r="150" spans="1:4" x14ac:dyDescent="0.75">
      <c r="A150" s="111">
        <v>148</v>
      </c>
      <c r="B150" s="111">
        <f t="shared" si="4"/>
        <v>49</v>
      </c>
      <c r="C150" s="111">
        <f t="shared" si="5"/>
        <v>1</v>
      </c>
      <c r="D150" s="109" t="str" cm="1">
        <f t="array" ref="D150">INDEX('RelFlt-Map-1'!$H$7:$J$96,1+B150,C150)</f>
        <v/>
      </c>
    </row>
    <row r="151" spans="1:4" x14ac:dyDescent="0.75">
      <c r="A151" s="111">
        <v>149</v>
      </c>
      <c r="B151" s="111">
        <f t="shared" si="4"/>
        <v>49</v>
      </c>
      <c r="C151" s="111">
        <f t="shared" si="5"/>
        <v>2</v>
      </c>
      <c r="D151" s="109" t="str" cm="1">
        <f t="array" ref="D151">INDEX('RelFlt-Map-1'!$H$7:$J$96,1+B151,C151)</f>
        <v/>
      </c>
    </row>
    <row r="152" spans="1:4" x14ac:dyDescent="0.75">
      <c r="A152" s="111">
        <v>150</v>
      </c>
      <c r="B152" s="111">
        <f t="shared" si="4"/>
        <v>49</v>
      </c>
      <c r="C152" s="111">
        <f t="shared" si="5"/>
        <v>3</v>
      </c>
      <c r="D152" s="109" t="str" cm="1">
        <f t="array" ref="D152">INDEX('RelFlt-Map-1'!$H$7:$J$96,1+B152,C152)</f>
        <v/>
      </c>
    </row>
    <row r="153" spans="1:4" x14ac:dyDescent="0.75">
      <c r="A153" s="111">
        <v>151</v>
      </c>
      <c r="B153" s="111">
        <f t="shared" si="4"/>
        <v>50</v>
      </c>
      <c r="C153" s="111">
        <f t="shared" si="5"/>
        <v>1</v>
      </c>
      <c r="D153" s="109" t="str" cm="1">
        <f t="array" ref="D153">INDEX('RelFlt-Map-1'!$H$7:$J$96,1+B153,C153)</f>
        <v/>
      </c>
    </row>
    <row r="154" spans="1:4" x14ac:dyDescent="0.75">
      <c r="A154" s="111">
        <v>152</v>
      </c>
      <c r="B154" s="111">
        <f t="shared" si="4"/>
        <v>50</v>
      </c>
      <c r="C154" s="111">
        <f t="shared" si="5"/>
        <v>2</v>
      </c>
      <c r="D154" s="109" t="str" cm="1">
        <f t="array" ref="D154">INDEX('RelFlt-Map-1'!$H$7:$J$96,1+B154,C154)</f>
        <v/>
      </c>
    </row>
    <row r="155" spans="1:4" x14ac:dyDescent="0.75">
      <c r="A155" s="111">
        <v>153</v>
      </c>
      <c r="B155" s="111">
        <f t="shared" si="4"/>
        <v>50</v>
      </c>
      <c r="C155" s="111">
        <f t="shared" si="5"/>
        <v>3</v>
      </c>
      <c r="D155" s="109" t="str" cm="1">
        <f t="array" ref="D155">INDEX('RelFlt-Map-1'!$H$7:$J$96,1+B155,C155)</f>
        <v/>
      </c>
    </row>
    <row r="156" spans="1:4" x14ac:dyDescent="0.75">
      <c r="A156" s="111">
        <v>154</v>
      </c>
      <c r="B156" s="111">
        <f t="shared" si="4"/>
        <v>51</v>
      </c>
      <c r="C156" s="111">
        <f t="shared" si="5"/>
        <v>1</v>
      </c>
      <c r="D156" s="109" t="str" cm="1">
        <f t="array" ref="D156">INDEX('RelFlt-Map-1'!$H$7:$J$96,1+B156,C156)</f>
        <v/>
      </c>
    </row>
    <row r="157" spans="1:4" x14ac:dyDescent="0.75">
      <c r="A157" s="111">
        <v>155</v>
      </c>
      <c r="B157" s="111">
        <f t="shared" si="4"/>
        <v>51</v>
      </c>
      <c r="C157" s="111">
        <f t="shared" si="5"/>
        <v>2</v>
      </c>
      <c r="D157" s="109" t="str" cm="1">
        <f t="array" ref="D157">INDEX('RelFlt-Map-1'!$H$7:$J$96,1+B157,C157)</f>
        <v/>
      </c>
    </row>
    <row r="158" spans="1:4" x14ac:dyDescent="0.75">
      <c r="A158" s="111">
        <v>156</v>
      </c>
      <c r="B158" s="111">
        <f t="shared" si="4"/>
        <v>51</v>
      </c>
      <c r="C158" s="111">
        <f t="shared" si="5"/>
        <v>3</v>
      </c>
      <c r="D158" s="109" t="str" cm="1">
        <f t="array" ref="D158">INDEX('RelFlt-Map-1'!$H$7:$J$96,1+B158,C158)</f>
        <v/>
      </c>
    </row>
    <row r="159" spans="1:4" x14ac:dyDescent="0.75">
      <c r="A159" s="111">
        <v>157</v>
      </c>
      <c r="B159" s="111">
        <f t="shared" si="4"/>
        <v>52</v>
      </c>
      <c r="C159" s="111">
        <f t="shared" si="5"/>
        <v>1</v>
      </c>
      <c r="D159" s="109" t="str" cm="1">
        <f t="array" ref="D159">INDEX('RelFlt-Map-1'!$H$7:$J$96,1+B159,C159)</f>
        <v/>
      </c>
    </row>
    <row r="160" spans="1:4" x14ac:dyDescent="0.75">
      <c r="A160" s="111">
        <v>158</v>
      </c>
      <c r="B160" s="111">
        <f t="shared" si="4"/>
        <v>52</v>
      </c>
      <c r="C160" s="111">
        <f t="shared" si="5"/>
        <v>2</v>
      </c>
      <c r="D160" s="109" t="str" cm="1">
        <f t="array" ref="D160">INDEX('RelFlt-Map-1'!$H$7:$J$96,1+B160,C160)</f>
        <v/>
      </c>
    </row>
    <row r="161" spans="1:4" x14ac:dyDescent="0.75">
      <c r="A161" s="111">
        <v>159</v>
      </c>
      <c r="B161" s="111">
        <f t="shared" si="4"/>
        <v>52</v>
      </c>
      <c r="C161" s="111">
        <f t="shared" si="5"/>
        <v>3</v>
      </c>
      <c r="D161" s="109" t="str" cm="1">
        <f t="array" ref="D161">INDEX('RelFlt-Map-1'!$H$7:$J$96,1+B161,C161)</f>
        <v/>
      </c>
    </row>
    <row r="162" spans="1:4" x14ac:dyDescent="0.75">
      <c r="A162" s="111">
        <v>160</v>
      </c>
      <c r="B162" s="111">
        <f t="shared" si="4"/>
        <v>53</v>
      </c>
      <c r="C162" s="111">
        <f t="shared" si="5"/>
        <v>1</v>
      </c>
      <c r="D162" s="109" t="str" cm="1">
        <f t="array" ref="D162">INDEX('RelFlt-Map-1'!$H$7:$J$96,1+B162,C162)</f>
        <v/>
      </c>
    </row>
    <row r="163" spans="1:4" x14ac:dyDescent="0.75">
      <c r="A163" s="111">
        <v>161</v>
      </c>
      <c r="B163" s="111">
        <f t="shared" si="4"/>
        <v>53</v>
      </c>
      <c r="C163" s="111">
        <f t="shared" si="5"/>
        <v>2</v>
      </c>
      <c r="D163" s="109" t="str" cm="1">
        <f t="array" ref="D163">INDEX('RelFlt-Map-1'!$H$7:$J$96,1+B163,C163)</f>
        <v/>
      </c>
    </row>
    <row r="164" spans="1:4" x14ac:dyDescent="0.75">
      <c r="A164" s="111">
        <v>162</v>
      </c>
      <c r="B164" s="111">
        <f t="shared" si="4"/>
        <v>53</v>
      </c>
      <c r="C164" s="111">
        <f t="shared" si="5"/>
        <v>3</v>
      </c>
      <c r="D164" s="109" t="str" cm="1">
        <f t="array" ref="D164">INDEX('RelFlt-Map-1'!$H$7:$J$96,1+B164,C164)</f>
        <v/>
      </c>
    </row>
    <row r="165" spans="1:4" x14ac:dyDescent="0.75">
      <c r="A165" s="111">
        <v>163</v>
      </c>
      <c r="B165" s="111">
        <f t="shared" si="4"/>
        <v>54</v>
      </c>
      <c r="C165" s="111">
        <f t="shared" si="5"/>
        <v>1</v>
      </c>
      <c r="D165" s="109" t="str" cm="1">
        <f t="array" ref="D165">INDEX('RelFlt-Map-1'!$H$7:$J$96,1+B165,C165)</f>
        <v/>
      </c>
    </row>
    <row r="166" spans="1:4" x14ac:dyDescent="0.75">
      <c r="A166" s="111">
        <v>164</v>
      </c>
      <c r="B166" s="111">
        <f t="shared" si="4"/>
        <v>54</v>
      </c>
      <c r="C166" s="111">
        <f t="shared" si="5"/>
        <v>2</v>
      </c>
      <c r="D166" s="109" t="str" cm="1">
        <f t="array" ref="D166">INDEX('RelFlt-Map-1'!$H$7:$J$96,1+B166,C166)</f>
        <v/>
      </c>
    </row>
    <row r="167" spans="1:4" x14ac:dyDescent="0.75">
      <c r="A167" s="111">
        <v>165</v>
      </c>
      <c r="B167" s="111">
        <f t="shared" si="4"/>
        <v>54</v>
      </c>
      <c r="C167" s="111">
        <f t="shared" si="5"/>
        <v>3</v>
      </c>
      <c r="D167" s="109" t="str" cm="1">
        <f t="array" ref="D167">INDEX('RelFlt-Map-1'!$H$7:$J$96,1+B167,C167)</f>
        <v/>
      </c>
    </row>
    <row r="168" spans="1:4" x14ac:dyDescent="0.75">
      <c r="A168" s="111">
        <v>166</v>
      </c>
      <c r="B168" s="111">
        <f t="shared" si="4"/>
        <v>55</v>
      </c>
      <c r="C168" s="111">
        <f t="shared" si="5"/>
        <v>1</v>
      </c>
      <c r="D168" s="109" t="str" cm="1">
        <f t="array" ref="D168">INDEX('RelFlt-Map-1'!$H$7:$J$96,1+B168,C168)</f>
        <v/>
      </c>
    </row>
    <row r="169" spans="1:4" x14ac:dyDescent="0.75">
      <c r="A169" s="111">
        <v>167</v>
      </c>
      <c r="B169" s="111">
        <f t="shared" si="4"/>
        <v>55</v>
      </c>
      <c r="C169" s="111">
        <f t="shared" si="5"/>
        <v>2</v>
      </c>
      <c r="D169" s="109" t="str" cm="1">
        <f t="array" ref="D169">INDEX('RelFlt-Map-1'!$H$7:$J$96,1+B169,C169)</f>
        <v/>
      </c>
    </row>
    <row r="170" spans="1:4" x14ac:dyDescent="0.75">
      <c r="A170" s="111">
        <v>168</v>
      </c>
      <c r="B170" s="111">
        <f t="shared" si="4"/>
        <v>55</v>
      </c>
      <c r="C170" s="111">
        <f t="shared" si="5"/>
        <v>3</v>
      </c>
      <c r="D170" s="109" cm="1">
        <f t="array" ref="D170">INDEX('RelFlt-Map-1'!$H$7:$J$96,1+B170,C170)</f>
        <v>0</v>
      </c>
    </row>
    <row r="171" spans="1:4" x14ac:dyDescent="0.75">
      <c r="A171" s="111">
        <v>169</v>
      </c>
      <c r="B171" s="111">
        <f t="shared" si="4"/>
        <v>56</v>
      </c>
      <c r="C171" s="111">
        <f t="shared" si="5"/>
        <v>1</v>
      </c>
      <c r="D171" s="109" t="str" cm="1">
        <f t="array" ref="D171">INDEX('RelFlt-Map-1'!$H$7:$J$96,1+B171,C171)</f>
        <v/>
      </c>
    </row>
    <row r="172" spans="1:4" x14ac:dyDescent="0.75">
      <c r="A172" s="111">
        <v>170</v>
      </c>
      <c r="B172" s="111">
        <f t="shared" si="4"/>
        <v>56</v>
      </c>
      <c r="C172" s="111">
        <f t="shared" si="5"/>
        <v>2</v>
      </c>
      <c r="D172" s="109" t="str" cm="1">
        <f t="array" ref="D172">INDEX('RelFlt-Map-1'!$H$7:$J$96,1+B172,C172)</f>
        <v/>
      </c>
    </row>
    <row r="173" spans="1:4" x14ac:dyDescent="0.75">
      <c r="A173" s="111">
        <v>171</v>
      </c>
      <c r="B173" s="111">
        <f t="shared" si="4"/>
        <v>56</v>
      </c>
      <c r="C173" s="111">
        <f t="shared" si="5"/>
        <v>3</v>
      </c>
      <c r="D173" s="109" cm="1">
        <f t="array" ref="D173">INDEX('RelFlt-Map-1'!$H$7:$J$96,1+B173,C173)</f>
        <v>0</v>
      </c>
    </row>
    <row r="174" spans="1:4" x14ac:dyDescent="0.75">
      <c r="A174" s="111">
        <v>172</v>
      </c>
      <c r="B174" s="111">
        <f t="shared" si="4"/>
        <v>57</v>
      </c>
      <c r="C174" s="111">
        <f t="shared" si="5"/>
        <v>1</v>
      </c>
      <c r="D174" s="109" t="str" cm="1">
        <f t="array" ref="D174">INDEX('RelFlt-Map-1'!$H$7:$J$96,1+B174,C174)</f>
        <v/>
      </c>
    </row>
    <row r="175" spans="1:4" x14ac:dyDescent="0.75">
      <c r="A175" s="111">
        <v>173</v>
      </c>
      <c r="B175" s="111">
        <f t="shared" si="4"/>
        <v>57</v>
      </c>
      <c r="C175" s="111">
        <f t="shared" si="5"/>
        <v>2</v>
      </c>
      <c r="D175" s="109" t="str" cm="1">
        <f t="array" ref="D175">INDEX('RelFlt-Map-1'!$H$7:$J$96,1+B175,C175)</f>
        <v/>
      </c>
    </row>
    <row r="176" spans="1:4" x14ac:dyDescent="0.75">
      <c r="A176" s="111">
        <v>174</v>
      </c>
      <c r="B176" s="111">
        <f t="shared" si="4"/>
        <v>57</v>
      </c>
      <c r="C176" s="111">
        <f t="shared" si="5"/>
        <v>3</v>
      </c>
      <c r="D176" s="109" cm="1">
        <f t="array" ref="D176">INDEX('RelFlt-Map-1'!$H$7:$J$96,1+B176,C176)</f>
        <v>0</v>
      </c>
    </row>
    <row r="177" spans="1:4" x14ac:dyDescent="0.75">
      <c r="A177" s="111">
        <v>175</v>
      </c>
      <c r="B177" s="111">
        <f t="shared" si="4"/>
        <v>58</v>
      </c>
      <c r="C177" s="111">
        <f t="shared" si="5"/>
        <v>1</v>
      </c>
      <c r="D177" s="109" t="str" cm="1">
        <f t="array" ref="D177">INDEX('RelFlt-Map-1'!$H$7:$J$96,1+B177,C177)</f>
        <v/>
      </c>
    </row>
    <row r="178" spans="1:4" x14ac:dyDescent="0.75">
      <c r="A178" s="111">
        <v>176</v>
      </c>
      <c r="B178" s="111">
        <f t="shared" si="4"/>
        <v>58</v>
      </c>
      <c r="C178" s="111">
        <f t="shared" si="5"/>
        <v>2</v>
      </c>
      <c r="D178" s="109" t="str" cm="1">
        <f t="array" ref="D178">INDEX('RelFlt-Map-1'!$H$7:$J$96,1+B178,C178)</f>
        <v/>
      </c>
    </row>
    <row r="179" spans="1:4" x14ac:dyDescent="0.75">
      <c r="A179" s="111">
        <v>177</v>
      </c>
      <c r="B179" s="111">
        <f t="shared" si="4"/>
        <v>58</v>
      </c>
      <c r="C179" s="111">
        <f t="shared" si="5"/>
        <v>3</v>
      </c>
      <c r="D179" s="109" cm="1">
        <f t="array" ref="D179">INDEX('RelFlt-Map-1'!$H$7:$J$96,1+B179,C179)</f>
        <v>0</v>
      </c>
    </row>
    <row r="180" spans="1:4" x14ac:dyDescent="0.75">
      <c r="A180" s="111">
        <v>178</v>
      </c>
      <c r="B180" s="111">
        <f t="shared" si="4"/>
        <v>59</v>
      </c>
      <c r="C180" s="111">
        <f t="shared" si="5"/>
        <v>1</v>
      </c>
      <c r="D180" s="109" t="str" cm="1">
        <f t="array" ref="D180">INDEX('RelFlt-Map-1'!$H$7:$J$96,1+B180,C180)</f>
        <v/>
      </c>
    </row>
    <row r="181" spans="1:4" x14ac:dyDescent="0.75">
      <c r="A181" s="111">
        <v>179</v>
      </c>
      <c r="B181" s="111">
        <f t="shared" si="4"/>
        <v>59</v>
      </c>
      <c r="C181" s="111">
        <f t="shared" si="5"/>
        <v>2</v>
      </c>
      <c r="D181" s="109" t="str" cm="1">
        <f t="array" ref="D181">INDEX('RelFlt-Map-1'!$H$7:$J$96,1+B181,C181)</f>
        <v/>
      </c>
    </row>
    <row r="182" spans="1:4" x14ac:dyDescent="0.75">
      <c r="A182" s="111">
        <v>180</v>
      </c>
      <c r="B182" s="111">
        <f t="shared" si="4"/>
        <v>59</v>
      </c>
      <c r="C182" s="111">
        <f t="shared" si="5"/>
        <v>3</v>
      </c>
      <c r="D182" s="109" cm="1">
        <f t="array" ref="D182">INDEX('RelFlt-Map-1'!$H$7:$J$96,1+B182,C182)</f>
        <v>0</v>
      </c>
    </row>
    <row r="183" spans="1:4" x14ac:dyDescent="0.75">
      <c r="A183" s="111">
        <v>181</v>
      </c>
      <c r="B183" s="111">
        <f t="shared" si="4"/>
        <v>60</v>
      </c>
      <c r="C183" s="111">
        <f t="shared" si="5"/>
        <v>1</v>
      </c>
      <c r="D183" s="109" t="str" cm="1">
        <f t="array" ref="D183">INDEX('RelFlt-Map-1'!$H$7:$J$96,1+B183,C183)</f>
        <v/>
      </c>
    </row>
    <row r="184" spans="1:4" x14ac:dyDescent="0.75">
      <c r="A184" s="111">
        <v>182</v>
      </c>
      <c r="B184" s="111">
        <f t="shared" si="4"/>
        <v>60</v>
      </c>
      <c r="C184" s="111">
        <f t="shared" si="5"/>
        <v>2</v>
      </c>
      <c r="D184" s="109" t="str" cm="1">
        <f t="array" ref="D184">INDEX('RelFlt-Map-1'!$H$7:$J$96,1+B184,C184)</f>
        <v/>
      </c>
    </row>
    <row r="185" spans="1:4" x14ac:dyDescent="0.75">
      <c r="A185" s="111">
        <v>183</v>
      </c>
      <c r="B185" s="111">
        <f t="shared" si="4"/>
        <v>60</v>
      </c>
      <c r="C185" s="111">
        <f t="shared" si="5"/>
        <v>3</v>
      </c>
      <c r="D185" s="109" cm="1">
        <f t="array" ref="D185">INDEX('RelFlt-Map-1'!$H$7:$J$96,1+B185,C185)</f>
        <v>0</v>
      </c>
    </row>
    <row r="186" spans="1:4" x14ac:dyDescent="0.75">
      <c r="A186" s="111">
        <v>184</v>
      </c>
      <c r="B186" s="111">
        <f t="shared" si="4"/>
        <v>61</v>
      </c>
      <c r="C186" s="111">
        <f t="shared" si="5"/>
        <v>1</v>
      </c>
      <c r="D186" s="109" t="str" cm="1">
        <f t="array" ref="D186">INDEX('RelFlt-Map-1'!$H$7:$J$96,1+B186,C186)</f>
        <v/>
      </c>
    </row>
    <row r="187" spans="1:4" x14ac:dyDescent="0.75">
      <c r="A187" s="111">
        <v>185</v>
      </c>
      <c r="B187" s="111">
        <f t="shared" si="4"/>
        <v>61</v>
      </c>
      <c r="C187" s="111">
        <f t="shared" si="5"/>
        <v>2</v>
      </c>
      <c r="D187" s="109" t="str" cm="1">
        <f t="array" ref="D187">INDEX('RelFlt-Map-1'!$H$7:$J$96,1+B187,C187)</f>
        <v/>
      </c>
    </row>
    <row r="188" spans="1:4" x14ac:dyDescent="0.75">
      <c r="A188" s="111">
        <v>186</v>
      </c>
      <c r="B188" s="111">
        <f t="shared" si="4"/>
        <v>61</v>
      </c>
      <c r="C188" s="111">
        <f t="shared" si="5"/>
        <v>3</v>
      </c>
      <c r="D188" s="109" cm="1">
        <f t="array" ref="D188">INDEX('RelFlt-Map-1'!$H$7:$J$96,1+B188,C188)</f>
        <v>0</v>
      </c>
    </row>
    <row r="189" spans="1:4" x14ac:dyDescent="0.75">
      <c r="A189" s="111">
        <v>187</v>
      </c>
      <c r="B189" s="111">
        <f t="shared" si="4"/>
        <v>62</v>
      </c>
      <c r="C189" s="111">
        <f t="shared" si="5"/>
        <v>1</v>
      </c>
      <c r="D189" s="109" t="str" cm="1">
        <f t="array" ref="D189">INDEX('RelFlt-Map-1'!$H$7:$J$96,1+B189,C189)</f>
        <v/>
      </c>
    </row>
    <row r="190" spans="1:4" x14ac:dyDescent="0.75">
      <c r="A190" s="111">
        <v>188</v>
      </c>
      <c r="B190" s="111">
        <f t="shared" si="4"/>
        <v>62</v>
      </c>
      <c r="C190" s="111">
        <f t="shared" si="5"/>
        <v>2</v>
      </c>
      <c r="D190" s="109" t="str" cm="1">
        <f t="array" ref="D190">INDEX('RelFlt-Map-1'!$H$7:$J$96,1+B190,C190)</f>
        <v/>
      </c>
    </row>
    <row r="191" spans="1:4" x14ac:dyDescent="0.75">
      <c r="A191" s="111">
        <v>189</v>
      </c>
      <c r="B191" s="111">
        <f t="shared" si="4"/>
        <v>62</v>
      </c>
      <c r="C191" s="111">
        <f t="shared" si="5"/>
        <v>3</v>
      </c>
      <c r="D191" s="109" cm="1">
        <f t="array" ref="D191">INDEX('RelFlt-Map-1'!$H$7:$J$96,1+B191,C191)</f>
        <v>0</v>
      </c>
    </row>
    <row r="192" spans="1:4" x14ac:dyDescent="0.75">
      <c r="A192" s="111">
        <v>190</v>
      </c>
      <c r="B192" s="111">
        <f t="shared" si="4"/>
        <v>63</v>
      </c>
      <c r="C192" s="111">
        <f t="shared" si="5"/>
        <v>1</v>
      </c>
      <c r="D192" s="109" cm="1">
        <f t="array" ref="D192">INDEX('RelFlt-Map-1'!$H$7:$J$96,1+B192,C192)</f>
        <v>0</v>
      </c>
    </row>
    <row r="193" spans="1:4" x14ac:dyDescent="0.75">
      <c r="A193" s="111">
        <v>191</v>
      </c>
      <c r="B193" s="111">
        <f t="shared" si="4"/>
        <v>63</v>
      </c>
      <c r="C193" s="111">
        <f t="shared" si="5"/>
        <v>2</v>
      </c>
      <c r="D193" s="109" cm="1">
        <f t="array" ref="D193">INDEX('RelFlt-Map-1'!$H$7:$J$96,1+B193,C193)</f>
        <v>0</v>
      </c>
    </row>
    <row r="194" spans="1:4" x14ac:dyDescent="0.75">
      <c r="A194" s="111">
        <v>192</v>
      </c>
      <c r="B194" s="111">
        <f t="shared" si="4"/>
        <v>63</v>
      </c>
      <c r="C194" s="111">
        <f t="shared" si="5"/>
        <v>3</v>
      </c>
      <c r="D194" s="109" cm="1">
        <f t="array" ref="D194">INDEX('RelFlt-Map-1'!$H$7:$J$96,1+B194,C194)</f>
        <v>0</v>
      </c>
    </row>
    <row r="195" spans="1:4" x14ac:dyDescent="0.75">
      <c r="A195" s="111">
        <v>193</v>
      </c>
      <c r="B195" s="111">
        <f t="shared" si="4"/>
        <v>64</v>
      </c>
      <c r="C195" s="111">
        <f t="shared" si="5"/>
        <v>1</v>
      </c>
      <c r="D195" s="109" cm="1">
        <f t="array" ref="D195">INDEX('RelFlt-Map-1'!$H$7:$J$96,1+B195,C195)</f>
        <v>0</v>
      </c>
    </row>
    <row r="196" spans="1:4" x14ac:dyDescent="0.75">
      <c r="A196" s="111">
        <v>194</v>
      </c>
      <c r="B196" s="111">
        <f t="shared" ref="B196:B259" si="6">IF(MOD(A196,3)=0,A196/3-1,INT(A196/3))</f>
        <v>64</v>
      </c>
      <c r="C196" s="111">
        <f t="shared" ref="C196:C259" si="7">IF(MOD(A196,3)=0,3,MOD(A196,3))</f>
        <v>2</v>
      </c>
      <c r="D196" s="109" cm="1">
        <f t="array" ref="D196">INDEX('RelFlt-Map-1'!$H$7:$J$96,1+B196,C196)</f>
        <v>0</v>
      </c>
    </row>
    <row r="197" spans="1:4" x14ac:dyDescent="0.75">
      <c r="A197" s="111">
        <v>195</v>
      </c>
      <c r="B197" s="111">
        <f t="shared" si="6"/>
        <v>64</v>
      </c>
      <c r="C197" s="111">
        <f t="shared" si="7"/>
        <v>3</v>
      </c>
      <c r="D197" s="109" cm="1">
        <f t="array" ref="D197">INDEX('RelFlt-Map-1'!$H$7:$J$96,1+B197,C197)</f>
        <v>0</v>
      </c>
    </row>
    <row r="198" spans="1:4" x14ac:dyDescent="0.75">
      <c r="A198" s="111">
        <v>196</v>
      </c>
      <c r="B198" s="111">
        <f t="shared" si="6"/>
        <v>65</v>
      </c>
      <c r="C198" s="111">
        <f t="shared" si="7"/>
        <v>1</v>
      </c>
      <c r="D198" s="109" cm="1">
        <f t="array" ref="D198">INDEX('RelFlt-Map-1'!$H$7:$J$96,1+B198,C198)</f>
        <v>0</v>
      </c>
    </row>
    <row r="199" spans="1:4" x14ac:dyDescent="0.75">
      <c r="A199" s="111">
        <v>197</v>
      </c>
      <c r="B199" s="111">
        <f t="shared" si="6"/>
        <v>65</v>
      </c>
      <c r="C199" s="111">
        <f t="shared" si="7"/>
        <v>2</v>
      </c>
      <c r="D199" s="109" cm="1">
        <f t="array" ref="D199">INDEX('RelFlt-Map-1'!$H$7:$J$96,1+B199,C199)</f>
        <v>0</v>
      </c>
    </row>
    <row r="200" spans="1:4" x14ac:dyDescent="0.75">
      <c r="A200" s="111">
        <v>198</v>
      </c>
      <c r="B200" s="111">
        <f t="shared" si="6"/>
        <v>65</v>
      </c>
      <c r="C200" s="111">
        <f t="shared" si="7"/>
        <v>3</v>
      </c>
      <c r="D200" s="109" cm="1">
        <f t="array" ref="D200">INDEX('RelFlt-Map-1'!$H$7:$J$96,1+B200,C200)</f>
        <v>0</v>
      </c>
    </row>
    <row r="201" spans="1:4" x14ac:dyDescent="0.75">
      <c r="A201" s="111">
        <v>199</v>
      </c>
      <c r="B201" s="111">
        <f t="shared" si="6"/>
        <v>66</v>
      </c>
      <c r="C201" s="111">
        <f t="shared" si="7"/>
        <v>1</v>
      </c>
      <c r="D201" s="109" cm="1">
        <f t="array" ref="D201">INDEX('RelFlt-Map-1'!$H$7:$J$96,1+B201,C201)</f>
        <v>0</v>
      </c>
    </row>
    <row r="202" spans="1:4" x14ac:dyDescent="0.75">
      <c r="A202" s="111">
        <v>200</v>
      </c>
      <c r="B202" s="111">
        <f t="shared" si="6"/>
        <v>66</v>
      </c>
      <c r="C202" s="111">
        <f t="shared" si="7"/>
        <v>2</v>
      </c>
      <c r="D202" s="109" cm="1">
        <f t="array" ref="D202">INDEX('RelFlt-Map-1'!$H$7:$J$96,1+B202,C202)</f>
        <v>0</v>
      </c>
    </row>
    <row r="203" spans="1:4" x14ac:dyDescent="0.75">
      <c r="A203" s="111">
        <v>201</v>
      </c>
      <c r="B203" s="111">
        <f t="shared" si="6"/>
        <v>66</v>
      </c>
      <c r="C203" s="111">
        <f t="shared" si="7"/>
        <v>3</v>
      </c>
      <c r="D203" s="109" cm="1">
        <f t="array" ref="D203">INDEX('RelFlt-Map-1'!$H$7:$J$96,1+B203,C203)</f>
        <v>0</v>
      </c>
    </row>
    <row r="204" spans="1:4" x14ac:dyDescent="0.75">
      <c r="A204" s="111">
        <v>202</v>
      </c>
      <c r="B204" s="111">
        <f t="shared" si="6"/>
        <v>67</v>
      </c>
      <c r="C204" s="111">
        <f t="shared" si="7"/>
        <v>1</v>
      </c>
      <c r="D204" s="109" cm="1">
        <f t="array" ref="D204">INDEX('RelFlt-Map-1'!$H$7:$J$96,1+B204,C204)</f>
        <v>0</v>
      </c>
    </row>
    <row r="205" spans="1:4" x14ac:dyDescent="0.75">
      <c r="A205" s="111">
        <v>203</v>
      </c>
      <c r="B205" s="111">
        <f t="shared" si="6"/>
        <v>67</v>
      </c>
      <c r="C205" s="111">
        <f t="shared" si="7"/>
        <v>2</v>
      </c>
      <c r="D205" s="109" cm="1">
        <f t="array" ref="D205">INDEX('RelFlt-Map-1'!$H$7:$J$96,1+B205,C205)</f>
        <v>0</v>
      </c>
    </row>
    <row r="206" spans="1:4" x14ac:dyDescent="0.75">
      <c r="A206" s="111">
        <v>204</v>
      </c>
      <c r="B206" s="111">
        <f t="shared" si="6"/>
        <v>67</v>
      </c>
      <c r="C206" s="111">
        <f t="shared" si="7"/>
        <v>3</v>
      </c>
      <c r="D206" s="109" cm="1">
        <f t="array" ref="D206">INDEX('RelFlt-Map-1'!$H$7:$J$96,1+B206,C206)</f>
        <v>0</v>
      </c>
    </row>
    <row r="207" spans="1:4" x14ac:dyDescent="0.75">
      <c r="A207" s="111">
        <v>205</v>
      </c>
      <c r="B207" s="111">
        <f t="shared" si="6"/>
        <v>68</v>
      </c>
      <c r="C207" s="111">
        <f t="shared" si="7"/>
        <v>1</v>
      </c>
      <c r="D207" s="109" cm="1">
        <f t="array" ref="D207">INDEX('RelFlt-Map-1'!$H$7:$J$96,1+B207,C207)</f>
        <v>0</v>
      </c>
    </row>
    <row r="208" spans="1:4" x14ac:dyDescent="0.75">
      <c r="A208" s="111">
        <v>206</v>
      </c>
      <c r="B208" s="111">
        <f t="shared" si="6"/>
        <v>68</v>
      </c>
      <c r="C208" s="111">
        <f t="shared" si="7"/>
        <v>2</v>
      </c>
      <c r="D208" s="109" cm="1">
        <f t="array" ref="D208">INDEX('RelFlt-Map-1'!$H$7:$J$96,1+B208,C208)</f>
        <v>0</v>
      </c>
    </row>
    <row r="209" spans="1:4" x14ac:dyDescent="0.75">
      <c r="A209" s="111">
        <v>207</v>
      </c>
      <c r="B209" s="111">
        <f t="shared" si="6"/>
        <v>68</v>
      </c>
      <c r="C209" s="111">
        <f t="shared" si="7"/>
        <v>3</v>
      </c>
      <c r="D209" s="109" cm="1">
        <f t="array" ref="D209">INDEX('RelFlt-Map-1'!$H$7:$J$96,1+B209,C209)</f>
        <v>0</v>
      </c>
    </row>
    <row r="210" spans="1:4" x14ac:dyDescent="0.75">
      <c r="A210" s="111">
        <v>208</v>
      </c>
      <c r="B210" s="111">
        <f t="shared" si="6"/>
        <v>69</v>
      </c>
      <c r="C210" s="111">
        <f t="shared" si="7"/>
        <v>1</v>
      </c>
      <c r="D210" s="109" cm="1">
        <f t="array" ref="D210">INDEX('RelFlt-Map-1'!$H$7:$J$96,1+B210,C210)</f>
        <v>0</v>
      </c>
    </row>
    <row r="211" spans="1:4" x14ac:dyDescent="0.75">
      <c r="A211" s="111">
        <v>209</v>
      </c>
      <c r="B211" s="111">
        <f t="shared" si="6"/>
        <v>69</v>
      </c>
      <c r="C211" s="111">
        <f t="shared" si="7"/>
        <v>2</v>
      </c>
      <c r="D211" s="109" cm="1">
        <f t="array" ref="D211">INDEX('RelFlt-Map-1'!$H$7:$J$96,1+B211,C211)</f>
        <v>0</v>
      </c>
    </row>
    <row r="212" spans="1:4" x14ac:dyDescent="0.75">
      <c r="A212" s="111">
        <v>210</v>
      </c>
      <c r="B212" s="111">
        <f t="shared" si="6"/>
        <v>69</v>
      </c>
      <c r="C212" s="111">
        <f t="shared" si="7"/>
        <v>3</v>
      </c>
      <c r="D212" s="109" cm="1">
        <f t="array" ref="D212">INDEX('RelFlt-Map-1'!$H$7:$J$96,1+B212,C212)</f>
        <v>0</v>
      </c>
    </row>
    <row r="213" spans="1:4" x14ac:dyDescent="0.75">
      <c r="A213" s="111">
        <v>211</v>
      </c>
      <c r="B213" s="111">
        <f t="shared" si="6"/>
        <v>70</v>
      </c>
      <c r="C213" s="111">
        <f t="shared" si="7"/>
        <v>1</v>
      </c>
      <c r="D213" s="109" cm="1">
        <f t="array" ref="D213">INDEX('RelFlt-Map-1'!$H$7:$J$96,1+B213,C213)</f>
        <v>0</v>
      </c>
    </row>
    <row r="214" spans="1:4" x14ac:dyDescent="0.75">
      <c r="A214" s="111">
        <v>212</v>
      </c>
      <c r="B214" s="111">
        <f t="shared" si="6"/>
        <v>70</v>
      </c>
      <c r="C214" s="111">
        <f t="shared" si="7"/>
        <v>2</v>
      </c>
      <c r="D214" s="109" cm="1">
        <f t="array" ref="D214">INDEX('RelFlt-Map-1'!$H$7:$J$96,1+B214,C214)</f>
        <v>0</v>
      </c>
    </row>
    <row r="215" spans="1:4" x14ac:dyDescent="0.75">
      <c r="A215" s="111">
        <v>213</v>
      </c>
      <c r="B215" s="111">
        <f t="shared" si="6"/>
        <v>70</v>
      </c>
      <c r="C215" s="111">
        <f t="shared" si="7"/>
        <v>3</v>
      </c>
      <c r="D215" s="109" cm="1">
        <f t="array" ref="D215">INDEX('RelFlt-Map-1'!$H$7:$J$96,1+B215,C215)</f>
        <v>0</v>
      </c>
    </row>
    <row r="216" spans="1:4" x14ac:dyDescent="0.75">
      <c r="A216" s="111">
        <v>214</v>
      </c>
      <c r="B216" s="111">
        <f t="shared" si="6"/>
        <v>71</v>
      </c>
      <c r="C216" s="111">
        <f t="shared" si="7"/>
        <v>1</v>
      </c>
      <c r="D216" s="109" cm="1">
        <f t="array" ref="D216">INDEX('RelFlt-Map-1'!$H$7:$J$96,1+B216,C216)</f>
        <v>0</v>
      </c>
    </row>
    <row r="217" spans="1:4" x14ac:dyDescent="0.75">
      <c r="A217" s="111">
        <v>215</v>
      </c>
      <c r="B217" s="111">
        <f t="shared" si="6"/>
        <v>71</v>
      </c>
      <c r="C217" s="111">
        <f t="shared" si="7"/>
        <v>2</v>
      </c>
      <c r="D217" s="109" cm="1">
        <f t="array" ref="D217">INDEX('RelFlt-Map-1'!$H$7:$J$96,1+B217,C217)</f>
        <v>0</v>
      </c>
    </row>
    <row r="218" spans="1:4" x14ac:dyDescent="0.75">
      <c r="A218" s="111">
        <v>216</v>
      </c>
      <c r="B218" s="111">
        <f t="shared" si="6"/>
        <v>71</v>
      </c>
      <c r="C218" s="111">
        <f t="shared" si="7"/>
        <v>3</v>
      </c>
      <c r="D218" s="109" cm="1">
        <f t="array" ref="D218">INDEX('RelFlt-Map-1'!$H$7:$J$96,1+B218,C218)</f>
        <v>0</v>
      </c>
    </row>
    <row r="219" spans="1:4" x14ac:dyDescent="0.75">
      <c r="A219" s="111">
        <v>217</v>
      </c>
      <c r="B219" s="111">
        <f t="shared" si="6"/>
        <v>72</v>
      </c>
      <c r="C219" s="111">
        <f t="shared" si="7"/>
        <v>1</v>
      </c>
      <c r="D219" s="109" cm="1">
        <f t="array" ref="D219">INDEX('RelFlt-Map-1'!$H$7:$J$96,1+B219,C219)</f>
        <v>0</v>
      </c>
    </row>
    <row r="220" spans="1:4" x14ac:dyDescent="0.75">
      <c r="A220" s="111">
        <v>218</v>
      </c>
      <c r="B220" s="111">
        <f t="shared" si="6"/>
        <v>72</v>
      </c>
      <c r="C220" s="111">
        <f t="shared" si="7"/>
        <v>2</v>
      </c>
      <c r="D220" s="109" cm="1">
        <f t="array" ref="D220">INDEX('RelFlt-Map-1'!$H$7:$J$96,1+B220,C220)</f>
        <v>0</v>
      </c>
    </row>
    <row r="221" spans="1:4" x14ac:dyDescent="0.75">
      <c r="A221" s="111">
        <v>219</v>
      </c>
      <c r="B221" s="111">
        <f t="shared" si="6"/>
        <v>72</v>
      </c>
      <c r="C221" s="111">
        <f t="shared" si="7"/>
        <v>3</v>
      </c>
      <c r="D221" s="109" cm="1">
        <f t="array" ref="D221">INDEX('RelFlt-Map-1'!$H$7:$J$96,1+B221,C221)</f>
        <v>0</v>
      </c>
    </row>
    <row r="222" spans="1:4" x14ac:dyDescent="0.75">
      <c r="A222" s="111">
        <v>220</v>
      </c>
      <c r="B222" s="111">
        <f t="shared" si="6"/>
        <v>73</v>
      </c>
      <c r="C222" s="111">
        <f t="shared" si="7"/>
        <v>1</v>
      </c>
      <c r="D222" s="109" cm="1">
        <f t="array" ref="D222">INDEX('RelFlt-Map-1'!$H$7:$J$96,1+B222,C222)</f>
        <v>0</v>
      </c>
    </row>
    <row r="223" spans="1:4" x14ac:dyDescent="0.75">
      <c r="A223" s="111">
        <v>221</v>
      </c>
      <c r="B223" s="111">
        <f t="shared" si="6"/>
        <v>73</v>
      </c>
      <c r="C223" s="111">
        <f t="shared" si="7"/>
        <v>2</v>
      </c>
      <c r="D223" s="109" cm="1">
        <f t="array" ref="D223">INDEX('RelFlt-Map-1'!$H$7:$J$96,1+B223,C223)</f>
        <v>0</v>
      </c>
    </row>
    <row r="224" spans="1:4" x14ac:dyDescent="0.75">
      <c r="A224" s="111">
        <v>222</v>
      </c>
      <c r="B224" s="111">
        <f t="shared" si="6"/>
        <v>73</v>
      </c>
      <c r="C224" s="111">
        <f t="shared" si="7"/>
        <v>3</v>
      </c>
      <c r="D224" s="109" cm="1">
        <f t="array" ref="D224">INDEX('RelFlt-Map-1'!$H$7:$J$96,1+B224,C224)</f>
        <v>0</v>
      </c>
    </row>
    <row r="225" spans="1:4" x14ac:dyDescent="0.75">
      <c r="A225" s="111">
        <v>223</v>
      </c>
      <c r="B225" s="111">
        <f t="shared" si="6"/>
        <v>74</v>
      </c>
      <c r="C225" s="111">
        <f t="shared" si="7"/>
        <v>1</v>
      </c>
      <c r="D225" s="109" cm="1">
        <f t="array" ref="D225">INDEX('RelFlt-Map-1'!$H$7:$J$96,1+B225,C225)</f>
        <v>0</v>
      </c>
    </row>
    <row r="226" spans="1:4" x14ac:dyDescent="0.75">
      <c r="A226" s="111">
        <v>224</v>
      </c>
      <c r="B226" s="111">
        <f t="shared" si="6"/>
        <v>74</v>
      </c>
      <c r="C226" s="111">
        <f t="shared" si="7"/>
        <v>2</v>
      </c>
      <c r="D226" s="109" cm="1">
        <f t="array" ref="D226">INDEX('RelFlt-Map-1'!$H$7:$J$96,1+B226,C226)</f>
        <v>0</v>
      </c>
    </row>
    <row r="227" spans="1:4" x14ac:dyDescent="0.75">
      <c r="A227" s="111">
        <v>225</v>
      </c>
      <c r="B227" s="111">
        <f t="shared" si="6"/>
        <v>74</v>
      </c>
      <c r="C227" s="111">
        <f t="shared" si="7"/>
        <v>3</v>
      </c>
      <c r="D227" s="109" cm="1">
        <f t="array" ref="D227">INDEX('RelFlt-Map-1'!$H$7:$J$96,1+B227,C227)</f>
        <v>0</v>
      </c>
    </row>
    <row r="228" spans="1:4" x14ac:dyDescent="0.75">
      <c r="A228" s="111">
        <v>226</v>
      </c>
      <c r="B228" s="111">
        <f t="shared" si="6"/>
        <v>75</v>
      </c>
      <c r="C228" s="111">
        <f t="shared" si="7"/>
        <v>1</v>
      </c>
      <c r="D228" s="109" cm="1">
        <f t="array" ref="D228">INDEX('RelFlt-Map-1'!$H$7:$J$96,1+B228,C228)</f>
        <v>0</v>
      </c>
    </row>
    <row r="229" spans="1:4" x14ac:dyDescent="0.75">
      <c r="A229" s="111">
        <v>227</v>
      </c>
      <c r="B229" s="111">
        <f t="shared" si="6"/>
        <v>75</v>
      </c>
      <c r="C229" s="111">
        <f t="shared" si="7"/>
        <v>2</v>
      </c>
      <c r="D229" s="109" cm="1">
        <f t="array" ref="D229">INDEX('RelFlt-Map-1'!$H$7:$J$96,1+B229,C229)</f>
        <v>0</v>
      </c>
    </row>
    <row r="230" spans="1:4" x14ac:dyDescent="0.75">
      <c r="A230" s="111">
        <v>228</v>
      </c>
      <c r="B230" s="111">
        <f t="shared" si="6"/>
        <v>75</v>
      </c>
      <c r="C230" s="111">
        <f t="shared" si="7"/>
        <v>3</v>
      </c>
      <c r="D230" s="109" cm="1">
        <f t="array" ref="D230">INDEX('RelFlt-Map-1'!$H$7:$J$96,1+B230,C230)</f>
        <v>0</v>
      </c>
    </row>
    <row r="231" spans="1:4" x14ac:dyDescent="0.75">
      <c r="A231" s="111">
        <v>229</v>
      </c>
      <c r="B231" s="111">
        <f t="shared" si="6"/>
        <v>76</v>
      </c>
      <c r="C231" s="111">
        <f t="shared" si="7"/>
        <v>1</v>
      </c>
      <c r="D231" s="109" cm="1">
        <f t="array" ref="D231">INDEX('RelFlt-Map-1'!$H$7:$J$96,1+B231,C231)</f>
        <v>0</v>
      </c>
    </row>
    <row r="232" spans="1:4" x14ac:dyDescent="0.75">
      <c r="A232" s="111">
        <v>230</v>
      </c>
      <c r="B232" s="111">
        <f t="shared" si="6"/>
        <v>76</v>
      </c>
      <c r="C232" s="111">
        <f t="shared" si="7"/>
        <v>2</v>
      </c>
      <c r="D232" s="109" cm="1">
        <f t="array" ref="D232">INDEX('RelFlt-Map-1'!$H$7:$J$96,1+B232,C232)</f>
        <v>0</v>
      </c>
    </row>
    <row r="233" spans="1:4" x14ac:dyDescent="0.75">
      <c r="A233" s="111">
        <v>231</v>
      </c>
      <c r="B233" s="111">
        <f t="shared" si="6"/>
        <v>76</v>
      </c>
      <c r="C233" s="111">
        <f t="shared" si="7"/>
        <v>3</v>
      </c>
      <c r="D233" s="109" cm="1">
        <f t="array" ref="D233">INDEX('RelFlt-Map-1'!$H$7:$J$96,1+B233,C233)</f>
        <v>0</v>
      </c>
    </row>
    <row r="234" spans="1:4" x14ac:dyDescent="0.75">
      <c r="A234" s="111">
        <v>232</v>
      </c>
      <c r="B234" s="111">
        <f t="shared" si="6"/>
        <v>77</v>
      </c>
      <c r="C234" s="111">
        <f t="shared" si="7"/>
        <v>1</v>
      </c>
      <c r="D234" s="109" cm="1">
        <f t="array" ref="D234">INDEX('RelFlt-Map-1'!$H$7:$J$96,1+B234,C234)</f>
        <v>0</v>
      </c>
    </row>
    <row r="235" spans="1:4" x14ac:dyDescent="0.75">
      <c r="A235" s="111">
        <v>233</v>
      </c>
      <c r="B235" s="111">
        <f t="shared" si="6"/>
        <v>77</v>
      </c>
      <c r="C235" s="111">
        <f t="shared" si="7"/>
        <v>2</v>
      </c>
      <c r="D235" s="109" cm="1">
        <f t="array" ref="D235">INDEX('RelFlt-Map-1'!$H$7:$J$96,1+B235,C235)</f>
        <v>0</v>
      </c>
    </row>
    <row r="236" spans="1:4" x14ac:dyDescent="0.75">
      <c r="A236" s="111">
        <v>234</v>
      </c>
      <c r="B236" s="111">
        <f t="shared" si="6"/>
        <v>77</v>
      </c>
      <c r="C236" s="111">
        <f t="shared" si="7"/>
        <v>3</v>
      </c>
      <c r="D236" s="109" cm="1">
        <f t="array" ref="D236">INDEX('RelFlt-Map-1'!$H$7:$J$96,1+B236,C236)</f>
        <v>0</v>
      </c>
    </row>
    <row r="237" spans="1:4" x14ac:dyDescent="0.75">
      <c r="A237" s="111">
        <v>235</v>
      </c>
      <c r="B237" s="111">
        <f t="shared" si="6"/>
        <v>78</v>
      </c>
      <c r="C237" s="111">
        <f t="shared" si="7"/>
        <v>1</v>
      </c>
      <c r="D237" s="109" cm="1">
        <f t="array" ref="D237">INDEX('RelFlt-Map-1'!$H$7:$J$96,1+B237,C237)</f>
        <v>0</v>
      </c>
    </row>
    <row r="238" spans="1:4" x14ac:dyDescent="0.75">
      <c r="A238" s="111">
        <v>236</v>
      </c>
      <c r="B238" s="111">
        <f t="shared" si="6"/>
        <v>78</v>
      </c>
      <c r="C238" s="111">
        <f t="shared" si="7"/>
        <v>2</v>
      </c>
      <c r="D238" s="109" cm="1">
        <f t="array" ref="D238">INDEX('RelFlt-Map-1'!$H$7:$J$96,1+B238,C238)</f>
        <v>0</v>
      </c>
    </row>
    <row r="239" spans="1:4" x14ac:dyDescent="0.75">
      <c r="A239" s="111">
        <v>237</v>
      </c>
      <c r="B239" s="111">
        <f t="shared" si="6"/>
        <v>78</v>
      </c>
      <c r="C239" s="111">
        <f t="shared" si="7"/>
        <v>3</v>
      </c>
      <c r="D239" s="109" cm="1">
        <f t="array" ref="D239">INDEX('RelFlt-Map-1'!$H$7:$J$96,1+B239,C239)</f>
        <v>0</v>
      </c>
    </row>
    <row r="240" spans="1:4" x14ac:dyDescent="0.75">
      <c r="A240" s="111">
        <v>238</v>
      </c>
      <c r="B240" s="111">
        <f t="shared" si="6"/>
        <v>79</v>
      </c>
      <c r="C240" s="111">
        <f t="shared" si="7"/>
        <v>1</v>
      </c>
      <c r="D240" s="109" cm="1">
        <f t="array" ref="D240">INDEX('RelFlt-Map-1'!$H$7:$J$96,1+B240,C240)</f>
        <v>0</v>
      </c>
    </row>
    <row r="241" spans="1:4" x14ac:dyDescent="0.75">
      <c r="A241" s="111">
        <v>239</v>
      </c>
      <c r="B241" s="111">
        <f t="shared" si="6"/>
        <v>79</v>
      </c>
      <c r="C241" s="111">
        <f t="shared" si="7"/>
        <v>2</v>
      </c>
      <c r="D241" s="109" cm="1">
        <f t="array" ref="D241">INDEX('RelFlt-Map-1'!$H$7:$J$96,1+B241,C241)</f>
        <v>0</v>
      </c>
    </row>
    <row r="242" spans="1:4" x14ac:dyDescent="0.75">
      <c r="A242" s="111">
        <v>240</v>
      </c>
      <c r="B242" s="111">
        <f t="shared" si="6"/>
        <v>79</v>
      </c>
      <c r="C242" s="111">
        <f t="shared" si="7"/>
        <v>3</v>
      </c>
      <c r="D242" s="109" cm="1">
        <f t="array" ref="D242">INDEX('RelFlt-Map-1'!$H$7:$J$96,1+B242,C242)</f>
        <v>0</v>
      </c>
    </row>
    <row r="243" spans="1:4" x14ac:dyDescent="0.75">
      <c r="A243" s="111">
        <v>241</v>
      </c>
      <c r="B243" s="111">
        <f t="shared" si="6"/>
        <v>80</v>
      </c>
      <c r="C243" s="111">
        <f t="shared" si="7"/>
        <v>1</v>
      </c>
      <c r="D243" s="109" cm="1">
        <f t="array" ref="D243">INDEX('RelFlt-Map-1'!$H$7:$J$96,1+B243,C243)</f>
        <v>0</v>
      </c>
    </row>
    <row r="244" spans="1:4" x14ac:dyDescent="0.75">
      <c r="A244" s="111">
        <v>242</v>
      </c>
      <c r="B244" s="111">
        <f t="shared" si="6"/>
        <v>80</v>
      </c>
      <c r="C244" s="111">
        <f t="shared" si="7"/>
        <v>2</v>
      </c>
      <c r="D244" s="109" cm="1">
        <f t="array" ref="D244">INDEX('RelFlt-Map-1'!$H$7:$J$96,1+B244,C244)</f>
        <v>0</v>
      </c>
    </row>
    <row r="245" spans="1:4" x14ac:dyDescent="0.75">
      <c r="A245" s="111">
        <v>243</v>
      </c>
      <c r="B245" s="111">
        <f t="shared" si="6"/>
        <v>80</v>
      </c>
      <c r="C245" s="111">
        <f t="shared" si="7"/>
        <v>3</v>
      </c>
      <c r="D245" s="109" cm="1">
        <f t="array" ref="D245">INDEX('RelFlt-Map-1'!$H$7:$J$96,1+B245,C245)</f>
        <v>0</v>
      </c>
    </row>
    <row r="246" spans="1:4" x14ac:dyDescent="0.75">
      <c r="A246" s="111">
        <v>244</v>
      </c>
      <c r="B246" s="111">
        <f t="shared" si="6"/>
        <v>81</v>
      </c>
      <c r="C246" s="111">
        <f t="shared" si="7"/>
        <v>1</v>
      </c>
      <c r="D246" s="109" cm="1">
        <f t="array" ref="D246">INDEX('RelFlt-Map-1'!$H$7:$J$96,1+B246,C246)</f>
        <v>0</v>
      </c>
    </row>
    <row r="247" spans="1:4" x14ac:dyDescent="0.75">
      <c r="A247" s="111">
        <v>245</v>
      </c>
      <c r="B247" s="111">
        <f t="shared" si="6"/>
        <v>81</v>
      </c>
      <c r="C247" s="111">
        <f t="shared" si="7"/>
        <v>2</v>
      </c>
      <c r="D247" s="109" cm="1">
        <f t="array" ref="D247">INDEX('RelFlt-Map-1'!$H$7:$J$96,1+B247,C247)</f>
        <v>0</v>
      </c>
    </row>
    <row r="248" spans="1:4" x14ac:dyDescent="0.75">
      <c r="A248" s="111">
        <v>246</v>
      </c>
      <c r="B248" s="111">
        <f t="shared" si="6"/>
        <v>81</v>
      </c>
      <c r="C248" s="111">
        <f t="shared" si="7"/>
        <v>3</v>
      </c>
      <c r="D248" s="109" cm="1">
        <f t="array" ref="D248">INDEX('RelFlt-Map-1'!$H$7:$J$96,1+B248,C248)</f>
        <v>0</v>
      </c>
    </row>
    <row r="249" spans="1:4" x14ac:dyDescent="0.75">
      <c r="A249" s="111">
        <v>247</v>
      </c>
      <c r="B249" s="111">
        <f t="shared" si="6"/>
        <v>82</v>
      </c>
      <c r="C249" s="111">
        <f t="shared" si="7"/>
        <v>1</v>
      </c>
      <c r="D249" s="109" cm="1">
        <f t="array" ref="D249">INDEX('RelFlt-Map-1'!$H$7:$J$96,1+B249,C249)</f>
        <v>0</v>
      </c>
    </row>
    <row r="250" spans="1:4" x14ac:dyDescent="0.75">
      <c r="A250" s="111">
        <v>248</v>
      </c>
      <c r="B250" s="111">
        <f t="shared" si="6"/>
        <v>82</v>
      </c>
      <c r="C250" s="111">
        <f t="shared" si="7"/>
        <v>2</v>
      </c>
      <c r="D250" s="109" cm="1">
        <f t="array" ref="D250">INDEX('RelFlt-Map-1'!$H$7:$J$96,1+B250,C250)</f>
        <v>0</v>
      </c>
    </row>
    <row r="251" spans="1:4" x14ac:dyDescent="0.75">
      <c r="A251" s="111">
        <v>249</v>
      </c>
      <c r="B251" s="111">
        <f t="shared" si="6"/>
        <v>82</v>
      </c>
      <c r="C251" s="111">
        <f t="shared" si="7"/>
        <v>3</v>
      </c>
      <c r="D251" s="109" cm="1">
        <f t="array" ref="D251">INDEX('RelFlt-Map-1'!$H$7:$J$96,1+B251,C251)</f>
        <v>0</v>
      </c>
    </row>
    <row r="252" spans="1:4" x14ac:dyDescent="0.75">
      <c r="A252" s="111">
        <v>250</v>
      </c>
      <c r="B252" s="111">
        <f t="shared" si="6"/>
        <v>83</v>
      </c>
      <c r="C252" s="111">
        <f t="shared" si="7"/>
        <v>1</v>
      </c>
      <c r="D252" s="109" cm="1">
        <f t="array" ref="D252">INDEX('RelFlt-Map-1'!$H$7:$J$96,1+B252,C252)</f>
        <v>0</v>
      </c>
    </row>
    <row r="253" spans="1:4" x14ac:dyDescent="0.75">
      <c r="A253" s="111">
        <v>251</v>
      </c>
      <c r="B253" s="111">
        <f t="shared" si="6"/>
        <v>83</v>
      </c>
      <c r="C253" s="111">
        <f t="shared" si="7"/>
        <v>2</v>
      </c>
      <c r="D253" s="109" cm="1">
        <f t="array" ref="D253">INDEX('RelFlt-Map-1'!$H$7:$J$96,1+B253,C253)</f>
        <v>0</v>
      </c>
    </row>
    <row r="254" spans="1:4" x14ac:dyDescent="0.75">
      <c r="A254" s="111">
        <v>252</v>
      </c>
      <c r="B254" s="111">
        <f t="shared" si="6"/>
        <v>83</v>
      </c>
      <c r="C254" s="111">
        <f t="shared" si="7"/>
        <v>3</v>
      </c>
      <c r="D254" s="109" cm="1">
        <f t="array" ref="D254">INDEX('RelFlt-Map-1'!$H$7:$J$96,1+B254,C254)</f>
        <v>0</v>
      </c>
    </row>
    <row r="255" spans="1:4" x14ac:dyDescent="0.75">
      <c r="A255" s="111">
        <v>253</v>
      </c>
      <c r="B255" s="111">
        <f t="shared" si="6"/>
        <v>84</v>
      </c>
      <c r="C255" s="111">
        <f t="shared" si="7"/>
        <v>1</v>
      </c>
      <c r="D255" s="109" cm="1">
        <f t="array" ref="D255">INDEX('RelFlt-Map-1'!$H$7:$J$96,1+B255,C255)</f>
        <v>0</v>
      </c>
    </row>
    <row r="256" spans="1:4" x14ac:dyDescent="0.75">
      <c r="A256" s="111">
        <v>254</v>
      </c>
      <c r="B256" s="111">
        <f t="shared" si="6"/>
        <v>84</v>
      </c>
      <c r="C256" s="111">
        <f t="shared" si="7"/>
        <v>2</v>
      </c>
      <c r="D256" s="109" cm="1">
        <f t="array" ref="D256">INDEX('RelFlt-Map-1'!$H$7:$J$96,1+B256,C256)</f>
        <v>0</v>
      </c>
    </row>
    <row r="257" spans="1:4" x14ac:dyDescent="0.75">
      <c r="A257" s="111">
        <v>255</v>
      </c>
      <c r="B257" s="111">
        <f t="shared" si="6"/>
        <v>84</v>
      </c>
      <c r="C257" s="111">
        <f t="shared" si="7"/>
        <v>3</v>
      </c>
      <c r="D257" s="109" cm="1">
        <f t="array" ref="D257">INDEX('RelFlt-Map-1'!$H$7:$J$96,1+B257,C257)</f>
        <v>0</v>
      </c>
    </row>
    <row r="258" spans="1:4" x14ac:dyDescent="0.75">
      <c r="A258" s="111">
        <v>256</v>
      </c>
      <c r="B258" s="111">
        <f t="shared" si="6"/>
        <v>85</v>
      </c>
      <c r="C258" s="111">
        <f t="shared" si="7"/>
        <v>1</v>
      </c>
      <c r="D258" s="109" cm="1">
        <f t="array" ref="D258">INDEX('RelFlt-Map-1'!$H$7:$J$96,1+B258,C258)</f>
        <v>0</v>
      </c>
    </row>
    <row r="259" spans="1:4" x14ac:dyDescent="0.75">
      <c r="A259" s="111">
        <v>257</v>
      </c>
      <c r="B259" s="111">
        <f t="shared" si="6"/>
        <v>85</v>
      </c>
      <c r="C259" s="111">
        <f t="shared" si="7"/>
        <v>2</v>
      </c>
      <c r="D259" s="109" cm="1">
        <f t="array" ref="D259">INDEX('RelFlt-Map-1'!$H$7:$J$96,1+B259,C259)</f>
        <v>0</v>
      </c>
    </row>
    <row r="260" spans="1:4" x14ac:dyDescent="0.75">
      <c r="A260" s="111">
        <v>258</v>
      </c>
      <c r="B260" s="111">
        <f t="shared" ref="B260:B323" si="8">IF(MOD(A260,3)=0,A260/3-1,INT(A260/3))</f>
        <v>85</v>
      </c>
      <c r="C260" s="111">
        <f t="shared" ref="C260:C323" si="9">IF(MOD(A260,3)=0,3,MOD(A260,3))</f>
        <v>3</v>
      </c>
      <c r="D260" s="109" cm="1">
        <f t="array" ref="D260">INDEX('RelFlt-Map-1'!$H$7:$J$96,1+B260,C260)</f>
        <v>0</v>
      </c>
    </row>
    <row r="261" spans="1:4" x14ac:dyDescent="0.75">
      <c r="A261" s="111">
        <v>259</v>
      </c>
      <c r="B261" s="111">
        <f t="shared" si="8"/>
        <v>86</v>
      </c>
      <c r="C261" s="111">
        <f t="shared" si="9"/>
        <v>1</v>
      </c>
      <c r="D261" s="109" cm="1">
        <f t="array" ref="D261">INDEX('RelFlt-Map-1'!$H$7:$J$96,1+B261,C261)</f>
        <v>0</v>
      </c>
    </row>
    <row r="262" spans="1:4" x14ac:dyDescent="0.75">
      <c r="A262" s="111">
        <v>260</v>
      </c>
      <c r="B262" s="111">
        <f t="shared" si="8"/>
        <v>86</v>
      </c>
      <c r="C262" s="111">
        <f t="shared" si="9"/>
        <v>2</v>
      </c>
      <c r="D262" s="109" cm="1">
        <f t="array" ref="D262">INDEX('RelFlt-Map-1'!$H$7:$J$96,1+B262,C262)</f>
        <v>0</v>
      </c>
    </row>
    <row r="263" spans="1:4" x14ac:dyDescent="0.75">
      <c r="A263" s="111">
        <v>261</v>
      </c>
      <c r="B263" s="111">
        <f t="shared" si="8"/>
        <v>86</v>
      </c>
      <c r="C263" s="111">
        <f t="shared" si="9"/>
        <v>3</v>
      </c>
      <c r="D263" s="109" cm="1">
        <f t="array" ref="D263">INDEX('RelFlt-Map-1'!$H$7:$J$96,1+B263,C263)</f>
        <v>0</v>
      </c>
    </row>
    <row r="264" spans="1:4" x14ac:dyDescent="0.75">
      <c r="A264" s="111">
        <v>262</v>
      </c>
      <c r="B264" s="111">
        <f t="shared" si="8"/>
        <v>87</v>
      </c>
      <c r="C264" s="111">
        <f t="shared" si="9"/>
        <v>1</v>
      </c>
      <c r="D264" s="109" cm="1">
        <f t="array" ref="D264">INDEX('RelFlt-Map-1'!$H$7:$J$96,1+B264,C264)</f>
        <v>0</v>
      </c>
    </row>
    <row r="265" spans="1:4" x14ac:dyDescent="0.75">
      <c r="A265" s="111">
        <v>263</v>
      </c>
      <c r="B265" s="111">
        <f t="shared" si="8"/>
        <v>87</v>
      </c>
      <c r="C265" s="111">
        <f t="shared" si="9"/>
        <v>2</v>
      </c>
      <c r="D265" s="109" cm="1">
        <f t="array" ref="D265">INDEX('RelFlt-Map-1'!$H$7:$J$96,1+B265,C265)</f>
        <v>0</v>
      </c>
    </row>
    <row r="266" spans="1:4" x14ac:dyDescent="0.75">
      <c r="A266" s="111">
        <v>264</v>
      </c>
      <c r="B266" s="111">
        <f t="shared" si="8"/>
        <v>87</v>
      </c>
      <c r="C266" s="111">
        <f t="shared" si="9"/>
        <v>3</v>
      </c>
      <c r="D266" s="109" cm="1">
        <f t="array" ref="D266">INDEX('RelFlt-Map-1'!$H$7:$J$96,1+B266,C266)</f>
        <v>0</v>
      </c>
    </row>
    <row r="267" spans="1:4" x14ac:dyDescent="0.75">
      <c r="A267" s="111">
        <v>265</v>
      </c>
      <c r="B267" s="111">
        <f t="shared" si="8"/>
        <v>88</v>
      </c>
      <c r="C267" s="111">
        <f t="shared" si="9"/>
        <v>1</v>
      </c>
      <c r="D267" s="109" cm="1">
        <f t="array" ref="D267">INDEX('RelFlt-Map-1'!$H$7:$J$96,1+B267,C267)</f>
        <v>0</v>
      </c>
    </row>
    <row r="268" spans="1:4" x14ac:dyDescent="0.75">
      <c r="A268" s="111">
        <v>266</v>
      </c>
      <c r="B268" s="111">
        <f t="shared" si="8"/>
        <v>88</v>
      </c>
      <c r="C268" s="111">
        <f t="shared" si="9"/>
        <v>2</v>
      </c>
      <c r="D268" s="109" cm="1">
        <f t="array" ref="D268">INDEX('RelFlt-Map-1'!$H$7:$J$96,1+B268,C268)</f>
        <v>0</v>
      </c>
    </row>
    <row r="269" spans="1:4" x14ac:dyDescent="0.75">
      <c r="A269" s="111">
        <v>267</v>
      </c>
      <c r="B269" s="111">
        <f t="shared" si="8"/>
        <v>88</v>
      </c>
      <c r="C269" s="111">
        <f t="shared" si="9"/>
        <v>3</v>
      </c>
      <c r="D269" s="109" cm="1">
        <f t="array" ref="D269">INDEX('RelFlt-Map-1'!$H$7:$J$96,1+B269,C269)</f>
        <v>0</v>
      </c>
    </row>
    <row r="270" spans="1:4" x14ac:dyDescent="0.75">
      <c r="A270" s="111">
        <v>268</v>
      </c>
      <c r="B270" s="111">
        <f t="shared" si="8"/>
        <v>89</v>
      </c>
      <c r="C270" s="111">
        <f t="shared" si="9"/>
        <v>1</v>
      </c>
      <c r="D270" s="109" cm="1">
        <f t="array" ref="D270">INDEX('RelFlt-Map-1'!$H$7:$J$96,1+B270,C270)</f>
        <v>0</v>
      </c>
    </row>
    <row r="271" spans="1:4" x14ac:dyDescent="0.75">
      <c r="A271" s="111">
        <v>269</v>
      </c>
      <c r="B271" s="111">
        <f t="shared" si="8"/>
        <v>89</v>
      </c>
      <c r="C271" s="111">
        <f t="shared" si="9"/>
        <v>2</v>
      </c>
      <c r="D271" s="109" cm="1">
        <f t="array" ref="D271">INDEX('RelFlt-Map-1'!$H$7:$J$96,1+B271,C271)</f>
        <v>0</v>
      </c>
    </row>
    <row r="272" spans="1:4" x14ac:dyDescent="0.75">
      <c r="A272" s="111">
        <v>270</v>
      </c>
      <c r="B272" s="111">
        <f t="shared" si="8"/>
        <v>89</v>
      </c>
      <c r="C272" s="111">
        <f t="shared" si="9"/>
        <v>3</v>
      </c>
      <c r="D272" s="109" cm="1">
        <f t="array" ref="D272">INDEX('RelFlt-Map-1'!$H$7:$J$96,1+B272,C272)</f>
        <v>0</v>
      </c>
    </row>
    <row r="273" spans="1:4" x14ac:dyDescent="0.75">
      <c r="A273" s="111">
        <v>271</v>
      </c>
      <c r="B273" s="111">
        <f t="shared" si="8"/>
        <v>90</v>
      </c>
      <c r="C273" s="111">
        <f t="shared" si="9"/>
        <v>1</v>
      </c>
      <c r="D273" s="109" t="e" cm="1">
        <f t="array" ref="D273">INDEX('RelFlt-Map-1'!$H$7:$J$96,1+B273,C273)</f>
        <v>#REF!</v>
      </c>
    </row>
    <row r="274" spans="1:4" x14ac:dyDescent="0.75">
      <c r="A274" s="111">
        <v>272</v>
      </c>
      <c r="B274" s="111">
        <f t="shared" si="8"/>
        <v>90</v>
      </c>
      <c r="C274" s="111">
        <f t="shared" si="9"/>
        <v>2</v>
      </c>
      <c r="D274" s="109" t="e" cm="1">
        <f t="array" ref="D274">INDEX('RelFlt-Map-1'!$H$7:$J$96,1+B274,C274)</f>
        <v>#REF!</v>
      </c>
    </row>
    <row r="275" spans="1:4" x14ac:dyDescent="0.75">
      <c r="A275" s="111">
        <v>273</v>
      </c>
      <c r="B275" s="111">
        <f t="shared" si="8"/>
        <v>90</v>
      </c>
      <c r="C275" s="111">
        <f t="shared" si="9"/>
        <v>3</v>
      </c>
      <c r="D275" s="109" t="e" cm="1">
        <f t="array" ref="D275">INDEX('RelFlt-Map-1'!$H$7:$J$96,1+B275,C275)</f>
        <v>#REF!</v>
      </c>
    </row>
    <row r="276" spans="1:4" x14ac:dyDescent="0.75">
      <c r="A276" s="111">
        <v>274</v>
      </c>
      <c r="B276" s="111">
        <f t="shared" si="8"/>
        <v>91</v>
      </c>
      <c r="C276" s="111">
        <f t="shared" si="9"/>
        <v>1</v>
      </c>
      <c r="D276" s="109" t="e" cm="1">
        <f t="array" ref="D276">INDEX('RelFlt-Map-1'!$H$7:$J$96,1+B276,C276)</f>
        <v>#REF!</v>
      </c>
    </row>
    <row r="277" spans="1:4" x14ac:dyDescent="0.75">
      <c r="A277" s="111">
        <v>275</v>
      </c>
      <c r="B277" s="111">
        <f t="shared" si="8"/>
        <v>91</v>
      </c>
      <c r="C277" s="111">
        <f t="shared" si="9"/>
        <v>2</v>
      </c>
      <c r="D277" s="109" t="e" cm="1">
        <f t="array" ref="D277">INDEX('RelFlt-Map-1'!$H$7:$J$96,1+B277,C277)</f>
        <v>#REF!</v>
      </c>
    </row>
    <row r="278" spans="1:4" x14ac:dyDescent="0.75">
      <c r="A278" s="111">
        <v>276</v>
      </c>
      <c r="B278" s="111">
        <f t="shared" si="8"/>
        <v>91</v>
      </c>
      <c r="C278" s="111">
        <f t="shared" si="9"/>
        <v>3</v>
      </c>
      <c r="D278" s="109" t="e" cm="1">
        <f t="array" ref="D278">INDEX('RelFlt-Map-1'!$H$7:$J$96,1+B278,C278)</f>
        <v>#REF!</v>
      </c>
    </row>
    <row r="279" spans="1:4" x14ac:dyDescent="0.75">
      <c r="A279" s="111">
        <v>277</v>
      </c>
      <c r="B279" s="111">
        <f t="shared" si="8"/>
        <v>92</v>
      </c>
      <c r="C279" s="111">
        <f t="shared" si="9"/>
        <v>1</v>
      </c>
      <c r="D279" s="109" t="e" cm="1">
        <f t="array" ref="D279">INDEX('RelFlt-Map-1'!$H$7:$J$96,1+B279,C279)</f>
        <v>#REF!</v>
      </c>
    </row>
    <row r="280" spans="1:4" x14ac:dyDescent="0.75">
      <c r="A280" s="111">
        <v>278</v>
      </c>
      <c r="B280" s="111">
        <f t="shared" si="8"/>
        <v>92</v>
      </c>
      <c r="C280" s="111">
        <f t="shared" si="9"/>
        <v>2</v>
      </c>
      <c r="D280" s="109" t="e" cm="1">
        <f t="array" ref="D280">INDEX('RelFlt-Map-1'!$H$7:$J$96,1+B280,C280)</f>
        <v>#REF!</v>
      </c>
    </row>
    <row r="281" spans="1:4" x14ac:dyDescent="0.75">
      <c r="A281" s="111">
        <v>279</v>
      </c>
      <c r="B281" s="111">
        <f t="shared" si="8"/>
        <v>92</v>
      </c>
      <c r="C281" s="111">
        <f t="shared" si="9"/>
        <v>3</v>
      </c>
      <c r="D281" s="109" t="e" cm="1">
        <f t="array" ref="D281">INDEX('RelFlt-Map-1'!$H$7:$J$96,1+B281,C281)</f>
        <v>#REF!</v>
      </c>
    </row>
    <row r="282" spans="1:4" x14ac:dyDescent="0.75">
      <c r="A282" s="111">
        <v>280</v>
      </c>
      <c r="B282" s="111">
        <f t="shared" si="8"/>
        <v>93</v>
      </c>
      <c r="C282" s="111">
        <f t="shared" si="9"/>
        <v>1</v>
      </c>
      <c r="D282" s="109" t="e" cm="1">
        <f t="array" ref="D282">INDEX('RelFlt-Map-1'!$H$7:$J$96,1+B282,C282)</f>
        <v>#REF!</v>
      </c>
    </row>
    <row r="283" spans="1:4" x14ac:dyDescent="0.75">
      <c r="A283" s="111">
        <v>281</v>
      </c>
      <c r="B283" s="111">
        <f t="shared" si="8"/>
        <v>93</v>
      </c>
      <c r="C283" s="111">
        <f t="shared" si="9"/>
        <v>2</v>
      </c>
      <c r="D283" s="109" t="e" cm="1">
        <f t="array" ref="D283">INDEX('RelFlt-Map-1'!$H$7:$J$96,1+B283,C283)</f>
        <v>#REF!</v>
      </c>
    </row>
    <row r="284" spans="1:4" x14ac:dyDescent="0.75">
      <c r="A284" s="111">
        <v>282</v>
      </c>
      <c r="B284" s="111">
        <f t="shared" si="8"/>
        <v>93</v>
      </c>
      <c r="C284" s="111">
        <f t="shared" si="9"/>
        <v>3</v>
      </c>
      <c r="D284" s="109" t="e" cm="1">
        <f t="array" ref="D284">INDEX('RelFlt-Map-1'!$H$7:$J$96,1+B284,C284)</f>
        <v>#REF!</v>
      </c>
    </row>
    <row r="285" spans="1:4" x14ac:dyDescent="0.75">
      <c r="A285" s="111">
        <v>283</v>
      </c>
      <c r="B285" s="111">
        <f t="shared" si="8"/>
        <v>94</v>
      </c>
      <c r="C285" s="111">
        <f t="shared" si="9"/>
        <v>1</v>
      </c>
      <c r="D285" s="109" t="e" cm="1">
        <f t="array" ref="D285">INDEX('RelFlt-Map-1'!$H$7:$J$96,1+B285,C285)</f>
        <v>#REF!</v>
      </c>
    </row>
    <row r="286" spans="1:4" x14ac:dyDescent="0.75">
      <c r="A286" s="111">
        <v>284</v>
      </c>
      <c r="B286" s="111">
        <f t="shared" si="8"/>
        <v>94</v>
      </c>
      <c r="C286" s="111">
        <f t="shared" si="9"/>
        <v>2</v>
      </c>
      <c r="D286" s="109" t="e" cm="1">
        <f t="array" ref="D286">INDEX('RelFlt-Map-1'!$H$7:$J$96,1+B286,C286)</f>
        <v>#REF!</v>
      </c>
    </row>
    <row r="287" spans="1:4" x14ac:dyDescent="0.75">
      <c r="A287" s="111">
        <v>285</v>
      </c>
      <c r="B287" s="111">
        <f t="shared" si="8"/>
        <v>94</v>
      </c>
      <c r="C287" s="111">
        <f t="shared" si="9"/>
        <v>3</v>
      </c>
      <c r="D287" s="109" t="e" cm="1">
        <f t="array" ref="D287">INDEX('RelFlt-Map-1'!$H$7:$J$96,1+B287,C287)</f>
        <v>#REF!</v>
      </c>
    </row>
    <row r="288" spans="1:4" x14ac:dyDescent="0.75">
      <c r="A288" s="111">
        <v>286</v>
      </c>
      <c r="B288" s="111">
        <f t="shared" si="8"/>
        <v>95</v>
      </c>
      <c r="C288" s="111">
        <f t="shared" si="9"/>
        <v>1</v>
      </c>
      <c r="D288" s="109" t="e" cm="1">
        <f t="array" ref="D288">INDEX('RelFlt-Map-1'!$H$7:$J$96,1+B288,C288)</f>
        <v>#REF!</v>
      </c>
    </row>
    <row r="289" spans="1:4" x14ac:dyDescent="0.75">
      <c r="A289" s="111">
        <v>287</v>
      </c>
      <c r="B289" s="111">
        <f t="shared" si="8"/>
        <v>95</v>
      </c>
      <c r="C289" s="111">
        <f t="shared" si="9"/>
        <v>2</v>
      </c>
      <c r="D289" s="109" t="e" cm="1">
        <f t="array" ref="D289">INDEX('RelFlt-Map-1'!$H$7:$J$96,1+B289,C289)</f>
        <v>#REF!</v>
      </c>
    </row>
    <row r="290" spans="1:4" x14ac:dyDescent="0.75">
      <c r="A290" s="111">
        <v>288</v>
      </c>
      <c r="B290" s="111">
        <f t="shared" si="8"/>
        <v>95</v>
      </c>
      <c r="C290" s="111">
        <f t="shared" si="9"/>
        <v>3</v>
      </c>
      <c r="D290" s="109" t="e" cm="1">
        <f t="array" ref="D290">INDEX('RelFlt-Map-1'!$H$7:$J$96,1+B290,C290)</f>
        <v>#REF!</v>
      </c>
    </row>
    <row r="291" spans="1:4" x14ac:dyDescent="0.75">
      <c r="A291" s="111">
        <v>289</v>
      </c>
      <c r="B291" s="111">
        <f t="shared" si="8"/>
        <v>96</v>
      </c>
      <c r="C291" s="111">
        <f t="shared" si="9"/>
        <v>1</v>
      </c>
      <c r="D291" s="109" t="e" cm="1">
        <f t="array" ref="D291">INDEX('RelFlt-Map-1'!$H$7:$J$96,1+B291,C291)</f>
        <v>#REF!</v>
      </c>
    </row>
    <row r="292" spans="1:4" x14ac:dyDescent="0.75">
      <c r="A292" s="111">
        <v>290</v>
      </c>
      <c r="B292" s="111">
        <f t="shared" si="8"/>
        <v>96</v>
      </c>
      <c r="C292" s="111">
        <f t="shared" si="9"/>
        <v>2</v>
      </c>
      <c r="D292" s="109" t="e" cm="1">
        <f t="array" ref="D292">INDEX('RelFlt-Map-1'!$H$7:$J$96,1+B292,C292)</f>
        <v>#REF!</v>
      </c>
    </row>
    <row r="293" spans="1:4" x14ac:dyDescent="0.75">
      <c r="A293" s="111">
        <v>291</v>
      </c>
      <c r="B293" s="111">
        <f t="shared" si="8"/>
        <v>96</v>
      </c>
      <c r="C293" s="111">
        <f t="shared" si="9"/>
        <v>3</v>
      </c>
      <c r="D293" s="109" t="e" cm="1">
        <f t="array" ref="D293">INDEX('RelFlt-Map-1'!$H$7:$J$96,1+B293,C293)</f>
        <v>#REF!</v>
      </c>
    </row>
    <row r="294" spans="1:4" x14ac:dyDescent="0.75">
      <c r="A294" s="111">
        <v>292</v>
      </c>
      <c r="B294" s="111">
        <f t="shared" si="8"/>
        <v>97</v>
      </c>
      <c r="C294" s="111">
        <f t="shared" si="9"/>
        <v>1</v>
      </c>
      <c r="D294" s="109" t="e" cm="1">
        <f t="array" ref="D294">INDEX('RelFlt-Map-1'!$H$7:$J$96,1+B294,C294)</f>
        <v>#REF!</v>
      </c>
    </row>
    <row r="295" spans="1:4" x14ac:dyDescent="0.75">
      <c r="A295" s="111">
        <v>293</v>
      </c>
      <c r="B295" s="111">
        <f t="shared" si="8"/>
        <v>97</v>
      </c>
      <c r="C295" s="111">
        <f t="shared" si="9"/>
        <v>2</v>
      </c>
      <c r="D295" s="109" t="e" cm="1">
        <f t="array" ref="D295">INDEX('RelFlt-Map-1'!$H$7:$J$96,1+B295,C295)</f>
        <v>#REF!</v>
      </c>
    </row>
    <row r="296" spans="1:4" x14ac:dyDescent="0.75">
      <c r="A296" s="111">
        <v>294</v>
      </c>
      <c r="B296" s="111">
        <f t="shared" si="8"/>
        <v>97</v>
      </c>
      <c r="C296" s="111">
        <f t="shared" si="9"/>
        <v>3</v>
      </c>
      <c r="D296" s="109" t="e" cm="1">
        <f t="array" ref="D296">INDEX('RelFlt-Map-1'!$H$7:$J$96,1+B296,C296)</f>
        <v>#REF!</v>
      </c>
    </row>
    <row r="297" spans="1:4" x14ac:dyDescent="0.75">
      <c r="A297" s="111">
        <v>295</v>
      </c>
      <c r="B297" s="111">
        <f t="shared" si="8"/>
        <v>98</v>
      </c>
      <c r="C297" s="111">
        <f t="shared" si="9"/>
        <v>1</v>
      </c>
      <c r="D297" s="109" t="e" cm="1">
        <f t="array" ref="D297">INDEX('RelFlt-Map-1'!$H$7:$J$96,1+B297,C297)</f>
        <v>#REF!</v>
      </c>
    </row>
    <row r="298" spans="1:4" x14ac:dyDescent="0.75">
      <c r="A298" s="111">
        <v>296</v>
      </c>
      <c r="B298" s="111">
        <f t="shared" si="8"/>
        <v>98</v>
      </c>
      <c r="C298" s="111">
        <f t="shared" si="9"/>
        <v>2</v>
      </c>
      <c r="D298" s="109" t="e" cm="1">
        <f t="array" ref="D298">INDEX('RelFlt-Map-1'!$H$7:$J$96,1+B298,C298)</f>
        <v>#REF!</v>
      </c>
    </row>
    <row r="299" spans="1:4" x14ac:dyDescent="0.75">
      <c r="A299" s="111">
        <v>297</v>
      </c>
      <c r="B299" s="111">
        <f t="shared" si="8"/>
        <v>98</v>
      </c>
      <c r="C299" s="111">
        <f t="shared" si="9"/>
        <v>3</v>
      </c>
      <c r="D299" s="109" t="e" cm="1">
        <f t="array" ref="D299">INDEX('RelFlt-Map-1'!$H$7:$J$96,1+B299,C299)</f>
        <v>#REF!</v>
      </c>
    </row>
    <row r="300" spans="1:4" x14ac:dyDescent="0.75">
      <c r="A300" s="111">
        <v>298</v>
      </c>
      <c r="B300" s="111">
        <f t="shared" si="8"/>
        <v>99</v>
      </c>
      <c r="C300" s="111">
        <f t="shared" si="9"/>
        <v>1</v>
      </c>
      <c r="D300" s="109" t="e" cm="1">
        <f t="array" ref="D300">INDEX('RelFlt-Map-1'!$H$7:$J$96,1+B300,C300)</f>
        <v>#REF!</v>
      </c>
    </row>
    <row r="301" spans="1:4" x14ac:dyDescent="0.75">
      <c r="A301" s="111">
        <v>299</v>
      </c>
      <c r="B301" s="111">
        <f t="shared" si="8"/>
        <v>99</v>
      </c>
      <c r="C301" s="111">
        <f t="shared" si="9"/>
        <v>2</v>
      </c>
      <c r="D301" s="109" t="e" cm="1">
        <f t="array" ref="D301">INDEX('RelFlt-Map-1'!$H$7:$J$96,1+B301,C301)</f>
        <v>#REF!</v>
      </c>
    </row>
    <row r="302" spans="1:4" x14ac:dyDescent="0.75">
      <c r="A302" s="111">
        <v>300</v>
      </c>
      <c r="B302" s="111">
        <f t="shared" si="8"/>
        <v>99</v>
      </c>
      <c r="C302" s="111">
        <f t="shared" si="9"/>
        <v>3</v>
      </c>
      <c r="D302" s="109" t="e" cm="1">
        <f t="array" ref="D302">INDEX('RelFlt-Map-1'!$H$7:$J$96,1+B302,C302)</f>
        <v>#REF!</v>
      </c>
    </row>
    <row r="303" spans="1:4" x14ac:dyDescent="0.75">
      <c r="A303" s="111">
        <v>301</v>
      </c>
      <c r="B303" s="111">
        <f t="shared" si="8"/>
        <v>100</v>
      </c>
      <c r="C303" s="111">
        <f t="shared" si="9"/>
        <v>1</v>
      </c>
      <c r="D303" s="109" t="e" cm="1">
        <f t="array" ref="D303">INDEX('RelFlt-Map-1'!$H$7:$J$96,1+B303,C303)</f>
        <v>#REF!</v>
      </c>
    </row>
    <row r="304" spans="1:4" x14ac:dyDescent="0.75">
      <c r="A304" s="111">
        <v>302</v>
      </c>
      <c r="B304" s="111">
        <f t="shared" si="8"/>
        <v>100</v>
      </c>
      <c r="C304" s="111">
        <f t="shared" si="9"/>
        <v>2</v>
      </c>
      <c r="D304" s="109" t="e" cm="1">
        <f t="array" ref="D304">INDEX('RelFlt-Map-1'!$H$7:$J$96,1+B304,C304)</f>
        <v>#REF!</v>
      </c>
    </row>
    <row r="305" spans="1:4" x14ac:dyDescent="0.75">
      <c r="A305" s="111">
        <v>303</v>
      </c>
      <c r="B305" s="111">
        <f t="shared" si="8"/>
        <v>100</v>
      </c>
      <c r="C305" s="111">
        <f t="shared" si="9"/>
        <v>3</v>
      </c>
      <c r="D305" s="109" t="e" cm="1">
        <f t="array" ref="D305">INDEX('RelFlt-Map-1'!$H$7:$J$96,1+B305,C305)</f>
        <v>#REF!</v>
      </c>
    </row>
    <row r="306" spans="1:4" x14ac:dyDescent="0.75">
      <c r="A306" s="111">
        <v>304</v>
      </c>
      <c r="B306" s="111">
        <f t="shared" si="8"/>
        <v>101</v>
      </c>
      <c r="C306" s="111">
        <f t="shared" si="9"/>
        <v>1</v>
      </c>
      <c r="D306" s="109" t="e" cm="1">
        <f t="array" ref="D306">INDEX('RelFlt-Map-1'!$H$7:$J$96,1+B306,C306)</f>
        <v>#REF!</v>
      </c>
    </row>
    <row r="307" spans="1:4" x14ac:dyDescent="0.75">
      <c r="A307" s="111">
        <v>305</v>
      </c>
      <c r="B307" s="111">
        <f t="shared" si="8"/>
        <v>101</v>
      </c>
      <c r="C307" s="111">
        <f t="shared" si="9"/>
        <v>2</v>
      </c>
      <c r="D307" s="109" t="e" cm="1">
        <f t="array" ref="D307">INDEX('RelFlt-Map-1'!$H$7:$J$96,1+B307,C307)</f>
        <v>#REF!</v>
      </c>
    </row>
    <row r="308" spans="1:4" x14ac:dyDescent="0.75">
      <c r="A308" s="111">
        <v>306</v>
      </c>
      <c r="B308" s="111">
        <f t="shared" si="8"/>
        <v>101</v>
      </c>
      <c r="C308" s="111">
        <f t="shared" si="9"/>
        <v>3</v>
      </c>
      <c r="D308" s="109" t="e" cm="1">
        <f t="array" ref="D308">INDEX('RelFlt-Map-1'!$H$7:$J$96,1+B308,C308)</f>
        <v>#REF!</v>
      </c>
    </row>
    <row r="309" spans="1:4" x14ac:dyDescent="0.75">
      <c r="A309" s="111">
        <v>307</v>
      </c>
      <c r="B309" s="111">
        <f t="shared" si="8"/>
        <v>102</v>
      </c>
      <c r="C309" s="111">
        <f t="shared" si="9"/>
        <v>1</v>
      </c>
      <c r="D309" s="109" t="e" cm="1">
        <f t="array" ref="D309">INDEX('RelFlt-Map-1'!$H$7:$J$96,1+B309,C309)</f>
        <v>#REF!</v>
      </c>
    </row>
    <row r="310" spans="1:4" x14ac:dyDescent="0.75">
      <c r="A310" s="111">
        <v>308</v>
      </c>
      <c r="B310" s="111">
        <f t="shared" si="8"/>
        <v>102</v>
      </c>
      <c r="C310" s="111">
        <f t="shared" si="9"/>
        <v>2</v>
      </c>
      <c r="D310" s="109" t="e" cm="1">
        <f t="array" ref="D310">INDEX('RelFlt-Map-1'!$H$7:$J$96,1+B310,C310)</f>
        <v>#REF!</v>
      </c>
    </row>
    <row r="311" spans="1:4" x14ac:dyDescent="0.75">
      <c r="A311" s="111">
        <v>309</v>
      </c>
      <c r="B311" s="111">
        <f t="shared" si="8"/>
        <v>102</v>
      </c>
      <c r="C311" s="111">
        <f t="shared" si="9"/>
        <v>3</v>
      </c>
      <c r="D311" s="109" t="e" cm="1">
        <f t="array" ref="D311">INDEX('RelFlt-Map-1'!$H$7:$J$96,1+B311,C311)</f>
        <v>#REF!</v>
      </c>
    </row>
    <row r="312" spans="1:4" x14ac:dyDescent="0.75">
      <c r="A312" s="111">
        <v>310</v>
      </c>
      <c r="B312" s="111">
        <f t="shared" si="8"/>
        <v>103</v>
      </c>
      <c r="C312" s="111">
        <f t="shared" si="9"/>
        <v>1</v>
      </c>
      <c r="D312" s="109" t="e" cm="1">
        <f t="array" ref="D312">INDEX('RelFlt-Map-1'!$H$7:$J$96,1+B312,C312)</f>
        <v>#REF!</v>
      </c>
    </row>
    <row r="313" spans="1:4" x14ac:dyDescent="0.75">
      <c r="A313" s="111">
        <v>311</v>
      </c>
      <c r="B313" s="111">
        <f t="shared" si="8"/>
        <v>103</v>
      </c>
      <c r="C313" s="111">
        <f t="shared" si="9"/>
        <v>2</v>
      </c>
      <c r="D313" s="109" t="e" cm="1">
        <f t="array" ref="D313">INDEX('RelFlt-Map-1'!$H$7:$J$96,1+B313,C313)</f>
        <v>#REF!</v>
      </c>
    </row>
    <row r="314" spans="1:4" x14ac:dyDescent="0.75">
      <c r="A314" s="111">
        <v>312</v>
      </c>
      <c r="B314" s="111">
        <f t="shared" si="8"/>
        <v>103</v>
      </c>
      <c r="C314" s="111">
        <f t="shared" si="9"/>
        <v>3</v>
      </c>
      <c r="D314" s="109" t="e" cm="1">
        <f t="array" ref="D314">INDEX('RelFlt-Map-1'!$H$7:$J$96,1+B314,C314)</f>
        <v>#REF!</v>
      </c>
    </row>
    <row r="315" spans="1:4" x14ac:dyDescent="0.75">
      <c r="A315" s="111">
        <v>313</v>
      </c>
      <c r="B315" s="111">
        <f t="shared" si="8"/>
        <v>104</v>
      </c>
      <c r="C315" s="111">
        <f t="shared" si="9"/>
        <v>1</v>
      </c>
      <c r="D315" s="109" t="e" cm="1">
        <f t="array" ref="D315">INDEX('RelFlt-Map-1'!$H$7:$J$96,1+B315,C315)</f>
        <v>#REF!</v>
      </c>
    </row>
    <row r="316" spans="1:4" x14ac:dyDescent="0.75">
      <c r="A316" s="111">
        <v>314</v>
      </c>
      <c r="B316" s="111">
        <f t="shared" si="8"/>
        <v>104</v>
      </c>
      <c r="C316" s="111">
        <f t="shared" si="9"/>
        <v>2</v>
      </c>
      <c r="D316" s="109" t="e" cm="1">
        <f t="array" ref="D316">INDEX('RelFlt-Map-1'!$H$7:$J$96,1+B316,C316)</f>
        <v>#REF!</v>
      </c>
    </row>
    <row r="317" spans="1:4" x14ac:dyDescent="0.75">
      <c r="A317" s="111">
        <v>315</v>
      </c>
      <c r="B317" s="111">
        <f t="shared" si="8"/>
        <v>104</v>
      </c>
      <c r="C317" s="111">
        <f t="shared" si="9"/>
        <v>3</v>
      </c>
      <c r="D317" s="109" t="e" cm="1">
        <f t="array" ref="D317">INDEX('RelFlt-Map-1'!$H$7:$J$96,1+B317,C317)</f>
        <v>#REF!</v>
      </c>
    </row>
    <row r="318" spans="1:4" x14ac:dyDescent="0.75">
      <c r="A318" s="111">
        <v>316</v>
      </c>
      <c r="B318" s="111">
        <f t="shared" si="8"/>
        <v>105</v>
      </c>
      <c r="C318" s="111">
        <f t="shared" si="9"/>
        <v>1</v>
      </c>
      <c r="D318" s="109" t="e" cm="1">
        <f t="array" ref="D318">INDEX('RelFlt-Map-1'!$H$7:$J$96,1+B318,C318)</f>
        <v>#REF!</v>
      </c>
    </row>
    <row r="319" spans="1:4" x14ac:dyDescent="0.75">
      <c r="A319" s="111">
        <v>317</v>
      </c>
      <c r="B319" s="111">
        <f t="shared" si="8"/>
        <v>105</v>
      </c>
      <c r="C319" s="111">
        <f t="shared" si="9"/>
        <v>2</v>
      </c>
      <c r="D319" s="109" t="e" cm="1">
        <f t="array" ref="D319">INDEX('RelFlt-Map-1'!$H$7:$J$96,1+B319,C319)</f>
        <v>#REF!</v>
      </c>
    </row>
    <row r="320" spans="1:4" x14ac:dyDescent="0.75">
      <c r="A320" s="111">
        <v>318</v>
      </c>
      <c r="B320" s="111">
        <f t="shared" si="8"/>
        <v>105</v>
      </c>
      <c r="C320" s="111">
        <f t="shared" si="9"/>
        <v>3</v>
      </c>
      <c r="D320" s="109" t="e" cm="1">
        <f t="array" ref="D320">INDEX('RelFlt-Map-1'!$H$7:$J$96,1+B320,C320)</f>
        <v>#REF!</v>
      </c>
    </row>
    <row r="321" spans="1:4" x14ac:dyDescent="0.75">
      <c r="A321" s="111">
        <v>319</v>
      </c>
      <c r="B321" s="111">
        <f t="shared" si="8"/>
        <v>106</v>
      </c>
      <c r="C321" s="111">
        <f t="shared" si="9"/>
        <v>1</v>
      </c>
      <c r="D321" s="109" t="e" cm="1">
        <f t="array" ref="D321">INDEX('RelFlt-Map-1'!$H$7:$J$96,1+B321,C321)</f>
        <v>#REF!</v>
      </c>
    </row>
    <row r="322" spans="1:4" x14ac:dyDescent="0.75">
      <c r="A322" s="111">
        <v>320</v>
      </c>
      <c r="B322" s="111">
        <f t="shared" si="8"/>
        <v>106</v>
      </c>
      <c r="C322" s="111">
        <f t="shared" si="9"/>
        <v>2</v>
      </c>
      <c r="D322" s="109" t="e" cm="1">
        <f t="array" ref="D322">INDEX('RelFlt-Map-1'!$H$7:$J$96,1+B322,C322)</f>
        <v>#REF!</v>
      </c>
    </row>
    <row r="323" spans="1:4" x14ac:dyDescent="0.75">
      <c r="A323" s="111">
        <v>321</v>
      </c>
      <c r="B323" s="111">
        <f t="shared" si="8"/>
        <v>106</v>
      </c>
      <c r="C323" s="111">
        <f t="shared" si="9"/>
        <v>3</v>
      </c>
      <c r="D323" s="109" t="e" cm="1">
        <f t="array" ref="D323">INDEX('RelFlt-Map-1'!$H$7:$J$96,1+B323,C323)</f>
        <v>#REF!</v>
      </c>
    </row>
    <row r="324" spans="1:4" x14ac:dyDescent="0.75">
      <c r="A324" s="111">
        <v>322</v>
      </c>
      <c r="B324" s="111">
        <f t="shared" ref="B324:B387" si="10">IF(MOD(A324,3)=0,A324/3-1,INT(A324/3))</f>
        <v>107</v>
      </c>
      <c r="C324" s="111">
        <f t="shared" ref="C324:C387" si="11">IF(MOD(A324,3)=0,3,MOD(A324,3))</f>
        <v>1</v>
      </c>
      <c r="D324" s="109" t="e" cm="1">
        <f t="array" ref="D324">INDEX('RelFlt-Map-1'!$H$7:$J$96,1+B324,C324)</f>
        <v>#REF!</v>
      </c>
    </row>
    <row r="325" spans="1:4" x14ac:dyDescent="0.75">
      <c r="A325" s="111">
        <v>323</v>
      </c>
      <c r="B325" s="111">
        <f t="shared" si="10"/>
        <v>107</v>
      </c>
      <c r="C325" s="111">
        <f t="shared" si="11"/>
        <v>2</v>
      </c>
      <c r="D325" s="109" t="e" cm="1">
        <f t="array" ref="D325">INDEX('RelFlt-Map-1'!$H$7:$J$96,1+B325,C325)</f>
        <v>#REF!</v>
      </c>
    </row>
    <row r="326" spans="1:4" x14ac:dyDescent="0.75">
      <c r="A326" s="111">
        <v>324</v>
      </c>
      <c r="B326" s="111">
        <f t="shared" si="10"/>
        <v>107</v>
      </c>
      <c r="C326" s="111">
        <f t="shared" si="11"/>
        <v>3</v>
      </c>
      <c r="D326" s="109" t="e" cm="1">
        <f t="array" ref="D326">INDEX('RelFlt-Map-1'!$H$7:$J$96,1+B326,C326)</f>
        <v>#REF!</v>
      </c>
    </row>
    <row r="327" spans="1:4" x14ac:dyDescent="0.75">
      <c r="A327" s="111">
        <v>325</v>
      </c>
      <c r="B327" s="111">
        <f t="shared" si="10"/>
        <v>108</v>
      </c>
      <c r="C327" s="111">
        <f t="shared" si="11"/>
        <v>1</v>
      </c>
      <c r="D327" s="109" t="e" cm="1">
        <f t="array" ref="D327">INDEX('RelFlt-Map-1'!$H$7:$J$96,1+B327,C327)</f>
        <v>#REF!</v>
      </c>
    </row>
    <row r="328" spans="1:4" x14ac:dyDescent="0.75">
      <c r="A328" s="111">
        <v>326</v>
      </c>
      <c r="B328" s="111">
        <f t="shared" si="10"/>
        <v>108</v>
      </c>
      <c r="C328" s="111">
        <f t="shared" si="11"/>
        <v>2</v>
      </c>
      <c r="D328" s="109" t="e" cm="1">
        <f t="array" ref="D328">INDEX('RelFlt-Map-1'!$H$7:$J$96,1+B328,C328)</f>
        <v>#REF!</v>
      </c>
    </row>
    <row r="329" spans="1:4" x14ac:dyDescent="0.75">
      <c r="A329" s="111">
        <v>327</v>
      </c>
      <c r="B329" s="111">
        <f t="shared" si="10"/>
        <v>108</v>
      </c>
      <c r="C329" s="111">
        <f t="shared" si="11"/>
        <v>3</v>
      </c>
      <c r="D329" s="109" t="e" cm="1">
        <f t="array" ref="D329">INDEX('RelFlt-Map-1'!$H$7:$J$96,1+B329,C329)</f>
        <v>#REF!</v>
      </c>
    </row>
    <row r="330" spans="1:4" x14ac:dyDescent="0.75">
      <c r="A330" s="111">
        <v>328</v>
      </c>
      <c r="B330" s="111">
        <f t="shared" si="10"/>
        <v>109</v>
      </c>
      <c r="C330" s="111">
        <f t="shared" si="11"/>
        <v>1</v>
      </c>
      <c r="D330" s="109" t="e" cm="1">
        <f t="array" ref="D330">INDEX('RelFlt-Map-1'!$H$7:$J$96,1+B330,C330)</f>
        <v>#REF!</v>
      </c>
    </row>
    <row r="331" spans="1:4" x14ac:dyDescent="0.75">
      <c r="A331" s="111">
        <v>329</v>
      </c>
      <c r="B331" s="111">
        <f t="shared" si="10"/>
        <v>109</v>
      </c>
      <c r="C331" s="111">
        <f t="shared" si="11"/>
        <v>2</v>
      </c>
      <c r="D331" s="109" t="e" cm="1">
        <f t="array" ref="D331">INDEX('RelFlt-Map-1'!$H$7:$J$96,1+B331,C331)</f>
        <v>#REF!</v>
      </c>
    </row>
    <row r="332" spans="1:4" x14ac:dyDescent="0.75">
      <c r="A332" s="111">
        <v>330</v>
      </c>
      <c r="B332" s="111">
        <f t="shared" si="10"/>
        <v>109</v>
      </c>
      <c r="C332" s="111">
        <f t="shared" si="11"/>
        <v>3</v>
      </c>
      <c r="D332" s="109" t="e" cm="1">
        <f t="array" ref="D332">INDEX('RelFlt-Map-1'!$H$7:$J$96,1+B332,C332)</f>
        <v>#REF!</v>
      </c>
    </row>
    <row r="333" spans="1:4" x14ac:dyDescent="0.75">
      <c r="A333" s="111">
        <v>331</v>
      </c>
      <c r="B333" s="111">
        <f t="shared" si="10"/>
        <v>110</v>
      </c>
      <c r="C333" s="111">
        <f t="shared" si="11"/>
        <v>1</v>
      </c>
      <c r="D333" s="109" t="e" cm="1">
        <f t="array" ref="D333">INDEX('RelFlt-Map-1'!$H$7:$J$96,1+B333,C333)</f>
        <v>#REF!</v>
      </c>
    </row>
    <row r="334" spans="1:4" x14ac:dyDescent="0.75">
      <c r="A334" s="111">
        <v>332</v>
      </c>
      <c r="B334" s="111">
        <f t="shared" si="10"/>
        <v>110</v>
      </c>
      <c r="C334" s="111">
        <f t="shared" si="11"/>
        <v>2</v>
      </c>
      <c r="D334" s="109" t="e" cm="1">
        <f t="array" ref="D334">INDEX('RelFlt-Map-1'!$H$7:$J$96,1+B334,C334)</f>
        <v>#REF!</v>
      </c>
    </row>
    <row r="335" spans="1:4" x14ac:dyDescent="0.75">
      <c r="A335" s="111">
        <v>333</v>
      </c>
      <c r="B335" s="111">
        <f t="shared" si="10"/>
        <v>110</v>
      </c>
      <c r="C335" s="111">
        <f t="shared" si="11"/>
        <v>3</v>
      </c>
      <c r="D335" s="109" t="e" cm="1">
        <f t="array" ref="D335">INDEX('RelFlt-Map-1'!$H$7:$J$96,1+B335,C335)</f>
        <v>#REF!</v>
      </c>
    </row>
    <row r="336" spans="1:4" x14ac:dyDescent="0.75">
      <c r="A336" s="111">
        <v>334</v>
      </c>
      <c r="B336" s="111">
        <f t="shared" si="10"/>
        <v>111</v>
      </c>
      <c r="C336" s="111">
        <f t="shared" si="11"/>
        <v>1</v>
      </c>
      <c r="D336" s="109" t="e" cm="1">
        <f t="array" ref="D336">INDEX('RelFlt-Map-1'!$H$7:$J$96,1+B336,C336)</f>
        <v>#REF!</v>
      </c>
    </row>
    <row r="337" spans="1:4" x14ac:dyDescent="0.75">
      <c r="A337" s="111">
        <v>335</v>
      </c>
      <c r="B337" s="111">
        <f t="shared" si="10"/>
        <v>111</v>
      </c>
      <c r="C337" s="111">
        <f t="shared" si="11"/>
        <v>2</v>
      </c>
      <c r="D337" s="109" t="e" cm="1">
        <f t="array" ref="D337">INDEX('RelFlt-Map-1'!$H$7:$J$96,1+B337,C337)</f>
        <v>#REF!</v>
      </c>
    </row>
    <row r="338" spans="1:4" x14ac:dyDescent="0.75">
      <c r="A338" s="111">
        <v>336</v>
      </c>
      <c r="B338" s="111">
        <f t="shared" si="10"/>
        <v>111</v>
      </c>
      <c r="C338" s="111">
        <f t="shared" si="11"/>
        <v>3</v>
      </c>
      <c r="D338" s="109" t="e" cm="1">
        <f t="array" ref="D338">INDEX('RelFlt-Map-1'!$H$7:$J$96,1+B338,C338)</f>
        <v>#REF!</v>
      </c>
    </row>
    <row r="339" spans="1:4" x14ac:dyDescent="0.75">
      <c r="A339" s="111">
        <v>337</v>
      </c>
      <c r="B339" s="111">
        <f t="shared" si="10"/>
        <v>112</v>
      </c>
      <c r="C339" s="111">
        <f t="shared" si="11"/>
        <v>1</v>
      </c>
      <c r="D339" s="109" t="e" cm="1">
        <f t="array" ref="D339">INDEX('RelFlt-Map-1'!$H$7:$J$96,1+B339,C339)</f>
        <v>#REF!</v>
      </c>
    </row>
    <row r="340" spans="1:4" x14ac:dyDescent="0.75">
      <c r="A340" s="111">
        <v>338</v>
      </c>
      <c r="B340" s="111">
        <f t="shared" si="10"/>
        <v>112</v>
      </c>
      <c r="C340" s="111">
        <f t="shared" si="11"/>
        <v>2</v>
      </c>
      <c r="D340" s="109" t="e" cm="1">
        <f t="array" ref="D340">INDEX('RelFlt-Map-1'!$H$7:$J$96,1+B340,C340)</f>
        <v>#REF!</v>
      </c>
    </row>
    <row r="341" spans="1:4" x14ac:dyDescent="0.75">
      <c r="A341" s="111">
        <v>339</v>
      </c>
      <c r="B341" s="111">
        <f t="shared" si="10"/>
        <v>112</v>
      </c>
      <c r="C341" s="111">
        <f t="shared" si="11"/>
        <v>3</v>
      </c>
      <c r="D341" s="109" t="e" cm="1">
        <f t="array" ref="D341">INDEX('RelFlt-Map-1'!$H$7:$J$96,1+B341,C341)</f>
        <v>#REF!</v>
      </c>
    </row>
    <row r="342" spans="1:4" x14ac:dyDescent="0.75">
      <c r="A342" s="111">
        <v>340</v>
      </c>
      <c r="B342" s="111">
        <f t="shared" si="10"/>
        <v>113</v>
      </c>
      <c r="C342" s="111">
        <f t="shared" si="11"/>
        <v>1</v>
      </c>
      <c r="D342" s="109" t="e" cm="1">
        <f t="array" ref="D342">INDEX('RelFlt-Map-1'!$H$7:$J$96,1+B342,C342)</f>
        <v>#REF!</v>
      </c>
    </row>
    <row r="343" spans="1:4" x14ac:dyDescent="0.75">
      <c r="A343" s="111">
        <v>341</v>
      </c>
      <c r="B343" s="111">
        <f t="shared" si="10"/>
        <v>113</v>
      </c>
      <c r="C343" s="111">
        <f t="shared" si="11"/>
        <v>2</v>
      </c>
      <c r="D343" s="109" t="e" cm="1">
        <f t="array" ref="D343">INDEX('RelFlt-Map-1'!$H$7:$J$96,1+B343,C343)</f>
        <v>#REF!</v>
      </c>
    </row>
    <row r="344" spans="1:4" x14ac:dyDescent="0.75">
      <c r="A344" s="111">
        <v>342</v>
      </c>
      <c r="B344" s="111">
        <f t="shared" si="10"/>
        <v>113</v>
      </c>
      <c r="C344" s="111">
        <f t="shared" si="11"/>
        <v>3</v>
      </c>
      <c r="D344" s="109" t="e" cm="1">
        <f t="array" ref="D344">INDEX('RelFlt-Map-1'!$H$7:$J$96,1+B344,C344)</f>
        <v>#REF!</v>
      </c>
    </row>
    <row r="345" spans="1:4" x14ac:dyDescent="0.75">
      <c r="A345" s="111">
        <v>343</v>
      </c>
      <c r="B345" s="111">
        <f t="shared" si="10"/>
        <v>114</v>
      </c>
      <c r="C345" s="111">
        <f t="shared" si="11"/>
        <v>1</v>
      </c>
      <c r="D345" s="109" t="e" cm="1">
        <f t="array" ref="D345">INDEX('RelFlt-Map-1'!$H$7:$J$96,1+B345,C345)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http://hl7.eu/fhir/ig/pcsp/RelapseDuringFLT</v>
      </c>
    </row>
    <row r="6" spans="1:14" x14ac:dyDescent="0.75">
      <c r="D6" s="109" t="s">
        <v>37</v>
      </c>
      <c r="M6" s="44"/>
      <c r="N6" s="109" t="str">
        <f>CONCATENATE("Target: """,D4,"""")</f>
        <v>Target: ""</v>
      </c>
    </row>
    <row r="7" spans="1:14" ht="14.75" customHeight="1" x14ac:dyDescent="0.75">
      <c r="A7" s="111">
        <v>0</v>
      </c>
      <c r="B7" s="111">
        <f>'RelFlt-1'!A6</f>
        <v>0</v>
      </c>
      <c r="C7" s="24" t="str">
        <f>'RelFlt-1'!B6</f>
        <v>RelapseDuringFLT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'RelFlt-1'!A7</f>
        <v>1</v>
      </c>
      <c r="C8" s="113" t="str">
        <f>'RelFlt-1'!B7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'RelFlt-1'!A8</f>
        <v>2</v>
      </c>
      <c r="C9" s="113" t="str">
        <f>'RelFlt-1'!B8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'RelFlt-1'!A10</f>
        <v>3</v>
      </c>
      <c r="C10" s="113" t="str">
        <f>'RelFlt-1'!B10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f>'RelFlt-1'!A9</f>
        <v>4</v>
      </c>
      <c r="C11" s="113" t="str">
        <f>'RelFlt-1'!B9</f>
        <v>date</v>
      </c>
      <c r="D11" s="113"/>
      <c r="H11" s="109" t="b">
        <f t="shared" si="0"/>
        <v>0</v>
      </c>
      <c r="I11" s="110" t="str">
        <f t="shared" si="1"/>
        <v/>
      </c>
      <c r="J11" s="110" t="str">
        <f t="shared" si="2"/>
        <v/>
      </c>
      <c r="K11" s="110" t="str">
        <f t="shared" si="4"/>
        <v/>
      </c>
      <c r="M11" s="44"/>
      <c r="N11" s="109" t="str">
        <f t="shared" si="3"/>
        <v>* date -&gt; ""</v>
      </c>
    </row>
    <row r="12" spans="1:14" x14ac:dyDescent="0.75">
      <c r="A12" s="111">
        <v>0</v>
      </c>
      <c r="B12" s="111">
        <f>'RelFlt-1'!A11</f>
        <v>5</v>
      </c>
      <c r="C12" s="113" t="str">
        <f>'RelFlt-1'!B11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'RelFlt-1'!A12</f>
        <v>6</v>
      </c>
      <c r="C13" s="113" t="str">
        <f>'RelFlt-1'!B12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'RelFlt-1'!A13</f>
        <v>7</v>
      </c>
      <c r="C14" s="113">
        <f>'RelFlt-1'!B13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'RelFlt-1'!A14</f>
        <v>8</v>
      </c>
      <c r="C15" s="113">
        <f>'RelFlt-1'!B14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'RelFlt-1'!A15</f>
        <v>9</v>
      </c>
      <c r="C16" s="113">
        <f>'RelFlt-1'!B15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'RelFlt-1'!A16</f>
        <v>10</v>
      </c>
      <c r="C17" s="113">
        <f>'RelFlt-1'!B16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'RelFlt-1'!A17</f>
        <v>11</v>
      </c>
      <c r="C18" s="113">
        <f>'RelFlt-1'!B17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'RelFlt-1'!A18</f>
        <v>12</v>
      </c>
      <c r="C19" s="113">
        <f>'RelFlt-1'!B18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'RelFlt-1'!A19</f>
        <v>13</v>
      </c>
      <c r="C20" s="113">
        <f>'RelFlt-1'!B19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'RelFlt-1'!A20</f>
        <v>14</v>
      </c>
      <c r="C21" s="113">
        <f>'RelFlt-1'!B20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'RelFlt-1'!A21</f>
        <v>15</v>
      </c>
      <c r="C22" s="113">
        <f>'RelFlt-1'!B21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'RelFlt-1'!A22</f>
        <v>16</v>
      </c>
      <c r="C23" s="113">
        <f>'RelFlt-1'!B22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'RelFlt-1'!A23</f>
        <v>17</v>
      </c>
      <c r="C24" s="113">
        <f>'RelFlt-1'!B23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'RelFlt-1'!A24</f>
        <v>18</v>
      </c>
      <c r="C25" s="113">
        <f>'RelFlt-1'!B24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'RelFlt-1'!A25</f>
        <v>19</v>
      </c>
      <c r="C26" s="113">
        <f>'RelFlt-1'!B25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'RelFlt-1'!A26</f>
        <v>0</v>
      </c>
      <c r="C27" s="113">
        <f>'RelFlt-1'!B26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'RelFlt-1'!A27</f>
        <v>0</v>
      </c>
      <c r="C28" s="113">
        <f>'RelFlt-1'!B27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'RelFlt-1'!A28</f>
        <v>0</v>
      </c>
      <c r="C29" s="113">
        <f>'RelFlt-1'!B28</f>
        <v>0</v>
      </c>
      <c r="D29" s="111"/>
      <c r="H29" s="109" t="b">
        <f t="shared" si="0"/>
        <v>0</v>
      </c>
      <c r="I29" s="110" t="str">
        <f t="shared" si="1"/>
        <v/>
      </c>
      <c r="J29" s="110" t="str">
        <f t="shared" si="2"/>
        <v/>
      </c>
      <c r="K29" s="110" t="str">
        <f t="shared" si="4"/>
        <v/>
      </c>
      <c r="N29" s="109" t="str">
        <f t="shared" si="3"/>
        <v>* 0 -&gt; ""</v>
      </c>
    </row>
    <row r="30" spans="1:14" x14ac:dyDescent="0.75">
      <c r="A30" s="111">
        <v>0</v>
      </c>
      <c r="B30" s="111" t="e">
        <f>'RelFlt-1'!#REF!</f>
        <v>#REF!</v>
      </c>
      <c r="C30" s="113" t="e">
        <f>'RelFlt-1'!#REF!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'RelFlt-1'!#REF!</f>
        <v>#REF!</v>
      </c>
      <c r="C31" s="113" t="e">
        <f>'RelFlt-1'!#REF!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'RelFlt-1'!#REF!</f>
        <v>#REF!</v>
      </c>
      <c r="C32" s="113" t="e">
        <f>'RelFlt-1'!#REF!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'RelFlt-1'!#REF!</f>
        <v>#REF!</v>
      </c>
      <c r="C33" s="113" t="e">
        <f>'RelFlt-1'!#REF!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'RelFlt-1'!#REF!</f>
        <v>#REF!</v>
      </c>
      <c r="C34" s="113" t="e">
        <f>'RelFlt-1'!#REF!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'RelFlt-1'!#REF!</f>
        <v>#REF!</v>
      </c>
      <c r="C35" s="113" t="e">
        <f>'RelFlt-1'!#REF!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'RelFlt-1'!#REF!</f>
        <v>#REF!</v>
      </c>
      <c r="C36" s="113" t="e">
        <f>'RelFlt-1'!#REF!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'RelFlt-1'!#REF!</f>
        <v>#REF!</v>
      </c>
      <c r="C37" s="113" t="e">
        <f>'RelFlt-1'!#REF!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'RelFlt-1'!#REF!</f>
        <v>#REF!</v>
      </c>
      <c r="C38" s="113" t="e">
        <f>'RelFlt-1'!#REF!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'RelFlt-1'!#REF!</f>
        <v>#REF!</v>
      </c>
      <c r="C39" s="113" t="e">
        <f>'RelFlt-1'!#REF!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'RelFlt-1'!#REF!</f>
        <v>#REF!</v>
      </c>
      <c r="C40" s="113" t="e">
        <f>'RelFlt-1'!#REF!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'RelFlt-1'!#REF!</f>
        <v>#REF!</v>
      </c>
      <c r="C41" s="113" t="e">
        <f>'RelFlt-1'!#REF!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'RelFlt-1'!#REF!</f>
        <v>#REF!</v>
      </c>
      <c r="C42" s="113" t="e">
        <f>'RelFlt-1'!#REF!</f>
        <v>#REF!</v>
      </c>
      <c r="D42" s="111"/>
      <c r="H42" s="109" t="b">
        <f t="shared" si="0"/>
        <v>0</v>
      </c>
      <c r="I42" s="110" t="str">
        <f t="shared" si="1"/>
        <v/>
      </c>
      <c r="J42" s="110" t="str">
        <f t="shared" si="2"/>
        <v/>
      </c>
      <c r="K42" s="110" t="str">
        <f t="shared" si="4"/>
        <v/>
      </c>
    </row>
    <row r="43" spans="1:14" x14ac:dyDescent="0.75">
      <c r="A43" s="111">
        <v>0</v>
      </c>
      <c r="B43" s="111" t="e">
        <f>'RelFlt-1'!#REF!</f>
        <v>#REF!</v>
      </c>
      <c r="C43" s="113" t="e">
        <f>'RelFlt-1'!#REF!</f>
        <v>#REF!</v>
      </c>
      <c r="D43" s="111"/>
      <c r="H43" s="109" t="b">
        <f t="shared" si="0"/>
        <v>0</v>
      </c>
      <c r="I43" s="110" t="str">
        <f t="shared" si="1"/>
        <v/>
      </c>
      <c r="J43" s="110" t="str">
        <f t="shared" si="2"/>
        <v/>
      </c>
      <c r="K43" s="110" t="str">
        <f t="shared" si="4"/>
        <v/>
      </c>
    </row>
    <row r="44" spans="1:14" x14ac:dyDescent="0.75">
      <c r="A44" s="111">
        <v>0</v>
      </c>
      <c r="B44" s="111" t="e">
        <f>'RelFlt-1'!#REF!</f>
        <v>#REF!</v>
      </c>
      <c r="C44" s="113" t="e">
        <f>'RelFlt-1'!#REF!</f>
        <v>#REF!</v>
      </c>
      <c r="D44" s="111"/>
      <c r="H44" s="109" t="b">
        <f t="shared" si="0"/>
        <v>0</v>
      </c>
      <c r="I44" s="110" t="str">
        <f t="shared" si="1"/>
        <v/>
      </c>
      <c r="J44" s="110" t="str">
        <f t="shared" si="2"/>
        <v/>
      </c>
      <c r="K44" s="110" t="str">
        <f t="shared" si="4"/>
        <v/>
      </c>
    </row>
    <row r="45" spans="1:14" x14ac:dyDescent="0.75">
      <c r="A45" s="111">
        <v>0</v>
      </c>
      <c r="B45" s="111" t="e">
        <f>'RelFlt-1'!#REF!</f>
        <v>#REF!</v>
      </c>
      <c r="C45" s="113" t="e">
        <f>'RelFlt-1'!#REF!</f>
        <v>#REF!</v>
      </c>
      <c r="D45" s="111"/>
      <c r="H45" s="109" t="b">
        <f t="shared" si="0"/>
        <v>0</v>
      </c>
      <c r="I45" s="110" t="str">
        <f t="shared" si="1"/>
        <v/>
      </c>
      <c r="J45" s="110" t="str">
        <f t="shared" si="2"/>
        <v/>
      </c>
      <c r="K45" s="110" t="str">
        <f t="shared" si="4"/>
        <v/>
      </c>
    </row>
    <row r="46" spans="1:14" x14ac:dyDescent="0.75">
      <c r="A46" s="111">
        <v>0</v>
      </c>
      <c r="B46" s="111" t="e">
        <f>'RelFlt-1'!#REF!</f>
        <v>#REF!</v>
      </c>
      <c r="C46" s="113" t="e">
        <f>'RelFlt-1'!#REF!</f>
        <v>#REF!</v>
      </c>
      <c r="H46" s="109" t="b">
        <f t="shared" si="0"/>
        <v>0</v>
      </c>
      <c r="I46" s="110" t="str">
        <f t="shared" si="1"/>
        <v/>
      </c>
      <c r="J46" s="110" t="str">
        <f t="shared" si="2"/>
        <v/>
      </c>
      <c r="K46" s="110" t="str">
        <f t="shared" si="4"/>
        <v/>
      </c>
    </row>
    <row r="47" spans="1:14" x14ac:dyDescent="0.75">
      <c r="A47" s="111">
        <v>0</v>
      </c>
      <c r="B47" s="111" t="e">
        <f>'RelFlt-1'!#REF!</f>
        <v>#REF!</v>
      </c>
      <c r="C47" s="113" t="e">
        <f>'RelFlt-1'!#REF!</f>
        <v>#REF!</v>
      </c>
      <c r="H47" s="109" t="b">
        <f t="shared" si="0"/>
        <v>0</v>
      </c>
      <c r="I47" s="110" t="str">
        <f t="shared" si="1"/>
        <v/>
      </c>
      <c r="J47" s="110" t="str">
        <f t="shared" si="2"/>
        <v/>
      </c>
      <c r="K47" s="110" t="str">
        <f t="shared" si="4"/>
        <v/>
      </c>
    </row>
    <row r="48" spans="1:14" x14ac:dyDescent="0.75">
      <c r="A48" s="111">
        <v>0</v>
      </c>
      <c r="B48" s="111" t="e">
        <f>'RelFlt-1'!#REF!</f>
        <v>#REF!</v>
      </c>
      <c r="C48" s="113" t="e">
        <f>'RelFlt-1'!#REF!</f>
        <v>#REF!</v>
      </c>
      <c r="H48" s="109" t="b">
        <f t="shared" si="0"/>
        <v>0</v>
      </c>
      <c r="I48" s="110" t="str">
        <f t="shared" si="1"/>
        <v/>
      </c>
      <c r="J48" s="110" t="str">
        <f t="shared" si="2"/>
        <v/>
      </c>
      <c r="K48" s="110" t="str">
        <f t="shared" si="4"/>
        <v/>
      </c>
    </row>
    <row r="49" spans="1:11" x14ac:dyDescent="0.75">
      <c r="A49" s="111">
        <v>0</v>
      </c>
      <c r="B49" s="111" t="e">
        <f>'RelFlt-1'!#REF!</f>
        <v>#REF!</v>
      </c>
      <c r="C49" s="113" t="e">
        <f>'RelFlt-1'!#REF!</f>
        <v>#REF!</v>
      </c>
      <c r="H49" s="109" t="b">
        <f t="shared" si="0"/>
        <v>0</v>
      </c>
      <c r="I49" s="110" t="str">
        <f t="shared" si="1"/>
        <v/>
      </c>
      <c r="J49" s="110" t="str">
        <f t="shared" si="2"/>
        <v/>
      </c>
      <c r="K49" s="110" t="str">
        <f t="shared" si="4"/>
        <v/>
      </c>
    </row>
    <row r="50" spans="1:11" x14ac:dyDescent="0.75">
      <c r="A50" s="111">
        <v>0</v>
      </c>
      <c r="B50" s="111" t="e">
        <f>'RelFlt-1'!#REF!</f>
        <v>#REF!</v>
      </c>
      <c r="C50" s="113" t="e">
        <f>'RelFlt-1'!#REF!</f>
        <v>#REF!</v>
      </c>
      <c r="H50" s="109" t="b">
        <f t="shared" si="0"/>
        <v>0</v>
      </c>
      <c r="I50" s="110" t="str">
        <f t="shared" si="1"/>
        <v/>
      </c>
      <c r="J50" s="110" t="str">
        <f t="shared" si="2"/>
        <v/>
      </c>
      <c r="K50" s="110" t="str">
        <f t="shared" si="4"/>
        <v/>
      </c>
    </row>
    <row r="51" spans="1:11" x14ac:dyDescent="0.75">
      <c r="A51" s="111">
        <v>0</v>
      </c>
      <c r="B51" s="111" t="e">
        <f>'RelFlt-1'!#REF!</f>
        <v>#REF!</v>
      </c>
      <c r="C51" s="113" t="e">
        <f>'RelFlt-1'!#REF!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'RelFlt-1'!#REF!</f>
        <v>#REF!</v>
      </c>
      <c r="C52" s="113" t="e">
        <f>'RelFlt-1'!#REF!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'RelFlt-1'!#REF!</f>
        <v>#REF!</v>
      </c>
      <c r="C53" s="113" t="e">
        <f>'RelFlt-1'!#REF!</f>
        <v>#REF!</v>
      </c>
      <c r="H53" s="109" t="b">
        <f t="shared" si="5"/>
        <v>0</v>
      </c>
      <c r="I53" s="110" t="str">
        <f t="shared" si="1"/>
        <v/>
      </c>
      <c r="J53" s="110" t="str">
        <f t="shared" si="6"/>
        <v/>
      </c>
    </row>
    <row r="54" spans="1:11" x14ac:dyDescent="0.75">
      <c r="A54" s="111">
        <v>0</v>
      </c>
      <c r="B54" s="111" t="e">
        <f>'RelFlt-1'!#REF!</f>
        <v>#REF!</v>
      </c>
      <c r="C54" s="113" t="e">
        <f>'RelFlt-1'!#REF!</f>
        <v>#REF!</v>
      </c>
      <c r="H54" s="109" t="b">
        <f t="shared" si="5"/>
        <v>0</v>
      </c>
      <c r="I54" s="110" t="str">
        <f t="shared" si="1"/>
        <v/>
      </c>
      <c r="J54" s="110" t="str">
        <f t="shared" si="6"/>
        <v/>
      </c>
    </row>
    <row r="55" spans="1:11" x14ac:dyDescent="0.75">
      <c r="A55" s="111">
        <v>0</v>
      </c>
      <c r="B55" s="111" t="e">
        <f>'RelFlt-1'!#REF!</f>
        <v>#REF!</v>
      </c>
      <c r="C55" s="113" t="e">
        <f>'RelFlt-1'!#REF!</f>
        <v>#REF!</v>
      </c>
      <c r="H55" s="109" t="b">
        <f t="shared" si="5"/>
        <v>0</v>
      </c>
      <c r="I55" s="110" t="str">
        <f t="shared" si="1"/>
        <v/>
      </c>
      <c r="J55" s="110" t="str">
        <f t="shared" si="6"/>
        <v/>
      </c>
    </row>
    <row r="56" spans="1:11" x14ac:dyDescent="0.75">
      <c r="A56" s="111">
        <v>0</v>
      </c>
      <c r="B56" s="111" t="e">
        <f>'RelFlt-1'!#REF!</f>
        <v>#REF!</v>
      </c>
      <c r="C56" s="113" t="e">
        <f>'RelFlt-1'!#REF!</f>
        <v>#REF!</v>
      </c>
      <c r="H56" s="109" t="b">
        <f t="shared" si="5"/>
        <v>0</v>
      </c>
      <c r="I56" s="110" t="str">
        <f t="shared" si="1"/>
        <v/>
      </c>
      <c r="J56" s="110" t="str">
        <f t="shared" si="6"/>
        <v/>
      </c>
    </row>
    <row r="57" spans="1:11" x14ac:dyDescent="0.75">
      <c r="A57" s="111">
        <v>0</v>
      </c>
      <c r="B57" s="111" t="e">
        <f>'RelFlt-1'!#REF!</f>
        <v>#REF!</v>
      </c>
      <c r="C57" s="113" t="e">
        <f>'RelFlt-1'!#REF!</f>
        <v>#REF!</v>
      </c>
      <c r="H57" s="109" t="b">
        <f t="shared" si="5"/>
        <v>0</v>
      </c>
      <c r="I57" s="110" t="str">
        <f t="shared" si="1"/>
        <v/>
      </c>
      <c r="J57" s="110" t="str">
        <f t="shared" si="6"/>
        <v/>
      </c>
    </row>
    <row r="58" spans="1:11" x14ac:dyDescent="0.75">
      <c r="A58" s="111">
        <v>0</v>
      </c>
      <c r="B58" s="111" t="e">
        <f>'RelFlt-1'!#REF!</f>
        <v>#REF!</v>
      </c>
      <c r="C58" s="113" t="e">
        <f>'RelFlt-1'!#REF!</f>
        <v>#REF!</v>
      </c>
      <c r="H58" s="109" t="b">
        <f t="shared" si="5"/>
        <v>0</v>
      </c>
      <c r="I58" s="110" t="str">
        <f t="shared" si="1"/>
        <v/>
      </c>
      <c r="J58" s="110" t="str">
        <f t="shared" si="6"/>
        <v/>
      </c>
    </row>
    <row r="59" spans="1:11" x14ac:dyDescent="0.75">
      <c r="A59" s="111">
        <v>0</v>
      </c>
      <c r="B59" s="111" t="e">
        <f>'RelFlt-1'!#REF!</f>
        <v>#REF!</v>
      </c>
      <c r="C59" s="113" t="e">
        <f>'RelFlt-1'!#REF!</f>
        <v>#REF!</v>
      </c>
      <c r="H59" s="109" t="b">
        <f t="shared" si="5"/>
        <v>0</v>
      </c>
      <c r="I59" s="110" t="str">
        <f t="shared" si="1"/>
        <v/>
      </c>
      <c r="J59" s="110" t="str">
        <f t="shared" si="6"/>
        <v/>
      </c>
    </row>
    <row r="60" spans="1:11" x14ac:dyDescent="0.75">
      <c r="A60" s="111">
        <v>0</v>
      </c>
      <c r="B60" s="111">
        <f>'RelFlt-1'!A29</f>
        <v>0</v>
      </c>
      <c r="C60" s="113">
        <f>'RelFlt-1'!B29</f>
        <v>0</v>
      </c>
      <c r="H60" s="109" t="b">
        <f t="shared" si="5"/>
        <v>0</v>
      </c>
      <c r="I60" s="110" t="str">
        <f t="shared" si="1"/>
        <v/>
      </c>
      <c r="J60" s="110" t="str">
        <f t="shared" si="6"/>
        <v/>
      </c>
    </row>
    <row r="61" spans="1:11" x14ac:dyDescent="0.75">
      <c r="A61" s="111">
        <v>0</v>
      </c>
      <c r="B61" s="111">
        <f>'RelFlt-1'!A30</f>
        <v>0</v>
      </c>
      <c r="C61" s="113">
        <f>'RelFlt-1'!B30</f>
        <v>0</v>
      </c>
      <c r="H61" s="109" t="b">
        <f t="shared" si="5"/>
        <v>0</v>
      </c>
      <c r="I61" s="110" t="str">
        <f t="shared" si="1"/>
        <v/>
      </c>
      <c r="J61" s="110" t="str">
        <f t="shared" si="6"/>
        <v/>
      </c>
    </row>
    <row r="62" spans="1:11" x14ac:dyDescent="0.75">
      <c r="A62" s="111">
        <v>0</v>
      </c>
      <c r="B62" s="111">
        <f>'RelFlt-1'!A31</f>
        <v>0</v>
      </c>
      <c r="C62" s="113">
        <f>'RelFlt-1'!B31</f>
        <v>0</v>
      </c>
      <c r="H62" s="109" t="b">
        <f t="shared" si="5"/>
        <v>0</v>
      </c>
      <c r="I62" s="110" t="str">
        <f t="shared" si="1"/>
        <v/>
      </c>
      <c r="J62" s="110" t="str">
        <f t="shared" si="6"/>
        <v/>
      </c>
    </row>
    <row r="63" spans="1:11" x14ac:dyDescent="0.75">
      <c r="A63" s="111">
        <v>0</v>
      </c>
      <c r="B63" s="111">
        <f>'RelFlt-1'!A32</f>
        <v>0</v>
      </c>
      <c r="C63" s="113">
        <f>'RelFlt-1'!B32</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'RelFlt-1'!A49</f>
        <v>0</v>
      </c>
      <c r="C80" s="113">
        <f>'RelFlt-1'!B49</f>
        <v>0</v>
      </c>
    </row>
    <row r="81" spans="1:3" x14ac:dyDescent="0.75">
      <c r="A81" s="111">
        <v>0</v>
      </c>
      <c r="B81" s="111">
        <f>'RelFlt-1'!A50</f>
        <v>0</v>
      </c>
      <c r="C81" s="113">
        <f>'RelFlt-1'!B50</f>
        <v>0</v>
      </c>
    </row>
    <row r="82" spans="1:3" x14ac:dyDescent="0.75">
      <c r="A82" s="111">
        <v>0</v>
      </c>
      <c r="B82" s="111">
        <f>'RelFlt-1'!A51</f>
        <v>0</v>
      </c>
      <c r="C82" s="113">
        <f>'RelFlt-1'!B51</f>
        <v>0</v>
      </c>
    </row>
    <row r="83" spans="1:3" x14ac:dyDescent="0.75">
      <c r="A83" s="111">
        <v>0</v>
      </c>
      <c r="B83" s="111">
        <f>'RelFlt-1'!A52</f>
        <v>0</v>
      </c>
      <c r="C83" s="113">
        <f>'RelFlt-1'!B52</f>
        <v>0</v>
      </c>
    </row>
    <row r="84" spans="1:3" x14ac:dyDescent="0.75">
      <c r="A84" s="111">
        <v>0</v>
      </c>
      <c r="B84" s="111">
        <f>'RelFlt-1'!A53</f>
        <v>0</v>
      </c>
      <c r="C84" s="113">
        <f>'RelFlt-1'!B53</f>
        <v>0</v>
      </c>
    </row>
    <row r="85" spans="1:3" x14ac:dyDescent="0.75">
      <c r="A85" s="111">
        <v>0</v>
      </c>
      <c r="B85" s="111">
        <f>'RelFlt-1'!A54</f>
        <v>0</v>
      </c>
      <c r="C85" s="113">
        <f>'RelFlt-1'!B54</f>
        <v>0</v>
      </c>
    </row>
    <row r="86" spans="1:3" x14ac:dyDescent="0.75">
      <c r="A86" s="111">
        <v>0</v>
      </c>
      <c r="B86" s="111">
        <f>'RelFlt-1'!A55</f>
        <v>0</v>
      </c>
      <c r="C86" s="113">
        <f>'RelFlt-1'!B55</f>
        <v>0</v>
      </c>
    </row>
    <row r="87" spans="1:3" x14ac:dyDescent="0.75">
      <c r="A87" s="111">
        <v>0</v>
      </c>
      <c r="B87" s="111">
        <f>'RelFlt-1'!A56</f>
        <v>0</v>
      </c>
      <c r="C87" s="113">
        <f>'RelFlt-1'!B56</f>
        <v>0</v>
      </c>
    </row>
    <row r="88" spans="1:3" x14ac:dyDescent="0.75">
      <c r="A88" s="111">
        <v>0</v>
      </c>
      <c r="B88" s="111">
        <f>'RelFlt-1'!A57</f>
        <v>0</v>
      </c>
      <c r="C88" s="113">
        <f>'RelFlt-1'!B57</f>
        <v>0</v>
      </c>
    </row>
    <row r="89" spans="1:3" x14ac:dyDescent="0.75">
      <c r="A89" s="111">
        <v>0</v>
      </c>
      <c r="B89" s="111">
        <f>'RelFlt-1'!A58</f>
        <v>0</v>
      </c>
      <c r="C89" s="113">
        <f>'RelFlt-1'!B58</f>
        <v>0</v>
      </c>
    </row>
    <row r="90" spans="1:3" x14ac:dyDescent="0.75">
      <c r="A90" s="111">
        <v>0</v>
      </c>
      <c r="B90" s="111">
        <f>'RelFlt-1'!A59</f>
        <v>0</v>
      </c>
      <c r="C90" s="113">
        <f>'RelFlt-1'!B59</f>
        <v>0</v>
      </c>
    </row>
    <row r="91" spans="1:3" x14ac:dyDescent="0.75">
      <c r="A91" s="111">
        <v>0</v>
      </c>
      <c r="B91" s="111">
        <f>'RelFlt-1'!A60</f>
        <v>0</v>
      </c>
      <c r="C91" s="113">
        <f>'RelFlt-1'!B60</f>
        <v>0</v>
      </c>
    </row>
    <row r="92" spans="1:3" x14ac:dyDescent="0.75">
      <c r="A92" s="111">
        <v>0</v>
      </c>
      <c r="B92" s="111">
        <f>'RelFlt-1'!A61</f>
        <v>0</v>
      </c>
      <c r="C92" s="113">
        <f>'RelFlt-1'!B61</f>
        <v>0</v>
      </c>
    </row>
    <row r="93" spans="1:3" x14ac:dyDescent="0.75">
      <c r="B93" s="109">
        <f>'Oth-1'!A82</f>
        <v>0</v>
      </c>
      <c r="C93" s="109">
        <f>'Oth-1'!B82</f>
        <v>0</v>
      </c>
    </row>
    <row r="94" spans="1:3" x14ac:dyDescent="0.75">
      <c r="B94" s="109">
        <f>'Oth-1'!A83</f>
        <v>0</v>
      </c>
      <c r="C94" s="109">
        <f>'Oth-1'!B83</f>
        <v>0</v>
      </c>
    </row>
    <row r="95" spans="1:3" x14ac:dyDescent="0.75">
      <c r="B95" s="109">
        <f>'Oth-1'!A84</f>
        <v>0</v>
      </c>
      <c r="C95" s="109">
        <f>'Oth-1'!B84</f>
        <v>0</v>
      </c>
    </row>
    <row r="96" spans="1: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INDEX('RelFlt-Map2-1'!$I$7:$K$100,1+B3,C3)</f>
        <v/>
      </c>
      <c r="E3" s="109" t="str">
        <f>INDEX('RelFlt-Map2-1'!$I$8:$K$17,1,1)</f>
        <v/>
      </c>
    </row>
    <row r="4" spans="1:5" x14ac:dyDescent="0.75">
      <c r="A4" s="111">
        <v>2</v>
      </c>
      <c r="B4" s="111">
        <f t="shared" ref="B4:B67" si="0">IF(MOD(A4,3)=0,A4/3-1,INT(A4/3))</f>
        <v>0</v>
      </c>
      <c r="C4" s="111">
        <f t="shared" ref="C4:C67" si="1">IF(MOD(A4,3)=0,3,MOD(A4,3))</f>
        <v>2</v>
      </c>
      <c r="D4" s="109" t="str" cm="1">
        <f t="array" ref="D4">INDEX('RelFlt-Map2-1'!$I$7:$K$100,1+B4,C4)</f>
        <v/>
      </c>
    </row>
    <row r="5" spans="1:5" x14ac:dyDescent="0.75">
      <c r="A5" s="111">
        <v>3</v>
      </c>
      <c r="B5" s="111">
        <f t="shared" si="0"/>
        <v>0</v>
      </c>
      <c r="C5" s="111">
        <f t="shared" si="1"/>
        <v>3</v>
      </c>
      <c r="D5" s="109" t="str" cm="1">
        <f t="array" ref="D5">INDEX('RelFlt-Map2-1'!$I$7:$K$100,1+B5,C5)</f>
        <v/>
      </c>
    </row>
    <row r="6" spans="1:5" x14ac:dyDescent="0.75">
      <c r="A6" s="111">
        <v>4</v>
      </c>
      <c r="B6" s="111">
        <f t="shared" si="0"/>
        <v>1</v>
      </c>
      <c r="C6" s="111">
        <f t="shared" si="1"/>
        <v>1</v>
      </c>
      <c r="D6" s="109" t="str" cm="1">
        <f t="array" ref="D6">INDEX('RelFlt-Map2-1'!$I$7:$K$100,1+B6,C6)</f>
        <v/>
      </c>
    </row>
    <row r="7" spans="1:5" x14ac:dyDescent="0.75">
      <c r="A7" s="111">
        <v>5</v>
      </c>
      <c r="B7" s="111">
        <f t="shared" si="0"/>
        <v>1</v>
      </c>
      <c r="C7" s="111">
        <f t="shared" si="1"/>
        <v>2</v>
      </c>
      <c r="D7" s="109" t="str" cm="1">
        <f t="array" ref="D7">INDEX('RelFlt-Map2-1'!$I$7:$K$100,1+B7,C7)</f>
        <v/>
      </c>
    </row>
    <row r="8" spans="1:5" x14ac:dyDescent="0.75">
      <c r="A8" s="111">
        <v>6</v>
      </c>
      <c r="B8" s="111">
        <f t="shared" si="0"/>
        <v>1</v>
      </c>
      <c r="C8" s="111">
        <f t="shared" si="1"/>
        <v>3</v>
      </c>
      <c r="D8" s="109" t="str" cm="1">
        <f t="array" ref="D8">INDEX('RelFlt-Map2-1'!$I$7:$K$100,1+B8,C8)</f>
        <v/>
      </c>
    </row>
    <row r="9" spans="1:5" x14ac:dyDescent="0.75">
      <c r="A9" s="111">
        <v>7</v>
      </c>
      <c r="B9" s="111">
        <f t="shared" si="0"/>
        <v>2</v>
      </c>
      <c r="C9" s="111">
        <f t="shared" si="1"/>
        <v>1</v>
      </c>
      <c r="D9" s="109" t="str" cm="1">
        <f t="array" ref="D9">INDEX('RelFlt-Map2-1'!$I$7:$K$100,1+B9,C9)</f>
        <v/>
      </c>
    </row>
    <row r="10" spans="1:5" x14ac:dyDescent="0.75">
      <c r="A10" s="111">
        <v>8</v>
      </c>
      <c r="B10" s="111">
        <f t="shared" si="0"/>
        <v>2</v>
      </c>
      <c r="C10" s="111">
        <f t="shared" si="1"/>
        <v>2</v>
      </c>
      <c r="D10" s="109" t="str" cm="1">
        <f t="array" ref="D10">INDEX('RelFlt-Map2-1'!$I$7:$K$100,1+B10,C10)</f>
        <v/>
      </c>
    </row>
    <row r="11" spans="1:5" x14ac:dyDescent="0.75">
      <c r="A11" s="111">
        <v>9</v>
      </c>
      <c r="B11" s="111">
        <f t="shared" si="0"/>
        <v>2</v>
      </c>
      <c r="C11" s="111">
        <f t="shared" si="1"/>
        <v>3</v>
      </c>
      <c r="D11" s="109" t="str" cm="1">
        <f t="array" ref="D11">INDEX('RelFlt-Map2-1'!$I$7:$K$100,1+B11,C11)</f>
        <v/>
      </c>
    </row>
    <row r="12" spans="1:5" x14ac:dyDescent="0.75">
      <c r="A12" s="111">
        <v>10</v>
      </c>
      <c r="B12" s="111">
        <f t="shared" si="0"/>
        <v>3</v>
      </c>
      <c r="C12" s="111">
        <f t="shared" si="1"/>
        <v>1</v>
      </c>
      <c r="D12" s="109" t="str" cm="1">
        <f t="array" ref="D12">INDEX('RelFlt-Map2-1'!$I$7:$K$100,1+B12,C12)</f>
        <v/>
      </c>
    </row>
    <row r="13" spans="1:5" x14ac:dyDescent="0.75">
      <c r="A13" s="111">
        <v>11</v>
      </c>
      <c r="B13" s="111">
        <f t="shared" si="0"/>
        <v>3</v>
      </c>
      <c r="C13" s="111">
        <f t="shared" si="1"/>
        <v>2</v>
      </c>
      <c r="D13" s="109" t="str" cm="1">
        <f t="array" ref="D13">INDEX('RelFlt-Map2-1'!$I$7:$K$100,1+B13,C13)</f>
        <v/>
      </c>
    </row>
    <row r="14" spans="1:5" x14ac:dyDescent="0.75">
      <c r="A14" s="111">
        <v>12</v>
      </c>
      <c r="B14" s="111">
        <f t="shared" si="0"/>
        <v>3</v>
      </c>
      <c r="C14" s="111">
        <f t="shared" si="1"/>
        <v>3</v>
      </c>
      <c r="D14" s="109" t="str" cm="1">
        <f t="array" ref="D14">INDEX('RelFlt-Map2-1'!$I$7:$K$100,1+B14,C14)</f>
        <v/>
      </c>
    </row>
    <row r="15" spans="1:5" x14ac:dyDescent="0.75">
      <c r="A15" s="111">
        <v>13</v>
      </c>
      <c r="B15" s="111">
        <f t="shared" si="0"/>
        <v>4</v>
      </c>
      <c r="C15" s="111">
        <f t="shared" si="1"/>
        <v>1</v>
      </c>
      <c r="D15" s="109" t="str" cm="1">
        <f t="array" ref="D15">INDEX('RelFlt-Map2-1'!$I$7:$K$100,1+B15,C15)</f>
        <v/>
      </c>
    </row>
    <row r="16" spans="1:5" x14ac:dyDescent="0.75">
      <c r="A16" s="111">
        <v>14</v>
      </c>
      <c r="B16" s="111">
        <f t="shared" si="0"/>
        <v>4</v>
      </c>
      <c r="C16" s="111">
        <f t="shared" si="1"/>
        <v>2</v>
      </c>
      <c r="D16" s="109" t="str" cm="1">
        <f t="array" ref="D16">INDEX('RelFlt-Map2-1'!$I$7:$K$100,1+B16,C16)</f>
        <v/>
      </c>
    </row>
    <row r="17" spans="1:4" x14ac:dyDescent="0.75">
      <c r="A17" s="111">
        <v>15</v>
      </c>
      <c r="B17" s="111">
        <f t="shared" si="0"/>
        <v>4</v>
      </c>
      <c r="C17" s="111">
        <f t="shared" si="1"/>
        <v>3</v>
      </c>
      <c r="D17" s="109" t="str" cm="1">
        <f t="array" ref="D17">INDEX('RelFlt-Map2-1'!$I$7:$K$100,1+B17,C17)</f>
        <v/>
      </c>
    </row>
    <row r="18" spans="1:4" x14ac:dyDescent="0.75">
      <c r="A18" s="111">
        <v>16</v>
      </c>
      <c r="B18" s="111">
        <f t="shared" si="0"/>
        <v>5</v>
      </c>
      <c r="C18" s="111">
        <f t="shared" si="1"/>
        <v>1</v>
      </c>
      <c r="D18" s="109" t="str" cm="1">
        <f t="array" ref="D18">INDEX('RelFlt-Map2-1'!$I$7:$K$100,1+B18,C18)</f>
        <v/>
      </c>
    </row>
    <row r="19" spans="1:4" x14ac:dyDescent="0.75">
      <c r="A19" s="111">
        <v>17</v>
      </c>
      <c r="B19" s="111">
        <f t="shared" si="0"/>
        <v>5</v>
      </c>
      <c r="C19" s="111">
        <f t="shared" si="1"/>
        <v>2</v>
      </c>
      <c r="D19" s="109" t="str" cm="1">
        <f t="array" ref="D19">INDEX('RelFlt-Map2-1'!$I$7:$K$100,1+B19,C19)</f>
        <v/>
      </c>
    </row>
    <row r="20" spans="1:4" x14ac:dyDescent="0.75">
      <c r="A20" s="111">
        <v>18</v>
      </c>
      <c r="B20" s="111">
        <f t="shared" si="0"/>
        <v>5</v>
      </c>
      <c r="C20" s="111">
        <f t="shared" si="1"/>
        <v>3</v>
      </c>
      <c r="D20" s="109" t="str" cm="1">
        <f t="array" ref="D20">INDEX('RelFlt-Map2-1'!$I$7:$K$100,1+B20,C20)</f>
        <v/>
      </c>
    </row>
    <row r="21" spans="1:4" x14ac:dyDescent="0.75">
      <c r="A21" s="111">
        <v>19</v>
      </c>
      <c r="B21" s="111">
        <f t="shared" si="0"/>
        <v>6</v>
      </c>
      <c r="C21" s="111">
        <f t="shared" si="1"/>
        <v>1</v>
      </c>
      <c r="D21" s="109" t="str" cm="1">
        <f t="array" ref="D21">INDEX('RelFlt-Map2-1'!$I$7:$K$100,1+B21,C21)</f>
        <v/>
      </c>
    </row>
    <row r="22" spans="1:4" x14ac:dyDescent="0.75">
      <c r="A22" s="111">
        <v>20</v>
      </c>
      <c r="B22" s="111">
        <f t="shared" si="0"/>
        <v>6</v>
      </c>
      <c r="C22" s="111">
        <f t="shared" si="1"/>
        <v>2</v>
      </c>
      <c r="D22" s="109" t="str" cm="1">
        <f t="array" ref="D22">INDEX('RelFlt-Map2-1'!$I$7:$K$100,1+B22,C22)</f>
        <v/>
      </c>
    </row>
    <row r="23" spans="1:4" x14ac:dyDescent="0.75">
      <c r="A23" s="111">
        <v>21</v>
      </c>
      <c r="B23" s="111">
        <f t="shared" si="0"/>
        <v>6</v>
      </c>
      <c r="C23" s="111">
        <f t="shared" si="1"/>
        <v>3</v>
      </c>
      <c r="D23" s="109" t="str" cm="1">
        <f t="array" ref="D23">INDEX('RelFlt-Map2-1'!$I$7:$K$100,1+B23,C23)</f>
        <v/>
      </c>
    </row>
    <row r="24" spans="1:4" x14ac:dyDescent="0.75">
      <c r="A24" s="111">
        <v>22</v>
      </c>
      <c r="B24" s="111">
        <f t="shared" si="0"/>
        <v>7</v>
      </c>
      <c r="C24" s="111">
        <f t="shared" si="1"/>
        <v>1</v>
      </c>
      <c r="D24" s="109" t="str" cm="1">
        <f t="array" ref="D24">INDEX('RelFlt-Map2-1'!$I$7:$K$100,1+B24,C24)</f>
        <v/>
      </c>
    </row>
    <row r="25" spans="1:4" x14ac:dyDescent="0.75">
      <c r="A25" s="111">
        <v>23</v>
      </c>
      <c r="B25" s="111">
        <f t="shared" si="0"/>
        <v>7</v>
      </c>
      <c r="C25" s="111">
        <f t="shared" si="1"/>
        <v>2</v>
      </c>
      <c r="D25" s="109" t="str" cm="1">
        <f t="array" ref="D25">INDEX('RelFlt-Map2-1'!$I$7:$K$100,1+B25,C25)</f>
        <v/>
      </c>
    </row>
    <row r="26" spans="1:4" x14ac:dyDescent="0.75">
      <c r="A26" s="111">
        <v>24</v>
      </c>
      <c r="B26" s="111">
        <f t="shared" si="0"/>
        <v>7</v>
      </c>
      <c r="C26" s="111">
        <f t="shared" si="1"/>
        <v>3</v>
      </c>
      <c r="D26" s="109" t="str" cm="1">
        <f t="array" ref="D26">INDEX('RelFlt-Map2-1'!$I$7:$K$100,1+B26,C26)</f>
        <v/>
      </c>
    </row>
    <row r="27" spans="1:4" x14ac:dyDescent="0.75">
      <c r="A27" s="111">
        <v>25</v>
      </c>
      <c r="B27" s="111">
        <f t="shared" si="0"/>
        <v>8</v>
      </c>
      <c r="C27" s="111">
        <f t="shared" si="1"/>
        <v>1</v>
      </c>
      <c r="D27" s="109" t="str" cm="1">
        <f t="array" ref="D27">INDEX('RelFlt-Map2-1'!$I$7:$K$100,1+B27,C27)</f>
        <v/>
      </c>
    </row>
    <row r="28" spans="1:4" x14ac:dyDescent="0.75">
      <c r="A28" s="111">
        <v>26</v>
      </c>
      <c r="B28" s="111">
        <f t="shared" si="0"/>
        <v>8</v>
      </c>
      <c r="C28" s="111">
        <f t="shared" si="1"/>
        <v>2</v>
      </c>
      <c r="D28" s="109" t="str" cm="1">
        <f t="array" ref="D28">INDEX('RelFlt-Map2-1'!$I$7:$K$100,1+B28,C28)</f>
        <v/>
      </c>
    </row>
    <row r="29" spans="1:4" x14ac:dyDescent="0.75">
      <c r="A29" s="111">
        <v>27</v>
      </c>
      <c r="B29" s="111">
        <f t="shared" si="0"/>
        <v>8</v>
      </c>
      <c r="C29" s="111">
        <f t="shared" si="1"/>
        <v>3</v>
      </c>
      <c r="D29" s="109" t="str" cm="1">
        <f t="array" ref="D29">INDEX('RelFlt-Map2-1'!$I$7:$K$100,1+B29,C29)</f>
        <v/>
      </c>
    </row>
    <row r="30" spans="1:4" x14ac:dyDescent="0.75">
      <c r="A30" s="111">
        <v>28</v>
      </c>
      <c r="B30" s="111">
        <f t="shared" si="0"/>
        <v>9</v>
      </c>
      <c r="C30" s="111">
        <f t="shared" si="1"/>
        <v>1</v>
      </c>
      <c r="D30" s="109" t="str" cm="1">
        <f t="array" ref="D30">INDEX('RelFlt-Map2-1'!$I$7:$K$100,1+B30,C30)</f>
        <v/>
      </c>
    </row>
    <row r="31" spans="1:4" x14ac:dyDescent="0.75">
      <c r="A31" s="111">
        <v>29</v>
      </c>
      <c r="B31" s="111">
        <f t="shared" si="0"/>
        <v>9</v>
      </c>
      <c r="C31" s="111">
        <f t="shared" si="1"/>
        <v>2</v>
      </c>
      <c r="D31" s="109" t="str" cm="1">
        <f t="array" ref="D31">INDEX('RelFlt-Map2-1'!$I$7:$K$100,1+B31,C31)</f>
        <v/>
      </c>
    </row>
    <row r="32" spans="1:4" x14ac:dyDescent="0.75">
      <c r="A32" s="111">
        <v>30</v>
      </c>
      <c r="B32" s="111">
        <f t="shared" si="0"/>
        <v>9</v>
      </c>
      <c r="C32" s="111">
        <f t="shared" si="1"/>
        <v>3</v>
      </c>
      <c r="D32" s="109" t="str" cm="1">
        <f t="array" ref="D32">INDEX('RelFlt-Map2-1'!$I$7:$K$100,1+B32,C32)</f>
        <v/>
      </c>
    </row>
    <row r="33" spans="1:4" x14ac:dyDescent="0.75">
      <c r="A33" s="111">
        <v>31</v>
      </c>
      <c r="B33" s="111">
        <f t="shared" si="0"/>
        <v>10</v>
      </c>
      <c r="C33" s="111">
        <f t="shared" si="1"/>
        <v>1</v>
      </c>
      <c r="D33" s="109" t="str" cm="1">
        <f t="array" ref="D33">INDEX('RelFlt-Map2-1'!$I$7:$K$100,1+B33,C33)</f>
        <v/>
      </c>
    </row>
    <row r="34" spans="1:4" x14ac:dyDescent="0.75">
      <c r="A34" s="111">
        <v>32</v>
      </c>
      <c r="B34" s="111">
        <f t="shared" si="0"/>
        <v>10</v>
      </c>
      <c r="C34" s="111">
        <f t="shared" si="1"/>
        <v>2</v>
      </c>
      <c r="D34" s="109" t="str" cm="1">
        <f t="array" ref="D34">INDEX('RelFlt-Map2-1'!$I$7:$K$100,1+B34,C34)</f>
        <v/>
      </c>
    </row>
    <row r="35" spans="1:4" x14ac:dyDescent="0.75">
      <c r="A35" s="111">
        <v>33</v>
      </c>
      <c r="B35" s="111">
        <f t="shared" si="0"/>
        <v>10</v>
      </c>
      <c r="C35" s="111">
        <f t="shared" si="1"/>
        <v>3</v>
      </c>
      <c r="D35" s="109" t="str" cm="1">
        <f t="array" ref="D35">INDEX('RelFlt-Map2-1'!$I$7:$K$100,1+B35,C35)</f>
        <v/>
      </c>
    </row>
    <row r="36" spans="1:4" x14ac:dyDescent="0.75">
      <c r="A36" s="111">
        <v>34</v>
      </c>
      <c r="B36" s="111">
        <f t="shared" si="0"/>
        <v>11</v>
      </c>
      <c r="C36" s="111">
        <f t="shared" si="1"/>
        <v>1</v>
      </c>
      <c r="D36" s="109" t="str" cm="1">
        <f t="array" ref="D36">INDEX('RelFlt-Map2-1'!$I$7:$K$100,1+B36,C36)</f>
        <v/>
      </c>
    </row>
    <row r="37" spans="1:4" x14ac:dyDescent="0.75">
      <c r="A37" s="111">
        <v>35</v>
      </c>
      <c r="B37" s="111">
        <f t="shared" si="0"/>
        <v>11</v>
      </c>
      <c r="C37" s="111">
        <f t="shared" si="1"/>
        <v>2</v>
      </c>
      <c r="D37" s="109" t="str" cm="1">
        <f t="array" ref="D37">INDEX('RelFlt-Map2-1'!$I$7:$K$100,1+B37,C37)</f>
        <v/>
      </c>
    </row>
    <row r="38" spans="1:4" x14ac:dyDescent="0.75">
      <c r="A38" s="111">
        <v>36</v>
      </c>
      <c r="B38" s="111">
        <f t="shared" si="0"/>
        <v>11</v>
      </c>
      <c r="C38" s="111">
        <f t="shared" si="1"/>
        <v>3</v>
      </c>
      <c r="D38" s="109" t="str" cm="1">
        <f t="array" ref="D38">INDEX('RelFlt-Map2-1'!$I$7:$K$100,1+B38,C38)</f>
        <v/>
      </c>
    </row>
    <row r="39" spans="1:4" x14ac:dyDescent="0.75">
      <c r="A39" s="111">
        <v>37</v>
      </c>
      <c r="B39" s="111">
        <f t="shared" si="0"/>
        <v>12</v>
      </c>
      <c r="C39" s="111">
        <f t="shared" si="1"/>
        <v>1</v>
      </c>
      <c r="D39" s="109" t="str" cm="1">
        <f t="array" ref="D39">INDEX('RelFlt-Map2-1'!$I$7:$K$100,1+B39,C39)</f>
        <v/>
      </c>
    </row>
    <row r="40" spans="1:4" x14ac:dyDescent="0.75">
      <c r="A40" s="111">
        <v>38</v>
      </c>
      <c r="B40" s="111">
        <f t="shared" si="0"/>
        <v>12</v>
      </c>
      <c r="C40" s="111">
        <f t="shared" si="1"/>
        <v>2</v>
      </c>
      <c r="D40" s="109" t="str" cm="1">
        <f t="array" ref="D40">INDEX('RelFlt-Map2-1'!$I$7:$K$100,1+B40,C40)</f>
        <v/>
      </c>
    </row>
    <row r="41" spans="1:4" x14ac:dyDescent="0.75">
      <c r="A41" s="111">
        <v>39</v>
      </c>
      <c r="B41" s="111">
        <f t="shared" si="0"/>
        <v>12</v>
      </c>
      <c r="C41" s="111">
        <f t="shared" si="1"/>
        <v>3</v>
      </c>
      <c r="D41" s="109" t="str" cm="1">
        <f t="array" ref="D41">INDEX('RelFlt-Map2-1'!$I$7:$K$100,1+B41,C41)</f>
        <v/>
      </c>
    </row>
    <row r="42" spans="1:4" x14ac:dyDescent="0.75">
      <c r="A42" s="111">
        <v>40</v>
      </c>
      <c r="B42" s="111">
        <f t="shared" si="0"/>
        <v>13</v>
      </c>
      <c r="C42" s="111">
        <f t="shared" si="1"/>
        <v>1</v>
      </c>
      <c r="D42" s="109" t="str" cm="1">
        <f t="array" ref="D42">INDEX('RelFlt-Map2-1'!$I$7:$K$100,1+B42,C42)</f>
        <v/>
      </c>
    </row>
    <row r="43" spans="1:4" x14ac:dyDescent="0.75">
      <c r="A43" s="111">
        <v>41</v>
      </c>
      <c r="B43" s="111">
        <f t="shared" si="0"/>
        <v>13</v>
      </c>
      <c r="C43" s="111">
        <f t="shared" si="1"/>
        <v>2</v>
      </c>
      <c r="D43" s="109" t="str" cm="1">
        <f t="array" ref="D43">INDEX('RelFlt-Map2-1'!$I$7:$K$100,1+B43,C43)</f>
        <v/>
      </c>
    </row>
    <row r="44" spans="1:4" x14ac:dyDescent="0.75">
      <c r="A44" s="111">
        <v>42</v>
      </c>
      <c r="B44" s="111">
        <f t="shared" si="0"/>
        <v>13</v>
      </c>
      <c r="C44" s="111">
        <f t="shared" si="1"/>
        <v>3</v>
      </c>
      <c r="D44" s="109" t="str" cm="1">
        <f t="array" ref="D44">INDEX('RelFlt-Map2-1'!$I$7:$K$100,1+B44,C44)</f>
        <v/>
      </c>
    </row>
    <row r="45" spans="1:4" x14ac:dyDescent="0.75">
      <c r="A45" s="111">
        <v>43</v>
      </c>
      <c r="B45" s="111">
        <f t="shared" si="0"/>
        <v>14</v>
      </c>
      <c r="C45" s="111">
        <f t="shared" si="1"/>
        <v>1</v>
      </c>
      <c r="D45" s="109" t="str" cm="1">
        <f t="array" ref="D45">INDEX('RelFlt-Map2-1'!$I$7:$K$100,1+B45,C45)</f>
        <v/>
      </c>
    </row>
    <row r="46" spans="1:4" x14ac:dyDescent="0.75">
      <c r="A46" s="111">
        <v>44</v>
      </c>
      <c r="B46" s="111">
        <f t="shared" si="0"/>
        <v>14</v>
      </c>
      <c r="C46" s="111">
        <f t="shared" si="1"/>
        <v>2</v>
      </c>
      <c r="D46" s="109" t="str" cm="1">
        <f t="array" ref="D46">INDEX('RelFlt-Map2-1'!$I$7:$K$100,1+B46,C46)</f>
        <v/>
      </c>
    </row>
    <row r="47" spans="1:4" x14ac:dyDescent="0.75">
      <c r="A47" s="111">
        <v>45</v>
      </c>
      <c r="B47" s="111">
        <f t="shared" si="0"/>
        <v>14</v>
      </c>
      <c r="C47" s="111">
        <f t="shared" si="1"/>
        <v>3</v>
      </c>
      <c r="D47" s="109" t="str" cm="1">
        <f t="array" ref="D47">INDEX('RelFlt-Map2-1'!$I$7:$K$100,1+B47,C47)</f>
        <v/>
      </c>
    </row>
    <row r="48" spans="1:4" x14ac:dyDescent="0.75">
      <c r="A48" s="111">
        <v>46</v>
      </c>
      <c r="B48" s="111">
        <f t="shared" si="0"/>
        <v>15</v>
      </c>
      <c r="C48" s="111">
        <f t="shared" si="1"/>
        <v>1</v>
      </c>
      <c r="D48" s="109" t="str" cm="1">
        <f t="array" ref="D48">INDEX('RelFlt-Map2-1'!$I$7:$K$100,1+B48,C48)</f>
        <v/>
      </c>
    </row>
    <row r="49" spans="1:7" x14ac:dyDescent="0.75">
      <c r="A49" s="111">
        <v>47</v>
      </c>
      <c r="B49" s="111">
        <f t="shared" si="0"/>
        <v>15</v>
      </c>
      <c r="C49" s="111">
        <f t="shared" si="1"/>
        <v>2</v>
      </c>
      <c r="D49" s="109" t="str" cm="1">
        <f t="array" ref="D49">INDEX('RelFlt-Map2-1'!$I$7:$K$100,1+B49,C49)</f>
        <v/>
      </c>
    </row>
    <row r="50" spans="1:7" x14ac:dyDescent="0.75">
      <c r="A50" s="111">
        <v>48</v>
      </c>
      <c r="B50" s="111">
        <f t="shared" si="0"/>
        <v>15</v>
      </c>
      <c r="C50" s="111">
        <f t="shared" si="1"/>
        <v>3</v>
      </c>
      <c r="D50" s="109" t="str" cm="1">
        <f t="array" ref="D50">INDEX('RelFlt-Map2-1'!$I$7:$K$100,1+B50,C50)</f>
        <v/>
      </c>
    </row>
    <row r="51" spans="1:7" x14ac:dyDescent="0.75">
      <c r="A51" s="111">
        <v>49</v>
      </c>
      <c r="B51" s="111">
        <f t="shared" si="0"/>
        <v>16</v>
      </c>
      <c r="C51" s="111">
        <f t="shared" si="1"/>
        <v>1</v>
      </c>
      <c r="D51" s="109" t="str" cm="1">
        <f t="array" ref="D51">INDEX('RelFlt-Map2-1'!$I$7:$K$100,1+B51,C51)</f>
        <v/>
      </c>
    </row>
    <row r="52" spans="1:7" x14ac:dyDescent="0.75">
      <c r="A52" s="111">
        <v>50</v>
      </c>
      <c r="B52" s="111">
        <f t="shared" si="0"/>
        <v>16</v>
      </c>
      <c r="C52" s="111">
        <f t="shared" si="1"/>
        <v>2</v>
      </c>
      <c r="D52" s="109" t="str" cm="1">
        <f t="array" ref="D52">INDEX('RelFlt-Map2-1'!$I$7:$K$100,1+B52,C52)</f>
        <v/>
      </c>
    </row>
    <row r="53" spans="1:7" x14ac:dyDescent="0.75">
      <c r="A53" s="111">
        <v>51</v>
      </c>
      <c r="B53" s="111">
        <f t="shared" si="0"/>
        <v>16</v>
      </c>
      <c r="C53" s="111">
        <f t="shared" si="1"/>
        <v>3</v>
      </c>
      <c r="D53" s="109" t="str" cm="1">
        <f t="array" ref="D53">INDEX('RelFlt-Map2-1'!$I$7:$K$100,1+B53,C53)</f>
        <v/>
      </c>
    </row>
    <row r="54" spans="1:7" x14ac:dyDescent="0.75">
      <c r="A54" s="111">
        <v>52</v>
      </c>
      <c r="B54" s="111">
        <f t="shared" si="0"/>
        <v>17</v>
      </c>
      <c r="C54" s="111">
        <f t="shared" si="1"/>
        <v>1</v>
      </c>
      <c r="D54" s="109" t="str" cm="1">
        <f t="array" ref="D54">INDEX('RelFlt-Map2-1'!$I$7:$K$100,1+B54,C54)</f>
        <v/>
      </c>
    </row>
    <row r="55" spans="1:7" x14ac:dyDescent="0.75">
      <c r="A55" s="111">
        <v>53</v>
      </c>
      <c r="B55" s="111">
        <f t="shared" si="0"/>
        <v>17</v>
      </c>
      <c r="C55" s="111">
        <f t="shared" si="1"/>
        <v>2</v>
      </c>
      <c r="D55" s="109" t="str" cm="1">
        <f t="array" ref="D55">INDEX('RelFlt-Map2-1'!$I$7:$K$100,1+B55,C55)</f>
        <v/>
      </c>
      <c r="G55" s="14"/>
    </row>
    <row r="56" spans="1:7" x14ac:dyDescent="0.75">
      <c r="A56" s="111">
        <v>54</v>
      </c>
      <c r="B56" s="111">
        <f t="shared" si="0"/>
        <v>17</v>
      </c>
      <c r="C56" s="111">
        <f t="shared" si="1"/>
        <v>3</v>
      </c>
      <c r="D56" s="109" t="str" cm="1">
        <f t="array" ref="D56">INDEX('RelFlt-Map2-1'!$I$7:$K$100,1+B56,C56)</f>
        <v/>
      </c>
    </row>
    <row r="57" spans="1:7" x14ac:dyDescent="0.75">
      <c r="A57" s="111">
        <v>55</v>
      </c>
      <c r="B57" s="111">
        <f t="shared" si="0"/>
        <v>18</v>
      </c>
      <c r="C57" s="111">
        <f t="shared" si="1"/>
        <v>1</v>
      </c>
      <c r="D57" s="109" t="str" cm="1">
        <f t="array" ref="D57">INDEX('RelFlt-Map2-1'!$I$7:$K$100,1+B57,C57)</f>
        <v/>
      </c>
    </row>
    <row r="58" spans="1:7" x14ac:dyDescent="0.75">
      <c r="A58" s="111">
        <v>56</v>
      </c>
      <c r="B58" s="111">
        <f t="shared" si="0"/>
        <v>18</v>
      </c>
      <c r="C58" s="111">
        <f t="shared" si="1"/>
        <v>2</v>
      </c>
      <c r="D58" s="109" t="str" cm="1">
        <f t="array" ref="D58">INDEX('RelFlt-Map2-1'!$I$7:$K$100,1+B58,C58)</f>
        <v/>
      </c>
    </row>
    <row r="59" spans="1:7" x14ac:dyDescent="0.75">
      <c r="A59" s="111">
        <v>57</v>
      </c>
      <c r="B59" s="111">
        <f t="shared" si="0"/>
        <v>18</v>
      </c>
      <c r="C59" s="111">
        <f t="shared" si="1"/>
        <v>3</v>
      </c>
      <c r="D59" s="109" t="str" cm="1">
        <f t="array" ref="D59">INDEX('RelFlt-Map2-1'!$I$7:$K$100,1+B59,C59)</f>
        <v/>
      </c>
    </row>
    <row r="60" spans="1:7" x14ac:dyDescent="0.75">
      <c r="A60" s="111">
        <v>58</v>
      </c>
      <c r="B60" s="111">
        <f t="shared" si="0"/>
        <v>19</v>
      </c>
      <c r="C60" s="111">
        <f t="shared" si="1"/>
        <v>1</v>
      </c>
      <c r="D60" s="109" t="str" cm="1">
        <f t="array" ref="D60">INDEX('RelFlt-Map2-1'!$I$7:$K$100,1+B60,C60)</f>
        <v/>
      </c>
    </row>
    <row r="61" spans="1:7" x14ac:dyDescent="0.75">
      <c r="A61" s="111">
        <v>59</v>
      </c>
      <c r="B61" s="111">
        <f t="shared" si="0"/>
        <v>19</v>
      </c>
      <c r="C61" s="111">
        <f t="shared" si="1"/>
        <v>2</v>
      </c>
      <c r="D61" s="109" t="str" cm="1">
        <f t="array" ref="D61">INDEX('RelFlt-Map2-1'!$I$7:$K$100,1+B61,C61)</f>
        <v/>
      </c>
    </row>
    <row r="62" spans="1:7" x14ac:dyDescent="0.75">
      <c r="A62" s="111">
        <v>60</v>
      </c>
      <c r="B62" s="111">
        <f t="shared" si="0"/>
        <v>19</v>
      </c>
      <c r="C62" s="111">
        <f t="shared" si="1"/>
        <v>3</v>
      </c>
      <c r="D62" s="109" t="str" cm="1">
        <f t="array" ref="D62">INDEX('RelFlt-Map2-1'!$I$7:$K$100,1+B62,C62)</f>
        <v/>
      </c>
    </row>
    <row r="63" spans="1:7" x14ac:dyDescent="0.75">
      <c r="A63" s="111">
        <v>61</v>
      </c>
      <c r="B63" s="111">
        <f t="shared" si="0"/>
        <v>20</v>
      </c>
      <c r="C63" s="111">
        <f t="shared" si="1"/>
        <v>1</v>
      </c>
      <c r="D63" s="109" t="str" cm="1">
        <f t="array" ref="D63">INDEX('RelFlt-Map2-1'!$I$7:$K$100,1+B63,C63)</f>
        <v/>
      </c>
    </row>
    <row r="64" spans="1:7" x14ac:dyDescent="0.75">
      <c r="A64" s="111">
        <v>62</v>
      </c>
      <c r="B64" s="111">
        <f t="shared" si="0"/>
        <v>20</v>
      </c>
      <c r="C64" s="111">
        <f t="shared" si="1"/>
        <v>2</v>
      </c>
      <c r="D64" s="109" t="str" cm="1">
        <f t="array" ref="D64">INDEX('RelFlt-Map2-1'!$I$7:$K$100,1+B64,C64)</f>
        <v/>
      </c>
    </row>
    <row r="65" spans="1:4" x14ac:dyDescent="0.75">
      <c r="A65" s="111">
        <v>63</v>
      </c>
      <c r="B65" s="111">
        <f t="shared" si="0"/>
        <v>20</v>
      </c>
      <c r="C65" s="111">
        <f t="shared" si="1"/>
        <v>3</v>
      </c>
      <c r="D65" s="109" t="str" cm="1">
        <f t="array" ref="D65">INDEX('RelFlt-Map2-1'!$I$7:$K$100,1+B65,C65)</f>
        <v/>
      </c>
    </row>
    <row r="66" spans="1:4" x14ac:dyDescent="0.75">
      <c r="A66" s="111">
        <v>64</v>
      </c>
      <c r="B66" s="111">
        <f t="shared" si="0"/>
        <v>21</v>
      </c>
      <c r="C66" s="111">
        <f t="shared" si="1"/>
        <v>1</v>
      </c>
      <c r="D66" s="109" t="str" cm="1">
        <f t="array" ref="D66">INDEX('RelFlt-Map2-1'!$I$7:$K$100,1+B66,C66)</f>
        <v/>
      </c>
    </row>
    <row r="67" spans="1:4" x14ac:dyDescent="0.75">
      <c r="A67" s="111">
        <v>65</v>
      </c>
      <c r="B67" s="111">
        <f t="shared" si="0"/>
        <v>21</v>
      </c>
      <c r="C67" s="111">
        <f t="shared" si="1"/>
        <v>2</v>
      </c>
      <c r="D67" s="109" t="str" cm="1">
        <f t="array" ref="D67">INDEX('RelFlt-Map2-1'!$I$7:$K$100,1+B67,C67)</f>
        <v/>
      </c>
    </row>
    <row r="68" spans="1:4" x14ac:dyDescent="0.75">
      <c r="A68" s="111">
        <v>66</v>
      </c>
      <c r="B68" s="111">
        <f t="shared" ref="B68:B131" si="2">IF(MOD(A68,3)=0,A68/3-1,INT(A68/3))</f>
        <v>21</v>
      </c>
      <c r="C68" s="111">
        <f t="shared" ref="C68:C131" si="3">IF(MOD(A68,3)=0,3,MOD(A68,3))</f>
        <v>3</v>
      </c>
      <c r="D68" s="109" t="str" cm="1">
        <f t="array" ref="D68">INDEX('RelFlt-Map2-1'!$I$7:$K$100,1+B68,C68)</f>
        <v/>
      </c>
    </row>
    <row r="69" spans="1:4" x14ac:dyDescent="0.75">
      <c r="A69" s="111">
        <v>67</v>
      </c>
      <c r="B69" s="111">
        <f t="shared" si="2"/>
        <v>22</v>
      </c>
      <c r="C69" s="111">
        <f t="shared" si="3"/>
        <v>1</v>
      </c>
      <c r="D69" s="109" t="str" cm="1">
        <f t="array" ref="D69">INDEX('RelFlt-Map2-1'!$I$7:$K$100,1+B69,C69)</f>
        <v/>
      </c>
    </row>
    <row r="70" spans="1:4" x14ac:dyDescent="0.75">
      <c r="A70" s="111">
        <v>68</v>
      </c>
      <c r="B70" s="111">
        <f t="shared" si="2"/>
        <v>22</v>
      </c>
      <c r="C70" s="111">
        <f t="shared" si="3"/>
        <v>2</v>
      </c>
      <c r="D70" s="109" t="str" cm="1">
        <f t="array" ref="D70">INDEX('RelFlt-Map2-1'!$I$7:$K$100,1+B70,C70)</f>
        <v/>
      </c>
    </row>
    <row r="71" spans="1:4" x14ac:dyDescent="0.75">
      <c r="A71" s="111">
        <v>69</v>
      </c>
      <c r="B71" s="111">
        <f t="shared" si="2"/>
        <v>22</v>
      </c>
      <c r="C71" s="111">
        <f t="shared" si="3"/>
        <v>3</v>
      </c>
      <c r="D71" s="109" t="str" cm="1">
        <f t="array" ref="D71">INDEX('RelFlt-Map2-1'!$I$7:$K$100,1+B71,C71)</f>
        <v/>
      </c>
    </row>
    <row r="72" spans="1:4" x14ac:dyDescent="0.75">
      <c r="A72" s="111">
        <v>70</v>
      </c>
      <c r="B72" s="111">
        <f t="shared" si="2"/>
        <v>23</v>
      </c>
      <c r="C72" s="111">
        <f t="shared" si="3"/>
        <v>1</v>
      </c>
      <c r="D72" s="109" t="str" cm="1">
        <f t="array" ref="D72">INDEX('RelFlt-Map2-1'!$I$7:$K$100,1+B72,C72)</f>
        <v/>
      </c>
    </row>
    <row r="73" spans="1:4" x14ac:dyDescent="0.75">
      <c r="A73" s="111">
        <v>71</v>
      </c>
      <c r="B73" s="111">
        <f t="shared" si="2"/>
        <v>23</v>
      </c>
      <c r="C73" s="111">
        <f t="shared" si="3"/>
        <v>2</v>
      </c>
      <c r="D73" s="109" t="str" cm="1">
        <f t="array" ref="D73">INDEX('RelFlt-Map2-1'!$I$7:$K$100,1+B73,C73)</f>
        <v/>
      </c>
    </row>
    <row r="74" spans="1:4" x14ac:dyDescent="0.75">
      <c r="A74" s="111">
        <v>72</v>
      </c>
      <c r="B74" s="111">
        <f t="shared" si="2"/>
        <v>23</v>
      </c>
      <c r="C74" s="111">
        <f t="shared" si="3"/>
        <v>3</v>
      </c>
      <c r="D74" s="109" t="str" cm="1">
        <f t="array" ref="D74">INDEX('RelFlt-Map2-1'!$I$7:$K$100,1+B74,C74)</f>
        <v/>
      </c>
    </row>
    <row r="75" spans="1:4" x14ac:dyDescent="0.75">
      <c r="A75" s="111">
        <v>73</v>
      </c>
      <c r="B75" s="111">
        <f t="shared" si="2"/>
        <v>24</v>
      </c>
      <c r="C75" s="111">
        <f t="shared" si="3"/>
        <v>1</v>
      </c>
      <c r="D75" s="109" t="str" cm="1">
        <f t="array" ref="D75">INDEX('RelFlt-Map2-1'!$I$7:$K$100,1+B75,C75)</f>
        <v/>
      </c>
    </row>
    <row r="76" spans="1:4" x14ac:dyDescent="0.75">
      <c r="A76" s="111">
        <v>74</v>
      </c>
      <c r="B76" s="111">
        <f t="shared" si="2"/>
        <v>24</v>
      </c>
      <c r="C76" s="111">
        <f t="shared" si="3"/>
        <v>2</v>
      </c>
      <c r="D76" s="109" t="str" cm="1">
        <f t="array" ref="D76">INDEX('RelFlt-Map2-1'!$I$7:$K$100,1+B76,C76)</f>
        <v/>
      </c>
    </row>
    <row r="77" spans="1:4" x14ac:dyDescent="0.75">
      <c r="A77" s="111">
        <v>75</v>
      </c>
      <c r="B77" s="111">
        <f t="shared" si="2"/>
        <v>24</v>
      </c>
      <c r="C77" s="111">
        <f t="shared" si="3"/>
        <v>3</v>
      </c>
      <c r="D77" s="109" t="str" cm="1">
        <f t="array" ref="D77">INDEX('RelFlt-Map2-1'!$I$7:$K$100,1+B77,C77)</f>
        <v/>
      </c>
    </row>
    <row r="78" spans="1:4" x14ac:dyDescent="0.75">
      <c r="A78" s="111">
        <v>76</v>
      </c>
      <c r="B78" s="111">
        <f t="shared" si="2"/>
        <v>25</v>
      </c>
      <c r="C78" s="111">
        <f t="shared" si="3"/>
        <v>1</v>
      </c>
      <c r="D78" s="109" t="str" cm="1">
        <f t="array" ref="D78">INDEX('RelFlt-Map2-1'!$I$7:$K$100,1+B78,C78)</f>
        <v/>
      </c>
    </row>
    <row r="79" spans="1:4" x14ac:dyDescent="0.75">
      <c r="A79" s="111">
        <v>77</v>
      </c>
      <c r="B79" s="111">
        <f t="shared" si="2"/>
        <v>25</v>
      </c>
      <c r="C79" s="111">
        <f t="shared" si="3"/>
        <v>2</v>
      </c>
      <c r="D79" s="109" t="str" cm="1">
        <f t="array" ref="D79">INDEX('RelFlt-Map2-1'!$I$7:$K$100,1+B79,C79)</f>
        <v/>
      </c>
    </row>
    <row r="80" spans="1:4" x14ac:dyDescent="0.75">
      <c r="A80" s="111">
        <v>78</v>
      </c>
      <c r="B80" s="111">
        <f t="shared" si="2"/>
        <v>25</v>
      </c>
      <c r="C80" s="111">
        <f t="shared" si="3"/>
        <v>3</v>
      </c>
      <c r="D80" s="109" t="str" cm="1">
        <f t="array" ref="D80">INDEX('RelFlt-Map2-1'!$I$7:$K$100,1+B80,C80)</f>
        <v/>
      </c>
    </row>
    <row r="81" spans="1:4" x14ac:dyDescent="0.75">
      <c r="A81" s="111">
        <v>79</v>
      </c>
      <c r="B81" s="111">
        <f t="shared" si="2"/>
        <v>26</v>
      </c>
      <c r="C81" s="111">
        <f t="shared" si="3"/>
        <v>1</v>
      </c>
      <c r="D81" s="109" t="str" cm="1">
        <f t="array" ref="D81">INDEX('RelFlt-Map2-1'!$I$7:$K$100,1+B81,C81)</f>
        <v/>
      </c>
    </row>
    <row r="82" spans="1:4" x14ac:dyDescent="0.75">
      <c r="A82" s="111">
        <v>80</v>
      </c>
      <c r="B82" s="111">
        <f t="shared" si="2"/>
        <v>26</v>
      </c>
      <c r="C82" s="111">
        <f t="shared" si="3"/>
        <v>2</v>
      </c>
      <c r="D82" s="109" t="str" cm="1">
        <f t="array" ref="D82">INDEX('RelFlt-Map2-1'!$I$7:$K$100,1+B82,C82)</f>
        <v/>
      </c>
    </row>
    <row r="83" spans="1:4" x14ac:dyDescent="0.75">
      <c r="A83" s="111">
        <v>81</v>
      </c>
      <c r="B83" s="111">
        <f t="shared" si="2"/>
        <v>26</v>
      </c>
      <c r="C83" s="111">
        <f t="shared" si="3"/>
        <v>3</v>
      </c>
      <c r="D83" s="109" t="str" cm="1">
        <f t="array" ref="D83">INDEX('RelFlt-Map2-1'!$I$7:$K$100,1+B83,C83)</f>
        <v/>
      </c>
    </row>
    <row r="84" spans="1:4" x14ac:dyDescent="0.75">
      <c r="A84" s="111">
        <v>82</v>
      </c>
      <c r="B84" s="111">
        <f t="shared" si="2"/>
        <v>27</v>
      </c>
      <c r="C84" s="111">
        <f t="shared" si="3"/>
        <v>1</v>
      </c>
      <c r="D84" s="109" t="str" cm="1">
        <f t="array" ref="D84">INDEX('RelFlt-Map2-1'!$I$7:$K$100,1+B84,C84)</f>
        <v/>
      </c>
    </row>
    <row r="85" spans="1:4" x14ac:dyDescent="0.75">
      <c r="A85" s="111">
        <v>83</v>
      </c>
      <c r="B85" s="111">
        <f t="shared" si="2"/>
        <v>27</v>
      </c>
      <c r="C85" s="111">
        <f t="shared" si="3"/>
        <v>2</v>
      </c>
      <c r="D85" s="109" t="str" cm="1">
        <f t="array" ref="D85">INDEX('RelFlt-Map2-1'!$I$7:$K$100,1+B85,C85)</f>
        <v/>
      </c>
    </row>
    <row r="86" spans="1:4" x14ac:dyDescent="0.75">
      <c r="A86" s="111">
        <v>84</v>
      </c>
      <c r="B86" s="111">
        <f t="shared" si="2"/>
        <v>27</v>
      </c>
      <c r="C86" s="111">
        <f t="shared" si="3"/>
        <v>3</v>
      </c>
      <c r="D86" s="109" t="str" cm="1">
        <f t="array" ref="D86">INDEX('RelFlt-Map2-1'!$I$7:$K$100,1+B86,C86)</f>
        <v/>
      </c>
    </row>
    <row r="87" spans="1:4" x14ac:dyDescent="0.75">
      <c r="A87" s="111">
        <v>85</v>
      </c>
      <c r="B87" s="111">
        <f t="shared" si="2"/>
        <v>28</v>
      </c>
      <c r="C87" s="111">
        <f t="shared" si="3"/>
        <v>1</v>
      </c>
      <c r="D87" s="109" t="str" cm="1">
        <f t="array" ref="D87">INDEX('RelFlt-Map2-1'!$I$7:$K$100,1+B87,C87)</f>
        <v/>
      </c>
    </row>
    <row r="88" spans="1:4" x14ac:dyDescent="0.75">
      <c r="A88" s="111">
        <v>86</v>
      </c>
      <c r="B88" s="111">
        <f t="shared" si="2"/>
        <v>28</v>
      </c>
      <c r="C88" s="111">
        <f t="shared" si="3"/>
        <v>2</v>
      </c>
      <c r="D88" s="109" t="str" cm="1">
        <f t="array" ref="D88">INDEX('RelFlt-Map2-1'!$I$7:$K$100,1+B88,C88)</f>
        <v/>
      </c>
    </row>
    <row r="89" spans="1:4" x14ac:dyDescent="0.75">
      <c r="A89" s="111">
        <v>87</v>
      </c>
      <c r="B89" s="111">
        <f t="shared" si="2"/>
        <v>28</v>
      </c>
      <c r="C89" s="111">
        <f t="shared" si="3"/>
        <v>3</v>
      </c>
      <c r="D89" s="109" t="str" cm="1">
        <f t="array" ref="D89">INDEX('RelFlt-Map2-1'!$I$7:$K$100,1+B89,C89)</f>
        <v/>
      </c>
    </row>
    <row r="90" spans="1:4" x14ac:dyDescent="0.75">
      <c r="A90" s="111">
        <v>88</v>
      </c>
      <c r="B90" s="111">
        <f t="shared" si="2"/>
        <v>29</v>
      </c>
      <c r="C90" s="111">
        <f t="shared" si="3"/>
        <v>1</v>
      </c>
      <c r="D90" s="109" t="str" cm="1">
        <f t="array" ref="D90">INDEX('RelFlt-Map2-1'!$I$7:$K$100,1+B90,C90)</f>
        <v/>
      </c>
    </row>
    <row r="91" spans="1:4" x14ac:dyDescent="0.75">
      <c r="A91" s="111">
        <v>89</v>
      </c>
      <c r="B91" s="111">
        <f t="shared" si="2"/>
        <v>29</v>
      </c>
      <c r="C91" s="111">
        <f t="shared" si="3"/>
        <v>2</v>
      </c>
      <c r="D91" s="109" t="str" cm="1">
        <f t="array" ref="D91">INDEX('RelFlt-Map2-1'!$I$7:$K$100,1+B91,C91)</f>
        <v/>
      </c>
    </row>
    <row r="92" spans="1:4" x14ac:dyDescent="0.75">
      <c r="A92" s="111">
        <v>90</v>
      </c>
      <c r="B92" s="111">
        <f t="shared" si="2"/>
        <v>29</v>
      </c>
      <c r="C92" s="111">
        <f t="shared" si="3"/>
        <v>3</v>
      </c>
      <c r="D92" s="109" t="str" cm="1">
        <f t="array" ref="D92">INDEX('RelFlt-Map2-1'!$I$7:$K$100,1+B92,C92)</f>
        <v/>
      </c>
    </row>
    <row r="93" spans="1:4" x14ac:dyDescent="0.75">
      <c r="A93" s="111">
        <v>91</v>
      </c>
      <c r="B93" s="111">
        <f t="shared" si="2"/>
        <v>30</v>
      </c>
      <c r="C93" s="111">
        <f t="shared" si="3"/>
        <v>1</v>
      </c>
      <c r="D93" s="109" t="str" cm="1">
        <f t="array" ref="D93">INDEX('RelFlt-Map2-1'!$I$7:$K$100,1+B93,C93)</f>
        <v/>
      </c>
    </row>
    <row r="94" spans="1:4" x14ac:dyDescent="0.75">
      <c r="A94" s="111">
        <v>92</v>
      </c>
      <c r="B94" s="111">
        <f t="shared" si="2"/>
        <v>30</v>
      </c>
      <c r="C94" s="111">
        <f t="shared" si="3"/>
        <v>2</v>
      </c>
      <c r="D94" s="109" t="str" cm="1">
        <f t="array" ref="D94">INDEX('RelFlt-Map2-1'!$I$7:$K$100,1+B94,C94)</f>
        <v/>
      </c>
    </row>
    <row r="95" spans="1:4" x14ac:dyDescent="0.75">
      <c r="A95" s="111">
        <v>93</v>
      </c>
      <c r="B95" s="111">
        <f t="shared" si="2"/>
        <v>30</v>
      </c>
      <c r="C95" s="111">
        <f t="shared" si="3"/>
        <v>3</v>
      </c>
      <c r="D95" s="109" t="str" cm="1">
        <f t="array" ref="D95">INDEX('RelFlt-Map2-1'!$I$7:$K$100,1+B95,C95)</f>
        <v/>
      </c>
    </row>
    <row r="96" spans="1:4" x14ac:dyDescent="0.75">
      <c r="A96" s="111">
        <v>94</v>
      </c>
      <c r="B96" s="111">
        <f t="shared" si="2"/>
        <v>31</v>
      </c>
      <c r="C96" s="111">
        <f t="shared" si="3"/>
        <v>1</v>
      </c>
      <c r="D96" s="109" t="str" cm="1">
        <f t="array" ref="D96">INDEX('RelFlt-Map2-1'!$I$7:$K$100,1+B96,C96)</f>
        <v/>
      </c>
    </row>
    <row r="97" spans="1:4" x14ac:dyDescent="0.75">
      <c r="A97" s="111">
        <v>95</v>
      </c>
      <c r="B97" s="111">
        <f t="shared" si="2"/>
        <v>31</v>
      </c>
      <c r="C97" s="111">
        <f t="shared" si="3"/>
        <v>2</v>
      </c>
      <c r="D97" s="109" t="str" cm="1">
        <f t="array" ref="D97">INDEX('RelFlt-Map2-1'!$I$7:$K$100,1+B97,C97)</f>
        <v/>
      </c>
    </row>
    <row r="98" spans="1:4" x14ac:dyDescent="0.75">
      <c r="A98" s="111">
        <v>96</v>
      </c>
      <c r="B98" s="111">
        <f t="shared" si="2"/>
        <v>31</v>
      </c>
      <c r="C98" s="111">
        <f t="shared" si="3"/>
        <v>3</v>
      </c>
      <c r="D98" s="109" t="str" cm="1">
        <f t="array" ref="D98">INDEX('RelFlt-Map2-1'!$I$7:$K$100,1+B98,C98)</f>
        <v/>
      </c>
    </row>
    <row r="99" spans="1:4" x14ac:dyDescent="0.75">
      <c r="A99" s="111">
        <v>97</v>
      </c>
      <c r="B99" s="111">
        <f t="shared" si="2"/>
        <v>32</v>
      </c>
      <c r="C99" s="111">
        <f t="shared" si="3"/>
        <v>1</v>
      </c>
      <c r="D99" s="109" t="str" cm="1">
        <f t="array" ref="D99">INDEX('RelFlt-Map2-1'!$I$7:$K$100,1+B99,C99)</f>
        <v/>
      </c>
    </row>
    <row r="100" spans="1:4" x14ac:dyDescent="0.75">
      <c r="A100" s="111">
        <v>98</v>
      </c>
      <c r="B100" s="111">
        <f t="shared" si="2"/>
        <v>32</v>
      </c>
      <c r="C100" s="111">
        <f t="shared" si="3"/>
        <v>2</v>
      </c>
      <c r="D100" s="109" t="str" cm="1">
        <f t="array" ref="D100">INDEX('RelFlt-Map2-1'!$I$7:$K$100,1+B100,C100)</f>
        <v/>
      </c>
    </row>
    <row r="101" spans="1:4" x14ac:dyDescent="0.75">
      <c r="A101" s="111">
        <v>99</v>
      </c>
      <c r="B101" s="111">
        <f t="shared" si="2"/>
        <v>32</v>
      </c>
      <c r="C101" s="111">
        <f t="shared" si="3"/>
        <v>3</v>
      </c>
      <c r="D101" s="109" t="str" cm="1">
        <f t="array" ref="D101">INDEX('RelFlt-Map2-1'!$I$7:$K$100,1+B101,C101)</f>
        <v/>
      </c>
    </row>
    <row r="102" spans="1:4" x14ac:dyDescent="0.75">
      <c r="A102" s="111">
        <v>100</v>
      </c>
      <c r="B102" s="111">
        <f t="shared" si="2"/>
        <v>33</v>
      </c>
      <c r="C102" s="111">
        <f t="shared" si="3"/>
        <v>1</v>
      </c>
      <c r="D102" s="109" t="str" cm="1">
        <f t="array" ref="D102">INDEX('RelFlt-Map2-1'!$I$7:$K$100,1+B102,C102)</f>
        <v/>
      </c>
    </row>
    <row r="103" spans="1:4" x14ac:dyDescent="0.75">
      <c r="A103" s="111">
        <v>101</v>
      </c>
      <c r="B103" s="111">
        <f t="shared" si="2"/>
        <v>33</v>
      </c>
      <c r="C103" s="111">
        <f t="shared" si="3"/>
        <v>2</v>
      </c>
      <c r="D103" s="109" t="str" cm="1">
        <f t="array" ref="D103">INDEX('RelFlt-Map2-1'!$I$7:$K$100,1+B103,C103)</f>
        <v/>
      </c>
    </row>
    <row r="104" spans="1:4" x14ac:dyDescent="0.75">
      <c r="A104" s="111">
        <v>102</v>
      </c>
      <c r="B104" s="111">
        <f t="shared" si="2"/>
        <v>33</v>
      </c>
      <c r="C104" s="111">
        <f t="shared" si="3"/>
        <v>3</v>
      </c>
      <c r="D104" s="109" t="str" cm="1">
        <f t="array" ref="D104">INDEX('RelFlt-Map2-1'!$I$7:$K$100,1+B104,C104)</f>
        <v/>
      </c>
    </row>
    <row r="105" spans="1:4" x14ac:dyDescent="0.75">
      <c r="A105" s="111">
        <v>103</v>
      </c>
      <c r="B105" s="111">
        <f t="shared" si="2"/>
        <v>34</v>
      </c>
      <c r="C105" s="111">
        <f t="shared" si="3"/>
        <v>1</v>
      </c>
      <c r="D105" s="109" t="str" cm="1">
        <f t="array" ref="D105">INDEX('RelFlt-Map2-1'!$I$7:$K$100,1+B105,C105)</f>
        <v/>
      </c>
    </row>
    <row r="106" spans="1:4" x14ac:dyDescent="0.75">
      <c r="A106" s="111">
        <v>104</v>
      </c>
      <c r="B106" s="111">
        <f t="shared" si="2"/>
        <v>34</v>
      </c>
      <c r="C106" s="111">
        <f t="shared" si="3"/>
        <v>2</v>
      </c>
      <c r="D106" s="109" t="str" cm="1">
        <f t="array" ref="D106">INDEX('RelFlt-Map2-1'!$I$7:$K$100,1+B106,C106)</f>
        <v/>
      </c>
    </row>
    <row r="107" spans="1:4" x14ac:dyDescent="0.75">
      <c r="A107" s="111">
        <v>105</v>
      </c>
      <c r="B107" s="111">
        <f t="shared" si="2"/>
        <v>34</v>
      </c>
      <c r="C107" s="111">
        <f t="shared" si="3"/>
        <v>3</v>
      </c>
      <c r="D107" s="109" t="str" cm="1">
        <f t="array" ref="D107">INDEX('RelFlt-Map2-1'!$I$7:$K$100,1+B107,C107)</f>
        <v/>
      </c>
    </row>
    <row r="108" spans="1:4" x14ac:dyDescent="0.75">
      <c r="A108" s="111">
        <v>106</v>
      </c>
      <c r="B108" s="111">
        <f t="shared" si="2"/>
        <v>35</v>
      </c>
      <c r="C108" s="111">
        <f t="shared" si="3"/>
        <v>1</v>
      </c>
      <c r="D108" s="109" t="str" cm="1">
        <f t="array" ref="D108">INDEX('RelFlt-Map2-1'!$I$7:$K$100,1+B108,C108)</f>
        <v/>
      </c>
    </row>
    <row r="109" spans="1:4" x14ac:dyDescent="0.75">
      <c r="A109" s="111">
        <v>107</v>
      </c>
      <c r="B109" s="111">
        <f t="shared" si="2"/>
        <v>35</v>
      </c>
      <c r="C109" s="111">
        <f t="shared" si="3"/>
        <v>2</v>
      </c>
      <c r="D109" s="109" t="str" cm="1">
        <f t="array" ref="D109">INDEX('RelFlt-Map2-1'!$I$7:$K$100,1+B109,C109)</f>
        <v/>
      </c>
    </row>
    <row r="110" spans="1:4" x14ac:dyDescent="0.75">
      <c r="A110" s="111">
        <v>108</v>
      </c>
      <c r="B110" s="111">
        <f t="shared" si="2"/>
        <v>35</v>
      </c>
      <c r="C110" s="111">
        <f t="shared" si="3"/>
        <v>3</v>
      </c>
      <c r="D110" s="109" t="str" cm="1">
        <f t="array" ref="D110">INDEX('RelFlt-Map2-1'!$I$7:$K$100,1+B110,C110)</f>
        <v/>
      </c>
    </row>
    <row r="111" spans="1:4" x14ac:dyDescent="0.75">
      <c r="A111" s="111">
        <v>109</v>
      </c>
      <c r="B111" s="111">
        <f t="shared" si="2"/>
        <v>36</v>
      </c>
      <c r="C111" s="111">
        <f t="shared" si="3"/>
        <v>1</v>
      </c>
      <c r="D111" s="109" t="str" cm="1">
        <f t="array" ref="D111">INDEX('RelFlt-Map2-1'!$I$7:$K$100,1+B111,C111)</f>
        <v/>
      </c>
    </row>
    <row r="112" spans="1:4" x14ac:dyDescent="0.75">
      <c r="A112" s="111">
        <v>110</v>
      </c>
      <c r="B112" s="111">
        <f t="shared" si="2"/>
        <v>36</v>
      </c>
      <c r="C112" s="111">
        <f t="shared" si="3"/>
        <v>2</v>
      </c>
      <c r="D112" s="109" t="str" cm="1">
        <f t="array" ref="D112">INDEX('RelFlt-Map2-1'!$I$7:$K$100,1+B112,C112)</f>
        <v/>
      </c>
    </row>
    <row r="113" spans="1:4" x14ac:dyDescent="0.75">
      <c r="A113" s="111">
        <v>111</v>
      </c>
      <c r="B113" s="111">
        <f t="shared" si="2"/>
        <v>36</v>
      </c>
      <c r="C113" s="111">
        <f t="shared" si="3"/>
        <v>3</v>
      </c>
      <c r="D113" s="109" t="str" cm="1">
        <f t="array" ref="D113">INDEX('RelFlt-Map2-1'!$I$7:$K$100,1+B113,C113)</f>
        <v/>
      </c>
    </row>
    <row r="114" spans="1:4" x14ac:dyDescent="0.75">
      <c r="A114" s="111">
        <v>112</v>
      </c>
      <c r="B114" s="111">
        <f t="shared" si="2"/>
        <v>37</v>
      </c>
      <c r="C114" s="111">
        <f t="shared" si="3"/>
        <v>1</v>
      </c>
      <c r="D114" s="109" t="str" cm="1">
        <f t="array" ref="D114">INDEX('RelFlt-Map2-1'!$I$7:$K$100,1+B114,C114)</f>
        <v/>
      </c>
    </row>
    <row r="115" spans="1:4" x14ac:dyDescent="0.75">
      <c r="A115" s="111">
        <v>113</v>
      </c>
      <c r="B115" s="111">
        <f t="shared" si="2"/>
        <v>37</v>
      </c>
      <c r="C115" s="111">
        <f t="shared" si="3"/>
        <v>2</v>
      </c>
      <c r="D115" s="109" t="str" cm="1">
        <f t="array" ref="D115">INDEX('RelFlt-Map2-1'!$I$7:$K$100,1+B115,C115)</f>
        <v/>
      </c>
    </row>
    <row r="116" spans="1:4" x14ac:dyDescent="0.75">
      <c r="A116" s="111">
        <v>114</v>
      </c>
      <c r="B116" s="111">
        <f t="shared" si="2"/>
        <v>37</v>
      </c>
      <c r="C116" s="111">
        <f t="shared" si="3"/>
        <v>3</v>
      </c>
      <c r="D116" s="109" t="str" cm="1">
        <f t="array" ref="D116">INDEX('RelFlt-Map2-1'!$I$7:$K$100,1+B116,C116)</f>
        <v/>
      </c>
    </row>
    <row r="117" spans="1:4" x14ac:dyDescent="0.75">
      <c r="A117" s="111">
        <v>115</v>
      </c>
      <c r="B117" s="111">
        <f t="shared" si="2"/>
        <v>38</v>
      </c>
      <c r="C117" s="111">
        <f t="shared" si="3"/>
        <v>1</v>
      </c>
      <c r="D117" s="109" t="str" cm="1">
        <f t="array" ref="D117">INDEX('RelFlt-Map2-1'!$I$7:$K$100,1+B117,C117)</f>
        <v/>
      </c>
    </row>
    <row r="118" spans="1:4" x14ac:dyDescent="0.75">
      <c r="A118" s="111">
        <v>116</v>
      </c>
      <c r="B118" s="111">
        <f t="shared" si="2"/>
        <v>38</v>
      </c>
      <c r="C118" s="111">
        <f t="shared" si="3"/>
        <v>2</v>
      </c>
      <c r="D118" s="109" t="str" cm="1">
        <f t="array" ref="D118">INDEX('RelFlt-Map2-1'!$I$7:$K$100,1+B118,C118)</f>
        <v/>
      </c>
    </row>
    <row r="119" spans="1:4" x14ac:dyDescent="0.75">
      <c r="A119" s="111">
        <v>117</v>
      </c>
      <c r="B119" s="111">
        <f t="shared" si="2"/>
        <v>38</v>
      </c>
      <c r="C119" s="111">
        <f t="shared" si="3"/>
        <v>3</v>
      </c>
      <c r="D119" s="109" t="str" cm="1">
        <f t="array" ref="D119">INDEX('RelFlt-Map2-1'!$I$7:$K$100,1+B119,C119)</f>
        <v/>
      </c>
    </row>
    <row r="120" spans="1:4" x14ac:dyDescent="0.75">
      <c r="A120" s="111">
        <v>118</v>
      </c>
      <c r="B120" s="111">
        <f t="shared" si="2"/>
        <v>39</v>
      </c>
      <c r="C120" s="111">
        <f t="shared" si="3"/>
        <v>1</v>
      </c>
      <c r="D120" s="109" t="str" cm="1">
        <f t="array" ref="D120">INDEX('RelFlt-Map2-1'!$I$7:$K$100,1+B120,C120)</f>
        <v/>
      </c>
    </row>
    <row r="121" spans="1:4" x14ac:dyDescent="0.75">
      <c r="A121" s="111">
        <v>119</v>
      </c>
      <c r="B121" s="111">
        <f t="shared" si="2"/>
        <v>39</v>
      </c>
      <c r="C121" s="111">
        <f t="shared" si="3"/>
        <v>2</v>
      </c>
      <c r="D121" s="109" t="str" cm="1">
        <f t="array" ref="D121">INDEX('RelFlt-Map2-1'!$I$7:$K$100,1+B121,C121)</f>
        <v/>
      </c>
    </row>
    <row r="122" spans="1:4" x14ac:dyDescent="0.75">
      <c r="A122" s="111">
        <v>120</v>
      </c>
      <c r="B122" s="111">
        <f t="shared" si="2"/>
        <v>39</v>
      </c>
      <c r="C122" s="111">
        <f t="shared" si="3"/>
        <v>3</v>
      </c>
      <c r="D122" s="109" t="str" cm="1">
        <f t="array" ref="D122">INDEX('RelFlt-Map2-1'!$I$7:$K$100,1+B122,C122)</f>
        <v/>
      </c>
    </row>
    <row r="123" spans="1:4" x14ac:dyDescent="0.75">
      <c r="A123" s="111">
        <v>121</v>
      </c>
      <c r="B123" s="111">
        <f t="shared" si="2"/>
        <v>40</v>
      </c>
      <c r="C123" s="111">
        <f t="shared" si="3"/>
        <v>1</v>
      </c>
      <c r="D123" s="109" t="str" cm="1">
        <f t="array" ref="D123">INDEX('RelFlt-Map2-1'!$I$7:$K$100,1+B123,C123)</f>
        <v/>
      </c>
    </row>
    <row r="124" spans="1:4" x14ac:dyDescent="0.75">
      <c r="A124" s="111">
        <v>122</v>
      </c>
      <c r="B124" s="111">
        <f t="shared" si="2"/>
        <v>40</v>
      </c>
      <c r="C124" s="111">
        <f t="shared" si="3"/>
        <v>2</v>
      </c>
      <c r="D124" s="109" t="str" cm="1">
        <f t="array" ref="D124">INDEX('RelFlt-Map2-1'!$I$7:$K$100,1+B124,C124)</f>
        <v/>
      </c>
    </row>
    <row r="125" spans="1:4" x14ac:dyDescent="0.75">
      <c r="A125" s="111">
        <v>123</v>
      </c>
      <c r="B125" s="111">
        <f t="shared" si="2"/>
        <v>40</v>
      </c>
      <c r="C125" s="111">
        <f t="shared" si="3"/>
        <v>3</v>
      </c>
      <c r="D125" s="109" t="str" cm="1">
        <f t="array" ref="D125">INDEX('RelFlt-Map2-1'!$I$7:$K$100,1+B125,C125)</f>
        <v/>
      </c>
    </row>
    <row r="126" spans="1:4" x14ac:dyDescent="0.75">
      <c r="A126" s="111">
        <v>124</v>
      </c>
      <c r="B126" s="111">
        <f t="shared" si="2"/>
        <v>41</v>
      </c>
      <c r="C126" s="111">
        <f t="shared" si="3"/>
        <v>1</v>
      </c>
      <c r="D126" s="109" t="str" cm="1">
        <f t="array" ref="D126">INDEX('RelFlt-Map2-1'!$I$7:$K$100,1+B126,C126)</f>
        <v/>
      </c>
    </row>
    <row r="127" spans="1:4" x14ac:dyDescent="0.75">
      <c r="A127" s="111">
        <v>125</v>
      </c>
      <c r="B127" s="111">
        <f t="shared" si="2"/>
        <v>41</v>
      </c>
      <c r="C127" s="111">
        <f t="shared" si="3"/>
        <v>2</v>
      </c>
      <c r="D127" s="109" t="str" cm="1">
        <f t="array" ref="D127">INDEX('RelFlt-Map2-1'!$I$7:$K$100,1+B127,C127)</f>
        <v/>
      </c>
    </row>
    <row r="128" spans="1:4" x14ac:dyDescent="0.75">
      <c r="A128" s="111">
        <v>126</v>
      </c>
      <c r="B128" s="111">
        <f t="shared" si="2"/>
        <v>41</v>
      </c>
      <c r="C128" s="111">
        <f t="shared" si="3"/>
        <v>3</v>
      </c>
      <c r="D128" s="109" t="str" cm="1">
        <f t="array" ref="D128">INDEX('RelFlt-Map2-1'!$I$7:$K$100,1+B128,C128)</f>
        <v/>
      </c>
    </row>
    <row r="129" spans="1:4" x14ac:dyDescent="0.75">
      <c r="A129" s="111">
        <v>127</v>
      </c>
      <c r="B129" s="111">
        <f t="shared" si="2"/>
        <v>42</v>
      </c>
      <c r="C129" s="111">
        <f t="shared" si="3"/>
        <v>1</v>
      </c>
      <c r="D129" s="109" t="str" cm="1">
        <f t="array" ref="D129">INDEX('RelFlt-Map2-1'!$I$7:$K$100,1+B129,C129)</f>
        <v/>
      </c>
    </row>
    <row r="130" spans="1:4" x14ac:dyDescent="0.75">
      <c r="A130" s="111">
        <v>128</v>
      </c>
      <c r="B130" s="111">
        <f t="shared" si="2"/>
        <v>42</v>
      </c>
      <c r="C130" s="111">
        <f t="shared" si="3"/>
        <v>2</v>
      </c>
      <c r="D130" s="109" t="str" cm="1">
        <f t="array" ref="D130">INDEX('RelFlt-Map2-1'!$I$7:$K$100,1+B130,C130)</f>
        <v/>
      </c>
    </row>
    <row r="131" spans="1:4" x14ac:dyDescent="0.75">
      <c r="A131" s="111">
        <v>129</v>
      </c>
      <c r="B131" s="111">
        <f t="shared" si="2"/>
        <v>42</v>
      </c>
      <c r="C131" s="111">
        <f t="shared" si="3"/>
        <v>3</v>
      </c>
      <c r="D131" s="109" t="str" cm="1">
        <f t="array" ref="D131">INDEX('RelFlt-Map2-1'!$I$7:$K$100,1+B131,C131)</f>
        <v/>
      </c>
    </row>
    <row r="132" spans="1:4" x14ac:dyDescent="0.75">
      <c r="A132" s="111">
        <v>130</v>
      </c>
      <c r="B132" s="111">
        <f t="shared" ref="B132:B195" si="4">IF(MOD(A132,3)=0,A132/3-1,INT(A132/3))</f>
        <v>43</v>
      </c>
      <c r="C132" s="111">
        <f t="shared" ref="C132:C195" si="5">IF(MOD(A132,3)=0,3,MOD(A132,3))</f>
        <v>1</v>
      </c>
      <c r="D132" s="109" t="str" cm="1">
        <f t="array" ref="D132">INDEX('RelFlt-Map2-1'!$I$7:$K$100,1+B132,C132)</f>
        <v/>
      </c>
    </row>
    <row r="133" spans="1:4" x14ac:dyDescent="0.75">
      <c r="A133" s="111">
        <v>131</v>
      </c>
      <c r="B133" s="111">
        <f t="shared" si="4"/>
        <v>43</v>
      </c>
      <c r="C133" s="111">
        <f t="shared" si="5"/>
        <v>2</v>
      </c>
      <c r="D133" s="109" t="str" cm="1">
        <f t="array" ref="D133">INDEX('RelFlt-Map2-1'!$I$7:$K$100,1+B133,C133)</f>
        <v/>
      </c>
    </row>
    <row r="134" spans="1:4" x14ac:dyDescent="0.75">
      <c r="A134" s="111">
        <v>132</v>
      </c>
      <c r="B134" s="111">
        <f t="shared" si="4"/>
        <v>43</v>
      </c>
      <c r="C134" s="111">
        <f t="shared" si="5"/>
        <v>3</v>
      </c>
      <c r="D134" s="109" t="str" cm="1">
        <f t="array" ref="D134">INDEX('RelFlt-Map2-1'!$I$7:$K$100,1+B134,C134)</f>
        <v/>
      </c>
    </row>
    <row r="135" spans="1:4" x14ac:dyDescent="0.75">
      <c r="A135" s="111">
        <v>133</v>
      </c>
      <c r="B135" s="111">
        <f t="shared" si="4"/>
        <v>44</v>
      </c>
      <c r="C135" s="111">
        <f t="shared" si="5"/>
        <v>1</v>
      </c>
      <c r="D135" s="109" t="str" cm="1">
        <f t="array" ref="D135">INDEX('RelFlt-Map2-1'!$I$7:$K$100,1+B135,C135)</f>
        <v/>
      </c>
    </row>
    <row r="136" spans="1:4" x14ac:dyDescent="0.75">
      <c r="A136" s="111">
        <v>134</v>
      </c>
      <c r="B136" s="111">
        <f t="shared" si="4"/>
        <v>44</v>
      </c>
      <c r="C136" s="111">
        <f t="shared" si="5"/>
        <v>2</v>
      </c>
      <c r="D136" s="109" t="str" cm="1">
        <f t="array" ref="D136">INDEX('RelFlt-Map2-1'!$I$7:$K$100,1+B136,C136)</f>
        <v/>
      </c>
    </row>
    <row r="137" spans="1:4" x14ac:dyDescent="0.75">
      <c r="A137" s="111">
        <v>135</v>
      </c>
      <c r="B137" s="111">
        <f t="shared" si="4"/>
        <v>44</v>
      </c>
      <c r="C137" s="111">
        <f t="shared" si="5"/>
        <v>3</v>
      </c>
      <c r="D137" s="109" cm="1">
        <f t="array" ref="D137">INDEX('RelFlt-Map2-1'!$I$7:$K$100,1+B137,C137)</f>
        <v>0</v>
      </c>
    </row>
    <row r="138" spans="1:4" x14ac:dyDescent="0.75">
      <c r="A138" s="111">
        <v>136</v>
      </c>
      <c r="B138" s="111">
        <f t="shared" si="4"/>
        <v>45</v>
      </c>
      <c r="C138" s="111">
        <f t="shared" si="5"/>
        <v>1</v>
      </c>
      <c r="D138" s="109" t="str" cm="1">
        <f t="array" ref="D138">INDEX('RelFlt-Map2-1'!$I$7:$K$100,1+B138,C138)</f>
        <v/>
      </c>
    </row>
    <row r="139" spans="1:4" x14ac:dyDescent="0.75">
      <c r="A139" s="111">
        <v>137</v>
      </c>
      <c r="B139" s="111">
        <f t="shared" si="4"/>
        <v>45</v>
      </c>
      <c r="C139" s="111">
        <f t="shared" si="5"/>
        <v>2</v>
      </c>
      <c r="D139" s="109" t="str" cm="1">
        <f t="array" ref="D139">INDEX('RelFlt-Map2-1'!$I$7:$K$100,1+B139,C139)</f>
        <v/>
      </c>
    </row>
    <row r="140" spans="1:4" x14ac:dyDescent="0.75">
      <c r="A140" s="111">
        <v>138</v>
      </c>
      <c r="B140" s="111">
        <f t="shared" si="4"/>
        <v>45</v>
      </c>
      <c r="C140" s="111">
        <f t="shared" si="5"/>
        <v>3</v>
      </c>
      <c r="D140" s="109" cm="1">
        <f t="array" ref="D140">INDEX('RelFlt-Map2-1'!$I$7:$K$100,1+B140,C140)</f>
        <v>0</v>
      </c>
    </row>
    <row r="141" spans="1:4" x14ac:dyDescent="0.75">
      <c r="A141" s="111">
        <v>139</v>
      </c>
      <c r="B141" s="111">
        <f t="shared" si="4"/>
        <v>46</v>
      </c>
      <c r="C141" s="111">
        <f t="shared" si="5"/>
        <v>1</v>
      </c>
      <c r="D141" s="109" t="str" cm="1">
        <f t="array" ref="D141">INDEX('RelFlt-Map2-1'!$I$7:$K$100,1+B141,C141)</f>
        <v/>
      </c>
    </row>
    <row r="142" spans="1:4" x14ac:dyDescent="0.75">
      <c r="A142" s="111">
        <v>140</v>
      </c>
      <c r="B142" s="111">
        <f t="shared" si="4"/>
        <v>46</v>
      </c>
      <c r="C142" s="111">
        <f t="shared" si="5"/>
        <v>2</v>
      </c>
      <c r="D142" s="109" t="str" cm="1">
        <f t="array" ref="D142">INDEX('RelFlt-Map2-1'!$I$7:$K$100,1+B142,C142)</f>
        <v/>
      </c>
    </row>
    <row r="143" spans="1:4" x14ac:dyDescent="0.75">
      <c r="A143" s="111">
        <v>141</v>
      </c>
      <c r="B143" s="111">
        <f t="shared" si="4"/>
        <v>46</v>
      </c>
      <c r="C143" s="111">
        <f t="shared" si="5"/>
        <v>3</v>
      </c>
      <c r="D143" s="109" cm="1">
        <f t="array" ref="D143">INDEX('RelFlt-Map2-1'!$I$7:$K$100,1+B143,C143)</f>
        <v>0</v>
      </c>
    </row>
    <row r="144" spans="1:4" x14ac:dyDescent="0.75">
      <c r="A144" s="111">
        <v>142</v>
      </c>
      <c r="B144" s="111">
        <f t="shared" si="4"/>
        <v>47</v>
      </c>
      <c r="C144" s="111">
        <f t="shared" si="5"/>
        <v>1</v>
      </c>
      <c r="D144" s="109" t="str" cm="1">
        <f t="array" ref="D144">INDEX('RelFlt-Map2-1'!$I$7:$K$100,1+B144,C144)</f>
        <v/>
      </c>
    </row>
    <row r="145" spans="1:4" x14ac:dyDescent="0.75">
      <c r="A145" s="111">
        <v>143</v>
      </c>
      <c r="B145" s="111">
        <f t="shared" si="4"/>
        <v>47</v>
      </c>
      <c r="C145" s="111">
        <f t="shared" si="5"/>
        <v>2</v>
      </c>
      <c r="D145" s="109" t="str" cm="1">
        <f t="array" ref="D145">INDEX('RelFlt-Map2-1'!$I$7:$K$100,1+B145,C145)</f>
        <v/>
      </c>
    </row>
    <row r="146" spans="1:4" x14ac:dyDescent="0.75">
      <c r="A146" s="111">
        <v>144</v>
      </c>
      <c r="B146" s="111">
        <f t="shared" si="4"/>
        <v>47</v>
      </c>
      <c r="C146" s="111">
        <f t="shared" si="5"/>
        <v>3</v>
      </c>
      <c r="D146" s="109" cm="1">
        <f t="array" ref="D146">INDEX('RelFlt-Map2-1'!$I$7:$K$100,1+B146,C146)</f>
        <v>0</v>
      </c>
    </row>
    <row r="147" spans="1:4" x14ac:dyDescent="0.75">
      <c r="A147" s="111">
        <v>145</v>
      </c>
      <c r="B147" s="111">
        <f t="shared" si="4"/>
        <v>48</v>
      </c>
      <c r="C147" s="111">
        <f t="shared" si="5"/>
        <v>1</v>
      </c>
      <c r="D147" s="109" t="str" cm="1">
        <f t="array" ref="D147">INDEX('RelFlt-Map2-1'!$I$7:$K$100,1+B147,C147)</f>
        <v/>
      </c>
    </row>
    <row r="148" spans="1:4" x14ac:dyDescent="0.75">
      <c r="A148" s="111">
        <v>146</v>
      </c>
      <c r="B148" s="111">
        <f t="shared" si="4"/>
        <v>48</v>
      </c>
      <c r="C148" s="111">
        <f t="shared" si="5"/>
        <v>2</v>
      </c>
      <c r="D148" s="109" t="str" cm="1">
        <f t="array" ref="D148">INDEX('RelFlt-Map2-1'!$I$7:$K$100,1+B148,C148)</f>
        <v/>
      </c>
    </row>
    <row r="149" spans="1:4" x14ac:dyDescent="0.75">
      <c r="A149" s="111">
        <v>147</v>
      </c>
      <c r="B149" s="111">
        <f t="shared" si="4"/>
        <v>48</v>
      </c>
      <c r="C149" s="111">
        <f t="shared" si="5"/>
        <v>3</v>
      </c>
      <c r="D149" s="109" cm="1">
        <f t="array" ref="D149">INDEX('RelFlt-Map2-1'!$I$7:$K$100,1+B149,C149)</f>
        <v>0</v>
      </c>
    </row>
    <row r="150" spans="1:4" x14ac:dyDescent="0.75">
      <c r="A150" s="111">
        <v>148</v>
      </c>
      <c r="B150" s="111">
        <f t="shared" si="4"/>
        <v>49</v>
      </c>
      <c r="C150" s="111">
        <f t="shared" si="5"/>
        <v>1</v>
      </c>
      <c r="D150" s="109" t="str" cm="1">
        <f t="array" ref="D150">INDEX('RelFlt-Map2-1'!$I$7:$K$100,1+B150,C150)</f>
        <v/>
      </c>
    </row>
    <row r="151" spans="1:4" x14ac:dyDescent="0.75">
      <c r="A151" s="111">
        <v>149</v>
      </c>
      <c r="B151" s="111">
        <f t="shared" si="4"/>
        <v>49</v>
      </c>
      <c r="C151" s="111">
        <f t="shared" si="5"/>
        <v>2</v>
      </c>
      <c r="D151" s="109" t="str" cm="1">
        <f t="array" ref="D151">INDEX('RelFlt-Map2-1'!$I$7:$K$100,1+B151,C151)</f>
        <v/>
      </c>
    </row>
    <row r="152" spans="1:4" x14ac:dyDescent="0.75">
      <c r="A152" s="111">
        <v>150</v>
      </c>
      <c r="B152" s="111">
        <f t="shared" si="4"/>
        <v>49</v>
      </c>
      <c r="C152" s="111">
        <f t="shared" si="5"/>
        <v>3</v>
      </c>
      <c r="D152" s="109" cm="1">
        <f t="array" ref="D152">INDEX('RelFlt-Map2-1'!$I$7:$K$100,1+B152,C152)</f>
        <v>0</v>
      </c>
    </row>
    <row r="153" spans="1:4" x14ac:dyDescent="0.75">
      <c r="A153" s="111">
        <v>151</v>
      </c>
      <c r="B153" s="111">
        <f t="shared" si="4"/>
        <v>50</v>
      </c>
      <c r="C153" s="111">
        <f t="shared" si="5"/>
        <v>1</v>
      </c>
      <c r="D153" s="109" t="str" cm="1">
        <f t="array" ref="D153">INDEX('RelFlt-Map2-1'!$I$7:$K$100,1+B153,C153)</f>
        <v/>
      </c>
    </row>
    <row r="154" spans="1:4" x14ac:dyDescent="0.75">
      <c r="A154" s="111">
        <v>152</v>
      </c>
      <c r="B154" s="111">
        <f t="shared" si="4"/>
        <v>50</v>
      </c>
      <c r="C154" s="111">
        <f t="shared" si="5"/>
        <v>2</v>
      </c>
      <c r="D154" s="109" t="str" cm="1">
        <f t="array" ref="D154">INDEX('RelFlt-Map2-1'!$I$7:$K$100,1+B154,C154)</f>
        <v/>
      </c>
    </row>
    <row r="155" spans="1:4" x14ac:dyDescent="0.75">
      <c r="A155" s="111">
        <v>153</v>
      </c>
      <c r="B155" s="111">
        <f t="shared" si="4"/>
        <v>50</v>
      </c>
      <c r="C155" s="111">
        <f t="shared" si="5"/>
        <v>3</v>
      </c>
      <c r="D155" s="109" cm="1">
        <f t="array" ref="D155">INDEX('RelFlt-Map2-1'!$I$7:$K$100,1+B155,C155)</f>
        <v>0</v>
      </c>
    </row>
    <row r="156" spans="1:4" x14ac:dyDescent="0.75">
      <c r="A156" s="111">
        <v>154</v>
      </c>
      <c r="B156" s="111">
        <f t="shared" si="4"/>
        <v>51</v>
      </c>
      <c r="C156" s="111">
        <f t="shared" si="5"/>
        <v>1</v>
      </c>
      <c r="D156" s="109" t="str" cm="1">
        <f t="array" ref="D156">INDEX('RelFlt-Map2-1'!$I$7:$K$100,1+B156,C156)</f>
        <v/>
      </c>
    </row>
    <row r="157" spans="1:4" x14ac:dyDescent="0.75">
      <c r="A157" s="111">
        <v>155</v>
      </c>
      <c r="B157" s="111">
        <f t="shared" si="4"/>
        <v>51</v>
      </c>
      <c r="C157" s="111">
        <f t="shared" si="5"/>
        <v>2</v>
      </c>
      <c r="D157" s="109" t="str" cm="1">
        <f t="array" ref="D157">INDEX('RelFlt-Map2-1'!$I$7:$K$100,1+B157,C157)</f>
        <v/>
      </c>
    </row>
    <row r="158" spans="1:4" x14ac:dyDescent="0.75">
      <c r="A158" s="111">
        <v>156</v>
      </c>
      <c r="B158" s="111">
        <f t="shared" si="4"/>
        <v>51</v>
      </c>
      <c r="C158" s="111">
        <f t="shared" si="5"/>
        <v>3</v>
      </c>
      <c r="D158" s="109" cm="1">
        <f t="array" ref="D158">INDEX('RelFlt-Map2-1'!$I$7:$K$100,1+B158,C158)</f>
        <v>0</v>
      </c>
    </row>
    <row r="159" spans="1:4" x14ac:dyDescent="0.75">
      <c r="A159" s="111">
        <v>157</v>
      </c>
      <c r="B159" s="111">
        <f t="shared" si="4"/>
        <v>52</v>
      </c>
      <c r="C159" s="111">
        <f t="shared" si="5"/>
        <v>1</v>
      </c>
      <c r="D159" s="109" t="str" cm="1">
        <f t="array" ref="D159">INDEX('RelFlt-Map2-1'!$I$7:$K$100,1+B159,C159)</f>
        <v/>
      </c>
    </row>
    <row r="160" spans="1:4" x14ac:dyDescent="0.75">
      <c r="A160" s="111">
        <v>158</v>
      </c>
      <c r="B160" s="111">
        <f t="shared" si="4"/>
        <v>52</v>
      </c>
      <c r="C160" s="111">
        <f t="shared" si="5"/>
        <v>2</v>
      </c>
      <c r="D160" s="109" t="str" cm="1">
        <f t="array" ref="D160">INDEX('RelFlt-Map2-1'!$I$7:$K$100,1+B160,C160)</f>
        <v/>
      </c>
    </row>
    <row r="161" spans="1:4" x14ac:dyDescent="0.75">
      <c r="A161" s="111">
        <v>159</v>
      </c>
      <c r="B161" s="111">
        <f t="shared" si="4"/>
        <v>52</v>
      </c>
      <c r="C161" s="111">
        <f t="shared" si="5"/>
        <v>3</v>
      </c>
      <c r="D161" s="109" cm="1">
        <f t="array" ref="D161">INDEX('RelFlt-Map2-1'!$I$7:$K$100,1+B161,C161)</f>
        <v>0</v>
      </c>
    </row>
    <row r="162" spans="1:4" x14ac:dyDescent="0.75">
      <c r="A162" s="111">
        <v>160</v>
      </c>
      <c r="B162" s="111">
        <f t="shared" si="4"/>
        <v>53</v>
      </c>
      <c r="C162" s="111">
        <f t="shared" si="5"/>
        <v>1</v>
      </c>
      <c r="D162" s="109" t="str" cm="1">
        <f t="array" ref="D162">INDEX('RelFlt-Map2-1'!$I$7:$K$100,1+B162,C162)</f>
        <v/>
      </c>
    </row>
    <row r="163" spans="1:4" x14ac:dyDescent="0.75">
      <c r="A163" s="111">
        <v>161</v>
      </c>
      <c r="B163" s="111">
        <f t="shared" si="4"/>
        <v>53</v>
      </c>
      <c r="C163" s="111">
        <f t="shared" si="5"/>
        <v>2</v>
      </c>
      <c r="D163" s="109" t="str" cm="1">
        <f t="array" ref="D163">INDEX('RelFlt-Map2-1'!$I$7:$K$100,1+B163,C163)</f>
        <v/>
      </c>
    </row>
    <row r="164" spans="1:4" x14ac:dyDescent="0.75">
      <c r="A164" s="111">
        <v>162</v>
      </c>
      <c r="B164" s="111">
        <f t="shared" si="4"/>
        <v>53</v>
      </c>
      <c r="C164" s="111">
        <f t="shared" si="5"/>
        <v>3</v>
      </c>
      <c r="D164" s="109" cm="1">
        <f t="array" ref="D164">INDEX('RelFlt-Map2-1'!$I$7:$K$100,1+B164,C164)</f>
        <v>0</v>
      </c>
    </row>
    <row r="165" spans="1:4" x14ac:dyDescent="0.75">
      <c r="A165" s="111">
        <v>163</v>
      </c>
      <c r="B165" s="111">
        <f t="shared" si="4"/>
        <v>54</v>
      </c>
      <c r="C165" s="111">
        <f t="shared" si="5"/>
        <v>1</v>
      </c>
      <c r="D165" s="109" t="str" cm="1">
        <f t="array" ref="D165">INDEX('RelFlt-Map2-1'!$I$7:$K$100,1+B165,C165)</f>
        <v/>
      </c>
    </row>
    <row r="166" spans="1:4" x14ac:dyDescent="0.75">
      <c r="A166" s="111">
        <v>164</v>
      </c>
      <c r="B166" s="111">
        <f t="shared" si="4"/>
        <v>54</v>
      </c>
      <c r="C166" s="111">
        <f t="shared" si="5"/>
        <v>2</v>
      </c>
      <c r="D166" s="109" t="str" cm="1">
        <f t="array" ref="D166">INDEX('RelFlt-Map2-1'!$I$7:$K$100,1+B166,C166)</f>
        <v/>
      </c>
    </row>
    <row r="167" spans="1:4" x14ac:dyDescent="0.75">
      <c r="A167" s="111">
        <v>165</v>
      </c>
      <c r="B167" s="111">
        <f t="shared" si="4"/>
        <v>54</v>
      </c>
      <c r="C167" s="111">
        <f t="shared" si="5"/>
        <v>3</v>
      </c>
      <c r="D167" s="109" cm="1">
        <f t="array" ref="D167">INDEX('RelFlt-Map2-1'!$I$7:$K$100,1+B167,C167)</f>
        <v>0</v>
      </c>
    </row>
    <row r="168" spans="1:4" x14ac:dyDescent="0.75">
      <c r="A168" s="111">
        <v>166</v>
      </c>
      <c r="B168" s="111">
        <f t="shared" si="4"/>
        <v>55</v>
      </c>
      <c r="C168" s="111">
        <f t="shared" si="5"/>
        <v>1</v>
      </c>
      <c r="D168" s="109" t="str" cm="1">
        <f t="array" ref="D168">INDEX('RelFlt-Map2-1'!$I$7:$K$100,1+B168,C168)</f>
        <v/>
      </c>
    </row>
    <row r="169" spans="1:4" x14ac:dyDescent="0.75">
      <c r="A169" s="111">
        <v>167</v>
      </c>
      <c r="B169" s="111">
        <f t="shared" si="4"/>
        <v>55</v>
      </c>
      <c r="C169" s="111">
        <f t="shared" si="5"/>
        <v>2</v>
      </c>
      <c r="D169" s="109" t="str" cm="1">
        <f t="array" ref="D169">INDEX('RelFlt-Map2-1'!$I$7:$K$100,1+B169,C169)</f>
        <v/>
      </c>
    </row>
    <row r="170" spans="1:4" x14ac:dyDescent="0.75">
      <c r="A170" s="111">
        <v>168</v>
      </c>
      <c r="B170" s="111">
        <f t="shared" si="4"/>
        <v>55</v>
      </c>
      <c r="C170" s="111">
        <f t="shared" si="5"/>
        <v>3</v>
      </c>
      <c r="D170" s="109" cm="1">
        <f t="array" ref="D170">INDEX('RelFlt-Map2-1'!$I$7:$K$100,1+B170,C170)</f>
        <v>0</v>
      </c>
    </row>
    <row r="171" spans="1:4" x14ac:dyDescent="0.75">
      <c r="A171" s="111">
        <v>169</v>
      </c>
      <c r="B171" s="111">
        <f t="shared" si="4"/>
        <v>56</v>
      </c>
      <c r="C171" s="111">
        <f t="shared" si="5"/>
        <v>1</v>
      </c>
      <c r="D171" s="109" t="str" cm="1">
        <f t="array" ref="D171">INDEX('RelFlt-Map2-1'!$I$7:$K$100,1+B171,C171)</f>
        <v/>
      </c>
    </row>
    <row r="172" spans="1:4" x14ac:dyDescent="0.75">
      <c r="A172" s="111">
        <v>170</v>
      </c>
      <c r="B172" s="111">
        <f t="shared" si="4"/>
        <v>56</v>
      </c>
      <c r="C172" s="111">
        <f t="shared" si="5"/>
        <v>2</v>
      </c>
      <c r="D172" s="109" t="str" cm="1">
        <f t="array" ref="D172">INDEX('RelFlt-Map2-1'!$I$7:$K$100,1+B172,C172)</f>
        <v/>
      </c>
    </row>
    <row r="173" spans="1:4" x14ac:dyDescent="0.75">
      <c r="A173" s="111">
        <v>171</v>
      </c>
      <c r="B173" s="111">
        <f t="shared" si="4"/>
        <v>56</v>
      </c>
      <c r="C173" s="111">
        <f t="shared" si="5"/>
        <v>3</v>
      </c>
      <c r="D173" s="109" cm="1">
        <f t="array" ref="D173">INDEX('RelFlt-Map2-1'!$I$7:$K$100,1+B173,C173)</f>
        <v>0</v>
      </c>
    </row>
    <row r="174" spans="1:4" x14ac:dyDescent="0.75">
      <c r="A174" s="111">
        <v>172</v>
      </c>
      <c r="B174" s="111">
        <f t="shared" si="4"/>
        <v>57</v>
      </c>
      <c r="C174" s="111">
        <f t="shared" si="5"/>
        <v>1</v>
      </c>
      <c r="D174" s="109" t="str" cm="1">
        <f t="array" ref="D174">INDEX('RelFlt-Map2-1'!$I$7:$K$100,1+B174,C174)</f>
        <v/>
      </c>
    </row>
    <row r="175" spans="1:4" x14ac:dyDescent="0.75">
      <c r="A175" s="111">
        <v>173</v>
      </c>
      <c r="B175" s="111">
        <f t="shared" si="4"/>
        <v>57</v>
      </c>
      <c r="C175" s="111">
        <f t="shared" si="5"/>
        <v>2</v>
      </c>
      <c r="D175" s="109" t="str" cm="1">
        <f t="array" ref="D175">INDEX('RelFlt-Map2-1'!$I$7:$K$100,1+B175,C175)</f>
        <v/>
      </c>
    </row>
    <row r="176" spans="1:4" x14ac:dyDescent="0.75">
      <c r="A176" s="111">
        <v>174</v>
      </c>
      <c r="B176" s="111">
        <f t="shared" si="4"/>
        <v>57</v>
      </c>
      <c r="C176" s="111">
        <f t="shared" si="5"/>
        <v>3</v>
      </c>
      <c r="D176" s="109" cm="1">
        <f t="array" ref="D176">INDEX('RelFlt-Map2-1'!$I$7:$K$100,1+B176,C176)</f>
        <v>0</v>
      </c>
    </row>
    <row r="177" spans="1:4" x14ac:dyDescent="0.75">
      <c r="A177" s="111">
        <v>175</v>
      </c>
      <c r="B177" s="111">
        <f t="shared" si="4"/>
        <v>58</v>
      </c>
      <c r="C177" s="111">
        <f t="shared" si="5"/>
        <v>1</v>
      </c>
      <c r="D177" s="109" t="str" cm="1">
        <f t="array" ref="D177">INDEX('RelFlt-Map2-1'!$I$7:$K$100,1+B177,C177)</f>
        <v/>
      </c>
    </row>
    <row r="178" spans="1:4" x14ac:dyDescent="0.75">
      <c r="A178" s="111">
        <v>176</v>
      </c>
      <c r="B178" s="111">
        <f t="shared" si="4"/>
        <v>58</v>
      </c>
      <c r="C178" s="111">
        <f t="shared" si="5"/>
        <v>2</v>
      </c>
      <c r="D178" s="109" t="str" cm="1">
        <f t="array" ref="D178">INDEX('RelFlt-Map2-1'!$I$7:$K$100,1+B178,C178)</f>
        <v/>
      </c>
    </row>
    <row r="179" spans="1:4" x14ac:dyDescent="0.75">
      <c r="A179" s="111">
        <v>177</v>
      </c>
      <c r="B179" s="111">
        <f t="shared" si="4"/>
        <v>58</v>
      </c>
      <c r="C179" s="111">
        <f t="shared" si="5"/>
        <v>3</v>
      </c>
      <c r="D179" s="109" cm="1">
        <f t="array" ref="D179">INDEX('RelFlt-Map2-1'!$I$7:$K$100,1+B179,C179)</f>
        <v>0</v>
      </c>
    </row>
    <row r="180" spans="1:4" x14ac:dyDescent="0.75">
      <c r="A180" s="111">
        <v>178</v>
      </c>
      <c r="B180" s="111">
        <f t="shared" si="4"/>
        <v>59</v>
      </c>
      <c r="C180" s="111">
        <f t="shared" si="5"/>
        <v>1</v>
      </c>
      <c r="D180" s="109" t="str" cm="1">
        <f t="array" ref="D180">INDEX('RelFlt-Map2-1'!$I$7:$K$100,1+B180,C180)</f>
        <v/>
      </c>
    </row>
    <row r="181" spans="1:4" x14ac:dyDescent="0.75">
      <c r="A181" s="111">
        <v>179</v>
      </c>
      <c r="B181" s="111">
        <f t="shared" si="4"/>
        <v>59</v>
      </c>
      <c r="C181" s="111">
        <f t="shared" si="5"/>
        <v>2</v>
      </c>
      <c r="D181" s="109" t="str" cm="1">
        <f t="array" ref="D181">INDEX('RelFlt-Map2-1'!$I$7:$K$100,1+B181,C181)</f>
        <v/>
      </c>
    </row>
    <row r="182" spans="1:4" x14ac:dyDescent="0.75">
      <c r="A182" s="111">
        <v>180</v>
      </c>
      <c r="B182" s="111">
        <f t="shared" si="4"/>
        <v>59</v>
      </c>
      <c r="C182" s="111">
        <f t="shared" si="5"/>
        <v>3</v>
      </c>
      <c r="D182" s="109" cm="1">
        <f t="array" ref="D182">INDEX('RelFlt-Map2-1'!$I$7:$K$100,1+B182,C182)</f>
        <v>0</v>
      </c>
    </row>
    <row r="183" spans="1:4" x14ac:dyDescent="0.75">
      <c r="A183" s="111">
        <v>181</v>
      </c>
      <c r="B183" s="111">
        <f t="shared" si="4"/>
        <v>60</v>
      </c>
      <c r="C183" s="111">
        <f t="shared" si="5"/>
        <v>1</v>
      </c>
      <c r="D183" s="109" t="str" cm="1">
        <f t="array" ref="D183">INDEX('RelFlt-Map2-1'!$I$7:$K$100,1+B183,C183)</f>
        <v/>
      </c>
    </row>
    <row r="184" spans="1:4" x14ac:dyDescent="0.75">
      <c r="A184" s="111">
        <v>182</v>
      </c>
      <c r="B184" s="111">
        <f t="shared" si="4"/>
        <v>60</v>
      </c>
      <c r="C184" s="111">
        <f t="shared" si="5"/>
        <v>2</v>
      </c>
      <c r="D184" s="109" t="str" cm="1">
        <f t="array" ref="D184">INDEX('RelFlt-Map2-1'!$I$7:$K$100,1+B184,C184)</f>
        <v/>
      </c>
    </row>
    <row r="185" spans="1:4" x14ac:dyDescent="0.75">
      <c r="A185" s="111">
        <v>183</v>
      </c>
      <c r="B185" s="111">
        <f t="shared" si="4"/>
        <v>60</v>
      </c>
      <c r="C185" s="111">
        <f t="shared" si="5"/>
        <v>3</v>
      </c>
      <c r="D185" s="109" cm="1">
        <f t="array" ref="D185">INDEX('RelFlt-Map2-1'!$I$7:$K$100,1+B185,C185)</f>
        <v>0</v>
      </c>
    </row>
    <row r="186" spans="1:4" x14ac:dyDescent="0.75">
      <c r="A186" s="111">
        <v>184</v>
      </c>
      <c r="B186" s="111">
        <f t="shared" si="4"/>
        <v>61</v>
      </c>
      <c r="C186" s="111">
        <f t="shared" si="5"/>
        <v>1</v>
      </c>
      <c r="D186" s="109" t="str" cm="1">
        <f t="array" ref="D186">INDEX('RelFlt-Map2-1'!$I$7:$K$100,1+B186,C186)</f>
        <v/>
      </c>
    </row>
    <row r="187" spans="1:4" x14ac:dyDescent="0.75">
      <c r="A187" s="111">
        <v>185</v>
      </c>
      <c r="B187" s="111">
        <f t="shared" si="4"/>
        <v>61</v>
      </c>
      <c r="C187" s="111">
        <f t="shared" si="5"/>
        <v>2</v>
      </c>
      <c r="D187" s="109" t="str" cm="1">
        <f t="array" ref="D187">INDEX('RelFlt-Map2-1'!$I$7:$K$100,1+B187,C187)</f>
        <v/>
      </c>
    </row>
    <row r="188" spans="1:4" x14ac:dyDescent="0.75">
      <c r="A188" s="111">
        <v>186</v>
      </c>
      <c r="B188" s="111">
        <f t="shared" si="4"/>
        <v>61</v>
      </c>
      <c r="C188" s="111">
        <f t="shared" si="5"/>
        <v>3</v>
      </c>
      <c r="D188" s="109" cm="1">
        <f t="array" ref="D188">INDEX('RelFlt-Map2-1'!$I$7:$K$100,1+B188,C188)</f>
        <v>0</v>
      </c>
    </row>
    <row r="189" spans="1:4" x14ac:dyDescent="0.75">
      <c r="A189" s="111">
        <v>187</v>
      </c>
      <c r="B189" s="111">
        <f t="shared" si="4"/>
        <v>62</v>
      </c>
      <c r="C189" s="111">
        <f t="shared" si="5"/>
        <v>1</v>
      </c>
      <c r="D189" s="109" t="str" cm="1">
        <f t="array" ref="D189">INDEX('RelFlt-Map2-1'!$I$7:$K$100,1+B189,C189)</f>
        <v/>
      </c>
    </row>
    <row r="190" spans="1:4" x14ac:dyDescent="0.75">
      <c r="A190" s="111">
        <v>188</v>
      </c>
      <c r="B190" s="111">
        <f t="shared" si="4"/>
        <v>62</v>
      </c>
      <c r="C190" s="111">
        <f t="shared" si="5"/>
        <v>2</v>
      </c>
      <c r="D190" s="109" t="str" cm="1">
        <f t="array" ref="D190">INDEX('RelFlt-Map2-1'!$I$7:$K$100,1+B190,C190)</f>
        <v/>
      </c>
    </row>
    <row r="191" spans="1:4" x14ac:dyDescent="0.75">
      <c r="A191" s="111">
        <v>189</v>
      </c>
      <c r="B191" s="111">
        <f t="shared" si="4"/>
        <v>62</v>
      </c>
      <c r="C191" s="111">
        <f t="shared" si="5"/>
        <v>3</v>
      </c>
      <c r="D191" s="109" cm="1">
        <f t="array" ref="D191">INDEX('RelFlt-Map2-1'!$I$7:$K$100,1+B191,C191)</f>
        <v>0</v>
      </c>
    </row>
    <row r="192" spans="1:4" x14ac:dyDescent="0.75">
      <c r="A192" s="111">
        <v>190</v>
      </c>
      <c r="B192" s="111">
        <f t="shared" si="4"/>
        <v>63</v>
      </c>
      <c r="C192" s="111">
        <f t="shared" si="5"/>
        <v>1</v>
      </c>
      <c r="D192" s="109" t="str" cm="1">
        <f t="array" ref="D192">INDEX('RelFlt-Map2-1'!$I$7:$K$100,1+B192,C192)</f>
        <v/>
      </c>
    </row>
    <row r="193" spans="1:4" x14ac:dyDescent="0.75">
      <c r="A193" s="111">
        <v>191</v>
      </c>
      <c r="B193" s="111">
        <f t="shared" si="4"/>
        <v>63</v>
      </c>
      <c r="C193" s="111">
        <f t="shared" si="5"/>
        <v>2</v>
      </c>
      <c r="D193" s="109" t="str" cm="1">
        <f t="array" ref="D193">INDEX('RelFlt-Map2-1'!$I$7:$K$100,1+B193,C193)</f>
        <v/>
      </c>
    </row>
    <row r="194" spans="1:4" x14ac:dyDescent="0.75">
      <c r="A194" s="111">
        <v>192</v>
      </c>
      <c r="B194" s="111">
        <f t="shared" si="4"/>
        <v>63</v>
      </c>
      <c r="C194" s="111">
        <f t="shared" si="5"/>
        <v>3</v>
      </c>
      <c r="D194" s="109" cm="1">
        <f t="array" ref="D194">INDEX('RelFlt-Map2-1'!$I$7:$K$100,1+B194,C194)</f>
        <v>0</v>
      </c>
    </row>
    <row r="195" spans="1:4" x14ac:dyDescent="0.75">
      <c r="A195" s="111">
        <v>193</v>
      </c>
      <c r="B195" s="111">
        <f t="shared" si="4"/>
        <v>64</v>
      </c>
      <c r="C195" s="111">
        <f t="shared" si="5"/>
        <v>1</v>
      </c>
      <c r="D195" s="109" t="str" cm="1">
        <f t="array" ref="D195">INDEX('RelFlt-Map2-1'!$I$7:$K$100,1+B195,C195)</f>
        <v/>
      </c>
    </row>
    <row r="196" spans="1:4" x14ac:dyDescent="0.75">
      <c r="A196" s="111">
        <v>194</v>
      </c>
      <c r="B196" s="111">
        <f t="shared" ref="B196:B206" si="6">IF(MOD(A196,3)=0,A196/3-1,INT(A196/3))</f>
        <v>64</v>
      </c>
      <c r="C196" s="111">
        <f t="shared" ref="C196:C206" si="7">IF(MOD(A196,3)=0,3,MOD(A196,3))</f>
        <v>2</v>
      </c>
      <c r="D196" s="109" t="str" cm="1">
        <f t="array" ref="D196">INDEX('RelFlt-Map2-1'!$I$7:$K$100,1+B196,C196)</f>
        <v/>
      </c>
    </row>
    <row r="197" spans="1:4" x14ac:dyDescent="0.75">
      <c r="A197" s="111">
        <v>195</v>
      </c>
      <c r="B197" s="111">
        <f t="shared" si="6"/>
        <v>64</v>
      </c>
      <c r="C197" s="111">
        <f t="shared" si="7"/>
        <v>3</v>
      </c>
      <c r="D197" s="109" cm="1">
        <f t="array" ref="D197">INDEX('RelFlt-Map2-1'!$I$7:$K$100,1+B197,C197)</f>
        <v>0</v>
      </c>
    </row>
    <row r="198" spans="1:4" x14ac:dyDescent="0.75">
      <c r="A198" s="111">
        <v>196</v>
      </c>
      <c r="B198" s="111">
        <f t="shared" si="6"/>
        <v>65</v>
      </c>
      <c r="C198" s="111">
        <f t="shared" si="7"/>
        <v>1</v>
      </c>
      <c r="D198" s="109" t="str" cm="1">
        <f t="array" ref="D198">INDEX('RelFlt-Map2-1'!$I$7:$K$100,1+B198,C198)</f>
        <v/>
      </c>
    </row>
    <row r="199" spans="1:4" x14ac:dyDescent="0.75">
      <c r="A199" s="111">
        <v>197</v>
      </c>
      <c r="B199" s="111">
        <f t="shared" si="6"/>
        <v>65</v>
      </c>
      <c r="C199" s="111">
        <f t="shared" si="7"/>
        <v>2</v>
      </c>
      <c r="D199" s="109" t="str" cm="1">
        <f t="array" ref="D199">INDEX('RelFlt-Map2-1'!$I$7:$K$100,1+B199,C199)</f>
        <v/>
      </c>
    </row>
    <row r="200" spans="1:4" x14ac:dyDescent="0.75">
      <c r="A200" s="111">
        <v>198</v>
      </c>
      <c r="B200" s="111">
        <f t="shared" si="6"/>
        <v>65</v>
      </c>
      <c r="C200" s="111">
        <f t="shared" si="7"/>
        <v>3</v>
      </c>
      <c r="D200" s="109" cm="1">
        <f t="array" ref="D200">INDEX('RelFlt-Map2-1'!$I$7:$K$100,1+B200,C200)</f>
        <v>0</v>
      </c>
    </row>
    <row r="201" spans="1:4" x14ac:dyDescent="0.75">
      <c r="A201" s="111">
        <v>199</v>
      </c>
      <c r="B201" s="111">
        <f t="shared" si="6"/>
        <v>66</v>
      </c>
      <c r="C201" s="111">
        <f t="shared" si="7"/>
        <v>1</v>
      </c>
      <c r="D201" s="109" t="str" cm="1">
        <f t="array" ref="D201">INDEX('RelFlt-Map2-1'!$I$7:$K$100,1+B201,C201)</f>
        <v/>
      </c>
    </row>
    <row r="202" spans="1:4" x14ac:dyDescent="0.75">
      <c r="A202" s="111">
        <v>200</v>
      </c>
      <c r="B202" s="111">
        <f t="shared" si="6"/>
        <v>66</v>
      </c>
      <c r="C202" s="111">
        <f t="shared" si="7"/>
        <v>2</v>
      </c>
      <c r="D202" s="109" t="str" cm="1">
        <f t="array" ref="D202">INDEX('RelFlt-Map2-1'!$I$7:$K$100,1+B202,C202)</f>
        <v/>
      </c>
    </row>
    <row r="203" spans="1:4" x14ac:dyDescent="0.75">
      <c r="A203" s="111">
        <v>201</v>
      </c>
      <c r="B203" s="111">
        <f t="shared" si="6"/>
        <v>66</v>
      </c>
      <c r="C203" s="111">
        <f t="shared" si="7"/>
        <v>3</v>
      </c>
      <c r="D203" s="109" cm="1">
        <f t="array" ref="D203">INDEX('RelFlt-Map2-1'!$I$7:$K$100,1+B203,C203)</f>
        <v>0</v>
      </c>
    </row>
    <row r="204" spans="1:4" x14ac:dyDescent="0.75">
      <c r="A204" s="111">
        <v>202</v>
      </c>
      <c r="B204" s="111">
        <f t="shared" si="6"/>
        <v>67</v>
      </c>
      <c r="C204" s="111">
        <f t="shared" si="7"/>
        <v>1</v>
      </c>
      <c r="D204" s="109" t="str" cm="1">
        <f t="array" ref="D204">INDEX('RelFlt-Map2-1'!$I$7:$K$100,1+B204,C204)</f>
        <v/>
      </c>
    </row>
    <row r="205" spans="1:4" x14ac:dyDescent="0.75">
      <c r="A205" s="111">
        <v>203</v>
      </c>
      <c r="B205" s="111">
        <f t="shared" si="6"/>
        <v>67</v>
      </c>
      <c r="C205" s="111">
        <f t="shared" si="7"/>
        <v>2</v>
      </c>
      <c r="D205" s="109" t="str" cm="1">
        <f t="array" ref="D205">INDEX('RelFlt-Map2-1'!$I$7:$K$100,1+B205,C205)</f>
        <v/>
      </c>
    </row>
    <row r="206" spans="1:4" x14ac:dyDescent="0.75">
      <c r="A206" s="111">
        <v>204</v>
      </c>
      <c r="B206" s="111">
        <f t="shared" si="6"/>
        <v>67</v>
      </c>
      <c r="C206" s="111">
        <f t="shared" si="7"/>
        <v>3</v>
      </c>
      <c r="D206" s="109" cm="1">
        <f t="array" ref="D206">INDEX('RelFlt-Map2-1'!$I$7:$K$100,1+B206,C206)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09"/>
    <col min="4" max="4" width="108.2265625" style="111" customWidth="1"/>
    <col min="5" max="16384" width="8.7265625" style="109"/>
  </cols>
  <sheetData>
    <row r="1" spans="4:4" x14ac:dyDescent="0.75">
      <c r="D1" s="111">
        <f>'RelFlt-Map-2'!D1</f>
        <v>0</v>
      </c>
    </row>
    <row r="2" spans="4:4" x14ac:dyDescent="0.75">
      <c r="D2" s="111">
        <f>'RelFlt-Map-2'!D2</f>
        <v>0</v>
      </c>
    </row>
    <row r="3" spans="4:4" x14ac:dyDescent="0.75">
      <c r="D3" s="111" t="str">
        <f>'RelFlt-Map-2'!D3</f>
        <v>* differential.element[0].mapping[0].identity = "fhir"</v>
      </c>
    </row>
    <row r="4" spans="4:4" x14ac:dyDescent="0.75">
      <c r="D4" s="111" t="str">
        <f>'RelFlt-Map-2'!D4</f>
        <v>* differential.element[0].mapping[0].map = "Condition.conformsTo('http://hl7.eu/fhir/ig/pcsp/StructureDefinition/Condition-primaryCancer-eu-pcsp')"</v>
      </c>
    </row>
    <row r="5" spans="4:4" x14ac:dyDescent="0.75">
      <c r="D5" s="111" t="str">
        <f>'RelFlt-Map-2'!D5</f>
        <v/>
      </c>
    </row>
    <row r="6" spans="4:4" x14ac:dyDescent="0.75">
      <c r="D6" s="111" t="str">
        <f>'RelFlt-Map-2'!D6</f>
        <v>* differential.element[1].mapping[0].identity = "fhir"</v>
      </c>
    </row>
    <row r="7" spans="4:4" x14ac:dyDescent="0.75">
      <c r="D7" s="111" t="str">
        <f>'RelFlt-Map-2'!D7</f>
        <v>* differential.element[1].mapping[0].map = ".identifier"</v>
      </c>
    </row>
    <row r="8" spans="4:4" x14ac:dyDescent="0.75">
      <c r="D8" s="111" t="str">
        <f>'RelFlt-Map-2'!D8</f>
        <v/>
      </c>
    </row>
    <row r="9" spans="4:4" x14ac:dyDescent="0.75">
      <c r="D9" s="111" t="str">
        <f>'RelFlt-Map-2'!D9</f>
        <v>* differential.element[2].mapping[0].identity = "fhir"</v>
      </c>
    </row>
    <row r="10" spans="4:4" x14ac:dyDescent="0.75">
      <c r="D10" s="111" t="str">
        <f>'RelFlt-Map-2'!D10</f>
        <v>* differential.element[2].mapping[0].map = ".extension('http://hl7.org/fhir/StructureDefinition/condition-occurredFollowing')"</v>
      </c>
    </row>
    <row r="11" spans="4:4" x14ac:dyDescent="0.75">
      <c r="D11" s="111" t="str">
        <f>'RelFlt-Map-2'!D11</f>
        <v/>
      </c>
    </row>
    <row r="12" spans="4:4" x14ac:dyDescent="0.75">
      <c r="D12" s="111" t="str">
        <f>'RelFlt-Map-2'!D12</f>
        <v>* differential.element[4].mapping[0].identity = "fhir"</v>
      </c>
    </row>
    <row r="13" spans="4:4" x14ac:dyDescent="0.75">
      <c r="D13" s="111" t="str">
        <f>'RelFlt-Map-2'!D13</f>
        <v>* differential.element[4].mapping[0].map = ".extension('http://hl7.org/fhir/StructureDefinition/condition-assertedDate')"</v>
      </c>
    </row>
    <row r="14" spans="4:4" x14ac:dyDescent="0.75">
      <c r="D14" s="111" t="str">
        <f>'RelFlt-Map-2'!D14</f>
        <v/>
      </c>
    </row>
    <row r="15" spans="4:4" x14ac:dyDescent="0.75">
      <c r="D15" s="111" t="str">
        <f>'RelFlt-Map-2'!D15</f>
        <v>* differential.element[3].mapping[0].identity = "fhir"</v>
      </c>
    </row>
    <row r="16" spans="4:4" x14ac:dyDescent="0.75">
      <c r="D16" s="111"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'RelFlt-Map-2'!D17</f>
        <v/>
      </c>
    </row>
    <row r="18" spans="4:4" x14ac:dyDescent="0.75">
      <c r="D18" s="111" t="str">
        <f>'RelFlt-Map-2'!D18</f>
        <v>* differential.element[5].mapping[0].identity = "fhir"</v>
      </c>
    </row>
    <row r="19" spans="4:4" x14ac:dyDescent="0.75">
      <c r="D19" s="111" t="str">
        <f>'RelFlt-Map-2'!D19</f>
        <v>* differential.element[5].mapping[0].map = "TBD"</v>
      </c>
    </row>
    <row r="20" spans="4:4" x14ac:dyDescent="0.75">
      <c r="D20" s="111" t="str">
        <f>'RelFlt-Map-2'!D20</f>
        <v/>
      </c>
    </row>
    <row r="21" spans="4:4" x14ac:dyDescent="0.75">
      <c r="D21" s="111" t="str">
        <f>'RelFlt-Map-2'!D21</f>
        <v>* differential.element[6].mapping[0].identity = "fhir"</v>
      </c>
    </row>
    <row r="22" spans="4:4" x14ac:dyDescent="0.75">
      <c r="D22" s="111" t="str">
        <f>'RelFlt-Map-2'!D22</f>
        <v>* differential.element[6].mapping[0].map = "bodySite"</v>
      </c>
    </row>
    <row r="23" spans="4:4" x14ac:dyDescent="0.75">
      <c r="D23" s="111" t="str">
        <f>'RelFlt-Map-2'!D23</f>
        <v/>
      </c>
    </row>
    <row r="24" spans="4:4" x14ac:dyDescent="0.75">
      <c r="D24" s="111" t="str">
        <f>'RelFlt-Map-2'!D24</f>
        <v/>
      </c>
    </row>
    <row r="25" spans="4:4" x14ac:dyDescent="0.75">
      <c r="D25" s="111" t="str">
        <f>'RelFlt-Map-2'!D25</f>
        <v/>
      </c>
    </row>
    <row r="26" spans="4:4" x14ac:dyDescent="0.75">
      <c r="D26" s="111" t="str">
        <f>'RelFlt-Map-2'!D26</f>
        <v/>
      </c>
    </row>
    <row r="27" spans="4:4" x14ac:dyDescent="0.75">
      <c r="D27" s="111" t="str">
        <f>'RelFlt-Map-2'!D27</f>
        <v/>
      </c>
    </row>
    <row r="28" spans="4:4" x14ac:dyDescent="0.75">
      <c r="D28" s="111" t="str">
        <f>'RelFlt-Map-2'!D28</f>
        <v/>
      </c>
    </row>
    <row r="29" spans="4:4" x14ac:dyDescent="0.75">
      <c r="D29" s="111" t="str">
        <f>'RelFlt-Map-2'!D29</f>
        <v/>
      </c>
    </row>
    <row r="30" spans="4:4" x14ac:dyDescent="0.75">
      <c r="D30" s="111" t="str">
        <f>'RelFlt-Map-2'!D30</f>
        <v/>
      </c>
    </row>
    <row r="31" spans="4:4" x14ac:dyDescent="0.75">
      <c r="D31" s="111" t="str">
        <f>'RelFlt-Map-2'!D31</f>
        <v/>
      </c>
    </row>
    <row r="32" spans="4:4" x14ac:dyDescent="0.75">
      <c r="D32" s="111" t="str">
        <f>'RelFlt-Map-2'!D32</f>
        <v/>
      </c>
    </row>
    <row r="33" spans="4:4" x14ac:dyDescent="0.75">
      <c r="D33" s="111" t="str">
        <f>'RelFlt-Map-2'!D33</f>
        <v/>
      </c>
    </row>
    <row r="34" spans="4:4" x14ac:dyDescent="0.75">
      <c r="D34" s="111" t="str">
        <f>'RelFlt-Map-2'!D34</f>
        <v/>
      </c>
    </row>
    <row r="35" spans="4:4" x14ac:dyDescent="0.75">
      <c r="D35" s="111" t="str">
        <f>'RelFlt-Map-2'!D35</f>
        <v/>
      </c>
    </row>
    <row r="36" spans="4:4" x14ac:dyDescent="0.75">
      <c r="D36" s="111" t="str">
        <f>'RelFlt-Map-2'!D36</f>
        <v/>
      </c>
    </row>
    <row r="37" spans="4:4" x14ac:dyDescent="0.75">
      <c r="D37" s="111" t="str">
        <f>'RelFlt-Map-2'!D37</f>
        <v/>
      </c>
    </row>
    <row r="38" spans="4:4" x14ac:dyDescent="0.75">
      <c r="D38" s="111" t="str">
        <f>'RelFlt-Map-2'!D38</f>
        <v/>
      </c>
    </row>
    <row r="39" spans="4:4" x14ac:dyDescent="0.75">
      <c r="D39" s="111" t="str">
        <f>'RelFlt-Map-2'!D39</f>
        <v/>
      </c>
    </row>
    <row r="40" spans="4:4" x14ac:dyDescent="0.75">
      <c r="D40" s="111" t="str">
        <f>'RelFlt-Map-2'!D40</f>
        <v/>
      </c>
    </row>
    <row r="41" spans="4:4" x14ac:dyDescent="0.75">
      <c r="D41" s="111" t="str">
        <f>'RelFlt-Map-2'!D41</f>
        <v/>
      </c>
    </row>
    <row r="42" spans="4:4" x14ac:dyDescent="0.75">
      <c r="D42" s="111" t="str">
        <f>'RelFlt-Map-2'!D42</f>
        <v/>
      </c>
    </row>
    <row r="43" spans="4:4" x14ac:dyDescent="0.75">
      <c r="D43" s="111" t="str">
        <f>'RelFlt-Map-2'!D43</f>
        <v/>
      </c>
    </row>
    <row r="44" spans="4:4" x14ac:dyDescent="0.75">
      <c r="D44" s="111" t="str">
        <f>'RelFlt-Map-2'!D44</f>
        <v/>
      </c>
    </row>
    <row r="45" spans="4:4" x14ac:dyDescent="0.75">
      <c r="D45" s="111" t="str">
        <f>'RelFlt-Map-2'!D45</f>
        <v/>
      </c>
    </row>
    <row r="46" spans="4:4" x14ac:dyDescent="0.75">
      <c r="D46" s="111" t="str">
        <f>'RelFlt-Map-2'!D46</f>
        <v/>
      </c>
    </row>
    <row r="47" spans="4:4" x14ac:dyDescent="0.75">
      <c r="D47" s="111" t="str">
        <f>'RelFlt-Map-2'!D47</f>
        <v/>
      </c>
    </row>
    <row r="48" spans="4:4" x14ac:dyDescent="0.75">
      <c r="D48" s="111" t="str">
        <f>'RelFlt-Map-2'!D48</f>
        <v/>
      </c>
    </row>
    <row r="49" spans="4:4" x14ac:dyDescent="0.75">
      <c r="D49" s="111" t="str">
        <f>'RelFlt-Map-2'!D49</f>
        <v/>
      </c>
    </row>
    <row r="50" spans="4:4" x14ac:dyDescent="0.75">
      <c r="D50" s="111" t="str">
        <f>'RelFlt-Map-2'!D50</f>
        <v/>
      </c>
    </row>
    <row r="51" spans="4:4" x14ac:dyDescent="0.75">
      <c r="D51" s="111" t="str">
        <f>'RelFlt-Map-2'!D51</f>
        <v/>
      </c>
    </row>
    <row r="52" spans="4:4" x14ac:dyDescent="0.75">
      <c r="D52" s="111" t="str">
        <f>'RelFlt-Map-2'!D52</f>
        <v/>
      </c>
    </row>
    <row r="53" spans="4:4" x14ac:dyDescent="0.75">
      <c r="D53" s="111" t="str">
        <f>'RelFlt-Map-2'!D53</f>
        <v/>
      </c>
    </row>
    <row r="54" spans="4:4" x14ac:dyDescent="0.75">
      <c r="D54" s="111" t="str">
        <f>'RelFlt-Map-2'!D54</f>
        <v/>
      </c>
    </row>
    <row r="55" spans="4:4" x14ac:dyDescent="0.75">
      <c r="D55" s="111" t="str">
        <f>'RelFlt-Map-2'!D55</f>
        <v/>
      </c>
    </row>
    <row r="56" spans="4:4" x14ac:dyDescent="0.75">
      <c r="D56" s="111" t="str">
        <f>'RelFlt-Map-2'!D56</f>
        <v/>
      </c>
    </row>
    <row r="57" spans="4:4" x14ac:dyDescent="0.75">
      <c r="D57" s="111" t="str">
        <f>'RelFlt-Map-2'!D57</f>
        <v/>
      </c>
    </row>
    <row r="58" spans="4:4" x14ac:dyDescent="0.75">
      <c r="D58" s="111" t="str">
        <f>'RelFlt-Map-2'!D58</f>
        <v/>
      </c>
    </row>
    <row r="59" spans="4:4" x14ac:dyDescent="0.75">
      <c r="D59" s="111" t="str">
        <f>'RelFlt-Map-2'!D59</f>
        <v/>
      </c>
    </row>
    <row r="60" spans="4:4" x14ac:dyDescent="0.75">
      <c r="D60" s="111" t="str">
        <f>'RelFlt-Map-2'!D60</f>
        <v/>
      </c>
    </row>
    <row r="61" spans="4:4" x14ac:dyDescent="0.75">
      <c r="D61" s="111" t="str">
        <f>'RelFlt-Map-2'!D61</f>
        <v/>
      </c>
    </row>
    <row r="62" spans="4:4" x14ac:dyDescent="0.75">
      <c r="D62" s="111" t="str">
        <f>'RelFlt-Map-2'!D62</f>
        <v/>
      </c>
    </row>
    <row r="63" spans="4:4" x14ac:dyDescent="0.75">
      <c r="D63" s="111" t="str">
        <f>'RelFlt-Map-2'!D63</f>
        <v/>
      </c>
    </row>
    <row r="64" spans="4:4" x14ac:dyDescent="0.75">
      <c r="D64" s="111" t="str">
        <f>'RelFlt-Map-2'!D64</f>
        <v/>
      </c>
    </row>
    <row r="65" spans="4:4" x14ac:dyDescent="0.75">
      <c r="D65" s="111" t="str">
        <f>'RelFlt-Map-2'!D65</f>
        <v/>
      </c>
    </row>
    <row r="66" spans="4:4" x14ac:dyDescent="0.75">
      <c r="D66" s="111" t="str">
        <f>'RelFlt-Map-2'!D66</f>
        <v/>
      </c>
    </row>
    <row r="67" spans="4:4" x14ac:dyDescent="0.75">
      <c r="D67" s="111" t="str">
        <f>'RelFlt-Map-2'!D67</f>
        <v/>
      </c>
    </row>
    <row r="68" spans="4:4" x14ac:dyDescent="0.75">
      <c r="D68" s="111" t="str">
        <f>'RelFlt-Map-2'!D68</f>
        <v/>
      </c>
    </row>
    <row r="69" spans="4:4" x14ac:dyDescent="0.75">
      <c r="D69" s="111" t="str">
        <f>'RelFlt-Map-2'!D69</f>
        <v/>
      </c>
    </row>
    <row r="70" spans="4:4" x14ac:dyDescent="0.75">
      <c r="D70" s="111" t="str">
        <f>'RelFlt-Map-2'!D70</f>
        <v/>
      </c>
    </row>
    <row r="71" spans="4:4" x14ac:dyDescent="0.75">
      <c r="D71" s="111" t="str">
        <f>'RelFlt-Map-2'!D71</f>
        <v/>
      </c>
    </row>
    <row r="72" spans="4:4" x14ac:dyDescent="0.75">
      <c r="D72" s="111" t="str">
        <f>'RelFlt-Map-2'!D72</f>
        <v/>
      </c>
    </row>
    <row r="73" spans="4:4" x14ac:dyDescent="0.75">
      <c r="D73" s="111" t="str">
        <f>'RelFlt-Map-2'!D73</f>
        <v/>
      </c>
    </row>
    <row r="74" spans="4:4" x14ac:dyDescent="0.75">
      <c r="D74" s="111" t="str">
        <f>'RelFlt-Map-2'!D74</f>
        <v/>
      </c>
    </row>
    <row r="75" spans="4:4" x14ac:dyDescent="0.75">
      <c r="D75" s="111" t="str">
        <f>'RelFlt-Map-2'!D75</f>
        <v/>
      </c>
    </row>
    <row r="76" spans="4:4" x14ac:dyDescent="0.75">
      <c r="D76" s="111" t="str">
        <f>'RelFlt-Map-2'!D76</f>
        <v/>
      </c>
    </row>
    <row r="77" spans="4:4" x14ac:dyDescent="0.75">
      <c r="D77" s="111" t="str">
        <f>'RelFlt-Map-2'!D77</f>
        <v/>
      </c>
    </row>
    <row r="78" spans="4:4" x14ac:dyDescent="0.75">
      <c r="D78" s="111" t="str">
        <f>'RelFlt-Map-2'!D78</f>
        <v/>
      </c>
    </row>
    <row r="79" spans="4:4" x14ac:dyDescent="0.75">
      <c r="D79" s="111" t="str">
        <f>'RelFlt-Map-2'!D79</f>
        <v/>
      </c>
    </row>
    <row r="80" spans="4:4" x14ac:dyDescent="0.75">
      <c r="D80" s="111" t="str">
        <f>'RelFlt-Map-2'!D80</f>
        <v/>
      </c>
    </row>
    <row r="81" spans="4:4" x14ac:dyDescent="0.75">
      <c r="D81" s="111" t="str">
        <f>'RelFlt-Map-2'!D81</f>
        <v/>
      </c>
    </row>
    <row r="82" spans="4:4" x14ac:dyDescent="0.75">
      <c r="D82" s="111" t="str">
        <f>'RelFlt-Map-2'!D82</f>
        <v/>
      </c>
    </row>
    <row r="83" spans="4:4" x14ac:dyDescent="0.75">
      <c r="D83" s="111" t="str">
        <f>'RelFlt-Map-2'!D83</f>
        <v/>
      </c>
    </row>
    <row r="84" spans="4:4" x14ac:dyDescent="0.75">
      <c r="D84" s="111" t="str">
        <f>'RelFlt-Map-2'!D84</f>
        <v/>
      </c>
    </row>
    <row r="85" spans="4:4" x14ac:dyDescent="0.75">
      <c r="D85" s="111" t="str">
        <f>'RelFlt-Map-2'!D85</f>
        <v/>
      </c>
    </row>
    <row r="86" spans="4:4" x14ac:dyDescent="0.75">
      <c r="D86" s="111" t="str">
        <f>'RelFlt-Map-2'!D86</f>
        <v/>
      </c>
    </row>
    <row r="87" spans="4:4" x14ac:dyDescent="0.75">
      <c r="D87" s="111" t="str">
        <f>'RelFlt-Map-2'!D87</f>
        <v/>
      </c>
    </row>
    <row r="88" spans="4:4" x14ac:dyDescent="0.75">
      <c r="D88" s="111" t="str">
        <f>'RelFlt-Map-2'!D88</f>
        <v/>
      </c>
    </row>
    <row r="89" spans="4:4" x14ac:dyDescent="0.75">
      <c r="D89" s="111" t="str">
        <f>'RelFlt-Map-2'!D89</f>
        <v/>
      </c>
    </row>
    <row r="90" spans="4:4" x14ac:dyDescent="0.75">
      <c r="D90" s="111" t="str">
        <f>'RelFlt-Map-2'!D90</f>
        <v/>
      </c>
    </row>
    <row r="91" spans="4:4" x14ac:dyDescent="0.75">
      <c r="D91" s="111" t="str">
        <f>'RelFlt-Map-2'!D91</f>
        <v/>
      </c>
    </row>
    <row r="92" spans="4:4" x14ac:dyDescent="0.75">
      <c r="D92" s="111" t="str">
        <f>'RelFlt-Map-2'!D92</f>
        <v/>
      </c>
    </row>
    <row r="93" spans="4:4" x14ac:dyDescent="0.75">
      <c r="D93" s="111" t="str">
        <f>'RelFlt-Map-2'!D93</f>
        <v/>
      </c>
    </row>
    <row r="94" spans="4:4" x14ac:dyDescent="0.75">
      <c r="D94" s="111" t="str">
        <f>'RelFlt-Map-2'!D94</f>
        <v/>
      </c>
    </row>
    <row r="95" spans="4:4" x14ac:dyDescent="0.75">
      <c r="D95" s="111" t="str">
        <f>'RelFlt-Map-2'!D95</f>
        <v/>
      </c>
    </row>
    <row r="96" spans="4:4" x14ac:dyDescent="0.75">
      <c r="D96" s="111" t="str">
        <f>'RelFlt-Map-2'!D96</f>
        <v/>
      </c>
    </row>
    <row r="97" spans="4:4" x14ac:dyDescent="0.75">
      <c r="D97" s="111" t="str">
        <f>'RelFlt-Map-2'!D97</f>
        <v/>
      </c>
    </row>
    <row r="98" spans="4:4" x14ac:dyDescent="0.75">
      <c r="D98" s="111" t="str">
        <f>'RelFlt-Map-2'!D98</f>
        <v/>
      </c>
    </row>
    <row r="99" spans="4:4" x14ac:dyDescent="0.75">
      <c r="D99" s="111" t="str">
        <f>'RelFlt-Map-2'!D99</f>
        <v/>
      </c>
    </row>
    <row r="100" spans="4:4" x14ac:dyDescent="0.75">
      <c r="D100" s="111" t="str">
        <f>'RelFlt-Map-2'!D100</f>
        <v/>
      </c>
    </row>
    <row r="101" spans="4:4" x14ac:dyDescent="0.75">
      <c r="D101" s="111" t="str">
        <f>'RelFlt-Map-2'!D101</f>
        <v/>
      </c>
    </row>
    <row r="102" spans="4:4" x14ac:dyDescent="0.75">
      <c r="D102" s="111" t="str">
        <f>'RelFlt-Map-2'!D102</f>
        <v>* differential.element[0].mapping[0].identity = "fhir"</v>
      </c>
    </row>
    <row r="103" spans="4:4" x14ac:dyDescent="0.75">
      <c r="D103" s="111" t="str">
        <f>'RelFlt-Map-2'!D103</f>
        <v>* differential.element[0].mapping[0].map = "Procedure.conformsTo('http://hl7.eu/fhir/ig/pcsp/StructureDefinition/Procedure-radiotheraphyBoost-eu-pcsp')"</v>
      </c>
    </row>
    <row r="104" spans="4:4" x14ac:dyDescent="0.75">
      <c r="D104" s="111" t="str">
        <f>'RelFlt-Map-2'!D104</f>
        <v/>
      </c>
    </row>
    <row r="105" spans="4:4" x14ac:dyDescent="0.75">
      <c r="D105" s="111" t="str">
        <f>'RelFlt-Map-2'!D105</f>
        <v>* differential.element[0].mapping[0].identity = "fhir"</v>
      </c>
    </row>
    <row r="106" spans="4:4" x14ac:dyDescent="0.75">
      <c r="D106" s="111" t="str">
        <f>'RelFlt-Map-2'!D106</f>
        <v>* differential.element[0].mapping[0].map = ".code"</v>
      </c>
    </row>
    <row r="107" spans="4:4" x14ac:dyDescent="0.75">
      <c r="D107" s="111" t="str">
        <f>'RelFlt-Map-2'!D107</f>
        <v/>
      </c>
    </row>
    <row r="108" spans="4:4" x14ac:dyDescent="0.75">
      <c r="D108" s="111" t="str">
        <f>'RelFlt-Map-2'!D108</f>
        <v>* differential.element[0].mapping[0].identity = "fhir"</v>
      </c>
    </row>
    <row r="109" spans="4:4" x14ac:dyDescent="0.75">
      <c r="D109" s="111" t="str">
        <f>'RelFlt-Map-2'!D109</f>
        <v>* differential.element[0].mapping[0].map = ".status"</v>
      </c>
    </row>
    <row r="110" spans="4:4" x14ac:dyDescent="0.75">
      <c r="D110" s="111" t="str">
        <f>'RelFlt-Map-2'!D110</f>
        <v/>
      </c>
    </row>
    <row r="111" spans="4:4" x14ac:dyDescent="0.75">
      <c r="D111" s="111" t="str">
        <f>'RelFlt-Map-2'!D111</f>
        <v>* differential.element[0].mapping[0].identity = "fhir"</v>
      </c>
    </row>
    <row r="112" spans="4:4" x14ac:dyDescent="0.75">
      <c r="D112" s="111" t="str">
        <f>'RelFlt-Map-2'!D112</f>
        <v>* differential.element[0].mapping[0].map = ".bodySite"</v>
      </c>
    </row>
    <row r="113" spans="4:4" x14ac:dyDescent="0.75">
      <c r="D113" s="111" t="str">
        <f>'RelFlt-Map-2'!D113</f>
        <v/>
      </c>
    </row>
    <row r="114" spans="4:4" x14ac:dyDescent="0.75">
      <c r="D114" s="111" t="str">
        <f>'RelFlt-Map-2'!D114</f>
        <v>* differential.element[0].mapping[0].identity = "fhir"</v>
      </c>
    </row>
    <row r="115" spans="4:4" x14ac:dyDescent="0.75">
      <c r="D115" s="111" t="str">
        <f>'RelFlt-Map-2'!D115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'RelFlt-Map-2'!D116</f>
        <v/>
      </c>
    </row>
    <row r="117" spans="4:4" x14ac:dyDescent="0.75">
      <c r="D117" s="111" t="str">
        <f>'RelFlt-Map-2'!D117</f>
        <v/>
      </c>
    </row>
    <row r="118" spans="4:4" x14ac:dyDescent="0.75">
      <c r="D118" s="111" t="str">
        <f>'RelFlt-Map-2'!D118</f>
        <v/>
      </c>
    </row>
    <row r="119" spans="4:4" x14ac:dyDescent="0.75">
      <c r="D119" s="111" t="str">
        <f>'RelFlt-Map-2'!D119</f>
        <v/>
      </c>
    </row>
    <row r="120" spans="4:4" x14ac:dyDescent="0.75">
      <c r="D120" s="111" t="str">
        <f>'RelFlt-Map-2'!D120</f>
        <v/>
      </c>
    </row>
    <row r="121" spans="4:4" x14ac:dyDescent="0.75">
      <c r="D121" s="111" t="str">
        <f>'RelFlt-Map-2'!D121</f>
        <v/>
      </c>
    </row>
    <row r="122" spans="4:4" x14ac:dyDescent="0.75">
      <c r="D122" s="111" t="str">
        <f>'RelFlt-Map-2'!D122</f>
        <v/>
      </c>
    </row>
    <row r="123" spans="4:4" x14ac:dyDescent="0.75">
      <c r="D123" s="111" t="str">
        <f>'RelFlt-Map-2'!D123</f>
        <v/>
      </c>
    </row>
    <row r="124" spans="4:4" x14ac:dyDescent="0.75">
      <c r="D124" s="111" t="str">
        <f>'RelFlt-Map-2'!D124</f>
        <v/>
      </c>
    </row>
    <row r="125" spans="4:4" x14ac:dyDescent="0.75">
      <c r="D125" s="111" t="str">
        <f>'RelFlt-Map-2'!D125</f>
        <v/>
      </c>
    </row>
    <row r="126" spans="4:4" x14ac:dyDescent="0.75">
      <c r="D126" s="111" t="str">
        <f>'RelFlt-Map-2'!D126</f>
        <v/>
      </c>
    </row>
    <row r="127" spans="4:4" x14ac:dyDescent="0.75">
      <c r="D127" s="111" t="str">
        <f>'RelFlt-Map-2'!D127</f>
        <v/>
      </c>
    </row>
    <row r="128" spans="4:4" x14ac:dyDescent="0.75">
      <c r="D128" s="111" t="str">
        <f>'RelFlt-Map-2'!D128</f>
        <v/>
      </c>
    </row>
    <row r="129" spans="4:4" x14ac:dyDescent="0.75">
      <c r="D129" s="111" t="str">
        <f>'RelFlt-Map-2'!D129</f>
        <v/>
      </c>
    </row>
    <row r="130" spans="4:4" x14ac:dyDescent="0.75">
      <c r="D130" s="111" t="str">
        <f>'RelFlt-Map-2'!D130</f>
        <v/>
      </c>
    </row>
    <row r="131" spans="4:4" x14ac:dyDescent="0.75">
      <c r="D131" s="111" t="str">
        <f>'RelFlt-Map-2'!D131</f>
        <v/>
      </c>
    </row>
    <row r="132" spans="4:4" x14ac:dyDescent="0.75">
      <c r="D132" s="111" t="str">
        <f>'RelFlt-Map-2'!D132</f>
        <v>* differential.element[0].mapping[0].identity = "fhir"</v>
      </c>
    </row>
    <row r="133" spans="4:4" x14ac:dyDescent="0.75">
      <c r="D133" s="111" t="str">
        <f>'RelFlt-Map-2'!D133</f>
        <v>* differential.element[0].mapping[0].map = ".extension(http://hl7.eu/fhir/ig/pcsp/StructureDefinition/ResourceRelatedInfo-eu-pcsp).conformsTo(http://hl7.eu/fhir/ig/pcsp/StructureDefinition/Observation-cumulativeDoseRad-eu-pcsp)"</v>
      </c>
    </row>
    <row r="134" spans="4:4" x14ac:dyDescent="0.75">
      <c r="D134" s="111" t="str">
        <f>'RelFlt-Map-2'!D134</f>
        <v/>
      </c>
    </row>
    <row r="135" spans="4:4" x14ac:dyDescent="0.75">
      <c r="D135" s="111" t="str">
        <f>'RelFlt-Map-2'!D135</f>
        <v/>
      </c>
    </row>
    <row r="136" spans="4:4" x14ac:dyDescent="0.75">
      <c r="D136" s="111" t="str">
        <f>'RelFlt-Map-2'!D136</f>
        <v/>
      </c>
    </row>
    <row r="137" spans="4:4" x14ac:dyDescent="0.75">
      <c r="D137" s="111" t="str">
        <f>'RelFlt-Map-2'!D137</f>
        <v/>
      </c>
    </row>
    <row r="138" spans="4:4" x14ac:dyDescent="0.75">
      <c r="D138" s="111" t="str">
        <f>'RelFlt-Map-2'!D138</f>
        <v/>
      </c>
    </row>
    <row r="139" spans="4:4" x14ac:dyDescent="0.75">
      <c r="D139" s="111" t="str">
        <f>'RelFlt-Map-2'!D139</f>
        <v/>
      </c>
    </row>
    <row r="140" spans="4:4" x14ac:dyDescent="0.75">
      <c r="D140" s="111" t="str">
        <f>'RelFlt-Map-2'!D140</f>
        <v/>
      </c>
    </row>
    <row r="141" spans="4:4" x14ac:dyDescent="0.75">
      <c r="D141" s="111" t="str">
        <f>'RelFlt-Map-2'!D141</f>
        <v/>
      </c>
    </row>
    <row r="142" spans="4:4" x14ac:dyDescent="0.75">
      <c r="D142" s="111" t="str">
        <f>'RelFlt-Map-2'!D142</f>
        <v/>
      </c>
    </row>
    <row r="143" spans="4:4" x14ac:dyDescent="0.75">
      <c r="D143" s="111" t="str">
        <f>'RelFlt-Map-2'!D143</f>
        <v/>
      </c>
    </row>
    <row r="144" spans="4:4" x14ac:dyDescent="0.75">
      <c r="D144" s="111" t="str">
        <f>'RelFlt-Map-2'!D144</f>
        <v/>
      </c>
    </row>
    <row r="145" spans="4:4" x14ac:dyDescent="0.75">
      <c r="D145" s="111" t="str">
        <f>'RelFlt-Map-2'!D145</f>
        <v/>
      </c>
    </row>
    <row r="146" spans="4:4" x14ac:dyDescent="0.75">
      <c r="D146" s="111" t="str">
        <f>'RelFlt-Map-2'!D146</f>
        <v/>
      </c>
    </row>
    <row r="147" spans="4:4" x14ac:dyDescent="0.75">
      <c r="D147" s="111" t="str">
        <f>'RelFlt-Map-2'!D147</f>
        <v/>
      </c>
    </row>
    <row r="148" spans="4:4" x14ac:dyDescent="0.75">
      <c r="D148" s="111" t="str">
        <f>'RelFlt-Map-2'!D148</f>
        <v/>
      </c>
    </row>
    <row r="149" spans="4:4" x14ac:dyDescent="0.75">
      <c r="D149" s="111" t="str">
        <f>'RelFlt-Map-2'!D149</f>
        <v/>
      </c>
    </row>
    <row r="150" spans="4:4" x14ac:dyDescent="0.75">
      <c r="D150" s="111" t="str">
        <f>'RelFlt-Map-2'!D150</f>
        <v/>
      </c>
    </row>
    <row r="151" spans="4:4" x14ac:dyDescent="0.75">
      <c r="D151" s="111" t="str">
        <f>'RelFlt-Map-2'!D151</f>
        <v/>
      </c>
    </row>
    <row r="152" spans="4:4" x14ac:dyDescent="0.75">
      <c r="D152" s="111" t="str">
        <f>'RelFlt-Map-2'!D152</f>
        <v/>
      </c>
    </row>
    <row r="153" spans="4:4" x14ac:dyDescent="0.75">
      <c r="D153" s="111" t="str">
        <f>'RelFlt-Map-2'!D153</f>
        <v/>
      </c>
    </row>
    <row r="154" spans="4:4" x14ac:dyDescent="0.75">
      <c r="D154" s="111" t="str">
        <f>'RelFlt-Map-2'!D154</f>
        <v/>
      </c>
    </row>
    <row r="155" spans="4:4" x14ac:dyDescent="0.75">
      <c r="D155" s="111" t="str">
        <f>'RelFlt-Map-2'!D155</f>
        <v/>
      </c>
    </row>
    <row r="156" spans="4:4" x14ac:dyDescent="0.75">
      <c r="D156" s="111" t="str">
        <f>'RelFlt-Map-2'!D156</f>
        <v/>
      </c>
    </row>
    <row r="157" spans="4:4" x14ac:dyDescent="0.75">
      <c r="D157" s="111" t="str">
        <f>'RelFlt-Map-2'!D157</f>
        <v/>
      </c>
    </row>
    <row r="158" spans="4:4" x14ac:dyDescent="0.75">
      <c r="D158" s="111" t="str">
        <f>'RelFlt-Map-2'!D158</f>
        <v/>
      </c>
    </row>
    <row r="159" spans="4:4" x14ac:dyDescent="0.75">
      <c r="D159" s="111" t="str">
        <f>'RelFlt-Map-2'!D159</f>
        <v/>
      </c>
    </row>
    <row r="160" spans="4:4" x14ac:dyDescent="0.75">
      <c r="D160" s="111" t="str">
        <f>'RelFlt-Map-2'!D160</f>
        <v/>
      </c>
    </row>
    <row r="161" spans="4:4" x14ac:dyDescent="0.75">
      <c r="D161" s="111" t="str">
        <f>'RelFlt-Map-2'!D161</f>
        <v/>
      </c>
    </row>
    <row r="162" spans="4:4" x14ac:dyDescent="0.75">
      <c r="D162" s="111" t="str">
        <f>'RelFlt-Map-2'!D162</f>
        <v/>
      </c>
    </row>
    <row r="163" spans="4:4" x14ac:dyDescent="0.75">
      <c r="D163" s="111" t="str">
        <f>'RelFlt-Map-2'!D163</f>
        <v/>
      </c>
    </row>
    <row r="164" spans="4:4" x14ac:dyDescent="0.75">
      <c r="D164" s="111" t="str">
        <f>'RelFlt-Map-2'!D164</f>
        <v/>
      </c>
    </row>
    <row r="165" spans="4:4" x14ac:dyDescent="0.75">
      <c r="D165" s="111" t="str">
        <f>'RelFlt-Map-2'!D165</f>
        <v/>
      </c>
    </row>
    <row r="166" spans="4:4" x14ac:dyDescent="0.75">
      <c r="D166" s="111" t="str">
        <f>'RelFlt-Map-2'!D166</f>
        <v/>
      </c>
    </row>
    <row r="167" spans="4:4" x14ac:dyDescent="0.75">
      <c r="D167" s="111" t="str">
        <f>'RelFlt-Map-2'!D167</f>
        <v/>
      </c>
    </row>
    <row r="168" spans="4:4" x14ac:dyDescent="0.75">
      <c r="D168" s="111" t="str">
        <f>'RelFlt-Map-2'!D168</f>
        <v/>
      </c>
    </row>
    <row r="169" spans="4:4" x14ac:dyDescent="0.75">
      <c r="D169" s="111" t="str">
        <f>'RelFlt-Map-2'!D169</f>
        <v/>
      </c>
    </row>
    <row r="170" spans="4:4" x14ac:dyDescent="0.75">
      <c r="D170" s="111">
        <f>'RelFlt-Map-2'!D170</f>
        <v>0</v>
      </c>
    </row>
    <row r="171" spans="4:4" x14ac:dyDescent="0.75">
      <c r="D171" s="111" t="str">
        <f>'RelFlt-Map-2'!D171</f>
        <v/>
      </c>
    </row>
    <row r="172" spans="4:4" x14ac:dyDescent="0.75">
      <c r="D172" s="111" t="str">
        <f>'RelFlt-Map-2'!D172</f>
        <v/>
      </c>
    </row>
    <row r="173" spans="4:4" x14ac:dyDescent="0.75">
      <c r="D173" s="111">
        <f>'RelFlt-Map-2'!D173</f>
        <v>0</v>
      </c>
    </row>
    <row r="174" spans="4:4" x14ac:dyDescent="0.75">
      <c r="D174" s="111" t="str">
        <f>'RelFlt-Map-2'!D174</f>
        <v/>
      </c>
    </row>
    <row r="175" spans="4:4" x14ac:dyDescent="0.75">
      <c r="D175" s="111" t="str">
        <f>'RelFlt-Map-2'!D175</f>
        <v/>
      </c>
    </row>
    <row r="176" spans="4:4" x14ac:dyDescent="0.75">
      <c r="D176" s="111">
        <f>'RelFlt-Map-2'!D176</f>
        <v>0</v>
      </c>
    </row>
    <row r="177" spans="4:4" x14ac:dyDescent="0.75">
      <c r="D177" s="111" t="str">
        <f>'RelFlt-Map-2'!D177</f>
        <v/>
      </c>
    </row>
    <row r="178" spans="4:4" x14ac:dyDescent="0.75">
      <c r="D178" s="111" t="str">
        <f>'RelFlt-Map-2'!D178</f>
        <v/>
      </c>
    </row>
    <row r="179" spans="4:4" x14ac:dyDescent="0.75">
      <c r="D179" s="111">
        <f>'RelFlt-Map-2'!D179</f>
        <v>0</v>
      </c>
    </row>
    <row r="180" spans="4:4" x14ac:dyDescent="0.75">
      <c r="D180" s="111" t="str">
        <f>'RelFlt-Map-2'!D180</f>
        <v/>
      </c>
    </row>
    <row r="181" spans="4:4" x14ac:dyDescent="0.75">
      <c r="D181" s="111" t="str">
        <f>'RelFlt-Map-2'!D181</f>
        <v/>
      </c>
    </row>
    <row r="182" spans="4:4" x14ac:dyDescent="0.75">
      <c r="D182" s="111">
        <f>'RelFlt-Map-2'!D182</f>
        <v>0</v>
      </c>
    </row>
    <row r="183" spans="4:4" x14ac:dyDescent="0.75">
      <c r="D183" s="111" t="str">
        <f>'RelFlt-Map-2'!D183</f>
        <v/>
      </c>
    </row>
    <row r="184" spans="4:4" x14ac:dyDescent="0.75">
      <c r="D184" s="111" t="str">
        <f>'RelFlt-Map-2'!D184</f>
        <v/>
      </c>
    </row>
    <row r="185" spans="4:4" x14ac:dyDescent="0.75">
      <c r="D185" s="111">
        <f>'RelFlt-Map-2'!D185</f>
        <v>0</v>
      </c>
    </row>
    <row r="186" spans="4:4" x14ac:dyDescent="0.75">
      <c r="D186" s="111" t="str">
        <f>'RelFlt-Map-2'!D186</f>
        <v/>
      </c>
    </row>
    <row r="187" spans="4:4" x14ac:dyDescent="0.75">
      <c r="D187" s="111" t="str">
        <f>'RelFlt-Map-2'!D187</f>
        <v/>
      </c>
    </row>
    <row r="188" spans="4:4" x14ac:dyDescent="0.75">
      <c r="D188" s="111">
        <f>'RelFlt-Map-2'!D188</f>
        <v>0</v>
      </c>
    </row>
    <row r="189" spans="4:4" x14ac:dyDescent="0.75">
      <c r="D189" s="111" t="str">
        <f>'RelFlt-Map-2'!D189</f>
        <v/>
      </c>
    </row>
    <row r="190" spans="4:4" x14ac:dyDescent="0.75">
      <c r="D190" s="111" t="str">
        <f>'RelFlt-Map-2'!D190</f>
        <v/>
      </c>
    </row>
    <row r="191" spans="4:4" x14ac:dyDescent="0.75">
      <c r="D191" s="111">
        <f>'RelFlt-Map-2'!D191</f>
        <v>0</v>
      </c>
    </row>
    <row r="192" spans="4:4" x14ac:dyDescent="0.75">
      <c r="D192" s="111">
        <f>'RelFlt-Map-2'!D192</f>
        <v>0</v>
      </c>
    </row>
    <row r="193" spans="4:4" x14ac:dyDescent="0.75">
      <c r="D193" s="111">
        <f>'RelFlt-Map-2'!D193</f>
        <v>0</v>
      </c>
    </row>
    <row r="194" spans="4:4" x14ac:dyDescent="0.75">
      <c r="D194" s="111">
        <f>'RelFlt-Map-2'!D194</f>
        <v>0</v>
      </c>
    </row>
    <row r="195" spans="4:4" x14ac:dyDescent="0.75">
      <c r="D195" s="111">
        <f>'RelFlt-Map-2'!D195</f>
        <v>0</v>
      </c>
    </row>
    <row r="196" spans="4:4" x14ac:dyDescent="0.75">
      <c r="D196" s="111">
        <f>'RelFlt-Map-2'!D196</f>
        <v>0</v>
      </c>
    </row>
    <row r="197" spans="4:4" x14ac:dyDescent="0.75">
      <c r="D197" s="111">
        <f>'RelFlt-Map-2'!D197</f>
        <v>0</v>
      </c>
    </row>
    <row r="198" spans="4:4" x14ac:dyDescent="0.75">
      <c r="D198" s="111">
        <f>'RelFlt-Map-2'!D198</f>
        <v>0</v>
      </c>
    </row>
    <row r="199" spans="4:4" x14ac:dyDescent="0.75">
      <c r="D199" s="111">
        <f>'RelFlt-Map-2'!D199</f>
        <v>0</v>
      </c>
    </row>
    <row r="200" spans="4:4" x14ac:dyDescent="0.75">
      <c r="D200" s="111">
        <f>'RelFlt-Map-2'!D200</f>
        <v>0</v>
      </c>
    </row>
    <row r="201" spans="4:4" x14ac:dyDescent="0.75">
      <c r="D201" s="111">
        <f>'RelFlt-Map-2'!D201</f>
        <v>0</v>
      </c>
    </row>
    <row r="202" spans="4:4" x14ac:dyDescent="0.75">
      <c r="D202" s="111">
        <f>'RelFlt-Map-2'!D202</f>
        <v>0</v>
      </c>
    </row>
    <row r="203" spans="4:4" x14ac:dyDescent="0.75">
      <c r="D203" s="111">
        <f>'RelFlt-Map-2'!D203</f>
        <v>0</v>
      </c>
    </row>
    <row r="204" spans="4:4" x14ac:dyDescent="0.75">
      <c r="D204" s="111">
        <f>'RelFlt-Map-2'!D204</f>
        <v>0</v>
      </c>
    </row>
    <row r="205" spans="4:4" x14ac:dyDescent="0.75">
      <c r="D205" s="111">
        <f>'RelFlt-Map-2'!D205</f>
        <v>0</v>
      </c>
    </row>
    <row r="206" spans="4:4" x14ac:dyDescent="0.75">
      <c r="D206" s="111">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Oth-1</vt:lpstr>
      <vt:lpstr>Oth-2</vt:lpstr>
      <vt:lpstr>Oth-3</vt:lpstr>
      <vt:lpstr>Oth-Map-1</vt:lpstr>
      <vt:lpstr>Oth-Map-2</vt:lpstr>
      <vt:lpstr>Oth-Map-2-all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2022-05-01T20:52:02Z</dcterms:modified>
</cp:coreProperties>
</file>