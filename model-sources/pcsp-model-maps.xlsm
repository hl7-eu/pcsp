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ctrlProps/ctrlProp14.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28.xml" ContentType="application/vnd.openxmlformats-officedocument.drawing+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4D6A7998-3073-43E3-8615-916A8B96DD91}" xr6:coauthVersionLast="47" xr6:coauthVersionMax="47" xr10:uidLastSave="{00000000-0000-0000-0000-000000000000}"/>
  <bookViews>
    <workbookView xWindow="-90" yWindow="-21710" windowWidth="38620" windowHeight="21100" tabRatio="819" firstSheet="16" activeTab="28" xr2:uid="{82F0A5E9-86C8-45A2-AB20-6CF6AA2FD42B}"/>
  </bookViews>
  <sheets>
    <sheet name="VariablesList" sheetId="106" r:id="rId1"/>
    <sheet name="Common" sheetId="59" r:id="rId2"/>
    <sheet name="Diag" sheetId="113" r:id="rId3"/>
    <sheet name="Diag-Map" sheetId="114" r:id="rId4"/>
    <sheet name="Diag-fsh" sheetId="115" r:id="rId5"/>
    <sheet name="Subj" sheetId="116" r:id="rId6"/>
    <sheet name="Subj-Map" sheetId="117" r:id="rId7"/>
    <sheet name="Subj-fsh" sheetId="118" r:id="rId8"/>
    <sheet name="Chemo" sheetId="123" r:id="rId9"/>
    <sheet name="Chemo-Map" sheetId="124" r:id="rId10"/>
    <sheet name="Chemo-fsh" sheetId="125" r:id="rId11"/>
    <sheet name="RelAftFlt" sheetId="12" r:id="rId12"/>
    <sheet name="RelAftFlt-Map" sheetId="33" r:id="rId13"/>
    <sheet name="RelAftFlt-fsh" sheetId="73" r:id="rId14"/>
    <sheet name="Radio" sheetId="126" r:id="rId15"/>
    <sheet name="Radio-Map" sheetId="127" r:id="rId16"/>
    <sheet name="Radio-fsh" sheetId="128" r:id="rId17"/>
    <sheet name="Surg" sheetId="136" r:id="rId18"/>
    <sheet name="Surg-Map" sheetId="137" r:id="rId19"/>
    <sheet name="Surg-fsh" sheetId="138" r:id="rId20"/>
    <sheet name="Other" sheetId="139" r:id="rId21"/>
    <sheet name="Other-Map" sheetId="140" r:id="rId22"/>
    <sheet name="Other-fsh" sheetId="141" r:id="rId23"/>
    <sheet name="Sct" sheetId="148" r:id="rId24"/>
    <sheet name="Sct-Map" sheetId="149" r:id="rId25"/>
    <sheet name="Sct-fsh" sheetId="150" r:id="rId26"/>
    <sheet name="Flt" sheetId="151" r:id="rId27"/>
    <sheet name="Flt-Map" sheetId="152" r:id="rId28"/>
    <sheet name="Flt-fsh" sheetId="153" r:id="rId29"/>
    <sheet name="RelFlt" sheetId="154" r:id="rId30"/>
    <sheet name="RelFlt-Map" sheetId="155" r:id="rId31"/>
    <sheet name="RelFlt-fsh" sheetId="156" r:id="rId32"/>
    <sheet name="Meta" sheetId="157" r:id="rId33"/>
    <sheet name="Meta-Map" sheetId="158" r:id="rId34"/>
    <sheet name="Meta-fsh" sheetId="159" r:id="rId35"/>
    <sheet name="Plan" sheetId="133" r:id="rId36"/>
    <sheet name="Plan-Map" sheetId="134" r:id="rId37"/>
    <sheet name="Plan-fsh" sheetId="135" r:id="rId38"/>
    <sheet name="TreatSum" sheetId="169" r:id="rId39"/>
    <sheet name="TreatSum-Map" sheetId="170" r:id="rId40"/>
    <sheet name="TreatSum-fsh" sheetId="171" r:id="rId41"/>
    <sheet name="SurPass" sheetId="166" r:id="rId42"/>
    <sheet name="SurPass-Map" sheetId="167" r:id="rId43"/>
    <sheet name="SurPass-fsh" sheetId="168" r:id="rId44"/>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9" i="153" l="1"/>
  <c r="C40" i="153"/>
  <c r="C41" i="153"/>
  <c r="C42" i="153"/>
  <c r="C43" i="153"/>
  <c r="C44" i="153"/>
  <c r="C45" i="153"/>
  <c r="C46" i="153"/>
  <c r="C47" i="153"/>
  <c r="C48" i="153"/>
  <c r="C49" i="153"/>
  <c r="C50" i="153"/>
  <c r="C51" i="153"/>
  <c r="C52" i="153"/>
  <c r="C53" i="153"/>
  <c r="C54" i="153"/>
  <c r="C55" i="153"/>
  <c r="C56" i="153"/>
  <c r="C57" i="153"/>
  <c r="C58" i="153"/>
  <c r="C59" i="153"/>
  <c r="C60" i="153"/>
  <c r="C61" i="153"/>
  <c r="C62" i="153"/>
  <c r="C63" i="153"/>
  <c r="C64" i="153"/>
  <c r="C65" i="153"/>
  <c r="C66" i="153"/>
  <c r="E21" i="152"/>
  <c r="B21" i="152"/>
  <c r="B22" i="152"/>
  <c r="E22" i="152" s="1"/>
  <c r="B23" i="152"/>
  <c r="E23" i="152" s="1"/>
  <c r="B20" i="152"/>
  <c r="E12" i="170"/>
  <c r="C12" i="170"/>
  <c r="C31" i="73"/>
  <c r="C32" i="73"/>
  <c r="C33" i="73"/>
  <c r="C34" i="73"/>
  <c r="C35" i="73"/>
  <c r="C36" i="73"/>
  <c r="C37" i="73"/>
  <c r="C38" i="73"/>
  <c r="C39" i="73"/>
  <c r="C30" i="73"/>
  <c r="E23" i="170"/>
  <c r="C23" i="170"/>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3" i="128"/>
  <c r="C144" i="128"/>
  <c r="B47" i="127"/>
  <c r="G47" i="127" s="1"/>
  <c r="B48" i="127"/>
  <c r="B49" i="127"/>
  <c r="B50" i="127"/>
  <c r="B51" i="127"/>
  <c r="B52" i="127"/>
  <c r="B53" i="127"/>
  <c r="B54" i="127"/>
  <c r="G54" i="127" s="1"/>
  <c r="B55" i="127"/>
  <c r="B56" i="127"/>
  <c r="B57" i="127"/>
  <c r="B58" i="127"/>
  <c r="B59" i="127"/>
  <c r="B60" i="127"/>
  <c r="B61" i="127"/>
  <c r="B62" i="127"/>
  <c r="G62" i="127" s="1"/>
  <c r="B63" i="127"/>
  <c r="B64" i="127"/>
  <c r="B65" i="127"/>
  <c r="B66" i="127"/>
  <c r="B67" i="127"/>
  <c r="B46" i="127"/>
  <c r="G48" i="127"/>
  <c r="B37" i="127"/>
  <c r="G37" i="127" s="1"/>
  <c r="B38" i="127"/>
  <c r="B39" i="127"/>
  <c r="B40" i="127"/>
  <c r="B41" i="127"/>
  <c r="B42" i="127"/>
  <c r="G42" i="127" s="1"/>
  <c r="B43" i="127"/>
  <c r="B44" i="127"/>
  <c r="G44" i="127" s="1"/>
  <c r="B45" i="127"/>
  <c r="G45" i="127" s="1"/>
  <c r="B36" i="127"/>
  <c r="G36" i="127" s="1"/>
  <c r="G11" i="127"/>
  <c r="H11" i="127"/>
  <c r="G12" i="127"/>
  <c r="H12" i="127"/>
  <c r="G13" i="127"/>
  <c r="H13" i="127"/>
  <c r="G14" i="127"/>
  <c r="H14" i="127"/>
  <c r="G15" i="127"/>
  <c r="H15" i="127"/>
  <c r="G16" i="127"/>
  <c r="H16" i="127"/>
  <c r="G17" i="127"/>
  <c r="H17" i="127"/>
  <c r="G18" i="127"/>
  <c r="H18" i="127"/>
  <c r="G19" i="127"/>
  <c r="H19" i="127"/>
  <c r="G20" i="127"/>
  <c r="H20" i="127"/>
  <c r="G21" i="127"/>
  <c r="H21" i="127"/>
  <c r="G22" i="127"/>
  <c r="H22" i="127"/>
  <c r="G23" i="127"/>
  <c r="H23" i="127"/>
  <c r="G24" i="127"/>
  <c r="H24" i="127"/>
  <c r="G25" i="127"/>
  <c r="H25" i="127"/>
  <c r="G26" i="127"/>
  <c r="H26" i="127"/>
  <c r="G27" i="127"/>
  <c r="H27" i="127"/>
  <c r="G28" i="127"/>
  <c r="H28" i="127"/>
  <c r="G29" i="127"/>
  <c r="H29" i="127"/>
  <c r="G30" i="127"/>
  <c r="H30" i="127"/>
  <c r="G31" i="127"/>
  <c r="H31" i="127"/>
  <c r="G32" i="127"/>
  <c r="H32" i="127"/>
  <c r="G33" i="127"/>
  <c r="H33" i="127"/>
  <c r="G34" i="127"/>
  <c r="H34" i="127"/>
  <c r="G35" i="127"/>
  <c r="H35" i="127"/>
  <c r="H36" i="127"/>
  <c r="H37" i="127"/>
  <c r="H10" i="127"/>
  <c r="G38" i="127"/>
  <c r="H38" i="127"/>
  <c r="G39" i="127"/>
  <c r="H39" i="127"/>
  <c r="G40" i="127"/>
  <c r="H40" i="127"/>
  <c r="G41" i="127"/>
  <c r="H41" i="127"/>
  <c r="H42" i="127"/>
  <c r="G43" i="127"/>
  <c r="H43" i="127"/>
  <c r="H44" i="127"/>
  <c r="H45" i="127"/>
  <c r="G46" i="127"/>
  <c r="H46" i="127"/>
  <c r="H47" i="127"/>
  <c r="H48" i="127"/>
  <c r="G49" i="127"/>
  <c r="H49" i="127"/>
  <c r="G50" i="127"/>
  <c r="H50" i="127"/>
  <c r="G51" i="127"/>
  <c r="H51" i="127"/>
  <c r="G52" i="127"/>
  <c r="H52" i="127"/>
  <c r="G53" i="127"/>
  <c r="H53" i="127"/>
  <c r="H54" i="127"/>
  <c r="G55" i="127"/>
  <c r="H55" i="127"/>
  <c r="G56" i="127"/>
  <c r="H56" i="127"/>
  <c r="G57" i="127"/>
  <c r="H57" i="127"/>
  <c r="G58" i="127"/>
  <c r="H58" i="127"/>
  <c r="G59" i="127"/>
  <c r="H59" i="127"/>
  <c r="G60" i="127"/>
  <c r="H60" i="127"/>
  <c r="G61" i="127"/>
  <c r="H61" i="127"/>
  <c r="H62" i="127"/>
  <c r="G63" i="127"/>
  <c r="H63" i="127"/>
  <c r="G64" i="127"/>
  <c r="H64" i="127"/>
  <c r="G65" i="127"/>
  <c r="H65" i="127"/>
  <c r="G66" i="127"/>
  <c r="H66" i="127"/>
  <c r="G67" i="127"/>
  <c r="H67" i="127"/>
  <c r="G68" i="127"/>
  <c r="H68" i="127"/>
  <c r="G69" i="127"/>
  <c r="H69" i="127"/>
  <c r="G70" i="127"/>
  <c r="H70" i="127"/>
  <c r="G71" i="127"/>
  <c r="H71" i="127"/>
  <c r="B34" i="127"/>
  <c r="B35" i="127"/>
  <c r="B32" i="127"/>
  <c r="B33" i="127"/>
  <c r="B29" i="127"/>
  <c r="B30" i="127"/>
  <c r="B31" i="127"/>
  <c r="E27" i="127"/>
  <c r="B28" i="127"/>
  <c r="B27" i="127"/>
  <c r="B26" i="127"/>
  <c r="B25" i="127"/>
  <c r="B24" i="127"/>
  <c r="G20" i="169" l="1"/>
  <c r="G12" i="169"/>
  <c r="B4" i="166"/>
  <c r="B4" i="133"/>
  <c r="B4" i="157"/>
  <c r="B4" i="154"/>
  <c r="G2" i="153"/>
  <c r="B4" i="151"/>
  <c r="G2" i="150"/>
  <c r="B4" i="148"/>
  <c r="B4" i="139"/>
  <c r="G2" i="141"/>
  <c r="B4" i="116"/>
  <c r="B4" i="123"/>
  <c r="B4" i="12"/>
  <c r="B4" i="126"/>
  <c r="B4" i="136"/>
  <c r="G2" i="138"/>
  <c r="G2" i="128"/>
  <c r="G2" i="73"/>
  <c r="G2" i="125"/>
  <c r="G2" i="118"/>
  <c r="G2" i="115"/>
  <c r="B4" i="113" l="1"/>
  <c r="G10" i="169" s="1"/>
  <c r="I10" i="169" s="1"/>
  <c r="C10" i="171" s="1"/>
  <c r="B4" i="169"/>
  <c r="I4" i="169" s="1"/>
  <c r="C4" i="171" s="1"/>
  <c r="G11" i="169"/>
  <c r="I11" i="169" s="1"/>
  <c r="C11" i="171" s="1"/>
  <c r="G8" i="169"/>
  <c r="I8" i="169" s="1"/>
  <c r="C8" i="171" s="1"/>
  <c r="C71" i="171"/>
  <c r="C72" i="171"/>
  <c r="C62" i="171"/>
  <c r="C63" i="171"/>
  <c r="C64" i="171"/>
  <c r="C65" i="171"/>
  <c r="C66" i="171"/>
  <c r="C67" i="171"/>
  <c r="C68" i="171"/>
  <c r="C69" i="171"/>
  <c r="C70" i="171"/>
  <c r="C51" i="171"/>
  <c r="C53" i="171"/>
  <c r="C54" i="171"/>
  <c r="C55" i="171"/>
  <c r="C56" i="171"/>
  <c r="C57" i="171"/>
  <c r="C59" i="171"/>
  <c r="C61" i="171"/>
  <c r="C27" i="171"/>
  <c r="C28" i="171"/>
  <c r="C29" i="171"/>
  <c r="C30" i="171"/>
  <c r="C31" i="171"/>
  <c r="C32" i="171"/>
  <c r="C24" i="171"/>
  <c r="C25" i="171"/>
  <c r="C26" i="171"/>
  <c r="C18" i="171"/>
  <c r="C19" i="171"/>
  <c r="C21" i="171"/>
  <c r="C22" i="171"/>
  <c r="C23" i="171"/>
  <c r="C13" i="171"/>
  <c r="C14" i="171"/>
  <c r="C15" i="171"/>
  <c r="C16" i="171"/>
  <c r="C17" i="171"/>
  <c r="C21" i="170"/>
  <c r="B32" i="170"/>
  <c r="B33" i="170"/>
  <c r="B31" i="170"/>
  <c r="E31" i="170" s="1"/>
  <c r="C24" i="170"/>
  <c r="E24" i="170" s="1"/>
  <c r="C60" i="171" s="1"/>
  <c r="E27" i="170"/>
  <c r="E26" i="170"/>
  <c r="C58" i="171"/>
  <c r="C19" i="170"/>
  <c r="B20" i="170"/>
  <c r="B21" i="170"/>
  <c r="E21" i="170" s="1"/>
  <c r="B22" i="170"/>
  <c r="B23" i="170"/>
  <c r="B24" i="170"/>
  <c r="B25" i="170"/>
  <c r="B26" i="170"/>
  <c r="B27" i="170"/>
  <c r="B28" i="170"/>
  <c r="E28" i="170" s="1"/>
  <c r="B29" i="170"/>
  <c r="B30" i="170"/>
  <c r="B19" i="170"/>
  <c r="C18" i="170"/>
  <c r="C17" i="170"/>
  <c r="C16" i="170"/>
  <c r="E16" i="170" s="1"/>
  <c r="C52" i="171" s="1"/>
  <c r="C15" i="170"/>
  <c r="C14" i="170"/>
  <c r="C13" i="170"/>
  <c r="E13" i="170" s="1"/>
  <c r="C49" i="171" s="1"/>
  <c r="C47" i="171"/>
  <c r="C10" i="170"/>
  <c r="B11" i="170"/>
  <c r="B12" i="170"/>
  <c r="C48" i="171" s="1"/>
  <c r="B13" i="170"/>
  <c r="B14" i="170"/>
  <c r="B15" i="170"/>
  <c r="B16" i="170"/>
  <c r="B17" i="170"/>
  <c r="B18" i="170"/>
  <c r="E18" i="170" s="1"/>
  <c r="E34" i="170"/>
  <c r="B10" i="170"/>
  <c r="E30" i="170"/>
  <c r="E14" i="170"/>
  <c r="C50" i="171" s="1"/>
  <c r="E10" i="170"/>
  <c r="C46" i="171" s="1"/>
  <c r="E37" i="170"/>
  <c r="E15" i="170"/>
  <c r="E17" i="170"/>
  <c r="C43" i="171"/>
  <c r="C38" i="171"/>
  <c r="C37" i="171"/>
  <c r="C36" i="171"/>
  <c r="C3" i="171"/>
  <c r="G2" i="171"/>
  <c r="C2" i="171"/>
  <c r="C1" i="171"/>
  <c r="E40" i="170"/>
  <c r="E39" i="170"/>
  <c r="E38" i="170"/>
  <c r="E36" i="170"/>
  <c r="E35" i="170"/>
  <c r="E19" i="170"/>
  <c r="C45" i="171"/>
  <c r="B9" i="170"/>
  <c r="C7" i="170" s="1"/>
  <c r="E8" i="170"/>
  <c r="E5" i="170"/>
  <c r="C40" i="171" s="1"/>
  <c r="E3" i="170"/>
  <c r="I41" i="169"/>
  <c r="I40" i="169"/>
  <c r="I39" i="169"/>
  <c r="I38" i="169"/>
  <c r="I37" i="169"/>
  <c r="I36" i="169"/>
  <c r="I35" i="169"/>
  <c r="I34" i="169"/>
  <c r="I33" i="169"/>
  <c r="I32" i="169"/>
  <c r="I31" i="169"/>
  <c r="I30" i="169"/>
  <c r="I29" i="169"/>
  <c r="I28" i="169"/>
  <c r="I27" i="169"/>
  <c r="I26" i="169"/>
  <c r="I25" i="169"/>
  <c r="I24" i="169"/>
  <c r="I23" i="169"/>
  <c r="I22" i="169"/>
  <c r="I21" i="169"/>
  <c r="I20" i="169"/>
  <c r="C20" i="171" s="1"/>
  <c r="I19" i="169"/>
  <c r="I18" i="169"/>
  <c r="I17" i="169"/>
  <c r="I16" i="169"/>
  <c r="I15" i="169"/>
  <c r="I14" i="169"/>
  <c r="I13" i="169"/>
  <c r="I12" i="169"/>
  <c r="C12" i="171" s="1"/>
  <c r="I9" i="169"/>
  <c r="C9" i="171" s="1"/>
  <c r="I7" i="169"/>
  <c r="C7" i="171" s="1"/>
  <c r="I6" i="169"/>
  <c r="C6" i="171" s="1"/>
  <c r="I5" i="169"/>
  <c r="C5" i="171" s="1"/>
  <c r="I3" i="169"/>
  <c r="G9" i="166"/>
  <c r="C45" i="135"/>
  <c r="C46" i="135"/>
  <c r="C47" i="135"/>
  <c r="G11" i="134"/>
  <c r="G12" i="134"/>
  <c r="G13" i="134"/>
  <c r="G14" i="134"/>
  <c r="G15" i="134"/>
  <c r="G16" i="134"/>
  <c r="G17" i="134"/>
  <c r="G18" i="134"/>
  <c r="G19" i="134"/>
  <c r="G20" i="134"/>
  <c r="G10" i="134"/>
  <c r="C16" i="168"/>
  <c r="C15" i="168"/>
  <c r="C7" i="168"/>
  <c r="G2" i="168"/>
  <c r="C2" i="168"/>
  <c r="C1" i="168"/>
  <c r="E58" i="167"/>
  <c r="E57" i="167"/>
  <c r="E56" i="167"/>
  <c r="E55" i="167"/>
  <c r="E54" i="167"/>
  <c r="E53" i="167"/>
  <c r="E52" i="167"/>
  <c r="E51" i="167"/>
  <c r="E50" i="167"/>
  <c r="E49" i="167"/>
  <c r="E48" i="167"/>
  <c r="E47" i="167"/>
  <c r="E46" i="167"/>
  <c r="E45" i="167"/>
  <c r="E44" i="167"/>
  <c r="E43" i="167"/>
  <c r="E42" i="167"/>
  <c r="E41" i="167"/>
  <c r="E40" i="167"/>
  <c r="E39" i="167"/>
  <c r="E38" i="167"/>
  <c r="E37" i="167"/>
  <c r="E36" i="167"/>
  <c r="E35" i="167"/>
  <c r="E34" i="167"/>
  <c r="E33" i="167"/>
  <c r="E32" i="167"/>
  <c r="E31" i="167"/>
  <c r="E30" i="167"/>
  <c r="E29" i="167"/>
  <c r="E28" i="167"/>
  <c r="E27" i="167"/>
  <c r="E26" i="167"/>
  <c r="E25" i="167"/>
  <c r="E24" i="167"/>
  <c r="E23" i="167"/>
  <c r="E22" i="167"/>
  <c r="E21" i="167"/>
  <c r="E20" i="167"/>
  <c r="E19" i="167"/>
  <c r="E18" i="167"/>
  <c r="E17" i="167"/>
  <c r="E16" i="167"/>
  <c r="E15" i="167"/>
  <c r="E14" i="167"/>
  <c r="C29" i="168" s="1"/>
  <c r="E13" i="167"/>
  <c r="C28" i="168" s="1"/>
  <c r="E12" i="167"/>
  <c r="C27" i="168" s="1"/>
  <c r="B11" i="167"/>
  <c r="E11" i="167" s="1"/>
  <c r="C26" i="168" s="1"/>
  <c r="B10" i="167"/>
  <c r="E10" i="167" s="1"/>
  <c r="C25" i="168" s="1"/>
  <c r="E9" i="167"/>
  <c r="C24" i="168" s="1"/>
  <c r="B9" i="167"/>
  <c r="C7" i="167" s="1"/>
  <c r="E8" i="167"/>
  <c r="C22" i="168" s="1"/>
  <c r="E5" i="167"/>
  <c r="C19" i="168" s="1"/>
  <c r="E3" i="167"/>
  <c r="C17" i="168" s="1"/>
  <c r="I41" i="166"/>
  <c r="I40" i="166"/>
  <c r="I39" i="166"/>
  <c r="I38" i="166"/>
  <c r="I37" i="166"/>
  <c r="I36" i="166"/>
  <c r="I35" i="166"/>
  <c r="I34" i="166"/>
  <c r="I33" i="166"/>
  <c r="I32" i="166"/>
  <c r="I31" i="166"/>
  <c r="I30" i="166"/>
  <c r="I29" i="166"/>
  <c r="I28" i="166"/>
  <c r="I27" i="166"/>
  <c r="I26" i="166"/>
  <c r="I25" i="166"/>
  <c r="I24" i="166"/>
  <c r="I23" i="166"/>
  <c r="I22" i="166"/>
  <c r="I21" i="166"/>
  <c r="I20" i="166"/>
  <c r="I19" i="166"/>
  <c r="I18" i="166"/>
  <c r="I17" i="166"/>
  <c r="I16" i="166"/>
  <c r="I15" i="166"/>
  <c r="I14" i="166"/>
  <c r="I13" i="166"/>
  <c r="I12" i="166"/>
  <c r="C12" i="168" s="1"/>
  <c r="I11" i="166"/>
  <c r="C11" i="168" s="1"/>
  <c r="I10" i="166"/>
  <c r="C10" i="168" s="1"/>
  <c r="I9" i="166"/>
  <c r="C9" i="168" s="1"/>
  <c r="I8" i="166"/>
  <c r="C8" i="168" s="1"/>
  <c r="I7" i="166"/>
  <c r="I6" i="166"/>
  <c r="C6" i="168" s="1"/>
  <c r="I5" i="166"/>
  <c r="C5" i="168" s="1"/>
  <c r="I4" i="166"/>
  <c r="C4" i="168" s="1"/>
  <c r="I3" i="166"/>
  <c r="C3" i="168" s="1"/>
  <c r="G2" i="159"/>
  <c r="C4" i="158"/>
  <c r="B11" i="158"/>
  <c r="G11" i="158" s="1"/>
  <c r="B12" i="158"/>
  <c r="B13" i="158"/>
  <c r="B14" i="158"/>
  <c r="B15" i="158"/>
  <c r="B16" i="158"/>
  <c r="G16" i="158" s="1"/>
  <c r="B17" i="158"/>
  <c r="B18" i="158"/>
  <c r="G18" i="158" s="1"/>
  <c r="B19" i="158"/>
  <c r="G19" i="158" s="1"/>
  <c r="B20" i="158"/>
  <c r="B21" i="158"/>
  <c r="B22" i="158"/>
  <c r="B23" i="158"/>
  <c r="B24" i="158"/>
  <c r="G24" i="158" s="1"/>
  <c r="B25" i="158"/>
  <c r="B26" i="158"/>
  <c r="G26" i="158" s="1"/>
  <c r="B27" i="158"/>
  <c r="G27" i="158" s="1"/>
  <c r="B28" i="158"/>
  <c r="B29" i="158"/>
  <c r="B30" i="158"/>
  <c r="B31" i="158"/>
  <c r="G12" i="158"/>
  <c r="G13" i="158"/>
  <c r="G14" i="158"/>
  <c r="G15" i="158"/>
  <c r="G17" i="158"/>
  <c r="G20" i="158"/>
  <c r="G21" i="158"/>
  <c r="G22" i="158"/>
  <c r="G23" i="158"/>
  <c r="G25" i="158"/>
  <c r="G28" i="158"/>
  <c r="G29" i="158"/>
  <c r="G30" i="158"/>
  <c r="G31" i="158"/>
  <c r="G2" i="135"/>
  <c r="E29" i="170" l="1"/>
  <c r="E7" i="170"/>
  <c r="C42" i="171" s="1"/>
  <c r="C6" i="170"/>
  <c r="E6" i="170" s="1"/>
  <c r="C41" i="171" s="1"/>
  <c r="C4" i="170"/>
  <c r="E4" i="170" s="1"/>
  <c r="C39" i="171" s="1"/>
  <c r="C6" i="167"/>
  <c r="E6" i="167" s="1"/>
  <c r="C20" i="168" s="1"/>
  <c r="C4" i="167"/>
  <c r="E4" i="167" s="1"/>
  <c r="C18" i="168" s="1"/>
  <c r="E7" i="167"/>
  <c r="C21" i="168" s="1"/>
  <c r="C31" i="156" l="1"/>
  <c r="C32" i="156"/>
  <c r="C33" i="156"/>
  <c r="C34" i="156"/>
  <c r="C35" i="156"/>
  <c r="C36" i="156"/>
  <c r="C37" i="156"/>
  <c r="C38" i="156"/>
  <c r="G2" i="156"/>
  <c r="C4" i="155"/>
  <c r="G11" i="155"/>
  <c r="G12" i="155"/>
  <c r="G13" i="155"/>
  <c r="G14" i="155"/>
  <c r="G15" i="155"/>
  <c r="B12" i="152"/>
  <c r="B13" i="152"/>
  <c r="G13" i="152" s="1"/>
  <c r="B14" i="152"/>
  <c r="G14" i="152" s="1"/>
  <c r="B15" i="152"/>
  <c r="E15" i="152" s="1"/>
  <c r="B16" i="152"/>
  <c r="E16" i="152" s="1"/>
  <c r="B17" i="152"/>
  <c r="G17" i="152" s="1"/>
  <c r="B18" i="152"/>
  <c r="E18" i="152" s="1"/>
  <c r="B19" i="152"/>
  <c r="E19" i="152" s="1"/>
  <c r="B24" i="152"/>
  <c r="B25" i="152"/>
  <c r="E25" i="152" s="1"/>
  <c r="B26" i="152"/>
  <c r="E26" i="152" s="1"/>
  <c r="B27" i="152"/>
  <c r="G27" i="152" s="1"/>
  <c r="B28" i="152"/>
  <c r="G28" i="152" s="1"/>
  <c r="B29" i="152"/>
  <c r="E29" i="152" s="1"/>
  <c r="B11" i="152"/>
  <c r="G11" i="152" s="1"/>
  <c r="G12" i="152"/>
  <c r="G20" i="152"/>
  <c r="G24" i="152"/>
  <c r="C41" i="159"/>
  <c r="C40" i="159"/>
  <c r="C39" i="159"/>
  <c r="C2" i="159"/>
  <c r="C1" i="159"/>
  <c r="E58" i="158"/>
  <c r="E57" i="158"/>
  <c r="E56" i="158"/>
  <c r="E55" i="158"/>
  <c r="E54" i="158"/>
  <c r="E53" i="158"/>
  <c r="E52" i="158"/>
  <c r="E51" i="158"/>
  <c r="E50" i="158"/>
  <c r="E49" i="158"/>
  <c r="E48" i="158"/>
  <c r="E47" i="158"/>
  <c r="E46" i="158"/>
  <c r="E45" i="158"/>
  <c r="E44" i="158"/>
  <c r="E43" i="158"/>
  <c r="E42" i="158"/>
  <c r="E41" i="158"/>
  <c r="E40" i="158"/>
  <c r="E39" i="158"/>
  <c r="E38" i="158"/>
  <c r="E37" i="158"/>
  <c r="E36" i="158"/>
  <c r="E35" i="158"/>
  <c r="E34" i="158"/>
  <c r="C73" i="159" s="1"/>
  <c r="E33" i="158"/>
  <c r="C72" i="159" s="1"/>
  <c r="E32" i="158"/>
  <c r="C71" i="159" s="1"/>
  <c r="E31" i="158"/>
  <c r="C70" i="159" s="1"/>
  <c r="E30" i="158"/>
  <c r="C69" i="159" s="1"/>
  <c r="E29" i="158"/>
  <c r="C68" i="159" s="1"/>
  <c r="E28" i="158"/>
  <c r="C67" i="159" s="1"/>
  <c r="E27" i="158"/>
  <c r="C66" i="159" s="1"/>
  <c r="E26" i="158"/>
  <c r="C65" i="159" s="1"/>
  <c r="E25" i="158"/>
  <c r="C64" i="159" s="1"/>
  <c r="E24" i="158"/>
  <c r="C63" i="159" s="1"/>
  <c r="E23" i="158"/>
  <c r="C62" i="159" s="1"/>
  <c r="E22" i="158"/>
  <c r="C61" i="159" s="1"/>
  <c r="E21" i="158"/>
  <c r="C60" i="159" s="1"/>
  <c r="E20" i="158"/>
  <c r="C59" i="159" s="1"/>
  <c r="E19" i="158"/>
  <c r="C58" i="159" s="1"/>
  <c r="E18" i="158"/>
  <c r="C57" i="159" s="1"/>
  <c r="E17" i="158"/>
  <c r="C56" i="159" s="1"/>
  <c r="E16" i="158"/>
  <c r="C55" i="159" s="1"/>
  <c r="E15" i="158"/>
  <c r="C54" i="159" s="1"/>
  <c r="E14" i="158"/>
  <c r="C53" i="159" s="1"/>
  <c r="E13" i="158"/>
  <c r="C52" i="159" s="1"/>
  <c r="E12" i="158"/>
  <c r="C51" i="159" s="1"/>
  <c r="E11" i="158"/>
  <c r="C50" i="159" s="1"/>
  <c r="B10" i="158"/>
  <c r="E10" i="158" s="1"/>
  <c r="C49" i="159" s="1"/>
  <c r="E9" i="158"/>
  <c r="C48" i="159" s="1"/>
  <c r="B9" i="158"/>
  <c r="C7" i="158" s="1"/>
  <c r="E8" i="158"/>
  <c r="C46" i="159" s="1"/>
  <c r="E5" i="158"/>
  <c r="C43" i="159" s="1"/>
  <c r="E4" i="158"/>
  <c r="C42" i="159" s="1"/>
  <c r="E3" i="158"/>
  <c r="I34" i="157"/>
  <c r="I33" i="157"/>
  <c r="I32" i="157"/>
  <c r="C32" i="159" s="1"/>
  <c r="I31" i="157"/>
  <c r="C31" i="159" s="1"/>
  <c r="I30" i="157"/>
  <c r="C30" i="159" s="1"/>
  <c r="I29" i="157"/>
  <c r="C29" i="159" s="1"/>
  <c r="I28" i="157"/>
  <c r="C28" i="159" s="1"/>
  <c r="I27" i="157"/>
  <c r="C27" i="159" s="1"/>
  <c r="I26" i="157"/>
  <c r="C26" i="159" s="1"/>
  <c r="I25" i="157"/>
  <c r="C25" i="159" s="1"/>
  <c r="I24" i="157"/>
  <c r="C24" i="159" s="1"/>
  <c r="I23" i="157"/>
  <c r="C23" i="159" s="1"/>
  <c r="I22" i="157"/>
  <c r="C22" i="159" s="1"/>
  <c r="I21" i="157"/>
  <c r="C21" i="159" s="1"/>
  <c r="I20" i="157"/>
  <c r="C20" i="159" s="1"/>
  <c r="I19" i="157"/>
  <c r="C19" i="159" s="1"/>
  <c r="I18" i="157"/>
  <c r="C18" i="159" s="1"/>
  <c r="I17" i="157"/>
  <c r="C17" i="159" s="1"/>
  <c r="I16" i="157"/>
  <c r="C16" i="159" s="1"/>
  <c r="I15" i="157"/>
  <c r="C15" i="159" s="1"/>
  <c r="I14" i="157"/>
  <c r="C14" i="159" s="1"/>
  <c r="I13" i="157"/>
  <c r="C13" i="159" s="1"/>
  <c r="I12" i="157"/>
  <c r="C12" i="159" s="1"/>
  <c r="I11" i="157"/>
  <c r="C11" i="159" s="1"/>
  <c r="I10" i="157"/>
  <c r="C10" i="159" s="1"/>
  <c r="I9" i="157"/>
  <c r="C9" i="159" s="1"/>
  <c r="I8" i="157"/>
  <c r="C8" i="159" s="1"/>
  <c r="I7" i="157"/>
  <c r="C7" i="159" s="1"/>
  <c r="I6" i="157"/>
  <c r="C6" i="159" s="1"/>
  <c r="I5" i="157"/>
  <c r="C5" i="159" s="1"/>
  <c r="I4" i="157"/>
  <c r="C4" i="159" s="1"/>
  <c r="I3" i="157"/>
  <c r="C3" i="159" s="1"/>
  <c r="C21" i="156"/>
  <c r="C20" i="156"/>
  <c r="C2" i="156"/>
  <c r="C1" i="156"/>
  <c r="E26" i="155"/>
  <c r="E25" i="155"/>
  <c r="E24" i="155"/>
  <c r="E23" i="155"/>
  <c r="E22" i="155"/>
  <c r="E21" i="155"/>
  <c r="E20" i="155"/>
  <c r="E19" i="155"/>
  <c r="E18" i="155"/>
  <c r="E17" i="155"/>
  <c r="E16" i="155"/>
  <c r="B15" i="155"/>
  <c r="E15" i="155" s="1"/>
  <c r="B14" i="155"/>
  <c r="E14" i="155" s="1"/>
  <c r="B13" i="155"/>
  <c r="E13" i="155" s="1"/>
  <c r="B12" i="155"/>
  <c r="E12" i="155" s="1"/>
  <c r="B11" i="155"/>
  <c r="E11" i="155" s="1"/>
  <c r="B10" i="155"/>
  <c r="E9" i="155"/>
  <c r="C29" i="156" s="1"/>
  <c r="B9" i="155"/>
  <c r="C7" i="155" s="1"/>
  <c r="E8" i="155"/>
  <c r="C27" i="156" s="1"/>
  <c r="E5" i="155"/>
  <c r="C24" i="156" s="1"/>
  <c r="E4" i="155"/>
  <c r="C23" i="156" s="1"/>
  <c r="E3" i="155"/>
  <c r="C22" i="156" s="1"/>
  <c r="I19" i="154"/>
  <c r="I18" i="154"/>
  <c r="I17" i="154"/>
  <c r="I16" i="154"/>
  <c r="C16" i="156" s="1"/>
  <c r="I15" i="154"/>
  <c r="C15" i="156" s="1"/>
  <c r="I14" i="154"/>
  <c r="C14" i="156" s="1"/>
  <c r="I13" i="154"/>
  <c r="C13" i="156" s="1"/>
  <c r="I12" i="154"/>
  <c r="C12" i="156" s="1"/>
  <c r="I11" i="154"/>
  <c r="C11" i="156" s="1"/>
  <c r="I10" i="154"/>
  <c r="C10" i="156" s="1"/>
  <c r="I9" i="154"/>
  <c r="C9" i="156" s="1"/>
  <c r="I8" i="154"/>
  <c r="C8" i="156" s="1"/>
  <c r="I7" i="154"/>
  <c r="C7" i="156" s="1"/>
  <c r="I6" i="154"/>
  <c r="C6" i="156" s="1"/>
  <c r="I5" i="154"/>
  <c r="C5" i="156" s="1"/>
  <c r="I4" i="154"/>
  <c r="C4" i="156" s="1"/>
  <c r="I3" i="154"/>
  <c r="C3" i="156" s="1"/>
  <c r="C30" i="153"/>
  <c r="C29" i="153"/>
  <c r="C6" i="153"/>
  <c r="C2" i="153"/>
  <c r="C1" i="153"/>
  <c r="E37" i="152"/>
  <c r="E36" i="152"/>
  <c r="E35" i="152"/>
  <c r="E34" i="152"/>
  <c r="E33" i="152"/>
  <c r="E32" i="152"/>
  <c r="E31" i="152"/>
  <c r="E30" i="152"/>
  <c r="E20" i="152"/>
  <c r="E14" i="152"/>
  <c r="E13" i="152"/>
  <c r="E12" i="152"/>
  <c r="B10" i="152"/>
  <c r="E10" i="152" s="1"/>
  <c r="E9" i="152"/>
  <c r="C38" i="153" s="1"/>
  <c r="B9" i="152"/>
  <c r="C7" i="152" s="1"/>
  <c r="C6" i="152" s="1"/>
  <c r="E6" i="152" s="1"/>
  <c r="C34" i="153" s="1"/>
  <c r="E8" i="152"/>
  <c r="C36" i="153" s="1"/>
  <c r="E5" i="152"/>
  <c r="C33" i="153" s="1"/>
  <c r="E4" i="152"/>
  <c r="C32" i="153" s="1"/>
  <c r="E3" i="152"/>
  <c r="C31" i="153" s="1"/>
  <c r="I41" i="151"/>
  <c r="I40" i="151"/>
  <c r="I39" i="151"/>
  <c r="I38" i="151"/>
  <c r="I37" i="151"/>
  <c r="I36" i="151"/>
  <c r="I35" i="151"/>
  <c r="I34" i="151"/>
  <c r="I33" i="151"/>
  <c r="I32" i="151"/>
  <c r="I31" i="151"/>
  <c r="I30" i="151"/>
  <c r="I29" i="151"/>
  <c r="I28" i="151"/>
  <c r="I27" i="151"/>
  <c r="I26" i="151"/>
  <c r="C26" i="153" s="1"/>
  <c r="I25" i="151"/>
  <c r="C25" i="153" s="1"/>
  <c r="I24" i="151"/>
  <c r="C24" i="153" s="1"/>
  <c r="I23" i="151"/>
  <c r="C23" i="153" s="1"/>
  <c r="I22" i="151"/>
  <c r="C22" i="153" s="1"/>
  <c r="I21" i="151"/>
  <c r="C21" i="153" s="1"/>
  <c r="I20" i="151"/>
  <c r="C20" i="153" s="1"/>
  <c r="I19" i="151"/>
  <c r="C19" i="153" s="1"/>
  <c r="I18" i="151"/>
  <c r="C18" i="153" s="1"/>
  <c r="I17" i="151"/>
  <c r="C17" i="153" s="1"/>
  <c r="I16" i="151"/>
  <c r="C16" i="153" s="1"/>
  <c r="I15" i="151"/>
  <c r="C15" i="153" s="1"/>
  <c r="I14" i="151"/>
  <c r="C14" i="153" s="1"/>
  <c r="I13" i="151"/>
  <c r="C13" i="153" s="1"/>
  <c r="I12" i="151"/>
  <c r="C12" i="153" s="1"/>
  <c r="I11" i="151"/>
  <c r="C11" i="153" s="1"/>
  <c r="I10" i="151"/>
  <c r="C10" i="153" s="1"/>
  <c r="I9" i="151"/>
  <c r="C9" i="153" s="1"/>
  <c r="I8" i="151"/>
  <c r="C8" i="153" s="1"/>
  <c r="I7" i="151"/>
  <c r="C7" i="153" s="1"/>
  <c r="I6" i="151"/>
  <c r="I5" i="151"/>
  <c r="C5" i="153" s="1"/>
  <c r="I4" i="151"/>
  <c r="C4" i="153" s="1"/>
  <c r="I3" i="151"/>
  <c r="C3" i="153" s="1"/>
  <c r="C94" i="150"/>
  <c r="C95" i="150"/>
  <c r="C96" i="150"/>
  <c r="C97" i="150"/>
  <c r="C98" i="150"/>
  <c r="C40" i="150"/>
  <c r="C41" i="150"/>
  <c r="C42" i="150"/>
  <c r="C43" i="150"/>
  <c r="C44" i="150"/>
  <c r="C37" i="150"/>
  <c r="C38" i="150"/>
  <c r="C39" i="150"/>
  <c r="B24" i="149"/>
  <c r="B25" i="149"/>
  <c r="B26" i="149"/>
  <c r="B27" i="149"/>
  <c r="G27" i="149" s="1"/>
  <c r="B28" i="149"/>
  <c r="B29" i="149"/>
  <c r="B30" i="149"/>
  <c r="B31" i="149"/>
  <c r="G31" i="149" s="1"/>
  <c r="B32" i="149"/>
  <c r="B33" i="149"/>
  <c r="B34" i="149"/>
  <c r="B35" i="149"/>
  <c r="G35" i="149" s="1"/>
  <c r="B36" i="149"/>
  <c r="B37" i="149"/>
  <c r="B38" i="149"/>
  <c r="B39" i="149"/>
  <c r="G39" i="149" s="1"/>
  <c r="B40" i="149"/>
  <c r="B41" i="149"/>
  <c r="B42" i="149"/>
  <c r="B43" i="149"/>
  <c r="G43" i="149" s="1"/>
  <c r="G11" i="149"/>
  <c r="G12" i="149"/>
  <c r="G13" i="149"/>
  <c r="G14" i="149"/>
  <c r="G15" i="149"/>
  <c r="G16" i="149"/>
  <c r="G17" i="149"/>
  <c r="G18" i="149"/>
  <c r="G19" i="149"/>
  <c r="G20" i="149"/>
  <c r="G21" i="149"/>
  <c r="G22" i="149"/>
  <c r="G23" i="149"/>
  <c r="G24" i="149"/>
  <c r="G25" i="149"/>
  <c r="G26" i="149"/>
  <c r="G28" i="149"/>
  <c r="G29" i="149"/>
  <c r="G30" i="149"/>
  <c r="G32" i="149"/>
  <c r="G33" i="149"/>
  <c r="G34" i="149"/>
  <c r="G36" i="149"/>
  <c r="G37" i="149"/>
  <c r="G38" i="149"/>
  <c r="G40" i="149"/>
  <c r="G41" i="149"/>
  <c r="G42" i="149"/>
  <c r="G10" i="149"/>
  <c r="I42" i="148"/>
  <c r="I43" i="148"/>
  <c r="I44" i="148"/>
  <c r="I45" i="148"/>
  <c r="I46" i="148"/>
  <c r="I47" i="148"/>
  <c r="I48" i="148"/>
  <c r="C56" i="150"/>
  <c r="C53" i="150"/>
  <c r="C52" i="150"/>
  <c r="C2" i="150"/>
  <c r="C1" i="150"/>
  <c r="E58" i="149"/>
  <c r="E57" i="149"/>
  <c r="E56" i="149"/>
  <c r="E55" i="149"/>
  <c r="E54" i="149"/>
  <c r="E53" i="149"/>
  <c r="E52" i="149"/>
  <c r="E51" i="149"/>
  <c r="E50" i="149"/>
  <c r="E49" i="149"/>
  <c r="E48" i="149"/>
  <c r="E47" i="149"/>
  <c r="E46" i="149"/>
  <c r="E45" i="149"/>
  <c r="E44" i="149"/>
  <c r="E43" i="149"/>
  <c r="E42" i="149"/>
  <c r="E41" i="149"/>
  <c r="C93" i="150" s="1"/>
  <c r="E40" i="149"/>
  <c r="C92" i="150" s="1"/>
  <c r="E38" i="149"/>
  <c r="C90" i="150" s="1"/>
  <c r="E37" i="149"/>
  <c r="C89" i="150" s="1"/>
  <c r="E36" i="149"/>
  <c r="C88" i="150" s="1"/>
  <c r="E35" i="149"/>
  <c r="C87" i="150" s="1"/>
  <c r="E34" i="149"/>
  <c r="C86" i="150" s="1"/>
  <c r="E33" i="149"/>
  <c r="C85" i="150" s="1"/>
  <c r="E32" i="149"/>
  <c r="C84" i="150" s="1"/>
  <c r="E30" i="149"/>
  <c r="C82" i="150" s="1"/>
  <c r="E29" i="149"/>
  <c r="C81" i="150" s="1"/>
  <c r="E28" i="149"/>
  <c r="C80" i="150" s="1"/>
  <c r="E27" i="149"/>
  <c r="C79" i="150" s="1"/>
  <c r="E26" i="149"/>
  <c r="C78" i="150" s="1"/>
  <c r="E25" i="149"/>
  <c r="C77" i="150" s="1"/>
  <c r="E24" i="149"/>
  <c r="C76" i="150" s="1"/>
  <c r="B23" i="149"/>
  <c r="E23" i="149" s="1"/>
  <c r="C75" i="150" s="1"/>
  <c r="B22" i="149"/>
  <c r="E22" i="149" s="1"/>
  <c r="C74" i="150" s="1"/>
  <c r="B21" i="149"/>
  <c r="E21" i="149" s="1"/>
  <c r="C73" i="150" s="1"/>
  <c r="E20" i="149"/>
  <c r="C72" i="150" s="1"/>
  <c r="B20" i="149"/>
  <c r="B19" i="149"/>
  <c r="E19" i="149" s="1"/>
  <c r="C71" i="150" s="1"/>
  <c r="B18" i="149"/>
  <c r="E18" i="149" s="1"/>
  <c r="C70" i="150" s="1"/>
  <c r="B17" i="149"/>
  <c r="C69" i="150" s="1"/>
  <c r="B16" i="149"/>
  <c r="E16" i="149" s="1"/>
  <c r="C68" i="150" s="1"/>
  <c r="B15" i="149"/>
  <c r="E15" i="149" s="1"/>
  <c r="C67" i="150" s="1"/>
  <c r="B14" i="149"/>
  <c r="E14" i="149" s="1"/>
  <c r="C66" i="150" s="1"/>
  <c r="B13" i="149"/>
  <c r="E13" i="149" s="1"/>
  <c r="C65" i="150" s="1"/>
  <c r="B12" i="149"/>
  <c r="E12" i="149" s="1"/>
  <c r="C64" i="150" s="1"/>
  <c r="B11" i="149"/>
  <c r="E11" i="149" s="1"/>
  <c r="C63" i="150" s="1"/>
  <c r="B10" i="149"/>
  <c r="E10" i="149" s="1"/>
  <c r="C62" i="150" s="1"/>
  <c r="E9" i="149"/>
  <c r="C61" i="150" s="1"/>
  <c r="B9" i="149"/>
  <c r="C7" i="149" s="1"/>
  <c r="E8" i="149"/>
  <c r="C59" i="150" s="1"/>
  <c r="E5" i="149"/>
  <c r="E4" i="149"/>
  <c r="C55" i="150" s="1"/>
  <c r="E3" i="149"/>
  <c r="C54" i="150" s="1"/>
  <c r="I41" i="148"/>
  <c r="I40" i="148"/>
  <c r="I39" i="148"/>
  <c r="I38" i="148"/>
  <c r="I37" i="148"/>
  <c r="I36" i="148"/>
  <c r="C36" i="150" s="1"/>
  <c r="I35" i="148"/>
  <c r="C35" i="150" s="1"/>
  <c r="I34" i="148"/>
  <c r="C34" i="150" s="1"/>
  <c r="I33" i="148"/>
  <c r="C33" i="150" s="1"/>
  <c r="I32" i="148"/>
  <c r="C32" i="150" s="1"/>
  <c r="I31" i="148"/>
  <c r="C31" i="150" s="1"/>
  <c r="I30" i="148"/>
  <c r="C30" i="150" s="1"/>
  <c r="I29" i="148"/>
  <c r="C29" i="150" s="1"/>
  <c r="I28" i="148"/>
  <c r="C28" i="150" s="1"/>
  <c r="I27" i="148"/>
  <c r="C27" i="150" s="1"/>
  <c r="I26" i="148"/>
  <c r="C26" i="150" s="1"/>
  <c r="I25" i="148"/>
  <c r="C25" i="150" s="1"/>
  <c r="I24" i="148"/>
  <c r="C24" i="150" s="1"/>
  <c r="I23" i="148"/>
  <c r="C23" i="150" s="1"/>
  <c r="I22" i="148"/>
  <c r="C22" i="150" s="1"/>
  <c r="I21" i="148"/>
  <c r="C21" i="150" s="1"/>
  <c r="I20" i="148"/>
  <c r="C20" i="150" s="1"/>
  <c r="I19" i="148"/>
  <c r="C19" i="150" s="1"/>
  <c r="I18" i="148"/>
  <c r="C18" i="150" s="1"/>
  <c r="I17" i="148"/>
  <c r="C17" i="150" s="1"/>
  <c r="I16" i="148"/>
  <c r="C16" i="150" s="1"/>
  <c r="I15" i="148"/>
  <c r="C15" i="150" s="1"/>
  <c r="I14" i="148"/>
  <c r="C14" i="150" s="1"/>
  <c r="I13" i="148"/>
  <c r="C13" i="150" s="1"/>
  <c r="I12" i="148"/>
  <c r="C12" i="150" s="1"/>
  <c r="I11" i="148"/>
  <c r="C11" i="150" s="1"/>
  <c r="I10" i="148"/>
  <c r="C10" i="150" s="1"/>
  <c r="I9" i="148"/>
  <c r="C9" i="150" s="1"/>
  <c r="I8" i="148"/>
  <c r="C8" i="150" s="1"/>
  <c r="I7" i="148"/>
  <c r="C7" i="150" s="1"/>
  <c r="I6" i="148"/>
  <c r="C6" i="150" s="1"/>
  <c r="I5" i="148"/>
  <c r="C5" i="150" s="1"/>
  <c r="I4" i="148"/>
  <c r="C4" i="150" s="1"/>
  <c r="I3" i="148"/>
  <c r="C3" i="150" s="1"/>
  <c r="E28" i="152" l="1"/>
  <c r="E17" i="152"/>
  <c r="G16" i="152"/>
  <c r="E27" i="152"/>
  <c r="G18" i="152"/>
  <c r="G15" i="152"/>
  <c r="G25" i="152"/>
  <c r="G26" i="152"/>
  <c r="G10" i="158"/>
  <c r="E7" i="158"/>
  <c r="C45" i="159" s="1"/>
  <c r="C6" i="158"/>
  <c r="E6" i="158" s="1"/>
  <c r="C44" i="159" s="1"/>
  <c r="G10" i="155"/>
  <c r="E10" i="155"/>
  <c r="C30" i="156" s="1"/>
  <c r="G19" i="152"/>
  <c r="G29" i="152"/>
  <c r="E11" i="152"/>
  <c r="G10" i="152"/>
  <c r="C6" i="155"/>
  <c r="E6" i="155" s="1"/>
  <c r="C25" i="156" s="1"/>
  <c r="E7" i="155"/>
  <c r="C26" i="156" s="1"/>
  <c r="E7" i="152"/>
  <c r="C35" i="153" s="1"/>
  <c r="E31" i="149"/>
  <c r="C83" i="150" s="1"/>
  <c r="E39" i="149"/>
  <c r="C91" i="150" s="1"/>
  <c r="C6" i="149"/>
  <c r="E6" i="149" s="1"/>
  <c r="C57" i="150" s="1"/>
  <c r="E7" i="149"/>
  <c r="C58" i="150" s="1"/>
  <c r="E10" i="140" l="1"/>
  <c r="C49" i="141" s="1"/>
  <c r="C50" i="141"/>
  <c r="C51" i="141"/>
  <c r="B41" i="140"/>
  <c r="E41" i="140" s="1"/>
  <c r="C79" i="141" s="1"/>
  <c r="B42" i="140"/>
  <c r="B43" i="140"/>
  <c r="E43" i="140" s="1"/>
  <c r="B44" i="140"/>
  <c r="B45" i="140"/>
  <c r="E48" i="140"/>
  <c r="B40" i="140"/>
  <c r="B39" i="140"/>
  <c r="E39" i="140" s="1"/>
  <c r="C77" i="141" s="1"/>
  <c r="B38" i="140"/>
  <c r="B37" i="140"/>
  <c r="E37" i="140" s="1"/>
  <c r="C75" i="141" s="1"/>
  <c r="B36" i="140"/>
  <c r="E36" i="140" s="1"/>
  <c r="C74" i="141" s="1"/>
  <c r="B33" i="140"/>
  <c r="B34" i="140"/>
  <c r="E34" i="140" s="1"/>
  <c r="C72" i="141" s="1"/>
  <c r="B35" i="140"/>
  <c r="B29" i="140"/>
  <c r="B30" i="140"/>
  <c r="B31" i="140"/>
  <c r="B32" i="140"/>
  <c r="E32" i="140" s="1"/>
  <c r="C70" i="141" s="1"/>
  <c r="B25" i="140"/>
  <c r="B26" i="140"/>
  <c r="B27" i="140"/>
  <c r="B28" i="140"/>
  <c r="B24" i="140"/>
  <c r="E24" i="140" s="1"/>
  <c r="C62" i="141" s="1"/>
  <c r="B23" i="140"/>
  <c r="E23" i="140" s="1"/>
  <c r="C61" i="141" s="1"/>
  <c r="B22" i="140"/>
  <c r="B21" i="140"/>
  <c r="E21" i="140" s="1"/>
  <c r="C59" i="141" s="1"/>
  <c r="B20" i="140"/>
  <c r="E25" i="140"/>
  <c r="C63" i="141" s="1"/>
  <c r="E22" i="140"/>
  <c r="C60" i="141" s="1"/>
  <c r="B19" i="140"/>
  <c r="E19" i="140" s="1"/>
  <c r="C57" i="141" s="1"/>
  <c r="B18" i="140"/>
  <c r="B17" i="140"/>
  <c r="B16" i="140"/>
  <c r="B15" i="140"/>
  <c r="B14" i="140"/>
  <c r="B13" i="140"/>
  <c r="B12" i="140"/>
  <c r="E12" i="140" s="1"/>
  <c r="B10" i="140"/>
  <c r="B9" i="140"/>
  <c r="C7" i="140" s="1"/>
  <c r="C6" i="140" s="1"/>
  <c r="E6" i="140" s="1"/>
  <c r="C44" i="141" s="1"/>
  <c r="E17" i="140"/>
  <c r="C55" i="141" s="1"/>
  <c r="E27" i="140"/>
  <c r="C65" i="141" s="1"/>
  <c r="E29" i="140"/>
  <c r="C67" i="141" s="1"/>
  <c r="E33" i="140"/>
  <c r="C71" i="141" s="1"/>
  <c r="C40" i="141"/>
  <c r="C39" i="141"/>
  <c r="C30" i="141"/>
  <c r="C2" i="141"/>
  <c r="C1" i="141"/>
  <c r="E59" i="140"/>
  <c r="E58" i="140"/>
  <c r="E57" i="140"/>
  <c r="E56" i="140"/>
  <c r="E55" i="140"/>
  <c r="E54" i="140"/>
  <c r="E53" i="140"/>
  <c r="E52" i="140"/>
  <c r="E51" i="140"/>
  <c r="E50" i="140"/>
  <c r="E49" i="140"/>
  <c r="E47" i="140"/>
  <c r="E46" i="140"/>
  <c r="E45" i="140"/>
  <c r="E44" i="140"/>
  <c r="E42" i="140"/>
  <c r="C80" i="141" s="1"/>
  <c r="E40" i="140"/>
  <c r="C78" i="141" s="1"/>
  <c r="E38" i="140"/>
  <c r="C76" i="141" s="1"/>
  <c r="E35" i="140"/>
  <c r="C73" i="141" s="1"/>
  <c r="E31" i="140"/>
  <c r="C69" i="141" s="1"/>
  <c r="E30" i="140"/>
  <c r="C68" i="141" s="1"/>
  <c r="E28" i="140"/>
  <c r="C66" i="141" s="1"/>
  <c r="E26" i="140"/>
  <c r="C64" i="141" s="1"/>
  <c r="E20" i="140"/>
  <c r="C58" i="141" s="1"/>
  <c r="E18" i="140"/>
  <c r="C56" i="141" s="1"/>
  <c r="E16" i="140"/>
  <c r="C54" i="141" s="1"/>
  <c r="E15" i="140"/>
  <c r="C53" i="141" s="1"/>
  <c r="E14" i="140"/>
  <c r="C52" i="141" s="1"/>
  <c r="E13" i="140"/>
  <c r="B11" i="140"/>
  <c r="E11" i="140" s="1"/>
  <c r="E9" i="140"/>
  <c r="C48" i="141" s="1"/>
  <c r="E8" i="140"/>
  <c r="C46" i="141" s="1"/>
  <c r="E5" i="140"/>
  <c r="C43" i="141" s="1"/>
  <c r="E4" i="140"/>
  <c r="C42" i="141" s="1"/>
  <c r="E3" i="140"/>
  <c r="C41" i="141" s="1"/>
  <c r="I41" i="139"/>
  <c r="I40" i="139"/>
  <c r="I39" i="139"/>
  <c r="I38" i="139"/>
  <c r="I37" i="139"/>
  <c r="I36" i="139"/>
  <c r="C36" i="141" s="1"/>
  <c r="I35" i="139"/>
  <c r="C35" i="141" s="1"/>
  <c r="I34" i="139"/>
  <c r="C34" i="141" s="1"/>
  <c r="I33" i="139"/>
  <c r="C33" i="141" s="1"/>
  <c r="I32" i="139"/>
  <c r="C32" i="141" s="1"/>
  <c r="I31" i="139"/>
  <c r="C31" i="141" s="1"/>
  <c r="I30" i="139"/>
  <c r="I29" i="139"/>
  <c r="C29" i="141" s="1"/>
  <c r="I28" i="139"/>
  <c r="C28" i="141" s="1"/>
  <c r="I27" i="139"/>
  <c r="C27" i="141" s="1"/>
  <c r="I26" i="139"/>
  <c r="C26" i="141" s="1"/>
  <c r="I25" i="139"/>
  <c r="C25" i="141" s="1"/>
  <c r="I24" i="139"/>
  <c r="C24" i="141" s="1"/>
  <c r="I23" i="139"/>
  <c r="C23" i="141" s="1"/>
  <c r="I22" i="139"/>
  <c r="C22" i="141" s="1"/>
  <c r="I21" i="139"/>
  <c r="C21" i="141" s="1"/>
  <c r="I20" i="139"/>
  <c r="C20" i="141" s="1"/>
  <c r="I19" i="139"/>
  <c r="C19" i="141" s="1"/>
  <c r="I18" i="139"/>
  <c r="C18" i="141" s="1"/>
  <c r="I17" i="139"/>
  <c r="C17" i="141" s="1"/>
  <c r="I16" i="139"/>
  <c r="C16" i="141" s="1"/>
  <c r="I15" i="139"/>
  <c r="C15" i="141" s="1"/>
  <c r="I14" i="139"/>
  <c r="C14" i="141" s="1"/>
  <c r="I13" i="139"/>
  <c r="C13" i="141" s="1"/>
  <c r="I12" i="139"/>
  <c r="C12" i="141" s="1"/>
  <c r="I11" i="139"/>
  <c r="C11" i="141" s="1"/>
  <c r="I10" i="139"/>
  <c r="C10" i="141" s="1"/>
  <c r="I9" i="139"/>
  <c r="C9" i="141" s="1"/>
  <c r="I8" i="139"/>
  <c r="C8" i="141" s="1"/>
  <c r="I7" i="139"/>
  <c r="C7" i="141" s="1"/>
  <c r="I6" i="139"/>
  <c r="C6" i="141" s="1"/>
  <c r="I5" i="139"/>
  <c r="C5" i="141" s="1"/>
  <c r="I4" i="139"/>
  <c r="C4" i="141" s="1"/>
  <c r="I3" i="139"/>
  <c r="C3" i="141" s="1"/>
  <c r="B32" i="137"/>
  <c r="B33" i="137"/>
  <c r="B34" i="137"/>
  <c r="B35" i="137"/>
  <c r="E35" i="137" s="1"/>
  <c r="C74" i="138" s="1"/>
  <c r="B36" i="137"/>
  <c r="B29" i="137"/>
  <c r="B30" i="137"/>
  <c r="B31" i="137"/>
  <c r="B27" i="137"/>
  <c r="E27" i="137" s="1"/>
  <c r="C66" i="138" s="1"/>
  <c r="B28" i="137"/>
  <c r="E28" i="137" s="1"/>
  <c r="C67" i="138" s="1"/>
  <c r="B25" i="137"/>
  <c r="E25" i="137" s="1"/>
  <c r="C64" i="138" s="1"/>
  <c r="B26" i="137"/>
  <c r="B24" i="137"/>
  <c r="B23" i="137"/>
  <c r="B22" i="137"/>
  <c r="B19" i="137"/>
  <c r="B20" i="137"/>
  <c r="B21" i="137"/>
  <c r="E21" i="137" s="1"/>
  <c r="C60" i="138" s="1"/>
  <c r="B12" i="137"/>
  <c r="B13" i="137"/>
  <c r="B14" i="137"/>
  <c r="B15" i="137"/>
  <c r="B16" i="137"/>
  <c r="B17" i="137"/>
  <c r="C56" i="138" s="1"/>
  <c r="B18" i="137"/>
  <c r="E18" i="137" s="1"/>
  <c r="C57" i="138" s="1"/>
  <c r="B11" i="137"/>
  <c r="E23" i="137"/>
  <c r="C62" i="138" s="1"/>
  <c r="E24" i="137"/>
  <c r="C63" i="138" s="1"/>
  <c r="E26" i="137"/>
  <c r="C65" i="138" s="1"/>
  <c r="E33" i="137"/>
  <c r="C72" i="138" s="1"/>
  <c r="E34" i="137"/>
  <c r="C73" i="138" s="1"/>
  <c r="E36" i="137"/>
  <c r="C75" i="138" s="1"/>
  <c r="E32" i="137"/>
  <c r="C71" i="138" s="1"/>
  <c r="E31" i="137"/>
  <c r="C70" i="138" s="1"/>
  <c r="E20" i="137"/>
  <c r="C59" i="138" s="1"/>
  <c r="E19" i="137"/>
  <c r="C58" i="138" s="1"/>
  <c r="E16" i="137"/>
  <c r="C55" i="138" s="1"/>
  <c r="E15" i="137"/>
  <c r="C54" i="138" s="1"/>
  <c r="E12" i="137"/>
  <c r="C51" i="138" s="1"/>
  <c r="E11" i="137"/>
  <c r="C50" i="138" s="1"/>
  <c r="C41" i="138"/>
  <c r="C40" i="138"/>
  <c r="C39" i="138"/>
  <c r="C34" i="138"/>
  <c r="C18" i="138"/>
  <c r="C2" i="138"/>
  <c r="C1" i="138"/>
  <c r="E58" i="137"/>
  <c r="E57" i="137"/>
  <c r="E56" i="137"/>
  <c r="E55" i="137"/>
  <c r="E54" i="137"/>
  <c r="E53" i="137"/>
  <c r="E52" i="137"/>
  <c r="E51" i="137"/>
  <c r="E50" i="137"/>
  <c r="E49" i="137"/>
  <c r="E48" i="137"/>
  <c r="E47" i="137"/>
  <c r="E46" i="137"/>
  <c r="E45" i="137"/>
  <c r="E44" i="137"/>
  <c r="E43" i="137"/>
  <c r="E42" i="137"/>
  <c r="E41" i="137"/>
  <c r="E40" i="137"/>
  <c r="C79" i="138" s="1"/>
  <c r="E39" i="137"/>
  <c r="C78" i="138" s="1"/>
  <c r="E38" i="137"/>
  <c r="C77" i="138" s="1"/>
  <c r="E37" i="137"/>
  <c r="C76" i="138" s="1"/>
  <c r="E30" i="137"/>
  <c r="C69" i="138" s="1"/>
  <c r="E29" i="137"/>
  <c r="C68" i="138" s="1"/>
  <c r="E22" i="137"/>
  <c r="C61" i="138" s="1"/>
  <c r="E14" i="137"/>
  <c r="C53" i="138" s="1"/>
  <c r="E13" i="137"/>
  <c r="C52" i="138" s="1"/>
  <c r="B10" i="137"/>
  <c r="E10" i="137" s="1"/>
  <c r="C49" i="138" s="1"/>
  <c r="E9" i="137"/>
  <c r="C48" i="138" s="1"/>
  <c r="B9" i="137"/>
  <c r="C7" i="137" s="1"/>
  <c r="C6" i="137" s="1"/>
  <c r="E6" i="137" s="1"/>
  <c r="C44" i="138" s="1"/>
  <c r="E8" i="137"/>
  <c r="C46" i="138" s="1"/>
  <c r="E5" i="137"/>
  <c r="C43" i="138" s="1"/>
  <c r="E4" i="137"/>
  <c r="C42" i="138" s="1"/>
  <c r="E3" i="137"/>
  <c r="I41" i="136"/>
  <c r="I40" i="136"/>
  <c r="I39" i="136"/>
  <c r="I38" i="136"/>
  <c r="I37" i="136"/>
  <c r="I36" i="136"/>
  <c r="I35" i="136"/>
  <c r="C35" i="138" s="1"/>
  <c r="I34" i="136"/>
  <c r="I33" i="136"/>
  <c r="C33" i="138" s="1"/>
  <c r="I32" i="136"/>
  <c r="C32" i="138" s="1"/>
  <c r="I31" i="136"/>
  <c r="C31" i="138" s="1"/>
  <c r="I30" i="136"/>
  <c r="C30" i="138" s="1"/>
  <c r="I29" i="136"/>
  <c r="C29" i="138" s="1"/>
  <c r="I28" i="136"/>
  <c r="C28" i="138" s="1"/>
  <c r="I27" i="136"/>
  <c r="C27" i="138" s="1"/>
  <c r="I26" i="136"/>
  <c r="C26" i="138" s="1"/>
  <c r="I25" i="136"/>
  <c r="C25" i="138" s="1"/>
  <c r="I24" i="136"/>
  <c r="C24" i="138" s="1"/>
  <c r="I23" i="136"/>
  <c r="C23" i="138" s="1"/>
  <c r="I22" i="136"/>
  <c r="C22" i="138" s="1"/>
  <c r="I21" i="136"/>
  <c r="C21" i="138" s="1"/>
  <c r="I20" i="136"/>
  <c r="C20" i="138" s="1"/>
  <c r="I19" i="136"/>
  <c r="C19" i="138" s="1"/>
  <c r="I18" i="136"/>
  <c r="I17" i="136"/>
  <c r="C17" i="138" s="1"/>
  <c r="I16" i="136"/>
  <c r="C16" i="138" s="1"/>
  <c r="I15" i="136"/>
  <c r="C15" i="138" s="1"/>
  <c r="I14" i="136"/>
  <c r="C14" i="138" s="1"/>
  <c r="I13" i="136"/>
  <c r="C13" i="138" s="1"/>
  <c r="I12" i="136"/>
  <c r="C12" i="138" s="1"/>
  <c r="I11" i="136"/>
  <c r="C11" i="138" s="1"/>
  <c r="I10" i="136"/>
  <c r="C10" i="138" s="1"/>
  <c r="I9" i="136"/>
  <c r="C9" i="138" s="1"/>
  <c r="I8" i="136"/>
  <c r="C8" i="138" s="1"/>
  <c r="I7" i="136"/>
  <c r="C7" i="138" s="1"/>
  <c r="I6" i="136"/>
  <c r="C6" i="138" s="1"/>
  <c r="I5" i="136"/>
  <c r="C5" i="138" s="1"/>
  <c r="I4" i="136"/>
  <c r="C4" i="138" s="1"/>
  <c r="I3" i="136"/>
  <c r="C3" i="138" s="1"/>
  <c r="C57" i="128"/>
  <c r="C58" i="128"/>
  <c r="C59" i="128"/>
  <c r="C60" i="128"/>
  <c r="C61" i="128"/>
  <c r="C62" i="128"/>
  <c r="C63" i="128"/>
  <c r="C64" i="128"/>
  <c r="C65" i="128"/>
  <c r="C66" i="128"/>
  <c r="C54" i="128"/>
  <c r="C55" i="128"/>
  <c r="C56" i="128"/>
  <c r="C47" i="128"/>
  <c r="C48" i="128"/>
  <c r="C49" i="128"/>
  <c r="C50" i="128"/>
  <c r="C51" i="128"/>
  <c r="C52" i="128"/>
  <c r="C53" i="128"/>
  <c r="I42" i="126"/>
  <c r="C42" i="128" s="1"/>
  <c r="I43" i="126"/>
  <c r="I44" i="126"/>
  <c r="I45" i="126"/>
  <c r="I46" i="126"/>
  <c r="I47" i="126"/>
  <c r="I48" i="126"/>
  <c r="I49" i="126"/>
  <c r="I50" i="126"/>
  <c r="I51" i="126"/>
  <c r="I52" i="126"/>
  <c r="I53" i="126"/>
  <c r="I54" i="126"/>
  <c r="I55" i="126"/>
  <c r="I56" i="126"/>
  <c r="I57" i="126"/>
  <c r="I58" i="126"/>
  <c r="I59" i="126"/>
  <c r="I60" i="126"/>
  <c r="I61" i="126"/>
  <c r="I62" i="126"/>
  <c r="I63" i="126"/>
  <c r="I64" i="126"/>
  <c r="I65" i="126"/>
  <c r="I66" i="126"/>
  <c r="I67" i="126"/>
  <c r="I68" i="126"/>
  <c r="I69" i="126"/>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3" i="128"/>
  <c r="C44" i="128"/>
  <c r="C45" i="128"/>
  <c r="C46" i="128"/>
  <c r="E59" i="127"/>
  <c r="E60" i="127"/>
  <c r="E61" i="127"/>
  <c r="E62" i="127"/>
  <c r="E63" i="127"/>
  <c r="E64" i="127"/>
  <c r="E65" i="127"/>
  <c r="E66" i="127"/>
  <c r="E67" i="127"/>
  <c r="E68" i="127"/>
  <c r="C142" i="128" s="1"/>
  <c r="E69" i="127"/>
  <c r="E70" i="127"/>
  <c r="E71" i="127"/>
  <c r="E72" i="127"/>
  <c r="E73" i="127"/>
  <c r="E44" i="127"/>
  <c r="E45" i="127"/>
  <c r="E46" i="127"/>
  <c r="E52" i="127"/>
  <c r="E53" i="127"/>
  <c r="E54" i="127"/>
  <c r="C25" i="135"/>
  <c r="C24" i="135"/>
  <c r="C2" i="135"/>
  <c r="C1" i="135"/>
  <c r="E23" i="134"/>
  <c r="E22" i="134"/>
  <c r="E21" i="134"/>
  <c r="B20" i="134"/>
  <c r="E20" i="134" s="1"/>
  <c r="C44" i="135" s="1"/>
  <c r="B19" i="134"/>
  <c r="E19" i="134" s="1"/>
  <c r="C43" i="135" s="1"/>
  <c r="B18" i="134"/>
  <c r="E18" i="134" s="1"/>
  <c r="C42" i="135" s="1"/>
  <c r="B17" i="134"/>
  <c r="E17" i="134" s="1"/>
  <c r="C41" i="135" s="1"/>
  <c r="B16" i="134"/>
  <c r="E16" i="134" s="1"/>
  <c r="C40" i="135" s="1"/>
  <c r="B15" i="134"/>
  <c r="E15" i="134" s="1"/>
  <c r="C39" i="135" s="1"/>
  <c r="B14" i="134"/>
  <c r="E14" i="134" s="1"/>
  <c r="C38" i="135" s="1"/>
  <c r="B13" i="134"/>
  <c r="E13" i="134" s="1"/>
  <c r="C37" i="135" s="1"/>
  <c r="B12" i="134"/>
  <c r="E12" i="134" s="1"/>
  <c r="C36" i="135" s="1"/>
  <c r="B11" i="134"/>
  <c r="E11" i="134" s="1"/>
  <c r="C35" i="135" s="1"/>
  <c r="B10" i="134"/>
  <c r="E10" i="134" s="1"/>
  <c r="C34" i="135" s="1"/>
  <c r="E9" i="134"/>
  <c r="C33" i="135" s="1"/>
  <c r="B9" i="134"/>
  <c r="C7" i="134" s="1"/>
  <c r="C4" i="134" s="1"/>
  <c r="E4" i="134" s="1"/>
  <c r="C27" i="135" s="1"/>
  <c r="E8" i="134"/>
  <c r="C31" i="135" s="1"/>
  <c r="E5" i="134"/>
  <c r="C28" i="135" s="1"/>
  <c r="E3" i="134"/>
  <c r="C26" i="135" s="1"/>
  <c r="I21" i="133"/>
  <c r="C21" i="135" s="1"/>
  <c r="I20" i="133"/>
  <c r="C20" i="135" s="1"/>
  <c r="I19" i="133"/>
  <c r="C19" i="135" s="1"/>
  <c r="I18" i="133"/>
  <c r="C18" i="135" s="1"/>
  <c r="I17" i="133"/>
  <c r="C17" i="135" s="1"/>
  <c r="I16" i="133"/>
  <c r="C16" i="135" s="1"/>
  <c r="I15" i="133"/>
  <c r="C15" i="135" s="1"/>
  <c r="I14" i="133"/>
  <c r="C14" i="135" s="1"/>
  <c r="I13" i="133"/>
  <c r="C13" i="135" s="1"/>
  <c r="I12" i="133"/>
  <c r="C12" i="135" s="1"/>
  <c r="I11" i="133"/>
  <c r="C11" i="135" s="1"/>
  <c r="I10" i="133"/>
  <c r="C10" i="135" s="1"/>
  <c r="I9" i="133"/>
  <c r="C9" i="135" s="1"/>
  <c r="I8" i="133"/>
  <c r="C8" i="135" s="1"/>
  <c r="I7" i="133"/>
  <c r="C7" i="135" s="1"/>
  <c r="I6" i="133"/>
  <c r="C6" i="135" s="1"/>
  <c r="I5" i="133"/>
  <c r="C5" i="135" s="1"/>
  <c r="I4" i="133"/>
  <c r="C4" i="135" s="1"/>
  <c r="I3" i="133"/>
  <c r="C3" i="135" s="1"/>
  <c r="C75" i="128"/>
  <c r="C74" i="128"/>
  <c r="C2" i="128"/>
  <c r="C1" i="128"/>
  <c r="E58" i="127"/>
  <c r="E57" i="127"/>
  <c r="E56" i="127"/>
  <c r="E55" i="127"/>
  <c r="E51" i="127"/>
  <c r="E50" i="127"/>
  <c r="E49" i="127"/>
  <c r="E48" i="127"/>
  <c r="E47" i="127"/>
  <c r="E43" i="127"/>
  <c r="E42" i="127"/>
  <c r="E41" i="127"/>
  <c r="E40" i="127"/>
  <c r="E39" i="127"/>
  <c r="E38" i="127"/>
  <c r="E37" i="127"/>
  <c r="E36" i="127"/>
  <c r="E35" i="127"/>
  <c r="E34" i="127"/>
  <c r="E33" i="127"/>
  <c r="E32" i="127"/>
  <c r="E31" i="127"/>
  <c r="E30" i="127"/>
  <c r="E29" i="127"/>
  <c r="E28" i="127"/>
  <c r="E26" i="127"/>
  <c r="E25" i="127"/>
  <c r="E24" i="127"/>
  <c r="B23" i="127"/>
  <c r="B22" i="127"/>
  <c r="B21" i="127"/>
  <c r="B20" i="127"/>
  <c r="B19" i="127"/>
  <c r="B18" i="127"/>
  <c r="B17" i="127"/>
  <c r="B16" i="127"/>
  <c r="B15" i="127"/>
  <c r="B14" i="127"/>
  <c r="B13" i="127"/>
  <c r="B12" i="127"/>
  <c r="B11" i="127"/>
  <c r="B10" i="127"/>
  <c r="E9" i="127"/>
  <c r="C83" i="128" s="1"/>
  <c r="B9" i="127"/>
  <c r="C7" i="127" s="1"/>
  <c r="E8" i="127"/>
  <c r="C81" i="128" s="1"/>
  <c r="E5" i="127"/>
  <c r="C78" i="128" s="1"/>
  <c r="E4" i="127"/>
  <c r="C77" i="128" s="1"/>
  <c r="E3" i="127"/>
  <c r="C76" i="128" s="1"/>
  <c r="I41" i="126"/>
  <c r="I40" i="126"/>
  <c r="I39" i="126"/>
  <c r="I38" i="126"/>
  <c r="I37" i="126"/>
  <c r="I36" i="126"/>
  <c r="I35" i="126"/>
  <c r="I34" i="126"/>
  <c r="I33" i="126"/>
  <c r="I32" i="126"/>
  <c r="I31" i="126"/>
  <c r="I30" i="126"/>
  <c r="I29" i="126"/>
  <c r="I28" i="126"/>
  <c r="I27" i="126"/>
  <c r="I26" i="126"/>
  <c r="I25" i="126"/>
  <c r="I24" i="126"/>
  <c r="I23" i="126"/>
  <c r="I22" i="126"/>
  <c r="I21" i="126"/>
  <c r="I20" i="126"/>
  <c r="I19" i="126"/>
  <c r="I18" i="126"/>
  <c r="I17" i="126"/>
  <c r="I16" i="126"/>
  <c r="I15" i="126"/>
  <c r="I14" i="126"/>
  <c r="I13" i="126"/>
  <c r="I12" i="126"/>
  <c r="I11" i="126"/>
  <c r="I10" i="126"/>
  <c r="I9" i="126"/>
  <c r="I8" i="126"/>
  <c r="C8" i="128" s="1"/>
  <c r="I7" i="126"/>
  <c r="C7" i="128" s="1"/>
  <c r="I6" i="126"/>
  <c r="C6" i="128" s="1"/>
  <c r="I5" i="126"/>
  <c r="C5" i="128" s="1"/>
  <c r="I4" i="126"/>
  <c r="C4" i="128" s="1"/>
  <c r="I3" i="126"/>
  <c r="C3" i="128" s="1"/>
  <c r="C74" i="125"/>
  <c r="C75" i="125"/>
  <c r="C76" i="125"/>
  <c r="C77" i="125"/>
  <c r="C78" i="125"/>
  <c r="C79" i="125"/>
  <c r="C80" i="125"/>
  <c r="C32" i="125"/>
  <c r="C33" i="125"/>
  <c r="C34" i="125"/>
  <c r="C35" i="125"/>
  <c r="C36" i="125"/>
  <c r="C28" i="125"/>
  <c r="C29" i="125"/>
  <c r="C30" i="125"/>
  <c r="C31" i="125"/>
  <c r="C9" i="125"/>
  <c r="C10" i="125"/>
  <c r="C11" i="125"/>
  <c r="C12" i="125"/>
  <c r="C13" i="125"/>
  <c r="C14" i="125"/>
  <c r="C15" i="125"/>
  <c r="C16" i="125"/>
  <c r="C17" i="125"/>
  <c r="C18" i="125"/>
  <c r="C19" i="125"/>
  <c r="C20" i="125"/>
  <c r="C21" i="125"/>
  <c r="C22" i="125"/>
  <c r="C23" i="125"/>
  <c r="C24" i="125"/>
  <c r="C25" i="125"/>
  <c r="C26" i="125"/>
  <c r="C27" i="125"/>
  <c r="C6" i="33"/>
  <c r="C6" i="124"/>
  <c r="C6" i="117"/>
  <c r="C6" i="114"/>
  <c r="I10" i="123"/>
  <c r="I11" i="123"/>
  <c r="I12" i="123"/>
  <c r="I13" i="123"/>
  <c r="I14" i="123"/>
  <c r="I15" i="123"/>
  <c r="I16" i="123"/>
  <c r="I17" i="123"/>
  <c r="I18" i="123"/>
  <c r="I19" i="123"/>
  <c r="I20" i="123"/>
  <c r="I21" i="123"/>
  <c r="I22" i="123"/>
  <c r="I23" i="123"/>
  <c r="I24" i="123"/>
  <c r="I25" i="123"/>
  <c r="I26" i="123"/>
  <c r="I27" i="123"/>
  <c r="I28" i="123"/>
  <c r="I29" i="123"/>
  <c r="I30" i="123"/>
  <c r="I31" i="123"/>
  <c r="I32" i="123"/>
  <c r="I33" i="123"/>
  <c r="I34" i="123"/>
  <c r="I35" i="123"/>
  <c r="I36" i="123"/>
  <c r="I37" i="123"/>
  <c r="I38" i="123"/>
  <c r="I39" i="123"/>
  <c r="E11" i="124"/>
  <c r="E12" i="124"/>
  <c r="E13" i="124"/>
  <c r="E14" i="124"/>
  <c r="E15" i="124"/>
  <c r="E16" i="124"/>
  <c r="E18" i="124"/>
  <c r="E19" i="124"/>
  <c r="E20" i="124"/>
  <c r="E21" i="124"/>
  <c r="E22" i="124"/>
  <c r="E23" i="124"/>
  <c r="E24" i="124"/>
  <c r="E25" i="124"/>
  <c r="E26" i="124"/>
  <c r="E27" i="124"/>
  <c r="C66" i="125" s="1"/>
  <c r="E28" i="124"/>
  <c r="E29" i="124"/>
  <c r="E30" i="124"/>
  <c r="E31" i="124"/>
  <c r="E32" i="124"/>
  <c r="E33" i="124"/>
  <c r="E34" i="124"/>
  <c r="C73" i="125" s="1"/>
  <c r="E35" i="124"/>
  <c r="E36" i="124"/>
  <c r="E37" i="124"/>
  <c r="E38" i="124"/>
  <c r="E39" i="124"/>
  <c r="E40" i="124"/>
  <c r="E41" i="124"/>
  <c r="E42" i="124"/>
  <c r="B36" i="124"/>
  <c r="B37" i="124"/>
  <c r="B38" i="124"/>
  <c r="B35" i="124"/>
  <c r="B32" i="124"/>
  <c r="B33" i="124"/>
  <c r="B34" i="124"/>
  <c r="B31" i="124"/>
  <c r="C70" i="125" s="1"/>
  <c r="B30" i="124"/>
  <c r="B26" i="124"/>
  <c r="B27" i="124"/>
  <c r="B28" i="124"/>
  <c r="B29" i="124"/>
  <c r="B24" i="124"/>
  <c r="C63" i="125" s="1"/>
  <c r="B25" i="124"/>
  <c r="B23" i="124"/>
  <c r="B19" i="124"/>
  <c r="B20" i="124"/>
  <c r="B21" i="124"/>
  <c r="C60" i="125" s="1"/>
  <c r="B22" i="124"/>
  <c r="B11" i="124"/>
  <c r="B12" i="124"/>
  <c r="B13" i="124"/>
  <c r="B14" i="124"/>
  <c r="C53" i="125" s="1"/>
  <c r="B15" i="124"/>
  <c r="B16" i="124"/>
  <c r="C55" i="125" s="1"/>
  <c r="B17" i="124"/>
  <c r="C56" i="125" s="1"/>
  <c r="B18" i="124"/>
  <c r="B10" i="124"/>
  <c r="I6" i="123"/>
  <c r="C6" i="125" s="1"/>
  <c r="C41" i="125"/>
  <c r="C40" i="125"/>
  <c r="C39" i="125"/>
  <c r="C2" i="125"/>
  <c r="C1" i="125"/>
  <c r="E58" i="124"/>
  <c r="E57" i="124"/>
  <c r="E56" i="124"/>
  <c r="E55" i="124"/>
  <c r="E54" i="124"/>
  <c r="E53" i="124"/>
  <c r="E52" i="124"/>
  <c r="E51" i="124"/>
  <c r="E50" i="124"/>
  <c r="E49" i="124"/>
  <c r="E48" i="124"/>
  <c r="E47" i="124"/>
  <c r="E46" i="124"/>
  <c r="E45" i="124"/>
  <c r="E44" i="124"/>
  <c r="E43" i="124"/>
  <c r="C72" i="125"/>
  <c r="C71" i="125"/>
  <c r="C69" i="125"/>
  <c r="C68" i="125"/>
  <c r="C67" i="125"/>
  <c r="C64" i="125"/>
  <c r="C62" i="125"/>
  <c r="C61" i="125"/>
  <c r="C59" i="125"/>
  <c r="C58" i="125"/>
  <c r="C54" i="125"/>
  <c r="C52" i="125"/>
  <c r="C51" i="125"/>
  <c r="C50" i="125"/>
  <c r="E10" i="124"/>
  <c r="C49" i="125" s="1"/>
  <c r="E9" i="124"/>
  <c r="C48" i="125" s="1"/>
  <c r="B9" i="124"/>
  <c r="C7" i="124" s="1"/>
  <c r="E7" i="124" s="1"/>
  <c r="C45" i="125" s="1"/>
  <c r="E8" i="124"/>
  <c r="C46" i="125" s="1"/>
  <c r="E6" i="124"/>
  <c r="C44" i="125" s="1"/>
  <c r="E5" i="124"/>
  <c r="C43" i="125" s="1"/>
  <c r="E4" i="124"/>
  <c r="C42" i="125" s="1"/>
  <c r="E3" i="124"/>
  <c r="I41" i="123"/>
  <c r="I40" i="123"/>
  <c r="I9" i="123"/>
  <c r="I8" i="123"/>
  <c r="C8" i="125" s="1"/>
  <c r="I7" i="123"/>
  <c r="C7" i="125" s="1"/>
  <c r="I5" i="123"/>
  <c r="C5" i="125" s="1"/>
  <c r="I4" i="123"/>
  <c r="C4" i="125" s="1"/>
  <c r="I3" i="123"/>
  <c r="C3" i="125" s="1"/>
  <c r="E14" i="127" l="1"/>
  <c r="C88" i="128" s="1"/>
  <c r="E23" i="127"/>
  <c r="E16" i="127"/>
  <c r="C90" i="128" s="1"/>
  <c r="E21" i="127"/>
  <c r="E15" i="127"/>
  <c r="C89" i="128" s="1"/>
  <c r="E10" i="127"/>
  <c r="C84" i="128" s="1"/>
  <c r="G10" i="127"/>
  <c r="E18" i="127"/>
  <c r="E11" i="127"/>
  <c r="C85" i="128" s="1"/>
  <c r="E19" i="127"/>
  <c r="E13" i="127"/>
  <c r="C87" i="128" s="1"/>
  <c r="E22" i="127"/>
  <c r="E12" i="127"/>
  <c r="C86" i="128" s="1"/>
  <c r="E20" i="127"/>
  <c r="E7" i="140"/>
  <c r="C45" i="141" s="1"/>
  <c r="E7" i="137"/>
  <c r="C45" i="138" s="1"/>
  <c r="C6" i="134"/>
  <c r="E6" i="134" s="1"/>
  <c r="C29" i="135" s="1"/>
  <c r="E7" i="134"/>
  <c r="C30" i="135" s="1"/>
  <c r="C6" i="127"/>
  <c r="E6" i="127" s="1"/>
  <c r="C79" i="128" s="1"/>
  <c r="E7" i="127"/>
  <c r="C80" i="128" s="1"/>
  <c r="C57" i="125"/>
  <c r="C65" i="125"/>
  <c r="C66" i="118" l="1"/>
  <c r="C64" i="118"/>
  <c r="C65" i="118"/>
  <c r="C47" i="118"/>
  <c r="C48" i="118"/>
  <c r="C49" i="118"/>
  <c r="C50" i="118"/>
  <c r="C51" i="118"/>
  <c r="C52" i="118"/>
  <c r="C53" i="118"/>
  <c r="C54" i="118"/>
  <c r="C55" i="118"/>
  <c r="C56" i="118"/>
  <c r="C57" i="118"/>
  <c r="C58" i="118"/>
  <c r="C59" i="118"/>
  <c r="C60" i="118"/>
  <c r="C61" i="118"/>
  <c r="C62" i="118"/>
  <c r="C63" i="118"/>
  <c r="C42" i="118"/>
  <c r="C43" i="118"/>
  <c r="C44" i="118"/>
  <c r="C45" i="118"/>
  <c r="C46" i="118"/>
  <c r="C9" i="118"/>
  <c r="C10" i="118"/>
  <c r="C11" i="118"/>
  <c r="C12" i="118"/>
  <c r="C13" i="118"/>
  <c r="C14" i="118"/>
  <c r="C15" i="118"/>
  <c r="C16" i="118"/>
  <c r="C17" i="118"/>
  <c r="C18" i="118"/>
  <c r="C19" i="118"/>
  <c r="C20" i="118"/>
  <c r="C21" i="118"/>
  <c r="C22" i="118"/>
  <c r="C23" i="118"/>
  <c r="E11" i="117"/>
  <c r="E12" i="117"/>
  <c r="E13" i="117"/>
  <c r="E14" i="117"/>
  <c r="E15" i="117"/>
  <c r="E16" i="117"/>
  <c r="E17" i="117"/>
  <c r="E18" i="117"/>
  <c r="E19" i="117"/>
  <c r="E20" i="117"/>
  <c r="E21" i="117"/>
  <c r="E22" i="117"/>
  <c r="E23" i="117"/>
  <c r="E24" i="117"/>
  <c r="E25" i="117"/>
  <c r="E26" i="117"/>
  <c r="E27" i="117"/>
  <c r="E28" i="117"/>
  <c r="E29" i="117"/>
  <c r="E30" i="117"/>
  <c r="E31" i="117"/>
  <c r="E32" i="117"/>
  <c r="B30" i="117"/>
  <c r="B29" i="117"/>
  <c r="B26" i="117"/>
  <c r="B27" i="117"/>
  <c r="B23" i="117"/>
  <c r="B24" i="117"/>
  <c r="B20" i="117"/>
  <c r="B21" i="117"/>
  <c r="B19" i="117"/>
  <c r="B22" i="117"/>
  <c r="B25" i="117"/>
  <c r="B28" i="117"/>
  <c r="E36" i="117"/>
  <c r="B11" i="117"/>
  <c r="B12" i="117"/>
  <c r="B13" i="117"/>
  <c r="B14" i="117"/>
  <c r="B15" i="117"/>
  <c r="B16" i="117"/>
  <c r="B17" i="117"/>
  <c r="B18" i="117"/>
  <c r="B10" i="117"/>
  <c r="E10" i="117" s="1"/>
  <c r="B9" i="117"/>
  <c r="C7" i="117" s="1"/>
  <c r="E7" i="117" s="1"/>
  <c r="C38" i="118" s="1"/>
  <c r="E33" i="117"/>
  <c r="E34" i="117"/>
  <c r="C33" i="118"/>
  <c r="C32" i="118"/>
  <c r="C2" i="118"/>
  <c r="C1" i="118"/>
  <c r="E58" i="117"/>
  <c r="E57" i="117"/>
  <c r="E56" i="117"/>
  <c r="E55" i="117"/>
  <c r="B54" i="117"/>
  <c r="E54" i="117" s="1"/>
  <c r="E53" i="117"/>
  <c r="E52" i="117"/>
  <c r="E51" i="117"/>
  <c r="E50" i="117"/>
  <c r="E49" i="117"/>
  <c r="E48" i="117"/>
  <c r="E47" i="117"/>
  <c r="E46" i="117"/>
  <c r="E45" i="117"/>
  <c r="E44" i="117"/>
  <c r="E43" i="117"/>
  <c r="E42" i="117"/>
  <c r="E41" i="117"/>
  <c r="E40" i="117"/>
  <c r="E39" i="117"/>
  <c r="E38" i="117"/>
  <c r="E37" i="117"/>
  <c r="E35" i="117"/>
  <c r="E9" i="117"/>
  <c r="C41" i="118" s="1"/>
  <c r="E8" i="117"/>
  <c r="C39" i="118" s="1"/>
  <c r="E6" i="117"/>
  <c r="C37" i="118" s="1"/>
  <c r="E5" i="117"/>
  <c r="C36" i="118" s="1"/>
  <c r="E4" i="117"/>
  <c r="C35" i="118" s="1"/>
  <c r="E3" i="117"/>
  <c r="C34" i="118" s="1"/>
  <c r="I41" i="116"/>
  <c r="I40" i="116"/>
  <c r="I39" i="116"/>
  <c r="I38" i="116"/>
  <c r="I37" i="116"/>
  <c r="I36" i="116"/>
  <c r="I35" i="116"/>
  <c r="I34" i="116"/>
  <c r="I33" i="116"/>
  <c r="I32" i="116"/>
  <c r="I31" i="116"/>
  <c r="I30" i="116"/>
  <c r="I29" i="116"/>
  <c r="I28" i="116"/>
  <c r="I27" i="116"/>
  <c r="I26" i="116"/>
  <c r="I25" i="116"/>
  <c r="I24" i="116"/>
  <c r="I23" i="116"/>
  <c r="I22" i="116"/>
  <c r="I21" i="116"/>
  <c r="I20" i="116"/>
  <c r="I19" i="116"/>
  <c r="I18" i="116"/>
  <c r="I17" i="116"/>
  <c r="I16" i="116"/>
  <c r="I15" i="116"/>
  <c r="I14" i="116"/>
  <c r="I13" i="116"/>
  <c r="I12" i="116"/>
  <c r="I11" i="116"/>
  <c r="I10" i="116"/>
  <c r="I9" i="116"/>
  <c r="I8" i="116"/>
  <c r="C8" i="118" s="1"/>
  <c r="I7" i="116"/>
  <c r="C7" i="118" s="1"/>
  <c r="I6" i="116"/>
  <c r="C6" i="118" s="1"/>
  <c r="I5" i="116"/>
  <c r="C5" i="118" s="1"/>
  <c r="I4" i="116"/>
  <c r="C4" i="118" s="1"/>
  <c r="I3" i="116"/>
  <c r="C3" i="118" s="1"/>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E34" i="114"/>
  <c r="E35" i="114"/>
  <c r="B34" i="114"/>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E49" i="114"/>
  <c r="E50" i="114"/>
  <c r="E51" i="114"/>
  <c r="E52" i="114"/>
  <c r="B28" i="114"/>
  <c r="E28" i="114" s="1"/>
  <c r="B26" i="114"/>
  <c r="E26" i="114" s="1"/>
  <c r="C70" i="115" s="1"/>
  <c r="B23" i="114"/>
  <c r="E23" i="114" s="1"/>
  <c r="C67" i="115" s="1"/>
  <c r="B22" i="114"/>
  <c r="E22" i="114" s="1"/>
  <c r="C66" i="115" s="1"/>
  <c r="B21" i="114"/>
  <c r="E21" i="114" s="1"/>
  <c r="C65" i="115" s="1"/>
  <c r="B24" i="114"/>
  <c r="E24" i="114" s="1"/>
  <c r="C68" i="115" s="1"/>
  <c r="B20" i="114"/>
  <c r="E20" i="114" s="1"/>
  <c r="C64" i="115" s="1"/>
  <c r="B14" i="114"/>
  <c r="E14" i="114" s="1"/>
  <c r="C58" i="115" s="1"/>
  <c r="B16" i="114"/>
  <c r="E16" i="114" s="1"/>
  <c r="C60" i="115" s="1"/>
  <c r="E9" i="114" l="1"/>
  <c r="C53" i="115" s="1"/>
  <c r="E9" i="33"/>
  <c r="C8" i="73"/>
  <c r="C9" i="73"/>
  <c r="C10" i="73"/>
  <c r="C11" i="73"/>
  <c r="C12" i="73"/>
  <c r="C13" i="73"/>
  <c r="C15" i="73"/>
  <c r="C16" i="73"/>
  <c r="C14" i="73"/>
  <c r="I14" i="12"/>
  <c r="I15" i="12"/>
  <c r="I16" i="12"/>
  <c r="I17" i="12"/>
  <c r="I18" i="12"/>
  <c r="I19" i="12"/>
  <c r="I20" i="12"/>
  <c r="E16" i="33"/>
  <c r="E17" i="33"/>
  <c r="E18" i="33"/>
  <c r="E19" i="33"/>
  <c r="E20" i="33"/>
  <c r="E21" i="33"/>
  <c r="I41" i="113"/>
  <c r="I40" i="113"/>
  <c r="I39" i="113"/>
  <c r="I38" i="113"/>
  <c r="B18" i="114" l="1"/>
  <c r="E18" i="114" s="1"/>
  <c r="C62" i="115" s="1"/>
  <c r="B19" i="114"/>
  <c r="E19" i="114" s="1"/>
  <c r="C63" i="115" s="1"/>
  <c r="B25" i="114"/>
  <c r="E25" i="114" s="1"/>
  <c r="C69" i="115" s="1"/>
  <c r="B27" i="114"/>
  <c r="E27" i="114" s="1"/>
  <c r="B29" i="114"/>
  <c r="E29" i="114" s="1"/>
  <c r="B30" i="114"/>
  <c r="E30" i="114" s="1"/>
  <c r="B31" i="114"/>
  <c r="E31" i="114" s="1"/>
  <c r="B32" i="114"/>
  <c r="E32" i="114" s="1"/>
  <c r="B33" i="114"/>
  <c r="E33" i="114" s="1"/>
  <c r="B35" i="114"/>
  <c r="B36" i="114"/>
  <c r="E36" i="114" s="1"/>
  <c r="B37" i="114"/>
  <c r="E37" i="114" s="1"/>
  <c r="B38" i="114"/>
  <c r="E38" i="114" s="1"/>
  <c r="B39" i="114"/>
  <c r="E39" i="114" s="1"/>
  <c r="B40" i="114"/>
  <c r="E40" i="114" s="1"/>
  <c r="B41" i="114"/>
  <c r="E41" i="114" s="1"/>
  <c r="B42" i="114"/>
  <c r="E42" i="114" s="1"/>
  <c r="B43" i="114"/>
  <c r="E43" i="114" s="1"/>
  <c r="B44" i="114"/>
  <c r="E44" i="114" s="1"/>
  <c r="B45" i="114"/>
  <c r="E45" i="114" s="1"/>
  <c r="B46" i="114"/>
  <c r="E46" i="114" s="1"/>
  <c r="B47" i="114"/>
  <c r="E47" i="114" s="1"/>
  <c r="B48" i="114"/>
  <c r="E48" i="114" s="1"/>
  <c r="I10" i="113"/>
  <c r="I11" i="113"/>
  <c r="I12" i="113"/>
  <c r="I13" i="113"/>
  <c r="I14" i="113"/>
  <c r="I15" i="113"/>
  <c r="I16" i="113"/>
  <c r="I17" i="113"/>
  <c r="I18" i="113"/>
  <c r="I19" i="113"/>
  <c r="I20" i="113"/>
  <c r="I21" i="113"/>
  <c r="I22" i="113"/>
  <c r="I23" i="113"/>
  <c r="I24" i="113"/>
  <c r="I25" i="113"/>
  <c r="I26" i="113"/>
  <c r="I27" i="113"/>
  <c r="I28" i="113"/>
  <c r="I29" i="113"/>
  <c r="I30" i="113"/>
  <c r="I31" i="113"/>
  <c r="I32" i="113"/>
  <c r="I33" i="113"/>
  <c r="I34" i="113"/>
  <c r="I35" i="113"/>
  <c r="I36" i="113"/>
  <c r="I37" i="113"/>
  <c r="C45" i="115"/>
  <c r="C44" i="115"/>
  <c r="C2" i="115"/>
  <c r="C1" i="115"/>
  <c r="B17" i="114"/>
  <c r="E17" i="114" s="1"/>
  <c r="C61" i="115" s="1"/>
  <c r="B15" i="114"/>
  <c r="E15" i="114" s="1"/>
  <c r="C59" i="115" s="1"/>
  <c r="B13" i="114"/>
  <c r="E13" i="114" s="1"/>
  <c r="C57" i="115" s="1"/>
  <c r="B12" i="114"/>
  <c r="E12" i="114" s="1"/>
  <c r="C56" i="115" s="1"/>
  <c r="B11" i="114"/>
  <c r="E11" i="114" s="1"/>
  <c r="C55" i="115" s="1"/>
  <c r="B10" i="114"/>
  <c r="E10" i="114" s="1"/>
  <c r="C54" i="115" s="1"/>
  <c r="B9" i="114"/>
  <c r="C7" i="114" s="1"/>
  <c r="E7" i="114" s="1"/>
  <c r="C50" i="115" s="1"/>
  <c r="E8" i="114"/>
  <c r="C51" i="115" s="1"/>
  <c r="E6" i="114"/>
  <c r="C49" i="115" s="1"/>
  <c r="E5" i="114"/>
  <c r="C48" i="115" s="1"/>
  <c r="E4" i="114"/>
  <c r="C47" i="115" s="1"/>
  <c r="E3" i="114"/>
  <c r="C46" i="115" s="1"/>
  <c r="I9" i="113"/>
  <c r="I8" i="113"/>
  <c r="C8" i="115" s="1"/>
  <c r="I7" i="113"/>
  <c r="C7" i="115" s="1"/>
  <c r="I6" i="113"/>
  <c r="C6" i="115" s="1"/>
  <c r="I5" i="113"/>
  <c r="C5" i="115" s="1"/>
  <c r="I4" i="113"/>
  <c r="C4" i="115" s="1"/>
  <c r="I3" i="113"/>
  <c r="C3" i="115" s="1"/>
  <c r="E8" i="33" l="1"/>
  <c r="B11" i="33"/>
  <c r="B12" i="33"/>
  <c r="B13" i="33"/>
  <c r="B14" i="33"/>
  <c r="B15" i="33"/>
  <c r="B9" i="33"/>
  <c r="B10" i="33"/>
  <c r="E6" i="33" l="1"/>
  <c r="C26" i="73" s="1"/>
  <c r="I9" i="12"/>
  <c r="I10" i="12"/>
  <c r="I11" i="12"/>
  <c r="I12" i="12"/>
  <c r="I13" i="12"/>
  <c r="I8" i="12"/>
  <c r="I7" i="12"/>
  <c r="C7" i="73" s="1"/>
  <c r="I6" i="12"/>
  <c r="C6" i="73" s="1"/>
  <c r="C22" i="73"/>
  <c r="C21" i="73"/>
  <c r="C2" i="73"/>
  <c r="C1" i="73"/>
  <c r="E3" i="33"/>
  <c r="C23" i="73" s="1"/>
  <c r="I3" i="12"/>
  <c r="C3" i="73" s="1"/>
  <c r="C28" i="73"/>
  <c r="E5" i="33"/>
  <c r="C25" i="73" s="1"/>
  <c r="E4" i="33"/>
  <c r="C24" i="73" s="1"/>
  <c r="C7" i="33"/>
  <c r="E7" i="33" s="1"/>
  <c r="C27" i="73" s="1"/>
  <c r="I5" i="12"/>
  <c r="C5" i="73" s="1"/>
  <c r="I4" i="12"/>
  <c r="C4" i="73" s="1"/>
  <c r="E15" i="33"/>
  <c r="E10" i="33"/>
  <c r="E11" i="33"/>
  <c r="E13" i="33" l="1"/>
  <c r="E12" i="33"/>
  <c r="E14" i="33" l="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tc={BE8A5644-546E-4BBC-BA2A-1C7BE08EE96F}</author>
  </authors>
  <commentList>
    <comment ref="B28" authorId="0" shapeId="0" xr:uid="{BE8A5644-546E-4BBC-BA2A-1C7BE08EE96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tc={7DC5BC76-93AA-43AA-B4B8-6DAF87786763}</author>
    <author>tc={6B1C7E9B-504A-4D1A-AF36-D8D9AA3059B4}</author>
    <author>tc={7EDD8A3F-51CA-4E06-B2A7-5F9CF78B0DC6}</author>
    <author>tc={22718C3A-6EBC-42D9-9B51-A4248F3F6524}</author>
  </authors>
  <commentList>
    <comment ref="B38" authorId="0" shapeId="0" xr:uid="{7DC5BC76-93AA-43AA-B4B8-6DAF8778676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8" authorId="1" shapeId="0" xr:uid="{6B1C7E9B-504A-4D1A-AF36-D8D9AA3059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40" authorId="2" shapeId="0" xr:uid="{7EDD8A3F-51CA-4E06-B2A7-5F9CF78B0DC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4" authorId="3" shapeId="0" xr:uid="{22718C3A-6EBC-42D9-9B51-A4248F3F65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tc={3AF1DD73-5945-46F7-B630-9DAE8667179B}</author>
  </authors>
  <commentList>
    <comment ref="B28" authorId="0" shapeId="0" xr:uid="{3AF1DD73-5945-46F7-B630-9DAE8667179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tc={ED827A95-D5C9-4426-80F2-72713155BB6B}</author>
  </authors>
  <commentList>
    <comment ref="C10" authorId="0" shapeId="0" xr:uid="{ED827A95-D5C9-4426-80F2-72713155BB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tc={5D2E8EFC-0CCE-4051-A69B-54FC5F2C891E}</author>
    <author>tc={6881C0E7-9C78-4852-AB00-42E70388DA4F}</author>
  </authors>
  <commentList>
    <comment ref="C12" authorId="0" shapeId="0" xr:uid="{5D2E8EFC-0CCE-4051-A69B-54FC5F2C891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 ref="I12" authorId="1" shapeId="0" xr:uid="{6881C0E7-9C78-4852-AB00-42E70388DA4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tc={85C4C669-F4DC-4FCE-926B-4DD1D985E257}</author>
  </authors>
  <commentList>
    <comment ref="B28" authorId="0" shapeId="0" xr:uid="{85C4C669-F4DC-4FCE-926B-4DD1D985E25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sharedStrings.xml><?xml version="1.0" encoding="utf-8"?>
<sst xmlns="http://schemas.openxmlformats.org/spreadsheetml/2006/main" count="4108" uniqueCount="1645">
  <si>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</si>
  <si>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</si>
  <si>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</si>
  <si>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</si>
  <si>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</si>
  <si>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</si>
  <si>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</si>
  <si>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</si>
  <si>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</si>
  <si>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</si>
  <si>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</si>
  <si>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</si>
  <si>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</si>
  <si>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</si>
  <si>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</si>
  <si>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</si>
  <si>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</si>
  <si>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</si>
  <si>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</si>
  <si>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</si>
  <si>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</si>
  <si>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</si>
  <si>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</si>
  <si>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</si>
  <si>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</si>
  <si>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</si>
  <si>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</si>
  <si>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</si>
  <si>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</si>
  <si>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</si>
  <si>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</si>
  <si>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</si>
  <si>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</si>
  <si>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</si>
  <si>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</si>
  <si>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</si>
  <si>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</si>
  <si>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</si>
  <si>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</si>
  <si>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</si>
  <si>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</si>
  <si>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</si>
  <si>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</si>
  <si>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</si>
  <si>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</si>
  <si>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</si>
  <si>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</si>
  <si>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</si>
  <si>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</si>
  <si>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</si>
  <si>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</si>
  <si>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</si>
  <si>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</si>
  <si>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</si>
  <si>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</si>
  <si>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</si>
  <si>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</si>
  <si>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</si>
  <si>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</si>
  <si>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</si>
  <si>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</si>
  <si>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</si>
  <si>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</si>
  <si>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</si>
  <si>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</si>
  <si>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</si>
  <si>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</si>
  <si>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</si>
  <si>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</si>
  <si>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</si>
  <si>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</si>
  <si>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</si>
  <si>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</si>
  <si>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</si>
  <si>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</si>
  <si>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</si>
  <si>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</si>
  <si>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</si>
  <si>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</si>
  <si>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</si>
  <si>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</si>
  <si>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</si>
  <si>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</si>
  <si>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</si>
  <si>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</si>
  <si>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</si>
  <si>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</si>
  <si>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</si>
  <si>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</si>
  <si>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</si>
  <si>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</si>
  <si>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</si>
  <si>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</si>
  <si>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</si>
  <si>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</si>
  <si>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</si>
  <si>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</si>
  <si>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</si>
  <si>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</si>
  <si>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</si>
  <si>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</si>
  <si>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</si>
  <si>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</si>
  <si>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</si>
  <si>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</si>
  <si>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</si>
  <si>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</si>
  <si>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</si>
  <si>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</si>
  <si>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</si>
  <si>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</si>
  <si>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</si>
  <si>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</si>
  <si>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</si>
  <si>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</si>
  <si>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</si>
  <si>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</si>
  <si>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</si>
  <si>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</si>
  <si>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</si>
  <si>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</si>
  <si>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</si>
  <si>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</si>
  <si>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</si>
  <si>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</si>
  <si>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</si>
  <si>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</si>
  <si>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</si>
  <si>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</si>
  <si>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</si>
  <si>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</si>
  <si>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</si>
  <si>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</si>
  <si>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</si>
  <si>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</si>
  <si>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</si>
  <si>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</si>
  <si>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</si>
  <si>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</si>
  <si>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</si>
  <si>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</si>
  <si>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</si>
  <si>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</si>
  <si>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</si>
  <si>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</si>
  <si>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</si>
  <si>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</si>
  <si>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</si>
  <si>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</si>
  <si>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</si>
  <si>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</si>
  <si>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</si>
  <si>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</si>
  <si>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</si>
  <si>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</si>
  <si>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</si>
  <si>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</si>
  <si>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</si>
  <si>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</si>
  <si>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</si>
  <si>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</si>
  <si>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</si>
  <si>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</si>
  <si>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</si>
  <si>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</si>
  <si>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</si>
  <si>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</si>
  <si>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</si>
  <si>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</si>
  <si>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</si>
  <si>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</si>
  <si>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</si>
  <si>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</si>
  <si>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</si>
  <si>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</si>
  <si>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</si>
  <si>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</si>
  <si>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</si>
  <si>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</si>
  <si>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</si>
  <si>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</si>
  <si>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</si>
  <si>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</si>
  <si>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</si>
  <si>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</si>
  <si>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</si>
  <si>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</si>
  <si>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</si>
  <si>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</si>
  <si>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</si>
  <si>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</si>
  <si>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</si>
  <si>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</si>
  <si>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</si>
  <si>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</si>
  <si>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</si>
  <si>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</si>
  <si>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</si>
  <si>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</si>
  <si>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</si>
  <si>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</si>
  <si>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</si>
  <si>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</si>
  <si>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</si>
  <si>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</si>
  <si>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</si>
  <si>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</si>
  <si>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</si>
  <si>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</si>
  <si>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</si>
  <si>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</si>
  <si>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</si>
  <si>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</si>
  <si>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</si>
  <si>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</si>
  <si>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</si>
  <si>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</si>
  <si>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</si>
  <si>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</si>
  <si>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</si>
  <si>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</si>
  <si>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</si>
  <si>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</si>
  <si>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</si>
  <si>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</si>
  <si>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</si>
  <si>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</si>
  <si>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</si>
  <si>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</si>
  <si>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</si>
  <si>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</si>
  <si>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</si>
  <si>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</si>
  <si>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</si>
  <si>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</si>
  <si>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</si>
  <si>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</si>
  <si>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</si>
  <si>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</si>
  <si>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</si>
  <si>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</si>
  <si>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</si>
  <si>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</si>
  <si>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</si>
  <si>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</si>
  <si>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</si>
  <si>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</si>
  <si>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</si>
  <si>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</si>
  <si>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</si>
  <si>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</si>
  <si>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</si>
  <si>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</si>
  <si>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</si>
  <si>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</si>
  <si>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</si>
  <si>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</si>
  <si>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</si>
  <si>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</si>
  <si>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</si>
  <si>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</si>
  <si>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</si>
  <si>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</si>
  <si>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</si>
  <si>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</si>
  <si>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</si>
  <si>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</si>
  <si>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</si>
  <si>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</si>
  <si>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</si>
  <si>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</si>
  <si>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</si>
  <si>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</si>
  <si>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</si>
  <si>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</si>
  <si>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</si>
  <si>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</si>
  <si>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</si>
  <si>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</si>
  <si>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</si>
  <si>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</si>
  <si>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</si>
  <si>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</si>
  <si>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</si>
  <si>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</si>
  <si>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</si>
  <si>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</si>
  <si>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</si>
  <si>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</si>
  <si>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</si>
  <si>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</si>
  <si>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</si>
  <si>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</si>
  <si>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</si>
  <si>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</si>
  <si>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</si>
  <si>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</si>
  <si>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</si>
  <si>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</si>
  <si>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</si>
  <si>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</si>
  <si>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</si>
  <si>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</si>
  <si>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</si>
  <si>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</si>
  <si>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</si>
  <si>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</si>
  <si>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</si>
  <si>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</si>
  <si>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</si>
  <si>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</si>
  <si>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</si>
  <si>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</si>
  <si>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</si>
  <si>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</si>
  <si>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</si>
  <si>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</si>
  <si>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</si>
  <si>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</si>
  <si>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</si>
  <si>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</si>
  <si>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</si>
  <si>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</si>
  <si>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</si>
  <si>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</si>
  <si>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</si>
  <si>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</si>
  <si>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</si>
  <si>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</si>
  <si>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</si>
  <si>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</si>
  <si>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</si>
  <si>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</si>
  <si>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</si>
  <si>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</si>
  <si>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</si>
  <si>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</si>
  <si>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</si>
  <si>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</si>
  <si>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</si>
  <si>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</si>
  <si>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</si>
  <si>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</si>
  <si>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</si>
  <si>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</si>
  <si>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</si>
  <si>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</si>
  <si>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</si>
  <si>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</si>
  <si>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</si>
  <si>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</si>
  <si>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</si>
  <si>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</si>
  <si>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</si>
  <si>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</si>
  <si>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</si>
  <si>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</si>
  <si>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</si>
  <si>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</si>
  <si>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</si>
  <si>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</si>
  <si>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</si>
  <si>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</si>
  <si>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</si>
  <si>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</si>
  <si>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</si>
  <si>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</si>
  <si>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</si>
  <si>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</si>
  <si>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</si>
  <si>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</si>
  <si>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</si>
  <si>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</si>
  <si>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</si>
  <si>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</si>
  <si>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</si>
  <si>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</si>
  <si>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</si>
  <si>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</si>
  <si>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</si>
  <si>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</si>
  <si>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</si>
  <si>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</si>
  <si>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</si>
  <si>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</si>
  <si>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</si>
  <si>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</si>
  <si>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</si>
  <si>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</si>
  <si>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</si>
  <si>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</si>
  <si>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</si>
  <si>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</si>
  <si>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</si>
  <si>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</si>
  <si>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</si>
  <si>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</si>
  <si>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</si>
  <si>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</si>
  <si>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</si>
  <si>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</si>
  <si>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</si>
  <si>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</si>
  <si>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</si>
  <si>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</si>
  <si>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</si>
  <si>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</si>
  <si>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</si>
  <si>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</si>
  <si>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</si>
  <si>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</si>
  <si>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</si>
  <si>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</si>
  <si>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</si>
  <si>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</si>
  <si>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</si>
  <si>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</si>
  <si>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</si>
  <si>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</si>
  <si>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</si>
  <si>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</si>
  <si>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</si>
  <si>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</si>
  <si>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</si>
  <si>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</si>
  <si>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</si>
  <si>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</si>
  <si>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</si>
  <si>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</si>
  <si>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</si>
  <si>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</si>
  <si>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</si>
  <si>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</si>
  <si>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</si>
  <si>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</si>
  <si>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</si>
  <si>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</si>
  <si>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</si>
  <si>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</si>
  <si>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</si>
  <si>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</si>
  <si>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</si>
  <si>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</si>
  <si>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</si>
  <si>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</si>
  <si>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</si>
  <si>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</si>
  <si>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</si>
  <si>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</si>
  <si>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</si>
  <si>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</si>
  <si>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</si>
  <si>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</si>
  <si>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</si>
  <si>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</si>
  <si>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</si>
  <si>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</si>
  <si>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</si>
  <si>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</si>
  <si>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</si>
  <si>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</si>
  <si>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</si>
  <si>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</si>
  <si>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</si>
  <si>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</si>
  <si>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</si>
  <si>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</si>
  <si>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</si>
  <si>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</si>
  <si>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</si>
  <si>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</si>
  <si>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</si>
  <si>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</si>
  <si>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</si>
  <si>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</si>
  <si>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</si>
  <si>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</si>
  <si>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</si>
  <si>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</si>
  <si>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</si>
  <si>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</si>
  <si>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</si>
  <si>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</si>
  <si>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</si>
  <si>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</si>
  <si>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</si>
  <si>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</si>
  <si>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</si>
  <si>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</si>
  <si>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</si>
  <si>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</si>
  <si>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</si>
  <si>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</si>
  <si>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</si>
  <si>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</si>
  <si>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</si>
  <si>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</si>
  <si>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</si>
  <si>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</si>
  <si>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</si>
  <si>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</si>
  <si>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</si>
  <si>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</si>
  <si>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</si>
  <si>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</si>
  <si>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</si>
  <si>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</si>
  <si>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</si>
  <si>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</si>
  <si>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</si>
  <si>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</si>
  <si>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</si>
  <si>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</si>
  <si>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</si>
  <si>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</si>
  <si>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</si>
  <si>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</si>
  <si>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</si>
  <si>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</si>
  <si>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</si>
  <si>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</si>
  <si>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</si>
  <si>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</si>
  <si>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</si>
  <si>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</si>
  <si>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</si>
  <si>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</si>
  <si>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</si>
  <si>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</si>
  <si>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</si>
  <si>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</si>
  <si>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</si>
  <si>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</si>
  <si>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</si>
  <si>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</si>
  <si>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</si>
  <si>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</si>
  <si>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</si>
  <si>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</si>
  <si>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</si>
  <si>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</si>
  <si>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</si>
  <si>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</si>
  <si>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</si>
  <si>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</si>
  <si>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</si>
  <si>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</si>
  <si>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</si>
  <si>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</si>
  <si>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</si>
  <si>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</si>
  <si>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</si>
  <si>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</si>
  <si>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</si>
  <si>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</si>
  <si>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</si>
  <si>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</si>
  <si>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</si>
  <si>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</si>
  <si>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</si>
  <si>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</si>
  <si>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</si>
  <si>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</si>
  <si>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</si>
  <si>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</si>
  <si>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</si>
  <si>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</si>
  <si>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</si>
  <si>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</si>
  <si>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</si>
  <si>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</si>
  <si>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</si>
  <si>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</si>
  <si>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</si>
  <si>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</si>
  <si>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</si>
  <si>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</si>
  <si>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</si>
  <si>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</si>
  <si>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</si>
  <si>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</si>
  <si>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</si>
  <si>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</si>
  <si>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</si>
  <si>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</si>
  <si>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</si>
  <si>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</si>
  <si>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</si>
  <si>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</si>
  <si>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</si>
  <si>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</si>
  <si>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</si>
  <si>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</si>
  <si>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</si>
  <si>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</si>
  <si>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</si>
  <si>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</si>
  <si>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</si>
  <si>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</si>
  <si>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</si>
  <si>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</si>
  <si>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</si>
  <si>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</si>
  <si>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</si>
  <si>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</si>
  <si>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</si>
  <si>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</si>
  <si>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</si>
  <si>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</si>
  <si>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</si>
  <si>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</si>
  <si>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</si>
  <si>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</si>
  <si>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</si>
  <si>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</si>
  <si>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</si>
  <si>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</si>
  <si>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</si>
  <si>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</si>
  <si>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</si>
  <si>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</si>
  <si>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</si>
  <si>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</si>
  <si>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</si>
  <si>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</si>
  <si>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</si>
  <si>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</si>
  <si>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</si>
  <si>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</si>
  <si>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</si>
  <si>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</si>
  <si>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</si>
  <si>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</si>
  <si>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</si>
  <si>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</si>
  <si>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</si>
  <si>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</si>
  <si>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</si>
  <si>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</si>
  <si>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</si>
  <si>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</si>
  <si>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</si>
  <si>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</si>
  <si>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</si>
  <si>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</si>
  <si>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</si>
  <si>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</si>
  <si>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</si>
  <si>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</si>
  <si>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</si>
  <si>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</si>
  <si>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</si>
  <si>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</si>
  <si>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</si>
  <si>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</si>
  <si>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</si>
  <si>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</si>
  <si>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</si>
  <si>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</si>
  <si>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</si>
  <si>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</si>
  <si>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</si>
  <si>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</si>
  <si>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</si>
  <si>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</si>
  <si>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</si>
  <si>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</si>
  <si>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</si>
  <si>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</si>
  <si>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</si>
  <si>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</si>
  <si>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</si>
  <si>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</si>
  <si>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</si>
  <si>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</si>
  <si>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</si>
  <si>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</si>
  <si>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</si>
  <si>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</si>
  <si>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</si>
  <si>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</si>
  <si>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</si>
  <si>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</si>
  <si>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</si>
  <si>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</si>
  <si>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</si>
  <si>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</si>
  <si>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</si>
  <si>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</si>
  <si>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</si>
  <si>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</si>
  <si>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</si>
  <si>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</si>
  <si>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</si>
  <si>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</si>
  <si>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</si>
  <si>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</si>
  <si>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</si>
  <si>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</si>
  <si>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</si>
  <si>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</si>
  <si>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</si>
  <si>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</si>
  <si>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</si>
  <si>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</si>
  <si>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</si>
  <si>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</si>
  <si>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</si>
  <si>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</si>
  <si>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</si>
  <si>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</si>
  <si>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</si>
  <si>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</si>
  <si>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</si>
  <si>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</si>
  <si>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</si>
  <si>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</si>
  <si>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</si>
  <si>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</si>
  <si>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</si>
  <si>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</si>
  <si>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</si>
  <si>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</si>
  <si>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</si>
  <si>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</si>
  <si>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</si>
  <si>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</si>
  <si>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</si>
  <si>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</si>
  <si>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</si>
  <si>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</si>
  <si>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</si>
  <si>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</si>
  <si>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</si>
  <si>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</si>
  <si>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</si>
  <si>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</si>
  <si>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</si>
  <si>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</si>
  <si>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</si>
  <si>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</si>
  <si>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</si>
  <si>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</si>
  <si>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</si>
  <si>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</si>
  <si>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</si>
  <si>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</si>
  <si>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</si>
  <si>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</si>
  <si>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</si>
  <si>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</si>
  <si>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</si>
  <si>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</si>
  <si>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</si>
  <si>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</si>
  <si>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</si>
  <si>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</si>
  <si>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</si>
  <si>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</si>
  <si>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</si>
  <si>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</si>
  <si>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</si>
  <si>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</si>
  <si>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</si>
  <si>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</si>
  <si>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</si>
  <si>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</si>
  <si>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</si>
  <si>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</si>
  <si>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</si>
  <si>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</si>
  <si>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</si>
  <si>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</si>
  <si>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</si>
  <si>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</si>
  <si>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</si>
  <si>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</si>
  <si>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</si>
  <si>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</si>
  <si>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</si>
  <si>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</si>
  <si>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</si>
  <si>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</si>
  <si>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</si>
  <si>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</si>
  <si>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</si>
  <si>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</si>
  <si>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</si>
  <si>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</si>
  <si>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</si>
  <si>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</si>
  <si>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</si>
  <si>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</si>
  <si>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</si>
  <si>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</si>
  <si>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</si>
  <si>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</si>
  <si>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</si>
  <si>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</si>
  <si>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</si>
  <si>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</si>
  <si>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</si>
  <si>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</si>
  <si>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</si>
  <si>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</si>
  <si>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</si>
  <si>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</si>
  <si>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</si>
  <si>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</si>
  <si>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</si>
  <si>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</si>
  <si>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</si>
  <si>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</si>
  <si>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</si>
  <si>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</si>
  <si>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</si>
  <si>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</si>
  <si>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</si>
  <si>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</si>
  <si>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</si>
  <si>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</si>
  <si>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</si>
  <si>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</si>
  <si>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</si>
  <si>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</si>
  <si>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</si>
  <si>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</si>
  <si>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</si>
  <si>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</si>
  <si>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</si>
  <si>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</si>
  <si>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</si>
  <si>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</si>
  <si>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</si>
  <si>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</si>
  <si>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</si>
  <si>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Treatment Summary</t>
  </si>
  <si>
    <t>TreatmentSummary</t>
  </si>
  <si>
    <t>subject</t>
  </si>
  <si>
    <t>Subject</t>
  </si>
  <si>
    <t>diagnosis</t>
  </si>
  <si>
    <t>BackboneElement</t>
  </si>
  <si>
    <t>diagnosis.details</t>
  </si>
  <si>
    <t>Details about this diagnosis</t>
  </si>
  <si>
    <t>diagnosis.frontLineTreatment</t>
  </si>
  <si>
    <t>http://hl7.eu/fhir/ig/pcsp/StructureDefinition/FrontLineTreatment</t>
  </si>
  <si>
    <t>diagnosis.chemotherapy</t>
  </si>
  <si>
    <t>Chemotherapy</t>
  </si>
  <si>
    <t>http://hl7.eu/fhir/ig/pcsp/StructureDefinition/Chemotherapy</t>
  </si>
  <si>
    <t>diagnosis.stemCellTransplantation</t>
  </si>
  <si>
    <t>Stem Cell transplantation</t>
  </si>
  <si>
    <t>*</t>
  </si>
  <si>
    <t>http://hl7.eu/fhir/ig/pcsp/StructureDefinition/StemCellTransplantation</t>
  </si>
  <si>
    <t>diagnosis.radiotherapy</t>
  </si>
  <si>
    <t>Radiotherapy</t>
  </si>
  <si>
    <t>http://hl7.eu/fhir/ig/pcsp/StructureDefinition/Radiotherapy</t>
  </si>
  <si>
    <t>diagnosis.majorSurgery</t>
  </si>
  <si>
    <t>Major Surgery</t>
  </si>
  <si>
    <t>http://hl7.eu/fhir/ig/pcsp/StructureDefinition/MajorSurgery</t>
  </si>
  <si>
    <t>diagnosis.otherInfos</t>
  </si>
  <si>
    <t>http://hl7.eu/fhir/ig/pcsp/StructureDefinition/OtherInfos</t>
  </si>
  <si>
    <t>diagnosis.medicalSuggestion</t>
  </si>
  <si>
    <t>diagnosis.relapseDuringFLT</t>
  </si>
  <si>
    <t>Progression-Relapse during Front line treatment</t>
  </si>
  <si>
    <t>http://hl7.eu/fhir/ig/pcsp/StructureDefinition/RelapseDuringFLT</t>
  </si>
  <si>
    <t>diagnosis.relapseAfterEOT</t>
  </si>
  <si>
    <t>diagnosis.relapseAfterEOT.details</t>
  </si>
  <si>
    <t>Details  about this relapse-progression</t>
  </si>
  <si>
    <t>diagnosis.relapseAfterEOT.frontLineTreatment</t>
  </si>
  <si>
    <t>Salvage treatment</t>
  </si>
  <si>
    <t>The salvage treatment has been executed following</t>
  </si>
  <si>
    <t>diagnosis.relapseAfterEOT.frontLineTreatment.notForRelapse</t>
  </si>
  <si>
    <t>Details not provided for relapses after EOT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</si>
  <si>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</si>
  <si>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</si>
  <si>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</si>
  <si>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</si>
  <si>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</si>
  <si>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</si>
  <si>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diagnosis.otherConditions</t>
  </si>
  <si>
    <t>Other medical conditions, not cancer associated</t>
  </si>
  <si>
    <t>note</t>
  </si>
  <si>
    <t>diagnosis identifier</t>
  </si>
  <si>
    <t>dateOfDiagnosis</t>
  </si>
  <si>
    <t>Date of diagnosis</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</si>
  <si>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</si>
  <si>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centerOfDiagnosis</t>
  </si>
  <si>
    <t>Center of diagnosis</t>
  </si>
  <si>
    <t>Institution in which the diagnosis was made.</t>
  </si>
  <si>
    <t>centerOfDiagnosis.identifier</t>
  </si>
  <si>
    <t>Center code</t>
  </si>
  <si>
    <t>centerOfDiagnosis.name</t>
  </si>
  <si>
    <t>Center name</t>
  </si>
  <si>
    <t>centerOfDiagnosis.city</t>
  </si>
  <si>
    <t>Center city</t>
  </si>
  <si>
    <t>centerOfDiagnosis.country</t>
  </si>
  <si>
    <t>Center country</t>
  </si>
  <si>
    <t>primaryTreatmentCenter</t>
  </si>
  <si>
    <t>Primary treatment center</t>
  </si>
  <si>
    <t>primaryTreatmentCenter.name</t>
  </si>
  <si>
    <t>Primary treatment center name</t>
  </si>
  <si>
    <t>primaryTreatmentCenter.city</t>
  </si>
  <si>
    <t>Primary treatment center city</t>
  </si>
  <si>
    <t>primaryTreatmentCenter.country</t>
  </si>
  <si>
    <t>Primary treatment center country</t>
  </si>
  <si>
    <t>dateOfArrivalAtCenter</t>
  </si>
  <si>
    <t>dateTime</t>
  </si>
  <si>
    <t>diagnosticGroup</t>
  </si>
  <si>
    <t>Diagnostic Group. ICCC-3 Classification (Main and Extended classification tables)</t>
  </si>
  <si>
    <t>morphologyCode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</si>
  <si>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</si>
  <si>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tumorBehaviour</t>
  </si>
  <si>
    <t>Tumour behaviour (ICD-O-3 type)</t>
  </si>
  <si>
    <t>Tumour behaviour. Automatically generated by the system for benign tumors</t>
  </si>
  <si>
    <t>description</t>
  </si>
  <si>
    <t>Diagnosis description</t>
  </si>
  <si>
    <t>Site</t>
  </si>
  <si>
    <t>Site of the tumor</t>
  </si>
  <si>
    <t>site.code</t>
  </si>
  <si>
    <t>Site(ICD-O-3 topography)</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</si>
  <si>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</si>
  <si>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site.description</t>
  </si>
  <si>
    <t>Site description</t>
  </si>
  <si>
    <t>Site description . Free text to report the site of the tumor</t>
  </si>
  <si>
    <t>laterality</t>
  </si>
  <si>
    <t>Laterality</t>
  </si>
  <si>
    <t>metastasis</t>
  </si>
  <si>
    <t>metastasis.identifier</t>
  </si>
  <si>
    <t>Metastasis id</t>
  </si>
  <si>
    <t>integer</t>
  </si>
  <si>
    <t>metastasis.site</t>
  </si>
  <si>
    <t>Metastasis site</t>
  </si>
  <si>
    <t>Please report here the site(s) of metastases detected at diagnosis.</t>
  </si>
  <si>
    <t>metastasis.site.code</t>
  </si>
  <si>
    <t>Metastasis site code</t>
  </si>
  <si>
    <t>Metastases detected at diagnosis (using ICD-O-3 Topography). If site(s) is unknown, code C80.9</t>
  </si>
  <si>
    <t>metastasis.site.description</t>
  </si>
  <si>
    <t>geneticMarkers</t>
  </si>
  <si>
    <t>Genetic markers(text)</t>
  </si>
  <si>
    <t>stage</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</si>
  <si>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</si>
  <si>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t>
  </si>
  <si>
    <t>Immunology</t>
  </si>
  <si>
    <t>Immunology . This is a free text field. Report here, if applicable (e.g. leukemias) the immunophenotype of the disease (sometimes already reported in the ICD-O-3 Morphology coding). If immunology is unknown, specify 'NK'</t>
  </si>
  <si>
    <t>hereditaryPredisposition</t>
  </si>
  <si>
    <t>Hereditary Cancer Predisposition</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</si>
  <si>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</si>
  <si>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notes</t>
  </si>
  <si>
    <t>Condition.conformsTo('http://hl7.eu/fhir/ig/pcsp/StructureDefinition/Condition-primaryCancer-eu-pcsp')</t>
  </si>
  <si>
    <t>.extension('condition-assertedDate').valueDateTime</t>
  </si>
  <si>
    <t>Observation.conformsTo('http://hl7.eu/fhir/ig/pcsp/StructureDefinition/Observation-diagnosis-eu-pcsp').performer</t>
  </si>
  <si>
    <t>Observation.performer.resolve().address.city</t>
  </si>
  <si>
    <t>Observation.performer.resolve().address.country</t>
  </si>
  <si>
    <t>Encounter.period.start</t>
  </si>
  <si>
    <t>Condition.code.coding</t>
  </si>
  <si>
    <t>Condition.extension('mcode-histology-morphology-behavior').valueCodeableConcept</t>
  </si>
  <si>
    <t>Condition.bodySite</t>
  </si>
  <si>
    <t>Condition.bodySite.coding</t>
  </si>
  <si>
    <t>Condition.bodySite.text</t>
  </si>
  <si>
    <t>Condition.bodySite.extension('mcode-laterality-qualifier').valueCodeableConcept</t>
  </si>
  <si>
    <t>Condition.conformsTo('http://hl7.eu/fhir/ig/pcsp/StructureDefinition/Condition-secondaryCancer-eu-pcsp')</t>
  </si>
  <si>
    <t>.bodySite.coding</t>
  </si>
  <si>
    <t>.bodySite.text</t>
  </si>
  <si>
    <t>Condition.evidence.where(code = http://snomed.info/sct#106221001 'Genetic finding')</t>
  </si>
  <si>
    <t>Condition.stage</t>
  </si>
  <si>
    <t>Condition.evidence.where(code = http://snomed.info/sct#365861007 'Finding of immune status')</t>
  </si>
  <si>
    <t>Condition.evidence.where(code = http://snomed.info/sct#32895009 'Hereditary disease')</t>
  </si>
  <si>
    <t>Condition.note</t>
  </si>
  <si>
    <t>Subject of care</t>
  </si>
  <si>
    <t>Subject of care
Maturity Level: 2 - Ready for Review</t>
  </si>
  <si>
    <t>name</t>
  </si>
  <si>
    <t>Subject Name</t>
  </si>
  <si>
    <t>name.lastname</t>
  </si>
  <si>
    <t>Lastname</t>
  </si>
  <si>
    <t>name.middleName</t>
  </si>
  <si>
    <t>Middlename</t>
  </si>
  <si>
    <t>name.firstName</t>
  </si>
  <si>
    <t>Firstname</t>
  </si>
  <si>
    <t>lastnameAtDiagnosis</t>
  </si>
  <si>
    <t>Lastname at diagnosis (if different from the actual one)</t>
  </si>
  <si>
    <t>gender</t>
  </si>
  <si>
    <t>dateOfBirth</t>
  </si>
  <si>
    <t>Date of birth</t>
  </si>
  <si>
    <t>placeOfBirth</t>
  </si>
  <si>
    <t>Place of birth</t>
  </si>
  <si>
    <t>Address</t>
  </si>
  <si>
    <t>contact</t>
  </si>
  <si>
    <t>Contact - receiver of the passport</t>
  </si>
  <si>
    <t>contact.email</t>
  </si>
  <si>
    <t>E-mail</t>
  </si>
  <si>
    <t>uri</t>
  </si>
  <si>
    <t>contact.mobile</t>
  </si>
  <si>
    <t>Mobile phone</t>
  </si>
  <si>
    <t>contact.relationship</t>
  </si>
  <si>
    <t>Relationship with the subject</t>
  </si>
  <si>
    <t>Patient</t>
  </si>
  <si>
    <t>Patient.identifier</t>
  </si>
  <si>
    <t>Patient.name</t>
  </si>
  <si>
    <t>Patient.name.given</t>
  </si>
  <si>
    <t>Patient.name.family</t>
  </si>
  <si>
    <t>Patient.gender</t>
  </si>
  <si>
    <t>Patient.birthDate</t>
  </si>
  <si>
    <t>Patient.extension(http://hl7.org/fhir/StructureDefinition/patient-birthPlace')</t>
  </si>
  <si>
    <t>Observation.performer.resolve().name</t>
  </si>
  <si>
    <t>Observation.performer.display</t>
  </si>
  <si>
    <t>Observation.performer.resolve().identifier</t>
  </si>
  <si>
    <t>Observation.performer.identifier</t>
  </si>
  <si>
    <t>Patient.generalPractitioner</t>
  </si>
  <si>
    <t>Encounter.serviceProvider</t>
  </si>
  <si>
    <t>Patient.generalPractitioner.display</t>
  </si>
  <si>
    <t>Encounter.serviceProvider.resolve().name</t>
  </si>
  <si>
    <t>Encounter.serviceProvider.display</t>
  </si>
  <si>
    <t>Patient.generalPractitioner.resolve().name</t>
  </si>
  <si>
    <t>Patient.generalPractitioner.resolve().address.city</t>
  </si>
  <si>
    <t>Encounter.serviceProvider.resolve().address.city</t>
  </si>
  <si>
    <t>Encounter.serviceProvider.resolve().address.country</t>
  </si>
  <si>
    <t>Patient.generalPractitioner.resolve().address.country</t>
  </si>
  <si>
    <t>Condition.text</t>
  </si>
  <si>
    <t>Condition.code.text</t>
  </si>
  <si>
    <t>RelAfterFLT2Fhir</t>
  </si>
  <si>
    <t>Diagnosis2Fhir</t>
  </si>
  <si>
    <t>Patient.contact (if not the patient)</t>
  </si>
  <si>
    <t>DocumentManifest.recipient (if intended recipient)</t>
  </si>
  <si>
    <t>Patient.telecom (if the patient)</t>
  </si>
  <si>
    <t>Patient.contact.telecom (if not the patient)</t>
  </si>
  <si>
    <t>DocumentManifest.recipient.resolve().telecom (if intended recipient)</t>
  </si>
  <si>
    <t>DocumentManifest.recipient.resolve().relationship (if intended recipient - not patient)</t>
  </si>
  <si>
    <t>Patient.contact.relationship (if not the patient)</t>
  </si>
  <si>
    <t>N/A (if the patient)</t>
  </si>
  <si>
    <t>Subject2Fhir</t>
  </si>
  <si>
    <t>Chemotherapy 
Maturity Level: 2 - Ready for Review</t>
  </si>
  <si>
    <t>Related Diagnosis</t>
  </si>
  <si>
    <t>Identifier of the diagnosis for which this chemotherapy is performed</t>
  </si>
  <si>
    <t>startDate</t>
  </si>
  <si>
    <t>Start date</t>
  </si>
  <si>
    <t>endDate</t>
  </si>
  <si>
    <t>End date</t>
  </si>
  <si>
    <t>istitutionOfTreatment</t>
  </si>
  <si>
    <t>Institution of treatment</t>
  </si>
  <si>
    <t>istitutionOfTreatment.description</t>
  </si>
  <si>
    <t>Institution description</t>
  </si>
  <si>
    <t>Please provide name, city and countryof the institution</t>
  </si>
  <si>
    <t>istitutionOfTreatment.name</t>
  </si>
  <si>
    <t>Institution name</t>
  </si>
  <si>
    <t>istitutionOfTreatment.address</t>
  </si>
  <si>
    <t>Institution address</t>
  </si>
  <si>
    <t>istitutionOfTreatment.address.name</t>
  </si>
  <si>
    <t>Institution city</t>
  </si>
  <si>
    <t>istitutionOfTreatment.address.country</t>
  </si>
  <si>
    <t>Institution country</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</si>
  <si>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</si>
  <si>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</si>
  <si>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</si>
  <si>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</si>
  <si>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</si>
  <si>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</si>
  <si>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productAdministration.dose</t>
  </si>
  <si>
    <t>Dose (NOT in PCSP DB)</t>
  </si>
  <si>
    <t>Dose received of each drug for this administration</t>
  </si>
  <si>
    <t>Quantity</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</si>
  <si>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</si>
  <si>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</si>
  <si>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</si>
  <si>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</si>
  <si>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</si>
  <si>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</si>
  <si>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productAdministration.cumulativeDose.measureType</t>
  </si>
  <si>
    <t>How the dose was determined (estimation or calculation)</t>
  </si>
  <si>
    <t>Specify if the cumulative dose reported has been all calculated on real data or  estimated based on the expected dose prescribed by the protocol.  If some part of the calculation was based on estimated values, the whole field should be 'estimated'</t>
  </si>
  <si>
    <t>productAdministration.cumulativeDose.completionStatus</t>
  </si>
  <si>
    <t>productAdministration.cumulativeDose.statusReason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</si>
  <si>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</si>
  <si>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</si>
  <si>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</si>
  <si>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</si>
  <si>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</si>
  <si>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</si>
  <si>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</si>
  <si>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</si>
  <si>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</si>
  <si>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</si>
  <si>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intrathecalInjections.status</t>
  </si>
  <si>
    <t>Did the survivor receive therapeutic intrathecal injections ?</t>
  </si>
  <si>
    <t>Please state if the survivor received any therapeutic intrathecal injections
1 =&gt; Yes
2 =&gt; No
-9922 =&gt; NK</t>
  </si>
  <si>
    <t>intrathecalInjections.number</t>
  </si>
  <si>
    <t>Total number</t>
  </si>
  <si>
    <t>intrathecalInjections.productName</t>
  </si>
  <si>
    <t>Drug(s) administered</t>
  </si>
  <si>
    <t>otherTreatments</t>
  </si>
  <si>
    <t>Other chemothrapeutic treatments</t>
  </si>
  <si>
    <t>otherTreatments.productName</t>
  </si>
  <si>
    <t>MedicationAdministration.conformsTo('http://hl7.eu/fhir/ig/pcsp/StructureDefinition/MedicationAdministration-eu-pcsp')</t>
  </si>
  <si>
    <t>.reasonReference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</si>
  <si>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</si>
  <si>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</si>
  <si>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</si>
  <si>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</si>
  <si>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</si>
  <si>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</si>
  <si>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</si>
  <si>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.medication[x]</t>
  </si>
  <si>
    <t>.medicationCodeableConcept</t>
  </si>
  <si>
    <t>.dosage.dose</t>
  </si>
  <si>
    <t>.extension(http://hl7.eu/fhir/ig/pcsp/StructureDefinition/ResourceRelatedInfo-eu-pcsp).conformsTo(http://hl7.eu/fhir/ig/pcsp/StructureDefinition/Observation-cumulativeDoseChemo-eu-pcsp)</t>
  </si>
  <si>
    <t>.valueCodeableConcept = http://terminology.hl7.org/CodeSystem/data-absent-reason#unknown</t>
  </si>
  <si>
    <t>.dataAbsentReason</t>
  </si>
  <si>
    <t>.method</t>
  </si>
  <si>
    <t>.status = #preliminary</t>
  </si>
  <si>
    <t>.extension('http://hl7.org/fhir/StructureDefinition/event-statusReason')</t>
  </si>
  <si>
    <t>.valueQuantity.value</t>
  </si>
  <si>
    <t>.valueQuantity.unit (human readeable)</t>
  </si>
  <si>
    <t>.valueQuantity.code (code)</t>
  </si>
  <si>
    <t>MedicationStatement.where(medicationCodeableConcept = 'http://www.whocc.no/atc|H02' and dosage.timing.repeat.boundsDuration.where( value='4' and code = 'w' and comparator ='&gt;' )</t>
  </si>
  <si>
    <t>MedicationStatement.where(dosage.route = https://standardterms.edqm.eu|20042000)</t>
  </si>
  <si>
    <t>.exists()</t>
  </si>
  <si>
    <t>.dosage.timing.repeat.count</t>
  </si>
  <si>
    <t>.count()</t>
  </si>
  <si>
    <t>.medicationCodeableConcept.text</t>
  </si>
  <si>
    <t>MedicationStatement</t>
  </si>
  <si>
    <t>Radiotherapy
Maturity Level: 2 - Ready for Review</t>
  </si>
  <si>
    <t>Identifier of the diagnosis for which this radiotherapy is performed</t>
  </si>
  <si>
    <t>relatedRelapse</t>
  </si>
  <si>
    <t>Related relapse/progression (after FLT)</t>
  </si>
  <si>
    <t>Identifier of the relapse/progression (after FLT) for which this radiotherapy is performed</t>
  </si>
  <si>
    <t>Identifier of the radotherapy episode</t>
  </si>
  <si>
    <t>enddate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</si>
  <si>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</si>
  <si>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deviceType</t>
  </si>
  <si>
    <t>type of machine (If external beam)</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</si>
  <si>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</si>
  <si>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brachytherapyType</t>
  </si>
  <si>
    <t>type of brachytherapy (if brachytherapy)</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</si>
  <si>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</si>
  <si>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isotopes</t>
  </si>
  <si>
    <t>Radioactive materials (if brachytherapy)</t>
  </si>
  <si>
    <t>Specify the radioactive material (isotopes) used: If not listed, select 'Other then specify'
1 =&gt; Iridium (Ir)
2 =&gt; Gold (Au)
3 =&gt; Iodine (I)
4 =&gt; Caesium (Cs)
5 =&gt; Other
-9922 =&gt; Unknown</t>
  </si>
  <si>
    <t>radionuclides</t>
  </si>
  <si>
    <t>radionuclides (required If metabolic/radionuclide)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</si>
  <si>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</si>
  <si>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numberOfCourses</t>
  </si>
  <si>
    <t>Number of courses  (If metabolic/radionuclide)</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</si>
  <si>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</si>
  <si>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</si>
  <si>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</si>
  <si>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Body Site Code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</si>
  <si>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</si>
  <si>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target.laterality</t>
  </si>
  <si>
    <t>Report laterality of the radiation.
 R = right,
 L = left,
 B = bilateral</t>
  </si>
  <si>
    <t>target.details</t>
  </si>
  <si>
    <t>target.from</t>
  </si>
  <si>
    <t>Start point</t>
  </si>
  <si>
    <t>target.to</t>
  </si>
  <si>
    <t>End point</t>
  </si>
  <si>
    <t>target.position</t>
  </si>
  <si>
    <t>Specify whether the radiation was anterior or posterior. 
1 =&gt; Anterior
2 =&gt; Posterior
-9922 = NK</t>
  </si>
  <si>
    <t>target.totalDose</t>
  </si>
  <si>
    <t>Total dose</t>
  </si>
  <si>
    <t>Specify the total dose given to the primary radiation therapy site.
If the dose is not known, write NK.</t>
  </si>
  <si>
    <t>target.totalDose.completionStatus</t>
  </si>
  <si>
    <t>target.totalDose.statusReason</t>
  </si>
  <si>
    <t>target.totalDose.notKnown</t>
  </si>
  <si>
    <t>Not known dose</t>
  </si>
  <si>
    <t>target.totalDose.dose</t>
  </si>
  <si>
    <t>Dose</t>
  </si>
  <si>
    <t>Specify the total dose given to the primary radiation therapy site.</t>
  </si>
  <si>
    <t>target.totalDose.unit</t>
  </si>
  <si>
    <t>External Beam Radiation Therapy (EBRT) and Brachytherapy doses are in Gy. If doses are reported in cGY, roughly two zeroes need to be deleted (e.g. 100 cGy = 1 Gy).
specify if dose is recorded in bequerels (MBq or GBq) or curies (Ci) or Unkwnon</t>
  </si>
  <si>
    <t>target.totalDose.fractions</t>
  </si>
  <si>
    <t>Number of fractions (if  external beam)</t>
  </si>
  <si>
    <t>A FRACTION of radiation treatment is a single attendance for treatment; if 'not known' insert NK</t>
  </si>
  <si>
    <t>target.boost</t>
  </si>
  <si>
    <t>A boost is an extra dose of radiotherapy directed to a smaller area inside the primary radiation field. (only if type is External Beam)</t>
  </si>
  <si>
    <t>target.boost.type</t>
  </si>
  <si>
    <t>Type of Boost</t>
  </si>
  <si>
    <t>Specify radiation type of the boost.
1 =&gt; External Beam
2 =&gt; Brachytherapy
-9922 =&gt; NK  </t>
  </si>
  <si>
    <t>target.boost.given</t>
  </si>
  <si>
    <t>Boost given</t>
  </si>
  <si>
    <t>Flag indicating if a boost was given, not given or unknown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</si>
  <si>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</si>
  <si>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</si>
  <si>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</si>
  <si>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target.boost.laterality</t>
  </si>
  <si>
    <t>target.boost.details</t>
  </si>
  <si>
    <t>target.boost.from</t>
  </si>
  <si>
    <t>target.boost.to</t>
  </si>
  <si>
    <t>target.boost.position</t>
  </si>
  <si>
    <t>target.boost.totalDose</t>
  </si>
  <si>
    <t>Specify the total dose given to the boost site.</t>
  </si>
  <si>
    <t>target.boost.totalDose.completionStatus</t>
  </si>
  <si>
    <t>target.boost.totalDose.statusReason</t>
  </si>
  <si>
    <t>target.boost.totalDose.notKnown</t>
  </si>
  <si>
    <t>target.boost.totalDose.dose</t>
  </si>
  <si>
    <t>target.boost.totalDose.unit</t>
  </si>
  <si>
    <t>Unit</t>
  </si>
  <si>
    <t>Specify the unit of the boost in case of external beam radiotherapy as  Gy. 
specify if dose is recorded in bequerels (MBq or GBq) or curies (Ci) or Unkwnon</t>
  </si>
  <si>
    <t>target.boost.totalDose.fractions</t>
  </si>
  <si>
    <t>target.shielding</t>
  </si>
  <si>
    <t xml:space="preserve">Shielding, in some records this is called “blocking” or “blocks”. </t>
  </si>
  <si>
    <t>target.shielding.status</t>
  </si>
  <si>
    <t>Shielding status</t>
  </si>
  <si>
    <t>Specify if shielding was used or not. 
Yes;  No;  NK  </t>
  </si>
  <si>
    <t>target.shielding.position</t>
  </si>
  <si>
    <t>target.site.notes</t>
  </si>
  <si>
    <t>organAtRisk</t>
  </si>
  <si>
    <t>Organ at Risk</t>
  </si>
  <si>
    <t>Organs at Risk</t>
  </si>
  <si>
    <t>organAtRisk.dosimetry</t>
  </si>
  <si>
    <t>Specify if there is available information on Dosimetry of Organs at Risk [Yes/No]</t>
  </si>
  <si>
    <t>organAtRisk.dosimetryDocument</t>
  </si>
  <si>
    <t>Electronic / scanned version(s) of relevant document(s)</t>
  </si>
  <si>
    <t>Binary</t>
  </si>
  <si>
    <t>files</t>
  </si>
  <si>
    <t>Upload radiotherapy file (1)</t>
  </si>
  <si>
    <t>Procedure.conformsTo('http://hl7.eu/fhir/ig/pcsp/StructureDefinition/Procedure-radiotheraphy-eu-pcsp')</t>
  </si>
  <si>
    <t>.location.resolve().conformsTo(http://hl7.eu/fhir/ig/pcsp/StructureDefinition/Location-eu-pcsp)</t>
  </si>
  <si>
    <t>.performedPeriod.start</t>
  </si>
  <si>
    <t>.performedPeriod.end</t>
  </si>
  <si>
    <t>.code</t>
  </si>
  <si>
    <t>.usedCode</t>
  </si>
  <si>
    <t>.extension('http://hl7.org/fhir/StructureDefinition/procedure-method').valueCodeableConcept</t>
  </si>
  <si>
    <t>.extension('http://hl7.eu/fhir/ig/pcsp/StructureDefinition/radiotherapy-energy-or-isotope').valueCodeableConcept</t>
  </si>
  <si>
    <t>.extension(http://hl7.eu/fhir/ig/pcsp/StructureDefinition/procedure-performedTiming).valueTiming.repeat.count</t>
  </si>
  <si>
    <t>.extension(http://hl7.eu/fhir/ig/pcsp/StructureDefinition/ResourceRelatedInfo-eu-pcsp).resolve().conformsTo(http://hl7.eu/fhir/ig/pcsp/StructureDefinition/Observation-cumulativeDoseRad-eu-pcsp)</t>
  </si>
  <si>
    <t>.extension(http://hl7.eu/fhir/ig/pcsp/StructureDefinition/mcode-laterality-qualifier).valueCodeableConcept</t>
  </si>
  <si>
    <t>.text</t>
  </si>
  <si>
    <t>.bodySite.where(extension('mcode-body-location-qualifier').valueCodeableConcept = http://snomed.info/sct#272488003 'From-structure')</t>
  </si>
  <si>
    <t>.bodySite.where(extension('mcode-body-location-qualifier').valueCodeableConcept = http://hl7.eu/fhir/ig/pcsp/CodeSystem/cs-generic-eu-pcsp#to-structure 'To-structure')</t>
  </si>
  <si>
    <t>.extension('http://hl7.org/fhir/us/mcode/StructureDefinition/mcode-body-location-qualifier').valueCodeableConcept</t>
  </si>
  <si>
    <t>.valueQuantity.code</t>
  </si>
  <si>
    <t>Procedure.conformsTo('http://hl7.eu/fhir/ig/pcsp/StructureDefinition/Procedure-radiotheraphyBoost-eu-pcsp')</t>
  </si>
  <si>
    <t>.partOf.resolve().code</t>
  </si>
  <si>
    <t>.status</t>
  </si>
  <si>
    <t>.extension(http://hl7.eu/fhir/ig/pcsp/StructureDefinition/ResourceRelatedInfo-eu-pcsp).resolve().conformsTo(http://hl7.eu/fhir/ig/pcsp/StructureDefinition/Observation-cumulativeDoseRad-eu-pcsp).bodySite</t>
  </si>
  <si>
    <t>.note</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</si>
  <si>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</si>
  <si>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</si>
  <si>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.extension(http://hl7.org/fhir/us/mcode/StructureDefinition/mcode-body-location-qualifier).valueCodeableConcept</t>
  </si>
  <si>
    <t>Procedure.conformsTo('http://hl7.eu/fhir/ig/pcsp/StructureDefinition/Procedure-radiotheraphyShield-eu-pcsp')</t>
  </si>
  <si>
    <t>.extension(http://hl7.org/fhir/StructureDefinition/workflow-supportingInfo).ofType(DocumentReference)</t>
  </si>
  <si>
    <t>.</t>
  </si>
  <si>
    <t>Chemo2Fhir</t>
  </si>
  <si>
    <t>Other info and relevant events
Maturity Level: 2 - Ready for Review</t>
  </si>
  <si>
    <t>OtherInfos</t>
  </si>
  <si>
    <t>severeToxicity</t>
  </si>
  <si>
    <t>Important toxicity during treatment</t>
  </si>
  <si>
    <t>severeToxicity.flag</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</si>
  <si>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</si>
  <si>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severeToxicity.numberOfToxicity</t>
  </si>
  <si>
    <t>severeToxicity.date</t>
  </si>
  <si>
    <t>Date of event</t>
  </si>
  <si>
    <t>severeToxicity.description</t>
  </si>
  <si>
    <t>severeToxicity.isResolved</t>
  </si>
  <si>
    <t>hypogonadal</t>
  </si>
  <si>
    <t>growthHormoneDeficiency</t>
  </si>
  <si>
    <t>hydrocephalus</t>
  </si>
  <si>
    <t>chronicViralHepatitis</t>
  </si>
  <si>
    <t>sinusoidalObstructionSyndrome</t>
  </si>
  <si>
    <t>catheter</t>
  </si>
  <si>
    <t>CVC positioning</t>
  </si>
  <si>
    <t>catheter.isInPlace</t>
  </si>
  <si>
    <t>If yes</t>
  </si>
  <si>
    <t>catheter.site</t>
  </si>
  <si>
    <t>catheter.relatedThrombosis</t>
  </si>
  <si>
    <t>catheter.relatedThrombosis.occurred</t>
  </si>
  <si>
    <t>Yes/No/UNK</t>
  </si>
  <si>
    <t>catheter.relatedThrombosis.specification</t>
  </si>
  <si>
    <t>transfusion</t>
  </si>
  <si>
    <t>Transfusion</t>
  </si>
  <si>
    <t>transfusion.occured</t>
  </si>
  <si>
    <t>transfusion.last</t>
  </si>
  <si>
    <t>Last transfusion date</t>
  </si>
  <si>
    <t>transfusion.moreThan10</t>
  </si>
  <si>
    <t>fertilityPreservation</t>
  </si>
  <si>
    <t>Fertility preservation</t>
  </si>
  <si>
    <t>fertilityPreservation.description</t>
  </si>
  <si>
    <t>fertilityPreservation.storage</t>
  </si>
  <si>
    <t>otherTreatment</t>
  </si>
  <si>
    <t>dischargeLetter</t>
  </si>
  <si>
    <t>Attachment</t>
  </si>
  <si>
    <t>Procedure</t>
  </si>
  <si>
    <t>Condition</t>
  </si>
  <si>
    <t>Procedure.reasonReference</t>
  </si>
  <si>
    <t>extension('http://hl7.org/fhir/StructureDefinition/condition-related').valueReference</t>
  </si>
  <si>
    <t>Condition.conformsTo('http://hl7.eu/fhir/ig/pcsp/StructureDefinition/Condition-toxicity-eu-pcsp')</t>
  </si>
  <si>
    <t>.verificationStatus</t>
  </si>
  <si>
    <t>.onsetDateTime</t>
  </si>
  <si>
    <t>.clinicalStatus</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</si>
  <si>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</si>
  <si>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</si>
  <si>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</si>
  <si>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</si>
  <si>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</si>
  <si>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Procedure.conformsTo('http://hl7.eu/fhir/ig/pcsp/StructureDefinition/Procedure-cvc-otherinfos-eu-pcsp')</t>
  </si>
  <si>
    <t>.focalDevice.action</t>
  </si>
  <si>
    <t>Condition.conformsTo('http://hl7.eu/fhir/ig/pcsp/StructureDefinition/Condition-otherinfos-eu-pcsp').where(code = http://snomed.info/sct#439127006 'Thrombosis')</t>
  </si>
  <si>
    <t>Procedure.conformsTo('http://hl7.eu/fhir/ig/pcsp/StructureDefinition/Procedure-transfusion-otherinfos-eu-pcsp')</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</si>
  <si>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</si>
  <si>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</si>
  <si>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</si>
  <si>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</si>
  <si>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.location</t>
  </si>
  <si>
    <t>Procedure.conformsTo('http://hl7.eu/fhir/ig/pcsp/StructureDefinition/Procedure-treatment-otherinfos-eu-pcsp')</t>
  </si>
  <si>
    <t>DocumentReference.conformsTo('http://hl7.eu/fhir/ig/pcsp/StructureDefinition/DocumentReference-eu-pcsp')</t>
  </si>
  <si>
    <t>Major Surgery.
Maturity Level: 2 - Ready for Review</t>
  </si>
  <si>
    <t>MajorSurgery</t>
  </si>
  <si>
    <t>Date of surgery</t>
  </si>
  <si>
    <t>Surgery description</t>
  </si>
  <si>
    <t>affectedOrgan</t>
  </si>
  <si>
    <t>Affected Organs</t>
  </si>
  <si>
    <t>Was one of these organs involved ? 
(Oesophagus; Abdomen; Brain; Face; Liver; Spine; Spinal Cord; Sympathetic nerves; Chest/thorax; Pelvis)</t>
  </si>
  <si>
    <t>sacrifiedOrgan</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</si>
  <si>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</si>
  <si>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shuntApplication</t>
  </si>
  <si>
    <t>Shunt application</t>
  </si>
  <si>
    <t>shuntApplication.type</t>
  </si>
  <si>
    <t>Type of shunt</t>
  </si>
  <si>
    <t>This is a free text section in which it is possible to specify the type (e.g. ventriculo-peritoneal) of shunt used 
1 =&gt; Ventriculo-peritoneal
2 =&gt; Ventriculo atrial
3 =&gt; Subdural_peritoneal
4 =&gt;  Cisternostomy (III ventricule)
5 =&gt; Other
-9922 =&gt; NK</t>
  </si>
  <si>
    <t>shuntApplication.laterality</t>
  </si>
  <si>
    <t>Laterality of shunt</t>
  </si>
  <si>
    <t>Please specify the laterality of the shunt
1 = right
2= left
3 = midline
-9911 = not applicable
-9922 =&gt; NK</t>
  </si>
  <si>
    <t>shuntApplication.isRemoved</t>
  </si>
  <si>
    <t>In place or removed ?</t>
  </si>
  <si>
    <t>Define if it is still in place or is already removed 
1 =&gt; Still in place
2 =&gt; Removed
 -9911 =&gt; NA
 -9922 =&gt; NK</t>
  </si>
  <si>
    <t>amputation</t>
  </si>
  <si>
    <t>Amputation</t>
  </si>
  <si>
    <t xml:space="preserve">Here it is requested only a yes or no. Details should be reported in the surgery description 
1 =&gt; Yes
2 =&gt; No
-9911 =&gt; Not applicable
-9922 =&gt; NK </t>
  </si>
  <si>
    <t>prothesis</t>
  </si>
  <si>
    <t>Prothesis</t>
  </si>
  <si>
    <t>prothesis.status</t>
  </si>
  <si>
    <t>status</t>
  </si>
  <si>
    <t>prothesis.deviceType</t>
  </si>
  <si>
    <t>device type</t>
  </si>
  <si>
    <t>Please define if prosthesis is internal (e.g. titanium bone) or external (e.g. artificial limb). Also in this case, details should be reported in the surgery description.
1 =&gt; Internal
2 =&gt; External
-9922 =&gt; NK</t>
  </si>
  <si>
    <t>colostomy</t>
  </si>
  <si>
    <t>Colostomy</t>
  </si>
  <si>
    <t>colostomy.status</t>
  </si>
  <si>
    <t>colostomy.isRemoved</t>
  </si>
  <si>
    <t>State if a colostomy was created. Details should be reported in the surgery section.
1 =&gt; Still in place
2 =&gt; Removed
-9922 =&gt;NK</t>
  </si>
  <si>
    <t>gastrostomy</t>
  </si>
  <si>
    <t>Gastrostomy</t>
  </si>
  <si>
    <t>State if a gastrostomy was created. Details should be reported in the surgery section.
1 =&gt; Yes
2 =&gt; No
-9911 =&gt; Not applicable
-9922 =&gt;NK</t>
  </si>
  <si>
    <t>Procedure.conformsTo('http://hl7.eu/fhir/ig/pcsp/StructureDefinition/Procedure-surgery-eu-pcsp')</t>
  </si>
  <si>
    <t>location.resolve().conformsTo(http://hl7.eu/fhir/ig/pcsp/StructureDefinition/Location-eu-pcsp)</t>
  </si>
  <si>
    <t>Procedure.performedDateTime</t>
  </si>
  <si>
    <t>.extension('http://hl7.eu/fhir/ig/pcsp/StructureDefinition/surgery-sacrifiedOrgan').valueCodeableConcept</t>
  </si>
  <si>
    <t>Procedure.conformsTo('http://hl7.eu/fhir/ig/pcsp/StructureDefinition/Procedure-surgery-eu-pcsp').where(code.memberOf(ShuntProcedureTypeVs))</t>
  </si>
  <si>
    <t>.extension('http://hl7.eu/fhir/ig/pcsp/StructureDefinition/mcode-laterality-qualifier').valueCodeableConcept</t>
  </si>
  <si>
    <t>Procedure.conformsTo('http://hl7.eu/fhir/ig/pcsp/StructureDefinition/Procedure-surgery-eu-pcsp').where(code.memberOf(AmputationProcedureTypeVs)).exists()</t>
  </si>
  <si>
    <t>Procedure.conformsTo('http://hl7.eu/fhir/ig/pcsp/StructureDefinition/Procedure-surgery-eu-pcsp').where(code.memberOf(ProstheticProcedureTypeVs))</t>
  </si>
  <si>
    <t>usedCode</t>
  </si>
  <si>
    <t>Procedure.conformsTo('http://hl7.eu/fhir/ig/pcsp/StructureDefinition/Procedure-surgery-eu-pcsp').where(code.memberOf(ColostomyProcedureTypeVs))</t>
  </si>
  <si>
    <t>Procedure.conformsTo('http://hl7.eu/fhir/ig/pcsp/StructureDefinition/Procedure-surgery-eu-pcsp').where(code.memberOf(GastrostomyProcedureTypeVs)).exists()</t>
  </si>
  <si>
    <t>Radio2Fhir</t>
  </si>
  <si>
    <t>Surgery2Fhir</t>
  </si>
  <si>
    <t>OtherInfo2Fhir</t>
  </si>
  <si>
    <t>extension('http://hl7.eu/fhir/ig/pcsp/StructureDefinition/procedure-performedTiming').valueTiming.event.value.aggregate(iif($total.empty(), $this, iif($this &gt; $total, $this, $total)))</t>
  </si>
  <si>
    <t>Stem Cell Transplantation.
Maturity Level: 2 - Ready for Review</t>
  </si>
  <si>
    <t>StemCellTransplantation</t>
  </si>
  <si>
    <t>SCT Identifier</t>
  </si>
  <si>
    <t>Please Identify the institution were the procedure was performed</t>
  </si>
  <si>
    <t>Date of transplant</t>
  </si>
  <si>
    <t>transplantType</t>
  </si>
  <si>
    <t>Type of transplant</t>
  </si>
  <si>
    <t>Indicate if the transplant was autologous or allogeneic.
1 = Autologous
2 = Allogeneic
-9922 = NK</t>
  </si>
  <si>
    <t>donorType</t>
  </si>
  <si>
    <t>Type of donor</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</si>
  <si>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</si>
  <si>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cellSource</t>
  </si>
  <si>
    <t>Source of cells</t>
  </si>
  <si>
    <t>Indicate the source of cells
1 = PBSC 
2 = Bone marrow
3 = Cord
-9922 = NK</t>
  </si>
  <si>
    <t>conditioningRegimen</t>
  </si>
  <si>
    <t>Conditioning regimen: drugs used</t>
  </si>
  <si>
    <t>gvhd</t>
  </si>
  <si>
    <t>Graft Versus Host Disease</t>
  </si>
  <si>
    <t>gvhd.prophylaxis</t>
  </si>
  <si>
    <t>GVHD prophylaxis</t>
  </si>
  <si>
    <t xml:space="preserve">State if any GVHD prophylaxis was given. Details on the drug names used for GVHD prophylaxis should be listed in the chemotherapy section under 'immunotherapy').
1 =&gt; Yes
2 =&gt; No
-9922 =&gt; NK   </t>
  </si>
  <si>
    <t>gvhd.acute</t>
  </si>
  <si>
    <t>GVHD Acute</t>
  </si>
  <si>
    <t xml:space="preserve">GVHD Acute </t>
  </si>
  <si>
    <t>gvhd.acute.status</t>
  </si>
  <si>
    <t>GVHD Acutestatus</t>
  </si>
  <si>
    <t xml:space="preserve">Please State if acute GVHD occurred
1 =&gt; Yes
2 =&gt; No
-9922 =&gt; NK </t>
  </si>
  <si>
    <t>gvhd.acute.grade</t>
  </si>
  <si>
    <t xml:space="preserve">If yes, state the maximum grade of acute GVHD.
1 =&gt; 1
2 =&gt; 2
3 =&gt; 3
4 =&gt; 4
-9922 =&gt; NK </t>
  </si>
  <si>
    <t>gvhd.acute.startDate</t>
  </si>
  <si>
    <t>gvhd.acute.endDate</t>
  </si>
  <si>
    <t>gvhd.chronic</t>
  </si>
  <si>
    <t>GVHD Chronic</t>
  </si>
  <si>
    <t xml:space="preserve">GVHD Chronic </t>
  </si>
  <si>
    <t>gvhd.chronic.status</t>
  </si>
  <si>
    <t>GVHD Chronicstatus</t>
  </si>
  <si>
    <t xml:space="preserve">Please State if chronic GVHD occurred
1 =&gt; Yes
2 =&gt; No
-9922 =&gt; NK </t>
  </si>
  <si>
    <t>gvhd.chronic.grade</t>
  </si>
  <si>
    <t xml:space="preserve"> If yes, state the maximum grade of chronic GVHD
1 =&gt; Limited
2 =&gt; Extensive
-9922 =&gt; NK</t>
  </si>
  <si>
    <t>gvhd.chronic.startDate</t>
  </si>
  <si>
    <t>gvhd.chronic.endDate</t>
  </si>
  <si>
    <t>gvhd.organAffected</t>
  </si>
  <si>
    <t>Organs affected</t>
  </si>
  <si>
    <t>bloodBeforeTransplant</t>
  </si>
  <si>
    <t>Blood before transplant</t>
  </si>
  <si>
    <t xml:space="preserve">Blood before transplant </t>
  </si>
  <si>
    <t>bloodBeforeTransplant.type</t>
  </si>
  <si>
    <t>Blood type</t>
  </si>
  <si>
    <t>Blood type before transplant 
1 =&gt; A
2 =&gt; B
3 =&gt; AB
4 =&gt; O 
-9922 =&gt; NK</t>
  </si>
  <si>
    <t>bloodBeforeTransplant.rh</t>
  </si>
  <si>
    <t>Rh</t>
  </si>
  <si>
    <t xml:space="preserve">Rh factor before transplant
1 =&gt; +
2 =&gt; -
-9922 =&gt; NK </t>
  </si>
  <si>
    <t>bloodAfterTransplant</t>
  </si>
  <si>
    <t>Blood after transplant</t>
  </si>
  <si>
    <t xml:space="preserve">Blood after transplant </t>
  </si>
  <si>
    <t>bloodAfterTransplant.type</t>
  </si>
  <si>
    <t>Blood type after transplant 
1 =&gt; A
2 =&gt; B
3 =&gt; AB
4 =&gt; O 
-9922 =&gt; NK</t>
  </si>
  <si>
    <t>bloodAfterTransplant.rh</t>
  </si>
  <si>
    <t xml:space="preserve">Rh factor after transplant
1 =&gt; +
2 =&gt; -
-9922 =&gt; NK </t>
  </si>
  <si>
    <t>endOfTreatment</t>
  </si>
  <si>
    <t>Date of end of immunosuppressive treatmentafter HSCT</t>
  </si>
  <si>
    <t>Procedure.conformsTo('http://hl7.eu/fhir/ig/pcsp/StructureDefinition/Procedure-sct-eu-pcsp')</t>
  </si>
  <si>
    <t>.performedDateTime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</si>
  <si>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</si>
  <si>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</si>
  <si>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</si>
  <si>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Condition.conformsTo('http://hl7.eu/fhir/ig/pcsp/StructureDefinition/Condition-gvdh-eu-pcsp')</t>
  </si>
  <si>
    <t>Procedure.conformsTo('http://hl7.eu/fhir/ig/pcsp/StructureDefinition/Procedure-sct-prophylaxis-eu-pcsp').where(code = $sct#868254008 'GVHD (graft versus host disease) prophylaxis').exists()</t>
  </si>
  <si>
    <t>.where(code = http://snomed.info/sct#402355000 'Acute graft-versus-host disease')</t>
  </si>
  <si>
    <t>.where(code = http://snomed.info/sct#402355000 'Acute graft-versus-host disease').exists()</t>
  </si>
  <si>
    <t>.stage.summary</t>
  </si>
  <si>
    <t>.abatementDateTime</t>
  </si>
  <si>
    <t>.where(code = http://snomed.info/sct#402356004 'Chronic graft-versus-host disease')</t>
  </si>
  <si>
    <t>.where(code = http://snomed.info/sct#402356004 'Chronic graft-versus-host disease').exists()</t>
  </si>
  <si>
    <t>Observation.conformsTo('http://hl7.eu/fhir/ig/pcsp/StructureDefinition/Observation-bld-abo-rh-eu-pcsp').where(effectiveTiming.code = #before-procedure)</t>
  </si>
  <si>
    <t>component.where(code = $loinc#883-9	'ABO group [Type] in Blood').value</t>
  </si>
  <si>
    <t>component.where(code = $loinc#10331-7 'Rh [Type] in Blood').value</t>
  </si>
  <si>
    <t>Observation.conformsTo('http://hl7.eu/fhir/ig/pcsp/StructureDefinition/Observation-bld-abo-rh-eu-pcsp').where(effectiveTiming.code = #after-procedure)</t>
  </si>
  <si>
    <t>Procedure.conformsTo('http://hl7.eu/fhir/ig/pcsp/StructureDefinition/Procedure-sct-prophylaxis-eu-pcsp').where(category = $sct#416608005 'Drug therapy' ).performedPeriod.end</t>
  </si>
  <si>
    <t>Front Line Treatment</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</si>
  <si>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</si>
  <si>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FrontLineTreatment</t>
  </si>
  <si>
    <t>followedProtocol</t>
  </si>
  <si>
    <t>Followed Protocol</t>
  </si>
  <si>
    <t>followedProtocol.type</t>
  </si>
  <si>
    <t>Protocole type</t>
  </si>
  <si>
    <t>2 =&gt; Trial/protocol
2 =&gt; Personalized
3 =&gt; Guidelines
-9922 =&gt; NK</t>
  </si>
  <si>
    <t>followedProtocol.name</t>
  </si>
  <si>
    <t>Protocole name</t>
  </si>
  <si>
    <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</si>
  <si>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</si>
  <si>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</si>
  <si>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followedProtocol.arm</t>
  </si>
  <si>
    <t>Group/Arm/Randomization</t>
  </si>
  <si>
    <t>dateEOT</t>
  </si>
  <si>
    <t>Date of end of treatment</t>
  </si>
  <si>
    <t>It might be the date of first elective end of treatment, or that of the second (or further) end of treatment after the first one. If the date is unkown or partially missed insert the year at the best of your knowledge.</t>
  </si>
  <si>
    <t>isChemotherapy</t>
  </si>
  <si>
    <t>Chemotherapy ?</t>
  </si>
  <si>
    <t>isStemCellTransplantation</t>
  </si>
  <si>
    <t>Stem Cell transplantation ?</t>
  </si>
  <si>
    <t>isRadiotherapy</t>
  </si>
  <si>
    <t>Radiotherapy ?</t>
  </si>
  <si>
    <t>isMajorSurgery</t>
  </si>
  <si>
    <t>Major Surgery ?</t>
  </si>
  <si>
    <t>notForRelapse</t>
  </si>
  <si>
    <t>notForRelapse.completeRemission</t>
  </si>
  <si>
    <t>Complete remission</t>
  </si>
  <si>
    <t>notForRelapse.completeRemission.status</t>
  </si>
  <si>
    <t>Complete remission (Yes/No)</t>
  </si>
  <si>
    <t>notForRelapse.completeRemission.description</t>
  </si>
  <si>
    <t>Textual description in case of no remission</t>
  </si>
  <si>
    <t>notForRelapse.isProgressionRelapseDuringFLT</t>
  </si>
  <si>
    <t>Progression/relapse during frontline treatment ?</t>
  </si>
  <si>
    <t>notForRelapse.isProgressionRelapseAfterFLT</t>
  </si>
  <si>
    <t>Progression/relapse after first elective end of treatment ?</t>
  </si>
  <si>
    <t>Procedure.conformsTo('http://hl7.eu/fhir/ig/pcsp/StructureDefinition/Procedure-flt-eu-pcsp')</t>
  </si>
  <si>
    <t>.instantiatesCanonical</t>
  </si>
  <si>
    <t>PlanDefinition.conformsTo('http://hl7.eu/fhir/ig/pcsp/StructureDefinition/PlanDefinition-flt-eu-pcsp')</t>
  </si>
  <si>
    <t>.type</t>
  </si>
  <si>
    <t>.title</t>
  </si>
  <si>
    <t>.description</t>
  </si>
  <si>
    <t>.extension('http://hl7.eu/fhir/ig/pcsp/StructureDefinition/procedure-fltArm').valueString</t>
  </si>
  <si>
    <t>Procedure.performedPeriod.end</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</si>
  <si>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</si>
  <si>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</si>
  <si>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</si>
  <si>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</si>
  <si>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outcome</t>
  </si>
  <si>
    <t>outcome.coding</t>
  </si>
  <si>
    <t>outcome.text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</si>
  <si>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</si>
  <si>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</si>
  <si>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Progression-Relapse during FLT
Maturity Level: 2 - Ready for Review</t>
  </si>
  <si>
    <t>RelapseDuringFLT</t>
  </si>
  <si>
    <t>Progression-Relapse during FLT identifier</t>
  </si>
  <si>
    <t>Related diagnosis identifier</t>
  </si>
  <si>
    <t>Date</t>
  </si>
  <si>
    <t>The type of event should be reported
1 =&gt; Relapse
2 =&gt; Progression 
-9922= NK</t>
  </si>
  <si>
    <t>qualifier</t>
  </si>
  <si>
    <t>Please state if the relapse or progression was local, distant,  combined or unk</t>
  </si>
  <si>
    <t>If distant or comobined, specify site  (text)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</si>
  <si>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</si>
  <si>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&lt;&lt; #inactive).valueCodeableConcept OR Condition.where( clinicalStatus = #relapse OR clinicalStatus = #recurrence).clinicalStatus</t>
  </si>
  <si>
    <t>.extension('http://hl7.eu/fhir/ig/pcsp/StructureDefinition/condition-previousStatus').where(Condition.clinicalStatus = #inactive or #relapse or #recurrence).valueCodeableConcept OR Condition.where( clinicalStatus = #relapse OR clinicalStatus = #recurrence).clinicalStatus</t>
  </si>
  <si>
    <t>Condition.conformsTo('http://hl7.eu/fhir/ig/pcsp/StructureDefinition/Condition-secondaryCancer-eu-pcsp').bodySite</t>
  </si>
  <si>
    <t>Sct2Fhir</t>
  </si>
  <si>
    <t>Flt2Fhir</t>
  </si>
  <si>
    <t>Metadata FSE Italy</t>
  </si>
  <si>
    <t>Metadata FSE Italy.
Maturity Level: 0</t>
  </si>
  <si>
    <t>DocMetadataFSE</t>
  </si>
  <si>
    <t>document ID</t>
  </si>
  <si>
    <t>Id documento (dovrebbe essere sull'oid root di regione Liguria) oid root + extension che comincia per nostro standard con le ultime tre cifre del codice azienda (940 per Gaslini) più punto più id univoco all'interno dell'azienda)</t>
  </si>
  <si>
    <t>mimeType</t>
  </si>
  <si>
    <t>MIME type</t>
  </si>
  <si>
    <t>Tipo mime del documento</t>
  </si>
  <si>
    <t>code</t>
  </si>
  <si>
    <t>size</t>
  </si>
  <si>
    <t>Size del documento</t>
  </si>
  <si>
    <t>unsignedInt</t>
  </si>
  <si>
    <t>hash</t>
  </si>
  <si>
    <t>Hash del documento</t>
  </si>
  <si>
    <t>base64Binary</t>
  </si>
  <si>
    <t>document code</t>
  </si>
  <si>
    <t>Codice loinc del documento (parliamone)</t>
  </si>
  <si>
    <t>classCode</t>
  </si>
  <si>
    <t>Type of document</t>
  </si>
  <si>
    <t>Tipo documento (REF)</t>
  </si>
  <si>
    <t>contentType</t>
  </si>
  <si>
    <t>Content Type</t>
  </si>
  <si>
    <t>Content type code (da decidere se consulto o dimissione)</t>
  </si>
  <si>
    <t>creationDate</t>
  </si>
  <si>
    <t>creation date</t>
  </si>
  <si>
    <t>Data creazione del documento</t>
  </si>
  <si>
    <t>confidentiality</t>
  </si>
  <si>
    <t>Confidentiality (propendo per V, sarebbe un default))</t>
  </si>
  <si>
    <t>mask</t>
  </si>
  <si>
    <t>mask (oscuramento)</t>
  </si>
  <si>
    <t>Oscuramento (propendo per l'invio come oscurato, sarebbe un default)</t>
  </si>
  <si>
    <t>replace</t>
  </si>
  <si>
    <t>replaced document</t>
  </si>
  <si>
    <t>Eventuale documento sostituito (oid + extension)</t>
  </si>
  <si>
    <t>formatCode</t>
  </si>
  <si>
    <t>Format of document</t>
  </si>
  <si>
    <t>Formato documento (PDF)</t>
  </si>
  <si>
    <t>repositoryId</t>
  </si>
  <si>
    <t>Repository Id</t>
  </si>
  <si>
    <t>Id repository (Gaslini ne ha uno)</t>
  </si>
  <si>
    <t>indexDate</t>
  </si>
  <si>
    <t>Index Date</t>
  </si>
  <si>
    <t>Data indicizzazione (la aggiunge chi indicizza)</t>
  </si>
  <si>
    <t>practiceSettingCode</t>
  </si>
  <si>
    <t>Practice setting code</t>
  </si>
  <si>
    <t>Practice setting code (da stabilire con Gaslini)</t>
  </si>
  <si>
    <t>patientFiscalCode</t>
  </si>
  <si>
    <t>Patient Fiscal Code</t>
  </si>
  <si>
    <t>Codice fiscale paziente soggetto del documento</t>
  </si>
  <si>
    <t>author</t>
  </si>
  <si>
    <t>Author</t>
  </si>
  <si>
    <t>author.fiscalCode</t>
  </si>
  <si>
    <t>Author Fiscal Code</t>
  </si>
  <si>
    <t>Codice fiscale autore del documento</t>
  </si>
  <si>
    <t>author.orgCode</t>
  </si>
  <si>
    <t>Author Organization (code)</t>
  </si>
  <si>
    <t>Struttura dell'autore (codifica come sopra)</t>
  </si>
  <si>
    <t>author.role</t>
  </si>
  <si>
    <t>Author Role (code)</t>
  </si>
  <si>
    <t>Ruolo autore (codifica come sopra)</t>
  </si>
  <si>
    <t>attesterFiscalCode</t>
  </si>
  <si>
    <t>Attester Fiscal Code</t>
  </si>
  <si>
    <t>Firmatario del documento (codice fiscale)</t>
  </si>
  <si>
    <t>custiodian</t>
  </si>
  <si>
    <t>Custodian</t>
  </si>
  <si>
    <t>Codice azienda custode del documento (070940)</t>
  </si>
  <si>
    <t> DocumentReference.masterIdentifier</t>
  </si>
  <si>
    <t>DocumentReference.content.attachment.contentType</t>
  </si>
  <si>
    <t>DocumentReference.content.attachment.size</t>
  </si>
  <si>
    <t>DocumentReference.content.attachment.hash</t>
  </si>
  <si>
    <t>DocumentReference.type</t>
  </si>
  <si>
    <t>DocumentReference.category</t>
  </si>
  <si>
    <t>DocumentReference.category (TBC)</t>
  </si>
  <si>
    <t>DocumentReference.content.attachment.creation</t>
  </si>
  <si>
    <t>DocumentReference.securityLabel</t>
  </si>
  <si>
    <t>DocumentReference.relatesTo.where(code = 'replaces').target</t>
  </si>
  <si>
    <t>DocumentReference.content.format</t>
  </si>
  <si>
    <t>DocumentReference.content.attachment.url</t>
  </si>
  <si>
    <t>DocumentReference.date (TBC)</t>
  </si>
  <si>
    <t>DocumentReference.context.practiceSetting</t>
  </si>
  <si>
    <t>DocumentReference.subject.resolve().ofType(Patient).identifier</t>
  </si>
  <si>
    <t>DocumentReference.author</t>
  </si>
  <si>
    <t>DocumentReference.author.resolve().ofType(PractitionerRole).organization.resolve().identifier</t>
  </si>
  <si>
    <t>DocumentReference.author.resolve().ofType(PractitionerRole).practitioner.resolve().ofType(Practitioner).identifier</t>
  </si>
  <si>
    <t>DocumentReference.author.resolve().ofType(PractitionerRole).organization.resolve().code</t>
  </si>
  <si>
    <t>DocumentReference.author.resolve().ofType(Practitioner).identifier</t>
  </si>
  <si>
    <t>DocumentReference.custodian.resolve().identifier</t>
  </si>
  <si>
    <t>Care Plan</t>
  </si>
  <si>
    <t>Care Plan
Maturity Level: 0 - Draft</t>
  </si>
  <si>
    <t>PlanOfCare</t>
  </si>
  <si>
    <t>Care plan Identifier</t>
  </si>
  <si>
    <t>Care plan business identifier</t>
  </si>
  <si>
    <t>addressedProblem</t>
  </si>
  <si>
    <t>Problems addressed by this plan</t>
  </si>
  <si>
    <t>Problems (e.g. primary cancer) addressed by this plan</t>
  </si>
  <si>
    <t>creationTime</t>
  </si>
  <si>
    <t>Date the plan was created</t>
  </si>
  <si>
    <t>Plan note</t>
  </si>
  <si>
    <t>chronicConditions</t>
  </si>
  <si>
    <t>Chronic condition</t>
  </si>
  <si>
    <t>reccomandation</t>
  </si>
  <si>
    <t>Reccomandation</t>
  </si>
  <si>
    <t>reccomandation.riskFactor</t>
  </si>
  <si>
    <t>Risk factors</t>
  </si>
  <si>
    <t>Risk factors considered for generating this care plan</t>
  </si>
  <si>
    <t>reccomandation.conditionAtRisk</t>
  </si>
  <si>
    <t>Conditions at risk</t>
  </si>
  <si>
    <t>reccomandation.reccomandation</t>
  </si>
  <si>
    <t>Suggested reccomandation</t>
  </si>
  <si>
    <t>Reccomandation suggested by the algorithm</t>
  </si>
  <si>
    <t>reccomandation.note</t>
  </si>
  <si>
    <t>Note</t>
  </si>
  <si>
    <t>CarePlan.conformsTo('http://hl7.eu/fhir/ig/pcsp/StructureDefinition/CarePlan-eu-pcsp')</t>
  </si>
  <si>
    <t>.addresses</t>
  </si>
  <si>
    <t>.author</t>
  </si>
  <si>
    <t>.created</t>
  </si>
  <si>
    <t>.note.where(extension(' http://hl7.eu/fhir/ig/pcsp/StructureDefinition/annotation-type').valueCodeableConcept=CsGenericPcsp#nar-planNotes)</t>
  </si>
  <si>
    <t>.note.where(extension(' http://hl7.eu/fhir/ig/pcsp/StructureDefinition/annotation-type').valueCodeableConcept=CsGenericPcsp#nar-chronicCond)</t>
  </si>
  <si>
    <t>.activity.detail</t>
  </si>
  <si>
    <t>.activity.detail.reasonReference</t>
  </si>
  <si>
    <t>activity.detail.reasonCode</t>
  </si>
  <si>
    <t>activity.detail.code</t>
  </si>
  <si>
    <t>activity.detail.description</t>
  </si>
  <si>
    <t>SurPass V2.0</t>
  </si>
  <si>
    <t>SurPass</t>
  </si>
  <si>
    <t>treatmentSummary</t>
  </si>
  <si>
    <t>http://hl7.eu/fhir/ig/pcsp/StructureDefinition/TreatmentSummary</t>
  </si>
  <si>
    <t>carePlan</t>
  </si>
  <si>
    <t>Care plan</t>
  </si>
  <si>
    <t>Reccomandation for follow up</t>
  </si>
  <si>
    <t>Bundle.conformsTo('http://hl7.eu/fhir/ig/pcsp/StructureDefinition/Bundle-eu-pcsp')</t>
  </si>
  <si>
    <t>Survivorship Passport V2.0
Maturity Level: 2 - Ready for Review</t>
  </si>
  <si>
    <t>Treatment Summary data model
Maturity Level: 2 - Ready for Review</t>
  </si>
  <si>
    <t>Diagnosis
Maturity Level: 2 - Ready for Review</t>
  </si>
  <si>
    <t>Stem Cell Transplantation</t>
  </si>
  <si>
    <t>// no map</t>
  </si>
  <si>
    <t>// tbd</t>
  </si>
  <si>
    <t>Procedure.conformsTo('http://hl7.eu/fhir/ig/pcsp/StructureDefinition/Procedure-surgery-eu-pcsp').where(code != 'no-known-procedures' or code != 'no-procedure-info').exists() [Yes Case]</t>
  </si>
  <si>
    <t>Procedure.conformsTo('http://hl7.eu/fhir/ig/pcsp/StructureDefinition/Procedure-surgery-eu-pcsp').exists().not() [No Case, implicit]</t>
  </si>
  <si>
    <t>Procedure.conformsTo('http://hl7.eu/fhir/ig/pcsp/StructureDefinition/Procedure-surgery-eu-pcsp').where(code = 'no-procedure-info').exists() [Unk case]</t>
  </si>
  <si>
    <t>Procedure.conformsTo('http://hl7.eu/fhir/ig/pcsp/StructureDefinition/Procedure-surgery-eu-pcsp')..where(code = 'no-known-procedures').exists() [No Case, explicit]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</si>
</sst>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11"/>
      <name val="Calibri"/>
      <family val="2"/>
      <scheme val="minor"/>
    </font>
    <font>
      <sz val="10"/>
      <name val="Calibri"/>
      <family val="2"/>
      <scheme val="minor"/>
    </font>
    <font>
      <sz val="10"/>
      <color theme="1"/>
      <name val="Calibri"/>
      <family val="2"/>
      <scheme val="minor"/>
    </font>
    <font>
      <b/>
      <sz val="12"/>
      <color theme="0"/>
      <name val="Calibri"/>
      <family val="2"/>
      <scheme val="minor"/>
    </font>
    <font>
      <sz val="11"/>
      <color rgb="FF212121"/>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5"/>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xf numFmtId="0" fontId="9" fillId="11" borderId="0" applyNumberFormat="0" applyBorder="0" applyAlignment="0" applyProtection="0"/>
    <xf numFmtId="0" fontId="9" fillId="14" borderId="0" applyNumberFormat="0" applyBorder="0" applyAlignment="0" applyProtection="0"/>
  </cellStyleXfs>
  <cellXfs count="119">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0" borderId="1" xfId="0"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3" fillId="0" borderId="11" xfId="0" applyFont="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Border="1" applyAlignment="1">
      <alignment wrapText="1"/>
    </xf>
    <xf numFmtId="0" fontId="0" fillId="3" borderId="1" xfId="0" applyFill="1" applyBorder="1"/>
    <xf numFmtId="0" fontId="0" fillId="15" borderId="1" xfId="0" applyFill="1" applyBorder="1" applyAlignment="1">
      <alignment wrapText="1"/>
    </xf>
    <xf numFmtId="0" fontId="20" fillId="3" borderId="1" xfId="0" applyFont="1" applyFill="1" applyBorder="1" applyAlignment="1">
      <alignment wrapText="1"/>
    </xf>
    <xf numFmtId="0" fontId="21" fillId="3" borderId="1" xfId="0" applyFont="1" applyFill="1" applyBorder="1" applyAlignment="1">
      <alignment horizontal="left" vertical="top" wrapText="1"/>
    </xf>
    <xf numFmtId="0" fontId="20" fillId="0" borderId="1" xfId="0" applyFont="1" applyBorder="1" applyAlignment="1">
      <alignment wrapText="1"/>
    </xf>
    <xf numFmtId="0" fontId="0" fillId="16" borderId="1" xfId="0" applyFill="1" applyBorder="1"/>
    <xf numFmtId="0" fontId="0" fillId="0" borderId="9" xfId="0" applyBorder="1"/>
    <xf numFmtId="0" fontId="3" fillId="0" borderId="1" xfId="0" applyFont="1" applyBorder="1"/>
    <xf numFmtId="0" fontId="22" fillId="0" borderId="1" xfId="0" applyFont="1" applyBorder="1" applyAlignment="1">
      <alignment horizontal="left" vertical="top" wrapText="1"/>
    </xf>
    <xf numFmtId="0" fontId="1" fillId="0" borderId="4" xfId="0" applyFont="1" applyBorder="1" applyAlignment="1">
      <alignment wrapText="1"/>
    </xf>
    <xf numFmtId="0" fontId="2" fillId="0" borderId="9" xfId="1" applyBorder="1" applyAlignment="1">
      <alignment wrapText="1"/>
    </xf>
    <xf numFmtId="0" fontId="23" fillId="14" borderId="23" xfId="3" applyFont="1" applyBorder="1" applyAlignment="1">
      <alignment horizontal="center" vertical="center"/>
    </xf>
    <xf numFmtId="0" fontId="3" fillId="5" borderId="1" xfId="0" applyFont="1" applyFill="1" applyBorder="1" applyAlignment="1">
      <alignment wrapText="1"/>
    </xf>
    <xf numFmtId="0" fontId="1" fillId="8" borderId="5" xfId="0" applyFont="1" applyFill="1" applyBorder="1" applyAlignment="1">
      <alignment wrapText="1"/>
    </xf>
    <xf numFmtId="0" fontId="0" fillId="7" borderId="1" xfId="0" applyFill="1" applyBorder="1" applyAlignment="1">
      <alignment wrapText="1"/>
    </xf>
    <xf numFmtId="0" fontId="0" fillId="0" borderId="1" xfId="0" quotePrefix="1" applyBorder="1" applyAlignment="1">
      <alignment wrapText="1"/>
    </xf>
    <xf numFmtId="0" fontId="0" fillId="2" borderId="1" xfId="0" applyFill="1" applyBorder="1" applyAlignment="1">
      <alignment wrapText="1"/>
    </xf>
    <xf numFmtId="0" fontId="1" fillId="8" borderId="16" xfId="0" applyFont="1" applyFill="1" applyBorder="1" applyAlignment="1">
      <alignment wrapText="1"/>
    </xf>
    <xf numFmtId="0" fontId="20" fillId="0" borderId="1" xfId="0" applyFont="1" applyBorder="1"/>
    <xf numFmtId="0" fontId="0" fillId="17" borderId="1" xfId="0" applyFill="1" applyBorder="1" applyAlignment="1">
      <alignment wrapText="1"/>
    </xf>
    <xf numFmtId="0" fontId="0" fillId="0" borderId="8" xfId="0" applyBorder="1" applyAlignment="1">
      <alignment wrapText="1"/>
    </xf>
    <xf numFmtId="0" fontId="0" fillId="3" borderId="8" xfId="0" applyFill="1" applyBorder="1" applyAlignment="1">
      <alignment wrapText="1"/>
    </xf>
    <xf numFmtId="0" fontId="0" fillId="0" borderId="8" xfId="0" applyBorder="1"/>
    <xf numFmtId="0" fontId="24" fillId="0" borderId="1" xfId="0" applyFont="1" applyBorder="1" applyAlignment="1">
      <alignment vertical="center"/>
    </xf>
    <xf numFmtId="0" fontId="0" fillId="0" borderId="2" xfId="0"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189159</xdr:rowOff>
    </xdr:to>
    <xdr:pic>
      <xdr:nvPicPr>
        <xdr:cNvPr id="2" name="Picture 6" descr=".">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3" name="Picture 7" descr=".">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189159</xdr:rowOff>
    </xdr:to>
    <xdr:pic>
      <xdr:nvPicPr>
        <xdr:cNvPr id="4" name="Picture 8" descr=".">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5" name="Picture 9" descr=".">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189158</xdr:rowOff>
    </xdr:to>
    <xdr:pic>
      <xdr:nvPicPr>
        <xdr:cNvPr id="6" name="Picture 10" descr=".">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189161</xdr:rowOff>
    </xdr:to>
    <xdr:pic>
      <xdr:nvPicPr>
        <xdr:cNvPr id="7" name="Picture 11" desc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5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5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5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5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5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5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5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5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5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5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5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5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5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5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5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5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5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5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5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5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5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5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5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5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5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5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5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5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5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5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5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5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5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5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5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5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5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5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5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5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5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5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5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5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5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5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5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5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5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5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5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5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5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5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5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5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5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5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5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5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5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5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5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5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5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5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5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5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5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5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5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5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5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5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5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5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5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5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5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5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5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5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5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5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5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5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5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5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5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5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5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5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5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5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5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5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5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5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5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5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5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5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5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5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5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5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5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5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5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5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5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5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5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5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5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5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5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5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5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5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5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5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5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5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5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5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5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5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5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5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5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5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5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5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5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5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5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5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5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5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5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5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5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5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5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5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5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5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5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5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5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5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5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5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5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5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5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5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5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5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5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5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5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5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5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5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5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5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5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5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5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5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5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5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5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5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5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5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5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5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5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5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5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5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5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5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5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5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5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5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8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8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8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8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8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8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8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8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8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8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8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8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8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8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8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8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8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8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8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8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8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8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8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8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8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8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8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8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8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8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8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8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8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8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8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8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8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8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8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8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8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8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8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8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8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8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8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8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8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8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8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8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8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8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8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8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8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8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8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8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8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8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8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8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8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8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8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8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8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8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8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8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8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8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8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8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8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8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8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8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8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8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8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8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8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8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8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8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8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8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8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8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8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8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8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8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8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8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8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8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8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8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8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8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8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8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8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8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8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8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8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8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8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8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8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8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8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8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8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8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8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8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8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8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8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8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8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8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8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8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8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8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8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8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8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8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8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8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8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8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8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374650</xdr:colOff>
          <xdr:row>0</xdr:row>
          <xdr:rowOff>171450</xdr:rowOff>
        </xdr:from>
        <xdr:to>
          <xdr:col>5</xdr:col>
          <xdr:colOff>438150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E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E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E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E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E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E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E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E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E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E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E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E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E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E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E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E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E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E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E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E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E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E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E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E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E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E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E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E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E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E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E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E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E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E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E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E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E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E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E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E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E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E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E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E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E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E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E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E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E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E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E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E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E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E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E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E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E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E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E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E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E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E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E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E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E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E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E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E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E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E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E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E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E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E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E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E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E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E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E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E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E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E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E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E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E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E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E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E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E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E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E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E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E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E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E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E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E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E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E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E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E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E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E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E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E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E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E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E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E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E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E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E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E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E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E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E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E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E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E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E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E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E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E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E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E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E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E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E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E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E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E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E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E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E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E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E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E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E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E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E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E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E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E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E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E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E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E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E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E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E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E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E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E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E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E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E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E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E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E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E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E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E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E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E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E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E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E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E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E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E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E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E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E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E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E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E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E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E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E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E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E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E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E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E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E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E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E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E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E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E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E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E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E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E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E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E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E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E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E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E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E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E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E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E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E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E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E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E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E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E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E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E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E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E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E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E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E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E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E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E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E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E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E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E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E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E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E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E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E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E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E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E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E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E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E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E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E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E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E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E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E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E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E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E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E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E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E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E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E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E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E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E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E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E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E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E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E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E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E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E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E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E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E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E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E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E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E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E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E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E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E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E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E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E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E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E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E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E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E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000-00000108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1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1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1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1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1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1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1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1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1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1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1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1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1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1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1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1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1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1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1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1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1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1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1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1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1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1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1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1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1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1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1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1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1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1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1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1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1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1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1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1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1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1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1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1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1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1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1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1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1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1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1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1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1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1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1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1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1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1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1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1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1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1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1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1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1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1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1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1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1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1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1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1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1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1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1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1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1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1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1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1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1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1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1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1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1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1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1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1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1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1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1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1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1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1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1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1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1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1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1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1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1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1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1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1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1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1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1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1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1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1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1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1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1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1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1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1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1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1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1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1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1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1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1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1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1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1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1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1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1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1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1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1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1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1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1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1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1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1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1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1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1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1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1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1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1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1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1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1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1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1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1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1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1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1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1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1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1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1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1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1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1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1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1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1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1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1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1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1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1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1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1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1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1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1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1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1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1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1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1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1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1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1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1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1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1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1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1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1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1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1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1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1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1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1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1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1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1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1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1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1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1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1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1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1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1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1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1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1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1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1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1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1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1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1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1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1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1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1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1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1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1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1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1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1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1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1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1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1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1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1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1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1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1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1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1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1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1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1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1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1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1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1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1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1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1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1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1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1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1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1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1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1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1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1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19685</xdr:colOff>
      <xdr:row>19</xdr:row>
      <xdr:rowOff>399344</xdr:rowOff>
    </xdr:to>
    <xdr:pic>
      <xdr:nvPicPr>
        <xdr:cNvPr id="302" name="Picture 6" descr=".">
          <a:extLst>
            <a:ext uri="{FF2B5EF4-FFF2-40B4-BE49-F238E27FC236}">
              <a16:creationId xmlns:a16="http://schemas.microsoft.com/office/drawing/2014/main" id="{00000000-0008-0000-11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3" name="Picture 7" descr=".">
          <a:extLst>
            <a:ext uri="{FF2B5EF4-FFF2-40B4-BE49-F238E27FC236}">
              <a16:creationId xmlns:a16="http://schemas.microsoft.com/office/drawing/2014/main" id="{00000000-0008-0000-11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399344</xdr:rowOff>
    </xdr:to>
    <xdr:pic>
      <xdr:nvPicPr>
        <xdr:cNvPr id="304" name="Picture 8" descr=".">
          <a:extLst>
            <a:ext uri="{FF2B5EF4-FFF2-40B4-BE49-F238E27FC236}">
              <a16:creationId xmlns:a16="http://schemas.microsoft.com/office/drawing/2014/main" id="{00000000-0008-0000-11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5" name="Picture 9" descr=".">
          <a:extLst>
            <a:ext uri="{FF2B5EF4-FFF2-40B4-BE49-F238E27FC236}">
              <a16:creationId xmlns:a16="http://schemas.microsoft.com/office/drawing/2014/main" id="{00000000-0008-0000-11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399343</xdr:rowOff>
    </xdr:to>
    <xdr:pic>
      <xdr:nvPicPr>
        <xdr:cNvPr id="306" name="Picture 10" descr=".">
          <a:extLst>
            <a:ext uri="{FF2B5EF4-FFF2-40B4-BE49-F238E27FC236}">
              <a16:creationId xmlns:a16="http://schemas.microsoft.com/office/drawing/2014/main" id="{00000000-0008-0000-11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399346</xdr:rowOff>
    </xdr:to>
    <xdr:pic>
      <xdr:nvPicPr>
        <xdr:cNvPr id="307" name="Picture 11" descr=".">
          <a:extLst>
            <a:ext uri="{FF2B5EF4-FFF2-40B4-BE49-F238E27FC236}">
              <a16:creationId xmlns:a16="http://schemas.microsoft.com/office/drawing/2014/main" id="{00000000-0008-0000-11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308" name="Picture 6" descr=".">
          <a:extLst>
            <a:ext uri="{FF2B5EF4-FFF2-40B4-BE49-F238E27FC236}">
              <a16:creationId xmlns:a16="http://schemas.microsoft.com/office/drawing/2014/main" id="{00000000-0008-0000-11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09" name="Picture 7" descr=".">
          <a:extLst>
            <a:ext uri="{FF2B5EF4-FFF2-40B4-BE49-F238E27FC236}">
              <a16:creationId xmlns:a16="http://schemas.microsoft.com/office/drawing/2014/main" id="{00000000-0008-0000-11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10" name="Picture 8" descr=".">
          <a:extLst>
            <a:ext uri="{FF2B5EF4-FFF2-40B4-BE49-F238E27FC236}">
              <a16:creationId xmlns:a16="http://schemas.microsoft.com/office/drawing/2014/main" id="{00000000-0008-0000-11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11" name="Picture 9" descr=".">
          <a:extLst>
            <a:ext uri="{FF2B5EF4-FFF2-40B4-BE49-F238E27FC236}">
              <a16:creationId xmlns:a16="http://schemas.microsoft.com/office/drawing/2014/main" id="{00000000-0008-0000-11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12" name="Picture 10" descr=".">
          <a:extLst>
            <a:ext uri="{FF2B5EF4-FFF2-40B4-BE49-F238E27FC236}">
              <a16:creationId xmlns:a16="http://schemas.microsoft.com/office/drawing/2014/main" id="{00000000-0008-0000-11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13" name="Picture 11" descr=".">
          <a:extLst>
            <a:ext uri="{FF2B5EF4-FFF2-40B4-BE49-F238E27FC236}">
              <a16:creationId xmlns:a16="http://schemas.microsoft.com/office/drawing/2014/main" id="{00000000-0008-0000-11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4" name="Picture 6" descr=".">
          <a:extLst>
            <a:ext uri="{FF2B5EF4-FFF2-40B4-BE49-F238E27FC236}">
              <a16:creationId xmlns:a16="http://schemas.microsoft.com/office/drawing/2014/main" id="{00000000-0008-0000-11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5" name="Picture 7" descr=".">
          <a:extLst>
            <a:ext uri="{FF2B5EF4-FFF2-40B4-BE49-F238E27FC236}">
              <a16:creationId xmlns:a16="http://schemas.microsoft.com/office/drawing/2014/main" id="{00000000-0008-0000-11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6" name="Picture 8" descr=".">
          <a:extLst>
            <a:ext uri="{FF2B5EF4-FFF2-40B4-BE49-F238E27FC236}">
              <a16:creationId xmlns:a16="http://schemas.microsoft.com/office/drawing/2014/main" id="{00000000-0008-0000-11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7" name="Picture 9" descr=".">
          <a:extLst>
            <a:ext uri="{FF2B5EF4-FFF2-40B4-BE49-F238E27FC236}">
              <a16:creationId xmlns:a16="http://schemas.microsoft.com/office/drawing/2014/main" id="{00000000-0008-0000-11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18" name="Picture 10" descr=".">
          <a:extLst>
            <a:ext uri="{FF2B5EF4-FFF2-40B4-BE49-F238E27FC236}">
              <a16:creationId xmlns:a16="http://schemas.microsoft.com/office/drawing/2014/main" id="{00000000-0008-0000-11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9" name="Picture 11" descr=".">
          <a:extLst>
            <a:ext uri="{FF2B5EF4-FFF2-40B4-BE49-F238E27FC236}">
              <a16:creationId xmlns:a16="http://schemas.microsoft.com/office/drawing/2014/main" id="{00000000-0008-0000-11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0" name="Picture 6" descr=".">
          <a:extLst>
            <a:ext uri="{FF2B5EF4-FFF2-40B4-BE49-F238E27FC236}">
              <a16:creationId xmlns:a16="http://schemas.microsoft.com/office/drawing/2014/main" id="{00000000-0008-0000-11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1" name="Picture 7" descr=".">
          <a:extLst>
            <a:ext uri="{FF2B5EF4-FFF2-40B4-BE49-F238E27FC236}">
              <a16:creationId xmlns:a16="http://schemas.microsoft.com/office/drawing/2014/main" id="{00000000-0008-0000-11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2" name="Picture 8" descr=".">
          <a:extLst>
            <a:ext uri="{FF2B5EF4-FFF2-40B4-BE49-F238E27FC236}">
              <a16:creationId xmlns:a16="http://schemas.microsoft.com/office/drawing/2014/main" id="{00000000-0008-0000-11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3" name="Picture 9" descr=".">
          <a:extLst>
            <a:ext uri="{FF2B5EF4-FFF2-40B4-BE49-F238E27FC236}">
              <a16:creationId xmlns:a16="http://schemas.microsoft.com/office/drawing/2014/main" id="{00000000-0008-0000-11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24" name="Picture 10" descr=".">
          <a:extLst>
            <a:ext uri="{FF2B5EF4-FFF2-40B4-BE49-F238E27FC236}">
              <a16:creationId xmlns:a16="http://schemas.microsoft.com/office/drawing/2014/main" id="{00000000-0008-0000-11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25" name="Picture 11" descr=".">
          <a:extLst>
            <a:ext uri="{FF2B5EF4-FFF2-40B4-BE49-F238E27FC236}">
              <a16:creationId xmlns:a16="http://schemas.microsoft.com/office/drawing/2014/main" id="{00000000-0008-0000-11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6" name="Picture 6" descr=".">
          <a:extLst>
            <a:ext uri="{FF2B5EF4-FFF2-40B4-BE49-F238E27FC236}">
              <a16:creationId xmlns:a16="http://schemas.microsoft.com/office/drawing/2014/main" id="{00000000-0008-0000-11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7" name="Picture 7" descr=".">
          <a:extLst>
            <a:ext uri="{FF2B5EF4-FFF2-40B4-BE49-F238E27FC236}">
              <a16:creationId xmlns:a16="http://schemas.microsoft.com/office/drawing/2014/main" id="{00000000-0008-0000-11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8" name="Picture 8" descr=".">
          <a:extLst>
            <a:ext uri="{FF2B5EF4-FFF2-40B4-BE49-F238E27FC236}">
              <a16:creationId xmlns:a16="http://schemas.microsoft.com/office/drawing/2014/main" id="{00000000-0008-0000-11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9" name="Picture 9" descr=".">
          <a:extLst>
            <a:ext uri="{FF2B5EF4-FFF2-40B4-BE49-F238E27FC236}">
              <a16:creationId xmlns:a16="http://schemas.microsoft.com/office/drawing/2014/main" id="{00000000-0008-0000-11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30" name="Picture 10" descr=".">
          <a:extLst>
            <a:ext uri="{FF2B5EF4-FFF2-40B4-BE49-F238E27FC236}">
              <a16:creationId xmlns:a16="http://schemas.microsoft.com/office/drawing/2014/main" id="{00000000-0008-0000-11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31" name="Picture 11" descr=".">
          <a:extLst>
            <a:ext uri="{FF2B5EF4-FFF2-40B4-BE49-F238E27FC236}">
              <a16:creationId xmlns:a16="http://schemas.microsoft.com/office/drawing/2014/main" id="{00000000-0008-0000-11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17780</xdr:colOff>
      <xdr:row>19</xdr:row>
      <xdr:rowOff>208844</xdr:rowOff>
    </xdr:to>
    <xdr:pic>
      <xdr:nvPicPr>
        <xdr:cNvPr id="332" name="Picture 6" descr=".">
          <a:extLst>
            <a:ext uri="{FF2B5EF4-FFF2-40B4-BE49-F238E27FC236}">
              <a16:creationId xmlns:a16="http://schemas.microsoft.com/office/drawing/2014/main" id="{00000000-0008-0000-11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3" name="Picture 7" descr=".">
          <a:extLst>
            <a:ext uri="{FF2B5EF4-FFF2-40B4-BE49-F238E27FC236}">
              <a16:creationId xmlns:a16="http://schemas.microsoft.com/office/drawing/2014/main" id="{00000000-0008-0000-11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208844</xdr:rowOff>
    </xdr:to>
    <xdr:pic>
      <xdr:nvPicPr>
        <xdr:cNvPr id="334" name="Picture 8" descr=".">
          <a:extLst>
            <a:ext uri="{FF2B5EF4-FFF2-40B4-BE49-F238E27FC236}">
              <a16:creationId xmlns:a16="http://schemas.microsoft.com/office/drawing/2014/main" id="{00000000-0008-0000-11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5" name="Picture 9" descr=".">
          <a:extLst>
            <a:ext uri="{FF2B5EF4-FFF2-40B4-BE49-F238E27FC236}">
              <a16:creationId xmlns:a16="http://schemas.microsoft.com/office/drawing/2014/main" id="{00000000-0008-0000-11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208843</xdr:rowOff>
    </xdr:to>
    <xdr:pic>
      <xdr:nvPicPr>
        <xdr:cNvPr id="336" name="Picture 10" descr=".">
          <a:extLst>
            <a:ext uri="{FF2B5EF4-FFF2-40B4-BE49-F238E27FC236}">
              <a16:creationId xmlns:a16="http://schemas.microsoft.com/office/drawing/2014/main" id="{00000000-0008-0000-11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208846</xdr:rowOff>
    </xdr:to>
    <xdr:pic>
      <xdr:nvPicPr>
        <xdr:cNvPr id="337" name="Picture 11" descr=".">
          <a:extLst>
            <a:ext uri="{FF2B5EF4-FFF2-40B4-BE49-F238E27FC236}">
              <a16:creationId xmlns:a16="http://schemas.microsoft.com/office/drawing/2014/main" id="{00000000-0008-0000-11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38" name="Picture 6" descr=".">
          <a:extLst>
            <a:ext uri="{FF2B5EF4-FFF2-40B4-BE49-F238E27FC236}">
              <a16:creationId xmlns:a16="http://schemas.microsoft.com/office/drawing/2014/main" id="{00000000-0008-0000-11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39" name="Picture 7" descr=".">
          <a:extLst>
            <a:ext uri="{FF2B5EF4-FFF2-40B4-BE49-F238E27FC236}">
              <a16:creationId xmlns:a16="http://schemas.microsoft.com/office/drawing/2014/main" id="{00000000-0008-0000-11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40" name="Picture 8" descr=".">
          <a:extLst>
            <a:ext uri="{FF2B5EF4-FFF2-40B4-BE49-F238E27FC236}">
              <a16:creationId xmlns:a16="http://schemas.microsoft.com/office/drawing/2014/main" id="{00000000-0008-0000-11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41" name="Picture 9" descr=".">
          <a:extLst>
            <a:ext uri="{FF2B5EF4-FFF2-40B4-BE49-F238E27FC236}">
              <a16:creationId xmlns:a16="http://schemas.microsoft.com/office/drawing/2014/main" id="{00000000-0008-0000-11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42" name="Picture 10" descr=".">
          <a:extLst>
            <a:ext uri="{FF2B5EF4-FFF2-40B4-BE49-F238E27FC236}">
              <a16:creationId xmlns:a16="http://schemas.microsoft.com/office/drawing/2014/main" id="{00000000-0008-0000-11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43" name="Picture 11" descr=".">
          <a:extLst>
            <a:ext uri="{FF2B5EF4-FFF2-40B4-BE49-F238E27FC236}">
              <a16:creationId xmlns:a16="http://schemas.microsoft.com/office/drawing/2014/main" id="{00000000-0008-0000-11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4" name="Picture 6" descr=".">
          <a:extLst>
            <a:ext uri="{FF2B5EF4-FFF2-40B4-BE49-F238E27FC236}">
              <a16:creationId xmlns:a16="http://schemas.microsoft.com/office/drawing/2014/main" id="{00000000-0008-0000-11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5" name="Picture 7" descr=".">
          <a:extLst>
            <a:ext uri="{FF2B5EF4-FFF2-40B4-BE49-F238E27FC236}">
              <a16:creationId xmlns:a16="http://schemas.microsoft.com/office/drawing/2014/main" id="{00000000-0008-0000-11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6" name="Picture 8" descr=".">
          <a:extLst>
            <a:ext uri="{FF2B5EF4-FFF2-40B4-BE49-F238E27FC236}">
              <a16:creationId xmlns:a16="http://schemas.microsoft.com/office/drawing/2014/main" id="{00000000-0008-0000-11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7" name="Picture 9" descr=".">
          <a:extLst>
            <a:ext uri="{FF2B5EF4-FFF2-40B4-BE49-F238E27FC236}">
              <a16:creationId xmlns:a16="http://schemas.microsoft.com/office/drawing/2014/main" id="{00000000-0008-0000-11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48" name="Picture 10" descr=".">
          <a:extLst>
            <a:ext uri="{FF2B5EF4-FFF2-40B4-BE49-F238E27FC236}">
              <a16:creationId xmlns:a16="http://schemas.microsoft.com/office/drawing/2014/main" id="{00000000-0008-0000-11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49" name="Picture 11" descr=".">
          <a:extLst>
            <a:ext uri="{FF2B5EF4-FFF2-40B4-BE49-F238E27FC236}">
              <a16:creationId xmlns:a16="http://schemas.microsoft.com/office/drawing/2014/main" id="{00000000-0008-0000-11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0" name="Picture 6" descr=".">
          <a:extLst>
            <a:ext uri="{FF2B5EF4-FFF2-40B4-BE49-F238E27FC236}">
              <a16:creationId xmlns:a16="http://schemas.microsoft.com/office/drawing/2014/main" id="{00000000-0008-0000-11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1" name="Picture 7" descr=".">
          <a:extLst>
            <a:ext uri="{FF2B5EF4-FFF2-40B4-BE49-F238E27FC236}">
              <a16:creationId xmlns:a16="http://schemas.microsoft.com/office/drawing/2014/main" id="{00000000-0008-0000-11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2" name="Picture 8" descr=".">
          <a:extLst>
            <a:ext uri="{FF2B5EF4-FFF2-40B4-BE49-F238E27FC236}">
              <a16:creationId xmlns:a16="http://schemas.microsoft.com/office/drawing/2014/main" id="{00000000-0008-0000-11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3" name="Picture 9" descr=".">
          <a:extLst>
            <a:ext uri="{FF2B5EF4-FFF2-40B4-BE49-F238E27FC236}">
              <a16:creationId xmlns:a16="http://schemas.microsoft.com/office/drawing/2014/main" id="{00000000-0008-0000-11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54" name="Picture 10" descr=".">
          <a:extLst>
            <a:ext uri="{FF2B5EF4-FFF2-40B4-BE49-F238E27FC236}">
              <a16:creationId xmlns:a16="http://schemas.microsoft.com/office/drawing/2014/main" id="{00000000-0008-0000-11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55" name="Picture 11" descr=".">
          <a:extLst>
            <a:ext uri="{FF2B5EF4-FFF2-40B4-BE49-F238E27FC236}">
              <a16:creationId xmlns:a16="http://schemas.microsoft.com/office/drawing/2014/main" id="{00000000-0008-0000-11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6" name="Picture 6" descr=".">
          <a:extLst>
            <a:ext uri="{FF2B5EF4-FFF2-40B4-BE49-F238E27FC236}">
              <a16:creationId xmlns:a16="http://schemas.microsoft.com/office/drawing/2014/main" id="{00000000-0008-0000-11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7" name="Picture 7" descr=".">
          <a:extLst>
            <a:ext uri="{FF2B5EF4-FFF2-40B4-BE49-F238E27FC236}">
              <a16:creationId xmlns:a16="http://schemas.microsoft.com/office/drawing/2014/main" id="{00000000-0008-0000-11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8" name="Picture 8" descr=".">
          <a:extLst>
            <a:ext uri="{FF2B5EF4-FFF2-40B4-BE49-F238E27FC236}">
              <a16:creationId xmlns:a16="http://schemas.microsoft.com/office/drawing/2014/main" id="{00000000-0008-0000-11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9" name="Picture 9" descr=".">
          <a:extLst>
            <a:ext uri="{FF2B5EF4-FFF2-40B4-BE49-F238E27FC236}">
              <a16:creationId xmlns:a16="http://schemas.microsoft.com/office/drawing/2014/main" id="{00000000-0008-0000-11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0" name="Picture 10" descr=".">
          <a:extLst>
            <a:ext uri="{FF2B5EF4-FFF2-40B4-BE49-F238E27FC236}">
              <a16:creationId xmlns:a16="http://schemas.microsoft.com/office/drawing/2014/main" id="{00000000-0008-0000-11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1" name="Picture 11" descr=".">
          <a:extLst>
            <a:ext uri="{FF2B5EF4-FFF2-40B4-BE49-F238E27FC236}">
              <a16:creationId xmlns:a16="http://schemas.microsoft.com/office/drawing/2014/main" id="{00000000-0008-0000-11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2" name="Picture 6" descr=".">
          <a:extLst>
            <a:ext uri="{FF2B5EF4-FFF2-40B4-BE49-F238E27FC236}">
              <a16:creationId xmlns:a16="http://schemas.microsoft.com/office/drawing/2014/main" id="{00000000-0008-0000-11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3" name="Picture 7" descr=".">
          <a:extLst>
            <a:ext uri="{FF2B5EF4-FFF2-40B4-BE49-F238E27FC236}">
              <a16:creationId xmlns:a16="http://schemas.microsoft.com/office/drawing/2014/main" id="{00000000-0008-0000-11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4" name="Picture 8" descr=".">
          <a:extLst>
            <a:ext uri="{FF2B5EF4-FFF2-40B4-BE49-F238E27FC236}">
              <a16:creationId xmlns:a16="http://schemas.microsoft.com/office/drawing/2014/main" id="{00000000-0008-0000-11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5" name="Picture 9" descr=".">
          <a:extLst>
            <a:ext uri="{FF2B5EF4-FFF2-40B4-BE49-F238E27FC236}">
              <a16:creationId xmlns:a16="http://schemas.microsoft.com/office/drawing/2014/main" id="{00000000-0008-0000-11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6" name="Picture 10" descr=".">
          <a:extLst>
            <a:ext uri="{FF2B5EF4-FFF2-40B4-BE49-F238E27FC236}">
              <a16:creationId xmlns:a16="http://schemas.microsoft.com/office/drawing/2014/main" id="{00000000-0008-0000-11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7" name="Picture 11" descr=".">
          <a:extLst>
            <a:ext uri="{FF2B5EF4-FFF2-40B4-BE49-F238E27FC236}">
              <a16:creationId xmlns:a16="http://schemas.microsoft.com/office/drawing/2014/main" id="{00000000-0008-0000-11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8" name="Picture 6" descr=".">
          <a:extLst>
            <a:ext uri="{FF2B5EF4-FFF2-40B4-BE49-F238E27FC236}">
              <a16:creationId xmlns:a16="http://schemas.microsoft.com/office/drawing/2014/main" id="{00000000-0008-0000-11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9" name="Picture 7" descr=".">
          <a:extLst>
            <a:ext uri="{FF2B5EF4-FFF2-40B4-BE49-F238E27FC236}">
              <a16:creationId xmlns:a16="http://schemas.microsoft.com/office/drawing/2014/main" id="{00000000-0008-0000-11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0" name="Picture 8" descr=".">
          <a:extLst>
            <a:ext uri="{FF2B5EF4-FFF2-40B4-BE49-F238E27FC236}">
              <a16:creationId xmlns:a16="http://schemas.microsoft.com/office/drawing/2014/main" id="{00000000-0008-0000-11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1" name="Picture 9" descr=".">
          <a:extLst>
            <a:ext uri="{FF2B5EF4-FFF2-40B4-BE49-F238E27FC236}">
              <a16:creationId xmlns:a16="http://schemas.microsoft.com/office/drawing/2014/main" id="{00000000-0008-0000-11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2" name="Picture 10" descr=".">
          <a:extLst>
            <a:ext uri="{FF2B5EF4-FFF2-40B4-BE49-F238E27FC236}">
              <a16:creationId xmlns:a16="http://schemas.microsoft.com/office/drawing/2014/main" id="{00000000-0008-0000-11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3" name="Picture 11" descr=".">
          <a:extLst>
            <a:ext uri="{FF2B5EF4-FFF2-40B4-BE49-F238E27FC236}">
              <a16:creationId xmlns:a16="http://schemas.microsoft.com/office/drawing/2014/main" id="{00000000-0008-0000-11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4" name="Picture 6" descr=".">
          <a:extLst>
            <a:ext uri="{FF2B5EF4-FFF2-40B4-BE49-F238E27FC236}">
              <a16:creationId xmlns:a16="http://schemas.microsoft.com/office/drawing/2014/main" id="{00000000-0008-0000-11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5" name="Picture 7" descr=".">
          <a:extLst>
            <a:ext uri="{FF2B5EF4-FFF2-40B4-BE49-F238E27FC236}">
              <a16:creationId xmlns:a16="http://schemas.microsoft.com/office/drawing/2014/main" id="{00000000-0008-0000-11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6" name="Picture 8" descr=".">
          <a:extLst>
            <a:ext uri="{FF2B5EF4-FFF2-40B4-BE49-F238E27FC236}">
              <a16:creationId xmlns:a16="http://schemas.microsoft.com/office/drawing/2014/main" id="{00000000-0008-0000-11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7" name="Picture 9" descr=".">
          <a:extLst>
            <a:ext uri="{FF2B5EF4-FFF2-40B4-BE49-F238E27FC236}">
              <a16:creationId xmlns:a16="http://schemas.microsoft.com/office/drawing/2014/main" id="{00000000-0008-0000-11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8" name="Picture 10" descr=".">
          <a:extLst>
            <a:ext uri="{FF2B5EF4-FFF2-40B4-BE49-F238E27FC236}">
              <a16:creationId xmlns:a16="http://schemas.microsoft.com/office/drawing/2014/main" id="{00000000-0008-0000-11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9" name="Picture 11" descr=".">
          <a:extLst>
            <a:ext uri="{FF2B5EF4-FFF2-40B4-BE49-F238E27FC236}">
              <a16:creationId xmlns:a16="http://schemas.microsoft.com/office/drawing/2014/main" id="{00000000-0008-0000-11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0" name="Picture 6" descr=".">
          <a:extLst>
            <a:ext uri="{FF2B5EF4-FFF2-40B4-BE49-F238E27FC236}">
              <a16:creationId xmlns:a16="http://schemas.microsoft.com/office/drawing/2014/main" id="{00000000-0008-0000-11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1" name="Picture 7" descr=".">
          <a:extLst>
            <a:ext uri="{FF2B5EF4-FFF2-40B4-BE49-F238E27FC236}">
              <a16:creationId xmlns:a16="http://schemas.microsoft.com/office/drawing/2014/main" id="{00000000-0008-0000-11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2" name="Picture 8" descr=".">
          <a:extLst>
            <a:ext uri="{FF2B5EF4-FFF2-40B4-BE49-F238E27FC236}">
              <a16:creationId xmlns:a16="http://schemas.microsoft.com/office/drawing/2014/main" id="{00000000-0008-0000-11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3" name="Picture 9" descr=".">
          <a:extLst>
            <a:ext uri="{FF2B5EF4-FFF2-40B4-BE49-F238E27FC236}">
              <a16:creationId xmlns:a16="http://schemas.microsoft.com/office/drawing/2014/main" id="{00000000-0008-0000-11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84" name="Picture 10" descr=".">
          <a:extLst>
            <a:ext uri="{FF2B5EF4-FFF2-40B4-BE49-F238E27FC236}">
              <a16:creationId xmlns:a16="http://schemas.microsoft.com/office/drawing/2014/main" id="{00000000-0008-0000-11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85" name="Picture 11" descr=".">
          <a:extLst>
            <a:ext uri="{FF2B5EF4-FFF2-40B4-BE49-F238E27FC236}">
              <a16:creationId xmlns:a16="http://schemas.microsoft.com/office/drawing/2014/main" id="{00000000-0008-0000-11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6" name="Picture 6" descr=".">
          <a:extLst>
            <a:ext uri="{FF2B5EF4-FFF2-40B4-BE49-F238E27FC236}">
              <a16:creationId xmlns:a16="http://schemas.microsoft.com/office/drawing/2014/main" id="{00000000-0008-0000-11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7" name="Picture 7" descr=".">
          <a:extLst>
            <a:ext uri="{FF2B5EF4-FFF2-40B4-BE49-F238E27FC236}">
              <a16:creationId xmlns:a16="http://schemas.microsoft.com/office/drawing/2014/main" id="{00000000-0008-0000-11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8" name="Picture 8" descr=".">
          <a:extLst>
            <a:ext uri="{FF2B5EF4-FFF2-40B4-BE49-F238E27FC236}">
              <a16:creationId xmlns:a16="http://schemas.microsoft.com/office/drawing/2014/main" id="{00000000-0008-0000-11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9" name="Picture 9" descr=".">
          <a:extLst>
            <a:ext uri="{FF2B5EF4-FFF2-40B4-BE49-F238E27FC236}">
              <a16:creationId xmlns:a16="http://schemas.microsoft.com/office/drawing/2014/main" id="{00000000-0008-0000-11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0" name="Picture 10" descr=".">
          <a:extLst>
            <a:ext uri="{FF2B5EF4-FFF2-40B4-BE49-F238E27FC236}">
              <a16:creationId xmlns:a16="http://schemas.microsoft.com/office/drawing/2014/main" id="{00000000-0008-0000-11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1" name="Picture 11" descr=".">
          <a:extLst>
            <a:ext uri="{FF2B5EF4-FFF2-40B4-BE49-F238E27FC236}">
              <a16:creationId xmlns:a16="http://schemas.microsoft.com/office/drawing/2014/main" id="{00000000-0008-0000-11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2" name="Picture 6" descr=".">
          <a:extLst>
            <a:ext uri="{FF2B5EF4-FFF2-40B4-BE49-F238E27FC236}">
              <a16:creationId xmlns:a16="http://schemas.microsoft.com/office/drawing/2014/main" id="{00000000-0008-0000-11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3" name="Picture 7" descr=".">
          <a:extLst>
            <a:ext uri="{FF2B5EF4-FFF2-40B4-BE49-F238E27FC236}">
              <a16:creationId xmlns:a16="http://schemas.microsoft.com/office/drawing/2014/main" id="{00000000-0008-0000-11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4" name="Picture 8" descr=".">
          <a:extLst>
            <a:ext uri="{FF2B5EF4-FFF2-40B4-BE49-F238E27FC236}">
              <a16:creationId xmlns:a16="http://schemas.microsoft.com/office/drawing/2014/main" id="{00000000-0008-0000-11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5" name="Picture 9" descr=".">
          <a:extLst>
            <a:ext uri="{FF2B5EF4-FFF2-40B4-BE49-F238E27FC236}">
              <a16:creationId xmlns:a16="http://schemas.microsoft.com/office/drawing/2014/main" id="{00000000-0008-0000-11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6" name="Picture 10" descr=".">
          <a:extLst>
            <a:ext uri="{FF2B5EF4-FFF2-40B4-BE49-F238E27FC236}">
              <a16:creationId xmlns:a16="http://schemas.microsoft.com/office/drawing/2014/main" id="{00000000-0008-0000-11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7" name="Picture 11" descr=".">
          <a:extLst>
            <a:ext uri="{FF2B5EF4-FFF2-40B4-BE49-F238E27FC236}">
              <a16:creationId xmlns:a16="http://schemas.microsoft.com/office/drawing/2014/main" id="{00000000-0008-0000-11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8" name="Picture 6" descr=".">
          <a:extLst>
            <a:ext uri="{FF2B5EF4-FFF2-40B4-BE49-F238E27FC236}">
              <a16:creationId xmlns:a16="http://schemas.microsoft.com/office/drawing/2014/main" id="{00000000-0008-0000-11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9" name="Picture 7" descr=".">
          <a:extLst>
            <a:ext uri="{FF2B5EF4-FFF2-40B4-BE49-F238E27FC236}">
              <a16:creationId xmlns:a16="http://schemas.microsoft.com/office/drawing/2014/main" id="{00000000-0008-0000-11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0" name="Picture 8" descr=".">
          <a:extLst>
            <a:ext uri="{FF2B5EF4-FFF2-40B4-BE49-F238E27FC236}">
              <a16:creationId xmlns:a16="http://schemas.microsoft.com/office/drawing/2014/main" id="{00000000-0008-0000-11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1" name="Picture 9" descr=".">
          <a:extLst>
            <a:ext uri="{FF2B5EF4-FFF2-40B4-BE49-F238E27FC236}">
              <a16:creationId xmlns:a16="http://schemas.microsoft.com/office/drawing/2014/main" id="{00000000-0008-0000-11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2" name="Picture 10" descr=".">
          <a:extLst>
            <a:ext uri="{FF2B5EF4-FFF2-40B4-BE49-F238E27FC236}">
              <a16:creationId xmlns:a16="http://schemas.microsoft.com/office/drawing/2014/main" id="{00000000-0008-0000-11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3" name="Picture 11" descr=".">
          <a:extLst>
            <a:ext uri="{FF2B5EF4-FFF2-40B4-BE49-F238E27FC236}">
              <a16:creationId xmlns:a16="http://schemas.microsoft.com/office/drawing/2014/main" id="{00000000-0008-0000-11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4" name="Picture 6" descr=".">
          <a:extLst>
            <a:ext uri="{FF2B5EF4-FFF2-40B4-BE49-F238E27FC236}">
              <a16:creationId xmlns:a16="http://schemas.microsoft.com/office/drawing/2014/main" id="{00000000-0008-0000-11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5" name="Picture 7" descr=".">
          <a:extLst>
            <a:ext uri="{FF2B5EF4-FFF2-40B4-BE49-F238E27FC236}">
              <a16:creationId xmlns:a16="http://schemas.microsoft.com/office/drawing/2014/main" id="{00000000-0008-0000-11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6" name="Picture 8" descr=".">
          <a:extLst>
            <a:ext uri="{FF2B5EF4-FFF2-40B4-BE49-F238E27FC236}">
              <a16:creationId xmlns:a16="http://schemas.microsoft.com/office/drawing/2014/main" id="{00000000-0008-0000-11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7" name="Picture 9" descr=".">
          <a:extLst>
            <a:ext uri="{FF2B5EF4-FFF2-40B4-BE49-F238E27FC236}">
              <a16:creationId xmlns:a16="http://schemas.microsoft.com/office/drawing/2014/main" id="{00000000-0008-0000-11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8" name="Picture 10" descr=".">
          <a:extLst>
            <a:ext uri="{FF2B5EF4-FFF2-40B4-BE49-F238E27FC236}">
              <a16:creationId xmlns:a16="http://schemas.microsoft.com/office/drawing/2014/main" id="{00000000-0008-0000-11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9" name="Picture 11" descr=".">
          <a:extLst>
            <a:ext uri="{FF2B5EF4-FFF2-40B4-BE49-F238E27FC236}">
              <a16:creationId xmlns:a16="http://schemas.microsoft.com/office/drawing/2014/main" id="{00000000-0008-0000-11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0" name="Picture 6" descr=".">
          <a:extLst>
            <a:ext uri="{FF2B5EF4-FFF2-40B4-BE49-F238E27FC236}">
              <a16:creationId xmlns:a16="http://schemas.microsoft.com/office/drawing/2014/main" id="{00000000-0008-0000-11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1" name="Picture 7" descr=".">
          <a:extLst>
            <a:ext uri="{FF2B5EF4-FFF2-40B4-BE49-F238E27FC236}">
              <a16:creationId xmlns:a16="http://schemas.microsoft.com/office/drawing/2014/main" id="{00000000-0008-0000-11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2" name="Picture 8" descr=".">
          <a:extLst>
            <a:ext uri="{FF2B5EF4-FFF2-40B4-BE49-F238E27FC236}">
              <a16:creationId xmlns:a16="http://schemas.microsoft.com/office/drawing/2014/main" id="{00000000-0008-0000-11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3" name="Picture 9" descr=".">
          <a:extLst>
            <a:ext uri="{FF2B5EF4-FFF2-40B4-BE49-F238E27FC236}">
              <a16:creationId xmlns:a16="http://schemas.microsoft.com/office/drawing/2014/main" id="{00000000-0008-0000-11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14" name="Picture 10" descr=".">
          <a:extLst>
            <a:ext uri="{FF2B5EF4-FFF2-40B4-BE49-F238E27FC236}">
              <a16:creationId xmlns:a16="http://schemas.microsoft.com/office/drawing/2014/main" id="{00000000-0008-0000-11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15" name="Picture 11" descr=".">
          <a:extLst>
            <a:ext uri="{FF2B5EF4-FFF2-40B4-BE49-F238E27FC236}">
              <a16:creationId xmlns:a16="http://schemas.microsoft.com/office/drawing/2014/main" id="{00000000-0008-0000-11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6" name="Picture 6" descr=".">
          <a:extLst>
            <a:ext uri="{FF2B5EF4-FFF2-40B4-BE49-F238E27FC236}">
              <a16:creationId xmlns:a16="http://schemas.microsoft.com/office/drawing/2014/main" id="{00000000-0008-0000-11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7" name="Picture 7" descr=".">
          <a:extLst>
            <a:ext uri="{FF2B5EF4-FFF2-40B4-BE49-F238E27FC236}">
              <a16:creationId xmlns:a16="http://schemas.microsoft.com/office/drawing/2014/main" id="{00000000-0008-0000-11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8" name="Picture 8" descr=".">
          <a:extLst>
            <a:ext uri="{FF2B5EF4-FFF2-40B4-BE49-F238E27FC236}">
              <a16:creationId xmlns:a16="http://schemas.microsoft.com/office/drawing/2014/main" id="{00000000-0008-0000-11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9" name="Picture 9" descr=".">
          <a:extLst>
            <a:ext uri="{FF2B5EF4-FFF2-40B4-BE49-F238E27FC236}">
              <a16:creationId xmlns:a16="http://schemas.microsoft.com/office/drawing/2014/main" id="{00000000-0008-0000-11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0" name="Picture 10" descr=".">
          <a:extLst>
            <a:ext uri="{FF2B5EF4-FFF2-40B4-BE49-F238E27FC236}">
              <a16:creationId xmlns:a16="http://schemas.microsoft.com/office/drawing/2014/main" id="{00000000-0008-0000-11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1" name="Picture 11" descr=".">
          <a:extLst>
            <a:ext uri="{FF2B5EF4-FFF2-40B4-BE49-F238E27FC236}">
              <a16:creationId xmlns:a16="http://schemas.microsoft.com/office/drawing/2014/main" id="{00000000-0008-0000-11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2" name="Picture 6" descr=".">
          <a:extLst>
            <a:ext uri="{FF2B5EF4-FFF2-40B4-BE49-F238E27FC236}">
              <a16:creationId xmlns:a16="http://schemas.microsoft.com/office/drawing/2014/main" id="{00000000-0008-0000-11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3" name="Picture 7" descr=".">
          <a:extLst>
            <a:ext uri="{FF2B5EF4-FFF2-40B4-BE49-F238E27FC236}">
              <a16:creationId xmlns:a16="http://schemas.microsoft.com/office/drawing/2014/main" id="{00000000-0008-0000-11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4" name="Picture 8" descr=".">
          <a:extLst>
            <a:ext uri="{FF2B5EF4-FFF2-40B4-BE49-F238E27FC236}">
              <a16:creationId xmlns:a16="http://schemas.microsoft.com/office/drawing/2014/main" id="{00000000-0008-0000-11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5" name="Picture 9" descr=".">
          <a:extLst>
            <a:ext uri="{FF2B5EF4-FFF2-40B4-BE49-F238E27FC236}">
              <a16:creationId xmlns:a16="http://schemas.microsoft.com/office/drawing/2014/main" id="{00000000-0008-0000-11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6" name="Picture 10" descr=".">
          <a:extLst>
            <a:ext uri="{FF2B5EF4-FFF2-40B4-BE49-F238E27FC236}">
              <a16:creationId xmlns:a16="http://schemas.microsoft.com/office/drawing/2014/main" id="{00000000-0008-0000-11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7" name="Picture 11" descr=".">
          <a:extLst>
            <a:ext uri="{FF2B5EF4-FFF2-40B4-BE49-F238E27FC236}">
              <a16:creationId xmlns:a16="http://schemas.microsoft.com/office/drawing/2014/main" id="{00000000-0008-0000-11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8" name="Picture 6" descr=".">
          <a:extLst>
            <a:ext uri="{FF2B5EF4-FFF2-40B4-BE49-F238E27FC236}">
              <a16:creationId xmlns:a16="http://schemas.microsoft.com/office/drawing/2014/main" id="{00000000-0008-0000-11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9" name="Picture 7" descr=".">
          <a:extLst>
            <a:ext uri="{FF2B5EF4-FFF2-40B4-BE49-F238E27FC236}">
              <a16:creationId xmlns:a16="http://schemas.microsoft.com/office/drawing/2014/main" id="{00000000-0008-0000-11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0" name="Picture 8" descr=".">
          <a:extLst>
            <a:ext uri="{FF2B5EF4-FFF2-40B4-BE49-F238E27FC236}">
              <a16:creationId xmlns:a16="http://schemas.microsoft.com/office/drawing/2014/main" id="{00000000-0008-0000-11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1" name="Picture 9" descr=".">
          <a:extLst>
            <a:ext uri="{FF2B5EF4-FFF2-40B4-BE49-F238E27FC236}">
              <a16:creationId xmlns:a16="http://schemas.microsoft.com/office/drawing/2014/main" id="{00000000-0008-0000-11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2" name="Picture 10" descr=".">
          <a:extLst>
            <a:ext uri="{FF2B5EF4-FFF2-40B4-BE49-F238E27FC236}">
              <a16:creationId xmlns:a16="http://schemas.microsoft.com/office/drawing/2014/main" id="{00000000-0008-0000-11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3" name="Picture 11" descr=".">
          <a:extLst>
            <a:ext uri="{FF2B5EF4-FFF2-40B4-BE49-F238E27FC236}">
              <a16:creationId xmlns:a16="http://schemas.microsoft.com/office/drawing/2014/main" id="{00000000-0008-0000-11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4" name="Picture 6" descr=".">
          <a:extLst>
            <a:ext uri="{FF2B5EF4-FFF2-40B4-BE49-F238E27FC236}">
              <a16:creationId xmlns:a16="http://schemas.microsoft.com/office/drawing/2014/main" id="{00000000-0008-0000-11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5" name="Picture 7" descr=".">
          <a:extLst>
            <a:ext uri="{FF2B5EF4-FFF2-40B4-BE49-F238E27FC236}">
              <a16:creationId xmlns:a16="http://schemas.microsoft.com/office/drawing/2014/main" id="{00000000-0008-0000-11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6" name="Picture 8" descr=".">
          <a:extLst>
            <a:ext uri="{FF2B5EF4-FFF2-40B4-BE49-F238E27FC236}">
              <a16:creationId xmlns:a16="http://schemas.microsoft.com/office/drawing/2014/main" id="{00000000-0008-0000-11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7" name="Picture 9" descr=".">
          <a:extLst>
            <a:ext uri="{FF2B5EF4-FFF2-40B4-BE49-F238E27FC236}">
              <a16:creationId xmlns:a16="http://schemas.microsoft.com/office/drawing/2014/main" id="{00000000-0008-0000-11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8" name="Picture 10" descr=".">
          <a:extLst>
            <a:ext uri="{FF2B5EF4-FFF2-40B4-BE49-F238E27FC236}">
              <a16:creationId xmlns:a16="http://schemas.microsoft.com/office/drawing/2014/main" id="{00000000-0008-0000-11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9" name="Picture 11" descr=".">
          <a:extLst>
            <a:ext uri="{FF2B5EF4-FFF2-40B4-BE49-F238E27FC236}">
              <a16:creationId xmlns:a16="http://schemas.microsoft.com/office/drawing/2014/main" id="{00000000-0008-0000-11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0" name="Picture 6" descr=".">
          <a:extLst>
            <a:ext uri="{FF2B5EF4-FFF2-40B4-BE49-F238E27FC236}">
              <a16:creationId xmlns:a16="http://schemas.microsoft.com/office/drawing/2014/main" id="{00000000-0008-0000-11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1" name="Picture 7" descr=".">
          <a:extLst>
            <a:ext uri="{FF2B5EF4-FFF2-40B4-BE49-F238E27FC236}">
              <a16:creationId xmlns:a16="http://schemas.microsoft.com/office/drawing/2014/main" id="{00000000-0008-0000-11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2" name="Picture 8" descr=".">
          <a:extLst>
            <a:ext uri="{FF2B5EF4-FFF2-40B4-BE49-F238E27FC236}">
              <a16:creationId xmlns:a16="http://schemas.microsoft.com/office/drawing/2014/main" id="{00000000-0008-0000-11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3" name="Picture 9" descr=".">
          <a:extLst>
            <a:ext uri="{FF2B5EF4-FFF2-40B4-BE49-F238E27FC236}">
              <a16:creationId xmlns:a16="http://schemas.microsoft.com/office/drawing/2014/main" id="{00000000-0008-0000-11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44" name="Picture 10" descr=".">
          <a:extLst>
            <a:ext uri="{FF2B5EF4-FFF2-40B4-BE49-F238E27FC236}">
              <a16:creationId xmlns:a16="http://schemas.microsoft.com/office/drawing/2014/main" id="{00000000-0008-0000-11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45" name="Picture 11" descr=".">
          <a:extLst>
            <a:ext uri="{FF2B5EF4-FFF2-40B4-BE49-F238E27FC236}">
              <a16:creationId xmlns:a16="http://schemas.microsoft.com/office/drawing/2014/main" id="{00000000-0008-0000-11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6" name="Picture 6" descr=".">
          <a:extLst>
            <a:ext uri="{FF2B5EF4-FFF2-40B4-BE49-F238E27FC236}">
              <a16:creationId xmlns:a16="http://schemas.microsoft.com/office/drawing/2014/main" id="{00000000-0008-0000-11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7" name="Picture 7" descr=".">
          <a:extLst>
            <a:ext uri="{FF2B5EF4-FFF2-40B4-BE49-F238E27FC236}">
              <a16:creationId xmlns:a16="http://schemas.microsoft.com/office/drawing/2014/main" id="{00000000-0008-0000-11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8" name="Picture 8" descr=".">
          <a:extLst>
            <a:ext uri="{FF2B5EF4-FFF2-40B4-BE49-F238E27FC236}">
              <a16:creationId xmlns:a16="http://schemas.microsoft.com/office/drawing/2014/main" id="{00000000-0008-0000-11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9" name="Picture 9" descr=".">
          <a:extLst>
            <a:ext uri="{FF2B5EF4-FFF2-40B4-BE49-F238E27FC236}">
              <a16:creationId xmlns:a16="http://schemas.microsoft.com/office/drawing/2014/main" id="{00000000-0008-0000-11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0" name="Picture 10" descr=".">
          <a:extLst>
            <a:ext uri="{FF2B5EF4-FFF2-40B4-BE49-F238E27FC236}">
              <a16:creationId xmlns:a16="http://schemas.microsoft.com/office/drawing/2014/main" id="{00000000-0008-0000-11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1" name="Picture 11" descr=".">
          <a:extLst>
            <a:ext uri="{FF2B5EF4-FFF2-40B4-BE49-F238E27FC236}">
              <a16:creationId xmlns:a16="http://schemas.microsoft.com/office/drawing/2014/main" id="{00000000-0008-0000-11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2" name="Picture 6" descr=".">
          <a:extLst>
            <a:ext uri="{FF2B5EF4-FFF2-40B4-BE49-F238E27FC236}">
              <a16:creationId xmlns:a16="http://schemas.microsoft.com/office/drawing/2014/main" id="{00000000-0008-0000-11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3" name="Picture 7" descr=".">
          <a:extLst>
            <a:ext uri="{FF2B5EF4-FFF2-40B4-BE49-F238E27FC236}">
              <a16:creationId xmlns:a16="http://schemas.microsoft.com/office/drawing/2014/main" id="{00000000-0008-0000-11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4" name="Picture 8" descr=".">
          <a:extLst>
            <a:ext uri="{FF2B5EF4-FFF2-40B4-BE49-F238E27FC236}">
              <a16:creationId xmlns:a16="http://schemas.microsoft.com/office/drawing/2014/main" id="{00000000-0008-0000-11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5" name="Picture 9" descr=".">
          <a:extLst>
            <a:ext uri="{FF2B5EF4-FFF2-40B4-BE49-F238E27FC236}">
              <a16:creationId xmlns:a16="http://schemas.microsoft.com/office/drawing/2014/main" id="{00000000-0008-0000-11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6" name="Picture 10" descr=".">
          <a:extLst>
            <a:ext uri="{FF2B5EF4-FFF2-40B4-BE49-F238E27FC236}">
              <a16:creationId xmlns:a16="http://schemas.microsoft.com/office/drawing/2014/main" id="{00000000-0008-0000-11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7" name="Picture 11" descr=".">
          <a:extLst>
            <a:ext uri="{FF2B5EF4-FFF2-40B4-BE49-F238E27FC236}">
              <a16:creationId xmlns:a16="http://schemas.microsoft.com/office/drawing/2014/main" id="{00000000-0008-0000-11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300-0000017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4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4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4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4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4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4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4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4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4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4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4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4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4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4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4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4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4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4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4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4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4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4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4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4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4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4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4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4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4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4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4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4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4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4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4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4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4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4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4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4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4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4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4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4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4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4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4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4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4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4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4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4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4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4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4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4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4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4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4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4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4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4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4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4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4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4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4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4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4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4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4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4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4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4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4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4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4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4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4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4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4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4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4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4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4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4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4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4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4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4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4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4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4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4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4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4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4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4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4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4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4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4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4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4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4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4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4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4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4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4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4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4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4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4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4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4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4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4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4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4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4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4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4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4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4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4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4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4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4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4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4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4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4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4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4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4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4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4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4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4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4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4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4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4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4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4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4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4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4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4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4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4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4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4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4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4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4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4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4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4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4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4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4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4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4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4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4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4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4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4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4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4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4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4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4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4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4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4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4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4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4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4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4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4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4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4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4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4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4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4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4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4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4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4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4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4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4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4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4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4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4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4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4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4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4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4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4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4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4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4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4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4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4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4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4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4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4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4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4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4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4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4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4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4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4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4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4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4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4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4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4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4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4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4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4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4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4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4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4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4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4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4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4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4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4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4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2" name="Picture 6" descr=".">
          <a:extLst>
            <a:ext uri="{FF2B5EF4-FFF2-40B4-BE49-F238E27FC236}">
              <a16:creationId xmlns:a16="http://schemas.microsoft.com/office/drawing/2014/main" id="{00000000-0008-0000-14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3" name="Picture 7" descr=".">
          <a:extLst>
            <a:ext uri="{FF2B5EF4-FFF2-40B4-BE49-F238E27FC236}">
              <a16:creationId xmlns:a16="http://schemas.microsoft.com/office/drawing/2014/main" id="{00000000-0008-0000-14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4" name="Picture 8" descr=".">
          <a:extLst>
            <a:ext uri="{FF2B5EF4-FFF2-40B4-BE49-F238E27FC236}">
              <a16:creationId xmlns:a16="http://schemas.microsoft.com/office/drawing/2014/main" id="{00000000-0008-0000-14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5" name="Picture 9" descr=".">
          <a:extLst>
            <a:ext uri="{FF2B5EF4-FFF2-40B4-BE49-F238E27FC236}">
              <a16:creationId xmlns:a16="http://schemas.microsoft.com/office/drawing/2014/main" id="{00000000-0008-0000-14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306" name="Picture 10" descr=".">
          <a:extLst>
            <a:ext uri="{FF2B5EF4-FFF2-40B4-BE49-F238E27FC236}">
              <a16:creationId xmlns:a16="http://schemas.microsoft.com/office/drawing/2014/main" id="{00000000-0008-0000-14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307" name="Picture 11" descr=".">
          <a:extLst>
            <a:ext uri="{FF2B5EF4-FFF2-40B4-BE49-F238E27FC236}">
              <a16:creationId xmlns:a16="http://schemas.microsoft.com/office/drawing/2014/main" id="{00000000-0008-0000-14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08" name="Picture 6" descr=".">
          <a:extLst>
            <a:ext uri="{FF2B5EF4-FFF2-40B4-BE49-F238E27FC236}">
              <a16:creationId xmlns:a16="http://schemas.microsoft.com/office/drawing/2014/main" id="{00000000-0008-0000-14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09" name="Picture 7" descr=".">
          <a:extLst>
            <a:ext uri="{FF2B5EF4-FFF2-40B4-BE49-F238E27FC236}">
              <a16:creationId xmlns:a16="http://schemas.microsoft.com/office/drawing/2014/main" id="{00000000-0008-0000-14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0" name="Picture 8" descr=".">
          <a:extLst>
            <a:ext uri="{FF2B5EF4-FFF2-40B4-BE49-F238E27FC236}">
              <a16:creationId xmlns:a16="http://schemas.microsoft.com/office/drawing/2014/main" id="{00000000-0008-0000-14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1" name="Picture 9" descr=".">
          <a:extLst>
            <a:ext uri="{FF2B5EF4-FFF2-40B4-BE49-F238E27FC236}">
              <a16:creationId xmlns:a16="http://schemas.microsoft.com/office/drawing/2014/main" id="{00000000-0008-0000-14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2" name="Picture 10" descr=".">
          <a:extLst>
            <a:ext uri="{FF2B5EF4-FFF2-40B4-BE49-F238E27FC236}">
              <a16:creationId xmlns:a16="http://schemas.microsoft.com/office/drawing/2014/main" id="{00000000-0008-0000-14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3" name="Picture 11" descr=".">
          <a:extLst>
            <a:ext uri="{FF2B5EF4-FFF2-40B4-BE49-F238E27FC236}">
              <a16:creationId xmlns:a16="http://schemas.microsoft.com/office/drawing/2014/main" id="{00000000-0008-0000-14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4" name="Picture 6" descr=".">
          <a:extLst>
            <a:ext uri="{FF2B5EF4-FFF2-40B4-BE49-F238E27FC236}">
              <a16:creationId xmlns:a16="http://schemas.microsoft.com/office/drawing/2014/main" id="{00000000-0008-0000-14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5" name="Picture 7" descr=".">
          <a:extLst>
            <a:ext uri="{FF2B5EF4-FFF2-40B4-BE49-F238E27FC236}">
              <a16:creationId xmlns:a16="http://schemas.microsoft.com/office/drawing/2014/main" id="{00000000-0008-0000-14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6" name="Picture 8" descr=".">
          <a:extLst>
            <a:ext uri="{FF2B5EF4-FFF2-40B4-BE49-F238E27FC236}">
              <a16:creationId xmlns:a16="http://schemas.microsoft.com/office/drawing/2014/main" id="{00000000-0008-0000-14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7" name="Picture 9" descr=".">
          <a:extLst>
            <a:ext uri="{FF2B5EF4-FFF2-40B4-BE49-F238E27FC236}">
              <a16:creationId xmlns:a16="http://schemas.microsoft.com/office/drawing/2014/main" id="{00000000-0008-0000-14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8" name="Picture 10" descr=".">
          <a:extLst>
            <a:ext uri="{FF2B5EF4-FFF2-40B4-BE49-F238E27FC236}">
              <a16:creationId xmlns:a16="http://schemas.microsoft.com/office/drawing/2014/main" id="{00000000-0008-0000-14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9" name="Picture 11" descr=".">
          <a:extLst>
            <a:ext uri="{FF2B5EF4-FFF2-40B4-BE49-F238E27FC236}">
              <a16:creationId xmlns:a16="http://schemas.microsoft.com/office/drawing/2014/main" id="{00000000-0008-0000-14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0" name="Picture 6" descr=".">
          <a:extLst>
            <a:ext uri="{FF2B5EF4-FFF2-40B4-BE49-F238E27FC236}">
              <a16:creationId xmlns:a16="http://schemas.microsoft.com/office/drawing/2014/main" id="{00000000-0008-0000-14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1" name="Picture 7" descr=".">
          <a:extLst>
            <a:ext uri="{FF2B5EF4-FFF2-40B4-BE49-F238E27FC236}">
              <a16:creationId xmlns:a16="http://schemas.microsoft.com/office/drawing/2014/main" id="{00000000-0008-0000-14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2" name="Picture 8" descr=".">
          <a:extLst>
            <a:ext uri="{FF2B5EF4-FFF2-40B4-BE49-F238E27FC236}">
              <a16:creationId xmlns:a16="http://schemas.microsoft.com/office/drawing/2014/main" id="{00000000-0008-0000-14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3" name="Picture 9" descr=".">
          <a:extLst>
            <a:ext uri="{FF2B5EF4-FFF2-40B4-BE49-F238E27FC236}">
              <a16:creationId xmlns:a16="http://schemas.microsoft.com/office/drawing/2014/main" id="{00000000-0008-0000-14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24" name="Picture 10" descr=".">
          <a:extLst>
            <a:ext uri="{FF2B5EF4-FFF2-40B4-BE49-F238E27FC236}">
              <a16:creationId xmlns:a16="http://schemas.microsoft.com/office/drawing/2014/main" id="{00000000-0008-0000-14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25" name="Picture 11" descr=".">
          <a:extLst>
            <a:ext uri="{FF2B5EF4-FFF2-40B4-BE49-F238E27FC236}">
              <a16:creationId xmlns:a16="http://schemas.microsoft.com/office/drawing/2014/main" id="{00000000-0008-0000-14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6" name="Picture 6" descr=".">
          <a:extLst>
            <a:ext uri="{FF2B5EF4-FFF2-40B4-BE49-F238E27FC236}">
              <a16:creationId xmlns:a16="http://schemas.microsoft.com/office/drawing/2014/main" id="{00000000-0008-0000-14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7" name="Picture 7" descr=".">
          <a:extLst>
            <a:ext uri="{FF2B5EF4-FFF2-40B4-BE49-F238E27FC236}">
              <a16:creationId xmlns:a16="http://schemas.microsoft.com/office/drawing/2014/main" id="{00000000-0008-0000-14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8" name="Picture 8" descr=".">
          <a:extLst>
            <a:ext uri="{FF2B5EF4-FFF2-40B4-BE49-F238E27FC236}">
              <a16:creationId xmlns:a16="http://schemas.microsoft.com/office/drawing/2014/main" id="{00000000-0008-0000-14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9" name="Picture 9" descr=".">
          <a:extLst>
            <a:ext uri="{FF2B5EF4-FFF2-40B4-BE49-F238E27FC236}">
              <a16:creationId xmlns:a16="http://schemas.microsoft.com/office/drawing/2014/main" id="{00000000-0008-0000-14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330" name="Picture 10" descr=".">
          <a:extLst>
            <a:ext uri="{FF2B5EF4-FFF2-40B4-BE49-F238E27FC236}">
              <a16:creationId xmlns:a16="http://schemas.microsoft.com/office/drawing/2014/main" id="{00000000-0008-0000-14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331" name="Picture 11" descr=".">
          <a:extLst>
            <a:ext uri="{FF2B5EF4-FFF2-40B4-BE49-F238E27FC236}">
              <a16:creationId xmlns:a16="http://schemas.microsoft.com/office/drawing/2014/main" id="{00000000-0008-0000-14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2" name="Picture 6" descr=".">
          <a:extLst>
            <a:ext uri="{FF2B5EF4-FFF2-40B4-BE49-F238E27FC236}">
              <a16:creationId xmlns:a16="http://schemas.microsoft.com/office/drawing/2014/main" id="{00000000-0008-0000-14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3" name="Picture 7" descr=".">
          <a:extLst>
            <a:ext uri="{FF2B5EF4-FFF2-40B4-BE49-F238E27FC236}">
              <a16:creationId xmlns:a16="http://schemas.microsoft.com/office/drawing/2014/main" id="{00000000-0008-0000-14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4" name="Picture 8" descr=".">
          <a:extLst>
            <a:ext uri="{FF2B5EF4-FFF2-40B4-BE49-F238E27FC236}">
              <a16:creationId xmlns:a16="http://schemas.microsoft.com/office/drawing/2014/main" id="{00000000-0008-0000-14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5" name="Picture 9" descr=".">
          <a:extLst>
            <a:ext uri="{FF2B5EF4-FFF2-40B4-BE49-F238E27FC236}">
              <a16:creationId xmlns:a16="http://schemas.microsoft.com/office/drawing/2014/main" id="{00000000-0008-0000-14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36" name="Picture 10" descr=".">
          <a:extLst>
            <a:ext uri="{FF2B5EF4-FFF2-40B4-BE49-F238E27FC236}">
              <a16:creationId xmlns:a16="http://schemas.microsoft.com/office/drawing/2014/main" id="{00000000-0008-0000-14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37" name="Picture 11" descr=".">
          <a:extLst>
            <a:ext uri="{FF2B5EF4-FFF2-40B4-BE49-F238E27FC236}">
              <a16:creationId xmlns:a16="http://schemas.microsoft.com/office/drawing/2014/main" id="{00000000-0008-0000-14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38" name="Picture 6" descr=".">
          <a:extLst>
            <a:ext uri="{FF2B5EF4-FFF2-40B4-BE49-F238E27FC236}">
              <a16:creationId xmlns:a16="http://schemas.microsoft.com/office/drawing/2014/main" id="{00000000-0008-0000-14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39" name="Picture 7" descr=".">
          <a:extLst>
            <a:ext uri="{FF2B5EF4-FFF2-40B4-BE49-F238E27FC236}">
              <a16:creationId xmlns:a16="http://schemas.microsoft.com/office/drawing/2014/main" id="{00000000-0008-0000-14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40" name="Picture 8" descr=".">
          <a:extLst>
            <a:ext uri="{FF2B5EF4-FFF2-40B4-BE49-F238E27FC236}">
              <a16:creationId xmlns:a16="http://schemas.microsoft.com/office/drawing/2014/main" id="{00000000-0008-0000-14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41" name="Picture 9" descr=".">
          <a:extLst>
            <a:ext uri="{FF2B5EF4-FFF2-40B4-BE49-F238E27FC236}">
              <a16:creationId xmlns:a16="http://schemas.microsoft.com/office/drawing/2014/main" id="{00000000-0008-0000-14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342" name="Picture 10" descr=".">
          <a:extLst>
            <a:ext uri="{FF2B5EF4-FFF2-40B4-BE49-F238E27FC236}">
              <a16:creationId xmlns:a16="http://schemas.microsoft.com/office/drawing/2014/main" id="{00000000-0008-0000-14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343" name="Picture 11" descr=".">
          <a:extLst>
            <a:ext uri="{FF2B5EF4-FFF2-40B4-BE49-F238E27FC236}">
              <a16:creationId xmlns:a16="http://schemas.microsoft.com/office/drawing/2014/main" id="{00000000-0008-0000-14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4" name="Picture 6" descr=".">
          <a:extLst>
            <a:ext uri="{FF2B5EF4-FFF2-40B4-BE49-F238E27FC236}">
              <a16:creationId xmlns:a16="http://schemas.microsoft.com/office/drawing/2014/main" id="{00000000-0008-0000-14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5" name="Picture 7" descr=".">
          <a:extLst>
            <a:ext uri="{FF2B5EF4-FFF2-40B4-BE49-F238E27FC236}">
              <a16:creationId xmlns:a16="http://schemas.microsoft.com/office/drawing/2014/main" id="{00000000-0008-0000-14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6" name="Picture 8" descr=".">
          <a:extLst>
            <a:ext uri="{FF2B5EF4-FFF2-40B4-BE49-F238E27FC236}">
              <a16:creationId xmlns:a16="http://schemas.microsoft.com/office/drawing/2014/main" id="{00000000-0008-0000-14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7" name="Picture 9" descr=".">
          <a:extLst>
            <a:ext uri="{FF2B5EF4-FFF2-40B4-BE49-F238E27FC236}">
              <a16:creationId xmlns:a16="http://schemas.microsoft.com/office/drawing/2014/main" id="{00000000-0008-0000-14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48" name="Picture 10" descr=".">
          <a:extLst>
            <a:ext uri="{FF2B5EF4-FFF2-40B4-BE49-F238E27FC236}">
              <a16:creationId xmlns:a16="http://schemas.microsoft.com/office/drawing/2014/main" id="{00000000-0008-0000-14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49" name="Picture 11" descr=".">
          <a:extLst>
            <a:ext uri="{FF2B5EF4-FFF2-40B4-BE49-F238E27FC236}">
              <a16:creationId xmlns:a16="http://schemas.microsoft.com/office/drawing/2014/main" id="{00000000-0008-0000-14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600-000001B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7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7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7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7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7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7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7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7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7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7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7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7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7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7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7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7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7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7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7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7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7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7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7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7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7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7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7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7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7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7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7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7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7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7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7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7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7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7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7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7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7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7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7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7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7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7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7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7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7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7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7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7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7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7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7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7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7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7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7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7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7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7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7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7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7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7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7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7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7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7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7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7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7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7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7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7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7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7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7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7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7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7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7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7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7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7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7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7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7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7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7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7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7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7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7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7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7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7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7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7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7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7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7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7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7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7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7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7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7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7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7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7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7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7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7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7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7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7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7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7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7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7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7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7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7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7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7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7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7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7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7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7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7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7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7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7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7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7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7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7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7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7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2" name="Picture 6" descr=".">
          <a:extLst>
            <a:ext uri="{FF2B5EF4-FFF2-40B4-BE49-F238E27FC236}">
              <a16:creationId xmlns:a16="http://schemas.microsoft.com/office/drawing/2014/main" id="{00000000-0008-0000-17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3" name="Picture 7" descr=".">
          <a:extLst>
            <a:ext uri="{FF2B5EF4-FFF2-40B4-BE49-F238E27FC236}">
              <a16:creationId xmlns:a16="http://schemas.microsoft.com/office/drawing/2014/main" id="{00000000-0008-0000-17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4" name="Picture 8" descr=".">
          <a:extLst>
            <a:ext uri="{FF2B5EF4-FFF2-40B4-BE49-F238E27FC236}">
              <a16:creationId xmlns:a16="http://schemas.microsoft.com/office/drawing/2014/main" id="{00000000-0008-0000-17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5" name="Picture 9" descr=".">
          <a:extLst>
            <a:ext uri="{FF2B5EF4-FFF2-40B4-BE49-F238E27FC236}">
              <a16:creationId xmlns:a16="http://schemas.microsoft.com/office/drawing/2014/main" id="{00000000-0008-0000-17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306" name="Picture 10" descr=".">
          <a:extLst>
            <a:ext uri="{FF2B5EF4-FFF2-40B4-BE49-F238E27FC236}">
              <a16:creationId xmlns:a16="http://schemas.microsoft.com/office/drawing/2014/main" id="{00000000-0008-0000-17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307" name="Picture 11" descr=".">
          <a:extLst>
            <a:ext uri="{FF2B5EF4-FFF2-40B4-BE49-F238E27FC236}">
              <a16:creationId xmlns:a16="http://schemas.microsoft.com/office/drawing/2014/main" id="{00000000-0008-0000-17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08" name="Picture 6" descr=".">
          <a:extLst>
            <a:ext uri="{FF2B5EF4-FFF2-40B4-BE49-F238E27FC236}">
              <a16:creationId xmlns:a16="http://schemas.microsoft.com/office/drawing/2014/main" id="{00000000-0008-0000-17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09" name="Picture 7" descr=".">
          <a:extLst>
            <a:ext uri="{FF2B5EF4-FFF2-40B4-BE49-F238E27FC236}">
              <a16:creationId xmlns:a16="http://schemas.microsoft.com/office/drawing/2014/main" id="{00000000-0008-0000-17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0" name="Picture 8" descr=".">
          <a:extLst>
            <a:ext uri="{FF2B5EF4-FFF2-40B4-BE49-F238E27FC236}">
              <a16:creationId xmlns:a16="http://schemas.microsoft.com/office/drawing/2014/main" id="{00000000-0008-0000-17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1" name="Picture 9" descr=".">
          <a:extLst>
            <a:ext uri="{FF2B5EF4-FFF2-40B4-BE49-F238E27FC236}">
              <a16:creationId xmlns:a16="http://schemas.microsoft.com/office/drawing/2014/main" id="{00000000-0008-0000-17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2" name="Picture 10" descr=".">
          <a:extLst>
            <a:ext uri="{FF2B5EF4-FFF2-40B4-BE49-F238E27FC236}">
              <a16:creationId xmlns:a16="http://schemas.microsoft.com/office/drawing/2014/main" id="{00000000-0008-0000-17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3" name="Picture 11" descr=".">
          <a:extLst>
            <a:ext uri="{FF2B5EF4-FFF2-40B4-BE49-F238E27FC236}">
              <a16:creationId xmlns:a16="http://schemas.microsoft.com/office/drawing/2014/main" id="{00000000-0008-0000-17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4" name="Picture 6" descr=".">
          <a:extLst>
            <a:ext uri="{FF2B5EF4-FFF2-40B4-BE49-F238E27FC236}">
              <a16:creationId xmlns:a16="http://schemas.microsoft.com/office/drawing/2014/main" id="{00000000-0008-0000-17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5" name="Picture 7" descr=".">
          <a:extLst>
            <a:ext uri="{FF2B5EF4-FFF2-40B4-BE49-F238E27FC236}">
              <a16:creationId xmlns:a16="http://schemas.microsoft.com/office/drawing/2014/main" id="{00000000-0008-0000-17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6" name="Picture 8" descr=".">
          <a:extLst>
            <a:ext uri="{FF2B5EF4-FFF2-40B4-BE49-F238E27FC236}">
              <a16:creationId xmlns:a16="http://schemas.microsoft.com/office/drawing/2014/main" id="{00000000-0008-0000-17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7" name="Picture 9" descr=".">
          <a:extLst>
            <a:ext uri="{FF2B5EF4-FFF2-40B4-BE49-F238E27FC236}">
              <a16:creationId xmlns:a16="http://schemas.microsoft.com/office/drawing/2014/main" id="{00000000-0008-0000-17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8" name="Picture 10" descr=".">
          <a:extLst>
            <a:ext uri="{FF2B5EF4-FFF2-40B4-BE49-F238E27FC236}">
              <a16:creationId xmlns:a16="http://schemas.microsoft.com/office/drawing/2014/main" id="{00000000-0008-0000-17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9" name="Picture 11" descr=".">
          <a:extLst>
            <a:ext uri="{FF2B5EF4-FFF2-40B4-BE49-F238E27FC236}">
              <a16:creationId xmlns:a16="http://schemas.microsoft.com/office/drawing/2014/main" id="{00000000-0008-0000-17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0" name="Picture 6" descr=".">
          <a:extLst>
            <a:ext uri="{FF2B5EF4-FFF2-40B4-BE49-F238E27FC236}">
              <a16:creationId xmlns:a16="http://schemas.microsoft.com/office/drawing/2014/main" id="{00000000-0008-0000-17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1" name="Picture 7" descr=".">
          <a:extLst>
            <a:ext uri="{FF2B5EF4-FFF2-40B4-BE49-F238E27FC236}">
              <a16:creationId xmlns:a16="http://schemas.microsoft.com/office/drawing/2014/main" id="{00000000-0008-0000-17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2" name="Picture 8" descr=".">
          <a:extLst>
            <a:ext uri="{FF2B5EF4-FFF2-40B4-BE49-F238E27FC236}">
              <a16:creationId xmlns:a16="http://schemas.microsoft.com/office/drawing/2014/main" id="{00000000-0008-0000-17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3" name="Picture 9" descr=".">
          <a:extLst>
            <a:ext uri="{FF2B5EF4-FFF2-40B4-BE49-F238E27FC236}">
              <a16:creationId xmlns:a16="http://schemas.microsoft.com/office/drawing/2014/main" id="{00000000-0008-0000-17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24" name="Picture 10" descr=".">
          <a:extLst>
            <a:ext uri="{FF2B5EF4-FFF2-40B4-BE49-F238E27FC236}">
              <a16:creationId xmlns:a16="http://schemas.microsoft.com/office/drawing/2014/main" id="{00000000-0008-0000-17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25" name="Picture 11" descr=".">
          <a:extLst>
            <a:ext uri="{FF2B5EF4-FFF2-40B4-BE49-F238E27FC236}">
              <a16:creationId xmlns:a16="http://schemas.microsoft.com/office/drawing/2014/main" id="{00000000-0008-0000-17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6" name="Picture 6" descr=".">
          <a:extLst>
            <a:ext uri="{FF2B5EF4-FFF2-40B4-BE49-F238E27FC236}">
              <a16:creationId xmlns:a16="http://schemas.microsoft.com/office/drawing/2014/main" id="{00000000-0008-0000-17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7" name="Picture 7" descr=".">
          <a:extLst>
            <a:ext uri="{FF2B5EF4-FFF2-40B4-BE49-F238E27FC236}">
              <a16:creationId xmlns:a16="http://schemas.microsoft.com/office/drawing/2014/main" id="{00000000-0008-0000-17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8" name="Picture 8" descr=".">
          <a:extLst>
            <a:ext uri="{FF2B5EF4-FFF2-40B4-BE49-F238E27FC236}">
              <a16:creationId xmlns:a16="http://schemas.microsoft.com/office/drawing/2014/main" id="{00000000-0008-0000-17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9" name="Picture 9" descr=".">
          <a:extLst>
            <a:ext uri="{FF2B5EF4-FFF2-40B4-BE49-F238E27FC236}">
              <a16:creationId xmlns:a16="http://schemas.microsoft.com/office/drawing/2014/main" id="{00000000-0008-0000-17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330" name="Picture 10" descr=".">
          <a:extLst>
            <a:ext uri="{FF2B5EF4-FFF2-40B4-BE49-F238E27FC236}">
              <a16:creationId xmlns:a16="http://schemas.microsoft.com/office/drawing/2014/main" id="{00000000-0008-0000-17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331" name="Picture 11" descr=".">
          <a:extLst>
            <a:ext uri="{FF2B5EF4-FFF2-40B4-BE49-F238E27FC236}">
              <a16:creationId xmlns:a16="http://schemas.microsoft.com/office/drawing/2014/main" id="{00000000-0008-0000-17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2" name="Picture 6" descr=".">
          <a:extLst>
            <a:ext uri="{FF2B5EF4-FFF2-40B4-BE49-F238E27FC236}">
              <a16:creationId xmlns:a16="http://schemas.microsoft.com/office/drawing/2014/main" id="{00000000-0008-0000-17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3" name="Picture 7" descr=".">
          <a:extLst>
            <a:ext uri="{FF2B5EF4-FFF2-40B4-BE49-F238E27FC236}">
              <a16:creationId xmlns:a16="http://schemas.microsoft.com/office/drawing/2014/main" id="{00000000-0008-0000-17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4" name="Picture 8" descr=".">
          <a:extLst>
            <a:ext uri="{FF2B5EF4-FFF2-40B4-BE49-F238E27FC236}">
              <a16:creationId xmlns:a16="http://schemas.microsoft.com/office/drawing/2014/main" id="{00000000-0008-0000-17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5" name="Picture 9" descr=".">
          <a:extLst>
            <a:ext uri="{FF2B5EF4-FFF2-40B4-BE49-F238E27FC236}">
              <a16:creationId xmlns:a16="http://schemas.microsoft.com/office/drawing/2014/main" id="{00000000-0008-0000-17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36" name="Picture 10" descr=".">
          <a:extLst>
            <a:ext uri="{FF2B5EF4-FFF2-40B4-BE49-F238E27FC236}">
              <a16:creationId xmlns:a16="http://schemas.microsoft.com/office/drawing/2014/main" id="{00000000-0008-0000-17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37" name="Picture 11" descr=".">
          <a:extLst>
            <a:ext uri="{FF2B5EF4-FFF2-40B4-BE49-F238E27FC236}">
              <a16:creationId xmlns:a16="http://schemas.microsoft.com/office/drawing/2014/main" id="{00000000-0008-0000-17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38" name="Picture 6" descr=".">
          <a:extLst>
            <a:ext uri="{FF2B5EF4-FFF2-40B4-BE49-F238E27FC236}">
              <a16:creationId xmlns:a16="http://schemas.microsoft.com/office/drawing/2014/main" id="{00000000-0008-0000-17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39" name="Picture 7" descr=".">
          <a:extLst>
            <a:ext uri="{FF2B5EF4-FFF2-40B4-BE49-F238E27FC236}">
              <a16:creationId xmlns:a16="http://schemas.microsoft.com/office/drawing/2014/main" id="{00000000-0008-0000-17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0" name="Picture 8" descr=".">
          <a:extLst>
            <a:ext uri="{FF2B5EF4-FFF2-40B4-BE49-F238E27FC236}">
              <a16:creationId xmlns:a16="http://schemas.microsoft.com/office/drawing/2014/main" id="{00000000-0008-0000-17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1" name="Picture 9" descr=".">
          <a:extLst>
            <a:ext uri="{FF2B5EF4-FFF2-40B4-BE49-F238E27FC236}">
              <a16:creationId xmlns:a16="http://schemas.microsoft.com/office/drawing/2014/main" id="{00000000-0008-0000-17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2" name="Picture 10" descr=".">
          <a:extLst>
            <a:ext uri="{FF2B5EF4-FFF2-40B4-BE49-F238E27FC236}">
              <a16:creationId xmlns:a16="http://schemas.microsoft.com/office/drawing/2014/main" id="{00000000-0008-0000-17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3" name="Picture 11" descr=".">
          <a:extLst>
            <a:ext uri="{FF2B5EF4-FFF2-40B4-BE49-F238E27FC236}">
              <a16:creationId xmlns:a16="http://schemas.microsoft.com/office/drawing/2014/main" id="{00000000-0008-0000-17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4" name="Picture 6" descr=".">
          <a:extLst>
            <a:ext uri="{FF2B5EF4-FFF2-40B4-BE49-F238E27FC236}">
              <a16:creationId xmlns:a16="http://schemas.microsoft.com/office/drawing/2014/main" id="{00000000-0008-0000-17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5" name="Picture 7" descr=".">
          <a:extLst>
            <a:ext uri="{FF2B5EF4-FFF2-40B4-BE49-F238E27FC236}">
              <a16:creationId xmlns:a16="http://schemas.microsoft.com/office/drawing/2014/main" id="{00000000-0008-0000-17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6" name="Picture 8" descr=".">
          <a:extLst>
            <a:ext uri="{FF2B5EF4-FFF2-40B4-BE49-F238E27FC236}">
              <a16:creationId xmlns:a16="http://schemas.microsoft.com/office/drawing/2014/main" id="{00000000-0008-0000-17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7" name="Picture 9" descr=".">
          <a:extLst>
            <a:ext uri="{FF2B5EF4-FFF2-40B4-BE49-F238E27FC236}">
              <a16:creationId xmlns:a16="http://schemas.microsoft.com/office/drawing/2014/main" id="{00000000-0008-0000-17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8" name="Picture 10" descr=".">
          <a:extLst>
            <a:ext uri="{FF2B5EF4-FFF2-40B4-BE49-F238E27FC236}">
              <a16:creationId xmlns:a16="http://schemas.microsoft.com/office/drawing/2014/main" id="{00000000-0008-0000-17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9" name="Picture 11" descr=".">
          <a:extLst>
            <a:ext uri="{FF2B5EF4-FFF2-40B4-BE49-F238E27FC236}">
              <a16:creationId xmlns:a16="http://schemas.microsoft.com/office/drawing/2014/main" id="{00000000-0008-0000-17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0" name="Picture 6" descr=".">
          <a:extLst>
            <a:ext uri="{FF2B5EF4-FFF2-40B4-BE49-F238E27FC236}">
              <a16:creationId xmlns:a16="http://schemas.microsoft.com/office/drawing/2014/main" id="{00000000-0008-0000-17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1" name="Picture 7" descr=".">
          <a:extLst>
            <a:ext uri="{FF2B5EF4-FFF2-40B4-BE49-F238E27FC236}">
              <a16:creationId xmlns:a16="http://schemas.microsoft.com/office/drawing/2014/main" id="{00000000-0008-0000-17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2" name="Picture 8" descr=".">
          <a:extLst>
            <a:ext uri="{FF2B5EF4-FFF2-40B4-BE49-F238E27FC236}">
              <a16:creationId xmlns:a16="http://schemas.microsoft.com/office/drawing/2014/main" id="{00000000-0008-0000-17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3" name="Picture 9" descr=".">
          <a:extLst>
            <a:ext uri="{FF2B5EF4-FFF2-40B4-BE49-F238E27FC236}">
              <a16:creationId xmlns:a16="http://schemas.microsoft.com/office/drawing/2014/main" id="{00000000-0008-0000-17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354" name="Picture 10" descr=".">
          <a:extLst>
            <a:ext uri="{FF2B5EF4-FFF2-40B4-BE49-F238E27FC236}">
              <a16:creationId xmlns:a16="http://schemas.microsoft.com/office/drawing/2014/main" id="{00000000-0008-0000-17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355" name="Picture 11" descr=".">
          <a:extLst>
            <a:ext uri="{FF2B5EF4-FFF2-40B4-BE49-F238E27FC236}">
              <a16:creationId xmlns:a16="http://schemas.microsoft.com/office/drawing/2014/main" id="{00000000-0008-0000-17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6" name="Picture 6" descr=".">
          <a:extLst>
            <a:ext uri="{FF2B5EF4-FFF2-40B4-BE49-F238E27FC236}">
              <a16:creationId xmlns:a16="http://schemas.microsoft.com/office/drawing/2014/main" id="{00000000-0008-0000-17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7" name="Picture 7" descr=".">
          <a:extLst>
            <a:ext uri="{FF2B5EF4-FFF2-40B4-BE49-F238E27FC236}">
              <a16:creationId xmlns:a16="http://schemas.microsoft.com/office/drawing/2014/main" id="{00000000-0008-0000-17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8" name="Picture 8" descr=".">
          <a:extLst>
            <a:ext uri="{FF2B5EF4-FFF2-40B4-BE49-F238E27FC236}">
              <a16:creationId xmlns:a16="http://schemas.microsoft.com/office/drawing/2014/main" id="{00000000-0008-0000-17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9" name="Picture 9" descr=".">
          <a:extLst>
            <a:ext uri="{FF2B5EF4-FFF2-40B4-BE49-F238E27FC236}">
              <a16:creationId xmlns:a16="http://schemas.microsoft.com/office/drawing/2014/main" id="{00000000-0008-0000-17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360" name="Picture 10" descr=".">
          <a:extLst>
            <a:ext uri="{FF2B5EF4-FFF2-40B4-BE49-F238E27FC236}">
              <a16:creationId xmlns:a16="http://schemas.microsoft.com/office/drawing/2014/main" id="{00000000-0008-0000-17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361" name="Picture 11" descr=".">
          <a:extLst>
            <a:ext uri="{FF2B5EF4-FFF2-40B4-BE49-F238E27FC236}">
              <a16:creationId xmlns:a16="http://schemas.microsoft.com/office/drawing/2014/main" id="{00000000-0008-0000-17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2" name="Picture 6" descr=".">
          <a:extLst>
            <a:ext uri="{FF2B5EF4-FFF2-40B4-BE49-F238E27FC236}">
              <a16:creationId xmlns:a16="http://schemas.microsoft.com/office/drawing/2014/main" id="{00000000-0008-0000-17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3" name="Picture 7" descr=".">
          <a:extLst>
            <a:ext uri="{FF2B5EF4-FFF2-40B4-BE49-F238E27FC236}">
              <a16:creationId xmlns:a16="http://schemas.microsoft.com/office/drawing/2014/main" id="{00000000-0008-0000-17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4" name="Picture 8" descr=".">
          <a:extLst>
            <a:ext uri="{FF2B5EF4-FFF2-40B4-BE49-F238E27FC236}">
              <a16:creationId xmlns:a16="http://schemas.microsoft.com/office/drawing/2014/main" id="{00000000-0008-0000-17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5" name="Picture 9" descr=".">
          <a:extLst>
            <a:ext uri="{FF2B5EF4-FFF2-40B4-BE49-F238E27FC236}">
              <a16:creationId xmlns:a16="http://schemas.microsoft.com/office/drawing/2014/main" id="{00000000-0008-0000-17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366" name="Picture 10" descr=".">
          <a:extLst>
            <a:ext uri="{FF2B5EF4-FFF2-40B4-BE49-F238E27FC236}">
              <a16:creationId xmlns:a16="http://schemas.microsoft.com/office/drawing/2014/main" id="{00000000-0008-0000-17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367" name="Picture 11" descr=".">
          <a:extLst>
            <a:ext uri="{FF2B5EF4-FFF2-40B4-BE49-F238E27FC236}">
              <a16:creationId xmlns:a16="http://schemas.microsoft.com/office/drawing/2014/main" id="{00000000-0008-0000-17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68" name="Picture 6" descr=".">
          <a:extLst>
            <a:ext uri="{FF2B5EF4-FFF2-40B4-BE49-F238E27FC236}">
              <a16:creationId xmlns:a16="http://schemas.microsoft.com/office/drawing/2014/main" id="{00000000-0008-0000-17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69" name="Picture 7" descr=".">
          <a:extLst>
            <a:ext uri="{FF2B5EF4-FFF2-40B4-BE49-F238E27FC236}">
              <a16:creationId xmlns:a16="http://schemas.microsoft.com/office/drawing/2014/main" id="{00000000-0008-0000-17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70" name="Picture 8" descr=".">
          <a:extLst>
            <a:ext uri="{FF2B5EF4-FFF2-40B4-BE49-F238E27FC236}">
              <a16:creationId xmlns:a16="http://schemas.microsoft.com/office/drawing/2014/main" id="{00000000-0008-0000-17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71" name="Picture 9" descr=".">
          <a:extLst>
            <a:ext uri="{FF2B5EF4-FFF2-40B4-BE49-F238E27FC236}">
              <a16:creationId xmlns:a16="http://schemas.microsoft.com/office/drawing/2014/main" id="{00000000-0008-0000-17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72" name="Picture 10" descr=".">
          <a:extLst>
            <a:ext uri="{FF2B5EF4-FFF2-40B4-BE49-F238E27FC236}">
              <a16:creationId xmlns:a16="http://schemas.microsoft.com/office/drawing/2014/main" id="{00000000-0008-0000-17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3" name="Picture 11" descr=".">
          <a:extLst>
            <a:ext uri="{FF2B5EF4-FFF2-40B4-BE49-F238E27FC236}">
              <a16:creationId xmlns:a16="http://schemas.microsoft.com/office/drawing/2014/main" id="{00000000-0008-0000-17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1900-0000010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A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A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A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A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A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A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A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A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A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A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A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A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A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A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A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A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A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A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A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A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A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A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A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A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A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A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A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A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A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A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A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A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A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A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A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A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A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A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A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A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A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A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A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A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A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A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A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A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A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A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A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A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A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A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A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A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A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A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A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A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A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A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A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A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A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A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A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A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A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A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A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A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A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A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A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A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A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A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A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A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A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A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A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A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A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A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A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A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A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A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A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A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A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A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A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A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A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A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A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A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A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A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A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A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A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A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A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A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A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A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A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A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A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A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A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A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A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A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A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A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A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A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A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A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A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A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A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A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A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A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A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A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A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A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A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A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A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A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A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A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A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A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A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A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A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A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A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A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A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A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A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A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A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A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A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A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A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A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A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A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A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A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A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A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A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A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A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A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A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A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A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A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A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A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A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A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A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A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A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A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A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A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A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A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A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A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A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A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A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A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A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A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A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A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A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A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A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A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A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A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A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A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A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A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A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A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A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A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A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A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A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A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A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A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A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A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A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A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A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A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A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A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A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A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A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A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A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A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A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A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A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A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A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A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A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A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A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A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A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A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A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A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A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A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A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A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A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A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A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A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A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A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A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A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A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A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A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A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A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A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A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A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A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A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A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A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A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A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A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A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A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A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A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A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A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A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A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A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A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A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A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A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A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A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C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21</xdr:row>
      <xdr:rowOff>17709</xdr:rowOff>
    </xdr:to>
    <xdr:pic>
      <xdr:nvPicPr>
        <xdr:cNvPr id="2" name="Picture 6" descr=".">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3" name="Picture 7" descr=".">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17709</xdr:rowOff>
    </xdr:to>
    <xdr:pic>
      <xdr:nvPicPr>
        <xdr:cNvPr id="4" name="Picture 8" descr=".">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5" name="Picture 9" descr=".">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17708</xdr:rowOff>
    </xdr:to>
    <xdr:pic>
      <xdr:nvPicPr>
        <xdr:cNvPr id="6" name="Picture 10" descr=".">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17711</xdr:rowOff>
    </xdr:to>
    <xdr:pic>
      <xdr:nvPicPr>
        <xdr:cNvPr id="7" name="Picture 11" descr=".">
          <a:extLst>
            <a:ext uri="{FF2B5EF4-FFF2-40B4-BE49-F238E27FC236}">
              <a16:creationId xmlns:a16="http://schemas.microsoft.com/office/drawing/2014/main" id="{00000000-0008-0000-1D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D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 name="Picture 6" descr=".">
          <a:extLst>
            <a:ext uri="{FF2B5EF4-FFF2-40B4-BE49-F238E27FC236}">
              <a16:creationId xmlns:a16="http://schemas.microsoft.com/office/drawing/2014/main" id="{00000000-0008-0000-1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 name="Picture 7" descr=".">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 name="Picture 8" descr=".">
          <a:extLst>
            <a:ext uri="{FF2B5EF4-FFF2-40B4-BE49-F238E27FC236}">
              <a16:creationId xmlns:a16="http://schemas.microsoft.com/office/drawing/2014/main" id="{00000000-0008-0000-1D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 name="Picture 9" descr=".">
          <a:extLst>
            <a:ext uri="{FF2B5EF4-FFF2-40B4-BE49-F238E27FC236}">
              <a16:creationId xmlns:a16="http://schemas.microsoft.com/office/drawing/2014/main" id="{00000000-0008-0000-1D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 name="Picture 10" descr=".">
          <a:extLst>
            <a:ext uri="{FF2B5EF4-FFF2-40B4-BE49-F238E27FC236}">
              <a16:creationId xmlns:a16="http://schemas.microsoft.com/office/drawing/2014/main" id="{00000000-0008-0000-1D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9" name="Picture 11" descr=".">
          <a:extLst>
            <a:ext uri="{FF2B5EF4-FFF2-40B4-BE49-F238E27FC236}">
              <a16:creationId xmlns:a16="http://schemas.microsoft.com/office/drawing/2014/main" id="{00000000-0008-0000-1D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 name="Picture 6" descr=".">
          <a:extLst>
            <a:ext uri="{FF2B5EF4-FFF2-40B4-BE49-F238E27FC236}">
              <a16:creationId xmlns:a16="http://schemas.microsoft.com/office/drawing/2014/main" id="{00000000-0008-0000-1D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 name="Picture 7" descr=".">
          <a:extLst>
            <a:ext uri="{FF2B5EF4-FFF2-40B4-BE49-F238E27FC236}">
              <a16:creationId xmlns:a16="http://schemas.microsoft.com/office/drawing/2014/main" id="{00000000-0008-0000-1D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 name="Picture 8" descr=".">
          <a:extLst>
            <a:ext uri="{FF2B5EF4-FFF2-40B4-BE49-F238E27FC236}">
              <a16:creationId xmlns:a16="http://schemas.microsoft.com/office/drawing/2014/main" id="{00000000-0008-0000-1D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3" name="Picture 9" descr=".">
          <a:extLst>
            <a:ext uri="{FF2B5EF4-FFF2-40B4-BE49-F238E27FC236}">
              <a16:creationId xmlns:a16="http://schemas.microsoft.com/office/drawing/2014/main" id="{00000000-0008-0000-1D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4" name="Picture 10" descr=".">
          <a:extLst>
            <a:ext uri="{FF2B5EF4-FFF2-40B4-BE49-F238E27FC236}">
              <a16:creationId xmlns:a16="http://schemas.microsoft.com/office/drawing/2014/main" id="{00000000-0008-0000-1D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5" name="Picture 11" descr=".">
          <a:extLst>
            <a:ext uri="{FF2B5EF4-FFF2-40B4-BE49-F238E27FC236}">
              <a16:creationId xmlns:a16="http://schemas.microsoft.com/office/drawing/2014/main" id="{00000000-0008-0000-1D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6" name="Picture 6" descr=".">
          <a:extLst>
            <a:ext uri="{FF2B5EF4-FFF2-40B4-BE49-F238E27FC236}">
              <a16:creationId xmlns:a16="http://schemas.microsoft.com/office/drawing/2014/main" id="{00000000-0008-0000-1D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7" name="Picture 7" descr=".">
          <a:extLst>
            <a:ext uri="{FF2B5EF4-FFF2-40B4-BE49-F238E27FC236}">
              <a16:creationId xmlns:a16="http://schemas.microsoft.com/office/drawing/2014/main" id="{00000000-0008-0000-1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8" name="Picture 8" descr=".">
          <a:extLst>
            <a:ext uri="{FF2B5EF4-FFF2-40B4-BE49-F238E27FC236}">
              <a16:creationId xmlns:a16="http://schemas.microsoft.com/office/drawing/2014/main" id="{00000000-0008-0000-1D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9" name="Picture 9" descr=".">
          <a:extLst>
            <a:ext uri="{FF2B5EF4-FFF2-40B4-BE49-F238E27FC236}">
              <a16:creationId xmlns:a16="http://schemas.microsoft.com/office/drawing/2014/main" id="{00000000-0008-0000-1D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0" name="Picture 10" descr=".">
          <a:extLst>
            <a:ext uri="{FF2B5EF4-FFF2-40B4-BE49-F238E27FC236}">
              <a16:creationId xmlns:a16="http://schemas.microsoft.com/office/drawing/2014/main" id="{00000000-0008-0000-1D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 name="Picture 11" descr=".">
          <a:extLst>
            <a:ext uri="{FF2B5EF4-FFF2-40B4-BE49-F238E27FC236}">
              <a16:creationId xmlns:a16="http://schemas.microsoft.com/office/drawing/2014/main" id="{00000000-0008-0000-1D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13970</xdr:colOff>
      <xdr:row>20</xdr:row>
      <xdr:rowOff>17709</xdr:rowOff>
    </xdr:to>
    <xdr:pic>
      <xdr:nvPicPr>
        <xdr:cNvPr id="32" name="Picture 6" descr=".">
          <a:extLst>
            <a:ext uri="{FF2B5EF4-FFF2-40B4-BE49-F238E27FC236}">
              <a16:creationId xmlns:a16="http://schemas.microsoft.com/office/drawing/2014/main" id="{00000000-0008-0000-1D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3" name="Picture 7" descr=".">
          <a:extLst>
            <a:ext uri="{FF2B5EF4-FFF2-40B4-BE49-F238E27FC236}">
              <a16:creationId xmlns:a16="http://schemas.microsoft.com/office/drawing/2014/main" id="{00000000-0008-0000-1D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17709</xdr:rowOff>
    </xdr:to>
    <xdr:pic>
      <xdr:nvPicPr>
        <xdr:cNvPr id="34" name="Picture 8" descr=".">
          <a:extLst>
            <a:ext uri="{FF2B5EF4-FFF2-40B4-BE49-F238E27FC236}">
              <a16:creationId xmlns:a16="http://schemas.microsoft.com/office/drawing/2014/main" id="{00000000-0008-0000-1D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5" name="Picture 9" descr=".">
          <a:extLst>
            <a:ext uri="{FF2B5EF4-FFF2-40B4-BE49-F238E27FC236}">
              <a16:creationId xmlns:a16="http://schemas.microsoft.com/office/drawing/2014/main" id="{00000000-0008-0000-1D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17708</xdr:rowOff>
    </xdr:to>
    <xdr:pic>
      <xdr:nvPicPr>
        <xdr:cNvPr id="36" name="Picture 10" descr=".">
          <a:extLst>
            <a:ext uri="{FF2B5EF4-FFF2-40B4-BE49-F238E27FC236}">
              <a16:creationId xmlns:a16="http://schemas.microsoft.com/office/drawing/2014/main" id="{00000000-0008-0000-1D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17711</xdr:rowOff>
    </xdr:to>
    <xdr:pic>
      <xdr:nvPicPr>
        <xdr:cNvPr id="37" name="Picture 11" descr=".">
          <a:extLst>
            <a:ext uri="{FF2B5EF4-FFF2-40B4-BE49-F238E27FC236}">
              <a16:creationId xmlns:a16="http://schemas.microsoft.com/office/drawing/2014/main" id="{00000000-0008-0000-1D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8" name="Picture 6" descr=".">
          <a:extLst>
            <a:ext uri="{FF2B5EF4-FFF2-40B4-BE49-F238E27FC236}">
              <a16:creationId xmlns:a16="http://schemas.microsoft.com/office/drawing/2014/main" id="{00000000-0008-0000-1D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9" name="Picture 7" descr=".">
          <a:extLst>
            <a:ext uri="{FF2B5EF4-FFF2-40B4-BE49-F238E27FC236}">
              <a16:creationId xmlns:a16="http://schemas.microsoft.com/office/drawing/2014/main" id="{00000000-0008-0000-1D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40" name="Picture 8" descr=".">
          <a:extLst>
            <a:ext uri="{FF2B5EF4-FFF2-40B4-BE49-F238E27FC236}">
              <a16:creationId xmlns:a16="http://schemas.microsoft.com/office/drawing/2014/main" id="{00000000-0008-0000-1D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41" name="Picture 9" descr=".">
          <a:extLst>
            <a:ext uri="{FF2B5EF4-FFF2-40B4-BE49-F238E27FC236}">
              <a16:creationId xmlns:a16="http://schemas.microsoft.com/office/drawing/2014/main" id="{00000000-0008-0000-1D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42" name="Picture 10" descr=".">
          <a:extLst>
            <a:ext uri="{FF2B5EF4-FFF2-40B4-BE49-F238E27FC236}">
              <a16:creationId xmlns:a16="http://schemas.microsoft.com/office/drawing/2014/main" id="{00000000-0008-0000-1D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43" name="Picture 11" descr=".">
          <a:extLst>
            <a:ext uri="{FF2B5EF4-FFF2-40B4-BE49-F238E27FC236}">
              <a16:creationId xmlns:a16="http://schemas.microsoft.com/office/drawing/2014/main" id="{00000000-0008-0000-1D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4" name="Picture 6" descr=".">
          <a:extLst>
            <a:ext uri="{FF2B5EF4-FFF2-40B4-BE49-F238E27FC236}">
              <a16:creationId xmlns:a16="http://schemas.microsoft.com/office/drawing/2014/main" id="{00000000-0008-0000-1D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5" name="Picture 7" descr=".">
          <a:extLst>
            <a:ext uri="{FF2B5EF4-FFF2-40B4-BE49-F238E27FC236}">
              <a16:creationId xmlns:a16="http://schemas.microsoft.com/office/drawing/2014/main" id="{00000000-0008-0000-1D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6" name="Picture 8" descr=".">
          <a:extLst>
            <a:ext uri="{FF2B5EF4-FFF2-40B4-BE49-F238E27FC236}">
              <a16:creationId xmlns:a16="http://schemas.microsoft.com/office/drawing/2014/main" id="{00000000-0008-0000-1D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7" name="Picture 9" descr=".">
          <a:extLst>
            <a:ext uri="{FF2B5EF4-FFF2-40B4-BE49-F238E27FC236}">
              <a16:creationId xmlns:a16="http://schemas.microsoft.com/office/drawing/2014/main" id="{00000000-0008-0000-1D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48" name="Picture 10" descr=".">
          <a:extLst>
            <a:ext uri="{FF2B5EF4-FFF2-40B4-BE49-F238E27FC236}">
              <a16:creationId xmlns:a16="http://schemas.microsoft.com/office/drawing/2014/main" id="{00000000-0008-0000-1D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49" name="Picture 11" descr=".">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0" name="Picture 6" descr=".">
          <a:extLst>
            <a:ext uri="{FF2B5EF4-FFF2-40B4-BE49-F238E27FC236}">
              <a16:creationId xmlns:a16="http://schemas.microsoft.com/office/drawing/2014/main" id="{00000000-0008-0000-1D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1" name="Picture 7" descr=".">
          <a:extLst>
            <a:ext uri="{FF2B5EF4-FFF2-40B4-BE49-F238E27FC236}">
              <a16:creationId xmlns:a16="http://schemas.microsoft.com/office/drawing/2014/main" id="{00000000-0008-0000-1D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2" name="Picture 8" descr=".">
          <a:extLst>
            <a:ext uri="{FF2B5EF4-FFF2-40B4-BE49-F238E27FC236}">
              <a16:creationId xmlns:a16="http://schemas.microsoft.com/office/drawing/2014/main" id="{00000000-0008-0000-1D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3" name="Picture 9" descr=".">
          <a:extLst>
            <a:ext uri="{FF2B5EF4-FFF2-40B4-BE49-F238E27FC236}">
              <a16:creationId xmlns:a16="http://schemas.microsoft.com/office/drawing/2014/main" id="{00000000-0008-0000-1D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54" name="Picture 10" descr=".">
          <a:extLst>
            <a:ext uri="{FF2B5EF4-FFF2-40B4-BE49-F238E27FC236}">
              <a16:creationId xmlns:a16="http://schemas.microsoft.com/office/drawing/2014/main" id="{00000000-0008-0000-1D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55" name="Picture 11" descr=".">
          <a:extLst>
            <a:ext uri="{FF2B5EF4-FFF2-40B4-BE49-F238E27FC236}">
              <a16:creationId xmlns:a16="http://schemas.microsoft.com/office/drawing/2014/main" id="{00000000-0008-0000-1D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6" name="Picture 6" descr=".">
          <a:extLst>
            <a:ext uri="{FF2B5EF4-FFF2-40B4-BE49-F238E27FC236}">
              <a16:creationId xmlns:a16="http://schemas.microsoft.com/office/drawing/2014/main" id="{00000000-0008-0000-1D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7" name="Picture 7" descr=".">
          <a:extLst>
            <a:ext uri="{FF2B5EF4-FFF2-40B4-BE49-F238E27FC236}">
              <a16:creationId xmlns:a16="http://schemas.microsoft.com/office/drawing/2014/main" id="{00000000-0008-0000-1D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8" name="Picture 8" descr=".">
          <a:extLst>
            <a:ext uri="{FF2B5EF4-FFF2-40B4-BE49-F238E27FC236}">
              <a16:creationId xmlns:a16="http://schemas.microsoft.com/office/drawing/2014/main" id="{00000000-0008-0000-1D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9" name="Picture 9" descr=".">
          <a:extLst>
            <a:ext uri="{FF2B5EF4-FFF2-40B4-BE49-F238E27FC236}">
              <a16:creationId xmlns:a16="http://schemas.microsoft.com/office/drawing/2014/main" id="{00000000-0008-0000-1D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0" name="Picture 10" descr=".">
          <a:extLst>
            <a:ext uri="{FF2B5EF4-FFF2-40B4-BE49-F238E27FC236}">
              <a16:creationId xmlns:a16="http://schemas.microsoft.com/office/drawing/2014/main" id="{00000000-0008-0000-1D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1" name="Picture 11" descr=".">
          <a:extLst>
            <a:ext uri="{FF2B5EF4-FFF2-40B4-BE49-F238E27FC236}">
              <a16:creationId xmlns:a16="http://schemas.microsoft.com/office/drawing/2014/main" id="{00000000-0008-0000-1D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2" name="Picture 6" descr=".">
          <a:extLst>
            <a:ext uri="{FF2B5EF4-FFF2-40B4-BE49-F238E27FC236}">
              <a16:creationId xmlns:a16="http://schemas.microsoft.com/office/drawing/2014/main" id="{00000000-0008-0000-1D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3" name="Picture 7" descr=".">
          <a:extLst>
            <a:ext uri="{FF2B5EF4-FFF2-40B4-BE49-F238E27FC236}">
              <a16:creationId xmlns:a16="http://schemas.microsoft.com/office/drawing/2014/main" id="{00000000-0008-0000-1D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4" name="Picture 8" descr=".">
          <a:extLst>
            <a:ext uri="{FF2B5EF4-FFF2-40B4-BE49-F238E27FC236}">
              <a16:creationId xmlns:a16="http://schemas.microsoft.com/office/drawing/2014/main" id="{00000000-0008-0000-1D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5" name="Picture 9" descr=".">
          <a:extLst>
            <a:ext uri="{FF2B5EF4-FFF2-40B4-BE49-F238E27FC236}">
              <a16:creationId xmlns:a16="http://schemas.microsoft.com/office/drawing/2014/main" id="{00000000-0008-0000-1D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6" name="Picture 10" descr=".">
          <a:extLst>
            <a:ext uri="{FF2B5EF4-FFF2-40B4-BE49-F238E27FC236}">
              <a16:creationId xmlns:a16="http://schemas.microsoft.com/office/drawing/2014/main" id="{00000000-0008-0000-1D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7" name="Picture 11" descr=".">
          <a:extLst>
            <a:ext uri="{FF2B5EF4-FFF2-40B4-BE49-F238E27FC236}">
              <a16:creationId xmlns:a16="http://schemas.microsoft.com/office/drawing/2014/main" id="{00000000-0008-0000-1D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8" name="Picture 6" descr=".">
          <a:extLst>
            <a:ext uri="{FF2B5EF4-FFF2-40B4-BE49-F238E27FC236}">
              <a16:creationId xmlns:a16="http://schemas.microsoft.com/office/drawing/2014/main" id="{00000000-0008-0000-1D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9" name="Picture 7" descr=".">
          <a:extLst>
            <a:ext uri="{FF2B5EF4-FFF2-40B4-BE49-F238E27FC236}">
              <a16:creationId xmlns:a16="http://schemas.microsoft.com/office/drawing/2014/main" id="{00000000-0008-0000-1D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0" name="Picture 8" descr=".">
          <a:extLst>
            <a:ext uri="{FF2B5EF4-FFF2-40B4-BE49-F238E27FC236}">
              <a16:creationId xmlns:a16="http://schemas.microsoft.com/office/drawing/2014/main" id="{00000000-0008-0000-1D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1" name="Picture 9" descr=".">
          <a:extLst>
            <a:ext uri="{FF2B5EF4-FFF2-40B4-BE49-F238E27FC236}">
              <a16:creationId xmlns:a16="http://schemas.microsoft.com/office/drawing/2014/main" id="{00000000-0008-0000-1D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2" name="Picture 10" descr=".">
          <a:extLst>
            <a:ext uri="{FF2B5EF4-FFF2-40B4-BE49-F238E27FC236}">
              <a16:creationId xmlns:a16="http://schemas.microsoft.com/office/drawing/2014/main" id="{00000000-0008-0000-1D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3" name="Picture 11" descr=".">
          <a:extLst>
            <a:ext uri="{FF2B5EF4-FFF2-40B4-BE49-F238E27FC236}">
              <a16:creationId xmlns:a16="http://schemas.microsoft.com/office/drawing/2014/main" id="{00000000-0008-0000-1D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1D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1D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1D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1D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1D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1D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1D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1D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1D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1D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1D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1D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6" name="Picture 6" descr=".">
          <a:extLst>
            <a:ext uri="{FF2B5EF4-FFF2-40B4-BE49-F238E27FC236}">
              <a16:creationId xmlns:a16="http://schemas.microsoft.com/office/drawing/2014/main" id="{00000000-0008-0000-1D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7" name="Picture 7" descr=".">
          <a:extLst>
            <a:ext uri="{FF2B5EF4-FFF2-40B4-BE49-F238E27FC236}">
              <a16:creationId xmlns:a16="http://schemas.microsoft.com/office/drawing/2014/main" id="{00000000-0008-0000-1D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8" name="Picture 8" descr=".">
          <a:extLst>
            <a:ext uri="{FF2B5EF4-FFF2-40B4-BE49-F238E27FC236}">
              <a16:creationId xmlns:a16="http://schemas.microsoft.com/office/drawing/2014/main" id="{00000000-0008-0000-1D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9" name="Picture 9" descr=".">
          <a:extLst>
            <a:ext uri="{FF2B5EF4-FFF2-40B4-BE49-F238E27FC236}">
              <a16:creationId xmlns:a16="http://schemas.microsoft.com/office/drawing/2014/main" id="{00000000-0008-0000-1D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0" name="Picture 10" descr=".">
          <a:extLst>
            <a:ext uri="{FF2B5EF4-FFF2-40B4-BE49-F238E27FC236}">
              <a16:creationId xmlns:a16="http://schemas.microsoft.com/office/drawing/2014/main" id="{00000000-0008-0000-1D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1" name="Picture 11" descr=".">
          <a:extLst>
            <a:ext uri="{FF2B5EF4-FFF2-40B4-BE49-F238E27FC236}">
              <a16:creationId xmlns:a16="http://schemas.microsoft.com/office/drawing/2014/main" id="{00000000-0008-0000-1D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2" name="Picture 6" descr=".">
          <a:extLst>
            <a:ext uri="{FF2B5EF4-FFF2-40B4-BE49-F238E27FC236}">
              <a16:creationId xmlns:a16="http://schemas.microsoft.com/office/drawing/2014/main" id="{00000000-0008-0000-1D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3" name="Picture 7" descr=".">
          <a:extLst>
            <a:ext uri="{FF2B5EF4-FFF2-40B4-BE49-F238E27FC236}">
              <a16:creationId xmlns:a16="http://schemas.microsoft.com/office/drawing/2014/main" id="{00000000-0008-0000-1D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4" name="Picture 8" descr=".">
          <a:extLst>
            <a:ext uri="{FF2B5EF4-FFF2-40B4-BE49-F238E27FC236}">
              <a16:creationId xmlns:a16="http://schemas.microsoft.com/office/drawing/2014/main" id="{00000000-0008-0000-1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5" name="Picture 9" descr=".">
          <a:extLst>
            <a:ext uri="{FF2B5EF4-FFF2-40B4-BE49-F238E27FC236}">
              <a16:creationId xmlns:a16="http://schemas.microsoft.com/office/drawing/2014/main" id="{00000000-0008-0000-1D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6" name="Picture 10" descr=".">
          <a:extLst>
            <a:ext uri="{FF2B5EF4-FFF2-40B4-BE49-F238E27FC236}">
              <a16:creationId xmlns:a16="http://schemas.microsoft.com/office/drawing/2014/main" id="{00000000-0008-0000-1D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7" name="Picture 11" descr=".">
          <a:extLst>
            <a:ext uri="{FF2B5EF4-FFF2-40B4-BE49-F238E27FC236}">
              <a16:creationId xmlns:a16="http://schemas.microsoft.com/office/drawing/2014/main" id="{00000000-0008-0000-1D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8" name="Picture 6" descr=".">
          <a:extLst>
            <a:ext uri="{FF2B5EF4-FFF2-40B4-BE49-F238E27FC236}">
              <a16:creationId xmlns:a16="http://schemas.microsoft.com/office/drawing/2014/main" id="{00000000-0008-0000-1D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9" name="Picture 7" descr=".">
          <a:extLst>
            <a:ext uri="{FF2B5EF4-FFF2-40B4-BE49-F238E27FC236}">
              <a16:creationId xmlns:a16="http://schemas.microsoft.com/office/drawing/2014/main" id="{00000000-0008-0000-1D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0" name="Picture 8" descr=".">
          <a:extLst>
            <a:ext uri="{FF2B5EF4-FFF2-40B4-BE49-F238E27FC236}">
              <a16:creationId xmlns:a16="http://schemas.microsoft.com/office/drawing/2014/main" id="{00000000-0008-0000-1D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1" name="Picture 9" descr=".">
          <a:extLst>
            <a:ext uri="{FF2B5EF4-FFF2-40B4-BE49-F238E27FC236}">
              <a16:creationId xmlns:a16="http://schemas.microsoft.com/office/drawing/2014/main" id="{00000000-0008-0000-1D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2" name="Picture 10" descr=".">
          <a:extLst>
            <a:ext uri="{FF2B5EF4-FFF2-40B4-BE49-F238E27FC236}">
              <a16:creationId xmlns:a16="http://schemas.microsoft.com/office/drawing/2014/main" id="{00000000-0008-0000-1D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3" name="Picture 11" descr=".">
          <a:extLst>
            <a:ext uri="{FF2B5EF4-FFF2-40B4-BE49-F238E27FC236}">
              <a16:creationId xmlns:a16="http://schemas.microsoft.com/office/drawing/2014/main" id="{00000000-0008-0000-1D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4" name="Picture 6" descr=".">
          <a:extLst>
            <a:ext uri="{FF2B5EF4-FFF2-40B4-BE49-F238E27FC236}">
              <a16:creationId xmlns:a16="http://schemas.microsoft.com/office/drawing/2014/main" id="{00000000-0008-0000-1D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5" name="Picture 7" descr=".">
          <a:extLst>
            <a:ext uri="{FF2B5EF4-FFF2-40B4-BE49-F238E27FC236}">
              <a16:creationId xmlns:a16="http://schemas.microsoft.com/office/drawing/2014/main" id="{00000000-0008-0000-1D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6" name="Picture 8" descr=".">
          <a:extLst>
            <a:ext uri="{FF2B5EF4-FFF2-40B4-BE49-F238E27FC236}">
              <a16:creationId xmlns:a16="http://schemas.microsoft.com/office/drawing/2014/main" id="{00000000-0008-0000-1D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7" name="Picture 9" descr=".">
          <a:extLst>
            <a:ext uri="{FF2B5EF4-FFF2-40B4-BE49-F238E27FC236}">
              <a16:creationId xmlns:a16="http://schemas.microsoft.com/office/drawing/2014/main" id="{00000000-0008-0000-1D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8" name="Picture 10" descr=".">
          <a:extLst>
            <a:ext uri="{FF2B5EF4-FFF2-40B4-BE49-F238E27FC236}">
              <a16:creationId xmlns:a16="http://schemas.microsoft.com/office/drawing/2014/main" id="{00000000-0008-0000-1D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9" name="Picture 11" descr=".">
          <a:extLst>
            <a:ext uri="{FF2B5EF4-FFF2-40B4-BE49-F238E27FC236}">
              <a16:creationId xmlns:a16="http://schemas.microsoft.com/office/drawing/2014/main" id="{00000000-0008-0000-1D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0" name="Picture 6" descr=".">
          <a:extLst>
            <a:ext uri="{FF2B5EF4-FFF2-40B4-BE49-F238E27FC236}">
              <a16:creationId xmlns:a16="http://schemas.microsoft.com/office/drawing/2014/main" id="{00000000-0008-0000-1D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1" name="Picture 7" descr=".">
          <a:extLst>
            <a:ext uri="{FF2B5EF4-FFF2-40B4-BE49-F238E27FC236}">
              <a16:creationId xmlns:a16="http://schemas.microsoft.com/office/drawing/2014/main" id="{00000000-0008-0000-1D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2" name="Picture 8" descr=".">
          <a:extLst>
            <a:ext uri="{FF2B5EF4-FFF2-40B4-BE49-F238E27FC236}">
              <a16:creationId xmlns:a16="http://schemas.microsoft.com/office/drawing/2014/main" id="{00000000-0008-0000-1D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3" name="Picture 9" descr=".">
          <a:extLst>
            <a:ext uri="{FF2B5EF4-FFF2-40B4-BE49-F238E27FC236}">
              <a16:creationId xmlns:a16="http://schemas.microsoft.com/office/drawing/2014/main" id="{00000000-0008-0000-1D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14" name="Picture 10" descr=".">
          <a:extLst>
            <a:ext uri="{FF2B5EF4-FFF2-40B4-BE49-F238E27FC236}">
              <a16:creationId xmlns:a16="http://schemas.microsoft.com/office/drawing/2014/main" id="{00000000-0008-0000-1D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15" name="Picture 11" descr=".">
          <a:extLst>
            <a:ext uri="{FF2B5EF4-FFF2-40B4-BE49-F238E27FC236}">
              <a16:creationId xmlns:a16="http://schemas.microsoft.com/office/drawing/2014/main" id="{00000000-0008-0000-1D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6" name="Picture 6" descr=".">
          <a:extLst>
            <a:ext uri="{FF2B5EF4-FFF2-40B4-BE49-F238E27FC236}">
              <a16:creationId xmlns:a16="http://schemas.microsoft.com/office/drawing/2014/main" id="{00000000-0008-0000-1D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7" name="Picture 7" descr=".">
          <a:extLst>
            <a:ext uri="{FF2B5EF4-FFF2-40B4-BE49-F238E27FC236}">
              <a16:creationId xmlns:a16="http://schemas.microsoft.com/office/drawing/2014/main" id="{00000000-0008-0000-1D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8" name="Picture 8" descr=".">
          <a:extLst>
            <a:ext uri="{FF2B5EF4-FFF2-40B4-BE49-F238E27FC236}">
              <a16:creationId xmlns:a16="http://schemas.microsoft.com/office/drawing/2014/main" id="{00000000-0008-0000-1D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9" name="Picture 9" descr=".">
          <a:extLst>
            <a:ext uri="{FF2B5EF4-FFF2-40B4-BE49-F238E27FC236}">
              <a16:creationId xmlns:a16="http://schemas.microsoft.com/office/drawing/2014/main" id="{00000000-0008-0000-1D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0" name="Picture 10" descr=".">
          <a:extLst>
            <a:ext uri="{FF2B5EF4-FFF2-40B4-BE49-F238E27FC236}">
              <a16:creationId xmlns:a16="http://schemas.microsoft.com/office/drawing/2014/main" id="{00000000-0008-0000-1D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1" name="Picture 11" descr=".">
          <a:extLst>
            <a:ext uri="{FF2B5EF4-FFF2-40B4-BE49-F238E27FC236}">
              <a16:creationId xmlns:a16="http://schemas.microsoft.com/office/drawing/2014/main" id="{00000000-0008-0000-1D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2" name="Picture 6" descr=".">
          <a:extLst>
            <a:ext uri="{FF2B5EF4-FFF2-40B4-BE49-F238E27FC236}">
              <a16:creationId xmlns:a16="http://schemas.microsoft.com/office/drawing/2014/main" id="{00000000-0008-0000-1D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3" name="Picture 7" descr=".">
          <a:extLst>
            <a:ext uri="{FF2B5EF4-FFF2-40B4-BE49-F238E27FC236}">
              <a16:creationId xmlns:a16="http://schemas.microsoft.com/office/drawing/2014/main" id="{00000000-0008-0000-1D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4" name="Picture 8" descr=".">
          <a:extLst>
            <a:ext uri="{FF2B5EF4-FFF2-40B4-BE49-F238E27FC236}">
              <a16:creationId xmlns:a16="http://schemas.microsoft.com/office/drawing/2014/main" id="{00000000-0008-0000-1D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5" name="Picture 9" descr=".">
          <a:extLst>
            <a:ext uri="{FF2B5EF4-FFF2-40B4-BE49-F238E27FC236}">
              <a16:creationId xmlns:a16="http://schemas.microsoft.com/office/drawing/2014/main" id="{00000000-0008-0000-1D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6" name="Picture 10" descr=".">
          <a:extLst>
            <a:ext uri="{FF2B5EF4-FFF2-40B4-BE49-F238E27FC236}">
              <a16:creationId xmlns:a16="http://schemas.microsoft.com/office/drawing/2014/main" id="{00000000-0008-0000-1D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7" name="Picture 11" descr=".">
          <a:extLst>
            <a:ext uri="{FF2B5EF4-FFF2-40B4-BE49-F238E27FC236}">
              <a16:creationId xmlns:a16="http://schemas.microsoft.com/office/drawing/2014/main" id="{00000000-0008-0000-1D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8" name="Picture 6" descr=".">
          <a:extLst>
            <a:ext uri="{FF2B5EF4-FFF2-40B4-BE49-F238E27FC236}">
              <a16:creationId xmlns:a16="http://schemas.microsoft.com/office/drawing/2014/main" id="{00000000-0008-0000-1D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9" name="Picture 7" descr=".">
          <a:extLst>
            <a:ext uri="{FF2B5EF4-FFF2-40B4-BE49-F238E27FC236}">
              <a16:creationId xmlns:a16="http://schemas.microsoft.com/office/drawing/2014/main" id="{00000000-0008-0000-1D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0" name="Picture 8" descr=".">
          <a:extLst>
            <a:ext uri="{FF2B5EF4-FFF2-40B4-BE49-F238E27FC236}">
              <a16:creationId xmlns:a16="http://schemas.microsoft.com/office/drawing/2014/main" id="{00000000-0008-0000-1D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1" name="Picture 9" descr=".">
          <a:extLst>
            <a:ext uri="{FF2B5EF4-FFF2-40B4-BE49-F238E27FC236}">
              <a16:creationId xmlns:a16="http://schemas.microsoft.com/office/drawing/2014/main" id="{00000000-0008-0000-1D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2" name="Picture 10" descr=".">
          <a:extLst>
            <a:ext uri="{FF2B5EF4-FFF2-40B4-BE49-F238E27FC236}">
              <a16:creationId xmlns:a16="http://schemas.microsoft.com/office/drawing/2014/main" id="{00000000-0008-0000-1D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3" name="Picture 11" descr=".">
          <a:extLst>
            <a:ext uri="{FF2B5EF4-FFF2-40B4-BE49-F238E27FC236}">
              <a16:creationId xmlns:a16="http://schemas.microsoft.com/office/drawing/2014/main" id="{00000000-0008-0000-1D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1D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1D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1D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1D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1D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1D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1D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1D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1D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1D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1D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1D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D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D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D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D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D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D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D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D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D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D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D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D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8" name="Picture 6" descr=".">
          <a:extLst>
            <a:ext uri="{FF2B5EF4-FFF2-40B4-BE49-F238E27FC236}">
              <a16:creationId xmlns:a16="http://schemas.microsoft.com/office/drawing/2014/main" id="{00000000-0008-0000-1D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9" name="Picture 7" descr=".">
          <a:extLst>
            <a:ext uri="{FF2B5EF4-FFF2-40B4-BE49-F238E27FC236}">
              <a16:creationId xmlns:a16="http://schemas.microsoft.com/office/drawing/2014/main" id="{00000000-0008-0000-1D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0" name="Picture 8" descr=".">
          <a:extLst>
            <a:ext uri="{FF2B5EF4-FFF2-40B4-BE49-F238E27FC236}">
              <a16:creationId xmlns:a16="http://schemas.microsoft.com/office/drawing/2014/main" id="{00000000-0008-0000-1D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1" name="Picture 9" descr=".">
          <a:extLst>
            <a:ext uri="{FF2B5EF4-FFF2-40B4-BE49-F238E27FC236}">
              <a16:creationId xmlns:a16="http://schemas.microsoft.com/office/drawing/2014/main" id="{00000000-0008-0000-1D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2" name="Picture 10" descr=".">
          <a:extLst>
            <a:ext uri="{FF2B5EF4-FFF2-40B4-BE49-F238E27FC236}">
              <a16:creationId xmlns:a16="http://schemas.microsoft.com/office/drawing/2014/main" id="{00000000-0008-0000-1D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3" name="Picture 11" descr=".">
          <a:extLst>
            <a:ext uri="{FF2B5EF4-FFF2-40B4-BE49-F238E27FC236}">
              <a16:creationId xmlns:a16="http://schemas.microsoft.com/office/drawing/2014/main" id="{00000000-0008-0000-1D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4" name="Picture 6" descr=".">
          <a:extLst>
            <a:ext uri="{FF2B5EF4-FFF2-40B4-BE49-F238E27FC236}">
              <a16:creationId xmlns:a16="http://schemas.microsoft.com/office/drawing/2014/main" id="{00000000-0008-0000-1D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5" name="Picture 7" descr=".">
          <a:extLst>
            <a:ext uri="{FF2B5EF4-FFF2-40B4-BE49-F238E27FC236}">
              <a16:creationId xmlns:a16="http://schemas.microsoft.com/office/drawing/2014/main" id="{00000000-0008-0000-1D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6" name="Picture 8" descr=".">
          <a:extLst>
            <a:ext uri="{FF2B5EF4-FFF2-40B4-BE49-F238E27FC236}">
              <a16:creationId xmlns:a16="http://schemas.microsoft.com/office/drawing/2014/main" id="{00000000-0008-0000-1D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7" name="Picture 9" descr=".">
          <a:extLst>
            <a:ext uri="{FF2B5EF4-FFF2-40B4-BE49-F238E27FC236}">
              <a16:creationId xmlns:a16="http://schemas.microsoft.com/office/drawing/2014/main" id="{00000000-0008-0000-1D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8" name="Picture 10" descr=".">
          <a:extLst>
            <a:ext uri="{FF2B5EF4-FFF2-40B4-BE49-F238E27FC236}">
              <a16:creationId xmlns:a16="http://schemas.microsoft.com/office/drawing/2014/main" id="{00000000-0008-0000-1D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9" name="Picture 11" descr=".">
          <a:extLst>
            <a:ext uri="{FF2B5EF4-FFF2-40B4-BE49-F238E27FC236}">
              <a16:creationId xmlns:a16="http://schemas.microsoft.com/office/drawing/2014/main" id="{00000000-0008-0000-1D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0" name="Picture 6" descr=".">
          <a:extLst>
            <a:ext uri="{FF2B5EF4-FFF2-40B4-BE49-F238E27FC236}">
              <a16:creationId xmlns:a16="http://schemas.microsoft.com/office/drawing/2014/main" id="{00000000-0008-0000-1D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1" name="Picture 7" descr=".">
          <a:extLst>
            <a:ext uri="{FF2B5EF4-FFF2-40B4-BE49-F238E27FC236}">
              <a16:creationId xmlns:a16="http://schemas.microsoft.com/office/drawing/2014/main" id="{00000000-0008-0000-1D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2" name="Picture 8" descr=".">
          <a:extLst>
            <a:ext uri="{FF2B5EF4-FFF2-40B4-BE49-F238E27FC236}">
              <a16:creationId xmlns:a16="http://schemas.microsoft.com/office/drawing/2014/main" id="{00000000-0008-0000-1D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3" name="Picture 9" descr=".">
          <a:extLst>
            <a:ext uri="{FF2B5EF4-FFF2-40B4-BE49-F238E27FC236}">
              <a16:creationId xmlns:a16="http://schemas.microsoft.com/office/drawing/2014/main" id="{00000000-0008-0000-1D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74" name="Picture 10" descr=".">
          <a:extLst>
            <a:ext uri="{FF2B5EF4-FFF2-40B4-BE49-F238E27FC236}">
              <a16:creationId xmlns:a16="http://schemas.microsoft.com/office/drawing/2014/main" id="{00000000-0008-0000-1D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75" name="Picture 11" descr=".">
          <a:extLst>
            <a:ext uri="{FF2B5EF4-FFF2-40B4-BE49-F238E27FC236}">
              <a16:creationId xmlns:a16="http://schemas.microsoft.com/office/drawing/2014/main" id="{00000000-0008-0000-1D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D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D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D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D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D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D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D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D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D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D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D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D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D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D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D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D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D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D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D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D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D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D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D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D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0" name="Picture 6" descr=".">
          <a:extLst>
            <a:ext uri="{FF2B5EF4-FFF2-40B4-BE49-F238E27FC236}">
              <a16:creationId xmlns:a16="http://schemas.microsoft.com/office/drawing/2014/main" id="{00000000-0008-0000-1D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1" name="Picture 7" descr=".">
          <a:extLst>
            <a:ext uri="{FF2B5EF4-FFF2-40B4-BE49-F238E27FC236}">
              <a16:creationId xmlns:a16="http://schemas.microsoft.com/office/drawing/2014/main" id="{00000000-0008-0000-1D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2" name="Picture 8" descr=".">
          <a:extLst>
            <a:ext uri="{FF2B5EF4-FFF2-40B4-BE49-F238E27FC236}">
              <a16:creationId xmlns:a16="http://schemas.microsoft.com/office/drawing/2014/main" id="{00000000-0008-0000-1D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3" name="Picture 9" descr=".">
          <a:extLst>
            <a:ext uri="{FF2B5EF4-FFF2-40B4-BE49-F238E27FC236}">
              <a16:creationId xmlns:a16="http://schemas.microsoft.com/office/drawing/2014/main" id="{00000000-0008-0000-1D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04" name="Picture 10" descr=".">
          <a:extLst>
            <a:ext uri="{FF2B5EF4-FFF2-40B4-BE49-F238E27FC236}">
              <a16:creationId xmlns:a16="http://schemas.microsoft.com/office/drawing/2014/main" id="{00000000-0008-0000-1D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05" name="Picture 11" descr=".">
          <a:extLst>
            <a:ext uri="{FF2B5EF4-FFF2-40B4-BE49-F238E27FC236}">
              <a16:creationId xmlns:a16="http://schemas.microsoft.com/office/drawing/2014/main" id="{00000000-0008-0000-1D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6" name="Picture 6" descr=".">
          <a:extLst>
            <a:ext uri="{FF2B5EF4-FFF2-40B4-BE49-F238E27FC236}">
              <a16:creationId xmlns:a16="http://schemas.microsoft.com/office/drawing/2014/main" id="{00000000-0008-0000-1D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7" name="Picture 7" descr=".">
          <a:extLst>
            <a:ext uri="{FF2B5EF4-FFF2-40B4-BE49-F238E27FC236}">
              <a16:creationId xmlns:a16="http://schemas.microsoft.com/office/drawing/2014/main" id="{00000000-0008-0000-1D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8" name="Picture 8" descr=".">
          <a:extLst>
            <a:ext uri="{FF2B5EF4-FFF2-40B4-BE49-F238E27FC236}">
              <a16:creationId xmlns:a16="http://schemas.microsoft.com/office/drawing/2014/main" id="{00000000-0008-0000-1D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9" name="Picture 9" descr=".">
          <a:extLst>
            <a:ext uri="{FF2B5EF4-FFF2-40B4-BE49-F238E27FC236}">
              <a16:creationId xmlns:a16="http://schemas.microsoft.com/office/drawing/2014/main" id="{00000000-0008-0000-1D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0" name="Picture 10" descr=".">
          <a:extLst>
            <a:ext uri="{FF2B5EF4-FFF2-40B4-BE49-F238E27FC236}">
              <a16:creationId xmlns:a16="http://schemas.microsoft.com/office/drawing/2014/main" id="{00000000-0008-0000-1D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1" name="Picture 11" descr=".">
          <a:extLst>
            <a:ext uri="{FF2B5EF4-FFF2-40B4-BE49-F238E27FC236}">
              <a16:creationId xmlns:a16="http://schemas.microsoft.com/office/drawing/2014/main" id="{00000000-0008-0000-1D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2" name="Picture 6" descr=".">
          <a:extLst>
            <a:ext uri="{FF2B5EF4-FFF2-40B4-BE49-F238E27FC236}">
              <a16:creationId xmlns:a16="http://schemas.microsoft.com/office/drawing/2014/main" id="{00000000-0008-0000-1D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3" name="Picture 7" descr=".">
          <a:extLst>
            <a:ext uri="{FF2B5EF4-FFF2-40B4-BE49-F238E27FC236}">
              <a16:creationId xmlns:a16="http://schemas.microsoft.com/office/drawing/2014/main" id="{00000000-0008-0000-1D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4" name="Picture 8" descr=".">
          <a:extLst>
            <a:ext uri="{FF2B5EF4-FFF2-40B4-BE49-F238E27FC236}">
              <a16:creationId xmlns:a16="http://schemas.microsoft.com/office/drawing/2014/main" id="{00000000-0008-0000-1D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5" name="Picture 9" descr=".">
          <a:extLst>
            <a:ext uri="{FF2B5EF4-FFF2-40B4-BE49-F238E27FC236}">
              <a16:creationId xmlns:a16="http://schemas.microsoft.com/office/drawing/2014/main" id="{00000000-0008-0000-1D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6" name="Picture 10" descr=".">
          <a:extLst>
            <a:ext uri="{FF2B5EF4-FFF2-40B4-BE49-F238E27FC236}">
              <a16:creationId xmlns:a16="http://schemas.microsoft.com/office/drawing/2014/main" id="{00000000-0008-0000-1D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7" name="Picture 11" descr=".">
          <a:extLst>
            <a:ext uri="{FF2B5EF4-FFF2-40B4-BE49-F238E27FC236}">
              <a16:creationId xmlns:a16="http://schemas.microsoft.com/office/drawing/2014/main" id="{00000000-0008-0000-1D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8" name="Picture 6" descr=".">
          <a:extLst>
            <a:ext uri="{FF2B5EF4-FFF2-40B4-BE49-F238E27FC236}">
              <a16:creationId xmlns:a16="http://schemas.microsoft.com/office/drawing/2014/main" id="{00000000-0008-0000-1D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9" name="Picture 7" descr=".">
          <a:extLst>
            <a:ext uri="{FF2B5EF4-FFF2-40B4-BE49-F238E27FC236}">
              <a16:creationId xmlns:a16="http://schemas.microsoft.com/office/drawing/2014/main" id="{00000000-0008-0000-1D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0" name="Picture 8" descr=".">
          <a:extLst>
            <a:ext uri="{FF2B5EF4-FFF2-40B4-BE49-F238E27FC236}">
              <a16:creationId xmlns:a16="http://schemas.microsoft.com/office/drawing/2014/main" id="{00000000-0008-0000-1D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21" name="Picture 9" descr=".">
          <a:extLst>
            <a:ext uri="{FF2B5EF4-FFF2-40B4-BE49-F238E27FC236}">
              <a16:creationId xmlns:a16="http://schemas.microsoft.com/office/drawing/2014/main" id="{00000000-0008-0000-1D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22" name="Picture 10" descr=".">
          <a:extLst>
            <a:ext uri="{FF2B5EF4-FFF2-40B4-BE49-F238E27FC236}">
              <a16:creationId xmlns:a16="http://schemas.microsoft.com/office/drawing/2014/main" id="{00000000-0008-0000-1D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23" name="Picture 11" descr=".">
          <a:extLst>
            <a:ext uri="{FF2B5EF4-FFF2-40B4-BE49-F238E27FC236}">
              <a16:creationId xmlns:a16="http://schemas.microsoft.com/office/drawing/2014/main" id="{00000000-0008-0000-1D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4" name="Picture 6" descr=".">
          <a:extLst>
            <a:ext uri="{FF2B5EF4-FFF2-40B4-BE49-F238E27FC236}">
              <a16:creationId xmlns:a16="http://schemas.microsoft.com/office/drawing/2014/main" id="{00000000-0008-0000-1D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5" name="Picture 7" descr=".">
          <a:extLst>
            <a:ext uri="{FF2B5EF4-FFF2-40B4-BE49-F238E27FC236}">
              <a16:creationId xmlns:a16="http://schemas.microsoft.com/office/drawing/2014/main" id="{00000000-0008-0000-1D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6" name="Picture 8" descr=".">
          <a:extLst>
            <a:ext uri="{FF2B5EF4-FFF2-40B4-BE49-F238E27FC236}">
              <a16:creationId xmlns:a16="http://schemas.microsoft.com/office/drawing/2014/main" id="{00000000-0008-0000-1D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7" name="Picture 9" descr=".">
          <a:extLst>
            <a:ext uri="{FF2B5EF4-FFF2-40B4-BE49-F238E27FC236}">
              <a16:creationId xmlns:a16="http://schemas.microsoft.com/office/drawing/2014/main" id="{00000000-0008-0000-1D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228" name="Picture 10" descr=".">
          <a:extLst>
            <a:ext uri="{FF2B5EF4-FFF2-40B4-BE49-F238E27FC236}">
              <a16:creationId xmlns:a16="http://schemas.microsoft.com/office/drawing/2014/main" id="{00000000-0008-0000-1D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229" name="Picture 11" descr=".">
          <a:extLst>
            <a:ext uri="{FF2B5EF4-FFF2-40B4-BE49-F238E27FC236}">
              <a16:creationId xmlns:a16="http://schemas.microsoft.com/office/drawing/2014/main" id="{00000000-0008-0000-1D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0" name="Picture 6" descr=".">
          <a:extLst>
            <a:ext uri="{FF2B5EF4-FFF2-40B4-BE49-F238E27FC236}">
              <a16:creationId xmlns:a16="http://schemas.microsoft.com/office/drawing/2014/main" id="{00000000-0008-0000-1D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1" name="Picture 7" descr=".">
          <a:extLst>
            <a:ext uri="{FF2B5EF4-FFF2-40B4-BE49-F238E27FC236}">
              <a16:creationId xmlns:a16="http://schemas.microsoft.com/office/drawing/2014/main" id="{00000000-0008-0000-1D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2" name="Picture 8" descr=".">
          <a:extLst>
            <a:ext uri="{FF2B5EF4-FFF2-40B4-BE49-F238E27FC236}">
              <a16:creationId xmlns:a16="http://schemas.microsoft.com/office/drawing/2014/main" id="{00000000-0008-0000-1D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3" name="Picture 9" descr=".">
          <a:extLst>
            <a:ext uri="{FF2B5EF4-FFF2-40B4-BE49-F238E27FC236}">
              <a16:creationId xmlns:a16="http://schemas.microsoft.com/office/drawing/2014/main" id="{00000000-0008-0000-1D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34" name="Picture 10" descr=".">
          <a:extLst>
            <a:ext uri="{FF2B5EF4-FFF2-40B4-BE49-F238E27FC236}">
              <a16:creationId xmlns:a16="http://schemas.microsoft.com/office/drawing/2014/main" id="{00000000-0008-0000-1D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35" name="Picture 11" descr=".">
          <a:extLst>
            <a:ext uri="{FF2B5EF4-FFF2-40B4-BE49-F238E27FC236}">
              <a16:creationId xmlns:a16="http://schemas.microsoft.com/office/drawing/2014/main" id="{00000000-0008-0000-1D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6" name="Picture 6" descr=".">
          <a:extLst>
            <a:ext uri="{FF2B5EF4-FFF2-40B4-BE49-F238E27FC236}">
              <a16:creationId xmlns:a16="http://schemas.microsoft.com/office/drawing/2014/main" id="{00000000-0008-0000-1D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7" name="Picture 7" descr=".">
          <a:extLst>
            <a:ext uri="{FF2B5EF4-FFF2-40B4-BE49-F238E27FC236}">
              <a16:creationId xmlns:a16="http://schemas.microsoft.com/office/drawing/2014/main" id="{00000000-0008-0000-1D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8" name="Picture 8" descr=".">
          <a:extLst>
            <a:ext uri="{FF2B5EF4-FFF2-40B4-BE49-F238E27FC236}">
              <a16:creationId xmlns:a16="http://schemas.microsoft.com/office/drawing/2014/main" id="{00000000-0008-0000-1D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9" name="Picture 9" descr=".">
          <a:extLst>
            <a:ext uri="{FF2B5EF4-FFF2-40B4-BE49-F238E27FC236}">
              <a16:creationId xmlns:a16="http://schemas.microsoft.com/office/drawing/2014/main" id="{00000000-0008-0000-1D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0" name="Picture 10" descr=".">
          <a:extLst>
            <a:ext uri="{FF2B5EF4-FFF2-40B4-BE49-F238E27FC236}">
              <a16:creationId xmlns:a16="http://schemas.microsoft.com/office/drawing/2014/main" id="{00000000-0008-0000-1D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1" name="Picture 11" descr=".">
          <a:extLst>
            <a:ext uri="{FF2B5EF4-FFF2-40B4-BE49-F238E27FC236}">
              <a16:creationId xmlns:a16="http://schemas.microsoft.com/office/drawing/2014/main" id="{00000000-0008-0000-1D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2" name="Picture 6" descr=".">
          <a:extLst>
            <a:ext uri="{FF2B5EF4-FFF2-40B4-BE49-F238E27FC236}">
              <a16:creationId xmlns:a16="http://schemas.microsoft.com/office/drawing/2014/main" id="{00000000-0008-0000-1D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3" name="Picture 7" descr=".">
          <a:extLst>
            <a:ext uri="{FF2B5EF4-FFF2-40B4-BE49-F238E27FC236}">
              <a16:creationId xmlns:a16="http://schemas.microsoft.com/office/drawing/2014/main" id="{00000000-0008-0000-1D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4" name="Picture 8" descr=".">
          <a:extLst>
            <a:ext uri="{FF2B5EF4-FFF2-40B4-BE49-F238E27FC236}">
              <a16:creationId xmlns:a16="http://schemas.microsoft.com/office/drawing/2014/main" id="{00000000-0008-0000-1D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5" name="Picture 9" descr=".">
          <a:extLst>
            <a:ext uri="{FF2B5EF4-FFF2-40B4-BE49-F238E27FC236}">
              <a16:creationId xmlns:a16="http://schemas.microsoft.com/office/drawing/2014/main" id="{00000000-0008-0000-1D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6" name="Picture 10" descr=".">
          <a:extLst>
            <a:ext uri="{FF2B5EF4-FFF2-40B4-BE49-F238E27FC236}">
              <a16:creationId xmlns:a16="http://schemas.microsoft.com/office/drawing/2014/main" id="{00000000-0008-0000-1D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7" name="Picture 11" descr=".">
          <a:extLst>
            <a:ext uri="{FF2B5EF4-FFF2-40B4-BE49-F238E27FC236}">
              <a16:creationId xmlns:a16="http://schemas.microsoft.com/office/drawing/2014/main" id="{00000000-0008-0000-1D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D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D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D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D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D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D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D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D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D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D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D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D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0" name="Picture 6" descr=".">
          <a:extLst>
            <a:ext uri="{FF2B5EF4-FFF2-40B4-BE49-F238E27FC236}">
              <a16:creationId xmlns:a16="http://schemas.microsoft.com/office/drawing/2014/main" id="{00000000-0008-0000-1D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1" name="Picture 7" descr=".">
          <a:extLst>
            <a:ext uri="{FF2B5EF4-FFF2-40B4-BE49-F238E27FC236}">
              <a16:creationId xmlns:a16="http://schemas.microsoft.com/office/drawing/2014/main" id="{00000000-0008-0000-1D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2" name="Picture 8" descr=".">
          <a:extLst>
            <a:ext uri="{FF2B5EF4-FFF2-40B4-BE49-F238E27FC236}">
              <a16:creationId xmlns:a16="http://schemas.microsoft.com/office/drawing/2014/main" id="{00000000-0008-0000-1D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3" name="Picture 9" descr=".">
          <a:extLst>
            <a:ext uri="{FF2B5EF4-FFF2-40B4-BE49-F238E27FC236}">
              <a16:creationId xmlns:a16="http://schemas.microsoft.com/office/drawing/2014/main" id="{00000000-0008-0000-1D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64" name="Picture 10" descr=".">
          <a:extLst>
            <a:ext uri="{FF2B5EF4-FFF2-40B4-BE49-F238E27FC236}">
              <a16:creationId xmlns:a16="http://schemas.microsoft.com/office/drawing/2014/main" id="{00000000-0008-0000-1D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65" name="Picture 11" descr=".">
          <a:extLst>
            <a:ext uri="{FF2B5EF4-FFF2-40B4-BE49-F238E27FC236}">
              <a16:creationId xmlns:a16="http://schemas.microsoft.com/office/drawing/2014/main" id="{00000000-0008-0000-1D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6" name="Picture 6" descr=".">
          <a:extLst>
            <a:ext uri="{FF2B5EF4-FFF2-40B4-BE49-F238E27FC236}">
              <a16:creationId xmlns:a16="http://schemas.microsoft.com/office/drawing/2014/main" id="{00000000-0008-0000-1D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7" name="Picture 7" descr=".">
          <a:extLst>
            <a:ext uri="{FF2B5EF4-FFF2-40B4-BE49-F238E27FC236}">
              <a16:creationId xmlns:a16="http://schemas.microsoft.com/office/drawing/2014/main" id="{00000000-0008-0000-1D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8" name="Picture 8" descr=".">
          <a:extLst>
            <a:ext uri="{FF2B5EF4-FFF2-40B4-BE49-F238E27FC236}">
              <a16:creationId xmlns:a16="http://schemas.microsoft.com/office/drawing/2014/main" id="{00000000-0008-0000-1D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9" name="Picture 9" descr=".">
          <a:extLst>
            <a:ext uri="{FF2B5EF4-FFF2-40B4-BE49-F238E27FC236}">
              <a16:creationId xmlns:a16="http://schemas.microsoft.com/office/drawing/2014/main" id="{00000000-0008-0000-1D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0" name="Picture 10" descr=".">
          <a:extLst>
            <a:ext uri="{FF2B5EF4-FFF2-40B4-BE49-F238E27FC236}">
              <a16:creationId xmlns:a16="http://schemas.microsoft.com/office/drawing/2014/main" id="{00000000-0008-0000-1D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1" name="Picture 11" descr=".">
          <a:extLst>
            <a:ext uri="{FF2B5EF4-FFF2-40B4-BE49-F238E27FC236}">
              <a16:creationId xmlns:a16="http://schemas.microsoft.com/office/drawing/2014/main" id="{00000000-0008-0000-1D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2" name="Picture 6" descr=".">
          <a:extLst>
            <a:ext uri="{FF2B5EF4-FFF2-40B4-BE49-F238E27FC236}">
              <a16:creationId xmlns:a16="http://schemas.microsoft.com/office/drawing/2014/main" id="{00000000-0008-0000-1D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3" name="Picture 7" descr=".">
          <a:extLst>
            <a:ext uri="{FF2B5EF4-FFF2-40B4-BE49-F238E27FC236}">
              <a16:creationId xmlns:a16="http://schemas.microsoft.com/office/drawing/2014/main" id="{00000000-0008-0000-1D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4" name="Picture 8" descr=".">
          <a:extLst>
            <a:ext uri="{FF2B5EF4-FFF2-40B4-BE49-F238E27FC236}">
              <a16:creationId xmlns:a16="http://schemas.microsoft.com/office/drawing/2014/main" id="{00000000-0008-0000-1D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5" name="Picture 9" descr=".">
          <a:extLst>
            <a:ext uri="{FF2B5EF4-FFF2-40B4-BE49-F238E27FC236}">
              <a16:creationId xmlns:a16="http://schemas.microsoft.com/office/drawing/2014/main" id="{00000000-0008-0000-1D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6" name="Picture 10" descr=".">
          <a:extLst>
            <a:ext uri="{FF2B5EF4-FFF2-40B4-BE49-F238E27FC236}">
              <a16:creationId xmlns:a16="http://schemas.microsoft.com/office/drawing/2014/main" id="{00000000-0008-0000-1D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7" name="Picture 11" descr=".">
          <a:extLst>
            <a:ext uri="{FF2B5EF4-FFF2-40B4-BE49-F238E27FC236}">
              <a16:creationId xmlns:a16="http://schemas.microsoft.com/office/drawing/2014/main" id="{00000000-0008-0000-1D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8" name="Picture 6" descr=".">
          <a:extLst>
            <a:ext uri="{FF2B5EF4-FFF2-40B4-BE49-F238E27FC236}">
              <a16:creationId xmlns:a16="http://schemas.microsoft.com/office/drawing/2014/main" id="{00000000-0008-0000-1D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9" name="Picture 7" descr=".">
          <a:extLst>
            <a:ext uri="{FF2B5EF4-FFF2-40B4-BE49-F238E27FC236}">
              <a16:creationId xmlns:a16="http://schemas.microsoft.com/office/drawing/2014/main" id="{00000000-0008-0000-1D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80" name="Picture 8" descr=".">
          <a:extLst>
            <a:ext uri="{FF2B5EF4-FFF2-40B4-BE49-F238E27FC236}">
              <a16:creationId xmlns:a16="http://schemas.microsoft.com/office/drawing/2014/main" id="{00000000-0008-0000-1D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81" name="Picture 9" descr=".">
          <a:extLst>
            <a:ext uri="{FF2B5EF4-FFF2-40B4-BE49-F238E27FC236}">
              <a16:creationId xmlns:a16="http://schemas.microsoft.com/office/drawing/2014/main" id="{00000000-0008-0000-1D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82" name="Picture 10" descr=".">
          <a:extLst>
            <a:ext uri="{FF2B5EF4-FFF2-40B4-BE49-F238E27FC236}">
              <a16:creationId xmlns:a16="http://schemas.microsoft.com/office/drawing/2014/main" id="{00000000-0008-0000-1D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83" name="Picture 11" descr=".">
          <a:extLst>
            <a:ext uri="{FF2B5EF4-FFF2-40B4-BE49-F238E27FC236}">
              <a16:creationId xmlns:a16="http://schemas.microsoft.com/office/drawing/2014/main" id="{00000000-0008-0000-1D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4" name="Picture 6" descr=".">
          <a:extLst>
            <a:ext uri="{FF2B5EF4-FFF2-40B4-BE49-F238E27FC236}">
              <a16:creationId xmlns:a16="http://schemas.microsoft.com/office/drawing/2014/main" id="{00000000-0008-0000-1D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5" name="Picture 7" descr=".">
          <a:extLst>
            <a:ext uri="{FF2B5EF4-FFF2-40B4-BE49-F238E27FC236}">
              <a16:creationId xmlns:a16="http://schemas.microsoft.com/office/drawing/2014/main" id="{00000000-0008-0000-1D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6" name="Picture 8" descr=".">
          <a:extLst>
            <a:ext uri="{FF2B5EF4-FFF2-40B4-BE49-F238E27FC236}">
              <a16:creationId xmlns:a16="http://schemas.microsoft.com/office/drawing/2014/main" id="{00000000-0008-0000-1D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7" name="Picture 9" descr=".">
          <a:extLst>
            <a:ext uri="{FF2B5EF4-FFF2-40B4-BE49-F238E27FC236}">
              <a16:creationId xmlns:a16="http://schemas.microsoft.com/office/drawing/2014/main" id="{00000000-0008-0000-1D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88" name="Picture 10" descr=".">
          <a:extLst>
            <a:ext uri="{FF2B5EF4-FFF2-40B4-BE49-F238E27FC236}">
              <a16:creationId xmlns:a16="http://schemas.microsoft.com/office/drawing/2014/main" id="{00000000-0008-0000-1D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89" name="Picture 11" descr=".">
          <a:extLst>
            <a:ext uri="{FF2B5EF4-FFF2-40B4-BE49-F238E27FC236}">
              <a16:creationId xmlns:a16="http://schemas.microsoft.com/office/drawing/2014/main" id="{00000000-0008-0000-1D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D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D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D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D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D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D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D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D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D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D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D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D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F00-000001A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2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2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0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0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0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0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0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0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0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0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0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0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0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0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0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0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0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0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0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0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0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0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0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0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0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0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0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0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0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0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0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0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0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0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0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0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0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0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0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0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0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0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0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0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0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0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0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0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0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0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0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0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0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0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0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0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0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0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0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0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0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0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0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0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0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0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0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0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0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0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0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0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0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0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0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0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0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0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0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0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0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0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0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0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0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0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0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0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0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0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0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0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0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0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0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0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0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0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0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0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0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0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0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0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0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0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0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0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0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0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0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0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0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0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0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0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0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0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0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0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0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0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0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0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0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0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0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0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0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0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0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0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0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0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0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0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0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0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0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0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0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0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0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0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0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2" name="Picture 6" descr=".">
          <a:extLst>
            <a:ext uri="{FF2B5EF4-FFF2-40B4-BE49-F238E27FC236}">
              <a16:creationId xmlns:a16="http://schemas.microsoft.com/office/drawing/2014/main" id="{00000000-0008-0000-20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3" name="Picture 7" descr=".">
          <a:extLst>
            <a:ext uri="{FF2B5EF4-FFF2-40B4-BE49-F238E27FC236}">
              <a16:creationId xmlns:a16="http://schemas.microsoft.com/office/drawing/2014/main" id="{00000000-0008-0000-20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4" name="Picture 8" descr=".">
          <a:extLst>
            <a:ext uri="{FF2B5EF4-FFF2-40B4-BE49-F238E27FC236}">
              <a16:creationId xmlns:a16="http://schemas.microsoft.com/office/drawing/2014/main" id="{00000000-0008-0000-20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5" name="Picture 9" descr=".">
          <a:extLst>
            <a:ext uri="{FF2B5EF4-FFF2-40B4-BE49-F238E27FC236}">
              <a16:creationId xmlns:a16="http://schemas.microsoft.com/office/drawing/2014/main" id="{00000000-0008-0000-20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06" name="Picture 10" descr=".">
          <a:extLst>
            <a:ext uri="{FF2B5EF4-FFF2-40B4-BE49-F238E27FC236}">
              <a16:creationId xmlns:a16="http://schemas.microsoft.com/office/drawing/2014/main" id="{00000000-0008-0000-20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07" name="Picture 11" descr=".">
          <a:extLst>
            <a:ext uri="{FF2B5EF4-FFF2-40B4-BE49-F238E27FC236}">
              <a16:creationId xmlns:a16="http://schemas.microsoft.com/office/drawing/2014/main" id="{00000000-0008-0000-20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08" name="Picture 6" descr=".">
          <a:extLst>
            <a:ext uri="{FF2B5EF4-FFF2-40B4-BE49-F238E27FC236}">
              <a16:creationId xmlns:a16="http://schemas.microsoft.com/office/drawing/2014/main" id="{00000000-0008-0000-20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09" name="Picture 7" descr=".">
          <a:extLst>
            <a:ext uri="{FF2B5EF4-FFF2-40B4-BE49-F238E27FC236}">
              <a16:creationId xmlns:a16="http://schemas.microsoft.com/office/drawing/2014/main" id="{00000000-0008-0000-20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0" name="Picture 8" descr=".">
          <a:extLst>
            <a:ext uri="{FF2B5EF4-FFF2-40B4-BE49-F238E27FC236}">
              <a16:creationId xmlns:a16="http://schemas.microsoft.com/office/drawing/2014/main" id="{00000000-0008-0000-20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1" name="Picture 9" descr=".">
          <a:extLst>
            <a:ext uri="{FF2B5EF4-FFF2-40B4-BE49-F238E27FC236}">
              <a16:creationId xmlns:a16="http://schemas.microsoft.com/office/drawing/2014/main" id="{00000000-0008-0000-20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2" name="Picture 10" descr=".">
          <a:extLst>
            <a:ext uri="{FF2B5EF4-FFF2-40B4-BE49-F238E27FC236}">
              <a16:creationId xmlns:a16="http://schemas.microsoft.com/office/drawing/2014/main" id="{00000000-0008-0000-20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3" name="Picture 11" descr=".">
          <a:extLst>
            <a:ext uri="{FF2B5EF4-FFF2-40B4-BE49-F238E27FC236}">
              <a16:creationId xmlns:a16="http://schemas.microsoft.com/office/drawing/2014/main" id="{00000000-0008-0000-20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4" name="Picture 6" descr=".">
          <a:extLst>
            <a:ext uri="{FF2B5EF4-FFF2-40B4-BE49-F238E27FC236}">
              <a16:creationId xmlns:a16="http://schemas.microsoft.com/office/drawing/2014/main" id="{00000000-0008-0000-20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5" name="Picture 7" descr=".">
          <a:extLst>
            <a:ext uri="{FF2B5EF4-FFF2-40B4-BE49-F238E27FC236}">
              <a16:creationId xmlns:a16="http://schemas.microsoft.com/office/drawing/2014/main" id="{00000000-0008-0000-20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6" name="Picture 8" descr=".">
          <a:extLst>
            <a:ext uri="{FF2B5EF4-FFF2-40B4-BE49-F238E27FC236}">
              <a16:creationId xmlns:a16="http://schemas.microsoft.com/office/drawing/2014/main" id="{00000000-0008-0000-20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7" name="Picture 9" descr=".">
          <a:extLst>
            <a:ext uri="{FF2B5EF4-FFF2-40B4-BE49-F238E27FC236}">
              <a16:creationId xmlns:a16="http://schemas.microsoft.com/office/drawing/2014/main" id="{00000000-0008-0000-20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8" name="Picture 10" descr=".">
          <a:extLst>
            <a:ext uri="{FF2B5EF4-FFF2-40B4-BE49-F238E27FC236}">
              <a16:creationId xmlns:a16="http://schemas.microsoft.com/office/drawing/2014/main" id="{00000000-0008-0000-20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9" name="Picture 11" descr=".">
          <a:extLst>
            <a:ext uri="{FF2B5EF4-FFF2-40B4-BE49-F238E27FC236}">
              <a16:creationId xmlns:a16="http://schemas.microsoft.com/office/drawing/2014/main" id="{00000000-0008-0000-20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0" name="Picture 6" descr=".">
          <a:extLst>
            <a:ext uri="{FF2B5EF4-FFF2-40B4-BE49-F238E27FC236}">
              <a16:creationId xmlns:a16="http://schemas.microsoft.com/office/drawing/2014/main" id="{00000000-0008-0000-20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1" name="Picture 7" descr=".">
          <a:extLst>
            <a:ext uri="{FF2B5EF4-FFF2-40B4-BE49-F238E27FC236}">
              <a16:creationId xmlns:a16="http://schemas.microsoft.com/office/drawing/2014/main" id="{00000000-0008-0000-20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2" name="Picture 8" descr=".">
          <a:extLst>
            <a:ext uri="{FF2B5EF4-FFF2-40B4-BE49-F238E27FC236}">
              <a16:creationId xmlns:a16="http://schemas.microsoft.com/office/drawing/2014/main" id="{00000000-0008-0000-20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3" name="Picture 9" descr=".">
          <a:extLst>
            <a:ext uri="{FF2B5EF4-FFF2-40B4-BE49-F238E27FC236}">
              <a16:creationId xmlns:a16="http://schemas.microsoft.com/office/drawing/2014/main" id="{00000000-0008-0000-20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24" name="Picture 10" descr=".">
          <a:extLst>
            <a:ext uri="{FF2B5EF4-FFF2-40B4-BE49-F238E27FC236}">
              <a16:creationId xmlns:a16="http://schemas.microsoft.com/office/drawing/2014/main" id="{00000000-0008-0000-20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25" name="Picture 11" descr=".">
          <a:extLst>
            <a:ext uri="{FF2B5EF4-FFF2-40B4-BE49-F238E27FC236}">
              <a16:creationId xmlns:a16="http://schemas.microsoft.com/office/drawing/2014/main" id="{00000000-0008-0000-20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6" name="Picture 6" descr=".">
          <a:extLst>
            <a:ext uri="{FF2B5EF4-FFF2-40B4-BE49-F238E27FC236}">
              <a16:creationId xmlns:a16="http://schemas.microsoft.com/office/drawing/2014/main" id="{00000000-0008-0000-20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7" name="Picture 7" descr=".">
          <a:extLst>
            <a:ext uri="{FF2B5EF4-FFF2-40B4-BE49-F238E27FC236}">
              <a16:creationId xmlns:a16="http://schemas.microsoft.com/office/drawing/2014/main" id="{00000000-0008-0000-20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8" name="Picture 8" descr=".">
          <a:extLst>
            <a:ext uri="{FF2B5EF4-FFF2-40B4-BE49-F238E27FC236}">
              <a16:creationId xmlns:a16="http://schemas.microsoft.com/office/drawing/2014/main" id="{00000000-0008-0000-20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9" name="Picture 9" descr=".">
          <a:extLst>
            <a:ext uri="{FF2B5EF4-FFF2-40B4-BE49-F238E27FC236}">
              <a16:creationId xmlns:a16="http://schemas.microsoft.com/office/drawing/2014/main" id="{00000000-0008-0000-20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30" name="Picture 10" descr=".">
          <a:extLst>
            <a:ext uri="{FF2B5EF4-FFF2-40B4-BE49-F238E27FC236}">
              <a16:creationId xmlns:a16="http://schemas.microsoft.com/office/drawing/2014/main" id="{00000000-0008-0000-20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31" name="Picture 11" descr=".">
          <a:extLst>
            <a:ext uri="{FF2B5EF4-FFF2-40B4-BE49-F238E27FC236}">
              <a16:creationId xmlns:a16="http://schemas.microsoft.com/office/drawing/2014/main" id="{00000000-0008-0000-20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2" name="Picture 6" descr=".">
          <a:extLst>
            <a:ext uri="{FF2B5EF4-FFF2-40B4-BE49-F238E27FC236}">
              <a16:creationId xmlns:a16="http://schemas.microsoft.com/office/drawing/2014/main" id="{00000000-0008-0000-20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3" name="Picture 7" descr=".">
          <a:extLst>
            <a:ext uri="{FF2B5EF4-FFF2-40B4-BE49-F238E27FC236}">
              <a16:creationId xmlns:a16="http://schemas.microsoft.com/office/drawing/2014/main" id="{00000000-0008-0000-20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4" name="Picture 8" descr=".">
          <a:extLst>
            <a:ext uri="{FF2B5EF4-FFF2-40B4-BE49-F238E27FC236}">
              <a16:creationId xmlns:a16="http://schemas.microsoft.com/office/drawing/2014/main" id="{00000000-0008-0000-20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5" name="Picture 9" descr=".">
          <a:extLst>
            <a:ext uri="{FF2B5EF4-FFF2-40B4-BE49-F238E27FC236}">
              <a16:creationId xmlns:a16="http://schemas.microsoft.com/office/drawing/2014/main" id="{00000000-0008-0000-20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36" name="Picture 10" descr=".">
          <a:extLst>
            <a:ext uri="{FF2B5EF4-FFF2-40B4-BE49-F238E27FC236}">
              <a16:creationId xmlns:a16="http://schemas.microsoft.com/office/drawing/2014/main" id="{00000000-0008-0000-20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37" name="Picture 11" descr=".">
          <a:extLst>
            <a:ext uri="{FF2B5EF4-FFF2-40B4-BE49-F238E27FC236}">
              <a16:creationId xmlns:a16="http://schemas.microsoft.com/office/drawing/2014/main" id="{00000000-0008-0000-20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38" name="Picture 6" descr=".">
          <a:extLst>
            <a:ext uri="{FF2B5EF4-FFF2-40B4-BE49-F238E27FC236}">
              <a16:creationId xmlns:a16="http://schemas.microsoft.com/office/drawing/2014/main" id="{00000000-0008-0000-20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39" name="Picture 7" descr=".">
          <a:extLst>
            <a:ext uri="{FF2B5EF4-FFF2-40B4-BE49-F238E27FC236}">
              <a16:creationId xmlns:a16="http://schemas.microsoft.com/office/drawing/2014/main" id="{00000000-0008-0000-20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40" name="Picture 8" descr=".">
          <a:extLst>
            <a:ext uri="{FF2B5EF4-FFF2-40B4-BE49-F238E27FC236}">
              <a16:creationId xmlns:a16="http://schemas.microsoft.com/office/drawing/2014/main" id="{00000000-0008-0000-20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41" name="Picture 9" descr=".">
          <a:extLst>
            <a:ext uri="{FF2B5EF4-FFF2-40B4-BE49-F238E27FC236}">
              <a16:creationId xmlns:a16="http://schemas.microsoft.com/office/drawing/2014/main" id="{00000000-0008-0000-20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42" name="Picture 10" descr=".">
          <a:extLst>
            <a:ext uri="{FF2B5EF4-FFF2-40B4-BE49-F238E27FC236}">
              <a16:creationId xmlns:a16="http://schemas.microsoft.com/office/drawing/2014/main" id="{00000000-0008-0000-20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43" name="Picture 11" descr=".">
          <a:extLst>
            <a:ext uri="{FF2B5EF4-FFF2-40B4-BE49-F238E27FC236}">
              <a16:creationId xmlns:a16="http://schemas.microsoft.com/office/drawing/2014/main" id="{00000000-0008-0000-20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4" name="Picture 6" descr=".">
          <a:extLst>
            <a:ext uri="{FF2B5EF4-FFF2-40B4-BE49-F238E27FC236}">
              <a16:creationId xmlns:a16="http://schemas.microsoft.com/office/drawing/2014/main" id="{00000000-0008-0000-20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5" name="Picture 7" descr=".">
          <a:extLst>
            <a:ext uri="{FF2B5EF4-FFF2-40B4-BE49-F238E27FC236}">
              <a16:creationId xmlns:a16="http://schemas.microsoft.com/office/drawing/2014/main" id="{00000000-0008-0000-20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6" name="Picture 8" descr=".">
          <a:extLst>
            <a:ext uri="{FF2B5EF4-FFF2-40B4-BE49-F238E27FC236}">
              <a16:creationId xmlns:a16="http://schemas.microsoft.com/office/drawing/2014/main" id="{00000000-0008-0000-20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7" name="Picture 9" descr=".">
          <a:extLst>
            <a:ext uri="{FF2B5EF4-FFF2-40B4-BE49-F238E27FC236}">
              <a16:creationId xmlns:a16="http://schemas.microsoft.com/office/drawing/2014/main" id="{00000000-0008-0000-20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48" name="Picture 10" descr=".">
          <a:extLst>
            <a:ext uri="{FF2B5EF4-FFF2-40B4-BE49-F238E27FC236}">
              <a16:creationId xmlns:a16="http://schemas.microsoft.com/office/drawing/2014/main" id="{00000000-0008-0000-20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49" name="Picture 11" descr=".">
          <a:extLst>
            <a:ext uri="{FF2B5EF4-FFF2-40B4-BE49-F238E27FC236}">
              <a16:creationId xmlns:a16="http://schemas.microsoft.com/office/drawing/2014/main" id="{00000000-0008-0000-20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0" name="Picture 6" descr=".">
          <a:extLst>
            <a:ext uri="{FF2B5EF4-FFF2-40B4-BE49-F238E27FC236}">
              <a16:creationId xmlns:a16="http://schemas.microsoft.com/office/drawing/2014/main" id="{00000000-0008-0000-20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1" name="Picture 7" descr=".">
          <a:extLst>
            <a:ext uri="{FF2B5EF4-FFF2-40B4-BE49-F238E27FC236}">
              <a16:creationId xmlns:a16="http://schemas.microsoft.com/office/drawing/2014/main" id="{00000000-0008-0000-20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2" name="Picture 8" descr=".">
          <a:extLst>
            <a:ext uri="{FF2B5EF4-FFF2-40B4-BE49-F238E27FC236}">
              <a16:creationId xmlns:a16="http://schemas.microsoft.com/office/drawing/2014/main" id="{00000000-0008-0000-20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3" name="Picture 9" descr=".">
          <a:extLst>
            <a:ext uri="{FF2B5EF4-FFF2-40B4-BE49-F238E27FC236}">
              <a16:creationId xmlns:a16="http://schemas.microsoft.com/office/drawing/2014/main" id="{00000000-0008-0000-20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54" name="Picture 10" descr=".">
          <a:extLst>
            <a:ext uri="{FF2B5EF4-FFF2-40B4-BE49-F238E27FC236}">
              <a16:creationId xmlns:a16="http://schemas.microsoft.com/office/drawing/2014/main" id="{00000000-0008-0000-20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55" name="Picture 11" descr=".">
          <a:extLst>
            <a:ext uri="{FF2B5EF4-FFF2-40B4-BE49-F238E27FC236}">
              <a16:creationId xmlns:a16="http://schemas.microsoft.com/office/drawing/2014/main" id="{00000000-0008-0000-20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6" name="Picture 6" descr=".">
          <a:extLst>
            <a:ext uri="{FF2B5EF4-FFF2-40B4-BE49-F238E27FC236}">
              <a16:creationId xmlns:a16="http://schemas.microsoft.com/office/drawing/2014/main" id="{00000000-0008-0000-20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7" name="Picture 7" descr=".">
          <a:extLst>
            <a:ext uri="{FF2B5EF4-FFF2-40B4-BE49-F238E27FC236}">
              <a16:creationId xmlns:a16="http://schemas.microsoft.com/office/drawing/2014/main" id="{00000000-0008-0000-20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8" name="Picture 8" descr=".">
          <a:extLst>
            <a:ext uri="{FF2B5EF4-FFF2-40B4-BE49-F238E27FC236}">
              <a16:creationId xmlns:a16="http://schemas.microsoft.com/office/drawing/2014/main" id="{00000000-0008-0000-20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9" name="Picture 9" descr=".">
          <a:extLst>
            <a:ext uri="{FF2B5EF4-FFF2-40B4-BE49-F238E27FC236}">
              <a16:creationId xmlns:a16="http://schemas.microsoft.com/office/drawing/2014/main" id="{00000000-0008-0000-20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0" name="Picture 10" descr=".">
          <a:extLst>
            <a:ext uri="{FF2B5EF4-FFF2-40B4-BE49-F238E27FC236}">
              <a16:creationId xmlns:a16="http://schemas.microsoft.com/office/drawing/2014/main" id="{00000000-0008-0000-20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1" name="Picture 11" descr=".">
          <a:extLst>
            <a:ext uri="{FF2B5EF4-FFF2-40B4-BE49-F238E27FC236}">
              <a16:creationId xmlns:a16="http://schemas.microsoft.com/office/drawing/2014/main" id="{00000000-0008-0000-20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2" name="Picture 6" descr=".">
          <a:extLst>
            <a:ext uri="{FF2B5EF4-FFF2-40B4-BE49-F238E27FC236}">
              <a16:creationId xmlns:a16="http://schemas.microsoft.com/office/drawing/2014/main" id="{00000000-0008-0000-20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3" name="Picture 7" descr=".">
          <a:extLst>
            <a:ext uri="{FF2B5EF4-FFF2-40B4-BE49-F238E27FC236}">
              <a16:creationId xmlns:a16="http://schemas.microsoft.com/office/drawing/2014/main" id="{00000000-0008-0000-20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4" name="Picture 8" descr=".">
          <a:extLst>
            <a:ext uri="{FF2B5EF4-FFF2-40B4-BE49-F238E27FC236}">
              <a16:creationId xmlns:a16="http://schemas.microsoft.com/office/drawing/2014/main" id="{00000000-0008-0000-20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5" name="Picture 9" descr=".">
          <a:extLst>
            <a:ext uri="{FF2B5EF4-FFF2-40B4-BE49-F238E27FC236}">
              <a16:creationId xmlns:a16="http://schemas.microsoft.com/office/drawing/2014/main" id="{00000000-0008-0000-20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6" name="Picture 10" descr=".">
          <a:extLst>
            <a:ext uri="{FF2B5EF4-FFF2-40B4-BE49-F238E27FC236}">
              <a16:creationId xmlns:a16="http://schemas.microsoft.com/office/drawing/2014/main" id="{00000000-0008-0000-20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7" name="Picture 11" descr=".">
          <a:extLst>
            <a:ext uri="{FF2B5EF4-FFF2-40B4-BE49-F238E27FC236}">
              <a16:creationId xmlns:a16="http://schemas.microsoft.com/office/drawing/2014/main" id="{00000000-0008-0000-20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68" name="Picture 6" descr=".">
          <a:extLst>
            <a:ext uri="{FF2B5EF4-FFF2-40B4-BE49-F238E27FC236}">
              <a16:creationId xmlns:a16="http://schemas.microsoft.com/office/drawing/2014/main" id="{00000000-0008-0000-20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69" name="Picture 7" descr=".">
          <a:extLst>
            <a:ext uri="{FF2B5EF4-FFF2-40B4-BE49-F238E27FC236}">
              <a16:creationId xmlns:a16="http://schemas.microsoft.com/office/drawing/2014/main" id="{00000000-0008-0000-20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70" name="Picture 8" descr=".">
          <a:extLst>
            <a:ext uri="{FF2B5EF4-FFF2-40B4-BE49-F238E27FC236}">
              <a16:creationId xmlns:a16="http://schemas.microsoft.com/office/drawing/2014/main" id="{00000000-0008-0000-20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71" name="Picture 9" descr=".">
          <a:extLst>
            <a:ext uri="{FF2B5EF4-FFF2-40B4-BE49-F238E27FC236}">
              <a16:creationId xmlns:a16="http://schemas.microsoft.com/office/drawing/2014/main" id="{00000000-0008-0000-20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72" name="Picture 10" descr=".">
          <a:extLst>
            <a:ext uri="{FF2B5EF4-FFF2-40B4-BE49-F238E27FC236}">
              <a16:creationId xmlns:a16="http://schemas.microsoft.com/office/drawing/2014/main" id="{00000000-0008-0000-20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73" name="Picture 11" descr=".">
          <a:extLst>
            <a:ext uri="{FF2B5EF4-FFF2-40B4-BE49-F238E27FC236}">
              <a16:creationId xmlns:a16="http://schemas.microsoft.com/office/drawing/2014/main" id="{00000000-0008-0000-20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3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3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3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3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3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3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3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3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3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3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3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3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3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3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3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3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3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3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3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3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3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3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3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3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3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3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3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3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3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3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3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3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3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3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3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3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3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3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3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3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3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3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3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3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3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3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3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3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3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3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3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3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3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3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3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3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3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3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3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3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3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3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3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3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3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3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3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3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3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3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3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3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3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3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3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3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3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3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3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3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3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3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3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3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3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3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3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3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3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3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3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3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3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3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3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3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3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3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3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3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3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3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3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3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3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3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3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3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3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3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3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3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3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3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3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3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3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3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3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3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3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3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3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3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3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3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3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3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3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3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3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3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3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3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3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3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3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3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3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3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3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3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3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3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3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3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3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3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3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3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3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3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3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3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3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3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3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3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3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3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3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3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3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3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3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3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3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3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3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3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3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3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3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3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3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3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3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3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3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3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3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3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3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3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3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3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3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3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3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3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3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3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3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3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3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3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3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3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3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3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3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3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3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3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3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3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3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3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3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3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3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3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3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3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3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3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3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3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3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3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3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3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3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3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3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2500-0000014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2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6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6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6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6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6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6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6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6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6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6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6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6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6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6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6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6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6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6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6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6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6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6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6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6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6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6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6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6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6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6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6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6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6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6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6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6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6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6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6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6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6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6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6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6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6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6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6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6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6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6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6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6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6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6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6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6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6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6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6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6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6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6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6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6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6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6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6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6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6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6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6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6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6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6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6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6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6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6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6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6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6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6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6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6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6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6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6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6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6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6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6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6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6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6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6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6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6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6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6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6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6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6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6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6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6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6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6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6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6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6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6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6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6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6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6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6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6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6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6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6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6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6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6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6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6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6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6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6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6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6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6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6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6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6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6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6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6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6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6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6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6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2" name="Picture 6" descr=".">
          <a:extLst>
            <a:ext uri="{FF2B5EF4-FFF2-40B4-BE49-F238E27FC236}">
              <a16:creationId xmlns:a16="http://schemas.microsoft.com/office/drawing/2014/main" id="{00000000-0008-0000-26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3" name="Picture 7" descr=".">
          <a:extLst>
            <a:ext uri="{FF2B5EF4-FFF2-40B4-BE49-F238E27FC236}">
              <a16:creationId xmlns:a16="http://schemas.microsoft.com/office/drawing/2014/main" id="{00000000-0008-0000-2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4" name="Picture 8" descr=".">
          <a:extLst>
            <a:ext uri="{FF2B5EF4-FFF2-40B4-BE49-F238E27FC236}">
              <a16:creationId xmlns:a16="http://schemas.microsoft.com/office/drawing/2014/main" id="{00000000-0008-0000-26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5" name="Picture 9" descr=".">
          <a:extLst>
            <a:ext uri="{FF2B5EF4-FFF2-40B4-BE49-F238E27FC236}">
              <a16:creationId xmlns:a16="http://schemas.microsoft.com/office/drawing/2014/main" id="{00000000-0008-0000-2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06" name="Picture 10" descr=".">
          <a:extLst>
            <a:ext uri="{FF2B5EF4-FFF2-40B4-BE49-F238E27FC236}">
              <a16:creationId xmlns:a16="http://schemas.microsoft.com/office/drawing/2014/main" id="{00000000-0008-0000-26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07" name="Picture 11" descr=".">
          <a:extLst>
            <a:ext uri="{FF2B5EF4-FFF2-40B4-BE49-F238E27FC236}">
              <a16:creationId xmlns:a16="http://schemas.microsoft.com/office/drawing/2014/main" id="{00000000-0008-0000-2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08" name="Picture 6" descr=".">
          <a:extLst>
            <a:ext uri="{FF2B5EF4-FFF2-40B4-BE49-F238E27FC236}">
              <a16:creationId xmlns:a16="http://schemas.microsoft.com/office/drawing/2014/main" id="{00000000-0008-0000-26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09" name="Picture 7" descr=".">
          <a:extLst>
            <a:ext uri="{FF2B5EF4-FFF2-40B4-BE49-F238E27FC236}">
              <a16:creationId xmlns:a16="http://schemas.microsoft.com/office/drawing/2014/main" id="{00000000-0008-0000-2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0" name="Picture 8" descr=".">
          <a:extLst>
            <a:ext uri="{FF2B5EF4-FFF2-40B4-BE49-F238E27FC236}">
              <a16:creationId xmlns:a16="http://schemas.microsoft.com/office/drawing/2014/main" id="{00000000-0008-0000-26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1" name="Picture 9" descr=".">
          <a:extLst>
            <a:ext uri="{FF2B5EF4-FFF2-40B4-BE49-F238E27FC236}">
              <a16:creationId xmlns:a16="http://schemas.microsoft.com/office/drawing/2014/main" id="{00000000-0008-0000-2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2" name="Picture 10" descr=".">
          <a:extLst>
            <a:ext uri="{FF2B5EF4-FFF2-40B4-BE49-F238E27FC236}">
              <a16:creationId xmlns:a16="http://schemas.microsoft.com/office/drawing/2014/main" id="{00000000-0008-0000-26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3" name="Picture 11" descr=".">
          <a:extLst>
            <a:ext uri="{FF2B5EF4-FFF2-40B4-BE49-F238E27FC236}">
              <a16:creationId xmlns:a16="http://schemas.microsoft.com/office/drawing/2014/main" id="{00000000-0008-0000-2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4" name="Picture 6" descr=".">
          <a:extLst>
            <a:ext uri="{FF2B5EF4-FFF2-40B4-BE49-F238E27FC236}">
              <a16:creationId xmlns:a16="http://schemas.microsoft.com/office/drawing/2014/main" id="{00000000-0008-0000-26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5" name="Picture 7" descr=".">
          <a:extLst>
            <a:ext uri="{FF2B5EF4-FFF2-40B4-BE49-F238E27FC236}">
              <a16:creationId xmlns:a16="http://schemas.microsoft.com/office/drawing/2014/main" id="{00000000-0008-0000-2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6" name="Picture 8" descr=".">
          <a:extLst>
            <a:ext uri="{FF2B5EF4-FFF2-40B4-BE49-F238E27FC236}">
              <a16:creationId xmlns:a16="http://schemas.microsoft.com/office/drawing/2014/main" id="{00000000-0008-0000-26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7" name="Picture 9" descr=".">
          <a:extLst>
            <a:ext uri="{FF2B5EF4-FFF2-40B4-BE49-F238E27FC236}">
              <a16:creationId xmlns:a16="http://schemas.microsoft.com/office/drawing/2014/main" id="{00000000-0008-0000-2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8" name="Picture 10" descr=".">
          <a:extLst>
            <a:ext uri="{FF2B5EF4-FFF2-40B4-BE49-F238E27FC236}">
              <a16:creationId xmlns:a16="http://schemas.microsoft.com/office/drawing/2014/main" id="{00000000-0008-0000-26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9" name="Picture 11" descr=".">
          <a:extLst>
            <a:ext uri="{FF2B5EF4-FFF2-40B4-BE49-F238E27FC236}">
              <a16:creationId xmlns:a16="http://schemas.microsoft.com/office/drawing/2014/main" id="{00000000-0008-0000-2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0" name="Picture 6" descr=".">
          <a:extLst>
            <a:ext uri="{FF2B5EF4-FFF2-40B4-BE49-F238E27FC236}">
              <a16:creationId xmlns:a16="http://schemas.microsoft.com/office/drawing/2014/main" id="{00000000-0008-0000-26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1" name="Picture 7" descr=".">
          <a:extLst>
            <a:ext uri="{FF2B5EF4-FFF2-40B4-BE49-F238E27FC236}">
              <a16:creationId xmlns:a16="http://schemas.microsoft.com/office/drawing/2014/main" id="{00000000-0008-0000-2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2" name="Picture 8" descr=".">
          <a:extLst>
            <a:ext uri="{FF2B5EF4-FFF2-40B4-BE49-F238E27FC236}">
              <a16:creationId xmlns:a16="http://schemas.microsoft.com/office/drawing/2014/main" id="{00000000-0008-0000-26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3" name="Picture 9" descr=".">
          <a:extLst>
            <a:ext uri="{FF2B5EF4-FFF2-40B4-BE49-F238E27FC236}">
              <a16:creationId xmlns:a16="http://schemas.microsoft.com/office/drawing/2014/main" id="{00000000-0008-0000-2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24" name="Picture 10" descr=".">
          <a:extLst>
            <a:ext uri="{FF2B5EF4-FFF2-40B4-BE49-F238E27FC236}">
              <a16:creationId xmlns:a16="http://schemas.microsoft.com/office/drawing/2014/main" id="{00000000-0008-0000-26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25" name="Picture 11" descr=".">
          <a:extLst>
            <a:ext uri="{FF2B5EF4-FFF2-40B4-BE49-F238E27FC236}">
              <a16:creationId xmlns:a16="http://schemas.microsoft.com/office/drawing/2014/main" id="{00000000-0008-0000-2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6" name="Picture 6" descr=".">
          <a:extLst>
            <a:ext uri="{FF2B5EF4-FFF2-40B4-BE49-F238E27FC236}">
              <a16:creationId xmlns:a16="http://schemas.microsoft.com/office/drawing/2014/main" id="{00000000-0008-0000-26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7" name="Picture 7" descr=".">
          <a:extLst>
            <a:ext uri="{FF2B5EF4-FFF2-40B4-BE49-F238E27FC236}">
              <a16:creationId xmlns:a16="http://schemas.microsoft.com/office/drawing/2014/main" id="{00000000-0008-0000-2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8" name="Picture 8" descr=".">
          <a:extLst>
            <a:ext uri="{FF2B5EF4-FFF2-40B4-BE49-F238E27FC236}">
              <a16:creationId xmlns:a16="http://schemas.microsoft.com/office/drawing/2014/main" id="{00000000-0008-0000-26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9" name="Picture 9" descr=".">
          <a:extLst>
            <a:ext uri="{FF2B5EF4-FFF2-40B4-BE49-F238E27FC236}">
              <a16:creationId xmlns:a16="http://schemas.microsoft.com/office/drawing/2014/main" id="{00000000-0008-0000-2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330" name="Picture 10" descr=".">
          <a:extLst>
            <a:ext uri="{FF2B5EF4-FFF2-40B4-BE49-F238E27FC236}">
              <a16:creationId xmlns:a16="http://schemas.microsoft.com/office/drawing/2014/main" id="{00000000-0008-0000-26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331" name="Picture 11" descr=".">
          <a:extLst>
            <a:ext uri="{FF2B5EF4-FFF2-40B4-BE49-F238E27FC236}">
              <a16:creationId xmlns:a16="http://schemas.microsoft.com/office/drawing/2014/main" id="{00000000-0008-0000-2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13970</xdr:colOff>
      <xdr:row>15</xdr:row>
      <xdr:rowOff>398709</xdr:rowOff>
    </xdr:to>
    <xdr:pic>
      <xdr:nvPicPr>
        <xdr:cNvPr id="332" name="Picture 6" descr=".">
          <a:extLst>
            <a:ext uri="{FF2B5EF4-FFF2-40B4-BE49-F238E27FC236}">
              <a16:creationId xmlns:a16="http://schemas.microsoft.com/office/drawing/2014/main" id="{00000000-0008-0000-26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3" name="Picture 7" descr=".">
          <a:extLst>
            <a:ext uri="{FF2B5EF4-FFF2-40B4-BE49-F238E27FC236}">
              <a16:creationId xmlns:a16="http://schemas.microsoft.com/office/drawing/2014/main" id="{00000000-0008-0000-2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398709</xdr:rowOff>
    </xdr:to>
    <xdr:pic>
      <xdr:nvPicPr>
        <xdr:cNvPr id="334" name="Picture 8" descr=".">
          <a:extLst>
            <a:ext uri="{FF2B5EF4-FFF2-40B4-BE49-F238E27FC236}">
              <a16:creationId xmlns:a16="http://schemas.microsoft.com/office/drawing/2014/main" id="{00000000-0008-0000-26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5" name="Picture 9" descr=".">
          <a:extLst>
            <a:ext uri="{FF2B5EF4-FFF2-40B4-BE49-F238E27FC236}">
              <a16:creationId xmlns:a16="http://schemas.microsoft.com/office/drawing/2014/main" id="{00000000-0008-0000-2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398708</xdr:rowOff>
    </xdr:to>
    <xdr:pic>
      <xdr:nvPicPr>
        <xdr:cNvPr id="336" name="Picture 10" descr=".">
          <a:extLst>
            <a:ext uri="{FF2B5EF4-FFF2-40B4-BE49-F238E27FC236}">
              <a16:creationId xmlns:a16="http://schemas.microsoft.com/office/drawing/2014/main" id="{00000000-0008-0000-26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398711</xdr:rowOff>
    </xdr:to>
    <xdr:pic>
      <xdr:nvPicPr>
        <xdr:cNvPr id="337" name="Picture 11" descr=".">
          <a:extLst>
            <a:ext uri="{FF2B5EF4-FFF2-40B4-BE49-F238E27FC236}">
              <a16:creationId xmlns:a16="http://schemas.microsoft.com/office/drawing/2014/main" id="{00000000-0008-0000-2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38" name="Picture 6" descr=".">
          <a:extLst>
            <a:ext uri="{FF2B5EF4-FFF2-40B4-BE49-F238E27FC236}">
              <a16:creationId xmlns:a16="http://schemas.microsoft.com/office/drawing/2014/main" id="{00000000-0008-0000-26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39" name="Picture 7" descr=".">
          <a:extLst>
            <a:ext uri="{FF2B5EF4-FFF2-40B4-BE49-F238E27FC236}">
              <a16:creationId xmlns:a16="http://schemas.microsoft.com/office/drawing/2014/main" id="{00000000-0008-0000-2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40" name="Picture 8" descr=".">
          <a:extLst>
            <a:ext uri="{FF2B5EF4-FFF2-40B4-BE49-F238E27FC236}">
              <a16:creationId xmlns:a16="http://schemas.microsoft.com/office/drawing/2014/main" id="{00000000-0008-0000-26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41" name="Picture 9" descr=".">
          <a:extLst>
            <a:ext uri="{FF2B5EF4-FFF2-40B4-BE49-F238E27FC236}">
              <a16:creationId xmlns:a16="http://schemas.microsoft.com/office/drawing/2014/main" id="{00000000-0008-0000-2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42" name="Picture 10" descr=".">
          <a:extLst>
            <a:ext uri="{FF2B5EF4-FFF2-40B4-BE49-F238E27FC236}">
              <a16:creationId xmlns:a16="http://schemas.microsoft.com/office/drawing/2014/main" id="{00000000-0008-0000-26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43" name="Picture 11" descr=".">
          <a:extLst>
            <a:ext uri="{FF2B5EF4-FFF2-40B4-BE49-F238E27FC236}">
              <a16:creationId xmlns:a16="http://schemas.microsoft.com/office/drawing/2014/main" id="{00000000-0008-0000-2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4" name="Picture 6" descr=".">
          <a:extLst>
            <a:ext uri="{FF2B5EF4-FFF2-40B4-BE49-F238E27FC236}">
              <a16:creationId xmlns:a16="http://schemas.microsoft.com/office/drawing/2014/main" id="{00000000-0008-0000-26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5" name="Picture 7" descr=".">
          <a:extLst>
            <a:ext uri="{FF2B5EF4-FFF2-40B4-BE49-F238E27FC236}">
              <a16:creationId xmlns:a16="http://schemas.microsoft.com/office/drawing/2014/main" id="{00000000-0008-0000-2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6" name="Picture 8" descr=".">
          <a:extLst>
            <a:ext uri="{FF2B5EF4-FFF2-40B4-BE49-F238E27FC236}">
              <a16:creationId xmlns:a16="http://schemas.microsoft.com/office/drawing/2014/main" id="{00000000-0008-0000-26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7" name="Picture 9" descr=".">
          <a:extLst>
            <a:ext uri="{FF2B5EF4-FFF2-40B4-BE49-F238E27FC236}">
              <a16:creationId xmlns:a16="http://schemas.microsoft.com/office/drawing/2014/main" id="{00000000-0008-0000-2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8"/>
    <xdr:pic>
      <xdr:nvPicPr>
        <xdr:cNvPr id="348" name="Picture 10" descr=".">
          <a:extLst>
            <a:ext uri="{FF2B5EF4-FFF2-40B4-BE49-F238E27FC236}">
              <a16:creationId xmlns:a16="http://schemas.microsoft.com/office/drawing/2014/main" id="{00000000-0008-0000-26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1"/>
    <xdr:pic>
      <xdr:nvPicPr>
        <xdr:cNvPr id="349" name="Picture 11" descr=".">
          <a:extLst>
            <a:ext uri="{FF2B5EF4-FFF2-40B4-BE49-F238E27FC236}">
              <a16:creationId xmlns:a16="http://schemas.microsoft.com/office/drawing/2014/main" id="{00000000-0008-0000-2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19050</xdr:colOff>
      <xdr:row>15</xdr:row>
      <xdr:rowOff>398709</xdr:rowOff>
    </xdr:to>
    <xdr:pic>
      <xdr:nvPicPr>
        <xdr:cNvPr id="350" name="Picture 6" descr=".">
          <a:extLst>
            <a:ext uri="{FF2B5EF4-FFF2-40B4-BE49-F238E27FC236}">
              <a16:creationId xmlns:a16="http://schemas.microsoft.com/office/drawing/2014/main" id="{00000000-0008-0000-26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1" name="Picture 7" descr=".">
          <a:extLst>
            <a:ext uri="{FF2B5EF4-FFF2-40B4-BE49-F238E27FC236}">
              <a16:creationId xmlns:a16="http://schemas.microsoft.com/office/drawing/2014/main" id="{00000000-0008-0000-2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398709</xdr:rowOff>
    </xdr:to>
    <xdr:pic>
      <xdr:nvPicPr>
        <xdr:cNvPr id="352" name="Picture 8" descr=".">
          <a:extLst>
            <a:ext uri="{FF2B5EF4-FFF2-40B4-BE49-F238E27FC236}">
              <a16:creationId xmlns:a16="http://schemas.microsoft.com/office/drawing/2014/main" id="{00000000-0008-0000-26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3" name="Picture 9" descr=".">
          <a:extLst>
            <a:ext uri="{FF2B5EF4-FFF2-40B4-BE49-F238E27FC236}">
              <a16:creationId xmlns:a16="http://schemas.microsoft.com/office/drawing/2014/main" id="{00000000-0008-0000-2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398708</xdr:rowOff>
    </xdr:to>
    <xdr:pic>
      <xdr:nvPicPr>
        <xdr:cNvPr id="354" name="Picture 10" descr=".">
          <a:extLst>
            <a:ext uri="{FF2B5EF4-FFF2-40B4-BE49-F238E27FC236}">
              <a16:creationId xmlns:a16="http://schemas.microsoft.com/office/drawing/2014/main" id="{00000000-0008-0000-26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398711</xdr:rowOff>
    </xdr:to>
    <xdr:pic>
      <xdr:nvPicPr>
        <xdr:cNvPr id="355" name="Picture 11" descr=".">
          <a:extLst>
            <a:ext uri="{FF2B5EF4-FFF2-40B4-BE49-F238E27FC236}">
              <a16:creationId xmlns:a16="http://schemas.microsoft.com/office/drawing/2014/main" id="{00000000-0008-0000-2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56" name="Picture 6" descr=".">
          <a:extLst>
            <a:ext uri="{FF2B5EF4-FFF2-40B4-BE49-F238E27FC236}">
              <a16:creationId xmlns:a16="http://schemas.microsoft.com/office/drawing/2014/main" id="{00000000-0008-0000-26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7" name="Picture 7" descr=".">
          <a:extLst>
            <a:ext uri="{FF2B5EF4-FFF2-40B4-BE49-F238E27FC236}">
              <a16:creationId xmlns:a16="http://schemas.microsoft.com/office/drawing/2014/main" id="{00000000-0008-0000-2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58" name="Picture 8" descr=".">
          <a:extLst>
            <a:ext uri="{FF2B5EF4-FFF2-40B4-BE49-F238E27FC236}">
              <a16:creationId xmlns:a16="http://schemas.microsoft.com/office/drawing/2014/main" id="{00000000-0008-0000-26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9" name="Picture 9" descr=".">
          <a:extLst>
            <a:ext uri="{FF2B5EF4-FFF2-40B4-BE49-F238E27FC236}">
              <a16:creationId xmlns:a16="http://schemas.microsoft.com/office/drawing/2014/main" id="{00000000-0008-0000-2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60" name="Picture 10" descr=".">
          <a:extLst>
            <a:ext uri="{FF2B5EF4-FFF2-40B4-BE49-F238E27FC236}">
              <a16:creationId xmlns:a16="http://schemas.microsoft.com/office/drawing/2014/main" id="{00000000-0008-0000-26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61" name="Picture 11" descr=".">
          <a:extLst>
            <a:ext uri="{FF2B5EF4-FFF2-40B4-BE49-F238E27FC236}">
              <a16:creationId xmlns:a16="http://schemas.microsoft.com/office/drawing/2014/main" id="{00000000-0008-0000-2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2" name="Picture 6" descr=".">
          <a:extLst>
            <a:ext uri="{FF2B5EF4-FFF2-40B4-BE49-F238E27FC236}">
              <a16:creationId xmlns:a16="http://schemas.microsoft.com/office/drawing/2014/main" id="{00000000-0008-0000-26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3" name="Picture 7" descr=".">
          <a:extLst>
            <a:ext uri="{FF2B5EF4-FFF2-40B4-BE49-F238E27FC236}">
              <a16:creationId xmlns:a16="http://schemas.microsoft.com/office/drawing/2014/main" id="{00000000-0008-0000-2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4" name="Picture 8" descr=".">
          <a:extLst>
            <a:ext uri="{FF2B5EF4-FFF2-40B4-BE49-F238E27FC236}">
              <a16:creationId xmlns:a16="http://schemas.microsoft.com/office/drawing/2014/main" id="{00000000-0008-0000-26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5" name="Picture 9" descr=".">
          <a:extLst>
            <a:ext uri="{FF2B5EF4-FFF2-40B4-BE49-F238E27FC236}">
              <a16:creationId xmlns:a16="http://schemas.microsoft.com/office/drawing/2014/main" id="{00000000-0008-0000-2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66" name="Picture 10" descr=".">
          <a:extLst>
            <a:ext uri="{FF2B5EF4-FFF2-40B4-BE49-F238E27FC236}">
              <a16:creationId xmlns:a16="http://schemas.microsoft.com/office/drawing/2014/main" id="{00000000-0008-0000-26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67" name="Picture 11" descr=".">
          <a:extLst>
            <a:ext uri="{FF2B5EF4-FFF2-40B4-BE49-F238E27FC236}">
              <a16:creationId xmlns:a16="http://schemas.microsoft.com/office/drawing/2014/main" id="{00000000-0008-0000-2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68" name="Picture 6" descr=".">
          <a:extLst>
            <a:ext uri="{FF2B5EF4-FFF2-40B4-BE49-F238E27FC236}">
              <a16:creationId xmlns:a16="http://schemas.microsoft.com/office/drawing/2014/main" id="{00000000-0008-0000-26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69" name="Picture 7" descr=".">
          <a:extLst>
            <a:ext uri="{FF2B5EF4-FFF2-40B4-BE49-F238E27FC236}">
              <a16:creationId xmlns:a16="http://schemas.microsoft.com/office/drawing/2014/main" id="{00000000-0008-0000-2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70" name="Picture 8" descr=".">
          <a:extLst>
            <a:ext uri="{FF2B5EF4-FFF2-40B4-BE49-F238E27FC236}">
              <a16:creationId xmlns:a16="http://schemas.microsoft.com/office/drawing/2014/main" id="{00000000-0008-0000-26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71" name="Picture 9" descr=".">
          <a:extLst>
            <a:ext uri="{FF2B5EF4-FFF2-40B4-BE49-F238E27FC236}">
              <a16:creationId xmlns:a16="http://schemas.microsoft.com/office/drawing/2014/main" id="{00000000-0008-0000-2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8"/>
    <xdr:pic>
      <xdr:nvPicPr>
        <xdr:cNvPr id="372" name="Picture 10" descr=".">
          <a:extLst>
            <a:ext uri="{FF2B5EF4-FFF2-40B4-BE49-F238E27FC236}">
              <a16:creationId xmlns:a16="http://schemas.microsoft.com/office/drawing/2014/main" id="{00000000-0008-0000-26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1"/>
    <xdr:pic>
      <xdr:nvPicPr>
        <xdr:cNvPr id="373" name="Picture 11" descr=".">
          <a:extLst>
            <a:ext uri="{FF2B5EF4-FFF2-40B4-BE49-F238E27FC236}">
              <a16:creationId xmlns:a16="http://schemas.microsoft.com/office/drawing/2014/main" id="{00000000-0008-0000-2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4" name="Picture 6" descr=".">
          <a:extLst>
            <a:ext uri="{FF2B5EF4-FFF2-40B4-BE49-F238E27FC236}">
              <a16:creationId xmlns:a16="http://schemas.microsoft.com/office/drawing/2014/main" id="{00000000-0008-0000-26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5" name="Picture 7" descr=".">
          <a:extLst>
            <a:ext uri="{FF2B5EF4-FFF2-40B4-BE49-F238E27FC236}">
              <a16:creationId xmlns:a16="http://schemas.microsoft.com/office/drawing/2014/main" id="{00000000-0008-0000-2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6" name="Picture 8" descr=".">
          <a:extLst>
            <a:ext uri="{FF2B5EF4-FFF2-40B4-BE49-F238E27FC236}">
              <a16:creationId xmlns:a16="http://schemas.microsoft.com/office/drawing/2014/main" id="{00000000-0008-0000-26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7" name="Picture 9" descr=".">
          <a:extLst>
            <a:ext uri="{FF2B5EF4-FFF2-40B4-BE49-F238E27FC236}">
              <a16:creationId xmlns:a16="http://schemas.microsoft.com/office/drawing/2014/main" id="{00000000-0008-0000-2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8"/>
    <xdr:pic>
      <xdr:nvPicPr>
        <xdr:cNvPr id="378" name="Picture 10" descr=".">
          <a:extLst>
            <a:ext uri="{FF2B5EF4-FFF2-40B4-BE49-F238E27FC236}">
              <a16:creationId xmlns:a16="http://schemas.microsoft.com/office/drawing/2014/main" id="{00000000-0008-0000-26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1"/>
    <xdr:pic>
      <xdr:nvPicPr>
        <xdr:cNvPr id="379" name="Picture 11" descr=".">
          <a:extLst>
            <a:ext uri="{FF2B5EF4-FFF2-40B4-BE49-F238E27FC236}">
              <a16:creationId xmlns:a16="http://schemas.microsoft.com/office/drawing/2014/main" id="{00000000-0008-0000-2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0" name="Picture 6" descr=".">
          <a:extLst>
            <a:ext uri="{FF2B5EF4-FFF2-40B4-BE49-F238E27FC236}">
              <a16:creationId xmlns:a16="http://schemas.microsoft.com/office/drawing/2014/main" id="{00000000-0008-0000-26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1" name="Picture 7" descr=".">
          <a:extLst>
            <a:ext uri="{FF2B5EF4-FFF2-40B4-BE49-F238E27FC236}">
              <a16:creationId xmlns:a16="http://schemas.microsoft.com/office/drawing/2014/main" id="{00000000-0008-0000-2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2" name="Picture 8" descr=".">
          <a:extLst>
            <a:ext uri="{FF2B5EF4-FFF2-40B4-BE49-F238E27FC236}">
              <a16:creationId xmlns:a16="http://schemas.microsoft.com/office/drawing/2014/main" id="{00000000-0008-0000-26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3" name="Picture 9" descr=".">
          <a:extLst>
            <a:ext uri="{FF2B5EF4-FFF2-40B4-BE49-F238E27FC236}">
              <a16:creationId xmlns:a16="http://schemas.microsoft.com/office/drawing/2014/main" id="{00000000-0008-0000-2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84" name="Picture 10" descr=".">
          <a:extLst>
            <a:ext uri="{FF2B5EF4-FFF2-40B4-BE49-F238E27FC236}">
              <a16:creationId xmlns:a16="http://schemas.microsoft.com/office/drawing/2014/main" id="{00000000-0008-0000-26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85" name="Picture 11" descr=".">
          <a:extLst>
            <a:ext uri="{FF2B5EF4-FFF2-40B4-BE49-F238E27FC236}">
              <a16:creationId xmlns:a16="http://schemas.microsoft.com/office/drawing/2014/main" id="{00000000-0008-0000-2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6" name="Picture 6" descr=".">
          <a:extLst>
            <a:ext uri="{FF2B5EF4-FFF2-40B4-BE49-F238E27FC236}">
              <a16:creationId xmlns:a16="http://schemas.microsoft.com/office/drawing/2014/main" id="{00000000-0008-0000-26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7" name="Picture 7" descr=".">
          <a:extLst>
            <a:ext uri="{FF2B5EF4-FFF2-40B4-BE49-F238E27FC236}">
              <a16:creationId xmlns:a16="http://schemas.microsoft.com/office/drawing/2014/main" id="{00000000-0008-0000-2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8" name="Picture 8" descr=".">
          <a:extLst>
            <a:ext uri="{FF2B5EF4-FFF2-40B4-BE49-F238E27FC236}">
              <a16:creationId xmlns:a16="http://schemas.microsoft.com/office/drawing/2014/main" id="{00000000-0008-0000-26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9" name="Picture 9" descr=".">
          <a:extLst>
            <a:ext uri="{FF2B5EF4-FFF2-40B4-BE49-F238E27FC236}">
              <a16:creationId xmlns:a16="http://schemas.microsoft.com/office/drawing/2014/main" id="{00000000-0008-0000-2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8"/>
    <xdr:pic>
      <xdr:nvPicPr>
        <xdr:cNvPr id="390" name="Picture 10" descr=".">
          <a:extLst>
            <a:ext uri="{FF2B5EF4-FFF2-40B4-BE49-F238E27FC236}">
              <a16:creationId xmlns:a16="http://schemas.microsoft.com/office/drawing/2014/main" id="{00000000-0008-0000-26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1"/>
    <xdr:pic>
      <xdr:nvPicPr>
        <xdr:cNvPr id="391" name="Picture 11" descr=".">
          <a:extLst>
            <a:ext uri="{FF2B5EF4-FFF2-40B4-BE49-F238E27FC236}">
              <a16:creationId xmlns:a16="http://schemas.microsoft.com/office/drawing/2014/main" id="{00000000-0008-0000-2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2" name="Picture 6" descr=".">
          <a:extLst>
            <a:ext uri="{FF2B5EF4-FFF2-40B4-BE49-F238E27FC236}">
              <a16:creationId xmlns:a16="http://schemas.microsoft.com/office/drawing/2014/main" id="{00000000-0008-0000-26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3" name="Picture 7" descr=".">
          <a:extLst>
            <a:ext uri="{FF2B5EF4-FFF2-40B4-BE49-F238E27FC236}">
              <a16:creationId xmlns:a16="http://schemas.microsoft.com/office/drawing/2014/main" id="{00000000-0008-0000-2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4" name="Picture 8" descr=".">
          <a:extLst>
            <a:ext uri="{FF2B5EF4-FFF2-40B4-BE49-F238E27FC236}">
              <a16:creationId xmlns:a16="http://schemas.microsoft.com/office/drawing/2014/main" id="{00000000-0008-0000-26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5" name="Picture 9" descr=".">
          <a:extLst>
            <a:ext uri="{FF2B5EF4-FFF2-40B4-BE49-F238E27FC236}">
              <a16:creationId xmlns:a16="http://schemas.microsoft.com/office/drawing/2014/main" id="{00000000-0008-0000-2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8"/>
    <xdr:pic>
      <xdr:nvPicPr>
        <xdr:cNvPr id="396" name="Picture 10" descr=".">
          <a:extLst>
            <a:ext uri="{FF2B5EF4-FFF2-40B4-BE49-F238E27FC236}">
              <a16:creationId xmlns:a16="http://schemas.microsoft.com/office/drawing/2014/main" id="{00000000-0008-0000-26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1"/>
    <xdr:pic>
      <xdr:nvPicPr>
        <xdr:cNvPr id="397" name="Picture 11" descr=".">
          <a:extLst>
            <a:ext uri="{FF2B5EF4-FFF2-40B4-BE49-F238E27FC236}">
              <a16:creationId xmlns:a16="http://schemas.microsoft.com/office/drawing/2014/main" id="{00000000-0008-0000-2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98" name="Picture 6" descr=".">
          <a:extLst>
            <a:ext uri="{FF2B5EF4-FFF2-40B4-BE49-F238E27FC236}">
              <a16:creationId xmlns:a16="http://schemas.microsoft.com/office/drawing/2014/main" id="{00000000-0008-0000-26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99" name="Picture 7" descr=".">
          <a:extLst>
            <a:ext uri="{FF2B5EF4-FFF2-40B4-BE49-F238E27FC236}">
              <a16:creationId xmlns:a16="http://schemas.microsoft.com/office/drawing/2014/main" id="{00000000-0008-0000-2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400" name="Picture 8" descr=".">
          <a:extLst>
            <a:ext uri="{FF2B5EF4-FFF2-40B4-BE49-F238E27FC236}">
              <a16:creationId xmlns:a16="http://schemas.microsoft.com/office/drawing/2014/main" id="{00000000-0008-0000-26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401" name="Picture 9" descr=".">
          <a:extLst>
            <a:ext uri="{FF2B5EF4-FFF2-40B4-BE49-F238E27FC236}">
              <a16:creationId xmlns:a16="http://schemas.microsoft.com/office/drawing/2014/main" id="{00000000-0008-0000-2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402" name="Picture 10" descr=".">
          <a:extLst>
            <a:ext uri="{FF2B5EF4-FFF2-40B4-BE49-F238E27FC236}">
              <a16:creationId xmlns:a16="http://schemas.microsoft.com/office/drawing/2014/main" id="{00000000-0008-0000-26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403" name="Picture 11" descr=".">
          <a:extLst>
            <a:ext uri="{FF2B5EF4-FFF2-40B4-BE49-F238E27FC236}">
              <a16:creationId xmlns:a16="http://schemas.microsoft.com/office/drawing/2014/main" id="{00000000-0008-0000-2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2800-0000015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9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9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9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9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9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9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9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9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9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9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9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9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9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9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9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9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9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9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9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9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9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9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9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9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9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9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9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9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9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9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9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9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9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9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9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9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9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9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9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9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9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9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9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9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9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9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9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9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9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9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9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9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9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9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9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9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9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9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9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9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9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9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9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9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9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9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9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9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9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9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9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9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9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9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9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9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9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9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9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9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9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9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9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9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9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9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9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9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9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9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9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9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9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9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9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9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9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9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9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9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9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9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9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9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9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9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9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9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9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9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9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9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9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9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9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9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9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9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9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9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9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9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9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9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9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9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9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9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9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9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9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9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9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9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9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9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9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9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9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9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9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9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9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9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9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9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9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9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9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9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9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9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9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9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9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9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9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9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9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9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9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9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9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9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9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9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9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9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9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9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9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9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9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9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9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9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9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9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9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9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9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9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9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9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9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9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9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9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9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9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9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9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9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9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9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9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9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9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9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9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9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9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9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9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9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9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9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9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9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9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9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9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9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9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9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9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9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9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9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9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9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9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9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9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9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9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9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9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9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9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9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9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9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9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9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9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9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9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9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9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9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9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9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9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9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9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9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9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9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9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9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9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9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9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9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9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9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9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9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9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9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9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9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9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9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9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B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8" dT="2021-05-27T15:35:17.31" personId="{06D2D05F-EBEA-41C2-92A1-6EF89573BC28}" id="{BE8A5644-546E-4BBC-BA2A-1C7BE08EE96F}">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8" dT="2021-07-16T16:00:13.77" personId="{06D2D05F-EBEA-41C2-92A1-6EF89573BC28}" id="{7DC5BC76-93AA-43AA-B4B8-6DAF87786763}">
    <text>To be clarified what it represents</text>
  </threadedComment>
  <threadedComment ref="B38" dT="2022-06-17T12:35:04.58" personId="{06D2D05F-EBEA-41C2-92A1-6EF89573BC28}" id="{610DCDB3-DE29-409A-84BA-BD2B53459AF6}" parentId="{7DC5BC76-93AA-43AA-B4B8-6DAF87786763}">
    <text>number of doses administered</text>
  </threadedComment>
  <threadedComment ref="G38" dT="2021-07-16T16:00:56.92" personId="{06D2D05F-EBEA-41C2-92A1-6EF89573BC28}" id="{6B1C7E9B-504A-4D1A-AF36-D8D9AA3059B4}">
    <text>to be checked</text>
  </threadedComment>
  <threadedComment ref="D40" dT="2021-07-16T16:11:07.64" personId="{06D2D05F-EBEA-41C2-92A1-6EF89573BC28}" id="{7EDD8A3F-51CA-4E06-B2A7-5F9CF78B0DC6}">
    <text>for my curiosity ...can be the boost of a different type of the main treatment ?</text>
  </threadedComment>
  <threadedComment ref="B54" dT="2021-07-16T16:00:13.77" personId="{06D2D05F-EBEA-41C2-92A1-6EF89573BC28}" id="{22718C3A-6EBC-42D9-9B51-A4248F3F6524}">
    <text>To be clarified what it represents</text>
  </threadedComment>
</ThreadedComments>
</file>

<file path=xl/threadedComments/threadedComment4.xml><?xml version="1.0" encoding="utf-8"?>
<ThreadedComments xmlns="http://schemas.microsoft.com/office/spreadsheetml/2018/threadedcomments" xmlns:x="http://schemas.openxmlformats.org/spreadsheetml/2006/main">
  <threadedComment ref="B28" dT="2021-05-27T15:35:17.31" personId="{06D2D05F-EBEA-41C2-92A1-6EF89573BC28}" id="{3AF1DD73-5945-46F7-B630-9DAE8667179B}">
    <text>Is an independent assertion ?</text>
  </threadedComment>
</ThreadedComments>
</file>

<file path=xl/threadedComments/threadedComment5.xml><?xml version="1.0" encoding="utf-8"?>
<ThreadedComments xmlns="http://schemas.microsoft.com/office/spreadsheetml/2018/threadedcomments" xmlns:x="http://schemas.openxmlformats.org/spreadsheetml/2006/main">
  <threadedComment ref="C10" dT="2022-05-01T09:42:29.49" personId="{06D2D05F-EBEA-41C2-92A1-6EF89573BC28}" id="{ED827A95-D5C9-4426-80F2-72713155BB6B}">
    <text>onset date or date of diagnosis ?</text>
  </threadedComment>
  <threadedComment ref="C10" dT="2022-05-05T07:24:37.15" personId="{06D2D05F-EBEA-41C2-92A1-6EF89573BC28}" id="{B7EE6151-9381-4D9B-86AA-53D5F8293E44}" parentId="{ED827A95-D5C9-4426-80F2-72713155BB6B}">
    <text>on set date</text>
  </threadedComment>
</ThreadedComments>
</file>

<file path=xl/threadedComments/threadedComment6.xml><?xml version="1.0" encoding="utf-8"?>
<ThreadedComments xmlns="http://schemas.microsoft.com/office/spreadsheetml/2018/threadedcomments" xmlns:x="http://schemas.openxmlformats.org/spreadsheetml/2006/main">
  <threadedComment ref="C12" dT="2022-05-01T09:43:17.13" personId="{06D2D05F-EBEA-41C2-92A1-6EF89573BC28}" id="{5D2E8EFC-0CCE-4051-A69B-54FC5F2C891E}">
    <text>if date of dignosis..</text>
  </threadedComment>
  <threadedComment ref="I12" dT="2022-05-01T09:43:17.13" personId="{06D2D05F-EBEA-41C2-92A1-6EF89573BC28}" id="{6881C0E7-9C78-4852-AB00-42E70388DA4F}">
    <text>if date of dignosis..</text>
  </threadedComment>
</ThreadedComments>
</file>

<file path=xl/threadedComments/threadedComment7.xml><?xml version="1.0" encoding="utf-8"?>
<ThreadedComments xmlns="http://schemas.microsoft.com/office/spreadsheetml/2018/threadedcomments" xmlns:x="http://schemas.openxmlformats.org/spreadsheetml/2006/main">
  <threadedComment ref="B28" dT="2021-05-27T15:35:17.31" personId="{06D2D05F-EBEA-41C2-92A1-6EF89573BC28}" id="{85C4C669-F4DC-4FCE-926B-4DD1D985E257}">
    <text>Is an independent assertion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11.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16.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6.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16.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zoomScale="60" zoomScaleNormal="60" workbookViewId="0"/>
  </sheetViews>
  <sheetFormatPr defaultColWidth="23" defaultRowHeight="40.5" customHeight="1" x14ac:dyDescent="0.75"/>
  <cols>
    <col min="1" max="1" width="33.1328125" style="37" customWidth="1"/>
    <col min="2" max="2" width="45.90625" style="68" customWidth="1"/>
    <col min="3" max="3" width="72" style="37" bestFit="1" customWidth="1"/>
    <col min="4" max="4" width="26.86328125" style="37" hidden="1" customWidth="1"/>
    <col min="5" max="5" width="21.1328125" style="37" hidden="1" customWidth="1"/>
    <col min="6" max="6" width="21.54296875" style="37" hidden="1" customWidth="1"/>
    <col min="7" max="7" width="17.1328125" style="55" hidden="1" customWidth="1"/>
    <col min="8" max="8" width="54.86328125" style="55" hidden="1" customWidth="1"/>
    <col min="9" max="9" width="23.7265625" style="68" hidden="1" customWidth="1"/>
    <col min="10" max="10" width="63.1328125" style="71" customWidth="1"/>
    <col min="11" max="11" width="54.86328125" style="37" customWidth="1"/>
    <col min="12" max="16384" width="23" style="37"/>
  </cols>
  <sheetData>
    <row r="1" spans="1:11" ht="60" customHeight="1" thickBot="1" x14ac:dyDescent="0.9">
      <c r="B1" s="38" t="s">
        <v>82</v>
      </c>
      <c r="C1" s="39" t="s">
        <v>83</v>
      </c>
      <c r="D1" s="39" t="s">
        <v>84</v>
      </c>
      <c r="E1" s="39" t="s">
        <v>85</v>
      </c>
      <c r="F1" s="39" t="s">
        <v>86</v>
      </c>
      <c r="G1" s="39" t="s">
        <v>87</v>
      </c>
      <c r="H1" s="39" t="s">
        <v>88</v>
      </c>
      <c r="I1" s="39" t="s">
        <v>89</v>
      </c>
      <c r="J1" s="39" t="s">
        <v>90</v>
      </c>
      <c r="K1" s="39" t="s">
        <v>91</v>
      </c>
    </row>
    <row r="2" spans="1:11" ht="40.5" customHeight="1" x14ac:dyDescent="0.75">
      <c r="A2" s="109" t="s">
        <v>92</v>
      </c>
      <c r="B2" s="40"/>
      <c r="C2" s="41" t="s">
        <v>93</v>
      </c>
      <c r="D2" s="42"/>
      <c r="E2" s="42"/>
      <c r="F2" s="42"/>
      <c r="G2" s="42"/>
      <c r="H2" s="42"/>
      <c r="I2" s="42"/>
      <c r="J2" s="43"/>
      <c r="K2" s="42"/>
    </row>
    <row r="3" spans="1:11" ht="40.5" customHeight="1" x14ac:dyDescent="0.75">
      <c r="A3" s="110"/>
      <c r="B3" s="44"/>
      <c r="C3" s="45" t="s">
        <v>10</v>
      </c>
      <c r="D3" s="13" t="s">
        <v>10</v>
      </c>
      <c r="E3" s="13" t="s">
        <v>94</v>
      </c>
      <c r="F3" s="13"/>
      <c r="G3" s="13" t="s">
        <v>95</v>
      </c>
      <c r="H3" s="13"/>
      <c r="I3" s="13" t="s">
        <v>96</v>
      </c>
      <c r="J3" s="13" t="s">
        <v>97</v>
      </c>
      <c r="K3" s="46" t="s">
        <v>96</v>
      </c>
    </row>
    <row r="4" spans="1:11" ht="40.5" customHeight="1" x14ac:dyDescent="0.75">
      <c r="A4" s="110"/>
      <c r="B4" s="44"/>
      <c r="C4" s="47" t="s">
        <v>98</v>
      </c>
      <c r="D4" s="14" t="s">
        <v>99</v>
      </c>
      <c r="E4" s="14" t="s">
        <v>94</v>
      </c>
      <c r="F4" s="14"/>
      <c r="G4" s="13" t="s">
        <v>100</v>
      </c>
      <c r="H4" s="13"/>
      <c r="I4" s="14" t="s">
        <v>101</v>
      </c>
      <c r="J4" s="13" t="s">
        <v>102</v>
      </c>
      <c r="K4" s="46" t="s">
        <v>103</v>
      </c>
    </row>
    <row r="5" spans="1:11" ht="40.5" customHeight="1" x14ac:dyDescent="0.75">
      <c r="A5" s="110"/>
      <c r="B5" s="44"/>
      <c r="C5" s="47" t="s">
        <v>104</v>
      </c>
      <c r="D5" s="14" t="s">
        <v>105</v>
      </c>
      <c r="E5" s="14" t="s">
        <v>94</v>
      </c>
      <c r="F5" s="14"/>
      <c r="G5" s="13" t="s">
        <v>100</v>
      </c>
      <c r="H5" s="13"/>
      <c r="I5" s="14" t="s">
        <v>106</v>
      </c>
      <c r="J5" s="13" t="s">
        <v>107</v>
      </c>
      <c r="K5" s="46" t="s">
        <v>103</v>
      </c>
    </row>
    <row r="6" spans="1:11" ht="40.5" customHeight="1" x14ac:dyDescent="0.75">
      <c r="A6" s="110"/>
      <c r="B6" s="44"/>
      <c r="C6" s="47" t="s">
        <v>108</v>
      </c>
      <c r="D6" s="14" t="s">
        <v>109</v>
      </c>
      <c r="E6" s="14" t="s">
        <v>94</v>
      </c>
      <c r="F6" s="14"/>
      <c r="G6" s="13" t="s">
        <v>100</v>
      </c>
      <c r="H6" s="13"/>
      <c r="I6" s="14" t="s">
        <v>106</v>
      </c>
      <c r="J6" s="13" t="s">
        <v>110</v>
      </c>
      <c r="K6" s="46" t="s">
        <v>103</v>
      </c>
    </row>
    <row r="7" spans="1:11" ht="40.5" customHeight="1" x14ac:dyDescent="0.75">
      <c r="A7" s="110"/>
      <c r="B7" s="44"/>
      <c r="C7" s="47" t="s">
        <v>111</v>
      </c>
      <c r="D7" s="14" t="s">
        <v>112</v>
      </c>
      <c r="E7" s="14" t="s">
        <v>94</v>
      </c>
      <c r="F7" s="14"/>
      <c r="G7" s="13" t="s">
        <v>100</v>
      </c>
      <c r="H7" s="13"/>
      <c r="I7" s="14" t="s">
        <v>101</v>
      </c>
      <c r="J7" s="13" t="s">
        <v>113</v>
      </c>
      <c r="K7" s="46" t="s">
        <v>103</v>
      </c>
    </row>
    <row r="8" spans="1:11" ht="55.5" x14ac:dyDescent="0.75">
      <c r="A8" s="110"/>
      <c r="B8" s="112" t="s">
        <v>114</v>
      </c>
      <c r="C8" s="47" t="s">
        <v>17</v>
      </c>
      <c r="D8" s="14" t="s">
        <v>115</v>
      </c>
      <c r="E8" s="14" t="s">
        <v>116</v>
      </c>
      <c r="F8" s="14"/>
      <c r="G8" s="48" t="s">
        <v>95</v>
      </c>
      <c r="H8" s="13" t="s">
        <v>117</v>
      </c>
      <c r="I8" s="14" t="s">
        <v>101</v>
      </c>
      <c r="J8" s="13" t="s">
        <v>118</v>
      </c>
      <c r="K8" s="46" t="s">
        <v>96</v>
      </c>
    </row>
    <row r="9" spans="1:11" ht="40.5" customHeight="1" x14ac:dyDescent="0.75">
      <c r="A9" s="110"/>
      <c r="B9" s="112"/>
      <c r="C9" s="45" t="s">
        <v>119</v>
      </c>
      <c r="D9" s="13" t="s">
        <v>120</v>
      </c>
      <c r="E9" s="14" t="s">
        <v>94</v>
      </c>
      <c r="F9" s="14"/>
      <c r="G9" s="48" t="s">
        <v>100</v>
      </c>
      <c r="H9" s="13"/>
      <c r="I9" s="13" t="s">
        <v>121</v>
      </c>
      <c r="J9" s="13" t="s">
        <v>122</v>
      </c>
      <c r="K9" s="46" t="s">
        <v>96</v>
      </c>
    </row>
    <row r="10" spans="1:11" ht="40.5" customHeight="1" x14ac:dyDescent="0.75">
      <c r="A10" s="110"/>
      <c r="B10" s="112" t="s">
        <v>123</v>
      </c>
      <c r="C10" s="47" t="s">
        <v>124</v>
      </c>
      <c r="D10" s="14" t="s">
        <v>125</v>
      </c>
      <c r="E10" s="14" t="s">
        <v>3</v>
      </c>
      <c r="F10" s="14"/>
      <c r="G10" s="13" t="s">
        <v>3</v>
      </c>
      <c r="H10" s="13" t="s">
        <v>126</v>
      </c>
      <c r="I10" s="14" t="s">
        <v>101</v>
      </c>
      <c r="J10" s="13" t="s">
        <v>127</v>
      </c>
      <c r="K10" s="46" t="s">
        <v>103</v>
      </c>
    </row>
    <row r="11" spans="1:11" ht="40.5" customHeight="1" x14ac:dyDescent="0.75">
      <c r="A11" s="110"/>
      <c r="B11" s="112"/>
      <c r="C11" s="47" t="s">
        <v>128</v>
      </c>
      <c r="D11" s="14" t="s">
        <v>129</v>
      </c>
      <c r="E11" s="14" t="s">
        <v>95</v>
      </c>
      <c r="F11" s="14" t="s">
        <v>96</v>
      </c>
      <c r="G11" s="13" t="s">
        <v>95</v>
      </c>
      <c r="H11" s="13"/>
      <c r="I11" s="14" t="s">
        <v>96</v>
      </c>
      <c r="J11" s="13" t="s">
        <v>130</v>
      </c>
      <c r="K11" s="46" t="s">
        <v>96</v>
      </c>
    </row>
    <row r="12" spans="1:11" ht="40.5" customHeight="1" x14ac:dyDescent="0.75">
      <c r="A12" s="110"/>
      <c r="B12" s="44"/>
      <c r="C12" s="47" t="s">
        <v>131</v>
      </c>
      <c r="D12" s="14" t="s">
        <v>132</v>
      </c>
      <c r="E12" s="14" t="s">
        <v>94</v>
      </c>
      <c r="F12" s="14"/>
      <c r="G12" s="13" t="s">
        <v>100</v>
      </c>
      <c r="H12" s="13"/>
      <c r="I12" s="14" t="s">
        <v>106</v>
      </c>
      <c r="J12" s="13" t="s">
        <v>133</v>
      </c>
      <c r="K12" s="46" t="s">
        <v>103</v>
      </c>
    </row>
    <row r="13" spans="1:11" ht="40.5" customHeight="1" x14ac:dyDescent="0.75">
      <c r="A13" s="110"/>
      <c r="B13" s="113" t="s">
        <v>134</v>
      </c>
      <c r="C13" s="47" t="s">
        <v>135</v>
      </c>
      <c r="D13" s="14" t="s">
        <v>136</v>
      </c>
      <c r="E13" s="14" t="s">
        <v>116</v>
      </c>
      <c r="F13" s="14"/>
      <c r="G13" s="13" t="s">
        <v>95</v>
      </c>
      <c r="H13" s="13" t="s">
        <v>137</v>
      </c>
      <c r="I13" s="14" t="s">
        <v>101</v>
      </c>
      <c r="J13" s="13" t="s">
        <v>138</v>
      </c>
      <c r="K13" s="46" t="s">
        <v>103</v>
      </c>
    </row>
    <row r="14" spans="1:11" ht="40.5" customHeight="1" x14ac:dyDescent="0.75">
      <c r="A14" s="110"/>
      <c r="B14" s="114"/>
      <c r="C14" s="47" t="s">
        <v>139</v>
      </c>
      <c r="D14" s="14" t="s">
        <v>140</v>
      </c>
      <c r="E14" s="14" t="s">
        <v>94</v>
      </c>
      <c r="F14" s="14"/>
      <c r="G14" s="13" t="s">
        <v>100</v>
      </c>
      <c r="H14" s="13"/>
      <c r="I14" s="14" t="s">
        <v>141</v>
      </c>
      <c r="J14" s="13" t="s">
        <v>142</v>
      </c>
      <c r="K14" s="14" t="s">
        <v>103</v>
      </c>
    </row>
    <row r="15" spans="1:11" ht="40.5" customHeight="1" thickBot="1" x14ac:dyDescent="0.9">
      <c r="A15" s="111"/>
      <c r="B15" s="115"/>
      <c r="C15" s="47" t="s">
        <v>143</v>
      </c>
      <c r="D15" s="14" t="s">
        <v>144</v>
      </c>
      <c r="E15" s="14" t="s">
        <v>94</v>
      </c>
      <c r="F15" s="14"/>
      <c r="G15" s="13" t="s">
        <v>100</v>
      </c>
      <c r="H15" s="13"/>
      <c r="I15" s="14" t="s">
        <v>145</v>
      </c>
      <c r="J15" s="13" t="s">
        <v>146</v>
      </c>
      <c r="K15" s="14" t="s">
        <v>103</v>
      </c>
    </row>
    <row r="16" spans="1:11" ht="40.5" customHeight="1" thickBot="1" x14ac:dyDescent="0.9">
      <c r="B16" s="38" t="s">
        <v>147</v>
      </c>
      <c r="C16" s="49" t="s">
        <v>18</v>
      </c>
      <c r="D16" s="49"/>
      <c r="E16" s="49"/>
      <c r="F16" s="49"/>
      <c r="G16" s="42"/>
      <c r="H16" s="42"/>
      <c r="I16" s="49"/>
      <c r="J16" s="43"/>
      <c r="K16" s="49"/>
    </row>
    <row r="17" spans="1:14" ht="40.5" customHeight="1" x14ac:dyDescent="0.75">
      <c r="A17" s="116" t="s">
        <v>148</v>
      </c>
      <c r="B17" s="40"/>
      <c r="C17" s="45" t="s">
        <v>149</v>
      </c>
      <c r="D17" s="13" t="s">
        <v>150</v>
      </c>
      <c r="E17" s="13" t="s">
        <v>95</v>
      </c>
      <c r="F17" s="13" t="s">
        <v>96</v>
      </c>
      <c r="G17" s="13" t="s">
        <v>95</v>
      </c>
      <c r="H17" s="13"/>
      <c r="I17" s="13" t="s">
        <v>96</v>
      </c>
      <c r="J17" s="13" t="s">
        <v>151</v>
      </c>
      <c r="K17" s="46" t="s">
        <v>96</v>
      </c>
    </row>
    <row r="18" spans="1:14" ht="40.5" customHeight="1" x14ac:dyDescent="0.75">
      <c r="A18" s="117"/>
      <c r="B18" s="44"/>
      <c r="C18" s="47" t="s">
        <v>152</v>
      </c>
      <c r="D18" s="14" t="s">
        <v>153</v>
      </c>
      <c r="E18" s="14" t="s">
        <v>3</v>
      </c>
      <c r="F18" s="14"/>
      <c r="G18" s="13" t="s">
        <v>3</v>
      </c>
      <c r="H18" s="13" t="s">
        <v>126</v>
      </c>
      <c r="I18" s="14" t="s">
        <v>101</v>
      </c>
      <c r="J18" s="13" t="s">
        <v>154</v>
      </c>
      <c r="K18" s="46" t="s">
        <v>96</v>
      </c>
    </row>
    <row r="19" spans="1:14" s="51" customFormat="1" ht="40.5" customHeight="1" x14ac:dyDescent="0.75">
      <c r="A19" s="117"/>
      <c r="B19" s="50"/>
      <c r="C19" s="45" t="s">
        <v>155</v>
      </c>
      <c r="D19" s="13" t="s">
        <v>156</v>
      </c>
      <c r="E19" s="14" t="s">
        <v>116</v>
      </c>
      <c r="F19" s="14" t="s">
        <v>96</v>
      </c>
      <c r="G19" s="13" t="s">
        <v>95</v>
      </c>
      <c r="H19" s="14" t="s">
        <v>157</v>
      </c>
      <c r="I19" s="13" t="s">
        <v>96</v>
      </c>
      <c r="J19" s="13" t="s">
        <v>24</v>
      </c>
      <c r="K19" s="46" t="s">
        <v>158</v>
      </c>
      <c r="L19" s="37"/>
      <c r="M19" s="37"/>
      <c r="N19" s="37"/>
    </row>
    <row r="20" spans="1:14" ht="40.5" customHeight="1" x14ac:dyDescent="0.75">
      <c r="A20" s="117"/>
      <c r="B20" s="44"/>
      <c r="C20" s="47" t="s">
        <v>159</v>
      </c>
      <c r="D20" s="14" t="s">
        <v>160</v>
      </c>
      <c r="E20" s="14" t="s">
        <v>94</v>
      </c>
      <c r="F20" s="14" t="s">
        <v>96</v>
      </c>
      <c r="G20" s="14" t="s">
        <v>100</v>
      </c>
      <c r="H20" s="14"/>
      <c r="I20" s="14" t="s">
        <v>96</v>
      </c>
      <c r="J20" s="13" t="s">
        <v>161</v>
      </c>
      <c r="K20" s="52" t="s">
        <v>96</v>
      </c>
    </row>
    <row r="21" spans="1:14" ht="40.5" customHeight="1" x14ac:dyDescent="0.75">
      <c r="A21" s="117"/>
      <c r="B21" s="44"/>
      <c r="C21" s="47" t="s">
        <v>162</v>
      </c>
      <c r="D21" s="14" t="s">
        <v>163</v>
      </c>
      <c r="E21" s="14" t="s">
        <v>116</v>
      </c>
      <c r="F21" s="14"/>
      <c r="G21" s="13" t="s">
        <v>95</v>
      </c>
      <c r="H21" s="13" t="s">
        <v>164</v>
      </c>
      <c r="I21" s="14" t="s">
        <v>101</v>
      </c>
      <c r="J21" s="13" t="s">
        <v>25</v>
      </c>
      <c r="K21" s="46" t="s">
        <v>96</v>
      </c>
    </row>
    <row r="22" spans="1:14" s="55" customFormat="1" ht="40.5" customHeight="1" x14ac:dyDescent="0.75">
      <c r="A22" s="117"/>
      <c r="B22" s="53"/>
      <c r="C22" s="45" t="s">
        <v>165</v>
      </c>
      <c r="D22" s="13" t="s">
        <v>166</v>
      </c>
      <c r="E22" s="14" t="s">
        <v>94</v>
      </c>
      <c r="F22" s="14"/>
      <c r="G22" s="13" t="s">
        <v>100</v>
      </c>
      <c r="H22" s="13"/>
      <c r="I22" s="13" t="s">
        <v>167</v>
      </c>
      <c r="J22" s="13" t="s">
        <v>168</v>
      </c>
      <c r="K22" s="54" t="s">
        <v>96</v>
      </c>
    </row>
    <row r="23" spans="1:14" ht="40.5" customHeight="1" x14ac:dyDescent="0.75">
      <c r="A23" s="117"/>
      <c r="B23" s="44"/>
      <c r="C23" s="47" t="s">
        <v>26</v>
      </c>
      <c r="D23" s="14" t="s">
        <v>169</v>
      </c>
      <c r="E23" s="14" t="s">
        <v>3</v>
      </c>
      <c r="F23" s="14"/>
      <c r="G23" s="13" t="s">
        <v>3</v>
      </c>
      <c r="H23" s="13" t="s">
        <v>126</v>
      </c>
      <c r="I23" s="14" t="s">
        <v>170</v>
      </c>
      <c r="J23" s="13" t="s">
        <v>171</v>
      </c>
      <c r="K23" s="14" t="s">
        <v>103</v>
      </c>
    </row>
    <row r="24" spans="1:14" ht="40.5" customHeight="1" x14ac:dyDescent="0.75">
      <c r="A24" s="117"/>
      <c r="B24" s="44"/>
      <c r="C24" s="47" t="s">
        <v>27</v>
      </c>
      <c r="D24" s="14" t="s">
        <v>172</v>
      </c>
      <c r="E24" s="14" t="s">
        <v>116</v>
      </c>
      <c r="F24" s="14" t="s">
        <v>96</v>
      </c>
      <c r="G24" s="13" t="s">
        <v>100</v>
      </c>
      <c r="H24" s="13" t="s">
        <v>173</v>
      </c>
      <c r="I24" s="14" t="s">
        <v>96</v>
      </c>
      <c r="J24" s="13" t="s">
        <v>174</v>
      </c>
      <c r="K24" s="46" t="s">
        <v>96</v>
      </c>
    </row>
    <row r="25" spans="1:14" ht="40.5" customHeight="1" x14ac:dyDescent="0.75">
      <c r="A25" s="117"/>
      <c r="B25" s="44"/>
      <c r="C25" s="47" t="s">
        <v>18</v>
      </c>
      <c r="D25" s="14" t="s">
        <v>175</v>
      </c>
      <c r="E25" s="14" t="s">
        <v>116</v>
      </c>
      <c r="F25" s="14"/>
      <c r="G25" s="13" t="s">
        <v>100</v>
      </c>
      <c r="H25" s="13" t="s">
        <v>176</v>
      </c>
      <c r="I25" s="14" t="s">
        <v>101</v>
      </c>
      <c r="J25" s="13" t="s">
        <v>177</v>
      </c>
      <c r="K25" s="46" t="s">
        <v>96</v>
      </c>
    </row>
    <row r="26" spans="1:14" ht="40.5" customHeight="1" x14ac:dyDescent="0.75">
      <c r="A26" s="117"/>
      <c r="B26" s="44"/>
      <c r="C26" s="47" t="s">
        <v>178</v>
      </c>
      <c r="D26" s="14" t="s">
        <v>179</v>
      </c>
      <c r="E26" s="14" t="s">
        <v>116</v>
      </c>
      <c r="F26" s="14" t="s">
        <v>96</v>
      </c>
      <c r="G26" s="13" t="s">
        <v>95</v>
      </c>
      <c r="H26" s="13"/>
      <c r="I26" s="14" t="s">
        <v>96</v>
      </c>
      <c r="J26" s="13" t="s">
        <v>180</v>
      </c>
      <c r="K26" s="46" t="s">
        <v>103</v>
      </c>
    </row>
    <row r="27" spans="1:14" ht="40.5" customHeight="1" x14ac:dyDescent="0.75">
      <c r="A27" s="117"/>
      <c r="B27" s="44"/>
      <c r="C27" s="47" t="s">
        <v>181</v>
      </c>
      <c r="D27" s="14" t="s">
        <v>182</v>
      </c>
      <c r="E27" s="14" t="s">
        <v>94</v>
      </c>
      <c r="F27" s="14"/>
      <c r="G27" s="13" t="s">
        <v>100</v>
      </c>
      <c r="H27" s="13"/>
      <c r="I27" s="14" t="s">
        <v>106</v>
      </c>
      <c r="J27" s="13" t="s">
        <v>183</v>
      </c>
      <c r="K27" s="46" t="s">
        <v>96</v>
      </c>
    </row>
    <row r="28" spans="1:14" ht="40.5" customHeight="1" x14ac:dyDescent="0.75">
      <c r="A28" s="117"/>
      <c r="B28" s="44"/>
      <c r="C28" s="47" t="s">
        <v>184</v>
      </c>
      <c r="D28" s="13" t="s">
        <v>185</v>
      </c>
      <c r="E28" s="14" t="s">
        <v>116</v>
      </c>
      <c r="F28" s="14"/>
      <c r="G28" s="13" t="s">
        <v>100</v>
      </c>
      <c r="H28" s="13" t="s">
        <v>186</v>
      </c>
      <c r="I28" s="14" t="s">
        <v>101</v>
      </c>
      <c r="J28" s="13" t="s">
        <v>187</v>
      </c>
      <c r="K28" s="46" t="s">
        <v>96</v>
      </c>
    </row>
    <row r="29" spans="1:14" ht="40.5" customHeight="1" x14ac:dyDescent="0.75">
      <c r="A29" s="117"/>
      <c r="B29" s="44"/>
      <c r="C29" s="47" t="s">
        <v>188</v>
      </c>
      <c r="D29" s="14" t="s">
        <v>189</v>
      </c>
      <c r="E29" s="14" t="s">
        <v>94</v>
      </c>
      <c r="F29" s="14"/>
      <c r="G29" s="13" t="s">
        <v>100</v>
      </c>
      <c r="H29" s="13"/>
      <c r="I29" s="14" t="s">
        <v>106</v>
      </c>
      <c r="J29" s="13" t="s">
        <v>190</v>
      </c>
      <c r="K29" s="46" t="s">
        <v>96</v>
      </c>
    </row>
    <row r="30" spans="1:14" ht="111" x14ac:dyDescent="0.75">
      <c r="A30" s="117"/>
      <c r="B30" s="44"/>
      <c r="C30" s="47" t="s">
        <v>191</v>
      </c>
      <c r="D30" s="14" t="s">
        <v>192</v>
      </c>
      <c r="E30" s="14" t="s">
        <v>116</v>
      </c>
      <c r="F30" s="14"/>
      <c r="G30" s="13" t="s">
        <v>95</v>
      </c>
      <c r="H30" s="13" t="s">
        <v>193</v>
      </c>
      <c r="I30" s="13" t="s">
        <v>96</v>
      </c>
      <c r="J30" s="13" t="s">
        <v>194</v>
      </c>
      <c r="K30" s="46" t="s">
        <v>96</v>
      </c>
    </row>
    <row r="31" spans="1:14" ht="40.5" customHeight="1" x14ac:dyDescent="0.75">
      <c r="A31" s="117"/>
      <c r="B31" s="44"/>
      <c r="C31" s="47" t="s">
        <v>28</v>
      </c>
      <c r="D31" s="14" t="s">
        <v>195</v>
      </c>
      <c r="E31" s="14" t="s">
        <v>116</v>
      </c>
      <c r="F31" s="14"/>
      <c r="G31" s="13" t="s">
        <v>95</v>
      </c>
      <c r="H31" s="13" t="s">
        <v>196</v>
      </c>
      <c r="I31" s="13" t="s">
        <v>96</v>
      </c>
      <c r="J31" s="13" t="s">
        <v>29</v>
      </c>
      <c r="K31" s="46" t="s">
        <v>96</v>
      </c>
    </row>
    <row r="32" spans="1:14" ht="40.5" customHeight="1" x14ac:dyDescent="0.75">
      <c r="A32" s="117"/>
      <c r="B32" s="44"/>
      <c r="C32" s="47" t="s">
        <v>30</v>
      </c>
      <c r="D32" s="14" t="s">
        <v>197</v>
      </c>
      <c r="E32" s="14" t="s">
        <v>116</v>
      </c>
      <c r="F32" s="14"/>
      <c r="G32" s="13" t="s">
        <v>95</v>
      </c>
      <c r="H32" s="13" t="s">
        <v>198</v>
      </c>
      <c r="I32" s="13" t="s">
        <v>199</v>
      </c>
      <c r="J32" s="13"/>
      <c r="K32" s="46" t="s">
        <v>103</v>
      </c>
    </row>
    <row r="33" spans="1:11" ht="40.5" customHeight="1" x14ac:dyDescent="0.75">
      <c r="A33" s="117"/>
      <c r="B33" s="44"/>
      <c r="C33" s="47" t="s">
        <v>200</v>
      </c>
      <c r="D33" s="14" t="s">
        <v>201</v>
      </c>
      <c r="E33" s="14" t="s">
        <v>116</v>
      </c>
      <c r="F33" s="14"/>
      <c r="G33" s="13" t="s">
        <v>100</v>
      </c>
      <c r="H33" s="13"/>
      <c r="I33" s="14" t="s">
        <v>202</v>
      </c>
      <c r="J33" s="13" t="s">
        <v>203</v>
      </c>
      <c r="K33" s="46" t="s">
        <v>96</v>
      </c>
    </row>
    <row r="34" spans="1:11" ht="40.5" customHeight="1" x14ac:dyDescent="0.75">
      <c r="A34" s="117"/>
      <c r="B34" s="44"/>
      <c r="C34" s="47" t="s">
        <v>31</v>
      </c>
      <c r="D34" s="14" t="s">
        <v>204</v>
      </c>
      <c r="E34" s="14" t="s">
        <v>94</v>
      </c>
      <c r="F34" s="14"/>
      <c r="G34" s="13" t="s">
        <v>100</v>
      </c>
      <c r="H34" s="13"/>
      <c r="I34" s="14" t="s">
        <v>205</v>
      </c>
      <c r="J34" s="13" t="s">
        <v>206</v>
      </c>
      <c r="K34" s="46" t="s">
        <v>96</v>
      </c>
    </row>
    <row r="35" spans="1:11" ht="40.5" customHeight="1" x14ac:dyDescent="0.75">
      <c r="A35" s="117"/>
      <c r="B35" s="44"/>
      <c r="C35" s="47" t="s">
        <v>207</v>
      </c>
      <c r="D35" s="14" t="s">
        <v>208</v>
      </c>
      <c r="E35" s="14" t="s">
        <v>94</v>
      </c>
      <c r="F35" s="14"/>
      <c r="G35" s="13" t="s">
        <v>100</v>
      </c>
      <c r="H35" s="13"/>
      <c r="I35" s="14" t="s">
        <v>106</v>
      </c>
      <c r="J35" s="13" t="s">
        <v>32</v>
      </c>
      <c r="K35" s="46" t="s">
        <v>96</v>
      </c>
    </row>
    <row r="36" spans="1:11" ht="40.5" customHeight="1" x14ac:dyDescent="0.75">
      <c r="A36" s="117"/>
      <c r="B36" s="44"/>
      <c r="C36" s="47" t="s">
        <v>33</v>
      </c>
      <c r="D36" s="14" t="s">
        <v>209</v>
      </c>
      <c r="E36" s="14" t="s">
        <v>94</v>
      </c>
      <c r="F36" s="14"/>
      <c r="G36" s="13" t="s">
        <v>100</v>
      </c>
      <c r="H36" s="13"/>
      <c r="I36" s="14" t="s">
        <v>106</v>
      </c>
      <c r="J36" s="13" t="s">
        <v>210</v>
      </c>
      <c r="K36" s="46" t="s">
        <v>96</v>
      </c>
    </row>
    <row r="37" spans="1:11" ht="40.5" customHeight="1" x14ac:dyDescent="0.75">
      <c r="A37" s="117"/>
      <c r="B37" s="44"/>
      <c r="C37" s="47" t="s">
        <v>211</v>
      </c>
      <c r="D37" s="14" t="s">
        <v>212</v>
      </c>
      <c r="E37" s="14" t="s">
        <v>94</v>
      </c>
      <c r="F37" s="14"/>
      <c r="G37" s="13" t="s">
        <v>100</v>
      </c>
      <c r="H37" s="13"/>
      <c r="I37" s="14" t="s">
        <v>106</v>
      </c>
      <c r="J37" s="13" t="s">
        <v>213</v>
      </c>
      <c r="K37" s="46" t="s">
        <v>96</v>
      </c>
    </row>
    <row r="38" spans="1:11" ht="40.5" customHeight="1" x14ac:dyDescent="0.75">
      <c r="A38" s="117"/>
      <c r="B38" s="44"/>
      <c r="C38" s="47" t="s">
        <v>214</v>
      </c>
      <c r="D38" s="14" t="s">
        <v>215</v>
      </c>
      <c r="E38" s="14" t="s">
        <v>116</v>
      </c>
      <c r="F38" s="14"/>
      <c r="G38" s="13" t="s">
        <v>95</v>
      </c>
      <c r="H38" s="56" t="s">
        <v>216</v>
      </c>
      <c r="I38" s="14" t="s">
        <v>101</v>
      </c>
      <c r="J38" s="13" t="s">
        <v>217</v>
      </c>
      <c r="K38" s="46" t="s">
        <v>96</v>
      </c>
    </row>
    <row r="39" spans="1:11" ht="40.5" customHeight="1" x14ac:dyDescent="0.75">
      <c r="A39" s="117"/>
      <c r="B39" s="44"/>
      <c r="C39" s="47" t="s">
        <v>218</v>
      </c>
      <c r="D39" s="13" t="s">
        <v>219</v>
      </c>
      <c r="E39" s="14" t="s">
        <v>116</v>
      </c>
      <c r="F39" s="14"/>
      <c r="G39" s="13" t="s">
        <v>100</v>
      </c>
      <c r="H39" s="13" t="s">
        <v>220</v>
      </c>
      <c r="I39" s="13" t="s">
        <v>221</v>
      </c>
      <c r="J39" s="13" t="s">
        <v>222</v>
      </c>
      <c r="K39" s="46" t="s">
        <v>96</v>
      </c>
    </row>
    <row r="40" spans="1:11" ht="40.5" customHeight="1" x14ac:dyDescent="0.75">
      <c r="A40" s="117"/>
      <c r="B40" s="44"/>
      <c r="C40" s="47" t="s">
        <v>223</v>
      </c>
      <c r="D40" s="13" t="s">
        <v>224</v>
      </c>
      <c r="E40" s="14" t="s">
        <v>94</v>
      </c>
      <c r="F40" s="14"/>
      <c r="G40" s="13" t="s">
        <v>100</v>
      </c>
      <c r="H40" s="13"/>
      <c r="I40" s="13" t="s">
        <v>225</v>
      </c>
      <c r="J40" s="13" t="s">
        <v>226</v>
      </c>
      <c r="K40" s="46" t="s">
        <v>96</v>
      </c>
    </row>
    <row r="41" spans="1:11" ht="40.5" customHeight="1" x14ac:dyDescent="0.75">
      <c r="A41" s="117"/>
      <c r="B41" s="57" t="s">
        <v>227</v>
      </c>
      <c r="C41" s="47" t="s">
        <v>228</v>
      </c>
      <c r="D41" s="14" t="s">
        <v>229</v>
      </c>
      <c r="E41" s="14" t="s">
        <v>116</v>
      </c>
      <c r="F41" s="14"/>
      <c r="G41" s="13" t="s">
        <v>95</v>
      </c>
      <c r="H41" s="13" t="s">
        <v>216</v>
      </c>
      <c r="I41" s="14" t="s">
        <v>101</v>
      </c>
      <c r="J41" s="13" t="s">
        <v>34</v>
      </c>
      <c r="K41" s="46" t="s">
        <v>96</v>
      </c>
    </row>
    <row r="42" spans="1:11" ht="40.5" customHeight="1" x14ac:dyDescent="0.75">
      <c r="A42" s="117"/>
      <c r="B42" s="57" t="s">
        <v>230</v>
      </c>
      <c r="C42" s="58" t="s">
        <v>231</v>
      </c>
      <c r="D42" s="56" t="s">
        <v>232</v>
      </c>
      <c r="E42" s="13" t="s">
        <v>233</v>
      </c>
      <c r="F42" s="13"/>
      <c r="G42" s="13" t="s">
        <v>100</v>
      </c>
      <c r="H42" s="54"/>
      <c r="I42" s="13" t="s">
        <v>234</v>
      </c>
      <c r="J42" s="56" t="s">
        <v>235</v>
      </c>
      <c r="K42" s="46" t="s">
        <v>96</v>
      </c>
    </row>
    <row r="43" spans="1:11" ht="40.5" customHeight="1" thickBot="1" x14ac:dyDescent="0.9">
      <c r="A43" s="118"/>
      <c r="B43" s="59"/>
      <c r="C43" s="47" t="s">
        <v>236</v>
      </c>
      <c r="D43" s="14" t="s">
        <v>237</v>
      </c>
      <c r="E43" s="13" t="s">
        <v>233</v>
      </c>
      <c r="F43" s="13"/>
      <c r="G43" s="13" t="s">
        <v>100</v>
      </c>
      <c r="H43" s="13" t="s">
        <v>238</v>
      </c>
      <c r="I43" s="14" t="s">
        <v>106</v>
      </c>
      <c r="J43" s="13" t="s">
        <v>35</v>
      </c>
      <c r="K43" s="14" t="s">
        <v>96</v>
      </c>
    </row>
    <row r="44" spans="1:11" ht="130.25" thickBot="1" x14ac:dyDescent="0.9">
      <c r="B44" s="38" t="s">
        <v>239</v>
      </c>
      <c r="C44" s="60" t="s">
        <v>19</v>
      </c>
      <c r="D44" s="61"/>
      <c r="E44" s="61"/>
      <c r="F44" s="61"/>
      <c r="G44" s="62"/>
      <c r="H44" s="62"/>
      <c r="I44" s="63"/>
      <c r="J44" s="43"/>
      <c r="K44" s="61"/>
    </row>
    <row r="45" spans="1:11" ht="40.5" customHeight="1" x14ac:dyDescent="0.75">
      <c r="A45" s="64"/>
      <c r="B45" s="65" t="s">
        <v>240</v>
      </c>
      <c r="C45" s="45" t="s">
        <v>149</v>
      </c>
      <c r="D45" s="13" t="s">
        <v>150</v>
      </c>
      <c r="E45" s="13" t="s">
        <v>95</v>
      </c>
      <c r="F45" s="13" t="s">
        <v>96</v>
      </c>
      <c r="G45" s="13" t="s">
        <v>95</v>
      </c>
      <c r="H45" s="13"/>
      <c r="I45" s="13" t="s">
        <v>96</v>
      </c>
      <c r="J45" s="13" t="s">
        <v>241</v>
      </c>
      <c r="K45" s="54" t="s">
        <v>103</v>
      </c>
    </row>
    <row r="46" spans="1:11" ht="40.5" customHeight="1" x14ac:dyDescent="0.75">
      <c r="A46" s="66"/>
      <c r="B46" s="113" t="s">
        <v>242</v>
      </c>
      <c r="C46" s="47" t="s">
        <v>243</v>
      </c>
      <c r="D46" s="14" t="s">
        <v>244</v>
      </c>
      <c r="E46" s="14" t="s">
        <v>116</v>
      </c>
      <c r="F46" s="14"/>
      <c r="G46" s="13" t="s">
        <v>95</v>
      </c>
      <c r="H46" s="13" t="s">
        <v>245</v>
      </c>
      <c r="I46" s="14" t="s">
        <v>101</v>
      </c>
      <c r="J46" s="13" t="s">
        <v>246</v>
      </c>
      <c r="K46" s="46" t="s">
        <v>96</v>
      </c>
    </row>
    <row r="47" spans="1:11" ht="40.5" customHeight="1" x14ac:dyDescent="0.75">
      <c r="A47" s="66"/>
      <c r="B47" s="114"/>
      <c r="C47" s="47" t="s">
        <v>247</v>
      </c>
      <c r="D47" s="14" t="s">
        <v>248</v>
      </c>
      <c r="E47" s="14" t="s">
        <v>94</v>
      </c>
      <c r="F47" s="14"/>
      <c r="G47" s="13" t="s">
        <v>100</v>
      </c>
      <c r="H47" s="13"/>
      <c r="I47" s="13" t="s">
        <v>249</v>
      </c>
      <c r="J47" s="13" t="s">
        <v>250</v>
      </c>
      <c r="K47" s="46" t="s">
        <v>96</v>
      </c>
    </row>
    <row r="48" spans="1:11" ht="40.5" customHeight="1" x14ac:dyDescent="0.75">
      <c r="A48" s="66"/>
      <c r="B48" s="115"/>
      <c r="C48" s="47" t="s">
        <v>251</v>
      </c>
      <c r="D48" s="14" t="s">
        <v>252</v>
      </c>
      <c r="E48" s="14" t="s">
        <v>94</v>
      </c>
      <c r="F48" s="14"/>
      <c r="G48" s="13" t="s">
        <v>100</v>
      </c>
      <c r="H48" s="13"/>
      <c r="I48" s="13" t="s">
        <v>253</v>
      </c>
      <c r="J48" s="13" t="s">
        <v>254</v>
      </c>
      <c r="K48" s="46" t="s">
        <v>96</v>
      </c>
    </row>
    <row r="49" spans="1:11" ht="40.5" customHeight="1" x14ac:dyDescent="0.75">
      <c r="A49" s="66"/>
      <c r="B49" s="44"/>
      <c r="C49" s="47" t="s">
        <v>255</v>
      </c>
      <c r="D49" s="14" t="s">
        <v>256</v>
      </c>
      <c r="E49" s="14" t="s">
        <v>94</v>
      </c>
      <c r="F49" s="14"/>
      <c r="G49" s="13" t="s">
        <v>100</v>
      </c>
      <c r="H49" s="13"/>
      <c r="I49" s="13" t="s">
        <v>257</v>
      </c>
      <c r="J49" s="13" t="s">
        <v>258</v>
      </c>
      <c r="K49" s="46" t="s">
        <v>96</v>
      </c>
    </row>
    <row r="50" spans="1:11" ht="40.5" customHeight="1" x14ac:dyDescent="0.75">
      <c r="A50" s="66"/>
      <c r="B50" s="57"/>
      <c r="C50" s="47" t="s">
        <v>259</v>
      </c>
      <c r="D50" s="14" t="s">
        <v>260</v>
      </c>
      <c r="E50" s="14" t="s">
        <v>116</v>
      </c>
      <c r="F50" s="14"/>
      <c r="G50" s="13" t="s">
        <v>95</v>
      </c>
      <c r="H50" s="13" t="s">
        <v>196</v>
      </c>
      <c r="I50" s="14" t="s">
        <v>101</v>
      </c>
      <c r="J50" s="13" t="s">
        <v>261</v>
      </c>
      <c r="K50" s="46" t="s">
        <v>96</v>
      </c>
    </row>
    <row r="51" spans="1:11" ht="40.5" customHeight="1" x14ac:dyDescent="0.75">
      <c r="A51" s="66"/>
      <c r="B51" s="57"/>
      <c r="C51" s="47" t="s">
        <v>262</v>
      </c>
      <c r="D51" s="14" t="s">
        <v>263</v>
      </c>
      <c r="E51" s="14" t="s">
        <v>116</v>
      </c>
      <c r="F51" s="14"/>
      <c r="G51" s="13" t="s">
        <v>95</v>
      </c>
      <c r="H51" s="13" t="s">
        <v>216</v>
      </c>
      <c r="I51" s="14" t="s">
        <v>101</v>
      </c>
      <c r="J51" s="13" t="s">
        <v>264</v>
      </c>
      <c r="K51" s="46" t="s">
        <v>96</v>
      </c>
    </row>
    <row r="52" spans="1:11" ht="40.5" customHeight="1" x14ac:dyDescent="0.75">
      <c r="A52" s="66"/>
      <c r="B52" s="57"/>
      <c r="C52" s="47" t="s">
        <v>265</v>
      </c>
      <c r="D52" s="14" t="s">
        <v>266</v>
      </c>
      <c r="E52" s="14" t="s">
        <v>116</v>
      </c>
      <c r="F52" s="14"/>
      <c r="G52" s="13" t="s">
        <v>95</v>
      </c>
      <c r="H52" s="13" t="s">
        <v>196</v>
      </c>
      <c r="I52" s="14" t="s">
        <v>101</v>
      </c>
      <c r="J52" s="13" t="s">
        <v>267</v>
      </c>
      <c r="K52" s="46" t="s">
        <v>96</v>
      </c>
    </row>
    <row r="53" spans="1:11" ht="40.5" customHeight="1" x14ac:dyDescent="0.75">
      <c r="A53" s="66"/>
      <c r="B53" s="57"/>
      <c r="C53" s="47" t="s">
        <v>268</v>
      </c>
      <c r="D53" s="14" t="s">
        <v>269</v>
      </c>
      <c r="E53" s="14" t="s">
        <v>116</v>
      </c>
      <c r="F53" s="14"/>
      <c r="G53" s="13" t="s">
        <v>95</v>
      </c>
      <c r="H53" s="13" t="s">
        <v>270</v>
      </c>
      <c r="I53" s="14" t="s">
        <v>101</v>
      </c>
      <c r="J53" s="13" t="s">
        <v>271</v>
      </c>
      <c r="K53" s="46" t="s">
        <v>96</v>
      </c>
    </row>
    <row r="54" spans="1:11" ht="55.5" x14ac:dyDescent="0.75">
      <c r="A54" s="66"/>
      <c r="B54" s="57"/>
      <c r="C54" s="47" t="s">
        <v>272</v>
      </c>
      <c r="D54" s="14" t="s">
        <v>273</v>
      </c>
      <c r="E54" s="14" t="s">
        <v>116</v>
      </c>
      <c r="F54" s="14"/>
      <c r="G54" s="13" t="s">
        <v>95</v>
      </c>
      <c r="H54" s="13" t="s">
        <v>270</v>
      </c>
      <c r="I54" s="14" t="s">
        <v>101</v>
      </c>
      <c r="J54" s="13" t="s">
        <v>274</v>
      </c>
      <c r="K54" s="46" t="s">
        <v>96</v>
      </c>
    </row>
    <row r="55" spans="1:11" ht="40.5" customHeight="1" x14ac:dyDescent="0.75">
      <c r="A55" s="66"/>
      <c r="B55" s="44"/>
      <c r="C55" s="47" t="s">
        <v>275</v>
      </c>
      <c r="D55" s="14" t="s">
        <v>276</v>
      </c>
      <c r="E55" s="14" t="s">
        <v>3</v>
      </c>
      <c r="F55" s="14"/>
      <c r="G55" s="13" t="s">
        <v>3</v>
      </c>
      <c r="H55" s="13" t="s">
        <v>126</v>
      </c>
      <c r="I55" s="14" t="s">
        <v>101</v>
      </c>
      <c r="J55" s="13" t="s">
        <v>277</v>
      </c>
      <c r="K55" s="46" t="s">
        <v>96</v>
      </c>
    </row>
    <row r="56" spans="1:11" ht="40.5" customHeight="1" x14ac:dyDescent="0.75">
      <c r="A56" s="66"/>
      <c r="B56" s="44"/>
      <c r="C56" s="45" t="s">
        <v>278</v>
      </c>
      <c r="D56" s="13" t="s">
        <v>279</v>
      </c>
      <c r="E56" s="14" t="s">
        <v>116</v>
      </c>
      <c r="F56" s="14"/>
      <c r="G56" s="13" t="s">
        <v>95</v>
      </c>
      <c r="H56" s="13" t="s">
        <v>280</v>
      </c>
      <c r="I56" s="13" t="s">
        <v>96</v>
      </c>
      <c r="J56" s="13" t="s">
        <v>281</v>
      </c>
      <c r="K56" s="46" t="s">
        <v>96</v>
      </c>
    </row>
    <row r="57" spans="1:11" ht="40.5" customHeight="1" x14ac:dyDescent="0.75">
      <c r="A57" s="66"/>
      <c r="B57" s="44"/>
      <c r="C57" s="45" t="s">
        <v>282</v>
      </c>
      <c r="D57" s="13" t="s">
        <v>283</v>
      </c>
      <c r="E57" s="14" t="s">
        <v>94</v>
      </c>
      <c r="F57" s="14"/>
      <c r="G57" s="13" t="s">
        <v>100</v>
      </c>
      <c r="H57" s="13"/>
      <c r="I57" s="13" t="s">
        <v>284</v>
      </c>
      <c r="J57" s="13" t="s">
        <v>285</v>
      </c>
      <c r="K57" s="46" t="s">
        <v>96</v>
      </c>
    </row>
    <row r="58" spans="1:11" ht="54.25" customHeight="1" thickBot="1" x14ac:dyDescent="0.9">
      <c r="A58" s="67"/>
      <c r="B58" s="59"/>
      <c r="C58" s="45" t="s">
        <v>286</v>
      </c>
      <c r="D58" s="13" t="s">
        <v>287</v>
      </c>
      <c r="E58" s="14" t="s">
        <v>116</v>
      </c>
      <c r="F58" s="14"/>
      <c r="G58" s="13" t="s">
        <v>95</v>
      </c>
      <c r="H58" s="13" t="s">
        <v>280</v>
      </c>
      <c r="I58" s="13" t="s">
        <v>96</v>
      </c>
      <c r="J58" s="13" t="s">
        <v>288</v>
      </c>
      <c r="K58" s="54" t="s">
        <v>96</v>
      </c>
    </row>
    <row r="59" spans="1:11" ht="40.5" customHeight="1" thickBot="1" x14ac:dyDescent="0.9">
      <c r="B59" s="68" t="s">
        <v>289</v>
      </c>
      <c r="C59" s="60" t="s">
        <v>259</v>
      </c>
      <c r="D59" s="61"/>
      <c r="E59" s="61"/>
      <c r="F59" s="61"/>
      <c r="G59" s="62"/>
      <c r="H59" s="62"/>
      <c r="I59" s="63"/>
      <c r="J59" s="43"/>
      <c r="K59" s="61"/>
    </row>
    <row r="60" spans="1:11" ht="40.5" customHeight="1" x14ac:dyDescent="0.75">
      <c r="A60" s="64"/>
      <c r="B60" s="65" t="s">
        <v>240</v>
      </c>
      <c r="C60" s="45" t="s">
        <v>149</v>
      </c>
      <c r="D60" s="13" t="s">
        <v>150</v>
      </c>
      <c r="E60" s="13" t="s">
        <v>95</v>
      </c>
      <c r="F60" s="13" t="s">
        <v>96</v>
      </c>
      <c r="G60" s="13" t="s">
        <v>95</v>
      </c>
      <c r="H60" s="13"/>
      <c r="I60" s="13" t="s">
        <v>96</v>
      </c>
      <c r="J60" s="13" t="s">
        <v>290</v>
      </c>
      <c r="K60" s="54" t="s">
        <v>103</v>
      </c>
    </row>
    <row r="61" spans="1:11" ht="40.5" customHeight="1" x14ac:dyDescent="0.75">
      <c r="A61" s="66"/>
      <c r="B61" s="44"/>
      <c r="C61" s="45" t="s">
        <v>291</v>
      </c>
      <c r="D61" s="13" t="s">
        <v>292</v>
      </c>
      <c r="E61" s="13" t="s">
        <v>95</v>
      </c>
      <c r="F61" s="13" t="s">
        <v>96</v>
      </c>
      <c r="G61" s="13" t="s">
        <v>95</v>
      </c>
      <c r="H61" s="13"/>
      <c r="I61" s="13" t="s">
        <v>96</v>
      </c>
      <c r="J61" s="13"/>
      <c r="K61" s="54" t="s">
        <v>103</v>
      </c>
    </row>
    <row r="62" spans="1:11" ht="40.5" customHeight="1" x14ac:dyDescent="0.75">
      <c r="A62" s="66"/>
      <c r="B62" s="44"/>
      <c r="C62" s="47" t="s">
        <v>293</v>
      </c>
      <c r="D62" s="14" t="s">
        <v>163</v>
      </c>
      <c r="E62" s="14" t="s">
        <v>116</v>
      </c>
      <c r="F62" s="14"/>
      <c r="G62" s="13" t="s">
        <v>95</v>
      </c>
      <c r="H62" s="13" t="s">
        <v>294</v>
      </c>
      <c r="I62" s="14" t="s">
        <v>101</v>
      </c>
      <c r="J62" s="13" t="s">
        <v>36</v>
      </c>
      <c r="K62" s="46" t="s">
        <v>96</v>
      </c>
    </row>
    <row r="63" spans="1:11" ht="40.5" customHeight="1" x14ac:dyDescent="0.75">
      <c r="A63" s="66"/>
      <c r="B63" s="44"/>
      <c r="C63" s="47" t="s">
        <v>165</v>
      </c>
      <c r="D63" s="14" t="s">
        <v>166</v>
      </c>
      <c r="E63" s="14" t="s">
        <v>94</v>
      </c>
      <c r="F63" s="14"/>
      <c r="G63" s="13" t="s">
        <v>100</v>
      </c>
      <c r="H63" s="13"/>
      <c r="I63" s="13" t="s">
        <v>295</v>
      </c>
      <c r="J63" s="13" t="s">
        <v>296</v>
      </c>
      <c r="K63" s="46" t="s">
        <v>96</v>
      </c>
    </row>
    <row r="64" spans="1:11" ht="40.5" customHeight="1" x14ac:dyDescent="0.75">
      <c r="A64" s="66"/>
      <c r="B64" s="44"/>
      <c r="C64" s="47" t="s">
        <v>297</v>
      </c>
      <c r="D64" s="14" t="s">
        <v>298</v>
      </c>
      <c r="E64" s="14" t="s">
        <v>3</v>
      </c>
      <c r="F64" s="14"/>
      <c r="G64" s="13" t="s">
        <v>3</v>
      </c>
      <c r="H64" s="13" t="s">
        <v>126</v>
      </c>
      <c r="I64" s="14" t="s">
        <v>101</v>
      </c>
      <c r="J64" s="13" t="s">
        <v>37</v>
      </c>
      <c r="K64" s="46" t="s">
        <v>96</v>
      </c>
    </row>
    <row r="65" spans="1:11" ht="40.5" customHeight="1" x14ac:dyDescent="0.75">
      <c r="A65" s="66"/>
      <c r="B65" s="44"/>
      <c r="C65" s="47" t="s">
        <v>299</v>
      </c>
      <c r="D65" s="14" t="s">
        <v>300</v>
      </c>
      <c r="E65" s="14" t="s">
        <v>3</v>
      </c>
      <c r="F65" s="14"/>
      <c r="G65" s="13" t="s">
        <v>3</v>
      </c>
      <c r="H65" s="13" t="s">
        <v>126</v>
      </c>
      <c r="I65" s="14" t="s">
        <v>101</v>
      </c>
      <c r="J65" s="13" t="s">
        <v>38</v>
      </c>
      <c r="K65" s="46" t="s">
        <v>96</v>
      </c>
    </row>
    <row r="66" spans="1:11" ht="40.5" customHeight="1" x14ac:dyDescent="0.75">
      <c r="A66" s="66"/>
      <c r="B66" s="44"/>
      <c r="C66" s="47" t="s">
        <v>301</v>
      </c>
      <c r="D66" s="14" t="s">
        <v>302</v>
      </c>
      <c r="E66" s="14" t="s">
        <v>116</v>
      </c>
      <c r="F66" s="14"/>
      <c r="G66" s="13" t="s">
        <v>100</v>
      </c>
      <c r="H66" s="13"/>
      <c r="I66" s="14" t="s">
        <v>101</v>
      </c>
      <c r="J66" s="13" t="s">
        <v>303</v>
      </c>
      <c r="K66" s="46" t="s">
        <v>96</v>
      </c>
    </row>
    <row r="67" spans="1:11" ht="40.5" customHeight="1" x14ac:dyDescent="0.75">
      <c r="A67" s="66"/>
      <c r="B67" s="44"/>
      <c r="C67" s="47" t="s">
        <v>304</v>
      </c>
      <c r="D67" s="14" t="s">
        <v>305</v>
      </c>
      <c r="E67" s="14" t="s">
        <v>94</v>
      </c>
      <c r="F67" s="14"/>
      <c r="G67" s="13" t="s">
        <v>100</v>
      </c>
      <c r="H67" s="13"/>
      <c r="I67" s="14" t="s">
        <v>101</v>
      </c>
      <c r="J67" s="13" t="s">
        <v>306</v>
      </c>
      <c r="K67" s="46" t="s">
        <v>96</v>
      </c>
    </row>
    <row r="68" spans="1:11" ht="40.5" customHeight="1" x14ac:dyDescent="0.75">
      <c r="A68" s="66"/>
      <c r="B68" s="44"/>
      <c r="C68" s="47" t="s">
        <v>307</v>
      </c>
      <c r="D68" s="14" t="s">
        <v>308</v>
      </c>
      <c r="E68" s="14" t="s">
        <v>116</v>
      </c>
      <c r="F68" s="14"/>
      <c r="G68" s="13" t="s">
        <v>95</v>
      </c>
      <c r="H68" s="13" t="s">
        <v>309</v>
      </c>
      <c r="I68" s="69" t="s">
        <v>101</v>
      </c>
      <c r="J68" s="13" t="s">
        <v>310</v>
      </c>
      <c r="K68" s="46" t="s">
        <v>96</v>
      </c>
    </row>
    <row r="69" spans="1:11" ht="40.5" customHeight="1" x14ac:dyDescent="0.75">
      <c r="A69" s="66"/>
      <c r="B69" s="44"/>
      <c r="C69" s="47" t="s">
        <v>311</v>
      </c>
      <c r="D69" s="14" t="s">
        <v>312</v>
      </c>
      <c r="E69" s="14" t="s">
        <v>116</v>
      </c>
      <c r="F69" s="14"/>
      <c r="G69" s="13" t="s">
        <v>95</v>
      </c>
      <c r="H69" s="13" t="s">
        <v>313</v>
      </c>
      <c r="I69" s="14" t="s">
        <v>101</v>
      </c>
      <c r="J69" s="13" t="s">
        <v>314</v>
      </c>
      <c r="K69" s="46" t="s">
        <v>96</v>
      </c>
    </row>
    <row r="70" spans="1:11" ht="40.5" customHeight="1" x14ac:dyDescent="0.75">
      <c r="A70" s="66"/>
      <c r="B70" s="57"/>
      <c r="C70" s="45" t="s">
        <v>39</v>
      </c>
      <c r="D70" s="13" t="s">
        <v>315</v>
      </c>
      <c r="E70" s="14" t="s">
        <v>116</v>
      </c>
      <c r="F70" s="14"/>
      <c r="G70" s="13" t="s">
        <v>95</v>
      </c>
      <c r="H70" s="13" t="s">
        <v>196</v>
      </c>
      <c r="I70" s="13" t="s">
        <v>96</v>
      </c>
      <c r="J70" s="13" t="s">
        <v>316</v>
      </c>
      <c r="K70" s="54" t="s">
        <v>96</v>
      </c>
    </row>
    <row r="71" spans="1:11" s="55" customFormat="1" ht="40.5" customHeight="1" x14ac:dyDescent="0.75">
      <c r="A71" s="70"/>
      <c r="B71" s="53"/>
      <c r="C71" s="45" t="s">
        <v>40</v>
      </c>
      <c r="D71" s="13" t="s">
        <v>317</v>
      </c>
      <c r="E71" s="13" t="s">
        <v>318</v>
      </c>
      <c r="F71" s="13"/>
      <c r="G71" s="13" t="s">
        <v>95</v>
      </c>
      <c r="H71" s="14" t="s">
        <v>319</v>
      </c>
      <c r="I71" s="13" t="s">
        <v>103</v>
      </c>
      <c r="J71" s="13" t="s">
        <v>41</v>
      </c>
      <c r="K71" s="54" t="s">
        <v>103</v>
      </c>
    </row>
    <row r="72" spans="1:11" s="55" customFormat="1" ht="40.5" customHeight="1" x14ac:dyDescent="0.75">
      <c r="A72" s="70"/>
      <c r="B72" s="53"/>
      <c r="C72" s="45" t="s">
        <v>42</v>
      </c>
      <c r="D72" s="13" t="s">
        <v>320</v>
      </c>
      <c r="E72" s="14" t="s">
        <v>94</v>
      </c>
      <c r="F72" s="14"/>
      <c r="G72" s="13" t="s">
        <v>100</v>
      </c>
      <c r="H72" s="13"/>
      <c r="I72" s="14" t="s">
        <v>321</v>
      </c>
      <c r="J72" s="13" t="s">
        <v>43</v>
      </c>
      <c r="K72" s="54" t="s">
        <v>103</v>
      </c>
    </row>
    <row r="73" spans="1:11" ht="40.5" customHeight="1" x14ac:dyDescent="0.75">
      <c r="A73" s="66"/>
      <c r="B73" s="44"/>
      <c r="C73" s="47" t="s">
        <v>322</v>
      </c>
      <c r="D73" s="14" t="s">
        <v>323</v>
      </c>
      <c r="E73" s="14" t="s">
        <v>116</v>
      </c>
      <c r="F73" s="14"/>
      <c r="G73" s="13" t="s">
        <v>95</v>
      </c>
      <c r="H73" s="13" t="s">
        <v>216</v>
      </c>
      <c r="I73" s="14" t="s">
        <v>101</v>
      </c>
      <c r="J73" s="13" t="s">
        <v>324</v>
      </c>
      <c r="K73" s="46" t="s">
        <v>96</v>
      </c>
    </row>
    <row r="74" spans="1:11" ht="40.5" customHeight="1" x14ac:dyDescent="0.75">
      <c r="A74" s="66"/>
      <c r="B74" s="44"/>
      <c r="C74" s="47" t="s">
        <v>325</v>
      </c>
      <c r="D74" s="14" t="s">
        <v>326</v>
      </c>
      <c r="E74" s="14" t="s">
        <v>94</v>
      </c>
      <c r="F74" s="14"/>
      <c r="G74" s="13" t="s">
        <v>100</v>
      </c>
      <c r="H74" s="13"/>
      <c r="I74" s="13" t="s">
        <v>327</v>
      </c>
      <c r="J74" s="13" t="s">
        <v>44</v>
      </c>
      <c r="K74" s="14" t="s">
        <v>328</v>
      </c>
    </row>
    <row r="75" spans="1:11" ht="40.5" customHeight="1" x14ac:dyDescent="0.75">
      <c r="A75" s="66"/>
      <c r="B75" s="44"/>
      <c r="C75" s="45" t="s">
        <v>329</v>
      </c>
      <c r="D75" s="13" t="s">
        <v>330</v>
      </c>
      <c r="E75" s="14" t="s">
        <v>94</v>
      </c>
      <c r="F75" s="14"/>
      <c r="G75" s="13" t="s">
        <v>100</v>
      </c>
      <c r="H75" s="13"/>
      <c r="I75" s="13" t="s">
        <v>327</v>
      </c>
      <c r="J75" s="13" t="s">
        <v>45</v>
      </c>
      <c r="K75" s="46" t="s">
        <v>96</v>
      </c>
    </row>
    <row r="76" spans="1:11" ht="40.5" customHeight="1" x14ac:dyDescent="0.75">
      <c r="A76" s="66"/>
      <c r="B76" s="44"/>
      <c r="C76" s="47" t="s">
        <v>331</v>
      </c>
      <c r="D76" s="14" t="s">
        <v>332</v>
      </c>
      <c r="E76" s="14" t="s">
        <v>116</v>
      </c>
      <c r="F76" s="14"/>
      <c r="G76" s="13" t="s">
        <v>95</v>
      </c>
      <c r="H76" s="13" t="s">
        <v>333</v>
      </c>
      <c r="I76" s="14" t="s">
        <v>101</v>
      </c>
      <c r="J76" s="13" t="s">
        <v>46</v>
      </c>
      <c r="K76" s="46" t="s">
        <v>96</v>
      </c>
    </row>
    <row r="77" spans="1:11" ht="40.5" customHeight="1" thickBot="1" x14ac:dyDescent="0.9">
      <c r="A77" s="67"/>
      <c r="B77" s="59"/>
      <c r="C77" s="47" t="s">
        <v>47</v>
      </c>
      <c r="D77" s="14" t="s">
        <v>334</v>
      </c>
      <c r="E77" s="13" t="s">
        <v>233</v>
      </c>
      <c r="F77" s="13"/>
      <c r="G77" s="13" t="s">
        <v>100</v>
      </c>
      <c r="H77" s="13"/>
      <c r="I77" s="13" t="s">
        <v>335</v>
      </c>
      <c r="J77" s="13" t="s">
        <v>48</v>
      </c>
      <c r="K77" s="46" t="s">
        <v>96</v>
      </c>
    </row>
    <row r="78" spans="1:11" ht="40.5" customHeight="1" x14ac:dyDescent="0.75">
      <c r="B78" s="38" t="s">
        <v>336</v>
      </c>
      <c r="C78" s="60" t="s">
        <v>263</v>
      </c>
      <c r="D78" s="61"/>
      <c r="E78" s="61"/>
      <c r="F78" s="61"/>
      <c r="G78" s="62"/>
      <c r="H78" s="62"/>
      <c r="I78" s="63"/>
      <c r="J78" s="43"/>
      <c r="K78" s="61"/>
    </row>
    <row r="79" spans="1:11" ht="40.5" customHeight="1" x14ac:dyDescent="0.75">
      <c r="B79" s="38" t="s">
        <v>337</v>
      </c>
      <c r="C79" s="13" t="s">
        <v>149</v>
      </c>
      <c r="D79" s="13" t="s">
        <v>150</v>
      </c>
      <c r="E79" s="13" t="s">
        <v>95</v>
      </c>
      <c r="F79" s="13" t="s">
        <v>96</v>
      </c>
      <c r="G79" s="13" t="s">
        <v>95</v>
      </c>
      <c r="H79" s="13"/>
      <c r="I79" s="13" t="s">
        <v>96</v>
      </c>
      <c r="J79" s="13" t="s">
        <v>338</v>
      </c>
      <c r="K79" s="54" t="s">
        <v>103</v>
      </c>
    </row>
    <row r="80" spans="1:11" ht="40.5" customHeight="1" x14ac:dyDescent="0.75">
      <c r="C80" s="13" t="s">
        <v>291</v>
      </c>
      <c r="D80" s="13" t="s">
        <v>292</v>
      </c>
      <c r="E80" s="13" t="s">
        <v>95</v>
      </c>
      <c r="F80" s="13" t="s">
        <v>96</v>
      </c>
      <c r="G80" s="13" t="s">
        <v>95</v>
      </c>
      <c r="H80" s="13"/>
      <c r="I80" s="13" t="s">
        <v>96</v>
      </c>
      <c r="J80" s="13"/>
      <c r="K80" s="54" t="s">
        <v>103</v>
      </c>
    </row>
    <row r="81" spans="2:11" ht="40.5" customHeight="1" x14ac:dyDescent="0.75">
      <c r="C81" s="13" t="s">
        <v>339</v>
      </c>
      <c r="D81" s="13" t="s">
        <v>340</v>
      </c>
      <c r="E81" s="13" t="s">
        <v>95</v>
      </c>
      <c r="F81" s="13" t="s">
        <v>96</v>
      </c>
      <c r="G81" s="13" t="s">
        <v>95</v>
      </c>
      <c r="H81" s="13"/>
      <c r="I81" s="13" t="s">
        <v>96</v>
      </c>
      <c r="J81" s="13" t="s">
        <v>341</v>
      </c>
      <c r="K81" s="54" t="s">
        <v>103</v>
      </c>
    </row>
    <row r="82" spans="2:11" ht="40.5" customHeight="1" x14ac:dyDescent="0.75">
      <c r="C82" s="14" t="s">
        <v>293</v>
      </c>
      <c r="D82" s="14" t="s">
        <v>163</v>
      </c>
      <c r="E82" s="14" t="s">
        <v>116</v>
      </c>
      <c r="F82" s="14"/>
      <c r="G82" s="13" t="s">
        <v>95</v>
      </c>
      <c r="H82" s="13" t="s">
        <v>342</v>
      </c>
      <c r="I82" s="14" t="s">
        <v>101</v>
      </c>
      <c r="J82" s="13" t="s">
        <v>343</v>
      </c>
      <c r="K82" s="46" t="s">
        <v>96</v>
      </c>
    </row>
    <row r="83" spans="2:11" ht="40.5" customHeight="1" x14ac:dyDescent="0.75">
      <c r="C83" s="14" t="s">
        <v>165</v>
      </c>
      <c r="D83" s="14" t="s">
        <v>166</v>
      </c>
      <c r="E83" s="14" t="s">
        <v>94</v>
      </c>
      <c r="F83" s="14"/>
      <c r="G83" s="13" t="s">
        <v>100</v>
      </c>
      <c r="H83" s="13"/>
      <c r="I83" s="13" t="s">
        <v>344</v>
      </c>
      <c r="J83" s="13" t="s">
        <v>296</v>
      </c>
      <c r="K83" s="46" t="s">
        <v>96</v>
      </c>
    </row>
    <row r="84" spans="2:11" ht="40.5" customHeight="1" x14ac:dyDescent="0.75">
      <c r="C84" s="14" t="s">
        <v>345</v>
      </c>
      <c r="D84" s="14" t="s">
        <v>346</v>
      </c>
      <c r="E84" s="14" t="s">
        <v>3</v>
      </c>
      <c r="F84" s="14"/>
      <c r="G84" s="13" t="s">
        <v>3</v>
      </c>
      <c r="H84" s="13" t="s">
        <v>126</v>
      </c>
      <c r="I84" s="14" t="s">
        <v>101</v>
      </c>
      <c r="J84" s="13" t="s">
        <v>347</v>
      </c>
      <c r="K84" s="46" t="s">
        <v>96</v>
      </c>
    </row>
    <row r="85" spans="2:11" s="55" customFormat="1" ht="40.5" customHeight="1" x14ac:dyDescent="0.75">
      <c r="B85" s="71"/>
      <c r="C85" s="13" t="s">
        <v>348</v>
      </c>
      <c r="D85" s="13" t="s">
        <v>349</v>
      </c>
      <c r="E85" s="14" t="s">
        <v>116</v>
      </c>
      <c r="F85" s="14"/>
      <c r="G85" s="13" t="s">
        <v>95</v>
      </c>
      <c r="H85" s="13" t="s">
        <v>350</v>
      </c>
      <c r="I85" s="14" t="s">
        <v>101</v>
      </c>
      <c r="J85" s="13" t="s">
        <v>351</v>
      </c>
      <c r="K85" s="54" t="s">
        <v>96</v>
      </c>
    </row>
    <row r="86" spans="2:11" ht="40.5" customHeight="1" x14ac:dyDescent="0.75">
      <c r="C86" s="15" t="s">
        <v>352</v>
      </c>
      <c r="D86" s="15" t="s">
        <v>353</v>
      </c>
      <c r="E86" s="13" t="s">
        <v>116</v>
      </c>
      <c r="F86" s="13"/>
      <c r="G86" s="13" t="s">
        <v>95</v>
      </c>
      <c r="H86" s="13" t="s">
        <v>354</v>
      </c>
      <c r="I86" s="15" t="s">
        <v>355</v>
      </c>
      <c r="J86" s="15" t="s">
        <v>356</v>
      </c>
      <c r="K86" s="72" t="s">
        <v>96</v>
      </c>
    </row>
    <row r="87" spans="2:11" ht="40.5" customHeight="1" x14ac:dyDescent="0.75">
      <c r="C87" s="15" t="s">
        <v>357</v>
      </c>
      <c r="D87" s="15" t="s">
        <v>358</v>
      </c>
      <c r="E87" s="13" t="s">
        <v>116</v>
      </c>
      <c r="F87" s="13"/>
      <c r="G87" s="13" t="s">
        <v>95</v>
      </c>
      <c r="H87" s="13" t="s">
        <v>359</v>
      </c>
      <c r="I87" s="15" t="s">
        <v>360</v>
      </c>
      <c r="J87" s="15" t="s">
        <v>361</v>
      </c>
      <c r="K87" s="72" t="s">
        <v>96</v>
      </c>
    </row>
    <row r="88" spans="2:11" ht="40.5" customHeight="1" x14ac:dyDescent="0.75">
      <c r="C88" s="13" t="s">
        <v>362</v>
      </c>
      <c r="D88" s="13" t="s">
        <v>363</v>
      </c>
      <c r="E88" s="14" t="s">
        <v>116</v>
      </c>
      <c r="F88" s="14"/>
      <c r="G88" s="13" t="s">
        <v>95</v>
      </c>
      <c r="H88" s="13" t="s">
        <v>364</v>
      </c>
      <c r="I88" s="13" t="s">
        <v>365</v>
      </c>
      <c r="J88" s="13" t="s">
        <v>366</v>
      </c>
      <c r="K88" s="46" t="s">
        <v>96</v>
      </c>
    </row>
    <row r="89" spans="2:11" ht="40.5" customHeight="1" x14ac:dyDescent="0.75">
      <c r="C89" s="14" t="s">
        <v>367</v>
      </c>
      <c r="D89" s="14" t="s">
        <v>368</v>
      </c>
      <c r="E89" s="14" t="s">
        <v>94</v>
      </c>
      <c r="F89" s="14"/>
      <c r="G89" s="13" t="s">
        <v>100</v>
      </c>
      <c r="H89" s="13"/>
      <c r="I89" s="14" t="s">
        <v>101</v>
      </c>
      <c r="J89" s="13" t="s">
        <v>369</v>
      </c>
      <c r="K89" s="46" t="s">
        <v>96</v>
      </c>
    </row>
    <row r="90" spans="2:11" ht="40.5" customHeight="1" x14ac:dyDescent="0.75">
      <c r="C90" s="69" t="s">
        <v>370</v>
      </c>
      <c r="D90" s="69" t="s">
        <v>371</v>
      </c>
      <c r="E90" s="14" t="s">
        <v>116</v>
      </c>
      <c r="F90" s="14"/>
      <c r="G90" s="13" t="s">
        <v>95</v>
      </c>
      <c r="H90" s="13" t="s">
        <v>372</v>
      </c>
      <c r="I90" s="15" t="s">
        <v>373</v>
      </c>
      <c r="J90" s="15" t="s">
        <v>374</v>
      </c>
      <c r="K90" s="52" t="s">
        <v>96</v>
      </c>
    </row>
    <row r="91" spans="2:11" ht="40.5" customHeight="1" x14ac:dyDescent="0.75">
      <c r="C91" s="14" t="s">
        <v>375</v>
      </c>
      <c r="D91" s="14" t="s">
        <v>376</v>
      </c>
      <c r="E91" s="14" t="s">
        <v>116</v>
      </c>
      <c r="F91" s="14"/>
      <c r="G91" s="13" t="s">
        <v>95</v>
      </c>
      <c r="H91" s="13" t="s">
        <v>270</v>
      </c>
      <c r="I91" s="13" t="s">
        <v>373</v>
      </c>
      <c r="J91" s="13" t="s">
        <v>377</v>
      </c>
      <c r="K91" s="46" t="s">
        <v>96</v>
      </c>
    </row>
    <row r="92" spans="2:11" ht="40.5" customHeight="1" x14ac:dyDescent="0.75">
      <c r="C92" s="14" t="s">
        <v>378</v>
      </c>
      <c r="D92" s="14" t="s">
        <v>379</v>
      </c>
      <c r="E92" s="14" t="s">
        <v>116</v>
      </c>
      <c r="F92" s="14"/>
      <c r="G92" s="13" t="s">
        <v>95</v>
      </c>
      <c r="H92" s="13" t="s">
        <v>380</v>
      </c>
      <c r="I92" s="13" t="s">
        <v>381</v>
      </c>
      <c r="J92" s="13" t="s">
        <v>382</v>
      </c>
      <c r="K92" s="46" t="s">
        <v>96</v>
      </c>
    </row>
    <row r="93" spans="2:11" ht="40.5" customHeight="1" x14ac:dyDescent="0.75">
      <c r="C93" s="14" t="s">
        <v>297</v>
      </c>
      <c r="D93" s="14" t="s">
        <v>383</v>
      </c>
      <c r="E93" s="14" t="s">
        <v>3</v>
      </c>
      <c r="F93" s="14"/>
      <c r="G93" s="13" t="s">
        <v>3</v>
      </c>
      <c r="H93" s="13" t="s">
        <v>126</v>
      </c>
      <c r="I93" s="14" t="s">
        <v>384</v>
      </c>
      <c r="J93" s="13" t="s">
        <v>385</v>
      </c>
      <c r="K93" s="14" t="s">
        <v>103</v>
      </c>
    </row>
    <row r="94" spans="2:11" ht="40.5" customHeight="1" x14ac:dyDescent="0.75">
      <c r="C94" s="14" t="s">
        <v>299</v>
      </c>
      <c r="D94" s="14" t="s">
        <v>386</v>
      </c>
      <c r="E94" s="14" t="s">
        <v>3</v>
      </c>
      <c r="F94" s="14"/>
      <c r="G94" s="13" t="s">
        <v>3</v>
      </c>
      <c r="H94" s="13" t="s">
        <v>126</v>
      </c>
      <c r="I94" s="14" t="s">
        <v>387</v>
      </c>
      <c r="J94" s="13" t="s">
        <v>388</v>
      </c>
      <c r="K94" s="14" t="s">
        <v>103</v>
      </c>
    </row>
    <row r="95" spans="2:11" ht="40.5" customHeight="1" x14ac:dyDescent="0.75">
      <c r="C95" s="69" t="s">
        <v>389</v>
      </c>
      <c r="D95" s="69" t="s">
        <v>390</v>
      </c>
      <c r="E95" s="14" t="s">
        <v>116</v>
      </c>
      <c r="F95" s="14"/>
      <c r="G95" s="13" t="s">
        <v>95</v>
      </c>
      <c r="H95" s="13" t="s">
        <v>270</v>
      </c>
      <c r="I95" s="15" t="s">
        <v>373</v>
      </c>
      <c r="J95" s="15" t="s">
        <v>391</v>
      </c>
      <c r="K95" s="52" t="s">
        <v>96</v>
      </c>
    </row>
    <row r="96" spans="2:11" ht="40.5" customHeight="1" x14ac:dyDescent="0.75">
      <c r="C96" s="14" t="s">
        <v>378</v>
      </c>
      <c r="D96" s="14" t="s">
        <v>392</v>
      </c>
      <c r="E96" s="14" t="s">
        <v>116</v>
      </c>
      <c r="F96" s="14"/>
      <c r="G96" s="13" t="s">
        <v>95</v>
      </c>
      <c r="H96" s="13" t="s">
        <v>393</v>
      </c>
      <c r="I96" s="13" t="s">
        <v>394</v>
      </c>
      <c r="J96" s="13" t="s">
        <v>395</v>
      </c>
      <c r="K96" s="46" t="s">
        <v>96</v>
      </c>
    </row>
    <row r="97" spans="1:11" ht="40.5" customHeight="1" x14ac:dyDescent="0.75">
      <c r="C97" s="14" t="s">
        <v>297</v>
      </c>
      <c r="D97" s="14" t="s">
        <v>396</v>
      </c>
      <c r="E97" s="14" t="s">
        <v>3</v>
      </c>
      <c r="F97" s="14"/>
      <c r="G97" s="13" t="s">
        <v>3</v>
      </c>
      <c r="H97" s="13" t="s">
        <v>126</v>
      </c>
      <c r="I97" s="13" t="s">
        <v>103</v>
      </c>
      <c r="J97" s="13" t="s">
        <v>397</v>
      </c>
      <c r="K97" s="46" t="s">
        <v>96</v>
      </c>
    </row>
    <row r="98" spans="1:11" ht="40.5" customHeight="1" x14ac:dyDescent="0.75">
      <c r="C98" s="14" t="s">
        <v>299</v>
      </c>
      <c r="D98" s="14" t="s">
        <v>398</v>
      </c>
      <c r="E98" s="14" t="s">
        <v>3</v>
      </c>
      <c r="F98" s="14"/>
      <c r="G98" s="13" t="s">
        <v>3</v>
      </c>
      <c r="H98" s="13" t="s">
        <v>126</v>
      </c>
      <c r="I98" s="14" t="s">
        <v>387</v>
      </c>
      <c r="J98" s="13" t="s">
        <v>399</v>
      </c>
      <c r="K98" s="14" t="s">
        <v>103</v>
      </c>
    </row>
    <row r="99" spans="1:11" ht="40.5" customHeight="1" x14ac:dyDescent="0.75">
      <c r="C99" s="14" t="s">
        <v>400</v>
      </c>
      <c r="D99" s="14" t="s">
        <v>401</v>
      </c>
      <c r="E99" s="14" t="s">
        <v>94</v>
      </c>
      <c r="F99" s="14"/>
      <c r="G99" s="13" t="s">
        <v>100</v>
      </c>
      <c r="H99" s="13"/>
      <c r="I99" s="13" t="s">
        <v>402</v>
      </c>
      <c r="J99" s="13" t="s">
        <v>403</v>
      </c>
      <c r="K99" s="46" t="s">
        <v>96</v>
      </c>
    </row>
    <row r="100" spans="1:11" ht="40.5" customHeight="1" x14ac:dyDescent="0.75">
      <c r="A100" s="46"/>
      <c r="B100" s="106" t="s">
        <v>404</v>
      </c>
      <c r="C100" s="14" t="s">
        <v>405</v>
      </c>
      <c r="D100" s="14" t="s">
        <v>406</v>
      </c>
      <c r="E100" s="14" t="s">
        <v>116</v>
      </c>
      <c r="F100" s="14"/>
      <c r="G100" s="13" t="s">
        <v>95</v>
      </c>
      <c r="H100" s="14" t="s">
        <v>407</v>
      </c>
      <c r="I100" s="14" t="s">
        <v>106</v>
      </c>
      <c r="J100" s="13" t="s">
        <v>405</v>
      </c>
      <c r="K100" s="46" t="s">
        <v>103</v>
      </c>
    </row>
    <row r="101" spans="1:11" ht="40.5" customHeight="1" x14ac:dyDescent="0.75">
      <c r="A101" s="46"/>
      <c r="B101" s="107"/>
      <c r="C101" s="13" t="s">
        <v>408</v>
      </c>
      <c r="D101" s="13" t="s">
        <v>409</v>
      </c>
      <c r="E101" s="14" t="s">
        <v>116</v>
      </c>
      <c r="F101" s="14"/>
      <c r="G101" s="13" t="s">
        <v>95</v>
      </c>
      <c r="H101" s="13" t="s">
        <v>410</v>
      </c>
      <c r="I101" s="14" t="s">
        <v>106</v>
      </c>
      <c r="J101" s="13" t="s">
        <v>411</v>
      </c>
      <c r="K101" s="46" t="s">
        <v>103</v>
      </c>
    </row>
    <row r="102" spans="1:11" ht="40.5" customHeight="1" x14ac:dyDescent="0.75">
      <c r="A102" s="46"/>
      <c r="B102" s="107"/>
      <c r="C102" s="14" t="s">
        <v>412</v>
      </c>
      <c r="D102" s="14" t="s">
        <v>413</v>
      </c>
      <c r="E102" s="14" t="s">
        <v>116</v>
      </c>
      <c r="F102" s="14"/>
      <c r="G102" s="13" t="s">
        <v>95</v>
      </c>
      <c r="H102" s="14" t="s">
        <v>414</v>
      </c>
      <c r="I102" s="14" t="s">
        <v>415</v>
      </c>
      <c r="J102" s="13" t="s">
        <v>412</v>
      </c>
      <c r="K102" s="46" t="s">
        <v>103</v>
      </c>
    </row>
    <row r="103" spans="1:11" ht="40.5" customHeight="1" x14ac:dyDescent="0.75">
      <c r="A103" s="46"/>
      <c r="B103" s="108"/>
      <c r="C103" s="15" t="s">
        <v>408</v>
      </c>
      <c r="D103" s="15" t="s">
        <v>416</v>
      </c>
      <c r="E103" s="14" t="s">
        <v>116</v>
      </c>
      <c r="F103" s="14"/>
      <c r="G103" s="13" t="s">
        <v>95</v>
      </c>
      <c r="H103" s="13" t="s">
        <v>410</v>
      </c>
      <c r="I103" s="69" t="s">
        <v>106</v>
      </c>
      <c r="J103" s="15" t="s">
        <v>417</v>
      </c>
      <c r="K103" s="52" t="s">
        <v>103</v>
      </c>
    </row>
    <row r="104" spans="1:11" ht="40.5" customHeight="1" x14ac:dyDescent="0.75">
      <c r="C104" s="14" t="s">
        <v>418</v>
      </c>
      <c r="D104" s="14" t="s">
        <v>419</v>
      </c>
      <c r="E104" s="14" t="s">
        <v>3</v>
      </c>
      <c r="F104" s="14"/>
      <c r="G104" s="13" t="s">
        <v>3</v>
      </c>
      <c r="H104" s="13" t="s">
        <v>126</v>
      </c>
      <c r="I104" s="13" t="s">
        <v>420</v>
      </c>
      <c r="J104" s="13" t="s">
        <v>421</v>
      </c>
      <c r="K104" s="46" t="s">
        <v>96</v>
      </c>
    </row>
    <row r="105" spans="1:11" ht="40.5" customHeight="1" x14ac:dyDescent="0.75">
      <c r="C105" s="60" t="s">
        <v>265</v>
      </c>
      <c r="D105" s="61"/>
      <c r="E105" s="61"/>
      <c r="F105" s="61"/>
      <c r="G105" s="62"/>
      <c r="H105" s="62"/>
      <c r="I105" s="63"/>
      <c r="J105" s="43"/>
      <c r="K105" s="61"/>
    </row>
    <row r="106" spans="1:11" ht="40.5" customHeight="1" x14ac:dyDescent="0.75">
      <c r="B106" s="38"/>
      <c r="C106" s="13" t="s">
        <v>149</v>
      </c>
      <c r="D106" s="13" t="s">
        <v>150</v>
      </c>
      <c r="E106" s="13" t="s">
        <v>95</v>
      </c>
      <c r="F106" s="13" t="s">
        <v>96</v>
      </c>
      <c r="G106" s="13" t="s">
        <v>95</v>
      </c>
      <c r="H106" s="13"/>
      <c r="I106" s="13" t="s">
        <v>96</v>
      </c>
      <c r="J106" s="13" t="s">
        <v>422</v>
      </c>
      <c r="K106" s="54" t="s">
        <v>103</v>
      </c>
    </row>
    <row r="107" spans="1:11" ht="40.5" customHeight="1" x14ac:dyDescent="0.75">
      <c r="C107" s="13" t="s">
        <v>291</v>
      </c>
      <c r="D107" s="13" t="s">
        <v>292</v>
      </c>
      <c r="E107" s="13" t="s">
        <v>95</v>
      </c>
      <c r="F107" s="13" t="s">
        <v>96</v>
      </c>
      <c r="G107" s="13" t="s">
        <v>95</v>
      </c>
      <c r="H107" s="13"/>
      <c r="I107" s="13" t="s">
        <v>96</v>
      </c>
      <c r="J107" s="13"/>
      <c r="K107" s="54" t="s">
        <v>103</v>
      </c>
    </row>
    <row r="108" spans="1:11" ht="40.5" customHeight="1" x14ac:dyDescent="0.75">
      <c r="C108" s="13" t="s">
        <v>423</v>
      </c>
      <c r="D108" s="13" t="s">
        <v>424</v>
      </c>
      <c r="E108" s="13" t="s">
        <v>95</v>
      </c>
      <c r="F108" s="13" t="s">
        <v>96</v>
      </c>
      <c r="G108" s="13" t="s">
        <v>95</v>
      </c>
      <c r="H108" s="13"/>
      <c r="I108" s="13" t="s">
        <v>96</v>
      </c>
      <c r="J108" s="13" t="s">
        <v>49</v>
      </c>
      <c r="K108" s="54" t="s">
        <v>103</v>
      </c>
    </row>
    <row r="109" spans="1:11" ht="40.5" customHeight="1" x14ac:dyDescent="0.75">
      <c r="C109" s="14" t="s">
        <v>293</v>
      </c>
      <c r="D109" s="14" t="s">
        <v>163</v>
      </c>
      <c r="E109" s="14" t="s">
        <v>116</v>
      </c>
      <c r="F109" s="14"/>
      <c r="G109" s="13" t="s">
        <v>95</v>
      </c>
      <c r="H109" s="13" t="s">
        <v>294</v>
      </c>
      <c r="I109" s="14" t="s">
        <v>96</v>
      </c>
      <c r="J109" s="13" t="s">
        <v>50</v>
      </c>
      <c r="K109" s="46" t="s">
        <v>96</v>
      </c>
    </row>
    <row r="110" spans="1:11" ht="40.5" customHeight="1" x14ac:dyDescent="0.75">
      <c r="C110" s="14" t="s">
        <v>165</v>
      </c>
      <c r="D110" s="14" t="s">
        <v>166</v>
      </c>
      <c r="E110" s="14" t="s">
        <v>94</v>
      </c>
      <c r="F110" s="14"/>
      <c r="G110" s="13" t="s">
        <v>100</v>
      </c>
      <c r="H110" s="13"/>
      <c r="I110" s="13" t="s">
        <v>425</v>
      </c>
      <c r="J110" s="13" t="s">
        <v>296</v>
      </c>
      <c r="K110" s="46" t="s">
        <v>96</v>
      </c>
    </row>
    <row r="111" spans="1:11" ht="40.5" customHeight="1" x14ac:dyDescent="0.75">
      <c r="C111" s="14" t="s">
        <v>426</v>
      </c>
      <c r="D111" s="14" t="s">
        <v>427</v>
      </c>
      <c r="E111" s="14" t="s">
        <v>116</v>
      </c>
      <c r="F111" s="14"/>
      <c r="G111" s="13" t="s">
        <v>95</v>
      </c>
      <c r="H111" s="13" t="s">
        <v>428</v>
      </c>
      <c r="I111" s="14" t="s">
        <v>96</v>
      </c>
      <c r="J111" s="13" t="s">
        <v>429</v>
      </c>
      <c r="K111" s="46" t="s">
        <v>96</v>
      </c>
    </row>
    <row r="112" spans="1:11" ht="40.5" customHeight="1" x14ac:dyDescent="0.75">
      <c r="C112" s="15" t="s">
        <v>430</v>
      </c>
      <c r="D112" s="69" t="s">
        <v>431</v>
      </c>
      <c r="E112" s="14" t="s">
        <v>116</v>
      </c>
      <c r="F112" s="14"/>
      <c r="G112" s="13" t="s">
        <v>95</v>
      </c>
      <c r="H112" s="13" t="s">
        <v>432</v>
      </c>
      <c r="I112" s="13" t="s">
        <v>433</v>
      </c>
      <c r="J112" s="15" t="s">
        <v>434</v>
      </c>
      <c r="K112" s="52" t="s">
        <v>96</v>
      </c>
    </row>
    <row r="113" spans="2:14" ht="40.5" customHeight="1" x14ac:dyDescent="0.75">
      <c r="C113" s="14" t="s">
        <v>435</v>
      </c>
      <c r="D113" s="14" t="s">
        <v>436</v>
      </c>
      <c r="E113" s="14" t="s">
        <v>94</v>
      </c>
      <c r="F113" s="14"/>
      <c r="G113" s="13" t="s">
        <v>100</v>
      </c>
      <c r="H113" s="13"/>
      <c r="I113" s="13" t="s">
        <v>437</v>
      </c>
      <c r="J113" s="13" t="s">
        <v>438</v>
      </c>
      <c r="K113" s="46" t="s">
        <v>96</v>
      </c>
    </row>
    <row r="114" spans="2:14" ht="40.5" customHeight="1" x14ac:dyDescent="0.75">
      <c r="C114" s="14" t="s">
        <v>439</v>
      </c>
      <c r="D114" s="14" t="s">
        <v>440</v>
      </c>
      <c r="E114" s="14" t="s">
        <v>116</v>
      </c>
      <c r="F114" s="14"/>
      <c r="G114" s="13" t="s">
        <v>95</v>
      </c>
      <c r="H114" s="13" t="s">
        <v>441</v>
      </c>
      <c r="I114" s="13" t="s">
        <v>442</v>
      </c>
      <c r="J114" s="73" t="s">
        <v>443</v>
      </c>
      <c r="K114" s="46" t="s">
        <v>96</v>
      </c>
    </row>
    <row r="115" spans="2:14" ht="40.5" customHeight="1" x14ac:dyDescent="0.75">
      <c r="C115" s="14" t="s">
        <v>444</v>
      </c>
      <c r="D115" s="14" t="s">
        <v>445</v>
      </c>
      <c r="E115" s="14" t="s">
        <v>116</v>
      </c>
      <c r="F115" s="14"/>
      <c r="G115" s="13" t="s">
        <v>95</v>
      </c>
      <c r="H115" s="13" t="s">
        <v>446</v>
      </c>
      <c r="I115" s="13" t="s">
        <v>447</v>
      </c>
      <c r="J115" s="13" t="s">
        <v>448</v>
      </c>
      <c r="K115" s="46" t="s">
        <v>96</v>
      </c>
    </row>
    <row r="116" spans="2:14" ht="40.5" customHeight="1" x14ac:dyDescent="0.75">
      <c r="C116" s="14" t="s">
        <v>435</v>
      </c>
      <c r="D116" s="14" t="s">
        <v>449</v>
      </c>
      <c r="E116" s="14" t="s">
        <v>94</v>
      </c>
      <c r="F116" s="14"/>
      <c r="G116" s="13" t="s">
        <v>100</v>
      </c>
      <c r="H116" s="13"/>
      <c r="I116" s="13" t="s">
        <v>450</v>
      </c>
      <c r="J116" s="13" t="s">
        <v>451</v>
      </c>
      <c r="K116" s="46" t="s">
        <v>96</v>
      </c>
    </row>
    <row r="117" spans="2:14" ht="40.5" customHeight="1" x14ac:dyDescent="0.75">
      <c r="C117" s="69" t="s">
        <v>452</v>
      </c>
      <c r="D117" s="69" t="s">
        <v>453</v>
      </c>
      <c r="E117" s="14" t="s">
        <v>116</v>
      </c>
      <c r="F117" s="14"/>
      <c r="G117" s="13" t="s">
        <v>95</v>
      </c>
      <c r="H117" s="13" t="s">
        <v>454</v>
      </c>
      <c r="I117" s="15" t="s">
        <v>455</v>
      </c>
      <c r="J117" s="15" t="s">
        <v>456</v>
      </c>
      <c r="K117" s="52" t="s">
        <v>96</v>
      </c>
    </row>
    <row r="118" spans="2:14" ht="40.5" customHeight="1" x14ac:dyDescent="0.75">
      <c r="C118" s="14" t="s">
        <v>435</v>
      </c>
      <c r="D118" s="14" t="s">
        <v>457</v>
      </c>
      <c r="E118" s="14" t="s">
        <v>94</v>
      </c>
      <c r="F118" s="14"/>
      <c r="G118" s="13" t="s">
        <v>100</v>
      </c>
      <c r="H118" s="13"/>
      <c r="I118" s="13" t="s">
        <v>458</v>
      </c>
      <c r="J118" s="13" t="s">
        <v>459</v>
      </c>
      <c r="K118" s="46" t="s">
        <v>96</v>
      </c>
    </row>
    <row r="119" spans="2:14" ht="40.5" customHeight="1" x14ac:dyDescent="0.75">
      <c r="C119" s="14" t="s">
        <v>460</v>
      </c>
      <c r="D119" s="14" t="s">
        <v>461</v>
      </c>
      <c r="E119" s="14" t="s">
        <v>95</v>
      </c>
      <c r="F119" s="14"/>
      <c r="G119" s="13" t="s">
        <v>95</v>
      </c>
      <c r="H119" s="13"/>
      <c r="I119" s="13" t="s">
        <v>462</v>
      </c>
      <c r="J119" s="13" t="s">
        <v>51</v>
      </c>
      <c r="K119" s="46" t="s">
        <v>96</v>
      </c>
    </row>
    <row r="120" spans="2:14" ht="40.5" customHeight="1" x14ac:dyDescent="0.75">
      <c r="C120" s="14" t="s">
        <v>297</v>
      </c>
      <c r="D120" s="14" t="s">
        <v>463</v>
      </c>
      <c r="E120" s="14" t="s">
        <v>3</v>
      </c>
      <c r="F120" s="14"/>
      <c r="G120" s="13" t="s">
        <v>3</v>
      </c>
      <c r="H120" s="13" t="s">
        <v>126</v>
      </c>
      <c r="I120" s="13" t="s">
        <v>96</v>
      </c>
      <c r="J120" s="13" t="s">
        <v>52</v>
      </c>
      <c r="K120" s="46" t="s">
        <v>96</v>
      </c>
    </row>
    <row r="121" spans="2:14" ht="40.5" customHeight="1" x14ac:dyDescent="0.75">
      <c r="C121" s="14" t="s">
        <v>299</v>
      </c>
      <c r="D121" s="14" t="s">
        <v>464</v>
      </c>
      <c r="E121" s="14" t="s">
        <v>3</v>
      </c>
      <c r="F121" s="14"/>
      <c r="G121" s="13" t="s">
        <v>3</v>
      </c>
      <c r="H121" s="13" t="s">
        <v>126</v>
      </c>
      <c r="I121" s="13" t="s">
        <v>96</v>
      </c>
      <c r="J121" s="13" t="s">
        <v>53</v>
      </c>
      <c r="K121" s="46" t="s">
        <v>96</v>
      </c>
    </row>
    <row r="122" spans="2:14" ht="40.5" customHeight="1" x14ac:dyDescent="0.75">
      <c r="C122" s="14" t="s">
        <v>465</v>
      </c>
      <c r="D122" s="14" t="s">
        <v>466</v>
      </c>
      <c r="E122" s="14" t="s">
        <v>116</v>
      </c>
      <c r="F122" s="14"/>
      <c r="G122" s="13" t="s">
        <v>100</v>
      </c>
      <c r="H122" s="13" t="s">
        <v>467</v>
      </c>
      <c r="I122" s="14" t="s">
        <v>468</v>
      </c>
      <c r="J122" s="13" t="s">
        <v>469</v>
      </c>
      <c r="K122" s="46" t="s">
        <v>96</v>
      </c>
    </row>
    <row r="123" spans="2:14" ht="40.5" customHeight="1" x14ac:dyDescent="0.75">
      <c r="C123" s="14" t="s">
        <v>470</v>
      </c>
      <c r="D123" s="14" t="s">
        <v>471</v>
      </c>
      <c r="E123" s="14" t="s">
        <v>95</v>
      </c>
      <c r="F123" s="14" t="s">
        <v>96</v>
      </c>
      <c r="G123" s="13" t="s">
        <v>95</v>
      </c>
      <c r="H123" s="13"/>
      <c r="I123" s="14" t="s">
        <v>468</v>
      </c>
      <c r="J123" s="13" t="s">
        <v>472</v>
      </c>
      <c r="K123" s="46" t="s">
        <v>103</v>
      </c>
    </row>
    <row r="124" spans="2:14" ht="40.5" customHeight="1" x14ac:dyDescent="0.75">
      <c r="C124" s="14" t="s">
        <v>473</v>
      </c>
      <c r="D124" s="14" t="s">
        <v>474</v>
      </c>
      <c r="E124" s="14" t="s">
        <v>95</v>
      </c>
      <c r="F124" s="14" t="s">
        <v>96</v>
      </c>
      <c r="G124" s="13" t="s">
        <v>95</v>
      </c>
      <c r="H124" s="13"/>
      <c r="I124" s="14" t="s">
        <v>468</v>
      </c>
      <c r="J124" s="13" t="s">
        <v>475</v>
      </c>
      <c r="K124" s="46" t="s">
        <v>103</v>
      </c>
    </row>
    <row r="125" spans="2:14" ht="40.5" customHeight="1" x14ac:dyDescent="0.75">
      <c r="C125" s="14" t="s">
        <v>476</v>
      </c>
      <c r="D125" s="14" t="s">
        <v>477</v>
      </c>
      <c r="E125" s="14" t="s">
        <v>95</v>
      </c>
      <c r="F125" s="14" t="s">
        <v>96</v>
      </c>
      <c r="G125" s="13" t="s">
        <v>95</v>
      </c>
      <c r="H125" s="13"/>
      <c r="I125" s="14" t="s">
        <v>468</v>
      </c>
      <c r="J125" s="13" t="s">
        <v>478</v>
      </c>
      <c r="K125" s="46" t="s">
        <v>103</v>
      </c>
    </row>
    <row r="126" spans="2:14" s="51" customFormat="1" ht="40.5" customHeight="1" x14ac:dyDescent="0.75">
      <c r="B126" s="74"/>
      <c r="C126" s="15" t="s">
        <v>479</v>
      </c>
      <c r="D126" s="15" t="s">
        <v>480</v>
      </c>
      <c r="E126" s="14" t="s">
        <v>116</v>
      </c>
      <c r="F126" s="14" t="s">
        <v>96</v>
      </c>
      <c r="G126" s="13" t="s">
        <v>100</v>
      </c>
      <c r="H126" s="13" t="s">
        <v>481</v>
      </c>
      <c r="I126" s="14" t="s">
        <v>103</v>
      </c>
      <c r="J126" s="15" t="s">
        <v>482</v>
      </c>
      <c r="K126" s="52" t="s">
        <v>96</v>
      </c>
      <c r="L126" s="37"/>
      <c r="M126" s="37"/>
      <c r="N126" s="37"/>
    </row>
    <row r="127" spans="2:14" s="51" customFormat="1" ht="40.5" customHeight="1" x14ac:dyDescent="0.75">
      <c r="B127" s="74"/>
      <c r="C127" s="13" t="s">
        <v>483</v>
      </c>
      <c r="D127" s="13" t="s">
        <v>484</v>
      </c>
      <c r="E127" s="14" t="s">
        <v>94</v>
      </c>
      <c r="F127" s="14"/>
      <c r="G127" s="13" t="s">
        <v>100</v>
      </c>
      <c r="H127" s="13"/>
      <c r="I127" s="13" t="s">
        <v>485</v>
      </c>
      <c r="J127" s="13" t="s">
        <v>486</v>
      </c>
      <c r="K127" s="46" t="s">
        <v>96</v>
      </c>
      <c r="L127" s="37"/>
      <c r="M127" s="37"/>
      <c r="N127" s="37"/>
    </row>
    <row r="128" spans="2:14" s="51" customFormat="1" ht="40.5" customHeight="1" x14ac:dyDescent="0.75">
      <c r="B128" s="74"/>
      <c r="C128" s="13" t="s">
        <v>54</v>
      </c>
      <c r="D128" s="13" t="s">
        <v>487</v>
      </c>
      <c r="E128" s="14" t="s">
        <v>94</v>
      </c>
      <c r="F128" s="14"/>
      <c r="G128" s="13" t="s">
        <v>100</v>
      </c>
      <c r="H128" s="13"/>
      <c r="I128" s="13" t="s">
        <v>103</v>
      </c>
      <c r="J128" s="13" t="s">
        <v>55</v>
      </c>
      <c r="K128" s="46" t="s">
        <v>103</v>
      </c>
      <c r="L128" s="37"/>
      <c r="M128" s="37"/>
      <c r="N128" s="37"/>
    </row>
    <row r="129" spans="2:14" ht="40.5" customHeight="1" x14ac:dyDescent="0.75">
      <c r="C129" s="14" t="s">
        <v>488</v>
      </c>
      <c r="D129" s="14" t="s">
        <v>489</v>
      </c>
      <c r="E129" s="14" t="s">
        <v>116</v>
      </c>
      <c r="F129" s="14"/>
      <c r="G129" s="13" t="s">
        <v>100</v>
      </c>
      <c r="H129" s="13"/>
      <c r="I129" s="13" t="s">
        <v>490</v>
      </c>
      <c r="J129" s="13" t="s">
        <v>56</v>
      </c>
      <c r="K129" s="46" t="s">
        <v>96</v>
      </c>
    </row>
    <row r="130" spans="2:14" ht="40.5" customHeight="1" x14ac:dyDescent="0.75">
      <c r="C130" s="14" t="s">
        <v>483</v>
      </c>
      <c r="D130" s="14" t="s">
        <v>491</v>
      </c>
      <c r="E130" s="14" t="s">
        <v>94</v>
      </c>
      <c r="F130" s="14"/>
      <c r="G130" s="13" t="s">
        <v>100</v>
      </c>
      <c r="H130" s="13"/>
      <c r="I130" s="14" t="s">
        <v>492</v>
      </c>
      <c r="J130" s="13"/>
      <c r="K130" s="46" t="s">
        <v>103</v>
      </c>
    </row>
    <row r="131" spans="2:14" ht="40.5" customHeight="1" x14ac:dyDescent="0.75">
      <c r="C131" s="14" t="s">
        <v>493</v>
      </c>
      <c r="D131" s="14" t="s">
        <v>494</v>
      </c>
      <c r="E131" s="14" t="s">
        <v>116</v>
      </c>
      <c r="F131" s="14"/>
      <c r="G131" s="13" t="s">
        <v>100</v>
      </c>
      <c r="H131" s="13"/>
      <c r="I131" s="13" t="s">
        <v>490</v>
      </c>
      <c r="J131" s="13" t="s">
        <v>57</v>
      </c>
      <c r="K131" s="46" t="s">
        <v>96</v>
      </c>
    </row>
    <row r="132" spans="2:14" ht="40.5" customHeight="1" x14ac:dyDescent="0.75">
      <c r="C132" s="14" t="s">
        <v>483</v>
      </c>
      <c r="D132" s="14" t="s">
        <v>495</v>
      </c>
      <c r="E132" s="14" t="s">
        <v>94</v>
      </c>
      <c r="F132" s="14"/>
      <c r="G132" s="13" t="s">
        <v>100</v>
      </c>
      <c r="H132" s="13"/>
      <c r="I132" s="14" t="s">
        <v>492</v>
      </c>
      <c r="J132" s="13"/>
      <c r="K132" s="46" t="s">
        <v>103</v>
      </c>
    </row>
    <row r="133" spans="2:14" ht="40.5" customHeight="1" x14ac:dyDescent="0.75">
      <c r="C133" s="14" t="s">
        <v>58</v>
      </c>
      <c r="D133" s="14" t="s">
        <v>496</v>
      </c>
      <c r="E133" s="14" t="s">
        <v>116</v>
      </c>
      <c r="F133" s="14"/>
      <c r="G133" s="13" t="s">
        <v>95</v>
      </c>
      <c r="H133" s="13" t="s">
        <v>497</v>
      </c>
      <c r="I133" s="14" t="s">
        <v>498</v>
      </c>
      <c r="J133" s="13" t="s">
        <v>499</v>
      </c>
      <c r="K133" s="46" t="s">
        <v>96</v>
      </c>
    </row>
    <row r="134" spans="2:14" ht="40.5" customHeight="1" x14ac:dyDescent="0.75">
      <c r="C134" s="14" t="s">
        <v>500</v>
      </c>
      <c r="D134" s="14" t="s">
        <v>501</v>
      </c>
      <c r="E134" s="14" t="s">
        <v>95</v>
      </c>
      <c r="F134" s="14"/>
      <c r="G134" s="13" t="s">
        <v>95</v>
      </c>
      <c r="H134" s="14" t="s">
        <v>502</v>
      </c>
      <c r="I134" s="14" t="s">
        <v>96</v>
      </c>
      <c r="J134" s="13" t="s">
        <v>503</v>
      </c>
      <c r="K134" s="46" t="s">
        <v>96</v>
      </c>
    </row>
    <row r="135" spans="2:14" ht="40.5" customHeight="1" x14ac:dyDescent="0.75">
      <c r="C135" s="14" t="s">
        <v>59</v>
      </c>
      <c r="D135" s="14" t="s">
        <v>504</v>
      </c>
      <c r="E135" s="14" t="s">
        <v>505</v>
      </c>
      <c r="F135" s="14"/>
      <c r="G135" s="13" t="s">
        <v>95</v>
      </c>
      <c r="H135" s="14" t="s">
        <v>506</v>
      </c>
      <c r="I135" s="14" t="s">
        <v>507</v>
      </c>
      <c r="J135" s="13" t="s">
        <v>508</v>
      </c>
      <c r="K135" s="46" t="s">
        <v>96</v>
      </c>
    </row>
    <row r="136" spans="2:14" ht="40.5" customHeight="1" x14ac:dyDescent="0.75">
      <c r="C136" s="14" t="s">
        <v>59</v>
      </c>
      <c r="D136" s="14" t="s">
        <v>509</v>
      </c>
      <c r="E136" s="14" t="s">
        <v>116</v>
      </c>
      <c r="F136" s="14"/>
      <c r="G136" s="13" t="s">
        <v>95</v>
      </c>
      <c r="H136" s="14" t="s">
        <v>510</v>
      </c>
      <c r="I136" s="13" t="s">
        <v>511</v>
      </c>
      <c r="J136" s="13" t="s">
        <v>512</v>
      </c>
      <c r="K136" s="46" t="s">
        <v>96</v>
      </c>
    </row>
    <row r="137" spans="2:14" ht="40.5" customHeight="1" x14ac:dyDescent="0.75">
      <c r="C137" s="14" t="s">
        <v>513</v>
      </c>
      <c r="D137" s="14" t="s">
        <v>514</v>
      </c>
      <c r="E137" s="14" t="s">
        <v>95</v>
      </c>
      <c r="F137" s="14"/>
      <c r="G137" s="13" t="s">
        <v>95</v>
      </c>
      <c r="H137" s="14" t="s">
        <v>502</v>
      </c>
      <c r="I137" s="13" t="s">
        <v>515</v>
      </c>
      <c r="J137" s="13" t="s">
        <v>516</v>
      </c>
      <c r="K137" s="46" t="s">
        <v>96</v>
      </c>
    </row>
    <row r="138" spans="2:14" ht="40.5" customHeight="1" x14ac:dyDescent="0.75">
      <c r="C138" s="14" t="s">
        <v>60</v>
      </c>
      <c r="D138" s="14" t="s">
        <v>517</v>
      </c>
      <c r="E138" s="14" t="s">
        <v>116</v>
      </c>
      <c r="F138" s="14"/>
      <c r="G138" s="13" t="s">
        <v>95</v>
      </c>
      <c r="H138" s="13" t="s">
        <v>518</v>
      </c>
      <c r="I138" s="13" t="s">
        <v>515</v>
      </c>
      <c r="J138" s="13" t="s">
        <v>519</v>
      </c>
      <c r="K138" s="46" t="s">
        <v>96</v>
      </c>
    </row>
    <row r="139" spans="2:14" ht="40.5" customHeight="1" x14ac:dyDescent="0.75">
      <c r="C139" s="14" t="s">
        <v>520</v>
      </c>
      <c r="D139" s="14" t="s">
        <v>521</v>
      </c>
      <c r="E139" s="14" t="s">
        <v>116</v>
      </c>
      <c r="F139" s="14"/>
      <c r="G139" s="13" t="s">
        <v>100</v>
      </c>
      <c r="H139" s="13"/>
      <c r="I139" s="14" t="s">
        <v>522</v>
      </c>
      <c r="J139" s="13" t="s">
        <v>523</v>
      </c>
      <c r="K139" s="46" t="s">
        <v>96</v>
      </c>
    </row>
    <row r="140" spans="2:14" ht="40.5" customHeight="1" x14ac:dyDescent="0.75">
      <c r="C140" s="14" t="s">
        <v>483</v>
      </c>
      <c r="D140" s="14" t="s">
        <v>524</v>
      </c>
      <c r="E140" s="14" t="s">
        <v>94</v>
      </c>
      <c r="F140" s="14"/>
      <c r="G140" s="13" t="s">
        <v>100</v>
      </c>
      <c r="H140" s="13"/>
      <c r="I140" s="14" t="s">
        <v>525</v>
      </c>
      <c r="J140" s="13"/>
      <c r="K140" s="46" t="s">
        <v>96</v>
      </c>
    </row>
    <row r="141" spans="2:14" s="51" customFormat="1" ht="40.5" customHeight="1" x14ac:dyDescent="0.75">
      <c r="B141" s="74"/>
      <c r="C141" s="13" t="s">
        <v>526</v>
      </c>
      <c r="D141" s="13" t="s">
        <v>527</v>
      </c>
      <c r="E141" s="14" t="s">
        <v>94</v>
      </c>
      <c r="F141" s="14"/>
      <c r="G141" s="13" t="s">
        <v>100</v>
      </c>
      <c r="H141" s="13"/>
      <c r="I141" s="13" t="s">
        <v>528</v>
      </c>
      <c r="J141" s="13"/>
      <c r="K141" s="46" t="s">
        <v>103</v>
      </c>
      <c r="L141" s="37"/>
      <c r="M141" s="37"/>
      <c r="N141" s="37"/>
    </row>
    <row r="142" spans="2:14" ht="40.5" customHeight="1" x14ac:dyDescent="0.75">
      <c r="C142" s="14" t="s">
        <v>488</v>
      </c>
      <c r="D142" s="14" t="s">
        <v>529</v>
      </c>
      <c r="E142" s="14" t="s">
        <v>116</v>
      </c>
      <c r="F142" s="14"/>
      <c r="G142" s="13" t="s">
        <v>100</v>
      </c>
      <c r="H142" s="13"/>
      <c r="I142" s="14" t="s">
        <v>530</v>
      </c>
      <c r="J142" s="13" t="s">
        <v>56</v>
      </c>
      <c r="K142" s="46" t="s">
        <v>103</v>
      </c>
    </row>
    <row r="143" spans="2:14" ht="40.5" customHeight="1" x14ac:dyDescent="0.75">
      <c r="C143" s="14" t="s">
        <v>483</v>
      </c>
      <c r="D143" s="14" t="s">
        <v>531</v>
      </c>
      <c r="E143" s="14" t="s">
        <v>94</v>
      </c>
      <c r="F143" s="14"/>
      <c r="G143" s="13" t="s">
        <v>100</v>
      </c>
      <c r="H143" s="13"/>
      <c r="I143" s="14" t="s">
        <v>525</v>
      </c>
      <c r="J143" s="13"/>
      <c r="K143" s="46" t="s">
        <v>103</v>
      </c>
    </row>
    <row r="144" spans="2:14" ht="40.5" customHeight="1" x14ac:dyDescent="0.75">
      <c r="C144" s="14" t="s">
        <v>493</v>
      </c>
      <c r="D144" s="14" t="s">
        <v>532</v>
      </c>
      <c r="E144" s="14" t="s">
        <v>116</v>
      </c>
      <c r="F144" s="14"/>
      <c r="G144" s="13" t="s">
        <v>100</v>
      </c>
      <c r="H144" s="13"/>
      <c r="I144" s="14" t="s">
        <v>530</v>
      </c>
      <c r="J144" s="13" t="s">
        <v>57</v>
      </c>
      <c r="K144" s="46" t="s">
        <v>103</v>
      </c>
    </row>
    <row r="145" spans="2:14" ht="40.5" customHeight="1" x14ac:dyDescent="0.75">
      <c r="C145" s="14" t="s">
        <v>483</v>
      </c>
      <c r="D145" s="14" t="s">
        <v>533</v>
      </c>
      <c r="E145" s="14" t="s">
        <v>94</v>
      </c>
      <c r="F145" s="14"/>
      <c r="G145" s="13" t="s">
        <v>100</v>
      </c>
      <c r="H145" s="13"/>
      <c r="I145" s="14" t="s">
        <v>525</v>
      </c>
      <c r="J145" s="13"/>
      <c r="K145" s="46" t="s">
        <v>103</v>
      </c>
    </row>
    <row r="146" spans="2:14" ht="40.5" customHeight="1" x14ac:dyDescent="0.75">
      <c r="C146" s="15" t="s">
        <v>58</v>
      </c>
      <c r="D146" s="15" t="s">
        <v>534</v>
      </c>
      <c r="E146" s="15" t="s">
        <v>116</v>
      </c>
      <c r="F146" s="15"/>
      <c r="G146" s="13" t="s">
        <v>95</v>
      </c>
      <c r="H146" s="13" t="s">
        <v>535</v>
      </c>
      <c r="I146" s="15" t="s">
        <v>536</v>
      </c>
      <c r="J146" s="15" t="s">
        <v>499</v>
      </c>
      <c r="K146" s="52" t="s">
        <v>96</v>
      </c>
    </row>
    <row r="147" spans="2:14" s="51" customFormat="1" ht="40.5" customHeight="1" x14ac:dyDescent="0.75">
      <c r="B147" s="74"/>
      <c r="C147" s="15" t="s">
        <v>537</v>
      </c>
      <c r="D147" s="15" t="s">
        <v>538</v>
      </c>
      <c r="E147" s="13" t="s">
        <v>116</v>
      </c>
      <c r="F147" s="13" t="s">
        <v>96</v>
      </c>
      <c r="G147" s="13" t="s">
        <v>95</v>
      </c>
      <c r="H147" s="13" t="s">
        <v>481</v>
      </c>
      <c r="I147" s="15" t="s">
        <v>103</v>
      </c>
      <c r="J147" s="15" t="s">
        <v>539</v>
      </c>
      <c r="K147" s="52" t="s">
        <v>96</v>
      </c>
      <c r="L147" s="37"/>
      <c r="M147" s="37"/>
      <c r="N147" s="37"/>
    </row>
    <row r="148" spans="2:14" ht="40.5" customHeight="1" x14ac:dyDescent="0.75">
      <c r="C148" s="14" t="s">
        <v>61</v>
      </c>
      <c r="D148" s="14" t="s">
        <v>540</v>
      </c>
      <c r="E148" s="14" t="s">
        <v>116</v>
      </c>
      <c r="F148" s="14"/>
      <c r="G148" s="13" t="s">
        <v>95</v>
      </c>
      <c r="H148" s="13" t="s">
        <v>541</v>
      </c>
      <c r="I148" s="14" t="s">
        <v>542</v>
      </c>
      <c r="J148" s="15" t="s">
        <v>543</v>
      </c>
      <c r="K148" s="46" t="s">
        <v>96</v>
      </c>
    </row>
    <row r="149" spans="2:14" ht="40.5" customHeight="1" x14ac:dyDescent="0.75">
      <c r="C149" s="14" t="s">
        <v>500</v>
      </c>
      <c r="D149" s="14" t="s">
        <v>544</v>
      </c>
      <c r="E149" s="14" t="s">
        <v>95</v>
      </c>
      <c r="F149" s="14"/>
      <c r="G149" s="13" t="s">
        <v>95</v>
      </c>
      <c r="H149" s="14" t="s">
        <v>502</v>
      </c>
      <c r="I149" s="14" t="s">
        <v>545</v>
      </c>
      <c r="J149" s="13" t="s">
        <v>546</v>
      </c>
      <c r="K149" s="46" t="s">
        <v>96</v>
      </c>
    </row>
    <row r="150" spans="2:14" ht="40.5" customHeight="1" x14ac:dyDescent="0.75">
      <c r="C150" s="13" t="s">
        <v>547</v>
      </c>
      <c r="D150" s="13" t="s">
        <v>548</v>
      </c>
      <c r="E150" s="13" t="s">
        <v>549</v>
      </c>
      <c r="F150" s="13"/>
      <c r="G150" s="13" t="s">
        <v>95</v>
      </c>
      <c r="H150" s="14" t="s">
        <v>550</v>
      </c>
      <c r="I150" s="14" t="s">
        <v>551</v>
      </c>
      <c r="J150" s="13" t="s">
        <v>552</v>
      </c>
      <c r="K150" s="46" t="s">
        <v>96</v>
      </c>
    </row>
    <row r="151" spans="2:14" ht="40.5" customHeight="1" x14ac:dyDescent="0.75">
      <c r="C151" s="13" t="s">
        <v>553</v>
      </c>
      <c r="D151" s="13" t="s">
        <v>554</v>
      </c>
      <c r="E151" s="13" t="s">
        <v>116</v>
      </c>
      <c r="F151" s="13"/>
      <c r="G151" s="13" t="s">
        <v>95</v>
      </c>
      <c r="H151" s="13" t="s">
        <v>555</v>
      </c>
      <c r="I151" s="14" t="s">
        <v>545</v>
      </c>
      <c r="J151" s="13"/>
      <c r="K151" s="46" t="s">
        <v>96</v>
      </c>
    </row>
    <row r="152" spans="2:14" ht="40.5" customHeight="1" x14ac:dyDescent="0.75">
      <c r="C152" s="14" t="s">
        <v>513</v>
      </c>
      <c r="D152" s="14" t="s">
        <v>556</v>
      </c>
      <c r="E152" s="14" t="s">
        <v>95</v>
      </c>
      <c r="F152" s="14"/>
      <c r="G152" s="13" t="s">
        <v>95</v>
      </c>
      <c r="H152" s="14" t="s">
        <v>502</v>
      </c>
      <c r="I152" s="13" t="s">
        <v>557</v>
      </c>
      <c r="J152" s="13" t="s">
        <v>62</v>
      </c>
      <c r="K152" s="46" t="s">
        <v>96</v>
      </c>
    </row>
    <row r="153" spans="2:14" ht="40.5" customHeight="1" x14ac:dyDescent="0.75">
      <c r="C153" s="14" t="s">
        <v>63</v>
      </c>
      <c r="D153" s="14" t="s">
        <v>558</v>
      </c>
      <c r="E153" s="14" t="s">
        <v>116</v>
      </c>
      <c r="F153" s="14"/>
      <c r="G153" s="13" t="s">
        <v>95</v>
      </c>
      <c r="H153" s="13" t="s">
        <v>270</v>
      </c>
      <c r="I153" s="13" t="s">
        <v>559</v>
      </c>
      <c r="J153" s="13" t="s">
        <v>560</v>
      </c>
      <c r="K153" s="46" t="s">
        <v>96</v>
      </c>
    </row>
    <row r="154" spans="2:14" ht="40.5" customHeight="1" x14ac:dyDescent="0.75">
      <c r="C154" s="14" t="s">
        <v>64</v>
      </c>
      <c r="D154" s="14" t="s">
        <v>561</v>
      </c>
      <c r="E154" s="14" t="s">
        <v>94</v>
      </c>
      <c r="F154" s="14"/>
      <c r="G154" s="13" t="s">
        <v>100</v>
      </c>
      <c r="H154" s="13"/>
      <c r="I154" s="13" t="s">
        <v>562</v>
      </c>
      <c r="J154" s="13" t="s">
        <v>65</v>
      </c>
      <c r="K154" s="46" t="s">
        <v>96</v>
      </c>
    </row>
    <row r="155" spans="2:14" ht="40.5" customHeight="1" x14ac:dyDescent="0.75">
      <c r="C155" s="14" t="s">
        <v>66</v>
      </c>
      <c r="D155" s="14" t="s">
        <v>563</v>
      </c>
      <c r="E155" s="14" t="s">
        <v>233</v>
      </c>
      <c r="F155" s="14"/>
      <c r="G155" s="13" t="s">
        <v>100</v>
      </c>
      <c r="H155" s="13"/>
      <c r="I155" s="14" t="s">
        <v>106</v>
      </c>
      <c r="J155" s="13" t="s">
        <v>67</v>
      </c>
      <c r="K155" s="46" t="s">
        <v>96</v>
      </c>
    </row>
    <row r="156" spans="2:14" ht="40.5" customHeight="1" x14ac:dyDescent="0.75">
      <c r="C156" s="14" t="s">
        <v>564</v>
      </c>
      <c r="D156" s="14" t="s">
        <v>565</v>
      </c>
      <c r="E156" s="14" t="s">
        <v>116</v>
      </c>
      <c r="F156" s="14"/>
      <c r="G156" s="13" t="s">
        <v>95</v>
      </c>
      <c r="H156" s="13" t="s">
        <v>270</v>
      </c>
      <c r="I156" s="14" t="s">
        <v>103</v>
      </c>
      <c r="J156" s="13" t="s">
        <v>566</v>
      </c>
      <c r="K156" s="46" t="s">
        <v>103</v>
      </c>
    </row>
    <row r="157" spans="2:14" ht="40.5" customHeight="1" x14ac:dyDescent="0.75">
      <c r="C157" s="14" t="s">
        <v>40</v>
      </c>
      <c r="D157" s="14" t="s">
        <v>317</v>
      </c>
      <c r="E157" s="14" t="s">
        <v>318</v>
      </c>
      <c r="F157" s="14"/>
      <c r="G157" s="13" t="s">
        <v>95</v>
      </c>
      <c r="H157" s="14" t="s">
        <v>567</v>
      </c>
      <c r="I157" s="13" t="s">
        <v>103</v>
      </c>
      <c r="J157" s="13"/>
      <c r="K157" s="46" t="s">
        <v>103</v>
      </c>
    </row>
    <row r="158" spans="2:14" ht="40.5" customHeight="1" x14ac:dyDescent="0.75">
      <c r="C158" s="14" t="s">
        <v>42</v>
      </c>
      <c r="D158" s="14" t="s">
        <v>320</v>
      </c>
      <c r="E158" s="14" t="s">
        <v>94</v>
      </c>
      <c r="F158" s="14"/>
      <c r="G158" s="13" t="s">
        <v>100</v>
      </c>
      <c r="H158" s="13"/>
      <c r="I158" s="13" t="s">
        <v>321</v>
      </c>
      <c r="J158" s="13"/>
      <c r="K158" s="46" t="s">
        <v>103</v>
      </c>
    </row>
    <row r="159" spans="2:14" ht="40.5" customHeight="1" x14ac:dyDescent="0.75">
      <c r="C159" s="14" t="s">
        <v>68</v>
      </c>
      <c r="D159" s="14" t="s">
        <v>568</v>
      </c>
      <c r="E159" s="14" t="s">
        <v>116</v>
      </c>
      <c r="F159" s="14"/>
      <c r="G159" s="13" t="s">
        <v>95</v>
      </c>
      <c r="H159" s="13" t="s">
        <v>569</v>
      </c>
      <c r="I159" s="14" t="s">
        <v>106</v>
      </c>
      <c r="J159" s="13" t="s">
        <v>570</v>
      </c>
      <c r="K159" s="46" t="s">
        <v>103</v>
      </c>
    </row>
    <row r="160" spans="2:14" ht="40.5" customHeight="1" x14ac:dyDescent="0.75">
      <c r="C160" s="14" t="s">
        <v>571</v>
      </c>
      <c r="D160" s="14" t="s">
        <v>572</v>
      </c>
      <c r="E160" s="14" t="s">
        <v>573</v>
      </c>
      <c r="F160" s="14"/>
      <c r="G160" s="13" t="s">
        <v>573</v>
      </c>
      <c r="H160" s="13"/>
      <c r="I160" s="14" t="s">
        <v>106</v>
      </c>
      <c r="J160" s="13" t="s">
        <v>69</v>
      </c>
      <c r="K160" s="46" t="s">
        <v>103</v>
      </c>
    </row>
    <row r="161" spans="3:11" ht="40.5" customHeight="1" x14ac:dyDescent="0.75">
      <c r="C161" s="14" t="s">
        <v>574</v>
      </c>
      <c r="D161" s="14" t="s">
        <v>575</v>
      </c>
      <c r="E161" s="14" t="s">
        <v>573</v>
      </c>
      <c r="F161" s="14"/>
      <c r="G161" s="13" t="s">
        <v>573</v>
      </c>
      <c r="H161" s="13"/>
      <c r="I161" s="14" t="s">
        <v>106</v>
      </c>
      <c r="J161" s="13" t="s">
        <v>69</v>
      </c>
      <c r="K161" s="46" t="s">
        <v>103</v>
      </c>
    </row>
    <row r="162" spans="3:11" ht="40.5" customHeight="1" x14ac:dyDescent="0.75">
      <c r="C162" s="14" t="s">
        <v>576</v>
      </c>
      <c r="D162" s="14" t="s">
        <v>577</v>
      </c>
      <c r="E162" s="14" t="s">
        <v>573</v>
      </c>
      <c r="F162" s="14"/>
      <c r="G162" s="13" t="s">
        <v>573</v>
      </c>
      <c r="H162" s="13"/>
      <c r="I162" s="14" t="s">
        <v>106</v>
      </c>
      <c r="J162" s="13" t="s">
        <v>70</v>
      </c>
      <c r="K162" s="46" t="s">
        <v>103</v>
      </c>
    </row>
    <row r="163" spans="3:11" ht="40.5" customHeight="1" x14ac:dyDescent="0.75">
      <c r="C163" s="14" t="s">
        <v>578</v>
      </c>
      <c r="D163" s="14" t="s">
        <v>579</v>
      </c>
      <c r="E163" s="14" t="s">
        <v>573</v>
      </c>
      <c r="F163" s="14"/>
      <c r="G163" s="13" t="s">
        <v>573</v>
      </c>
      <c r="H163" s="13"/>
      <c r="I163" s="14" t="s">
        <v>106</v>
      </c>
      <c r="J163" s="13" t="s">
        <v>70</v>
      </c>
      <c r="K163" s="46" t="s">
        <v>103</v>
      </c>
    </row>
    <row r="164" spans="3:11" ht="40.5" customHeight="1" x14ac:dyDescent="0.75">
      <c r="C164" s="14" t="s">
        <v>580</v>
      </c>
      <c r="D164" s="14" t="s">
        <v>581</v>
      </c>
      <c r="E164" s="14" t="s">
        <v>580</v>
      </c>
      <c r="F164" s="14" t="s">
        <v>96</v>
      </c>
      <c r="G164" s="14" t="s">
        <v>580</v>
      </c>
      <c r="H164" s="14" t="s">
        <v>580</v>
      </c>
      <c r="I164" s="14" t="s">
        <v>580</v>
      </c>
      <c r="J164" s="13" t="s">
        <v>582</v>
      </c>
      <c r="K164" s="54" t="s">
        <v>103</v>
      </c>
    </row>
    <row r="165" spans="3:11" ht="40.5" customHeight="1" x14ac:dyDescent="0.75">
      <c r="C165" s="14" t="s">
        <v>236</v>
      </c>
      <c r="D165" s="14" t="s">
        <v>237</v>
      </c>
      <c r="E165" s="14" t="s">
        <v>233</v>
      </c>
      <c r="F165" s="14"/>
      <c r="G165" s="13" t="s">
        <v>100</v>
      </c>
      <c r="H165" s="13"/>
      <c r="I165" s="14" t="s">
        <v>106</v>
      </c>
      <c r="J165" s="13" t="s">
        <v>35</v>
      </c>
      <c r="K165" s="46" t="s">
        <v>103</v>
      </c>
    </row>
    <row r="166" spans="3:11" ht="40.5" customHeight="1" x14ac:dyDescent="0.75">
      <c r="C166" s="60" t="s">
        <v>268</v>
      </c>
      <c r="D166" s="61"/>
      <c r="E166" s="61"/>
      <c r="F166" s="61"/>
      <c r="G166" s="62"/>
      <c r="H166" s="62"/>
      <c r="I166" s="63"/>
      <c r="J166" s="43"/>
      <c r="K166" s="61"/>
    </row>
    <row r="167" spans="3:11" ht="40.5" customHeight="1" x14ac:dyDescent="0.75">
      <c r="C167" s="13" t="s">
        <v>149</v>
      </c>
      <c r="D167" s="13" t="s">
        <v>150</v>
      </c>
      <c r="E167" s="13" t="s">
        <v>95</v>
      </c>
      <c r="F167" s="13" t="s">
        <v>96</v>
      </c>
      <c r="G167" s="13" t="s">
        <v>95</v>
      </c>
      <c r="H167" s="13"/>
      <c r="I167" s="13" t="s">
        <v>96</v>
      </c>
      <c r="J167" s="13" t="s">
        <v>583</v>
      </c>
      <c r="K167" s="54" t="s">
        <v>103</v>
      </c>
    </row>
    <row r="168" spans="3:11" ht="40.5" customHeight="1" x14ac:dyDescent="0.75">
      <c r="C168" s="13" t="s">
        <v>291</v>
      </c>
      <c r="D168" s="13" t="s">
        <v>292</v>
      </c>
      <c r="E168" s="13" t="s">
        <v>95</v>
      </c>
      <c r="F168" s="13" t="s">
        <v>96</v>
      </c>
      <c r="G168" s="13" t="s">
        <v>95</v>
      </c>
      <c r="H168" s="13"/>
      <c r="I168" s="13" t="s">
        <v>96</v>
      </c>
      <c r="J168" s="13"/>
      <c r="K168" s="54" t="s">
        <v>103</v>
      </c>
    </row>
    <row r="169" spans="3:11" ht="40.5" customHeight="1" x14ac:dyDescent="0.75">
      <c r="C169" s="13" t="s">
        <v>584</v>
      </c>
      <c r="D169" s="13" t="s">
        <v>585</v>
      </c>
      <c r="E169" s="13" t="s">
        <v>95</v>
      </c>
      <c r="F169" s="13" t="s">
        <v>96</v>
      </c>
      <c r="G169" s="13" t="s">
        <v>95</v>
      </c>
      <c r="H169" s="13"/>
      <c r="I169" s="13" t="s">
        <v>96</v>
      </c>
      <c r="J169" s="13" t="s">
        <v>586</v>
      </c>
      <c r="K169" s="54" t="s">
        <v>103</v>
      </c>
    </row>
    <row r="170" spans="3:11" ht="40.5" customHeight="1" x14ac:dyDescent="0.75">
      <c r="C170" s="14" t="s">
        <v>293</v>
      </c>
      <c r="D170" s="14" t="s">
        <v>163</v>
      </c>
      <c r="E170" s="14" t="s">
        <v>116</v>
      </c>
      <c r="F170" s="14"/>
      <c r="G170" s="13" t="s">
        <v>95</v>
      </c>
      <c r="H170" s="13" t="s">
        <v>164</v>
      </c>
      <c r="I170" s="14" t="s">
        <v>587</v>
      </c>
      <c r="J170" s="13" t="s">
        <v>588</v>
      </c>
      <c r="K170" s="46" t="s">
        <v>96</v>
      </c>
    </row>
    <row r="171" spans="3:11" ht="40.5" customHeight="1" x14ac:dyDescent="0.75">
      <c r="C171" s="14" t="s">
        <v>165</v>
      </c>
      <c r="D171" s="14" t="s">
        <v>166</v>
      </c>
      <c r="E171" s="14" t="s">
        <v>94</v>
      </c>
      <c r="F171" s="14"/>
      <c r="G171" s="13" t="s">
        <v>100</v>
      </c>
      <c r="H171" s="13"/>
      <c r="I171" s="14" t="s">
        <v>589</v>
      </c>
      <c r="J171" s="13" t="s">
        <v>296</v>
      </c>
      <c r="K171" s="46" t="s">
        <v>96</v>
      </c>
    </row>
    <row r="172" spans="3:11" ht="40.5" customHeight="1" x14ac:dyDescent="0.75">
      <c r="C172" s="14" t="s">
        <v>590</v>
      </c>
      <c r="D172" s="14" t="s">
        <v>591</v>
      </c>
      <c r="E172" s="14" t="s">
        <v>3</v>
      </c>
      <c r="F172" s="14"/>
      <c r="G172" s="13" t="s">
        <v>3</v>
      </c>
      <c r="H172" s="13" t="s">
        <v>126</v>
      </c>
      <c r="I172" s="14" t="s">
        <v>587</v>
      </c>
      <c r="J172" s="13" t="s">
        <v>592</v>
      </c>
      <c r="K172" s="46" t="s">
        <v>96</v>
      </c>
    </row>
    <row r="173" spans="3:11" ht="40.5" customHeight="1" x14ac:dyDescent="0.75">
      <c r="C173" s="14" t="s">
        <v>593</v>
      </c>
      <c r="D173" s="14" t="s">
        <v>594</v>
      </c>
      <c r="E173" s="14" t="s">
        <v>233</v>
      </c>
      <c r="F173" s="14"/>
      <c r="G173" s="13" t="s">
        <v>100</v>
      </c>
      <c r="H173" s="13"/>
      <c r="I173" s="14" t="s">
        <v>587</v>
      </c>
      <c r="J173" s="13" t="s">
        <v>595</v>
      </c>
      <c r="K173" s="54" t="s">
        <v>96</v>
      </c>
    </row>
    <row r="174" spans="3:11" ht="40.5" customHeight="1" x14ac:dyDescent="0.75">
      <c r="C174" s="13" t="s">
        <v>596</v>
      </c>
      <c r="D174" s="13" t="s">
        <v>597</v>
      </c>
      <c r="E174" s="14" t="s">
        <v>116</v>
      </c>
      <c r="F174" s="14"/>
      <c r="G174" s="13" t="s">
        <v>95</v>
      </c>
      <c r="H174" s="13" t="s">
        <v>280</v>
      </c>
      <c r="I174" s="14" t="s">
        <v>587</v>
      </c>
      <c r="J174" s="13" t="s">
        <v>598</v>
      </c>
      <c r="K174" s="54" t="s">
        <v>96</v>
      </c>
    </row>
    <row r="175" spans="3:11" ht="40.5" customHeight="1" x14ac:dyDescent="0.75">
      <c r="C175" s="15" t="s">
        <v>599</v>
      </c>
      <c r="D175" s="15" t="s">
        <v>600</v>
      </c>
      <c r="E175" s="14" t="s">
        <v>116</v>
      </c>
      <c r="F175" s="14"/>
      <c r="G175" s="13" t="s">
        <v>95</v>
      </c>
      <c r="H175" s="13" t="s">
        <v>280</v>
      </c>
      <c r="I175" s="14" t="s">
        <v>587</v>
      </c>
      <c r="J175" s="15" t="s">
        <v>601</v>
      </c>
      <c r="K175" s="54" t="s">
        <v>96</v>
      </c>
    </row>
    <row r="176" spans="3:11" ht="40.5" customHeight="1" x14ac:dyDescent="0.75">
      <c r="C176" s="13" t="s">
        <v>602</v>
      </c>
      <c r="D176" s="13" t="s">
        <v>603</v>
      </c>
      <c r="E176" s="14" t="s">
        <v>116</v>
      </c>
      <c r="F176" s="14"/>
      <c r="G176" s="13" t="s">
        <v>95</v>
      </c>
      <c r="H176" s="13" t="s">
        <v>280</v>
      </c>
      <c r="I176" s="14" t="s">
        <v>587</v>
      </c>
      <c r="J176" s="13" t="s">
        <v>604</v>
      </c>
      <c r="K176" s="54" t="s">
        <v>96</v>
      </c>
    </row>
    <row r="177" spans="2:14" ht="40.5" customHeight="1" x14ac:dyDescent="0.75">
      <c r="C177" s="15" t="s">
        <v>605</v>
      </c>
      <c r="D177" s="15" t="s">
        <v>606</v>
      </c>
      <c r="E177" s="14" t="s">
        <v>116</v>
      </c>
      <c r="F177" s="14"/>
      <c r="G177" s="13" t="s">
        <v>95</v>
      </c>
      <c r="H177" s="13" t="s">
        <v>280</v>
      </c>
      <c r="I177" s="14" t="s">
        <v>587</v>
      </c>
      <c r="J177" s="15" t="s">
        <v>607</v>
      </c>
      <c r="K177" s="54" t="s">
        <v>96</v>
      </c>
    </row>
    <row r="178" spans="2:14" ht="40.5" customHeight="1" x14ac:dyDescent="0.75">
      <c r="C178" s="15" t="s">
        <v>608</v>
      </c>
      <c r="D178" s="15" t="s">
        <v>609</v>
      </c>
      <c r="E178" s="14" t="s">
        <v>116</v>
      </c>
      <c r="F178" s="14"/>
      <c r="G178" s="13" t="s">
        <v>95</v>
      </c>
      <c r="H178" s="13" t="s">
        <v>280</v>
      </c>
      <c r="I178" s="14" t="s">
        <v>587</v>
      </c>
      <c r="J178" s="15" t="s">
        <v>610</v>
      </c>
      <c r="K178" s="54" t="s">
        <v>96</v>
      </c>
    </row>
    <row r="179" spans="2:14" ht="40.5" customHeight="1" x14ac:dyDescent="0.75">
      <c r="C179" s="15" t="s">
        <v>611</v>
      </c>
      <c r="D179" s="15" t="s">
        <v>612</v>
      </c>
      <c r="E179" s="14" t="s">
        <v>116</v>
      </c>
      <c r="F179" s="14"/>
      <c r="G179" s="13" t="s">
        <v>95</v>
      </c>
      <c r="H179" s="13" t="s">
        <v>280</v>
      </c>
      <c r="I179" s="14" t="s">
        <v>587</v>
      </c>
      <c r="J179" s="15" t="s">
        <v>613</v>
      </c>
      <c r="K179" s="54" t="s">
        <v>96</v>
      </c>
    </row>
    <row r="180" spans="2:14" ht="40.5" customHeight="1" x14ac:dyDescent="0.75">
      <c r="C180" s="69" t="s">
        <v>614</v>
      </c>
      <c r="D180" s="69" t="s">
        <v>615</v>
      </c>
      <c r="E180" s="69" t="s">
        <v>116</v>
      </c>
      <c r="F180" s="69"/>
      <c r="G180" s="13" t="s">
        <v>95</v>
      </c>
      <c r="H180" s="13" t="s">
        <v>280</v>
      </c>
      <c r="I180" s="14" t="s">
        <v>587</v>
      </c>
      <c r="J180" s="15" t="s">
        <v>616</v>
      </c>
      <c r="K180" s="54" t="s">
        <v>96</v>
      </c>
    </row>
    <row r="181" spans="2:14" ht="40.5" customHeight="1" x14ac:dyDescent="0.75">
      <c r="C181" s="69" t="s">
        <v>617</v>
      </c>
      <c r="D181" s="69" t="s">
        <v>618</v>
      </c>
      <c r="E181" s="69" t="s">
        <v>116</v>
      </c>
      <c r="F181" s="69"/>
      <c r="G181" s="13" t="s">
        <v>95</v>
      </c>
      <c r="H181" s="13" t="s">
        <v>280</v>
      </c>
      <c r="I181" s="14" t="s">
        <v>587</v>
      </c>
      <c r="J181" s="15" t="s">
        <v>619</v>
      </c>
      <c r="K181" s="54" t="s">
        <v>96</v>
      </c>
    </row>
    <row r="182" spans="2:14" ht="40.5" customHeight="1" x14ac:dyDescent="0.75">
      <c r="C182" s="15" t="s">
        <v>620</v>
      </c>
      <c r="D182" s="15" t="s">
        <v>621</v>
      </c>
      <c r="E182" s="14" t="s">
        <v>116</v>
      </c>
      <c r="F182" s="14"/>
      <c r="G182" s="13" t="s">
        <v>95</v>
      </c>
      <c r="H182" s="13" t="s">
        <v>280</v>
      </c>
      <c r="I182" s="14" t="s">
        <v>587</v>
      </c>
      <c r="J182" s="15" t="s">
        <v>622</v>
      </c>
      <c r="K182" s="54" t="s">
        <v>96</v>
      </c>
    </row>
    <row r="183" spans="2:14" ht="40.5" customHeight="1" x14ac:dyDescent="0.75">
      <c r="C183" s="69" t="s">
        <v>623</v>
      </c>
      <c r="D183" s="69" t="s">
        <v>624</v>
      </c>
      <c r="E183" s="69" t="s">
        <v>116</v>
      </c>
      <c r="F183" s="69"/>
      <c r="G183" s="13" t="s">
        <v>95</v>
      </c>
      <c r="H183" s="13" t="s">
        <v>280</v>
      </c>
      <c r="I183" s="14" t="s">
        <v>587</v>
      </c>
      <c r="J183" s="15" t="s">
        <v>625</v>
      </c>
      <c r="K183" s="54" t="s">
        <v>96</v>
      </c>
    </row>
    <row r="184" spans="2:14" ht="40.5" customHeight="1" x14ac:dyDescent="0.75">
      <c r="C184" s="69" t="s">
        <v>626</v>
      </c>
      <c r="D184" s="69" t="s">
        <v>627</v>
      </c>
      <c r="E184" s="69" t="s">
        <v>116</v>
      </c>
      <c r="F184" s="69"/>
      <c r="G184" s="13" t="s">
        <v>95</v>
      </c>
      <c r="H184" s="13" t="s">
        <v>280</v>
      </c>
      <c r="I184" s="14" t="s">
        <v>587</v>
      </c>
      <c r="J184" s="13" t="s">
        <v>628</v>
      </c>
      <c r="K184" s="54" t="s">
        <v>96</v>
      </c>
    </row>
    <row r="185" spans="2:14" ht="40.5" customHeight="1" x14ac:dyDescent="0.75">
      <c r="C185" s="69" t="s">
        <v>629</v>
      </c>
      <c r="D185" s="69" t="s">
        <v>630</v>
      </c>
      <c r="E185" s="69" t="s">
        <v>116</v>
      </c>
      <c r="F185" s="69"/>
      <c r="G185" s="13" t="s">
        <v>95</v>
      </c>
      <c r="H185" s="13" t="s">
        <v>631</v>
      </c>
      <c r="I185" s="14" t="s">
        <v>632</v>
      </c>
      <c r="J185" s="13" t="s">
        <v>633</v>
      </c>
      <c r="K185" s="46" t="s">
        <v>96</v>
      </c>
    </row>
    <row r="186" spans="2:14" ht="40.5" customHeight="1" x14ac:dyDescent="0.75">
      <c r="C186" s="14" t="s">
        <v>634</v>
      </c>
      <c r="D186" s="14" t="s">
        <v>635</v>
      </c>
      <c r="E186" s="14" t="s">
        <v>94</v>
      </c>
      <c r="F186" s="14"/>
      <c r="G186" s="13" t="s">
        <v>100</v>
      </c>
      <c r="H186" s="13"/>
      <c r="I186" s="14" t="s">
        <v>636</v>
      </c>
      <c r="J186" s="13" t="s">
        <v>637</v>
      </c>
      <c r="K186" s="46" t="s">
        <v>96</v>
      </c>
    </row>
    <row r="187" spans="2:14" s="51" customFormat="1" ht="40.5" customHeight="1" x14ac:dyDescent="0.75">
      <c r="B187" s="74"/>
      <c r="C187" s="13" t="s">
        <v>638</v>
      </c>
      <c r="D187" s="13" t="s">
        <v>639</v>
      </c>
      <c r="E187" s="13" t="s">
        <v>505</v>
      </c>
      <c r="F187" s="13"/>
      <c r="G187" s="13" t="s">
        <v>95</v>
      </c>
      <c r="H187" s="13" t="s">
        <v>640</v>
      </c>
      <c r="I187" s="13" t="s">
        <v>96</v>
      </c>
      <c r="J187" s="13" t="s">
        <v>641</v>
      </c>
      <c r="K187" s="46" t="s">
        <v>96</v>
      </c>
      <c r="L187" s="37"/>
      <c r="M187" s="37"/>
      <c r="N187" s="37"/>
    </row>
    <row r="188" spans="2:14" ht="40.5" customHeight="1" x14ac:dyDescent="0.75">
      <c r="C188" s="75" t="s">
        <v>642</v>
      </c>
      <c r="D188" s="75" t="s">
        <v>643</v>
      </c>
      <c r="E188" s="14" t="s">
        <v>116</v>
      </c>
      <c r="F188" s="69"/>
      <c r="G188" s="15" t="s">
        <v>95</v>
      </c>
      <c r="H188" s="13" t="s">
        <v>644</v>
      </c>
      <c r="I188" s="15" t="s">
        <v>645</v>
      </c>
      <c r="J188" s="15" t="s">
        <v>646</v>
      </c>
      <c r="K188" s="52" t="s">
        <v>96</v>
      </c>
    </row>
    <row r="189" spans="2:14" ht="40.5" customHeight="1" x14ac:dyDescent="0.75">
      <c r="C189" s="15" t="s">
        <v>647</v>
      </c>
      <c r="D189" s="15" t="s">
        <v>648</v>
      </c>
      <c r="E189" s="15" t="s">
        <v>549</v>
      </c>
      <c r="F189" s="15"/>
      <c r="G189" s="13" t="s">
        <v>95</v>
      </c>
      <c r="H189" s="13" t="s">
        <v>649</v>
      </c>
      <c r="I189" s="15" t="s">
        <v>645</v>
      </c>
      <c r="J189" s="13" t="s">
        <v>650</v>
      </c>
      <c r="K189" s="46" t="s">
        <v>96</v>
      </c>
    </row>
    <row r="190" spans="2:14" ht="40.5" customHeight="1" x14ac:dyDescent="0.75">
      <c r="C190" s="75" t="s">
        <v>651</v>
      </c>
      <c r="D190" s="75" t="s">
        <v>652</v>
      </c>
      <c r="E190" s="75" t="s">
        <v>505</v>
      </c>
      <c r="F190" s="75"/>
      <c r="G190" s="13" t="s">
        <v>95</v>
      </c>
      <c r="H190" s="13" t="s">
        <v>653</v>
      </c>
      <c r="I190" s="15" t="s">
        <v>645</v>
      </c>
      <c r="J190" s="13" t="s">
        <v>654</v>
      </c>
      <c r="K190" s="46" t="s">
        <v>96</v>
      </c>
    </row>
    <row r="191" spans="2:14" ht="40.5" customHeight="1" x14ac:dyDescent="0.75">
      <c r="C191" s="75" t="s">
        <v>655</v>
      </c>
      <c r="D191" s="75" t="s">
        <v>656</v>
      </c>
      <c r="E191" s="75" t="s">
        <v>505</v>
      </c>
      <c r="F191" s="75"/>
      <c r="G191" s="13" t="s">
        <v>95</v>
      </c>
      <c r="H191" s="13" t="s">
        <v>657</v>
      </c>
      <c r="I191" s="13" t="s">
        <v>96</v>
      </c>
      <c r="J191" s="13" t="s">
        <v>658</v>
      </c>
      <c r="K191" s="46" t="s">
        <v>96</v>
      </c>
    </row>
    <row r="192" spans="2:14" ht="40.5" customHeight="1" x14ac:dyDescent="0.75">
      <c r="C192" s="75" t="s">
        <v>659</v>
      </c>
      <c r="D192" s="75" t="s">
        <v>660</v>
      </c>
      <c r="E192" s="75" t="s">
        <v>505</v>
      </c>
      <c r="F192" s="75"/>
      <c r="G192" s="13" t="s">
        <v>95</v>
      </c>
      <c r="H192" s="13" t="s">
        <v>661</v>
      </c>
      <c r="I192" s="14" t="s">
        <v>662</v>
      </c>
      <c r="J192" s="13" t="s">
        <v>663</v>
      </c>
      <c r="K192" s="46" t="s">
        <v>96</v>
      </c>
    </row>
    <row r="193" spans="2:14" ht="40.5" customHeight="1" x14ac:dyDescent="0.75">
      <c r="C193" s="75" t="s">
        <v>664</v>
      </c>
      <c r="D193" s="75" t="s">
        <v>665</v>
      </c>
      <c r="E193" s="75" t="s">
        <v>505</v>
      </c>
      <c r="F193" s="75"/>
      <c r="G193" s="13" t="s">
        <v>95</v>
      </c>
      <c r="H193" s="13" t="s">
        <v>666</v>
      </c>
      <c r="I193" s="13" t="s">
        <v>667</v>
      </c>
      <c r="J193" s="13" t="s">
        <v>668</v>
      </c>
      <c r="K193" s="46" t="s">
        <v>96</v>
      </c>
    </row>
    <row r="194" spans="2:14" ht="40.5" customHeight="1" x14ac:dyDescent="0.75">
      <c r="C194" s="75" t="s">
        <v>669</v>
      </c>
      <c r="D194" s="75" t="s">
        <v>670</v>
      </c>
      <c r="E194" s="75" t="s">
        <v>505</v>
      </c>
      <c r="F194" s="75"/>
      <c r="G194" s="13" t="s">
        <v>95</v>
      </c>
      <c r="H194" s="13" t="s">
        <v>671</v>
      </c>
      <c r="I194" s="13" t="s">
        <v>96</v>
      </c>
      <c r="J194" s="13" t="s">
        <v>672</v>
      </c>
      <c r="K194" s="46" t="s">
        <v>96</v>
      </c>
    </row>
    <row r="195" spans="2:14" ht="40.5" customHeight="1" x14ac:dyDescent="0.75">
      <c r="C195" s="75" t="s">
        <v>664</v>
      </c>
      <c r="D195" s="75" t="s">
        <v>673</v>
      </c>
      <c r="E195" s="75" t="s">
        <v>505</v>
      </c>
      <c r="F195" s="75"/>
      <c r="G195" s="13" t="s">
        <v>95</v>
      </c>
      <c r="H195" s="13" t="s">
        <v>674</v>
      </c>
      <c r="I195" s="76" t="s">
        <v>675</v>
      </c>
      <c r="J195" s="13" t="s">
        <v>676</v>
      </c>
      <c r="K195" s="46" t="s">
        <v>96</v>
      </c>
    </row>
    <row r="196" spans="2:14" ht="40.5" customHeight="1" x14ac:dyDescent="0.75">
      <c r="C196" s="75" t="s">
        <v>677</v>
      </c>
      <c r="D196" s="75" t="s">
        <v>678</v>
      </c>
      <c r="E196" s="75" t="s">
        <v>505</v>
      </c>
      <c r="F196" s="75"/>
      <c r="G196" s="13" t="s">
        <v>95</v>
      </c>
      <c r="H196" s="13" t="s">
        <v>679</v>
      </c>
      <c r="I196" s="13" t="s">
        <v>96</v>
      </c>
      <c r="J196" s="13" t="s">
        <v>680</v>
      </c>
      <c r="K196" s="46" t="s">
        <v>96</v>
      </c>
    </row>
    <row r="197" spans="2:14" ht="40.5" customHeight="1" x14ac:dyDescent="0.75">
      <c r="C197" s="60" t="s">
        <v>20</v>
      </c>
      <c r="D197" s="61"/>
      <c r="E197" s="61"/>
      <c r="F197" s="61"/>
      <c r="G197" s="62"/>
      <c r="H197" s="62"/>
      <c r="I197" s="63"/>
      <c r="J197" s="43"/>
      <c r="K197" s="61"/>
    </row>
    <row r="198" spans="2:14" ht="40.5" customHeight="1" x14ac:dyDescent="0.75">
      <c r="C198" s="13" t="s">
        <v>149</v>
      </c>
      <c r="D198" s="13" t="s">
        <v>150</v>
      </c>
      <c r="E198" s="13" t="s">
        <v>95</v>
      </c>
      <c r="F198" s="13" t="s">
        <v>96</v>
      </c>
      <c r="G198" s="13" t="s">
        <v>95</v>
      </c>
      <c r="H198" s="13"/>
      <c r="I198" s="13" t="s">
        <v>96</v>
      </c>
      <c r="J198" s="13" t="s">
        <v>681</v>
      </c>
      <c r="K198" s="54" t="s">
        <v>103</v>
      </c>
    </row>
    <row r="199" spans="2:14" ht="40.5" customHeight="1" x14ac:dyDescent="0.75">
      <c r="C199" s="13" t="s">
        <v>682</v>
      </c>
      <c r="D199" s="13" t="s">
        <v>683</v>
      </c>
      <c r="E199" s="13" t="s">
        <v>95</v>
      </c>
      <c r="F199" s="13" t="s">
        <v>96</v>
      </c>
      <c r="G199" s="13" t="s">
        <v>95</v>
      </c>
      <c r="H199" s="13"/>
      <c r="I199" s="13" t="s">
        <v>96</v>
      </c>
      <c r="J199" s="13" t="s">
        <v>684</v>
      </c>
      <c r="K199" s="54" t="s">
        <v>96</v>
      </c>
    </row>
    <row r="200" spans="2:14" ht="40.5" customHeight="1" x14ac:dyDescent="0.75">
      <c r="C200" s="69" t="s">
        <v>685</v>
      </c>
      <c r="D200" s="69" t="s">
        <v>686</v>
      </c>
      <c r="E200" s="69" t="s">
        <v>116</v>
      </c>
      <c r="F200" s="69"/>
      <c r="G200" s="13" t="s">
        <v>95</v>
      </c>
      <c r="H200" s="13" t="s">
        <v>687</v>
      </c>
      <c r="I200" s="14" t="s">
        <v>96</v>
      </c>
      <c r="J200" s="13" t="s">
        <v>688</v>
      </c>
      <c r="K200" s="46" t="s">
        <v>96</v>
      </c>
    </row>
    <row r="201" spans="2:14" ht="40.5" customHeight="1" x14ac:dyDescent="0.75">
      <c r="C201" s="14" t="s">
        <v>689</v>
      </c>
      <c r="D201" s="14" t="s">
        <v>690</v>
      </c>
      <c r="E201" s="14" t="s">
        <v>3</v>
      </c>
      <c r="F201" s="14"/>
      <c r="G201" s="13" t="s">
        <v>3</v>
      </c>
      <c r="H201" s="13" t="s">
        <v>126</v>
      </c>
      <c r="I201" s="14" t="s">
        <v>96</v>
      </c>
      <c r="J201" s="13" t="s">
        <v>691</v>
      </c>
      <c r="K201" s="46" t="s">
        <v>96</v>
      </c>
    </row>
    <row r="202" spans="2:14" ht="40.5" customHeight="1" x14ac:dyDescent="0.75">
      <c r="C202" s="69" t="s">
        <v>692</v>
      </c>
      <c r="D202" s="69" t="s">
        <v>693</v>
      </c>
      <c r="E202" s="69" t="s">
        <v>116</v>
      </c>
      <c r="F202" s="69"/>
      <c r="G202" s="13" t="s">
        <v>95</v>
      </c>
      <c r="H202" s="13" t="s">
        <v>694</v>
      </c>
      <c r="I202" s="14" t="s">
        <v>695</v>
      </c>
      <c r="J202" s="13" t="s">
        <v>696</v>
      </c>
      <c r="K202" s="46" t="s">
        <v>96</v>
      </c>
    </row>
    <row r="203" spans="2:14" ht="40.5" customHeight="1" x14ac:dyDescent="0.75">
      <c r="C203" s="14" t="s">
        <v>697</v>
      </c>
      <c r="D203" s="14" t="s">
        <v>698</v>
      </c>
      <c r="E203" s="14" t="s">
        <v>94</v>
      </c>
      <c r="F203" s="14"/>
      <c r="G203" s="13" t="s">
        <v>100</v>
      </c>
      <c r="H203" s="13"/>
      <c r="I203" s="14" t="s">
        <v>699</v>
      </c>
      <c r="J203" s="13" t="s">
        <v>700</v>
      </c>
      <c r="K203" s="46" t="s">
        <v>96</v>
      </c>
    </row>
    <row r="204" spans="2:14" ht="40.5" customHeight="1" x14ac:dyDescent="0.75">
      <c r="C204" s="60" t="s">
        <v>21</v>
      </c>
      <c r="D204" s="61"/>
      <c r="E204" s="61"/>
      <c r="F204" s="61"/>
      <c r="G204" s="62"/>
      <c r="H204" s="62"/>
      <c r="I204" s="63"/>
      <c r="J204" s="43"/>
      <c r="K204" s="61"/>
    </row>
    <row r="205" spans="2:14" ht="40.5" customHeight="1" x14ac:dyDescent="0.75">
      <c r="C205" s="13" t="s">
        <v>149</v>
      </c>
      <c r="D205" s="13" t="s">
        <v>150</v>
      </c>
      <c r="E205" s="13" t="s">
        <v>95</v>
      </c>
      <c r="F205" s="13" t="s">
        <v>96</v>
      </c>
      <c r="G205" s="13" t="s">
        <v>95</v>
      </c>
      <c r="H205" s="13"/>
      <c r="I205" s="13" t="s">
        <v>96</v>
      </c>
      <c r="J205" s="13" t="s">
        <v>701</v>
      </c>
      <c r="K205" s="54" t="s">
        <v>103</v>
      </c>
    </row>
    <row r="206" spans="2:14" s="78" customFormat="1" ht="40.5" customHeight="1" x14ac:dyDescent="0.75">
      <c r="B206" s="77"/>
      <c r="C206" s="13" t="s">
        <v>291</v>
      </c>
      <c r="D206" s="13" t="s">
        <v>292</v>
      </c>
      <c r="E206" s="13" t="s">
        <v>95</v>
      </c>
      <c r="F206" s="13" t="s">
        <v>96</v>
      </c>
      <c r="G206" s="13" t="s">
        <v>95</v>
      </c>
      <c r="H206" s="13"/>
      <c r="I206" s="13" t="s">
        <v>96</v>
      </c>
      <c r="J206" s="13"/>
      <c r="K206" s="54" t="s">
        <v>103</v>
      </c>
      <c r="L206" s="37"/>
      <c r="M206" s="37"/>
      <c r="N206" s="37"/>
    </row>
    <row r="207" spans="2:14" ht="40.5" customHeight="1" x14ac:dyDescent="0.75">
      <c r="C207" s="13" t="s">
        <v>702</v>
      </c>
      <c r="D207" s="13" t="s">
        <v>703</v>
      </c>
      <c r="E207" s="13" t="s">
        <v>95</v>
      </c>
      <c r="F207" s="13" t="s">
        <v>96</v>
      </c>
      <c r="G207" s="13" t="s">
        <v>95</v>
      </c>
      <c r="H207" s="13"/>
      <c r="I207" s="13" t="s">
        <v>96</v>
      </c>
      <c r="J207" s="13" t="s">
        <v>704</v>
      </c>
      <c r="K207" s="54" t="s">
        <v>96</v>
      </c>
    </row>
    <row r="208" spans="2:14" ht="40.5" customHeight="1" x14ac:dyDescent="0.75">
      <c r="B208" s="79"/>
      <c r="C208" s="69" t="s">
        <v>705</v>
      </c>
      <c r="D208" s="69" t="s">
        <v>706</v>
      </c>
      <c r="E208" s="69" t="s">
        <v>116</v>
      </c>
      <c r="F208" s="69"/>
      <c r="G208" s="13" t="s">
        <v>95</v>
      </c>
      <c r="H208" s="13" t="s">
        <v>216</v>
      </c>
      <c r="I208" s="14" t="s">
        <v>101</v>
      </c>
      <c r="J208" s="13" t="s">
        <v>707</v>
      </c>
      <c r="K208" s="46" t="s">
        <v>96</v>
      </c>
    </row>
    <row r="209" spans="2:11" ht="40.5" customHeight="1" x14ac:dyDescent="0.75">
      <c r="B209" s="79"/>
      <c r="C209" s="69" t="s">
        <v>708</v>
      </c>
      <c r="D209" s="69" t="s">
        <v>709</v>
      </c>
      <c r="E209" s="69" t="s">
        <v>116</v>
      </c>
      <c r="F209" s="69"/>
      <c r="G209" s="13" t="s">
        <v>95</v>
      </c>
      <c r="H209" s="13" t="s">
        <v>710</v>
      </c>
      <c r="I209" s="13" t="s">
        <v>711</v>
      </c>
      <c r="J209" s="13"/>
      <c r="K209" s="46" t="s">
        <v>103</v>
      </c>
    </row>
    <row r="210" spans="2:11" ht="40.5" customHeight="1" x14ac:dyDescent="0.75">
      <c r="B210" s="79"/>
      <c r="C210" s="14" t="s">
        <v>712</v>
      </c>
      <c r="D210" s="14" t="s">
        <v>713</v>
      </c>
      <c r="E210" s="14" t="s">
        <v>3</v>
      </c>
      <c r="F210" s="14"/>
      <c r="G210" s="13" t="s">
        <v>3</v>
      </c>
      <c r="H210" s="13" t="s">
        <v>126</v>
      </c>
      <c r="I210" s="13" t="s">
        <v>714</v>
      </c>
      <c r="J210" s="13" t="s">
        <v>715</v>
      </c>
      <c r="K210" s="46" t="s">
        <v>96</v>
      </c>
    </row>
    <row r="211" spans="2:11" ht="40.5" customHeight="1" x14ac:dyDescent="0.75">
      <c r="B211" s="79"/>
      <c r="C211" s="14" t="s">
        <v>716</v>
      </c>
      <c r="D211" s="14" t="s">
        <v>717</v>
      </c>
      <c r="E211" s="14" t="s">
        <v>233</v>
      </c>
      <c r="F211" s="14"/>
      <c r="G211" s="13" t="s">
        <v>100</v>
      </c>
      <c r="H211" s="13"/>
      <c r="I211" s="13" t="s">
        <v>714</v>
      </c>
      <c r="J211" s="13" t="s">
        <v>718</v>
      </c>
      <c r="K211" s="46" t="s">
        <v>96</v>
      </c>
    </row>
    <row r="212" spans="2:11" ht="40.5" customHeight="1" x14ac:dyDescent="0.75">
      <c r="B212" s="79"/>
      <c r="C212" s="69" t="s">
        <v>719</v>
      </c>
      <c r="D212" s="69" t="s">
        <v>720</v>
      </c>
      <c r="E212" s="69" t="s">
        <v>116</v>
      </c>
      <c r="F212" s="69"/>
      <c r="G212" s="13" t="s">
        <v>95</v>
      </c>
      <c r="H212" s="13" t="s">
        <v>721</v>
      </c>
      <c r="I212" s="13" t="s">
        <v>714</v>
      </c>
      <c r="J212" s="13" t="s">
        <v>722</v>
      </c>
      <c r="K212" s="46" t="s">
        <v>96</v>
      </c>
    </row>
    <row r="213" spans="2:11" ht="40.5" customHeight="1" x14ac:dyDescent="0.75">
      <c r="B213" s="79"/>
      <c r="C213" s="13" t="s">
        <v>723</v>
      </c>
      <c r="D213" s="69" t="s">
        <v>724</v>
      </c>
      <c r="E213" s="13" t="s">
        <v>116</v>
      </c>
      <c r="F213" s="13"/>
      <c r="G213" s="13" t="s">
        <v>95</v>
      </c>
      <c r="H213" s="13" t="s">
        <v>270</v>
      </c>
      <c r="I213" s="13" t="s">
        <v>96</v>
      </c>
      <c r="J213" s="13" t="s">
        <v>725</v>
      </c>
      <c r="K213" s="54" t="s">
        <v>103</v>
      </c>
    </row>
    <row r="214" spans="2:11" ht="40.5" customHeight="1" x14ac:dyDescent="0.75">
      <c r="B214" s="79"/>
      <c r="C214" s="13" t="s">
        <v>726</v>
      </c>
      <c r="D214" s="69" t="s">
        <v>727</v>
      </c>
      <c r="E214" s="13" t="s">
        <v>116</v>
      </c>
      <c r="F214" s="13"/>
      <c r="G214" s="13" t="s">
        <v>95</v>
      </c>
      <c r="H214" s="13" t="s">
        <v>270</v>
      </c>
      <c r="I214" s="13" t="s">
        <v>96</v>
      </c>
      <c r="J214" s="13" t="s">
        <v>728</v>
      </c>
      <c r="K214" s="54" t="s">
        <v>103</v>
      </c>
    </row>
    <row r="215" spans="2:11" ht="40.5" customHeight="1" x14ac:dyDescent="0.75">
      <c r="B215" s="79"/>
      <c r="C215" s="13" t="s">
        <v>729</v>
      </c>
      <c r="D215" s="13" t="s">
        <v>730</v>
      </c>
      <c r="E215" s="13" t="s">
        <v>116</v>
      </c>
      <c r="F215" s="13"/>
      <c r="G215" s="13" t="s">
        <v>95</v>
      </c>
      <c r="H215" s="13" t="s">
        <v>270</v>
      </c>
      <c r="I215" s="13" t="s">
        <v>96</v>
      </c>
      <c r="J215" s="13" t="s">
        <v>731</v>
      </c>
      <c r="K215" s="54" t="s">
        <v>103</v>
      </c>
    </row>
    <row r="216" spans="2:11" ht="40.5" customHeight="1" x14ac:dyDescent="0.75">
      <c r="B216" s="79"/>
      <c r="C216" s="13" t="s">
        <v>732</v>
      </c>
      <c r="D216" s="13" t="s">
        <v>733</v>
      </c>
      <c r="E216" s="13" t="s">
        <v>116</v>
      </c>
      <c r="F216" s="13"/>
      <c r="G216" s="13" t="s">
        <v>95</v>
      </c>
      <c r="H216" s="13" t="s">
        <v>270</v>
      </c>
      <c r="I216" s="13" t="s">
        <v>96</v>
      </c>
      <c r="J216" s="13" t="s">
        <v>734</v>
      </c>
      <c r="K216" s="54" t="s">
        <v>103</v>
      </c>
    </row>
    <row r="217" spans="2:11" ht="40.5" customHeight="1" x14ac:dyDescent="0.75">
      <c r="B217" s="79"/>
      <c r="C217" s="13" t="s">
        <v>735</v>
      </c>
      <c r="D217" s="13" t="s">
        <v>736</v>
      </c>
      <c r="E217" s="13" t="s">
        <v>116</v>
      </c>
      <c r="F217" s="13"/>
      <c r="G217" s="13" t="s">
        <v>95</v>
      </c>
      <c r="H217" s="13" t="s">
        <v>270</v>
      </c>
      <c r="I217" s="13" t="s">
        <v>96</v>
      </c>
      <c r="J217" s="13" t="s">
        <v>737</v>
      </c>
      <c r="K217" s="54" t="s">
        <v>103</v>
      </c>
    </row>
    <row r="218" spans="2:11" ht="40.5" customHeight="1" x14ac:dyDescent="0.75">
      <c r="B218" s="79"/>
      <c r="C218" s="69" t="s">
        <v>738</v>
      </c>
      <c r="D218" s="69" t="s">
        <v>739</v>
      </c>
      <c r="E218" s="69" t="s">
        <v>116</v>
      </c>
      <c r="F218" s="69"/>
      <c r="G218" s="13" t="s">
        <v>95</v>
      </c>
      <c r="H218" s="13" t="s">
        <v>740</v>
      </c>
      <c r="I218" s="13" t="s">
        <v>96</v>
      </c>
      <c r="J218" s="13" t="s">
        <v>741</v>
      </c>
      <c r="K218" s="46" t="s">
        <v>96</v>
      </c>
    </row>
    <row r="219" spans="2:11" ht="40.5" customHeight="1" x14ac:dyDescent="0.75">
      <c r="B219" s="79"/>
      <c r="C219" s="69" t="s">
        <v>742</v>
      </c>
      <c r="D219" s="69" t="s">
        <v>743</v>
      </c>
      <c r="E219" s="69" t="s">
        <v>116</v>
      </c>
      <c r="F219" s="69"/>
      <c r="G219" s="13" t="s">
        <v>95</v>
      </c>
      <c r="H219" s="13" t="s">
        <v>744</v>
      </c>
      <c r="I219" s="14" t="s">
        <v>745</v>
      </c>
      <c r="J219" s="13" t="s">
        <v>746</v>
      </c>
      <c r="K219" s="46" t="s">
        <v>103</v>
      </c>
    </row>
    <row r="220" spans="2:11" ht="40.5" customHeight="1" x14ac:dyDescent="0.75">
      <c r="B220" s="79"/>
      <c r="C220" s="14" t="s">
        <v>747</v>
      </c>
      <c r="D220" s="14" t="s">
        <v>748</v>
      </c>
      <c r="E220" s="14" t="s">
        <v>94</v>
      </c>
      <c r="F220" s="14"/>
      <c r="G220" s="13" t="s">
        <v>100</v>
      </c>
      <c r="H220" s="13"/>
      <c r="I220" s="14" t="s">
        <v>745</v>
      </c>
      <c r="J220" s="13" t="s">
        <v>749</v>
      </c>
      <c r="K220" s="46" t="s">
        <v>96</v>
      </c>
    </row>
    <row r="221" spans="2:11" ht="40.5" customHeight="1" x14ac:dyDescent="0.75">
      <c r="B221" s="79"/>
      <c r="C221" s="15" t="s">
        <v>750</v>
      </c>
      <c r="D221" s="15" t="s">
        <v>751</v>
      </c>
      <c r="E221" s="15" t="s">
        <v>549</v>
      </c>
      <c r="F221" s="15"/>
      <c r="G221" s="13" t="s">
        <v>95</v>
      </c>
      <c r="H221" s="13" t="s">
        <v>280</v>
      </c>
      <c r="I221" s="14" t="s">
        <v>745</v>
      </c>
      <c r="J221" s="13" t="s">
        <v>752</v>
      </c>
      <c r="K221" s="46" t="s">
        <v>96</v>
      </c>
    </row>
    <row r="222" spans="2:11" ht="40.5" customHeight="1" x14ac:dyDescent="0.75">
      <c r="B222" s="79"/>
      <c r="C222" s="13" t="s">
        <v>753</v>
      </c>
      <c r="D222" s="13" t="s">
        <v>754</v>
      </c>
      <c r="E222" s="14" t="s">
        <v>94</v>
      </c>
      <c r="F222" s="14"/>
      <c r="G222" s="13" t="s">
        <v>100</v>
      </c>
      <c r="H222" s="13"/>
      <c r="I222" s="13" t="s">
        <v>755</v>
      </c>
      <c r="J222" s="13" t="s">
        <v>756</v>
      </c>
      <c r="K222" s="46" t="s">
        <v>96</v>
      </c>
    </row>
    <row r="223" spans="2:11" ht="40.5" customHeight="1" x14ac:dyDescent="0.75">
      <c r="B223" s="79"/>
      <c r="C223" s="69" t="s">
        <v>757</v>
      </c>
      <c r="D223" s="69" t="s">
        <v>758</v>
      </c>
      <c r="E223" s="69" t="s">
        <v>116</v>
      </c>
      <c r="F223" s="69"/>
      <c r="G223" s="13" t="s">
        <v>95</v>
      </c>
      <c r="H223" s="13" t="s">
        <v>759</v>
      </c>
      <c r="I223" s="13" t="s">
        <v>96</v>
      </c>
      <c r="J223" s="13" t="s">
        <v>760</v>
      </c>
      <c r="K223" s="46" t="s">
        <v>103</v>
      </c>
    </row>
    <row r="224" spans="2:11" ht="40.5" customHeight="1" x14ac:dyDescent="0.75">
      <c r="B224" s="79"/>
      <c r="C224" s="14" t="s">
        <v>761</v>
      </c>
      <c r="D224" s="14" t="s">
        <v>762</v>
      </c>
      <c r="E224" s="14" t="s">
        <v>3</v>
      </c>
      <c r="F224" s="14"/>
      <c r="G224" s="13" t="s">
        <v>3</v>
      </c>
      <c r="H224" s="13" t="s">
        <v>126</v>
      </c>
      <c r="I224" s="14" t="s">
        <v>763</v>
      </c>
      <c r="J224" s="13" t="s">
        <v>764</v>
      </c>
      <c r="K224" s="46" t="s">
        <v>103</v>
      </c>
    </row>
    <row r="225" spans="2:11" ht="40.5" customHeight="1" x14ac:dyDescent="0.75">
      <c r="B225" s="79"/>
      <c r="C225" s="15" t="s">
        <v>765</v>
      </c>
      <c r="D225" s="15" t="s">
        <v>766</v>
      </c>
      <c r="E225" s="15" t="s">
        <v>116</v>
      </c>
      <c r="F225" s="15"/>
      <c r="G225" s="13" t="s">
        <v>95</v>
      </c>
      <c r="H225" s="13" t="s">
        <v>280</v>
      </c>
      <c r="I225" s="13" t="s">
        <v>763</v>
      </c>
      <c r="J225" s="13" t="s">
        <v>767</v>
      </c>
      <c r="K225" s="54" t="s">
        <v>103</v>
      </c>
    </row>
    <row r="226" spans="2:11" ht="40.5" customHeight="1" x14ac:dyDescent="0.75">
      <c r="B226" s="79"/>
      <c r="C226" s="69" t="s">
        <v>768</v>
      </c>
      <c r="D226" s="69" t="s">
        <v>769</v>
      </c>
      <c r="E226" s="69" t="s">
        <v>116</v>
      </c>
      <c r="F226" s="69"/>
      <c r="G226" s="13" t="s">
        <v>95</v>
      </c>
      <c r="H226" s="13" t="s">
        <v>280</v>
      </c>
      <c r="I226" s="14" t="s">
        <v>101</v>
      </c>
      <c r="J226" s="13" t="s">
        <v>770</v>
      </c>
      <c r="K226" s="46" t="s">
        <v>96</v>
      </c>
    </row>
    <row r="227" spans="2:11" ht="40.5" customHeight="1" x14ac:dyDescent="0.75">
      <c r="B227" s="79"/>
      <c r="C227" s="14" t="s">
        <v>771</v>
      </c>
      <c r="D227" s="14" t="s">
        <v>772</v>
      </c>
      <c r="E227" s="14" t="s">
        <v>233</v>
      </c>
      <c r="F227" s="14"/>
      <c r="G227" s="13" t="s">
        <v>100</v>
      </c>
      <c r="H227" s="13"/>
      <c r="I227" s="13" t="s">
        <v>773</v>
      </c>
      <c r="J227" s="13" t="s">
        <v>774</v>
      </c>
      <c r="K227" s="46" t="s">
        <v>96</v>
      </c>
    </row>
    <row r="228" spans="2:11" ht="40.5" customHeight="1" x14ac:dyDescent="0.75">
      <c r="B228" s="79"/>
      <c r="C228" s="14" t="s">
        <v>775</v>
      </c>
      <c r="D228" s="14" t="s">
        <v>776</v>
      </c>
      <c r="E228" s="14" t="s">
        <v>233</v>
      </c>
      <c r="F228" s="14"/>
      <c r="G228" s="13" t="s">
        <v>100</v>
      </c>
      <c r="H228" s="13"/>
      <c r="I228" s="14" t="s">
        <v>106</v>
      </c>
      <c r="J228" s="13" t="s">
        <v>777</v>
      </c>
      <c r="K228" s="46" t="s">
        <v>103</v>
      </c>
    </row>
    <row r="229" spans="2:11" ht="40.5" customHeight="1" x14ac:dyDescent="0.75">
      <c r="B229" s="79"/>
      <c r="C229" s="14" t="s">
        <v>778</v>
      </c>
      <c r="D229" s="14" t="s">
        <v>779</v>
      </c>
      <c r="E229" s="14" t="s">
        <v>233</v>
      </c>
      <c r="F229" s="14"/>
      <c r="G229" s="13" t="s">
        <v>100</v>
      </c>
      <c r="H229" s="13"/>
      <c r="I229" s="14" t="s">
        <v>106</v>
      </c>
      <c r="J229" s="13" t="s">
        <v>780</v>
      </c>
      <c r="K229" s="46" t="s">
        <v>96</v>
      </c>
    </row>
    <row r="230" spans="2:11" ht="40.5" customHeight="1" x14ac:dyDescent="0.75">
      <c r="B230" s="79"/>
      <c r="C230" s="14" t="s">
        <v>781</v>
      </c>
      <c r="D230" s="14" t="s">
        <v>782</v>
      </c>
      <c r="E230" s="14" t="s">
        <v>573</v>
      </c>
      <c r="F230" s="14"/>
      <c r="G230" s="13" t="s">
        <v>783</v>
      </c>
      <c r="H230" s="13"/>
      <c r="I230" s="14" t="s">
        <v>103</v>
      </c>
      <c r="J230" s="13"/>
      <c r="K230" s="46" t="s">
        <v>103</v>
      </c>
    </row>
    <row r="231" spans="2:11" ht="40.5" customHeight="1" x14ac:dyDescent="0.75">
      <c r="C231" s="60" t="s">
        <v>22</v>
      </c>
      <c r="D231" s="61"/>
      <c r="E231" s="61"/>
      <c r="F231" s="61"/>
      <c r="G231" s="62"/>
      <c r="H231" s="62"/>
      <c r="I231" s="63"/>
      <c r="J231" s="43"/>
      <c r="K231" s="61"/>
    </row>
    <row r="232" spans="2:11" s="55" customFormat="1" ht="40.5" customHeight="1" x14ac:dyDescent="0.75">
      <c r="B232" s="71"/>
      <c r="C232" s="13" t="s">
        <v>149</v>
      </c>
      <c r="D232" s="13" t="s">
        <v>150</v>
      </c>
      <c r="E232" s="13" t="s">
        <v>95</v>
      </c>
      <c r="F232" s="13" t="s">
        <v>96</v>
      </c>
      <c r="G232" s="13" t="s">
        <v>95</v>
      </c>
      <c r="H232" s="13"/>
      <c r="I232" s="13" t="s">
        <v>96</v>
      </c>
      <c r="J232" s="13" t="s">
        <v>701</v>
      </c>
      <c r="K232" s="54" t="s">
        <v>103</v>
      </c>
    </row>
    <row r="233" spans="2:11" ht="40.5" customHeight="1" x14ac:dyDescent="0.75">
      <c r="C233" s="13" t="s">
        <v>291</v>
      </c>
      <c r="D233" s="13" t="s">
        <v>292</v>
      </c>
      <c r="E233" s="13" t="s">
        <v>95</v>
      </c>
      <c r="F233" s="13" t="s">
        <v>96</v>
      </c>
      <c r="G233" s="13" t="s">
        <v>95</v>
      </c>
      <c r="H233" s="13"/>
      <c r="I233" s="13" t="s">
        <v>96</v>
      </c>
      <c r="J233" s="13"/>
      <c r="K233" s="54" t="s">
        <v>103</v>
      </c>
    </row>
    <row r="234" spans="2:11" ht="40.5" customHeight="1" x14ac:dyDescent="0.75">
      <c r="C234" s="13" t="s">
        <v>784</v>
      </c>
      <c r="D234" s="13" t="s">
        <v>785</v>
      </c>
      <c r="E234" s="13" t="s">
        <v>95</v>
      </c>
      <c r="F234" s="13" t="s">
        <v>96</v>
      </c>
      <c r="G234" s="13" t="s">
        <v>95</v>
      </c>
      <c r="H234" s="13"/>
      <c r="I234" s="13" t="s">
        <v>96</v>
      </c>
      <c r="J234" s="13" t="s">
        <v>786</v>
      </c>
      <c r="K234" s="54" t="s">
        <v>103</v>
      </c>
    </row>
    <row r="235" spans="2:11" ht="40.5" customHeight="1" x14ac:dyDescent="0.75">
      <c r="C235" s="14" t="s">
        <v>787</v>
      </c>
      <c r="D235" s="14" t="s">
        <v>788</v>
      </c>
      <c r="E235" s="14" t="s">
        <v>233</v>
      </c>
      <c r="F235" s="14"/>
      <c r="G235" s="13" t="s">
        <v>100</v>
      </c>
      <c r="H235" s="13"/>
      <c r="I235" s="14" t="s">
        <v>106</v>
      </c>
      <c r="J235" s="13" t="s">
        <v>789</v>
      </c>
      <c r="K235" s="46" t="s">
        <v>103</v>
      </c>
    </row>
    <row r="236" spans="2:11" ht="40.5" customHeight="1" x14ac:dyDescent="0.75">
      <c r="C236" s="14" t="s">
        <v>790</v>
      </c>
      <c r="D236" s="14" t="s">
        <v>791</v>
      </c>
      <c r="E236" s="14" t="s">
        <v>3</v>
      </c>
      <c r="F236" s="14"/>
      <c r="G236" s="13" t="s">
        <v>3</v>
      </c>
      <c r="H236" s="13" t="s">
        <v>126</v>
      </c>
      <c r="I236" s="14" t="s">
        <v>106</v>
      </c>
      <c r="J236" s="13" t="s">
        <v>792</v>
      </c>
      <c r="K236" s="46" t="s">
        <v>103</v>
      </c>
    </row>
    <row r="237" spans="2:11" ht="40.5" customHeight="1" x14ac:dyDescent="0.75">
      <c r="C237" s="14" t="s">
        <v>793</v>
      </c>
      <c r="D237" s="14" t="s">
        <v>794</v>
      </c>
      <c r="E237" s="14" t="s">
        <v>233</v>
      </c>
      <c r="F237" s="14"/>
      <c r="G237" s="13" t="s">
        <v>100</v>
      </c>
      <c r="H237" s="13"/>
      <c r="I237" s="14" t="s">
        <v>106</v>
      </c>
      <c r="J237" s="13" t="s">
        <v>795</v>
      </c>
      <c r="K237" s="46" t="s">
        <v>103</v>
      </c>
    </row>
    <row r="238" spans="2:11" ht="40.5" customHeight="1" x14ac:dyDescent="0.75">
      <c r="C238" s="60" t="s">
        <v>23</v>
      </c>
      <c r="D238" s="61"/>
      <c r="E238" s="61"/>
      <c r="F238" s="61"/>
      <c r="G238" s="62"/>
      <c r="H238" s="62"/>
      <c r="I238" s="63"/>
      <c r="J238" s="43"/>
      <c r="K238" s="61"/>
    </row>
    <row r="239" spans="2:11" ht="40.5" customHeight="1" x14ac:dyDescent="0.75">
      <c r="C239" s="13" t="s">
        <v>149</v>
      </c>
      <c r="D239" s="13" t="s">
        <v>150</v>
      </c>
      <c r="E239" s="13" t="s">
        <v>95</v>
      </c>
      <c r="F239" s="13" t="s">
        <v>96</v>
      </c>
      <c r="G239" s="13" t="s">
        <v>95</v>
      </c>
      <c r="H239" s="13"/>
      <c r="I239" s="13" t="s">
        <v>96</v>
      </c>
      <c r="J239" s="13" t="s">
        <v>681</v>
      </c>
      <c r="K239" s="54" t="s">
        <v>103</v>
      </c>
    </row>
    <row r="240" spans="2:11" ht="40.5" customHeight="1" x14ac:dyDescent="0.75">
      <c r="C240" s="13" t="s">
        <v>796</v>
      </c>
      <c r="D240" s="13" t="s">
        <v>797</v>
      </c>
      <c r="E240" s="13" t="s">
        <v>95</v>
      </c>
      <c r="F240" s="13" t="s">
        <v>96</v>
      </c>
      <c r="G240" s="13" t="s">
        <v>95</v>
      </c>
      <c r="H240" s="13"/>
      <c r="I240" s="13" t="s">
        <v>96</v>
      </c>
      <c r="J240" s="13" t="s">
        <v>798</v>
      </c>
      <c r="K240" s="54" t="s">
        <v>96</v>
      </c>
    </row>
    <row r="241" spans="3:11" ht="40.5" customHeight="1" x14ac:dyDescent="0.75">
      <c r="C241" s="14" t="s">
        <v>685</v>
      </c>
      <c r="D241" s="14" t="s">
        <v>686</v>
      </c>
      <c r="E241" s="69" t="s">
        <v>116</v>
      </c>
      <c r="F241" s="69"/>
      <c r="G241" s="13" t="s">
        <v>95</v>
      </c>
      <c r="H241" s="13" t="s">
        <v>799</v>
      </c>
      <c r="I241" s="14" t="s">
        <v>101</v>
      </c>
      <c r="J241" s="13" t="s">
        <v>800</v>
      </c>
      <c r="K241" s="46" t="s">
        <v>96</v>
      </c>
    </row>
    <row r="242" spans="3:11" ht="40.5" customHeight="1" x14ac:dyDescent="0.75">
      <c r="C242" s="14" t="s">
        <v>689</v>
      </c>
      <c r="D242" s="14" t="s">
        <v>690</v>
      </c>
      <c r="E242" s="14" t="s">
        <v>3</v>
      </c>
      <c r="F242" s="14"/>
      <c r="G242" s="13" t="s">
        <v>3</v>
      </c>
      <c r="H242" s="13" t="s">
        <v>126</v>
      </c>
      <c r="I242" s="14" t="s">
        <v>101</v>
      </c>
      <c r="J242" s="13" t="s">
        <v>801</v>
      </c>
      <c r="K242" s="46" t="s">
        <v>96</v>
      </c>
    </row>
    <row r="243" spans="3:11" ht="40.5" customHeight="1" x14ac:dyDescent="0.75">
      <c r="C243" s="69" t="s">
        <v>692</v>
      </c>
      <c r="D243" s="69" t="s">
        <v>693</v>
      </c>
      <c r="E243" s="69" t="s">
        <v>116</v>
      </c>
      <c r="F243" s="69"/>
      <c r="G243" s="13" t="s">
        <v>95</v>
      </c>
      <c r="H243" s="13" t="s">
        <v>802</v>
      </c>
      <c r="I243" s="14" t="s">
        <v>101</v>
      </c>
      <c r="J243" s="13" t="s">
        <v>803</v>
      </c>
      <c r="K243" s="46" t="s">
        <v>96</v>
      </c>
    </row>
    <row r="244" spans="3:11" ht="40.5" customHeight="1" x14ac:dyDescent="0.75">
      <c r="C244" s="14" t="s">
        <v>697</v>
      </c>
      <c r="D244" s="14" t="s">
        <v>698</v>
      </c>
      <c r="E244" s="14" t="s">
        <v>94</v>
      </c>
      <c r="F244" s="14"/>
      <c r="G244" s="13" t="s">
        <v>100</v>
      </c>
      <c r="H244" s="13"/>
      <c r="I244" s="13" t="s">
        <v>699</v>
      </c>
      <c r="J244" s="13" t="s">
        <v>804</v>
      </c>
      <c r="K244" s="46" t="s">
        <v>96</v>
      </c>
    </row>
    <row r="245" spans="3:11" ht="40.5" customHeight="1" x14ac:dyDescent="0.75">
      <c r="C245" s="69" t="s">
        <v>805</v>
      </c>
      <c r="D245" s="69" t="s">
        <v>806</v>
      </c>
      <c r="E245" s="69" t="s">
        <v>116</v>
      </c>
      <c r="F245" s="69"/>
      <c r="G245" s="13" t="s">
        <v>95</v>
      </c>
      <c r="H245" s="13" t="s">
        <v>807</v>
      </c>
      <c r="I245" s="14" t="s">
        <v>101</v>
      </c>
      <c r="J245" s="13" t="s">
        <v>808</v>
      </c>
      <c r="K245" s="46" t="s">
        <v>96</v>
      </c>
    </row>
    <row r="246" spans="3:11" ht="40.5" customHeight="1" x14ac:dyDescent="0.75">
      <c r="C246" s="14" t="s">
        <v>809</v>
      </c>
      <c r="D246" s="14" t="s">
        <v>810</v>
      </c>
      <c r="E246" s="14" t="s">
        <v>94</v>
      </c>
      <c r="F246" s="14"/>
      <c r="G246" s="13" t="s">
        <v>100</v>
      </c>
      <c r="H246" s="13"/>
      <c r="I246" s="14" t="s">
        <v>328</v>
      </c>
      <c r="J246" s="13" t="s">
        <v>811</v>
      </c>
      <c r="K246" s="46" t="s">
        <v>328</v>
      </c>
    </row>
    <row r="247" spans="3:11" ht="40.5" customHeight="1" x14ac:dyDescent="0.75">
      <c r="C247" s="14" t="s">
        <v>247</v>
      </c>
      <c r="D247" s="14" t="s">
        <v>248</v>
      </c>
      <c r="E247" s="14" t="s">
        <v>94</v>
      </c>
      <c r="F247" s="14"/>
      <c r="G247" s="13" t="s">
        <v>100</v>
      </c>
      <c r="H247" s="13"/>
      <c r="I247" s="13" t="s">
        <v>812</v>
      </c>
      <c r="J247" s="13" t="s">
        <v>813</v>
      </c>
      <c r="K247" s="46" t="s">
        <v>96</v>
      </c>
    </row>
    <row r="248" spans="3:11" ht="40.5" customHeight="1" x14ac:dyDescent="0.75">
      <c r="C248" s="14" t="s">
        <v>255</v>
      </c>
      <c r="D248" s="14" t="s">
        <v>256</v>
      </c>
      <c r="E248" s="14" t="s">
        <v>94</v>
      </c>
      <c r="F248" s="14"/>
      <c r="G248" s="13" t="s">
        <v>100</v>
      </c>
      <c r="H248" s="13"/>
      <c r="I248" s="13" t="s">
        <v>812</v>
      </c>
      <c r="J248" s="13" t="s">
        <v>258</v>
      </c>
      <c r="K248" s="46" t="s">
        <v>96</v>
      </c>
    </row>
    <row r="249" spans="3:11" ht="40.5" customHeight="1" x14ac:dyDescent="0.75">
      <c r="C249" s="13" t="s">
        <v>814</v>
      </c>
      <c r="D249" s="13" t="s">
        <v>252</v>
      </c>
      <c r="E249" s="14" t="s">
        <v>94</v>
      </c>
      <c r="F249" s="14"/>
      <c r="G249" s="13" t="s">
        <v>100</v>
      </c>
      <c r="H249" s="13"/>
      <c r="I249" s="13" t="s">
        <v>815</v>
      </c>
      <c r="J249" s="13" t="s">
        <v>816</v>
      </c>
      <c r="K249" s="46" t="s">
        <v>96</v>
      </c>
    </row>
    <row r="250" spans="3:11" ht="40.5" customHeight="1" x14ac:dyDescent="0.75">
      <c r="C250" s="69" t="s">
        <v>259</v>
      </c>
      <c r="D250" s="69" t="s">
        <v>260</v>
      </c>
      <c r="E250" s="69" t="s">
        <v>116</v>
      </c>
      <c r="F250" s="69"/>
      <c r="G250" s="13" t="s">
        <v>95</v>
      </c>
      <c r="H250" s="13" t="s">
        <v>270</v>
      </c>
      <c r="I250" s="14" t="s">
        <v>101</v>
      </c>
      <c r="J250" s="13" t="s">
        <v>817</v>
      </c>
      <c r="K250" s="46" t="s">
        <v>96</v>
      </c>
    </row>
    <row r="251" spans="3:11" ht="40.5" customHeight="1" x14ac:dyDescent="0.75">
      <c r="C251" s="14" t="s">
        <v>262</v>
      </c>
      <c r="D251" s="14" t="s">
        <v>263</v>
      </c>
      <c r="E251" s="14" t="s">
        <v>116</v>
      </c>
      <c r="F251" s="14"/>
      <c r="G251" s="13" t="s">
        <v>95</v>
      </c>
      <c r="H251" s="13" t="s">
        <v>216</v>
      </c>
      <c r="I251" s="14" t="s">
        <v>101</v>
      </c>
      <c r="J251" s="13" t="s">
        <v>818</v>
      </c>
      <c r="K251" s="46" t="s">
        <v>96</v>
      </c>
    </row>
    <row r="252" spans="3:11" ht="40.5" customHeight="1" x14ac:dyDescent="0.75">
      <c r="C252" s="14" t="s">
        <v>819</v>
      </c>
      <c r="D252" s="14" t="s">
        <v>266</v>
      </c>
      <c r="E252" s="14" t="s">
        <v>116</v>
      </c>
      <c r="F252" s="14"/>
      <c r="G252" s="13" t="s">
        <v>95</v>
      </c>
      <c r="H252" s="13" t="s">
        <v>216</v>
      </c>
      <c r="I252" s="14" t="s">
        <v>101</v>
      </c>
      <c r="J252" s="13" t="s">
        <v>820</v>
      </c>
      <c r="K252" s="46" t="s">
        <v>96</v>
      </c>
    </row>
    <row r="253" spans="3:11" ht="40.5" customHeight="1" x14ac:dyDescent="0.75">
      <c r="C253" s="14" t="s">
        <v>268</v>
      </c>
      <c r="D253" s="14" t="s">
        <v>269</v>
      </c>
      <c r="E253" s="14" t="s">
        <v>116</v>
      </c>
      <c r="F253" s="14"/>
      <c r="G253" s="13" t="s">
        <v>95</v>
      </c>
      <c r="H253" s="13" t="s">
        <v>216</v>
      </c>
      <c r="I253" s="14" t="s">
        <v>101</v>
      </c>
      <c r="J253" s="13" t="s">
        <v>271</v>
      </c>
      <c r="K253" s="46" t="s">
        <v>96</v>
      </c>
    </row>
    <row r="254" spans="3:11" ht="40.5" customHeight="1" x14ac:dyDescent="0.75">
      <c r="C254" s="14" t="s">
        <v>821</v>
      </c>
      <c r="D254" s="14" t="s">
        <v>276</v>
      </c>
      <c r="E254" s="14" t="s">
        <v>3</v>
      </c>
      <c r="F254" s="14"/>
      <c r="G254" s="13" t="s">
        <v>3</v>
      </c>
      <c r="H254" s="13" t="s">
        <v>126</v>
      </c>
      <c r="I254" s="14" t="s">
        <v>101</v>
      </c>
      <c r="J254" s="13" t="s">
        <v>822</v>
      </c>
      <c r="K254" s="46"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t="str">
        <f>'RelAftFlt-fsh'!C3</f>
        <v>// -------------------------------------------------------------------------------</v>
      </c>
    </row>
    <row r="2" spans="5:5" x14ac:dyDescent="0.75">
      <c r="E2" t="str">
        <f>'RelAftFlt-fsh'!C4</f>
        <v>Logical: RelapseAfterFLT</v>
      </c>
    </row>
    <row r="3" spans="5:5" x14ac:dyDescent="0.75">
      <c r="E3" t="str">
        <f>'RelAftFlt-fsh'!C5</f>
        <v>Id: RelapseAfterFLT</v>
      </c>
    </row>
    <row r="4" spans="5:5" x14ac:dyDescent="0.75">
      <c r="E4" t="str">
        <f>'RelAftFlt-fsh'!C6</f>
        <v>Title: ##34#Progression-Relapse after FLT##34#</v>
      </c>
    </row>
    <row r="5" spans="5:5" x14ac:dyDescent="0.75">
      <c r="E5" t="str">
        <f>'RelAftFlt-fsh'!C7</f>
        <v>Description:  ##334#Progression-Relapse after FLT
Maturity Level: 2 - Ready for Review##334#</v>
      </c>
    </row>
    <row r="6" spans="5:5" x14ac:dyDescent="0.75">
      <c r="E6"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t="str">
        <f>'RelAftFlt-fsh'!C10</f>
        <v>* date 0..1 date ##34#date of relapse##34# ##334#Report here the date (dd/mm/yyyy ) of the relapse/progression. If the date is unkown or partially missed insert the year at the best of your knowledge.##334#</v>
      </c>
    </row>
    <row r="9" spans="5:5" x14ac:dyDescent="0.75">
      <c r="E9"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t="str">
        <f>'RelAftFlt-fsh'!C12</f>
        <v>* type 0..1 CodeableConcept ##34#local | distant | combined##34# ##334#Please define if the relapse/progression was local, distant or combined.
##334#</v>
      </c>
    </row>
    <row r="11" spans="5:5" x14ac:dyDescent="0.75">
      <c r="E11" t="str">
        <f>'RelAftFlt-fsh'!C13</f>
        <v>* site 0..1 string ##34#If distant, site of metastases##34# ##334#Please define if the relapse/progression was local, distant or combined.
##334#</v>
      </c>
    </row>
    <row r="12" spans="5:5" x14ac:dyDescent="0.75">
      <c r="E12" t="str">
        <f>'RelAftFlt-fsh'!C14</f>
        <v>//--- END</v>
      </c>
    </row>
    <row r="13" spans="5:5" x14ac:dyDescent="0.75">
      <c r="E13" t="str">
        <f>'RelAftFlt-fsh'!C15</f>
        <v>//--- END</v>
      </c>
    </row>
    <row r="14" spans="5:5" x14ac:dyDescent="0.75">
      <c r="E14" t="str">
        <f>'RelAftFlt-fsh'!C16</f>
        <v>//--- END</v>
      </c>
    </row>
    <row r="15" spans="5:5" x14ac:dyDescent="0.75">
      <c r="E15" t="e">
        <f>'RelAftFlt-fsh'!#REF!</f>
        <v>#REF!</v>
      </c>
    </row>
    <row r="16" spans="5:5" x14ac:dyDescent="0.75">
      <c r="E16" t="e">
        <f>'RelAftFlt-fsh'!#REF!</f>
        <v>#REF!</v>
      </c>
    </row>
    <row r="17" spans="5:5" x14ac:dyDescent="0.75">
      <c r="E17" t="e">
        <f>'RelAftFlt-fsh'!#REF!</f>
        <v>#REF!</v>
      </c>
    </row>
    <row r="18" spans="5:5" x14ac:dyDescent="0.75">
      <c r="E18" t="e">
        <f>'RelAftFlt-fsh'!#REF!</f>
        <v>#REF!</v>
      </c>
    </row>
    <row r="19" spans="5:5" x14ac:dyDescent="0.75">
      <c r="E19" t="e">
        <f>'RelAftFlt-fsh'!#REF!</f>
        <v>#REF!</v>
      </c>
    </row>
    <row r="20" spans="5:5" x14ac:dyDescent="0.75">
      <c r="E20" t="e">
        <f>'RelAftFlt-fsh'!#REF!</f>
        <v>#REF!</v>
      </c>
    </row>
    <row r="21" spans="5:5" x14ac:dyDescent="0.75">
      <c r="E21" t="e">
        <f>'RelAftFlt-fsh'!#REF!</f>
        <v>#REF!</v>
      </c>
    </row>
    <row r="22" spans="5:5" x14ac:dyDescent="0.75">
      <c r="E22" t="e">
        <f>'RelAftFlt-fsh'!#REF!</f>
        <v>#REF!</v>
      </c>
    </row>
    <row r="23" spans="5:5" x14ac:dyDescent="0.75">
      <c r="E23" t="e">
        <f>'RelAftFlt-fsh'!#REF!</f>
        <v>#REF!</v>
      </c>
    </row>
    <row r="24" spans="5:5" x14ac:dyDescent="0.75">
      <c r="E24">
        <f>'RelAftFlt-fsh'!C17</f>
        <v>0</v>
      </c>
    </row>
    <row r="25" spans="5:5" x14ac:dyDescent="0.75">
      <c r="E25">
        <f>'RelAftFlt-fsh'!C18</f>
        <v>0</v>
      </c>
    </row>
    <row r="26" spans="5:5" x14ac:dyDescent="0.75">
      <c r="E26">
        <f>'RelAftFlt-fsh'!C19</f>
        <v>0</v>
      </c>
    </row>
    <row r="27" spans="5:5" x14ac:dyDescent="0.75">
      <c r="E27">
        <f>'RelAftFlt-fsh'!C20</f>
        <v>0</v>
      </c>
    </row>
    <row r="28" spans="5:5" x14ac:dyDescent="0.75">
      <c r="E28" t="str">
        <f>'RelAftFlt-fsh'!C21</f>
        <v>// -------------------------------------------------------------------------------</v>
      </c>
    </row>
    <row r="29" spans="5:5" x14ac:dyDescent="0.75">
      <c r="E29" t="str">
        <f>'RelAftFlt-fsh'!C22</f>
        <v>//  Map to FHIR R4</v>
      </c>
    </row>
    <row r="30" spans="5:5" x14ac:dyDescent="0.75">
      <c r="E30" t="str">
        <f>'RelAftFlt-fsh'!C23</f>
        <v>// -------------------------------------------------------------------------------</v>
      </c>
    </row>
    <row r="31" spans="5:5" x14ac:dyDescent="0.75">
      <c r="E31" t="str">
        <f>'RelAftFlt-fsh'!C24</f>
        <v>Mapping: RelAfterFLT2Fhir</v>
      </c>
    </row>
    <row r="32" spans="5:5" x14ac:dyDescent="0.75">
      <c r="E32" t="str">
        <f>'RelAftFlt-fsh'!C25</f>
        <v>Id: fhir</v>
      </c>
    </row>
    <row r="33" spans="5:5" x14ac:dyDescent="0.75">
      <c r="E33" t="str">
        <f>'RelAftFlt-fsh'!C26</f>
        <v>Title: ##34#RelapseAfterFLT model to PCSP HL7 FHIR R4 Profiles##34#</v>
      </c>
    </row>
    <row r="34" spans="5:5" x14ac:dyDescent="0.75">
      <c r="E34" t="str">
        <f>'RelAftFlt-fsh'!C27</f>
        <v>Source: RelapseAfterFLT</v>
      </c>
    </row>
    <row r="35" spans="5:5" x14ac:dyDescent="0.75">
      <c r="E35" t="str">
        <f>'RelAftFlt-fsh'!C28</f>
        <v>Target: ##34#hl7.org/fhir/r4##34#</v>
      </c>
    </row>
    <row r="36" spans="5:5" x14ac:dyDescent="0.75">
      <c r="E36">
        <f>'RelAftFlt-fsh'!C29</f>
        <v>0</v>
      </c>
    </row>
    <row r="37" spans="5:5" x14ac:dyDescent="0.75">
      <c r="E37" t="str">
        <f>'RelAftFlt-fsh'!C30</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t="str">
        <f>'RelAftFlt-fsh'!C31</f>
        <v>* identifier -&gt; ##34#.identifier##34#</v>
      </c>
    </row>
    <row r="39" spans="5:5" x14ac:dyDescent="0.75">
      <c r="E39" t="str">
        <f>'RelAftFlt-fsh'!C32</f>
        <v>* relatedDiagnosis -&gt; ##34#.extension('http://hl7.org/fhir/StructureDefinition/condition-occurredFollowing')##34#</v>
      </c>
    </row>
    <row r="40" spans="5:5" x14ac:dyDescent="0.75">
      <c r="E40" t="str">
        <f>'RelAftFlt-fsh'!C33</f>
        <v>* date -&gt; ##34#.extension('http://hl7.org/fhir/StructureDefinition/condition-assertedDate')##34#</v>
      </c>
    </row>
    <row r="41" spans="5:5" x14ac:dyDescent="0.75">
      <c r="E41" t="str">
        <f>'RelAftFlt-fsh'!C34</f>
        <v>* relapseOrProgression -&gt; ##34#.extension('http://hl7.eu/fhir/ig/pcsp/StructureDefinition/condition-previousStatus').valueCodeableConcept OR Condition.where( clinicalStatus = #relapse or clinicalStatus = #recurrence).clinicalStatus##34#</v>
      </c>
    </row>
    <row r="42" spans="5:5" x14ac:dyDescent="0.75">
      <c r="E42" t="str">
        <f>'RelAftFlt-fsh'!C35</f>
        <v>* type -&gt; ##34#.extension('http://hl7.eu/fhir/ig/pcsp/StructureDefinition/condition-relapseType').valueCodeableConcept##34#</v>
      </c>
    </row>
    <row r="43" spans="5:5" x14ac:dyDescent="0.75">
      <c r="E43" t="str">
        <f>'RelAftFlt-fsh'!C36</f>
        <v>* site -&gt; ##34#.bodySite##34#</v>
      </c>
    </row>
    <row r="44" spans="5:5" x14ac:dyDescent="0.75">
      <c r="E44" t="str">
        <f>'RelAftFlt-fsh'!C37</f>
        <v>// --END</v>
      </c>
    </row>
    <row r="45" spans="5:5" x14ac:dyDescent="0.75">
      <c r="E45" t="str">
        <f>'RelAftFlt-fsh'!C38</f>
        <v>// --END</v>
      </c>
    </row>
    <row r="46" spans="5:5" x14ac:dyDescent="0.75">
      <c r="E46" t="str">
        <f>'RelAftFlt-fsh'!C39</f>
        <v>// --END</v>
      </c>
    </row>
    <row r="47" spans="5:5" x14ac:dyDescent="0.75">
      <c r="E47">
        <f>'RelAftFlt-fsh'!C40</f>
        <v>0</v>
      </c>
    </row>
    <row r="48" spans="5:5" x14ac:dyDescent="0.75">
      <c r="E48" t="e">
        <f>'RelAftFlt-fsh'!#REF!</f>
        <v>#REF!</v>
      </c>
    </row>
    <row r="49" spans="5:5" x14ac:dyDescent="0.75">
      <c r="E49" t="e">
        <f>'RelAftFlt-fsh'!#REF!</f>
        <v>#REF!</v>
      </c>
    </row>
    <row r="50" spans="5:5" x14ac:dyDescent="0.75">
      <c r="E50" t="e">
        <f>'RelAftFlt-fsh'!#REF!</f>
        <v>#REF!</v>
      </c>
    </row>
    <row r="51" spans="5:5" x14ac:dyDescent="0.75">
      <c r="E51" t="e">
        <f>'RelAftFlt-fsh'!#REF!</f>
        <v>#REF!</v>
      </c>
    </row>
    <row r="52" spans="5:5" x14ac:dyDescent="0.75">
      <c r="E52">
        <f>'RelAftFlt-fsh'!C41</f>
        <v>0</v>
      </c>
    </row>
    <row r="53" spans="5:5" x14ac:dyDescent="0.75">
      <c r="E53">
        <f>'RelAftFlt-fsh'!C42</f>
        <v>0</v>
      </c>
    </row>
    <row r="54" spans="5:5" x14ac:dyDescent="0.75">
      <c r="E54">
        <f>'RelAftFlt-fsh'!C43</f>
        <v>0</v>
      </c>
    </row>
    <row r="55" spans="5:5" x14ac:dyDescent="0.75">
      <c r="E55">
        <f>'RelAftFlt-fsh'!C44</f>
        <v>0</v>
      </c>
    </row>
    <row r="56" spans="5:5" x14ac:dyDescent="0.75">
      <c r="E56">
        <f>'RelAftFlt-fsh'!C45</f>
        <v>0</v>
      </c>
    </row>
    <row r="57" spans="5:5" x14ac:dyDescent="0.75">
      <c r="E57">
        <f>'RelAftFlt-fsh'!C46</f>
        <v>0</v>
      </c>
    </row>
    <row r="58" spans="5:5" x14ac:dyDescent="0.75">
      <c r="E58">
        <f>'RelAftFlt-fsh'!C47</f>
        <v>0</v>
      </c>
    </row>
    <row r="59" spans="5:5" x14ac:dyDescent="0.75">
      <c r="E59">
        <f>'RelAftFlt-fsh'!C48</f>
        <v>0</v>
      </c>
    </row>
    <row r="60" spans="5:5" x14ac:dyDescent="0.75">
      <c r="E60">
        <f>'RelAftFlt-fsh'!C49</f>
        <v>0</v>
      </c>
    </row>
    <row r="61" spans="5:5" x14ac:dyDescent="0.75">
      <c r="E61">
        <f>'RelAftFlt-fsh'!C50</f>
        <v>0</v>
      </c>
    </row>
    <row r="62" spans="5:5" x14ac:dyDescent="0.75">
      <c r="E62">
        <f>'RelAftFlt-fsh'!C51</f>
        <v>0</v>
      </c>
    </row>
    <row r="63" spans="5:5" x14ac:dyDescent="0.75">
      <c r="E63">
        <f>'RelAftFlt-fsh'!C52</f>
        <v>0</v>
      </c>
    </row>
    <row r="64" spans="5:5" x14ac:dyDescent="0.75">
      <c r="E64">
        <f>'RelAftFlt-fsh'!C53</f>
        <v>0</v>
      </c>
    </row>
    <row r="65" spans="5:5" x14ac:dyDescent="0.75">
      <c r="E65">
        <f>'RelAftFlt-fsh'!C54</f>
        <v>0</v>
      </c>
    </row>
    <row r="66" spans="5:5" x14ac:dyDescent="0.75">
      <c r="E66">
        <f>'RelAftFlt-fsh'!C55</f>
        <v>0</v>
      </c>
    </row>
    <row r="67" spans="5:5" x14ac:dyDescent="0.75">
      <c r="E67">
        <f>'RelAftFlt-fsh'!C56</f>
        <v>0</v>
      </c>
    </row>
    <row r="68" spans="5:5" x14ac:dyDescent="0.75">
      <c r="E68">
        <f>'RelAftFlt-fsh'!C57</f>
        <v>0</v>
      </c>
    </row>
    <row r="69" spans="5:5" x14ac:dyDescent="0.75">
      <c r="E69">
        <f>'RelAftFlt-fsh'!C58</f>
        <v>0</v>
      </c>
    </row>
    <row r="70" spans="5:5" x14ac:dyDescent="0.75">
      <c r="E70">
        <f>'RelAftFlt-fsh'!C59</f>
        <v>0</v>
      </c>
    </row>
    <row r="71" spans="5:5" x14ac:dyDescent="0.75">
      <c r="E71">
        <f>'RelAftFlt-fsh'!C60</f>
        <v>0</v>
      </c>
    </row>
    <row r="72" spans="5:5" x14ac:dyDescent="0.75">
      <c r="E72">
        <f>'RelAftFlt-fsh'!C61</f>
        <v>0</v>
      </c>
    </row>
    <row r="73" spans="5:5" x14ac:dyDescent="0.75">
      <c r="E73">
        <f>'RelAftFlt-fsh'!C62</f>
        <v>0</v>
      </c>
    </row>
    <row r="74" spans="5:5" x14ac:dyDescent="0.75">
      <c r="E74">
        <f>'RelAftFlt-fsh'!C63</f>
        <v>0</v>
      </c>
    </row>
    <row r="75" spans="5:5" x14ac:dyDescent="0.75">
      <c r="E75" t="e">
        <f>'RelAftFlt-fsh'!#REF!</f>
        <v>#REF!</v>
      </c>
    </row>
    <row r="76" spans="5:5" x14ac:dyDescent="0.75">
      <c r="E76" t="e">
        <f>'RelAftFlt-fsh'!#REF!</f>
        <v>#REF!</v>
      </c>
    </row>
    <row r="77" spans="5:5" x14ac:dyDescent="0.75">
      <c r="E77" t="e">
        <f>'RelAftFlt-fsh'!#REF!</f>
        <v>#REF!</v>
      </c>
    </row>
    <row r="78" spans="5:5" x14ac:dyDescent="0.75">
      <c r="E78" t="e">
        <f>'RelAftFlt-fsh'!#REF!</f>
        <v>#REF!</v>
      </c>
    </row>
    <row r="79" spans="5:5" x14ac:dyDescent="0.75">
      <c r="E79" t="e">
        <f>'RelAftFlt-fsh'!#REF!</f>
        <v>#REF!</v>
      </c>
    </row>
    <row r="80" spans="5:5" x14ac:dyDescent="0.75">
      <c r="E80" t="e">
        <f>'RelAftFlt-fsh'!#REF!</f>
        <v>#REF!</v>
      </c>
    </row>
    <row r="81" spans="5:5" x14ac:dyDescent="0.75">
      <c r="E81" t="e">
        <f>'RelAftFlt-fsh'!#REF!</f>
        <v>#REF!</v>
      </c>
    </row>
    <row r="82" spans="5:5" x14ac:dyDescent="0.75">
      <c r="E82" t="e">
        <f>'RelAftFlt-fsh'!#REF!</f>
        <v>#REF!</v>
      </c>
    </row>
    <row r="83" spans="5:5" x14ac:dyDescent="0.75">
      <c r="E83" t="e">
        <f>'RelAftFlt-fsh'!#REF!</f>
        <v>#REF!</v>
      </c>
    </row>
    <row r="84" spans="5:5" x14ac:dyDescent="0.75">
      <c r="E84" t="e">
        <f>'RelAftFlt-fsh'!#REF!</f>
        <v>#REF!</v>
      </c>
    </row>
    <row r="85" spans="5:5" x14ac:dyDescent="0.75">
      <c r="E85" t="e">
        <f>'RelAftFlt-fsh'!#REF!</f>
        <v>#REF!</v>
      </c>
    </row>
    <row r="86" spans="5:5" x14ac:dyDescent="0.75">
      <c r="E86" t="e">
        <f>'RelAftFlt-fsh'!#REF!</f>
        <v>#REF!</v>
      </c>
    </row>
    <row r="87" spans="5:5" x14ac:dyDescent="0.75">
      <c r="E87" t="e">
        <f>'RelAftFlt-fsh'!#REF!</f>
        <v>#REF!</v>
      </c>
    </row>
    <row r="88" spans="5:5" x14ac:dyDescent="0.75">
      <c r="E88" t="e">
        <f>'RelAftFlt-fsh'!#REF!</f>
        <v>#REF!</v>
      </c>
    </row>
    <row r="89" spans="5:5" x14ac:dyDescent="0.75">
      <c r="E89" t="e">
        <f>'RelAftFlt-fsh'!#REF!</f>
        <v>#REF!</v>
      </c>
    </row>
    <row r="90" spans="5:5" x14ac:dyDescent="0.75">
      <c r="E90" t="e">
        <f>'RelAftFlt-fsh'!#REF!</f>
        <v>#REF!</v>
      </c>
    </row>
    <row r="91" spans="5:5" x14ac:dyDescent="0.75">
      <c r="E91" t="e">
        <f>'RelAftFlt-fsh'!#REF!</f>
        <v>#REF!</v>
      </c>
    </row>
    <row r="92" spans="5:5" x14ac:dyDescent="0.75">
      <c r="E92" t="e">
        <f>'RelAftFlt-fsh'!#REF!</f>
        <v>#REF!</v>
      </c>
    </row>
    <row r="93" spans="5:5" x14ac:dyDescent="0.75">
      <c r="E93" t="e">
        <f>'RelAftFlt-fsh'!#REF!</f>
        <v>#REF!</v>
      </c>
    </row>
    <row r="94" spans="5:5" x14ac:dyDescent="0.75">
      <c r="E94" t="e">
        <f>'RelAftFlt-fsh'!#REF!</f>
        <v>#REF!</v>
      </c>
    </row>
    <row r="95" spans="5:5" x14ac:dyDescent="0.75">
      <c r="E95" t="e">
        <f>'RelAftFlt-fsh'!#REF!</f>
        <v>#REF!</v>
      </c>
    </row>
    <row r="96" spans="5:5" x14ac:dyDescent="0.75">
      <c r="E96" t="e">
        <f>'RelAftFlt-fsh'!#REF!</f>
        <v>#REF!</v>
      </c>
    </row>
    <row r="97" spans="5:5" x14ac:dyDescent="0.75">
      <c r="E97" t="e">
        <f>'RelAftFlt-fsh'!#REF!</f>
        <v>#REF!</v>
      </c>
    </row>
    <row r="98" spans="5:5" x14ac:dyDescent="0.75">
      <c r="E98" t="e">
        <f>'RelAftFlt-fsh'!#REF!</f>
        <v>#REF!</v>
      </c>
    </row>
    <row r="99" spans="5:5" x14ac:dyDescent="0.75">
      <c r="E99" t="e">
        <f>'RelAftFlt-fsh'!#REF!</f>
        <v>#REF!</v>
      </c>
    </row>
    <row r="100" spans="5:5" x14ac:dyDescent="0.75">
      <c r="E100" t="e">
        <f>'RelAftFlt-fsh'!#REF!</f>
        <v>#REF!</v>
      </c>
    </row>
    <row r="101" spans="5:5" x14ac:dyDescent="0.75">
      <c r="E101" t="e">
        <f>'RelAftFlt-fsh'!#REF!</f>
        <v>#REF!</v>
      </c>
    </row>
    <row r="102" spans="5:5" x14ac:dyDescent="0.75">
      <c r="E102" t="e">
        <f>'RelAftFlt-fsh'!#REF!</f>
        <v>#REF!</v>
      </c>
    </row>
    <row r="103" spans="5:5" x14ac:dyDescent="0.75">
      <c r="E103" t="e">
        <f>'RelAftFlt-fsh'!#REF!</f>
        <v>#REF!</v>
      </c>
    </row>
    <row r="104" spans="5:5" x14ac:dyDescent="0.75">
      <c r="E104" t="e">
        <f>'RelAftFlt-fsh'!#REF!</f>
        <v>#REF!</v>
      </c>
    </row>
    <row r="105" spans="5:5" x14ac:dyDescent="0.75">
      <c r="E105" t="e">
        <f>'RelAftFlt-fsh'!#REF!</f>
        <v>#REF!</v>
      </c>
    </row>
    <row r="106" spans="5:5" x14ac:dyDescent="0.75">
      <c r="E106" t="e">
        <f>'RelAftFlt-fsh'!#REF!</f>
        <v>#REF!</v>
      </c>
    </row>
    <row r="107" spans="5:5" x14ac:dyDescent="0.75">
      <c r="E107" t="e">
        <f>'RelAftFlt-fsh'!#REF!</f>
        <v>#REF!</v>
      </c>
    </row>
    <row r="108" spans="5:5" x14ac:dyDescent="0.75">
      <c r="E108" t="e">
        <f>'RelAftFlt-fsh'!#REF!</f>
        <v>#REF!</v>
      </c>
    </row>
    <row r="109" spans="5:5" x14ac:dyDescent="0.75">
      <c r="E109" t="e">
        <f>'RelAftFlt-fsh'!#REF!</f>
        <v>#REF!</v>
      </c>
    </row>
    <row r="110" spans="5:5" x14ac:dyDescent="0.75">
      <c r="E110" t="e">
        <f>'RelAftFlt-fsh'!#REF!</f>
        <v>#REF!</v>
      </c>
    </row>
    <row r="111" spans="5:5" x14ac:dyDescent="0.75">
      <c r="E111" t="e">
        <f>'RelAftFlt-fsh'!#REF!</f>
        <v>#REF!</v>
      </c>
    </row>
    <row r="112" spans="5:5" x14ac:dyDescent="0.75">
      <c r="E112" t="e">
        <f>'RelAftFlt-fsh'!#REF!</f>
        <v>#REF!</v>
      </c>
    </row>
    <row r="113" spans="5:5" x14ac:dyDescent="0.75">
      <c r="E113" t="e">
        <f>'RelAftFlt-fsh'!#REF!</f>
        <v>#REF!</v>
      </c>
    </row>
    <row r="114" spans="5:5" x14ac:dyDescent="0.75">
      <c r="E114" t="e">
        <f>'RelAftFlt-fsh'!#REF!</f>
        <v>#REF!</v>
      </c>
    </row>
    <row r="115" spans="5:5" x14ac:dyDescent="0.75">
      <c r="E115" t="e">
        <f>'RelAftFlt-fsh'!#REF!</f>
        <v>#REF!</v>
      </c>
    </row>
    <row r="116" spans="5:5" x14ac:dyDescent="0.75">
      <c r="E116" t="e">
        <f>'RelAftFlt-fsh'!#REF!</f>
        <v>#REF!</v>
      </c>
    </row>
    <row r="117" spans="5:5" x14ac:dyDescent="0.75">
      <c r="E117" t="e">
        <f>'RelAftFlt-fsh'!#REF!</f>
        <v>#REF!</v>
      </c>
    </row>
    <row r="118" spans="5:5" x14ac:dyDescent="0.75">
      <c r="E118" t="e">
        <f>'RelAftFlt-fsh'!#REF!</f>
        <v>#REF!</v>
      </c>
    </row>
    <row r="119" spans="5:5" x14ac:dyDescent="0.75">
      <c r="E119" t="e">
        <f>'RelAftFlt-fsh'!#REF!</f>
        <v>#REF!</v>
      </c>
    </row>
    <row r="120" spans="5:5" x14ac:dyDescent="0.75">
      <c r="E120" t="e">
        <f>'RelAftFlt-fsh'!#REF!</f>
        <v>#REF!</v>
      </c>
    </row>
    <row r="121" spans="5:5" x14ac:dyDescent="0.75">
      <c r="E121" t="e">
        <f>'RelAftFlt-fsh'!#REF!</f>
        <v>#REF!</v>
      </c>
    </row>
    <row r="122" spans="5:5" x14ac:dyDescent="0.75">
      <c r="E122" t="e">
        <f>'RelAftFlt-fsh'!#REF!</f>
        <v>#REF!</v>
      </c>
    </row>
    <row r="123" spans="5:5" x14ac:dyDescent="0.75">
      <c r="E123" t="e">
        <f>'RelAftFlt-fsh'!#REF!</f>
        <v>#REF!</v>
      </c>
    </row>
    <row r="124" spans="5:5" x14ac:dyDescent="0.75">
      <c r="E124" t="e">
        <f>'RelAftFlt-fsh'!#REF!</f>
        <v>#REF!</v>
      </c>
    </row>
    <row r="125" spans="5:5" x14ac:dyDescent="0.75">
      <c r="E125" t="e">
        <f>'RelAftFlt-fsh'!#REF!</f>
        <v>#REF!</v>
      </c>
    </row>
    <row r="126" spans="5:5" x14ac:dyDescent="0.75">
      <c r="E126" t="e">
        <f>'RelAftFlt-fsh'!#REF!</f>
        <v>#REF!</v>
      </c>
    </row>
    <row r="127" spans="5:5" x14ac:dyDescent="0.75">
      <c r="E127" t="e">
        <f>'RelAftFlt-fsh'!#REF!</f>
        <v>#REF!</v>
      </c>
    </row>
    <row r="128" spans="5:5" x14ac:dyDescent="0.75">
      <c r="E128" t="e">
        <f>'RelAftFlt-fsh'!#REF!</f>
        <v>#REF!</v>
      </c>
    </row>
    <row r="129" spans="5:5" x14ac:dyDescent="0.75">
      <c r="E129" t="e">
        <f>'RelAftFlt-fsh'!#REF!</f>
        <v>#REF!</v>
      </c>
    </row>
    <row r="130" spans="5:5" x14ac:dyDescent="0.75">
      <c r="E130" t="e">
        <f>'RelAftFlt-fsh'!#REF!</f>
        <v>#REF!</v>
      </c>
    </row>
    <row r="131" spans="5:5" x14ac:dyDescent="0.75">
      <c r="E131" t="e">
        <f>'RelAftFlt-fsh'!#REF!</f>
        <v>#REF!</v>
      </c>
    </row>
    <row r="132" spans="5:5" x14ac:dyDescent="0.75">
      <c r="E132" t="e">
        <f>'RelAftFlt-fsh'!#REF!</f>
        <v>#REF!</v>
      </c>
    </row>
    <row r="133" spans="5:5" x14ac:dyDescent="0.75">
      <c r="E133" t="e">
        <f>'RelAftFlt-fsh'!#REF!</f>
        <v>#REF!</v>
      </c>
    </row>
    <row r="134" spans="5:5" x14ac:dyDescent="0.75">
      <c r="E134" t="e">
        <f>'RelAftFlt-fsh'!#REF!</f>
        <v>#REF!</v>
      </c>
    </row>
    <row r="135" spans="5:5" x14ac:dyDescent="0.75">
      <c r="E135" t="e">
        <f>'RelAftFlt-fsh'!#REF!</f>
        <v>#REF!</v>
      </c>
    </row>
    <row r="136" spans="5:5" x14ac:dyDescent="0.75">
      <c r="E136" t="e">
        <f>'RelAftFlt-fsh'!#REF!</f>
        <v>#REF!</v>
      </c>
    </row>
    <row r="137" spans="5:5" x14ac:dyDescent="0.75">
      <c r="E137" t="e">
        <f>'RelAftFlt-fsh'!#REF!</f>
        <v>#REF!</v>
      </c>
    </row>
    <row r="138" spans="5:5" x14ac:dyDescent="0.75">
      <c r="E138" t="e">
        <f>'RelAftFlt-fsh'!#REF!</f>
        <v>#REF!</v>
      </c>
    </row>
    <row r="139" spans="5:5" x14ac:dyDescent="0.75">
      <c r="E139" t="e">
        <f>'RelAftFlt-fsh'!#REF!</f>
        <v>#REF!</v>
      </c>
    </row>
    <row r="140" spans="5:5" x14ac:dyDescent="0.75">
      <c r="E140" t="e">
        <f>'RelAftFlt-fsh'!#REF!</f>
        <v>#REF!</v>
      </c>
    </row>
    <row r="141" spans="5:5" x14ac:dyDescent="0.75">
      <c r="E141" t="e">
        <f>'RelAftFlt-fsh'!#REF!</f>
        <v>#REF!</v>
      </c>
    </row>
    <row r="142" spans="5:5" x14ac:dyDescent="0.75">
      <c r="E142" t="e">
        <f>'RelAftFlt-fsh'!#REF!</f>
        <v>#REF!</v>
      </c>
    </row>
    <row r="143" spans="5:5" x14ac:dyDescent="0.75">
      <c r="E143" t="e">
        <f>'RelAftFlt-fsh'!#REF!</f>
        <v>#REF!</v>
      </c>
    </row>
    <row r="144" spans="5:5" x14ac:dyDescent="0.75">
      <c r="E144" t="e">
        <f>'RelAftFlt-fsh'!#REF!</f>
        <v>#REF!</v>
      </c>
    </row>
    <row r="145" spans="5:5" x14ac:dyDescent="0.75">
      <c r="E145" t="e">
        <f>'RelAftFlt-fsh'!#REF!</f>
        <v>#REF!</v>
      </c>
    </row>
    <row r="146" spans="5:5" x14ac:dyDescent="0.75">
      <c r="E146" t="e">
        <f>'RelAftFlt-fsh'!#REF!</f>
        <v>#REF!</v>
      </c>
    </row>
    <row r="147" spans="5:5" x14ac:dyDescent="0.75">
      <c r="E147" t="e">
        <f>'RelAftFlt-fsh'!#REF!</f>
        <v>#REF!</v>
      </c>
    </row>
    <row r="148" spans="5:5" x14ac:dyDescent="0.75">
      <c r="E148" t="e">
        <f>'RelAftFlt-fsh'!#REF!</f>
        <v>#REF!</v>
      </c>
    </row>
    <row r="149" spans="5:5" x14ac:dyDescent="0.75">
      <c r="E149" t="e">
        <f>'RelAftFlt-fsh'!#REF!</f>
        <v>#REF!</v>
      </c>
    </row>
    <row r="150" spans="5:5" x14ac:dyDescent="0.75">
      <c r="E150" t="e">
        <f>'RelAftFlt-fsh'!#REF!</f>
        <v>#REF!</v>
      </c>
    </row>
    <row r="151" spans="5:5" x14ac:dyDescent="0.75">
      <c r="E151" t="e">
        <f>'RelAftFlt-fsh'!#REF!</f>
        <v>#REF!</v>
      </c>
    </row>
    <row r="152" spans="5:5" x14ac:dyDescent="0.75">
      <c r="E152" t="e">
        <f>'RelAftFlt-fsh'!#REF!</f>
        <v>#REF!</v>
      </c>
    </row>
    <row r="153" spans="5:5" x14ac:dyDescent="0.75">
      <c r="E153" t="e">
        <f>'RelAftFlt-fsh'!#REF!</f>
        <v>#REF!</v>
      </c>
    </row>
    <row r="154" spans="5:5" x14ac:dyDescent="0.75">
      <c r="E154" t="e">
        <f>'RelAftFlt-fsh'!#REF!</f>
        <v>#REF!</v>
      </c>
    </row>
    <row r="155" spans="5:5" x14ac:dyDescent="0.75">
      <c r="E155" t="e">
        <f>'RelAftFlt-fsh'!#REF!</f>
        <v>#REF!</v>
      </c>
    </row>
    <row r="156" spans="5:5" x14ac:dyDescent="0.75">
      <c r="E156" t="e">
        <f>'RelAftFlt-fsh'!#REF!</f>
        <v>#REF!</v>
      </c>
    </row>
    <row r="157" spans="5:5" x14ac:dyDescent="0.75">
      <c r="E157" t="e">
        <f>'RelAftFlt-fsh'!#REF!</f>
        <v>#REF!</v>
      </c>
    </row>
    <row r="158" spans="5:5" x14ac:dyDescent="0.75">
      <c r="E158" t="e">
        <f>'RelAftFlt-fsh'!#REF!</f>
        <v>#REF!</v>
      </c>
    </row>
    <row r="159" spans="5:5" x14ac:dyDescent="0.75">
      <c r="E159" t="e">
        <f>'RelAftFlt-fsh'!#REF!</f>
        <v>#REF!</v>
      </c>
    </row>
    <row r="160" spans="5:5" x14ac:dyDescent="0.75">
      <c r="E160" t="e">
        <f>'RelAftFlt-fsh'!#REF!</f>
        <v>#REF!</v>
      </c>
    </row>
    <row r="161" spans="5:5" x14ac:dyDescent="0.75">
      <c r="E161" t="e">
        <f>'RelAftFlt-fsh'!#REF!</f>
        <v>#REF!</v>
      </c>
    </row>
    <row r="162" spans="5:5" x14ac:dyDescent="0.75">
      <c r="E162" t="e">
        <f>'RelAftFlt-fsh'!#REF!</f>
        <v>#REF!</v>
      </c>
    </row>
    <row r="163" spans="5:5" x14ac:dyDescent="0.75">
      <c r="E163" t="e">
        <f>'RelAftFlt-fsh'!#REF!</f>
        <v>#REF!</v>
      </c>
    </row>
    <row r="164" spans="5:5" x14ac:dyDescent="0.75">
      <c r="E164" t="e">
        <f>'RelAftFlt-fsh'!#REF!</f>
        <v>#REF!</v>
      </c>
    </row>
    <row r="165" spans="5:5" x14ac:dyDescent="0.75">
      <c r="E165" t="e">
        <f>'RelAftFlt-fsh'!#REF!</f>
        <v>#REF!</v>
      </c>
    </row>
    <row r="166" spans="5:5" x14ac:dyDescent="0.75">
      <c r="E166" t="e">
        <f>'RelAftFlt-fsh'!#REF!</f>
        <v>#REF!</v>
      </c>
    </row>
    <row r="167" spans="5:5" x14ac:dyDescent="0.75">
      <c r="E167" t="e">
        <f>'RelAftFlt-fsh'!#REF!</f>
        <v>#REF!</v>
      </c>
    </row>
    <row r="168" spans="5:5" x14ac:dyDescent="0.75">
      <c r="E168" t="e">
        <f>'RelAftFlt-fsh'!#REF!</f>
        <v>#REF!</v>
      </c>
    </row>
    <row r="169" spans="5:5" x14ac:dyDescent="0.75">
      <c r="E169" t="e">
        <f>'RelAftFlt-fsh'!#REF!</f>
        <v>#REF!</v>
      </c>
    </row>
    <row r="170" spans="5:5" x14ac:dyDescent="0.75">
      <c r="E170" t="e">
        <f>'RelAftFlt-fsh'!#REF!</f>
        <v>#REF!</v>
      </c>
    </row>
    <row r="171" spans="5:5" x14ac:dyDescent="0.75">
      <c r="E171" t="e">
        <f>'RelAftFlt-fsh'!#REF!</f>
        <v>#REF!</v>
      </c>
    </row>
    <row r="172" spans="5:5" x14ac:dyDescent="0.75">
      <c r="E172" t="e">
        <f>'RelAftFlt-fsh'!#REF!</f>
        <v>#REF!</v>
      </c>
    </row>
    <row r="173" spans="5:5" x14ac:dyDescent="0.75">
      <c r="E173" t="e">
        <f>'RelAftFlt-fsh'!#REF!</f>
        <v>#REF!</v>
      </c>
    </row>
    <row r="174" spans="5:5" x14ac:dyDescent="0.75">
      <c r="E174" t="e">
        <f>'RelAftFlt-fsh'!#REF!</f>
        <v>#REF!</v>
      </c>
    </row>
    <row r="175" spans="5:5" x14ac:dyDescent="0.75">
      <c r="E175" t="e">
        <f>'RelAftFlt-fsh'!#REF!</f>
        <v>#REF!</v>
      </c>
    </row>
    <row r="176" spans="5:5" x14ac:dyDescent="0.75">
      <c r="E176" t="e">
        <f>'RelAftFlt-fsh'!#REF!</f>
        <v>#REF!</v>
      </c>
    </row>
    <row r="177" spans="5:5" x14ac:dyDescent="0.75">
      <c r="E177" t="e">
        <f>'RelAftFlt-fsh'!#REF!</f>
        <v>#REF!</v>
      </c>
    </row>
    <row r="178" spans="5:5" x14ac:dyDescent="0.75">
      <c r="E178" t="e">
        <f>'RelAftFlt-fsh'!#REF!</f>
        <v>#REF!</v>
      </c>
    </row>
    <row r="179" spans="5:5" x14ac:dyDescent="0.75">
      <c r="E179" t="e">
        <f>'RelAftFlt-fsh'!#REF!</f>
        <v>#REF!</v>
      </c>
    </row>
    <row r="180" spans="5:5" x14ac:dyDescent="0.75">
      <c r="E180" t="e">
        <f>'RelAftFlt-fsh'!#REF!</f>
        <v>#REF!</v>
      </c>
    </row>
    <row r="181" spans="5:5" x14ac:dyDescent="0.75">
      <c r="E181" t="e">
        <f>'RelAftFlt-fsh'!#REF!</f>
        <v>#REF!</v>
      </c>
    </row>
    <row r="182" spans="5:5" x14ac:dyDescent="0.75">
      <c r="E182" t="e">
        <f>'RelAftFlt-fsh'!#REF!</f>
        <v>#REF!</v>
      </c>
    </row>
    <row r="183" spans="5:5" x14ac:dyDescent="0.75">
      <c r="E183" t="e">
        <f>'RelAftFlt-fsh'!#REF!</f>
        <v>#REF!</v>
      </c>
    </row>
    <row r="184" spans="5:5" x14ac:dyDescent="0.75">
      <c r="E184" t="e">
        <f>'RelAftFlt-fsh'!#REF!</f>
        <v>#REF!</v>
      </c>
    </row>
    <row r="185" spans="5:5" x14ac:dyDescent="0.75">
      <c r="E185" t="e">
        <f>'RelAftFlt-fsh'!#REF!</f>
        <v>#REF!</v>
      </c>
    </row>
    <row r="186" spans="5:5" x14ac:dyDescent="0.75">
      <c r="E186" t="e">
        <f>'RelAftFlt-fsh'!#REF!</f>
        <v>#REF!</v>
      </c>
    </row>
    <row r="187" spans="5:5" x14ac:dyDescent="0.75">
      <c r="E187" t="e">
        <f>'RelAftFlt-fsh'!#REF!</f>
        <v>#REF!</v>
      </c>
    </row>
    <row r="188" spans="5:5" x14ac:dyDescent="0.75">
      <c r="E188" t="e">
        <f>'RelAftFlt-fsh'!#REF!</f>
        <v>#REF!</v>
      </c>
    </row>
    <row r="189" spans="5:5" x14ac:dyDescent="0.75">
      <c r="E189" t="e">
        <f>'RelAftFlt-fsh'!#REF!</f>
        <v>#REF!</v>
      </c>
    </row>
    <row r="190" spans="5:5" x14ac:dyDescent="0.75">
      <c r="E190" t="e">
        <f>'RelAftFlt-fsh'!#REF!</f>
        <v>#REF!</v>
      </c>
    </row>
    <row r="191" spans="5:5" x14ac:dyDescent="0.75">
      <c r="E191" t="e">
        <f>'RelAftFlt-fsh'!#REF!</f>
        <v>#REF!</v>
      </c>
    </row>
    <row r="192" spans="5:5" x14ac:dyDescent="0.75">
      <c r="E192" t="e">
        <f>'RelAftFlt-fsh'!#REF!</f>
        <v>#REF!</v>
      </c>
    </row>
    <row r="193" spans="5:5" x14ac:dyDescent="0.75">
      <c r="E193" t="e">
        <f>'RelAftFlt-fsh'!#REF!</f>
        <v>#REF!</v>
      </c>
    </row>
    <row r="194" spans="5:5" x14ac:dyDescent="0.75">
      <c r="E194" t="e">
        <f>'RelAftFlt-fsh'!#REF!</f>
        <v>#REF!</v>
      </c>
    </row>
    <row r="195" spans="5:5" x14ac:dyDescent="0.75">
      <c r="E195" t="e">
        <f>'RelAftFlt-fsh'!#REF!</f>
        <v>#REF!</v>
      </c>
    </row>
    <row r="196" spans="5:5" x14ac:dyDescent="0.75">
      <c r="E196" t="e">
        <f>'RelAftFlt-fsh'!#REF!</f>
        <v>#REF!</v>
      </c>
    </row>
    <row r="197" spans="5:5" x14ac:dyDescent="0.75">
      <c r="E197" t="e">
        <f>'RelAftFlt-fsh'!#REF!</f>
        <v>#REF!</v>
      </c>
    </row>
    <row r="198" spans="5:5" x14ac:dyDescent="0.75">
      <c r="E198" t="e">
        <f>'RelAftFlt-fsh'!#REF!</f>
        <v>#REF!</v>
      </c>
    </row>
    <row r="199" spans="5:5" x14ac:dyDescent="0.75">
      <c r="E199" t="e">
        <f>'RelAftFlt-fsh'!#REF!</f>
        <v>#REF!</v>
      </c>
    </row>
    <row r="200" spans="5:5" x14ac:dyDescent="0.75">
      <c r="E200" t="e">
        <f>'RelAftFlt-fsh'!#REF!</f>
        <v>#REF!</v>
      </c>
    </row>
    <row r="201" spans="5:5" x14ac:dyDescent="0.75">
      <c r="E201" t="e">
        <f>'RelAftFlt-fsh'!#REF!</f>
        <v>#REF!</v>
      </c>
    </row>
    <row r="202" spans="5:5" x14ac:dyDescent="0.75">
      <c r="E202"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62C38-0AAA-4F44-AA8F-14A685EA8CF4}">
  <sheetPr codeName="Foglio27">
    <tabColor theme="4" tint="0.59999389629810485"/>
  </sheetPr>
  <dimension ref="A1:L41"/>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Diagnosis</v>
      </c>
      <c r="I4" s="27" t="str">
        <f>CONCATENATE("Logical: ",B4)</f>
        <v>Logical: Diagnosis</v>
      </c>
    </row>
    <row r="5" spans="1:11" x14ac:dyDescent="0.75">
      <c r="A5" s="22" t="s">
        <v>76</v>
      </c>
      <c r="B5" s="36" t="s">
        <v>18</v>
      </c>
      <c r="I5" s="27" t="str">
        <f>CONCATENATE("Id: ",B5)</f>
        <v>Id: Diagnosis</v>
      </c>
    </row>
    <row r="6" spans="1:11" ht="15.5" thickBot="1" x14ac:dyDescent="0.9">
      <c r="A6" s="22" t="s">
        <v>11</v>
      </c>
      <c r="B6" s="80" t="s">
        <v>18</v>
      </c>
      <c r="I6" s="28" t="str">
        <f>CONCATENATE("Title: ##34#",B6,"##34#")</f>
        <v>Title: ##34#Diagnosis##34#</v>
      </c>
    </row>
    <row r="7" spans="1:11" ht="30.25" thickBot="1" x14ac:dyDescent="0.9">
      <c r="A7" s="23" t="s">
        <v>4</v>
      </c>
      <c r="B7" s="80" t="s">
        <v>1637</v>
      </c>
      <c r="C7" s="12" t="s">
        <v>5</v>
      </c>
      <c r="D7" s="2" t="s">
        <v>6</v>
      </c>
      <c r="E7" s="3" t="s">
        <v>7</v>
      </c>
      <c r="F7" s="3" t="s">
        <v>8</v>
      </c>
      <c r="G7" s="3" t="s">
        <v>9</v>
      </c>
      <c r="I7" s="28" t="str">
        <f>CONCATENATE("Description: "," ##334#",B7,"##334#",)</f>
        <v>Description:  ##334#Diagnosis
Maturity Level: 2 - Ready for Review##334#</v>
      </c>
    </row>
    <row r="8" spans="1:11" x14ac:dyDescent="0.75">
      <c r="A8" s="8">
        <v>1</v>
      </c>
      <c r="B8" s="8" t="s">
        <v>12</v>
      </c>
      <c r="C8" s="8" t="s">
        <v>10</v>
      </c>
      <c r="D8" s="17" t="s">
        <v>882</v>
      </c>
      <c r="E8" s="8">
        <v>1</v>
      </c>
      <c r="F8" s="8" t="s">
        <v>851</v>
      </c>
      <c r="G8" s="8" t="s">
        <v>0</v>
      </c>
      <c r="H8" s="25"/>
      <c r="I8" s="17" t="str">
        <f>CONCATENATE("* ",B8, " ",E8,"..",F8," ",G8," ##34#",C8,"##34# ##334#",D8,"##334#")</f>
        <v>* identifier 1..* Identifier ##34#ID##34# ##334#diagnosis identifier##334#</v>
      </c>
    </row>
    <row r="9" spans="1:11" ht="103.25" x14ac:dyDescent="0.75">
      <c r="A9" s="8">
        <v>2</v>
      </c>
      <c r="B9" s="8" t="s">
        <v>883</v>
      </c>
      <c r="C9" s="8" t="s">
        <v>884</v>
      </c>
      <c r="D9" s="17" t="s">
        <v>885</v>
      </c>
      <c r="E9" s="8">
        <v>0</v>
      </c>
      <c r="F9" s="8" t="s">
        <v>851</v>
      </c>
      <c r="G9" s="8" t="s">
        <v>841</v>
      </c>
      <c r="H9" s="25"/>
      <c r="I9" s="17" t="str">
        <f t="shared" ref="I9:I41" si="0">CONCATENATE("* ",B9, " ",E9,"..",F9," ",G9," ##34#",C9,"##34# ##334#",D9,"##334#")</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1:11" ht="132.75" x14ac:dyDescent="0.75">
      <c r="A10" s="8">
        <v>3</v>
      </c>
      <c r="B10" s="8" t="s">
        <v>886</v>
      </c>
      <c r="C10" s="17" t="s">
        <v>887</v>
      </c>
      <c r="D10" s="17" t="s">
        <v>888</v>
      </c>
      <c r="E10" s="8">
        <v>0</v>
      </c>
      <c r="F10" s="8" t="s">
        <v>851</v>
      </c>
      <c r="G10" s="8" t="s">
        <v>841</v>
      </c>
      <c r="H10" s="25"/>
      <c r="I10" s="17" t="str">
        <f t="shared" si="0"/>
        <v>* centerOfDiagnosis 0..* BackboneElement ##34#Center of diagnosis##34# ##334#Institution in which the diagnosis was made.##334#</v>
      </c>
    </row>
    <row r="11" spans="1:11" ht="44.25" x14ac:dyDescent="0.75">
      <c r="A11" s="8">
        <v>4</v>
      </c>
      <c r="B11" s="8" t="s">
        <v>889</v>
      </c>
      <c r="C11" s="8" t="s">
        <v>890</v>
      </c>
      <c r="D11" s="17" t="s">
        <v>24</v>
      </c>
      <c r="E11" s="8">
        <v>0</v>
      </c>
      <c r="F11" s="8">
        <v>1</v>
      </c>
      <c r="G11" s="8" t="s">
        <v>0</v>
      </c>
      <c r="H11" s="25"/>
      <c r="I11" s="17" t="str">
        <f t="shared" si="0"/>
        <v>* centerOfDiagnosis.identifier 0..1 Identifier ##34#Center code##34# ##334#Code of the institution in which the diagnosis was made.
IN AIEOP thus information is retrievable from the Mod.1.01 database##334#</v>
      </c>
    </row>
    <row r="12" spans="1:11" ht="29.5" x14ac:dyDescent="0.75">
      <c r="A12" s="8">
        <v>5</v>
      </c>
      <c r="B12" s="8" t="s">
        <v>891</v>
      </c>
      <c r="C12" s="8" t="s">
        <v>892</v>
      </c>
      <c r="D12" s="17" t="s">
        <v>892</v>
      </c>
      <c r="E12" s="8">
        <v>0</v>
      </c>
      <c r="F12" s="8">
        <v>1</v>
      </c>
      <c r="G12" s="88" t="s">
        <v>2</v>
      </c>
      <c r="H12" s="25"/>
      <c r="I12" s="17" t="str">
        <f t="shared" si="0"/>
        <v>* centerOfDiagnosis.name 0..1 string ##34#Center name##34# ##334#Center name##334#</v>
      </c>
    </row>
    <row r="13" spans="1:11" ht="29.5" x14ac:dyDescent="0.75">
      <c r="A13" s="8">
        <v>6</v>
      </c>
      <c r="B13" s="8" t="s">
        <v>893</v>
      </c>
      <c r="C13" s="8" t="s">
        <v>894</v>
      </c>
      <c r="D13" s="17" t="s">
        <v>894</v>
      </c>
      <c r="E13" s="8">
        <v>0</v>
      </c>
      <c r="F13" s="8">
        <v>1</v>
      </c>
      <c r="G13" s="8" t="s">
        <v>2</v>
      </c>
      <c r="H13" s="25"/>
      <c r="I13" s="17" t="str">
        <f t="shared" si="0"/>
        <v>* centerOfDiagnosis.city 0..1 string ##34#Center city##34# ##334#Center city##334#</v>
      </c>
    </row>
    <row r="14" spans="1:11" ht="29.5" x14ac:dyDescent="0.75">
      <c r="A14" s="8">
        <v>7</v>
      </c>
      <c r="B14" s="8" t="s">
        <v>895</v>
      </c>
      <c r="C14" s="8" t="s">
        <v>896</v>
      </c>
      <c r="D14" s="17" t="s">
        <v>896</v>
      </c>
      <c r="E14" s="8">
        <v>1</v>
      </c>
      <c r="F14" s="8">
        <v>1</v>
      </c>
      <c r="G14" s="8" t="s">
        <v>2</v>
      </c>
      <c r="H14" s="25"/>
      <c r="I14" s="17" t="str">
        <f t="shared" si="0"/>
        <v>* centerOfDiagnosis.country 1..1 string ##34#Center country##34# ##334#Center country##334#</v>
      </c>
    </row>
    <row r="15" spans="1:11" ht="44.25" x14ac:dyDescent="0.75">
      <c r="A15" s="8">
        <v>8</v>
      </c>
      <c r="B15" s="8" t="s">
        <v>897</v>
      </c>
      <c r="C15" s="8" t="s">
        <v>898</v>
      </c>
      <c r="D15" s="17" t="s">
        <v>25</v>
      </c>
      <c r="E15" s="8">
        <v>0</v>
      </c>
      <c r="F15" s="8">
        <v>1</v>
      </c>
      <c r="G15" s="8" t="s">
        <v>841</v>
      </c>
      <c r="H15" s="25"/>
      <c r="I15" s="17" t="str">
        <f t="shared" si="0"/>
        <v>* primaryTreatmentCenter 0..1 BackboneElement ##34#Primary treatment center##34# ##334#Report here the institution in which most of the treatment was given##334#</v>
      </c>
      <c r="J15" s="21"/>
      <c r="K15" s="8"/>
    </row>
    <row r="16" spans="1:11" ht="29.5" x14ac:dyDescent="0.75">
      <c r="A16" s="8">
        <v>9</v>
      </c>
      <c r="B16" s="8" t="s">
        <v>899</v>
      </c>
      <c r="C16" s="8" t="s">
        <v>900</v>
      </c>
      <c r="D16" s="17" t="s">
        <v>900</v>
      </c>
      <c r="E16" s="88">
        <v>0</v>
      </c>
      <c r="F16" s="8">
        <v>1</v>
      </c>
      <c r="G16" s="8" t="s">
        <v>2</v>
      </c>
      <c r="I16" s="17" t="str">
        <f t="shared" si="0"/>
        <v>* primaryTreatmentCenter.name 0..1 string ##34#Primary treatment center name##34# ##334#Primary treatment center name##334#</v>
      </c>
    </row>
    <row r="17" spans="1:9" ht="29.5" x14ac:dyDescent="0.75">
      <c r="A17" s="8">
        <v>10</v>
      </c>
      <c r="B17" s="8" t="s">
        <v>901</v>
      </c>
      <c r="C17" s="8" t="s">
        <v>902</v>
      </c>
      <c r="D17" s="17" t="s">
        <v>902</v>
      </c>
      <c r="E17" s="8">
        <v>0</v>
      </c>
      <c r="F17" s="8">
        <v>1</v>
      </c>
      <c r="G17" s="8" t="s">
        <v>2</v>
      </c>
      <c r="I17" s="17" t="str">
        <f t="shared" si="0"/>
        <v>* primaryTreatmentCenter.city 0..1 string ##34#Primary treatment center city##34# ##334#Primary treatment center city##334#</v>
      </c>
    </row>
    <row r="18" spans="1:9" ht="29.5" x14ac:dyDescent="0.75">
      <c r="A18" s="8">
        <v>11</v>
      </c>
      <c r="B18" s="8" t="s">
        <v>903</v>
      </c>
      <c r="C18" s="8" t="s">
        <v>904</v>
      </c>
      <c r="D18" s="17" t="s">
        <v>904</v>
      </c>
      <c r="E18" s="8">
        <v>0</v>
      </c>
      <c r="F18" s="8">
        <v>1</v>
      </c>
      <c r="G18" s="8" t="s">
        <v>2</v>
      </c>
      <c r="I18" s="17" t="str">
        <f t="shared" si="0"/>
        <v>* primaryTreatmentCenter.country 0..1 string ##34#Primary treatment center country##34# ##334#Primary treatment center country##334#</v>
      </c>
    </row>
    <row r="19" spans="1:9" ht="29.5" x14ac:dyDescent="0.75">
      <c r="A19" s="8">
        <v>12</v>
      </c>
      <c r="B19" s="8" t="s">
        <v>905</v>
      </c>
      <c r="C19" s="8" t="s">
        <v>26</v>
      </c>
      <c r="D19" s="17" t="s">
        <v>26</v>
      </c>
      <c r="E19" s="8">
        <v>1</v>
      </c>
      <c r="F19" s="8" t="s">
        <v>851</v>
      </c>
      <c r="G19" s="8" t="s">
        <v>906</v>
      </c>
      <c r="I19" s="17" t="str">
        <f t="shared" si="0"/>
        <v>* dateOfArrivalAtCenter 1..* dateTime ##34#Date of arrival to our institution##34# ##334#Date of arrival to our institution##334#</v>
      </c>
    </row>
    <row r="20" spans="1:9" ht="44.25" x14ac:dyDescent="0.75">
      <c r="A20" s="8">
        <v>13</v>
      </c>
      <c r="B20" s="8" t="s">
        <v>907</v>
      </c>
      <c r="C20" s="8" t="s">
        <v>27</v>
      </c>
      <c r="D20" s="17" t="s">
        <v>908</v>
      </c>
      <c r="E20" s="8">
        <v>0</v>
      </c>
      <c r="F20" s="8" t="s">
        <v>851</v>
      </c>
      <c r="G20" s="8" t="s">
        <v>1</v>
      </c>
      <c r="I20" s="17" t="str">
        <f t="shared" si="0"/>
        <v>* diagnosticGroup 0..* CodeableConcept ##34#Diagnostic Group##34# ##334#Diagnostic Group. ICCC-3 Classification (Main and Extended classification tables)##334#</v>
      </c>
    </row>
    <row r="21" spans="1:9" ht="103.25" x14ac:dyDescent="0.75">
      <c r="A21" s="8">
        <v>14</v>
      </c>
      <c r="B21" s="8" t="s">
        <v>909</v>
      </c>
      <c r="C21" s="8" t="s">
        <v>18</v>
      </c>
      <c r="D21" s="17" t="s">
        <v>910</v>
      </c>
      <c r="E21" s="8">
        <v>0</v>
      </c>
      <c r="F21" s="8" t="s">
        <v>851</v>
      </c>
      <c r="G21" s="8" t="s">
        <v>1</v>
      </c>
      <c r="I21" s="17" t="str">
        <f t="shared" si="0"/>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1:9" ht="44.25" x14ac:dyDescent="0.75">
      <c r="A22" s="8">
        <v>15</v>
      </c>
      <c r="B22" s="8" t="s">
        <v>911</v>
      </c>
      <c r="C22" s="8" t="s">
        <v>912</v>
      </c>
      <c r="D22" s="17" t="s">
        <v>913</v>
      </c>
      <c r="E22" s="8">
        <v>0</v>
      </c>
      <c r="F22" s="8" t="s">
        <v>851</v>
      </c>
      <c r="G22" s="8" t="s">
        <v>1</v>
      </c>
      <c r="I22" s="17" t="str">
        <f t="shared" si="0"/>
        <v>* tumorBehaviour 0..* CodeableConcept ##34#Tumour behaviour (ICD-O-3 type)##34# ##334#Tumour behaviour. Automatically generated by the system for benign tumors##334#</v>
      </c>
    </row>
    <row r="23" spans="1:9" ht="29.5" x14ac:dyDescent="0.75">
      <c r="A23" s="8">
        <v>16</v>
      </c>
      <c r="B23" s="8" t="s">
        <v>914</v>
      </c>
      <c r="C23" s="8" t="s">
        <v>915</v>
      </c>
      <c r="D23" s="17" t="s">
        <v>915</v>
      </c>
      <c r="E23" s="8">
        <v>0</v>
      </c>
      <c r="F23" s="8">
        <v>1</v>
      </c>
      <c r="G23" s="8" t="s">
        <v>2</v>
      </c>
      <c r="I23" s="17" t="str">
        <f t="shared" si="0"/>
        <v>* description 0..1 string ##34#Diagnosis description##34# ##334#Diagnosis description##334#</v>
      </c>
    </row>
    <row r="24" spans="1:9" x14ac:dyDescent="0.75">
      <c r="A24" s="8">
        <v>17</v>
      </c>
      <c r="B24" s="8" t="s">
        <v>71</v>
      </c>
      <c r="C24" s="8" t="s">
        <v>916</v>
      </c>
      <c r="D24" s="17" t="s">
        <v>917</v>
      </c>
      <c r="E24" s="8">
        <v>0</v>
      </c>
      <c r="F24" s="8" t="s">
        <v>851</v>
      </c>
      <c r="G24" s="8" t="s">
        <v>841</v>
      </c>
      <c r="I24" s="17" t="str">
        <f t="shared" si="0"/>
        <v>* site 0..* BackboneElement ##34#Site##34# ##334#Site of the tumor##334#</v>
      </c>
    </row>
    <row r="25" spans="1:9" ht="73.75" x14ac:dyDescent="0.75">
      <c r="A25" s="8">
        <v>18</v>
      </c>
      <c r="B25" s="8" t="s">
        <v>918</v>
      </c>
      <c r="C25" s="8" t="s">
        <v>919</v>
      </c>
      <c r="D25" s="17" t="s">
        <v>920</v>
      </c>
      <c r="E25" s="8">
        <v>0</v>
      </c>
      <c r="F25" s="8" t="s">
        <v>851</v>
      </c>
      <c r="G25" s="8" t="s">
        <v>1</v>
      </c>
      <c r="I25" s="17" t="str">
        <f t="shared" si="0"/>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1:9" ht="29.5" x14ac:dyDescent="0.75">
      <c r="A26" s="8">
        <v>19</v>
      </c>
      <c r="B26" s="8" t="s">
        <v>921</v>
      </c>
      <c r="C26" s="8" t="s">
        <v>922</v>
      </c>
      <c r="D26" s="17" t="s">
        <v>923</v>
      </c>
      <c r="E26" s="8">
        <v>0</v>
      </c>
      <c r="F26" s="8" t="s">
        <v>851</v>
      </c>
      <c r="G26" s="8" t="s">
        <v>2</v>
      </c>
      <c r="I26" s="17" t="str">
        <f t="shared" si="0"/>
        <v>* site.description 0..* string ##34#Site description##34# ##334#Site description . Free text to report the site of the tumor##334#</v>
      </c>
    </row>
    <row r="27" spans="1:9" ht="29.5" x14ac:dyDescent="0.75">
      <c r="A27" s="8">
        <v>20</v>
      </c>
      <c r="B27" s="8" t="s">
        <v>924</v>
      </c>
      <c r="C27" s="8" t="s">
        <v>925</v>
      </c>
      <c r="D27" s="17" t="s">
        <v>925</v>
      </c>
      <c r="E27" s="8">
        <v>0</v>
      </c>
      <c r="F27" s="8" t="s">
        <v>851</v>
      </c>
      <c r="G27" s="8" t="s">
        <v>1</v>
      </c>
      <c r="I27" s="17" t="str">
        <f t="shared" si="0"/>
        <v>* laterality 0..* CodeableConcept ##34#Laterality##34# ##334#Laterality##334#</v>
      </c>
    </row>
    <row r="28" spans="1:9" ht="44.25" x14ac:dyDescent="0.75">
      <c r="A28" s="8">
        <v>21</v>
      </c>
      <c r="B28" s="8" t="s">
        <v>926</v>
      </c>
      <c r="C28" s="8" t="s">
        <v>28</v>
      </c>
      <c r="D28" s="17" t="s">
        <v>29</v>
      </c>
      <c r="E28" s="8">
        <v>0</v>
      </c>
      <c r="F28" s="8" t="s">
        <v>851</v>
      </c>
      <c r="G28" s="8" t="s">
        <v>841</v>
      </c>
      <c r="I28" s="17" t="str">
        <f t="shared" si="0"/>
        <v>* metastasis 0..* BackboneElement ##34#Metastatic##34# ##334#Some tumors may be either localized (e.g. stage III neuroblastoma) or metastatic. Please specify.##334#</v>
      </c>
    </row>
    <row r="29" spans="1:9" ht="29.5" x14ac:dyDescent="0.75">
      <c r="A29" s="8">
        <v>22</v>
      </c>
      <c r="B29" s="8" t="s">
        <v>927</v>
      </c>
      <c r="C29" s="8" t="s">
        <v>928</v>
      </c>
      <c r="D29" s="17" t="s">
        <v>30</v>
      </c>
      <c r="E29" s="8">
        <v>0</v>
      </c>
      <c r="F29" s="8" t="s">
        <v>851</v>
      </c>
      <c r="G29" s="8" t="s">
        <v>929</v>
      </c>
      <c r="I29" s="17" t="str">
        <f t="shared" si="0"/>
        <v>* metastasis.identifier 0..* integer ##34#Metastasis id##34# ##334#Number of metastases##334#</v>
      </c>
    </row>
    <row r="30" spans="1:9" ht="44.25" x14ac:dyDescent="0.75">
      <c r="A30" s="8">
        <v>23</v>
      </c>
      <c r="B30" s="8" t="s">
        <v>930</v>
      </c>
      <c r="C30" s="8" t="s">
        <v>931</v>
      </c>
      <c r="D30" s="17" t="s">
        <v>932</v>
      </c>
      <c r="E30" s="8">
        <v>0</v>
      </c>
      <c r="F30" s="8" t="s">
        <v>851</v>
      </c>
      <c r="G30" s="8" t="s">
        <v>841</v>
      </c>
      <c r="I30" s="17" t="str">
        <f t="shared" si="0"/>
        <v>* metastasis.site 0..* BackboneElement ##34#Metastasis site##34# ##334#Please report here the site(s) of metastases detected at diagnosis.##334#</v>
      </c>
    </row>
    <row r="31" spans="1:9" ht="44.25" x14ac:dyDescent="0.75">
      <c r="A31" s="8">
        <v>24</v>
      </c>
      <c r="B31" s="8" t="s">
        <v>933</v>
      </c>
      <c r="C31" s="8" t="s">
        <v>934</v>
      </c>
      <c r="D31" s="17" t="s">
        <v>935</v>
      </c>
      <c r="E31" s="8">
        <v>0</v>
      </c>
      <c r="F31" s="8" t="s">
        <v>851</v>
      </c>
      <c r="G31" s="8" t="s">
        <v>1</v>
      </c>
      <c r="I31" s="17" t="str">
        <f t="shared" si="0"/>
        <v>* metastasis.site.code 0..* CodeableConcept ##34#Metastasis site code##34# ##334#Metastases detected at diagnosis (using ICD-O-3 Topography). If site(s) is unknown, code C80.9##334#</v>
      </c>
    </row>
    <row r="32" spans="1:9" ht="29.5" x14ac:dyDescent="0.75">
      <c r="A32" s="8">
        <v>25</v>
      </c>
      <c r="B32" s="8" t="s">
        <v>936</v>
      </c>
      <c r="C32" s="8" t="s">
        <v>31</v>
      </c>
      <c r="D32" s="17" t="s">
        <v>31</v>
      </c>
      <c r="E32" s="8">
        <v>0</v>
      </c>
      <c r="F32" s="8" t="s">
        <v>851</v>
      </c>
      <c r="G32" s="8" t="s">
        <v>2</v>
      </c>
      <c r="I32" s="17" t="str">
        <f t="shared" si="0"/>
        <v>* metastasis.site.description 0..* string ##34#Additional description of sites of metastatis##34# ##334#Additional description of sites of metastatis##334#</v>
      </c>
    </row>
    <row r="33" spans="1:9" ht="59" x14ac:dyDescent="0.75">
      <c r="A33" s="8">
        <v>26</v>
      </c>
      <c r="B33" s="8" t="s">
        <v>937</v>
      </c>
      <c r="C33" s="8" t="s">
        <v>938</v>
      </c>
      <c r="D33" s="17" t="s">
        <v>32</v>
      </c>
      <c r="E33" s="8">
        <v>0</v>
      </c>
      <c r="F33" s="8">
        <v>1</v>
      </c>
      <c r="G33" s="8" t="s">
        <v>2</v>
      </c>
      <c r="I33" s="17" t="str">
        <f t="shared" si="0"/>
        <v>* geneticMarkers 0..1 string ##34#Genetic markers(text)##34# ##334#Please report here any genetic marker: chromosomal alterations (e.g. translocation, deletions, duplications); or other types of genetic alterations (amplification, deletion, mutation)##334#</v>
      </c>
    </row>
    <row r="34" spans="1:9" ht="88.5" x14ac:dyDescent="0.75">
      <c r="A34" s="8">
        <v>27</v>
      </c>
      <c r="B34" s="8" t="s">
        <v>939</v>
      </c>
      <c r="C34" s="8" t="s">
        <v>33</v>
      </c>
      <c r="D34" s="17" t="s">
        <v>940</v>
      </c>
      <c r="E34" s="8">
        <v>0</v>
      </c>
      <c r="F34" s="8">
        <v>1</v>
      </c>
      <c r="G34" s="8" t="s">
        <v>2</v>
      </c>
      <c r="I34" s="17" t="str">
        <f t="shared" si="0"/>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1:9" ht="73.75" x14ac:dyDescent="0.75">
      <c r="A35" s="8">
        <v>28</v>
      </c>
      <c r="B35" s="8" t="s">
        <v>941</v>
      </c>
      <c r="C35" s="8" t="s">
        <v>942</v>
      </c>
      <c r="D35" s="17" t="s">
        <v>943</v>
      </c>
      <c r="E35" s="8">
        <v>0</v>
      </c>
      <c r="F35" s="8" t="s">
        <v>851</v>
      </c>
      <c r="G35" s="8" t="s">
        <v>1</v>
      </c>
      <c r="I35" s="17" t="str">
        <f t="shared" si="0"/>
        <v>* immunology 0..* CodeableConcept ##34#Immunology##34# ##334#Immunology . This is a free text field. Report here, if applicable (e.g. leukemias) the immunophenotype of the disease (sometimes already reported in the ICD-O-3 Morphology coding). If immunology is unknown, specify 'NK'##334#</v>
      </c>
    </row>
    <row r="36" spans="1:9" ht="132.75" x14ac:dyDescent="0.75">
      <c r="A36" s="8">
        <v>29</v>
      </c>
      <c r="B36" s="8" t="s">
        <v>944</v>
      </c>
      <c r="C36" s="8" t="s">
        <v>945</v>
      </c>
      <c r="D36" s="17" t="s">
        <v>946</v>
      </c>
      <c r="E36" s="8">
        <v>0</v>
      </c>
      <c r="F36" s="8" t="s">
        <v>851</v>
      </c>
      <c r="G36" s="8" t="s">
        <v>1</v>
      </c>
      <c r="I36" s="17" t="str">
        <f t="shared" si="0"/>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1:9" x14ac:dyDescent="0.75">
      <c r="A37" s="8">
        <v>30</v>
      </c>
      <c r="B37" s="8" t="s">
        <v>947</v>
      </c>
      <c r="C37" s="89" t="s">
        <v>35</v>
      </c>
      <c r="D37" s="89" t="s">
        <v>35</v>
      </c>
      <c r="E37" s="8">
        <v>0</v>
      </c>
      <c r="F37" s="8" t="s">
        <v>851</v>
      </c>
      <c r="G37" s="8" t="s">
        <v>2</v>
      </c>
      <c r="I37" s="17" t="str">
        <f t="shared" si="0"/>
        <v>* notes 0..* string ##34#Notes##34# ##334#Notes##334#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5E0E-95FB-4D73-B3CA-F4CBA7CB89FC}">
  <sheetPr codeName="Foglio31"/>
  <dimension ref="A1:O52"/>
  <sheetViews>
    <sheetView workbookViewId="0">
      <selection activeCell="C6" sqref="C6"/>
    </sheetView>
  </sheetViews>
  <sheetFormatPr defaultRowHeight="14.75" x14ac:dyDescent="0.75"/>
  <cols>
    <col min="2" max="2" width="31.6796875" bestFit="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16" t="s">
        <v>77</v>
      </c>
      <c r="C4" s="90" t="s">
        <v>1020</v>
      </c>
      <c r="E4" s="30" t="str">
        <f>CONCATENATE("Mapping: ",C4)</f>
        <v>Mapping: Diagnosis2Fhir</v>
      </c>
      <c r="H4" s="9"/>
      <c r="I4" s="9"/>
      <c r="J4" s="9"/>
      <c r="K4" s="9"/>
      <c r="L4" s="9"/>
      <c r="M4" s="9"/>
      <c r="N4" s="9"/>
      <c r="O4" s="9"/>
    </row>
    <row r="5" spans="1:15" ht="15.5" thickBot="1" x14ac:dyDescent="0.9">
      <c r="B5" s="16" t="s">
        <v>76</v>
      </c>
      <c r="C5" s="93" t="s">
        <v>15</v>
      </c>
      <c r="E5" s="31" t="str">
        <f>CONCATENATE("Id: ",C5)</f>
        <v>Id: fhir</v>
      </c>
      <c r="G5" s="1"/>
      <c r="H5" s="9"/>
      <c r="I5" s="9"/>
      <c r="J5" s="9"/>
      <c r="K5" s="9"/>
      <c r="L5" s="9"/>
      <c r="M5" s="9"/>
      <c r="N5" s="9"/>
      <c r="O5" s="9"/>
    </row>
    <row r="6" spans="1:15" ht="15.5" thickBot="1" x14ac:dyDescent="0.9">
      <c r="B6" s="16" t="s">
        <v>11</v>
      </c>
      <c r="C6" s="1" t="str">
        <f>C7 &amp;  " model to PCSP HL7 FHIR R4 Profiles"</f>
        <v>Diagnosis model to PCSP HL7 FHIR R4 Profiles</v>
      </c>
      <c r="E6" s="31" t="str">
        <f>CONCATENATE("Title: ##34#",C6,"##34#")</f>
        <v>Title: ##34#Diagnosis model to PCSP HL7 FHIR R4 Profiles##34#</v>
      </c>
      <c r="G6" s="1"/>
      <c r="H6" s="9"/>
      <c r="I6" s="9"/>
      <c r="J6" s="9"/>
      <c r="K6" s="9"/>
      <c r="L6" s="9"/>
      <c r="M6" s="9"/>
      <c r="N6" s="9"/>
      <c r="O6" s="9"/>
    </row>
    <row r="7" spans="1:15" ht="15.5" thickBot="1" x14ac:dyDescent="0.9">
      <c r="B7" s="16" t="s">
        <v>78</v>
      </c>
      <c r="C7" s="91" t="str">
        <f>B9</f>
        <v>Diagnosis</v>
      </c>
      <c r="E7" s="31" t="str">
        <f>CONCATENATE("Source: ",C7)</f>
        <v>Source: Diagnosis</v>
      </c>
      <c r="G7" s="1"/>
      <c r="H7" s="9"/>
      <c r="I7" s="9"/>
      <c r="J7" s="9"/>
      <c r="K7" s="9"/>
      <c r="L7" s="9"/>
      <c r="M7" s="9"/>
      <c r="N7" s="9"/>
      <c r="O7" s="9"/>
    </row>
    <row r="8" spans="1:15" ht="15.5" thickBot="1" x14ac:dyDescent="0.9">
      <c r="B8" s="29" t="s">
        <v>73</v>
      </c>
      <c r="C8" s="1" t="s">
        <v>14</v>
      </c>
      <c r="E8" s="32" t="str">
        <f>CONCATENATE("Target: ##34#",C8,"##34#")</f>
        <v>Target: ##34#hl7.org/fhir/r4##34#</v>
      </c>
      <c r="G8" s="1"/>
      <c r="H8" s="9"/>
      <c r="I8" s="9"/>
      <c r="J8" s="9"/>
      <c r="K8" s="9"/>
      <c r="L8" s="9"/>
      <c r="M8" s="9"/>
      <c r="N8" s="9"/>
      <c r="O8" s="9"/>
    </row>
    <row r="9" spans="1:15" ht="44.25" x14ac:dyDescent="0.75">
      <c r="A9" s="8"/>
      <c r="B9" s="8" t="str">
        <f>Diag!B5</f>
        <v>Diagnosis</v>
      </c>
      <c r="C9" s="4" t="s">
        <v>948</v>
      </c>
      <c r="E9" s="4" t="str">
        <f>CONCATENATE("* . -&gt; ##34#",C9,"##34#")</f>
        <v>* . -&gt; ##34#Condition.conformsTo('http://hl7.eu/fhir/ig/pcsp/StructureDefinition/Condition-primaryCancer-eu-pcsp')##34#</v>
      </c>
      <c r="H9" s="9"/>
      <c r="I9" s="9"/>
      <c r="J9" s="9"/>
      <c r="K9" s="9"/>
      <c r="L9" s="9"/>
      <c r="M9" s="9"/>
      <c r="N9" s="9"/>
      <c r="O9" s="9"/>
    </row>
    <row r="10" spans="1:15" x14ac:dyDescent="0.75">
      <c r="A10" s="8"/>
      <c r="B10" s="8" t="str">
        <f>Diag!B8</f>
        <v>identifier</v>
      </c>
      <c r="C10" s="20" t="s">
        <v>74</v>
      </c>
      <c r="E10" s="17" t="str">
        <f>CONCATENATE("* ",B10," -&gt; ##34#",C10,"##34#")</f>
        <v>* identifier -&gt; ##34#.identifier##34#</v>
      </c>
      <c r="G10" s="1"/>
      <c r="H10" s="9"/>
      <c r="I10" s="9"/>
      <c r="J10" s="9"/>
      <c r="K10" s="9"/>
      <c r="L10" s="9"/>
      <c r="M10" s="9"/>
      <c r="N10" s="9"/>
      <c r="O10" s="9"/>
    </row>
    <row r="11" spans="1:15" ht="29.5" x14ac:dyDescent="0.75">
      <c r="A11" s="8"/>
      <c r="B11" s="8" t="str">
        <f>Diag!B9</f>
        <v>dateOfDiagnosis</v>
      </c>
      <c r="C11" s="20" t="s">
        <v>949</v>
      </c>
      <c r="E11" s="17" t="str">
        <f t="shared" ref="E11:E52" si="0">CONCATENATE("* ",B11," -&gt; ##34#",C11,"##34#")</f>
        <v>* dateOfDiagnosis -&gt; ##34#.extension('condition-assertedDate').valueDateTime##34#</v>
      </c>
      <c r="G11" s="1"/>
      <c r="H11" s="9"/>
      <c r="I11" s="9"/>
      <c r="J11" s="9"/>
      <c r="K11" s="9"/>
      <c r="L11" s="9"/>
      <c r="M11" s="9"/>
      <c r="N11" s="9"/>
      <c r="O11" s="9"/>
    </row>
    <row r="12" spans="1:15" ht="44.25" x14ac:dyDescent="0.75">
      <c r="A12" s="8"/>
      <c r="B12" s="8" t="str">
        <f>Diag!B10</f>
        <v>centerOfDiagnosis</v>
      </c>
      <c r="C12" s="20" t="s">
        <v>950</v>
      </c>
      <c r="E12" s="17" t="str">
        <f t="shared" si="0"/>
        <v>* centerOfDiagnosis -&gt; ##34#Observation.conformsTo('http://hl7.eu/fhir/ig/pcsp/StructureDefinition/Observation-diagnosis-eu-pcsp').performer##34#</v>
      </c>
      <c r="G12" s="1"/>
      <c r="H12" s="9"/>
      <c r="I12" s="9"/>
      <c r="J12" s="9"/>
      <c r="K12" s="9"/>
      <c r="L12" s="9"/>
      <c r="M12" s="9"/>
      <c r="N12" s="9"/>
      <c r="O12" s="9"/>
    </row>
    <row r="13" spans="1:15" ht="29.5" x14ac:dyDescent="0.75">
      <c r="A13" s="8"/>
      <c r="B13" s="8" t="str">
        <f>Diag!B11</f>
        <v>centerOfDiagnosis.identifier</v>
      </c>
      <c r="C13" s="20" t="s">
        <v>1005</v>
      </c>
      <c r="E13" s="17" t="str">
        <f t="shared" si="0"/>
        <v>* centerOfDiagnosis.identifier -&gt; ##34#Observation.performer.resolve().identifier##34#</v>
      </c>
      <c r="G13" s="1"/>
      <c r="H13" s="9"/>
      <c r="I13" s="9"/>
      <c r="J13" s="9"/>
      <c r="K13" s="9"/>
      <c r="L13" s="9"/>
      <c r="M13" s="9"/>
      <c r="N13" s="9"/>
      <c r="O13" s="9"/>
    </row>
    <row r="14" spans="1:15" x14ac:dyDescent="0.75">
      <c r="A14" s="8"/>
      <c r="B14" s="8" t="str">
        <f>Diag!B11</f>
        <v>centerOfDiagnosis.identifier</v>
      </c>
      <c r="C14" s="20" t="s">
        <v>1006</v>
      </c>
      <c r="E14" s="17" t="str">
        <f t="shared" si="0"/>
        <v>* centerOfDiagnosis.identifier -&gt; ##34#Observation.performer.identifier##34#</v>
      </c>
      <c r="G14" s="1"/>
      <c r="H14" s="9"/>
      <c r="I14" s="9"/>
      <c r="J14" s="9"/>
      <c r="K14" s="9"/>
      <c r="L14" s="9"/>
      <c r="M14" s="9"/>
      <c r="N14" s="9"/>
      <c r="O14" s="9"/>
    </row>
    <row r="15" spans="1:15" x14ac:dyDescent="0.75">
      <c r="A15" s="8"/>
      <c r="B15" s="8" t="str">
        <f>Diag!B12</f>
        <v>centerOfDiagnosis.name</v>
      </c>
      <c r="C15" s="20" t="s">
        <v>1003</v>
      </c>
      <c r="E15" s="17" t="str">
        <f t="shared" si="0"/>
        <v>* centerOfDiagnosis.name -&gt; ##34#Observation.performer.resolve().name##34#</v>
      </c>
      <c r="G15" s="1"/>
      <c r="H15" s="9"/>
      <c r="I15" s="9"/>
      <c r="J15" s="9"/>
      <c r="K15" s="9"/>
      <c r="L15" s="9"/>
      <c r="M15" s="9"/>
      <c r="N15" s="9"/>
      <c r="O15" s="9"/>
    </row>
    <row r="16" spans="1:15" x14ac:dyDescent="0.75">
      <c r="A16" s="8"/>
      <c r="B16" s="8" t="str">
        <f>Diag!B12</f>
        <v>centerOfDiagnosis.name</v>
      </c>
      <c r="C16" s="20" t="s">
        <v>1004</v>
      </c>
      <c r="E16" s="17" t="str">
        <f t="shared" si="0"/>
        <v>* centerOfDiagnosis.name -&gt; ##34#Observation.performer.display##34#</v>
      </c>
      <c r="G16" s="1"/>
      <c r="H16" s="9"/>
      <c r="I16" s="9"/>
      <c r="J16" s="9"/>
      <c r="K16" s="9"/>
      <c r="L16" s="9"/>
      <c r="M16" s="9"/>
      <c r="N16" s="9"/>
      <c r="O16" s="9"/>
    </row>
    <row r="17" spans="1:15" x14ac:dyDescent="0.75">
      <c r="A17" s="8"/>
      <c r="B17" s="8" t="str">
        <f>Diag!B13</f>
        <v>centerOfDiagnosis.city</v>
      </c>
      <c r="C17" s="20" t="s">
        <v>951</v>
      </c>
      <c r="E17" s="17" t="str">
        <f t="shared" si="0"/>
        <v>* centerOfDiagnosis.city -&gt; ##34#Observation.performer.resolve().address.city##34#</v>
      </c>
      <c r="G17" s="1"/>
      <c r="H17" s="9"/>
      <c r="I17" s="9"/>
      <c r="J17" s="9"/>
      <c r="K17" s="9"/>
      <c r="L17" s="9"/>
      <c r="M17" s="9"/>
      <c r="N17" s="9"/>
      <c r="O17" s="9"/>
    </row>
    <row r="18" spans="1:15" ht="29.5" x14ac:dyDescent="0.75">
      <c r="A18" s="8"/>
      <c r="B18" s="8" t="str">
        <f>Diag!B14</f>
        <v>centerOfDiagnosis.country</v>
      </c>
      <c r="C18" s="20" t="s">
        <v>952</v>
      </c>
      <c r="E18" s="17" t="str">
        <f t="shared" si="0"/>
        <v>* centerOfDiagnosis.country -&gt; ##34#Observation.performer.resolve().address.country##34#</v>
      </c>
      <c r="G18" s="1"/>
      <c r="H18" s="9"/>
      <c r="I18" s="9"/>
      <c r="J18" s="9"/>
      <c r="K18" s="9"/>
      <c r="L18" s="9"/>
      <c r="M18" s="9"/>
      <c r="N18" s="9"/>
      <c r="O18" s="9"/>
    </row>
    <row r="19" spans="1:15" x14ac:dyDescent="0.75">
      <c r="A19" s="8"/>
      <c r="B19" s="8" t="str">
        <f>Diag!B15</f>
        <v>primaryTreatmentCenter</v>
      </c>
      <c r="C19" s="17" t="s">
        <v>1007</v>
      </c>
      <c r="E19" s="17" t="str">
        <f t="shared" si="0"/>
        <v>* primaryTreatmentCenter -&gt; ##34#Patient.generalPractitioner##34#</v>
      </c>
      <c r="G19" s="1"/>
    </row>
    <row r="20" spans="1:15" x14ac:dyDescent="0.75">
      <c r="A20" s="8"/>
      <c r="B20" s="8" t="str">
        <f>Diag!B15</f>
        <v>primaryTreatmentCenter</v>
      </c>
      <c r="C20" s="17" t="s">
        <v>1008</v>
      </c>
      <c r="E20" s="17" t="str">
        <f t="shared" si="0"/>
        <v>* primaryTreatmentCenter -&gt; ##34#Encounter.serviceProvider##34#</v>
      </c>
      <c r="G20" s="1"/>
    </row>
    <row r="21" spans="1:15" x14ac:dyDescent="0.75">
      <c r="A21" s="8"/>
      <c r="B21" s="8" t="str">
        <f>Diag!B16</f>
        <v>primaryTreatmentCenter.name</v>
      </c>
      <c r="C21" s="17" t="s">
        <v>1009</v>
      </c>
      <c r="E21" s="17" t="str">
        <f t="shared" si="0"/>
        <v>* primaryTreatmentCenter.name -&gt; ##34#Patient.generalPractitioner.display##34#</v>
      </c>
      <c r="G21" s="1"/>
    </row>
    <row r="22" spans="1:15" ht="29.5" x14ac:dyDescent="0.75">
      <c r="A22" s="8"/>
      <c r="B22" s="8" t="str">
        <f>Diag!B16</f>
        <v>primaryTreatmentCenter.name</v>
      </c>
      <c r="C22" s="17" t="s">
        <v>1012</v>
      </c>
      <c r="E22" s="17" t="str">
        <f t="shared" si="0"/>
        <v>* primaryTreatmentCenter.name -&gt; ##34#Patient.generalPractitioner.resolve().name##34#</v>
      </c>
      <c r="G22" s="1"/>
    </row>
    <row r="23" spans="1:15" x14ac:dyDescent="0.75">
      <c r="A23" s="8"/>
      <c r="B23" s="8" t="str">
        <f>Diag!B16</f>
        <v>primaryTreatmentCenter.name</v>
      </c>
      <c r="C23" s="17" t="s">
        <v>1011</v>
      </c>
      <c r="E23" s="17" t="str">
        <f t="shared" si="0"/>
        <v>* primaryTreatmentCenter.name -&gt; ##34#Encounter.serviceProvider.display##34#</v>
      </c>
      <c r="G23" s="1"/>
    </row>
    <row r="24" spans="1:15" ht="29.5" x14ac:dyDescent="0.75">
      <c r="A24" s="8"/>
      <c r="B24" s="8" t="str">
        <f>Diag!B16</f>
        <v>primaryTreatmentCenter.name</v>
      </c>
      <c r="C24" s="17" t="s">
        <v>1010</v>
      </c>
      <c r="E24" s="17" t="str">
        <f t="shared" si="0"/>
        <v>* primaryTreatmentCenter.name -&gt; ##34#Encounter.serviceProvider.resolve().name##34#</v>
      </c>
      <c r="G24" s="1"/>
    </row>
    <row r="25" spans="1:15" ht="29.5" x14ac:dyDescent="0.75">
      <c r="A25" s="8"/>
      <c r="B25" s="8" t="str">
        <f>Diag!B17</f>
        <v>primaryTreatmentCenter.city</v>
      </c>
      <c r="C25" s="17" t="s">
        <v>1013</v>
      </c>
      <c r="E25" s="17" t="str">
        <f t="shared" si="0"/>
        <v>* primaryTreatmentCenter.city -&gt; ##34#Patient.generalPractitioner.resolve().address.city##34#</v>
      </c>
    </row>
    <row r="26" spans="1:15" ht="29.5" x14ac:dyDescent="0.75">
      <c r="A26" s="8"/>
      <c r="B26" s="8" t="str">
        <f>Diag!B17</f>
        <v>primaryTreatmentCenter.city</v>
      </c>
      <c r="C26" s="17" t="s">
        <v>1014</v>
      </c>
      <c r="E26" s="17" t="str">
        <f t="shared" si="0"/>
        <v>* primaryTreatmentCenter.city -&gt; ##34#Encounter.serviceProvider.resolve().address.city##34#</v>
      </c>
    </row>
    <row r="27" spans="1:15" ht="29.5" x14ac:dyDescent="0.75">
      <c r="A27" s="8"/>
      <c r="B27" s="8" t="str">
        <f>Diag!B18</f>
        <v>primaryTreatmentCenter.country</v>
      </c>
      <c r="C27" s="17" t="s">
        <v>1016</v>
      </c>
      <c r="E27" s="17" t="str">
        <f t="shared" si="0"/>
        <v>* primaryTreatmentCenter.country -&gt; ##34#Patient.generalPractitioner.resolve().address.country##34#</v>
      </c>
    </row>
    <row r="28" spans="1:15" ht="29.5" x14ac:dyDescent="0.75">
      <c r="B28" s="8" t="str">
        <f>Diag!B18</f>
        <v>primaryTreatmentCenter.country</v>
      </c>
      <c r="C28" s="17" t="s">
        <v>1015</v>
      </c>
      <c r="E28" s="17" t="str">
        <f t="shared" si="0"/>
        <v>* primaryTreatmentCenter.country -&gt; ##34#Encounter.serviceProvider.resolve().address.country##34#</v>
      </c>
    </row>
    <row r="29" spans="1:15" x14ac:dyDescent="0.75">
      <c r="B29" s="8" t="str">
        <f>Diag!B19</f>
        <v>dateOfArrivalAtCenter</v>
      </c>
      <c r="C29" s="17" t="s">
        <v>953</v>
      </c>
      <c r="E29" s="17" t="str">
        <f t="shared" si="0"/>
        <v>* dateOfArrivalAtCenter -&gt; ##34#Encounter.period.start##34#</v>
      </c>
    </row>
    <row r="30" spans="1:15" x14ac:dyDescent="0.75">
      <c r="B30" s="8" t="str">
        <f>Diag!B20</f>
        <v>diagnosticGroup</v>
      </c>
      <c r="C30" s="20" t="s">
        <v>954</v>
      </c>
      <c r="E30" s="17" t="str">
        <f t="shared" si="0"/>
        <v>* diagnosticGroup -&gt; ##34#Condition.code.coding##34#</v>
      </c>
    </row>
    <row r="31" spans="1:15" ht="29.5" x14ac:dyDescent="0.75">
      <c r="B31" s="8" t="str">
        <f>Diag!B21</f>
        <v>morphologyCode</v>
      </c>
      <c r="C31" s="20" t="s">
        <v>955</v>
      </c>
      <c r="E31" s="17" t="str">
        <f t="shared" si="0"/>
        <v>* morphologyCode -&gt; ##34#Condition.extension('mcode-histology-morphology-behavior').valueCodeableConcept##34#</v>
      </c>
    </row>
    <row r="32" spans="1:15" ht="29.5" x14ac:dyDescent="0.75">
      <c r="B32" s="8" t="str">
        <f>Diag!B22</f>
        <v>tumorBehaviour</v>
      </c>
      <c r="C32" s="20" t="s">
        <v>955</v>
      </c>
      <c r="E32" s="17" t="str">
        <f t="shared" si="0"/>
        <v>* tumorBehaviour -&gt; ##34#Condition.extension('mcode-histology-morphology-behavior').valueCodeableConcept##34#</v>
      </c>
    </row>
    <row r="33" spans="2:5" x14ac:dyDescent="0.75">
      <c r="B33" s="8" t="str">
        <f>Diag!B23</f>
        <v>description</v>
      </c>
      <c r="C33" s="17" t="s">
        <v>1017</v>
      </c>
      <c r="E33" s="17" t="str">
        <f t="shared" si="0"/>
        <v>* description -&gt; ##34#Condition.text##34#</v>
      </c>
    </row>
    <row r="34" spans="2:5" x14ac:dyDescent="0.75">
      <c r="B34" s="8" t="str">
        <f>Diag!B23</f>
        <v>description</v>
      </c>
      <c r="C34" s="17" t="s">
        <v>1018</v>
      </c>
      <c r="E34" s="17" t="str">
        <f t="shared" si="0"/>
        <v>* description -&gt; ##34#Condition.code.text##34#</v>
      </c>
    </row>
    <row r="35" spans="2:5" x14ac:dyDescent="0.75">
      <c r="B35" s="8" t="str">
        <f>Diag!B24</f>
        <v>site</v>
      </c>
      <c r="C35" s="17" t="s">
        <v>956</v>
      </c>
      <c r="E35" s="17" t="str">
        <f t="shared" si="0"/>
        <v>* site -&gt; ##34#Condition.bodySite##34#</v>
      </c>
    </row>
    <row r="36" spans="2:5" x14ac:dyDescent="0.75">
      <c r="B36" s="8" t="str">
        <f>Diag!B25</f>
        <v>site.code</v>
      </c>
      <c r="C36" s="17" t="s">
        <v>957</v>
      </c>
      <c r="E36" s="17" t="str">
        <f t="shared" si="0"/>
        <v>* site.code -&gt; ##34#Condition.bodySite.coding##34#</v>
      </c>
    </row>
    <row r="37" spans="2:5" x14ac:dyDescent="0.75">
      <c r="B37" s="8" t="str">
        <f>Diag!B26</f>
        <v>site.description</v>
      </c>
      <c r="C37" s="17" t="s">
        <v>958</v>
      </c>
      <c r="E37" s="17" t="str">
        <f t="shared" si="0"/>
        <v>* site.description -&gt; ##34#Condition.bodySite.text##34#</v>
      </c>
    </row>
    <row r="38" spans="2:5" ht="29.5" x14ac:dyDescent="0.75">
      <c r="B38" s="8" t="str">
        <f>Diag!B27</f>
        <v>laterality</v>
      </c>
      <c r="C38" s="17" t="s">
        <v>959</v>
      </c>
      <c r="E38" s="17" t="str">
        <f t="shared" si="0"/>
        <v>* laterality -&gt; ##34#Condition.bodySite.extension('mcode-laterality-qualifier').valueCodeableConcept##34#</v>
      </c>
    </row>
    <row r="39" spans="2:5" ht="44.25" x14ac:dyDescent="0.75">
      <c r="B39" s="8" t="str">
        <f>Diag!B28</f>
        <v>metastasis</v>
      </c>
      <c r="C39" s="17" t="s">
        <v>960</v>
      </c>
      <c r="E39" s="17" t="str">
        <f t="shared" si="0"/>
        <v>* metastasis -&gt; ##34#Condition.conformsTo('http://hl7.eu/fhir/ig/pcsp/StructureDefinition/Condition-secondaryCancer-eu-pcsp')##34#</v>
      </c>
    </row>
    <row r="40" spans="2:5" x14ac:dyDescent="0.75">
      <c r="B40" s="8" t="str">
        <f>Diag!B29</f>
        <v>metastasis.identifier</v>
      </c>
      <c r="C40" s="17" t="s">
        <v>74</v>
      </c>
      <c r="E40" s="17" t="str">
        <f t="shared" si="0"/>
        <v>* metastasis.identifier -&gt; ##34#.identifier##34#</v>
      </c>
    </row>
    <row r="41" spans="2:5" x14ac:dyDescent="0.75">
      <c r="B41" s="8" t="str">
        <f>Diag!B30</f>
        <v>metastasis.site</v>
      </c>
      <c r="C41" s="17" t="s">
        <v>75</v>
      </c>
      <c r="E41" s="17" t="str">
        <f t="shared" si="0"/>
        <v>* metastasis.site -&gt; ##34#.bodySite##34#</v>
      </c>
    </row>
    <row r="42" spans="2:5" x14ac:dyDescent="0.75">
      <c r="B42" s="8" t="str">
        <f>Diag!B31</f>
        <v>metastasis.site.code</v>
      </c>
      <c r="C42" s="17" t="s">
        <v>961</v>
      </c>
      <c r="E42" s="17" t="str">
        <f t="shared" si="0"/>
        <v>* metastasis.site.code -&gt; ##34#.bodySite.coding##34#</v>
      </c>
    </row>
    <row r="43" spans="2:5" x14ac:dyDescent="0.75">
      <c r="B43" s="8" t="str">
        <f>Diag!B32</f>
        <v>metastasis.site.description</v>
      </c>
      <c r="C43" s="17" t="s">
        <v>962</v>
      </c>
      <c r="E43" s="17" t="str">
        <f t="shared" si="0"/>
        <v>* metastasis.site.description -&gt; ##34#.bodySite.text##34#</v>
      </c>
    </row>
    <row r="44" spans="2:5" ht="29.5" x14ac:dyDescent="0.75">
      <c r="B44" s="8" t="str">
        <f>Diag!B33</f>
        <v>geneticMarkers</v>
      </c>
      <c r="C44" s="17" t="s">
        <v>963</v>
      </c>
      <c r="E44" s="17" t="str">
        <f t="shared" si="0"/>
        <v>* geneticMarkers -&gt; ##34#Condition.evidence.where(code = http://snomed.info/sct#106221001 'Genetic finding')##34#</v>
      </c>
    </row>
    <row r="45" spans="2:5" x14ac:dyDescent="0.75">
      <c r="B45" s="8" t="str">
        <f>Diag!B34</f>
        <v>stage</v>
      </c>
      <c r="C45" s="17" t="s">
        <v>964</v>
      </c>
      <c r="E45" s="17" t="str">
        <f t="shared" si="0"/>
        <v>* stage -&gt; ##34#Condition.stage##34#</v>
      </c>
    </row>
    <row r="46" spans="2:5" ht="29.5" x14ac:dyDescent="0.75">
      <c r="B46" s="8" t="str">
        <f>Diag!B35</f>
        <v>immunology</v>
      </c>
      <c r="C46" s="17" t="s">
        <v>965</v>
      </c>
      <c r="E46" s="17" t="str">
        <f t="shared" si="0"/>
        <v>* immunology -&gt; ##34#Condition.evidence.where(code = http://snomed.info/sct#365861007 'Finding of immune status')##34#</v>
      </c>
    </row>
    <row r="47" spans="2:5" ht="29.5" x14ac:dyDescent="0.75">
      <c r="B47" s="8" t="str">
        <f>Diag!B36</f>
        <v>hereditaryPredisposition</v>
      </c>
      <c r="C47" s="17" t="s">
        <v>966</v>
      </c>
      <c r="E47" s="17" t="str">
        <f t="shared" si="0"/>
        <v>* hereditaryPredisposition -&gt; ##34#Condition.evidence.where(code = http://snomed.info/sct#32895009 'Hereditary disease')##34#</v>
      </c>
    </row>
    <row r="48" spans="2:5" x14ac:dyDescent="0.75">
      <c r="B48" s="8" t="str">
        <f>Diag!B37</f>
        <v>notes</v>
      </c>
      <c r="C48" s="17" t="s">
        <v>967</v>
      </c>
      <c r="E48" s="17" t="str">
        <f t="shared" si="0"/>
        <v>* notes -&gt; ##34#Condition.note##34#</v>
      </c>
    </row>
    <row r="49" spans="5:5" x14ac:dyDescent="0.75">
      <c r="E49" s="17" t="str">
        <f t="shared" si="0"/>
        <v>*  -&gt; ##34###34#</v>
      </c>
    </row>
    <row r="50" spans="5:5" x14ac:dyDescent="0.75">
      <c r="E50" s="17" t="str">
        <f t="shared" si="0"/>
        <v>*  -&gt; ##34###34#</v>
      </c>
    </row>
    <row r="51" spans="5:5" x14ac:dyDescent="0.75">
      <c r="E51" s="17" t="str">
        <f t="shared" si="0"/>
        <v>*  -&gt; ##34###34#</v>
      </c>
    </row>
    <row r="52" spans="5:5" x14ac:dyDescent="0.75">
      <c r="E52" s="17" t="str">
        <f t="shared" si="0"/>
        <v>*  -&gt; ##34###34#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79CA2-E6F3-46FB-B975-2B94C72AA67C}">
  <sheetPr codeName="Foglio9">
    <tabColor theme="9" tint="0.39997558519241921"/>
  </sheetPr>
  <dimension ref="C1:G95"/>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Diag!I1</f>
        <v>// -------------------------------------------------------------------------------</v>
      </c>
    </row>
    <row r="2" spans="3:7" ht="16.75" thickBot="1" x14ac:dyDescent="0.9">
      <c r="C2" s="35" t="str">
        <f>Diag!I2</f>
        <v>//  Logical Model</v>
      </c>
      <c r="G2" s="92" t="str">
        <f>"pcsp-"&amp;Diag!B5&amp;".fsh"</f>
        <v>pcsp-Diagnosis.fsh</v>
      </c>
    </row>
    <row r="3" spans="3:7" x14ac:dyDescent="0.75">
      <c r="C3" s="35" t="str">
        <f>Diag!I3</f>
        <v>// -------------------------------------------------------------------------------</v>
      </c>
    </row>
    <row r="4" spans="3:7" x14ac:dyDescent="0.75">
      <c r="C4" s="27" t="str">
        <f>Diag!I4</f>
        <v>Logical: Diagnosis</v>
      </c>
    </row>
    <row r="5" spans="3:7" x14ac:dyDescent="0.75">
      <c r="C5" s="27" t="str">
        <f>Diag!I5</f>
        <v>Id: Diagnosis</v>
      </c>
    </row>
    <row r="6" spans="3:7" x14ac:dyDescent="0.75">
      <c r="C6" s="27" t="str">
        <f>Diag!I6</f>
        <v>Title: ##34#Diagnosis##34#</v>
      </c>
    </row>
    <row r="7" spans="3:7" x14ac:dyDescent="0.75">
      <c r="C7" s="27" t="str">
        <f>Diag!I7</f>
        <v>Description:  ##334#Diagnosis
Maturity Level: 2 - Ready for Review##334#</v>
      </c>
    </row>
    <row r="8" spans="3:7" x14ac:dyDescent="0.75">
      <c r="C8" s="17" t="str">
        <f>IF(Diag!I8="*  ..  ##34###34# ##334###334#","//--- END",Diag!I8)</f>
        <v>* identifier 1..* Identifier ##34#ID##34# ##334#diagnosis identifier##334#</v>
      </c>
    </row>
    <row r="9" spans="3:7" ht="88.5" x14ac:dyDescent="0.75">
      <c r="C9" s="17" t="str">
        <f>IF(Diag!I9="*  ..  ##34###34# ##334###334#","//--- END",Diag!I9)</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3:7" ht="29.5" x14ac:dyDescent="0.75">
      <c r="C10" s="17" t="str">
        <f>IF(Diag!I10="*  ..  ##34###34# ##334###334#","//--- END",Diag!I10)</f>
        <v>* centerOfDiagnosis 0..* BackboneElement ##34#Center of diagnosis##34# ##334#Institution in which the diagnosis was made.##334#</v>
      </c>
    </row>
    <row r="11" spans="3:7" ht="44.25" x14ac:dyDescent="0.75">
      <c r="C11" s="17" t="str">
        <f>IF(Diag!I11="*  ..  ##34###34# ##334###334#","//--- END",Diag!I11)</f>
        <v>* centerOfDiagnosis.identifier 0..1 Identifier ##34#Center code##34# ##334#Code of the institution in which the diagnosis was made.
IN AIEOP thus information is retrievable from the Mod.1.01 database##334#</v>
      </c>
    </row>
    <row r="12" spans="3:7" x14ac:dyDescent="0.75">
      <c r="C12" s="17" t="str">
        <f>IF(Diag!I12="*  ..  ##34###34# ##334###334#","//--- END",Diag!I12)</f>
        <v>* centerOfDiagnosis.name 0..1 string ##34#Center name##34# ##334#Center name##334#</v>
      </c>
    </row>
    <row r="13" spans="3:7" x14ac:dyDescent="0.75">
      <c r="C13" s="17" t="str">
        <f>IF(Diag!I13="*  ..  ##34###34# ##334###334#","//--- END",Diag!I13)</f>
        <v>* centerOfDiagnosis.city 0..1 string ##34#Center city##34# ##334#Center city##334#</v>
      </c>
    </row>
    <row r="14" spans="3:7" x14ac:dyDescent="0.75">
      <c r="C14" s="17" t="str">
        <f>IF(Diag!I14="*  ..  ##34###34# ##334###334#","//--- END",Diag!I14)</f>
        <v>* centerOfDiagnosis.country 1..1 string ##34#Center country##34# ##334#Center country##334#</v>
      </c>
    </row>
    <row r="15" spans="3:7" ht="29.5" x14ac:dyDescent="0.75">
      <c r="C15" s="17" t="str">
        <f>IF(Diag!I15="*  ..  ##34###34# ##334###334#","//--- END",Diag!I15)</f>
        <v>* primaryTreatmentCenter 0..1 BackboneElement ##34#Primary treatment center##34# ##334#Report here the institution in which most of the treatment was given##334#</v>
      </c>
    </row>
    <row r="16" spans="3:7" ht="29.5" x14ac:dyDescent="0.75">
      <c r="C16" s="17" t="str">
        <f>IF(Diag!I16="*  ..  ##34###34# ##334###334#","//--- END",Diag!I16)</f>
        <v>* primaryTreatmentCenter.name 0..1 string ##34#Primary treatment center name##34# ##334#Primary treatment center name##334#</v>
      </c>
    </row>
    <row r="17" spans="3:3" ht="29.5" x14ac:dyDescent="0.75">
      <c r="C17" s="17" t="str">
        <f>IF(Diag!I17="*  ..  ##34###34# ##334###334#","//--- END",Diag!I17)</f>
        <v>* primaryTreatmentCenter.city 0..1 string ##34#Primary treatment center city##34# ##334#Primary treatment center city##334#</v>
      </c>
    </row>
    <row r="18" spans="3:3" ht="29.5" x14ac:dyDescent="0.75">
      <c r="C18" s="17" t="str">
        <f>IF(Diag!I18="*  ..  ##34###34# ##334###334#","//--- END",Diag!I18)</f>
        <v>* primaryTreatmentCenter.country 0..1 string ##34#Primary treatment center country##34# ##334#Primary treatment center country##334#</v>
      </c>
    </row>
    <row r="19" spans="3:3" ht="29.5" x14ac:dyDescent="0.75">
      <c r="C19" s="17" t="str">
        <f>IF(Diag!I19="*  ..  ##34###34# ##334###334#","//--- END",Diag!I19)</f>
        <v>* dateOfArrivalAtCenter 1..* dateTime ##34#Date of arrival to our institution##34# ##334#Date of arrival to our institution##334#</v>
      </c>
    </row>
    <row r="20" spans="3:3" ht="29.5" x14ac:dyDescent="0.75">
      <c r="C20" s="17" t="str">
        <f>IF(Diag!I20="*  ..  ##34###34# ##334###334#","//--- END",Diag!I20)</f>
        <v>* diagnosticGroup 0..* CodeableConcept ##34#Diagnostic Group##34# ##334#Diagnostic Group. ICCC-3 Classification (Main and Extended classification tables)##334#</v>
      </c>
    </row>
    <row r="21" spans="3:3" ht="73.75" x14ac:dyDescent="0.75">
      <c r="C21" s="17" t="str">
        <f>IF(Diag!I21="*  ..  ##34###34# ##334###334#","//--- END",Diag!I21)</f>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3:3" ht="29.5" x14ac:dyDescent="0.75">
      <c r="C22" s="17" t="str">
        <f>IF(Diag!I22="*  ..  ##34###34# ##334###334#","//--- END",Diag!I22)</f>
        <v>* tumorBehaviour 0..* CodeableConcept ##34#Tumour behaviour (ICD-O-3 type)##34# ##334#Tumour behaviour. Automatically generated by the system for benign tumors##334#</v>
      </c>
    </row>
    <row r="23" spans="3:3" x14ac:dyDescent="0.75">
      <c r="C23" s="17" t="str">
        <f>IF(Diag!I23="*  ..  ##34###34# ##334###334#","//--- END",Diag!I23)</f>
        <v>* description 0..1 string ##34#Diagnosis description##34# ##334#Diagnosis description##334#</v>
      </c>
    </row>
    <row r="24" spans="3:3" x14ac:dyDescent="0.75">
      <c r="C24" s="17" t="str">
        <f>IF(Diag!I24="*  ..  ##34###34# ##334###334#","//--- END",Diag!I24)</f>
        <v>* site 0..* BackboneElement ##34#Site##34# ##334#Site of the tumor##334#</v>
      </c>
    </row>
    <row r="25" spans="3:3" ht="44.25" x14ac:dyDescent="0.75">
      <c r="C25" s="17" t="str">
        <f>IF(Diag!I25="*  ..  ##34###34# ##334###334#","//--- END",Diag!I25)</f>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3:3" ht="29.5" x14ac:dyDescent="0.75">
      <c r="C26" s="17" t="str">
        <f>IF(Diag!I26="*  ..  ##34###34# ##334###334#","//--- END",Diag!I26)</f>
        <v>* site.description 0..* string ##34#Site description##34# ##334#Site description . Free text to report the site of the tumor##334#</v>
      </c>
    </row>
    <row r="27" spans="3:3" x14ac:dyDescent="0.75">
      <c r="C27" s="17" t="str">
        <f>IF(Diag!I27="*  ..  ##34###34# ##334###334#","//--- END",Diag!I27)</f>
        <v>* laterality 0..* CodeableConcept ##34#Laterality##34# ##334#Laterality##334#</v>
      </c>
    </row>
    <row r="28" spans="3:3" ht="29.5" x14ac:dyDescent="0.75">
      <c r="C28" s="17" t="str">
        <f>IF(Diag!I28="*  ..  ##34###34# ##334###334#","//--- END",Diag!I28)</f>
        <v>* metastasis 0..* BackboneElement ##34#Metastatic##34# ##334#Some tumors may be either localized (e.g. stage III neuroblastoma) or metastatic. Please specify.##334#</v>
      </c>
    </row>
    <row r="29" spans="3:3" x14ac:dyDescent="0.75">
      <c r="C29" s="17" t="str">
        <f>IF(Diag!I29="*  ..  ##34###34# ##334###334#","//--- END",Diag!I29)</f>
        <v>* metastasis.identifier 0..* integer ##34#Metastasis id##34# ##334#Number of metastases##334#</v>
      </c>
    </row>
    <row r="30" spans="3:3" ht="29.5" x14ac:dyDescent="0.75">
      <c r="C30" s="17" t="str">
        <f>IF(Diag!I30="*  ..  ##34###34# ##334###334#","//--- END",Diag!I30)</f>
        <v>* metastasis.site 0..* BackboneElement ##34#Metastasis site##34# ##334#Please report here the site(s) of metastases detected at diagnosis.##334#</v>
      </c>
    </row>
    <row r="31" spans="3:3" ht="29.5" x14ac:dyDescent="0.75">
      <c r="C31" s="17" t="str">
        <f>IF(Diag!I31="*  ..  ##34###34# ##334###334#","//--- END",Diag!I31)</f>
        <v>* metastasis.site.code 0..* CodeableConcept ##34#Metastasis site code##34# ##334#Metastases detected at diagnosis (using ICD-O-3 Topography). If site(s) is unknown, code C80.9##334#</v>
      </c>
    </row>
    <row r="32" spans="3:3" ht="29.5" x14ac:dyDescent="0.75">
      <c r="C32" s="17" t="str">
        <f>IF(Diag!I32="*  ..  ##34###34# ##334###334#","//--- END",Diag!I32)</f>
        <v>* metastasis.site.description 0..* string ##34#Additional description of sites of metastatis##34# ##334#Additional description of sites of metastatis##334#</v>
      </c>
    </row>
    <row r="33" spans="3:3" ht="44.25" x14ac:dyDescent="0.75">
      <c r="C33" s="17" t="str">
        <f>IF(Diag!I33="*  ..  ##34###34# ##334###334#","//--- END",Diag!I33)</f>
        <v>* geneticMarkers 0..1 string ##34#Genetic markers(text)##34# ##334#Please report here any genetic marker: chromosomal alterations (e.g. translocation, deletions, duplications); or other types of genetic alterations (amplification, deletion, mutation)##334#</v>
      </c>
    </row>
    <row r="34" spans="3:3" ht="59" x14ac:dyDescent="0.75">
      <c r="C34" s="17" t="str">
        <f>IF(Diag!I34="*  ..  ##34###34# ##334###334#","//--- END",Diag!I34)</f>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3:3" ht="44.25" x14ac:dyDescent="0.75">
      <c r="C35" s="17" t="str">
        <f>IF(Diag!I35="*  ..  ##34###34# ##334###334#","//--- END",Diag!I35)</f>
        <v>* immunology 0..* CodeableConcept ##34#Immunology##34# ##334#Immunology . This is a free text field. Report here, if applicable (e.g. leukemias) the immunophenotype of the disease (sometimes already reported in the ICD-O-3 Morphology coding). If immunology is unknown, specify 'NK'##334#</v>
      </c>
    </row>
    <row r="36" spans="3:3" ht="88.5" x14ac:dyDescent="0.75">
      <c r="C36" s="17" t="str">
        <f>IF(Diag!I36="*  ..  ##34###34# ##334###334#","//--- END",Diag!I36)</f>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3:3" x14ac:dyDescent="0.75">
      <c r="C37" s="17" t="str">
        <f>IF(Diag!I37="*  ..  ##34###34# ##334###334#","//--- END",Diag!I37)</f>
        <v>* notes 0..* string ##34#Notes##34# ##334#Notes##334#</v>
      </c>
    </row>
    <row r="38" spans="3:3" x14ac:dyDescent="0.75">
      <c r="C38" s="17" t="str">
        <f>IF(Diag!I38="*  ..  ##34###34# ##334###334#","//--- END",Diag!I38)</f>
        <v>//--- END</v>
      </c>
    </row>
    <row r="39" spans="3:3" x14ac:dyDescent="0.75">
      <c r="C39" s="17" t="str">
        <f>IF(Diag!I39="*  ..  ##34###34# ##334###334#","//--- END",Diag!I39)</f>
        <v>//--- END</v>
      </c>
    </row>
    <row r="40" spans="3:3" x14ac:dyDescent="0.75">
      <c r="C40" s="17" t="str">
        <f>IF(Diag!I40="*  ..  ##34###34# ##334###334#","//--- END",Diag!I40)</f>
        <v>//--- END</v>
      </c>
    </row>
    <row r="41" spans="3:3" x14ac:dyDescent="0.75">
      <c r="C41" s="17" t="str">
        <f>IF(Diag!I41="*  ..  ##34###34# ##334###334#","//--- END",Diag!I41)</f>
        <v>//--- END</v>
      </c>
    </row>
    <row r="44" spans="3:3" x14ac:dyDescent="0.75">
      <c r="C44" s="34" t="str">
        <f>'Diag-Map'!E1</f>
        <v>// -------------------------------------------------------------------------------</v>
      </c>
    </row>
    <row r="45" spans="3:3" x14ac:dyDescent="0.75">
      <c r="C45" s="35" t="str">
        <f>'Diag-Map'!E2</f>
        <v>//  Map to FHIR R4</v>
      </c>
    </row>
    <row r="46" spans="3:3" x14ac:dyDescent="0.75">
      <c r="C46" s="35" t="str">
        <f>'Diag-Map'!E3</f>
        <v>// -------------------------------------------------------------------------------</v>
      </c>
    </row>
    <row r="47" spans="3:3" x14ac:dyDescent="0.75">
      <c r="C47" s="17" t="str">
        <f>'Diag-Map'!E4</f>
        <v>Mapping: Diagnosis2Fhir</v>
      </c>
    </row>
    <row r="48" spans="3:3" x14ac:dyDescent="0.75">
      <c r="C48" s="17" t="str">
        <f>'Diag-Map'!E5</f>
        <v>Id: fhir</v>
      </c>
    </row>
    <row r="49" spans="3:3" x14ac:dyDescent="0.75">
      <c r="C49" s="17" t="str">
        <f>'Diag-Map'!E6</f>
        <v>Title: ##34#Diagnosis model to PCSP HL7 FHIR R4 Profiles##34#</v>
      </c>
    </row>
    <row r="50" spans="3:3" x14ac:dyDescent="0.75">
      <c r="C50" s="17" t="str">
        <f>'Diag-Map'!E7</f>
        <v>Source: Diagnosis</v>
      </c>
    </row>
    <row r="51" spans="3:3" x14ac:dyDescent="0.75">
      <c r="C51" s="17" t="str">
        <f>'Diag-Map'!E8</f>
        <v>Target: ##34#hl7.org/fhir/r4##34#</v>
      </c>
    </row>
    <row r="53" spans="3:3" x14ac:dyDescent="0.75">
      <c r="C53" s="17" t="str">
        <f>IF('Diag-Map'!E9="*  -&gt; ##34###34#","// --END",'Diag-Map'!E9)</f>
        <v>* . -&gt; ##34#Condition.conformsTo('http://hl7.eu/fhir/ig/pcsp/StructureDefinition/Condition-primaryCancer-eu-pcsp')##34#</v>
      </c>
    </row>
    <row r="54" spans="3:3" x14ac:dyDescent="0.75">
      <c r="C54" s="17" t="str">
        <f>IF('Diag-Map'!E10="*  -&gt; ##34###34#","// --END",'Diag-Map'!E10)</f>
        <v>* identifier -&gt; ##34#.identifier##34#</v>
      </c>
    </row>
    <row r="55" spans="3:3" x14ac:dyDescent="0.75">
      <c r="C55" s="17" t="str">
        <f>IF('Diag-Map'!E11="*  -&gt; ##34###34#","// --END",'Diag-Map'!E11)</f>
        <v>* dateOfDiagnosis -&gt; ##34#.extension('condition-assertedDate').valueDateTime##34#</v>
      </c>
    </row>
    <row r="56" spans="3:3" ht="29.5" x14ac:dyDescent="0.75">
      <c r="C56" s="17" t="str">
        <f>IF('Diag-Map'!E12="*  -&gt; ##34###34#","// --END",'Diag-Map'!E12)</f>
        <v>* centerOfDiagnosis -&gt; ##34#Observation.conformsTo('http://hl7.eu/fhir/ig/pcsp/StructureDefinition/Observation-diagnosis-eu-pcsp').performer##34#</v>
      </c>
    </row>
    <row r="57" spans="3:3" x14ac:dyDescent="0.75">
      <c r="C57" s="17" t="str">
        <f>IF('Diag-Map'!E13="*  -&gt; ##34###34#","// --END",'Diag-Map'!E13)</f>
        <v>* centerOfDiagnosis.identifier -&gt; ##34#Observation.performer.resolve().identifier##34#</v>
      </c>
    </row>
    <row r="58" spans="3:3" x14ac:dyDescent="0.75">
      <c r="C58" s="17" t="str">
        <f>IF('Diag-Map'!E14="*  -&gt; ##34###34#","// --END",'Diag-Map'!E14)</f>
        <v>* centerOfDiagnosis.identifier -&gt; ##34#Observation.performer.identifier##34#</v>
      </c>
    </row>
    <row r="59" spans="3:3" x14ac:dyDescent="0.75">
      <c r="C59" s="17" t="str">
        <f>IF('Diag-Map'!E15="*  -&gt; ##34###34#","// --END",'Diag-Map'!E15)</f>
        <v>* centerOfDiagnosis.name -&gt; ##34#Observation.performer.resolve().name##34#</v>
      </c>
    </row>
    <row r="60" spans="3:3" x14ac:dyDescent="0.75">
      <c r="C60" s="17" t="str">
        <f>IF('Diag-Map'!E16="*  -&gt; ##34###34#","// --END",'Diag-Map'!E16)</f>
        <v>* centerOfDiagnosis.name -&gt; ##34#Observation.performer.display##34#</v>
      </c>
    </row>
    <row r="61" spans="3:3" x14ac:dyDescent="0.75">
      <c r="C61" s="17" t="str">
        <f>IF('Diag-Map'!E17="*  -&gt; ##34###34#","// --END",'Diag-Map'!E17)</f>
        <v>* centerOfDiagnosis.city -&gt; ##34#Observation.performer.resolve().address.city##34#</v>
      </c>
    </row>
    <row r="62" spans="3:3" x14ac:dyDescent="0.75">
      <c r="C62" s="17" t="str">
        <f>IF('Diag-Map'!E18="*  -&gt; ##34###34#","// --END",'Diag-Map'!E18)</f>
        <v>* centerOfDiagnosis.country -&gt; ##34#Observation.performer.resolve().address.country##34#</v>
      </c>
    </row>
    <row r="63" spans="3:3" x14ac:dyDescent="0.75">
      <c r="C63" s="17" t="str">
        <f>IF('Diag-Map'!E19="*  -&gt; ##34###34#","// --END",'Diag-Map'!E19)</f>
        <v>* primaryTreatmentCenter -&gt; ##34#Patient.generalPractitioner##34#</v>
      </c>
    </row>
    <row r="64" spans="3:3" x14ac:dyDescent="0.75">
      <c r="C64" s="17" t="str">
        <f>IF('Diag-Map'!E20="*  -&gt; ##34###34#","// --END",'Diag-Map'!E20)</f>
        <v>* primaryTreatmentCenter -&gt; ##34#Encounter.serviceProvider##34#</v>
      </c>
    </row>
    <row r="65" spans="3:3" x14ac:dyDescent="0.75">
      <c r="C65" s="17" t="str">
        <f>IF('Diag-Map'!E21="*  -&gt; ##34###34#","// --END",'Diag-Map'!E21)</f>
        <v>* primaryTreatmentCenter.name -&gt; ##34#Patient.generalPractitioner.display##34#</v>
      </c>
    </row>
    <row r="66" spans="3:3" x14ac:dyDescent="0.75">
      <c r="C66" s="17" t="str">
        <f>IF('Diag-Map'!E22="*  -&gt; ##34###34#","// --END",'Diag-Map'!E22)</f>
        <v>* primaryTreatmentCenter.name -&gt; ##34#Patient.generalPractitioner.resolve().name##34#</v>
      </c>
    </row>
    <row r="67" spans="3:3" x14ac:dyDescent="0.75">
      <c r="C67" s="17" t="str">
        <f>IF('Diag-Map'!E23="*  -&gt; ##34###34#","// --END",'Diag-Map'!E23)</f>
        <v>* primaryTreatmentCenter.name -&gt; ##34#Encounter.serviceProvider.display##34#</v>
      </c>
    </row>
    <row r="68" spans="3:3" x14ac:dyDescent="0.75">
      <c r="C68" s="17" t="str">
        <f>IF('Diag-Map'!E24="*  -&gt; ##34###34#","// --END",'Diag-Map'!E24)</f>
        <v>* primaryTreatmentCenter.name -&gt; ##34#Encounter.serviceProvider.resolve().name##34#</v>
      </c>
    </row>
    <row r="69" spans="3:3" x14ac:dyDescent="0.75">
      <c r="C69" s="17" t="str">
        <f>IF('Diag-Map'!E25="*  -&gt; ##34###34#","// --END",'Diag-Map'!E25)</f>
        <v>* primaryTreatmentCenter.city -&gt; ##34#Patient.generalPractitioner.resolve().address.city##34#</v>
      </c>
    </row>
    <row r="70" spans="3:3" x14ac:dyDescent="0.75">
      <c r="C70" s="17" t="str">
        <f>IF('Diag-Map'!E26="*  -&gt; ##34###34#","// --END",'Diag-Map'!E26)</f>
        <v>* primaryTreatmentCenter.city -&gt; ##34#Encounter.serviceProvider.resolve().address.city##34#</v>
      </c>
    </row>
    <row r="71" spans="3:3" x14ac:dyDescent="0.75">
      <c r="C71" s="17" t="str">
        <f>IF('Diag-Map'!E27="*  -&gt; ##34###34#","// --END",'Diag-Map'!E27)</f>
        <v>* primaryTreatmentCenter.country -&gt; ##34#Patient.generalPractitioner.resolve().address.country##34#</v>
      </c>
    </row>
    <row r="72" spans="3:3" x14ac:dyDescent="0.75">
      <c r="C72" s="17" t="str">
        <f>IF('Diag-Map'!E28="*  -&gt; ##34###34#","// --END",'Diag-Map'!E28)</f>
        <v>* primaryTreatmentCenter.country -&gt; ##34#Encounter.serviceProvider.resolve().address.country##34#</v>
      </c>
    </row>
    <row r="73" spans="3:3" x14ac:dyDescent="0.75">
      <c r="C73" s="17" t="str">
        <f>IF('Diag-Map'!E29="*  -&gt; ##34###34#","// --END",'Diag-Map'!E29)</f>
        <v>* dateOfArrivalAtCenter -&gt; ##34#Encounter.period.start##34#</v>
      </c>
    </row>
    <row r="74" spans="3:3" x14ac:dyDescent="0.75">
      <c r="C74" s="17" t="str">
        <f>IF('Diag-Map'!E30="*  -&gt; ##34###34#","// --END",'Diag-Map'!E30)</f>
        <v>* diagnosticGroup -&gt; ##34#Condition.code.coding##34#</v>
      </c>
    </row>
    <row r="75" spans="3:3" x14ac:dyDescent="0.75">
      <c r="C75" s="17" t="str">
        <f>IF('Diag-Map'!E31="*  -&gt; ##34###34#","// --END",'Diag-Map'!E31)</f>
        <v>* morphologyCode -&gt; ##34#Condition.extension('mcode-histology-morphology-behavior').valueCodeableConcept##34#</v>
      </c>
    </row>
    <row r="76" spans="3:3" x14ac:dyDescent="0.75">
      <c r="C76" s="17" t="str">
        <f>IF('Diag-Map'!E32="*  -&gt; ##34###34#","// --END",'Diag-Map'!E32)</f>
        <v>* tumorBehaviour -&gt; ##34#Condition.extension('mcode-histology-morphology-behavior').valueCodeableConcept##34#</v>
      </c>
    </row>
    <row r="77" spans="3:3" x14ac:dyDescent="0.75">
      <c r="C77" s="17" t="str">
        <f>IF('Diag-Map'!E33="*  -&gt; ##34###34#","// --END",'Diag-Map'!E33)</f>
        <v>* description -&gt; ##34#Condition.text##34#</v>
      </c>
    </row>
    <row r="78" spans="3:3" x14ac:dyDescent="0.75">
      <c r="C78" s="17" t="str">
        <f>IF('Diag-Map'!E34="*  -&gt; ##34###34#","// --END",'Diag-Map'!E34)</f>
        <v>* description -&gt; ##34#Condition.code.text##34#</v>
      </c>
    </row>
    <row r="79" spans="3:3" x14ac:dyDescent="0.75">
      <c r="C79" s="17" t="str">
        <f>IF('Diag-Map'!E35="*  -&gt; ##34###34#","// --END",'Diag-Map'!E35)</f>
        <v>* site -&gt; ##34#Condition.bodySite##34#</v>
      </c>
    </row>
    <row r="80" spans="3:3" x14ac:dyDescent="0.75">
      <c r="C80" s="17" t="str">
        <f>IF('Diag-Map'!E36="*  -&gt; ##34###34#","// --END",'Diag-Map'!E36)</f>
        <v>* site.code -&gt; ##34#Condition.bodySite.coding##34#</v>
      </c>
    </row>
    <row r="81" spans="3:3" x14ac:dyDescent="0.75">
      <c r="C81" s="17" t="str">
        <f>IF('Diag-Map'!E37="*  -&gt; ##34###34#","// --END",'Diag-Map'!E37)</f>
        <v>* site.description -&gt; ##34#Condition.bodySite.text##34#</v>
      </c>
    </row>
    <row r="82" spans="3:3" x14ac:dyDescent="0.75">
      <c r="C82" s="17" t="str">
        <f>IF('Diag-Map'!E38="*  -&gt; ##34###34#","// --END",'Diag-Map'!E38)</f>
        <v>* laterality -&gt; ##34#Condition.bodySite.extension('mcode-laterality-qualifier').valueCodeableConcept##34#</v>
      </c>
    </row>
    <row r="83" spans="3:3" ht="29.5" x14ac:dyDescent="0.75">
      <c r="C83" s="17" t="str">
        <f>IF('Diag-Map'!E39="*  -&gt; ##34###34#","// --END",'Diag-Map'!E39)</f>
        <v>* metastasis -&gt; ##34#Condition.conformsTo('http://hl7.eu/fhir/ig/pcsp/StructureDefinition/Condition-secondaryCancer-eu-pcsp')##34#</v>
      </c>
    </row>
    <row r="84" spans="3:3" x14ac:dyDescent="0.75">
      <c r="C84" s="17" t="str">
        <f>IF('Diag-Map'!E40="*  -&gt; ##34###34#","// --END",'Diag-Map'!E40)</f>
        <v>* metastasis.identifier -&gt; ##34#.identifier##34#</v>
      </c>
    </row>
    <row r="85" spans="3:3" x14ac:dyDescent="0.75">
      <c r="C85" s="17" t="str">
        <f>IF('Diag-Map'!E41="*  -&gt; ##34###34#","// --END",'Diag-Map'!E41)</f>
        <v>* metastasis.site -&gt; ##34#.bodySite##34#</v>
      </c>
    </row>
    <row r="86" spans="3:3" x14ac:dyDescent="0.75">
      <c r="C86" s="17" t="str">
        <f>IF('Diag-Map'!E42="*  -&gt; ##34###34#","// --END",'Diag-Map'!E42)</f>
        <v>* metastasis.site.code -&gt; ##34#.bodySite.coding##34#</v>
      </c>
    </row>
    <row r="87" spans="3:3" x14ac:dyDescent="0.75">
      <c r="C87" s="17" t="str">
        <f>IF('Diag-Map'!E43="*  -&gt; ##34###34#","// --END",'Diag-Map'!E43)</f>
        <v>* metastasis.site.description -&gt; ##34#.bodySite.text##34#</v>
      </c>
    </row>
    <row r="88" spans="3:3" x14ac:dyDescent="0.75">
      <c r="C88" s="17" t="str">
        <f>IF('Diag-Map'!E44="*  -&gt; ##34###34#","// --END",'Diag-Map'!E44)</f>
        <v>* geneticMarkers -&gt; ##34#Condition.evidence.where(code = http://snomed.info/sct#106221001 'Genetic finding')##34#</v>
      </c>
    </row>
    <row r="89" spans="3:3" x14ac:dyDescent="0.75">
      <c r="C89" s="17" t="str">
        <f>IF('Diag-Map'!E45="*  -&gt; ##34###34#","// --END",'Diag-Map'!E45)</f>
        <v>* stage -&gt; ##34#Condition.stage##34#</v>
      </c>
    </row>
    <row r="90" spans="3:3" x14ac:dyDescent="0.75">
      <c r="C90" s="17" t="str">
        <f>IF('Diag-Map'!E46="*  -&gt; ##34###34#","// --END",'Diag-Map'!E46)</f>
        <v>* immunology -&gt; ##34#Condition.evidence.where(code = http://snomed.info/sct#365861007 'Finding of immune status')##34#</v>
      </c>
    </row>
    <row r="91" spans="3:3" ht="29.5" x14ac:dyDescent="0.75">
      <c r="C91" s="17" t="str">
        <f>IF('Diag-Map'!E47="*  -&gt; ##34###34#","// --END",'Diag-Map'!E47)</f>
        <v>* hereditaryPredisposition -&gt; ##34#Condition.evidence.where(code = http://snomed.info/sct#32895009 'Hereditary disease')##34#</v>
      </c>
    </row>
    <row r="92" spans="3:3" x14ac:dyDescent="0.75">
      <c r="C92" s="17" t="str">
        <f>IF('Diag-Map'!E48="*  -&gt; ##34###34#","// --END",'Diag-Map'!E48)</f>
        <v>* notes -&gt; ##34#Condition.note##34#</v>
      </c>
    </row>
    <row r="93" spans="3:3" x14ac:dyDescent="0.75">
      <c r="C93" s="17" t="str">
        <f>IF('Diag-Map'!E49="*  -&gt; ##34###34#","// --END",'Diag-Map'!E49)</f>
        <v>// --END</v>
      </c>
    </row>
    <row r="94" spans="3:3" x14ac:dyDescent="0.75">
      <c r="C94" s="17" t="str">
        <f>IF('Diag-Map'!E50="*  -&gt; ##34###34#","// --END",'Diag-Map'!E50)</f>
        <v>// --END</v>
      </c>
    </row>
    <row r="95" spans="3:3" x14ac:dyDescent="0.75">
      <c r="C95" s="17" t="str">
        <f>IF('Diag-Map'!E51="*  -&gt; ##34###34#","// --END",'Diag-Map'!E51)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DD3F-9353-48F2-8048-C5592192C581}">
  <sheetPr codeName="Foglio30">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Subject</v>
      </c>
      <c r="I4" s="27" t="str">
        <f>CONCATENATE("Logical: ",B4)</f>
        <v>Logical: Subject</v>
      </c>
    </row>
    <row r="5" spans="1:11" ht="15.5" thickBot="1" x14ac:dyDescent="0.9">
      <c r="A5" s="22" t="s">
        <v>76</v>
      </c>
      <c r="B5" s="87" t="s">
        <v>839</v>
      </c>
      <c r="I5" s="27" t="str">
        <f>CONCATENATE("Id: ",B5)</f>
        <v>Id: Subject</v>
      </c>
    </row>
    <row r="6" spans="1:11" ht="15.5" thickBot="1" x14ac:dyDescent="0.9">
      <c r="A6" s="22" t="s">
        <v>11</v>
      </c>
      <c r="B6" s="80" t="s">
        <v>968</v>
      </c>
      <c r="I6" s="28" t="str">
        <f>CONCATENATE("Title: ##34#",B6,"##34#")</f>
        <v>Title: ##34#Subject of care##34#</v>
      </c>
    </row>
    <row r="7" spans="1:11" ht="30.25" thickBot="1" x14ac:dyDescent="0.9">
      <c r="A7" s="23" t="s">
        <v>4</v>
      </c>
      <c r="B7" t="s">
        <v>969</v>
      </c>
      <c r="C7" s="12" t="s">
        <v>5</v>
      </c>
      <c r="D7" s="2" t="s">
        <v>6</v>
      </c>
      <c r="E7" s="3" t="s">
        <v>7</v>
      </c>
      <c r="F7" s="3" t="s">
        <v>8</v>
      </c>
      <c r="G7" s="3" t="s">
        <v>9</v>
      </c>
      <c r="I7" s="28" t="str">
        <f>CONCATENATE("Description: "," ##334#",B7,"##334#",)</f>
        <v>Description:  ##334#Subject of care
Maturity Level: 2 - Ready for Review##334#</v>
      </c>
    </row>
    <row r="8" spans="1:11" x14ac:dyDescent="0.75">
      <c r="A8" s="8">
        <v>1</v>
      </c>
      <c r="B8" s="8" t="s">
        <v>12</v>
      </c>
      <c r="C8" s="8" t="s">
        <v>10</v>
      </c>
      <c r="D8" s="8" t="s">
        <v>10</v>
      </c>
      <c r="E8" s="8">
        <v>1</v>
      </c>
      <c r="F8" s="8" t="s">
        <v>851</v>
      </c>
      <c r="G8" s="8" t="s">
        <v>0</v>
      </c>
      <c r="H8" s="25"/>
      <c r="I8" s="17" t="str">
        <f>CONCATENATE("* ",B8, " ",E8,"..",F8," ",G8," ##34#",C8,"##34# ##334#",D8,"##334#")</f>
        <v>* identifier 1..* Identifier ##34#ID##34# ##334#ID##334#</v>
      </c>
    </row>
    <row r="9" spans="1:11" ht="29.5" x14ac:dyDescent="0.75">
      <c r="A9" s="8">
        <v>2</v>
      </c>
      <c r="B9" s="8" t="s">
        <v>970</v>
      </c>
      <c r="C9" s="8" t="s">
        <v>971</v>
      </c>
      <c r="D9" s="8" t="s">
        <v>971</v>
      </c>
      <c r="E9" s="8">
        <v>1</v>
      </c>
      <c r="F9" s="8" t="s">
        <v>851</v>
      </c>
      <c r="G9" s="8" t="s">
        <v>841</v>
      </c>
      <c r="H9" s="25"/>
      <c r="I9" s="17" t="str">
        <f t="shared" ref="I9:I41" si="0">CONCATENATE("* ",B9, " ",E9,"..",F9," ",G9," ##34#",C9,"##34# ##334#",D9,"##334#")</f>
        <v>* name 1..* BackboneElement ##34#Subject Name##34# ##334#Subject Name##334#</v>
      </c>
    </row>
    <row r="10" spans="1:11" x14ac:dyDescent="0.75">
      <c r="A10" s="8">
        <v>3</v>
      </c>
      <c r="B10" s="8" t="s">
        <v>972</v>
      </c>
      <c r="C10" s="8" t="s">
        <v>973</v>
      </c>
      <c r="D10" s="8" t="s">
        <v>973</v>
      </c>
      <c r="E10" s="8">
        <v>1</v>
      </c>
      <c r="F10" s="8" t="s">
        <v>851</v>
      </c>
      <c r="G10" s="8" t="s">
        <v>2</v>
      </c>
      <c r="H10" s="25"/>
      <c r="I10" s="17" t="str">
        <f t="shared" si="0"/>
        <v>* name.lastname 1..* string ##34#Lastname##34# ##334#Lastname##334#</v>
      </c>
    </row>
    <row r="11" spans="1:11" ht="29.5" x14ac:dyDescent="0.75">
      <c r="A11" s="8">
        <v>4</v>
      </c>
      <c r="B11" s="8" t="s">
        <v>974</v>
      </c>
      <c r="C11" s="8" t="s">
        <v>975</v>
      </c>
      <c r="D11" s="8" t="s">
        <v>975</v>
      </c>
      <c r="E11" s="8">
        <v>0</v>
      </c>
      <c r="F11" s="8" t="s">
        <v>851</v>
      </c>
      <c r="G11" s="8" t="s">
        <v>2</v>
      </c>
      <c r="H11" s="25"/>
      <c r="I11" s="17" t="str">
        <f t="shared" si="0"/>
        <v>* name.middleName 0..* string ##34#Middlename##34# ##334#Middlename##334#</v>
      </c>
    </row>
    <row r="12" spans="1:11" x14ac:dyDescent="0.75">
      <c r="A12" s="8">
        <v>5</v>
      </c>
      <c r="B12" s="8" t="s">
        <v>976</v>
      </c>
      <c r="C12" s="8" t="s">
        <v>977</v>
      </c>
      <c r="D12" s="8" t="s">
        <v>977</v>
      </c>
      <c r="E12" s="8">
        <v>1</v>
      </c>
      <c r="F12" s="8" t="s">
        <v>851</v>
      </c>
      <c r="G12" s="8" t="s">
        <v>2</v>
      </c>
      <c r="H12" s="25"/>
      <c r="I12" s="17" t="str">
        <f t="shared" si="0"/>
        <v>* name.firstName 1..* string ##34#Firstname##34# ##334#Firstname##334#</v>
      </c>
    </row>
    <row r="13" spans="1:11" ht="44.25" x14ac:dyDescent="0.75">
      <c r="A13" s="8">
        <v>6</v>
      </c>
      <c r="B13" s="8" t="s">
        <v>978</v>
      </c>
      <c r="C13" s="8" t="s">
        <v>979</v>
      </c>
      <c r="D13" s="8" t="s">
        <v>979</v>
      </c>
      <c r="E13" s="8">
        <v>0</v>
      </c>
      <c r="F13" s="8" t="s">
        <v>851</v>
      </c>
      <c r="G13" s="8" t="s">
        <v>2</v>
      </c>
      <c r="H13" s="25"/>
      <c r="I13" s="17" t="str">
        <f t="shared" si="0"/>
        <v>* lastnameAtDiagnosis 0..* string ##34#Lastname at diagnosis (if different from the actual one)##34# ##334#Lastname at diagnosis (if different from the actual one)##334#</v>
      </c>
    </row>
    <row r="14" spans="1:11" ht="29.5" x14ac:dyDescent="0.75">
      <c r="A14" s="8">
        <v>7</v>
      </c>
      <c r="B14" s="8" t="s">
        <v>980</v>
      </c>
      <c r="C14" s="8" t="s">
        <v>17</v>
      </c>
      <c r="D14" s="8" t="s">
        <v>17</v>
      </c>
      <c r="E14" s="8">
        <v>1</v>
      </c>
      <c r="F14" s="8" t="s">
        <v>851</v>
      </c>
      <c r="G14" s="8" t="s">
        <v>1</v>
      </c>
      <c r="H14" s="25"/>
      <c r="I14" s="17" t="str">
        <f t="shared" si="0"/>
        <v>* gender 1..* CodeableConcept ##34#Gender/Sex##34# ##334#Gender/Sex##334#</v>
      </c>
    </row>
    <row r="15" spans="1:11" ht="29.5" x14ac:dyDescent="0.75">
      <c r="A15" s="8">
        <v>8</v>
      </c>
      <c r="B15" s="8" t="s">
        <v>981</v>
      </c>
      <c r="C15" s="8" t="s">
        <v>982</v>
      </c>
      <c r="D15" s="8" t="s">
        <v>982</v>
      </c>
      <c r="E15" s="8">
        <v>0</v>
      </c>
      <c r="F15" s="8" t="s">
        <v>851</v>
      </c>
      <c r="G15" s="8" t="s">
        <v>906</v>
      </c>
      <c r="H15" s="25"/>
      <c r="I15" s="17" t="str">
        <f t="shared" si="0"/>
        <v>* dateOfBirth 0..* dateTime ##34#Date of birth##34# ##334#Date of birth##334#</v>
      </c>
      <c r="J15" s="21"/>
      <c r="K15" s="8"/>
    </row>
    <row r="16" spans="1:11" ht="29.5" x14ac:dyDescent="0.75">
      <c r="A16" s="8">
        <v>9</v>
      </c>
      <c r="B16" s="8" t="s">
        <v>983</v>
      </c>
      <c r="C16" s="8" t="s">
        <v>984</v>
      </c>
      <c r="D16" s="8" t="s">
        <v>984</v>
      </c>
      <c r="E16" s="8">
        <v>0</v>
      </c>
      <c r="F16" s="8" t="s">
        <v>851</v>
      </c>
      <c r="G16" s="8" t="s">
        <v>985</v>
      </c>
      <c r="I16" s="17" t="str">
        <f t="shared" si="0"/>
        <v>* placeOfBirth 0..* Address ##34#Place of birth##34# ##334#Place of birth##334#</v>
      </c>
    </row>
    <row r="17" spans="1:9" ht="29.5" x14ac:dyDescent="0.75">
      <c r="A17" s="8">
        <v>10</v>
      </c>
      <c r="B17" s="8" t="s">
        <v>986</v>
      </c>
      <c r="C17" s="8" t="s">
        <v>987</v>
      </c>
      <c r="D17" s="8" t="s">
        <v>987</v>
      </c>
      <c r="E17" s="8">
        <v>0</v>
      </c>
      <c r="F17" s="8" t="s">
        <v>851</v>
      </c>
      <c r="G17" s="8" t="s">
        <v>841</v>
      </c>
      <c r="I17" s="17" t="str">
        <f t="shared" si="0"/>
        <v>* contact 0..* BackboneElement ##34#Contact - receiver of the passport##34# ##334#Contact - receiver of the passport##334#</v>
      </c>
    </row>
    <row r="18" spans="1:9" x14ac:dyDescent="0.75">
      <c r="A18" s="8">
        <v>11</v>
      </c>
      <c r="B18" s="8" t="s">
        <v>988</v>
      </c>
      <c r="C18" s="8" t="s">
        <v>989</v>
      </c>
      <c r="D18" s="8" t="s">
        <v>989</v>
      </c>
      <c r="E18" s="8">
        <v>0</v>
      </c>
      <c r="F18" s="8" t="s">
        <v>851</v>
      </c>
      <c r="G18" s="8" t="s">
        <v>990</v>
      </c>
      <c r="I18" s="17" t="str">
        <f t="shared" si="0"/>
        <v>* contact.email 0..* uri ##34#E-mail##34# ##334#E-mail##334#</v>
      </c>
    </row>
    <row r="19" spans="1:9" ht="29.5" x14ac:dyDescent="0.75">
      <c r="A19" s="8">
        <v>12</v>
      </c>
      <c r="B19" s="8" t="s">
        <v>991</v>
      </c>
      <c r="C19" s="8" t="s">
        <v>992</v>
      </c>
      <c r="D19" s="8" t="s">
        <v>992</v>
      </c>
      <c r="E19" s="8">
        <v>0</v>
      </c>
      <c r="F19" s="8" t="s">
        <v>851</v>
      </c>
      <c r="G19" s="8" t="s">
        <v>990</v>
      </c>
      <c r="I19" s="17" t="str">
        <f t="shared" si="0"/>
        <v>* contact.mobile 0..* uri ##34#Mobile phone##34# ##334#Mobile phone##334#</v>
      </c>
    </row>
    <row r="20" spans="1:9" ht="29.5" x14ac:dyDescent="0.75">
      <c r="A20" s="8">
        <v>13</v>
      </c>
      <c r="B20" s="8" t="s">
        <v>993</v>
      </c>
      <c r="C20" s="8" t="s">
        <v>994</v>
      </c>
      <c r="D20" s="8" t="s">
        <v>994</v>
      </c>
      <c r="E20" s="8">
        <v>0</v>
      </c>
      <c r="F20" s="8">
        <v>1</v>
      </c>
      <c r="G20" s="8" t="s">
        <v>1</v>
      </c>
      <c r="I20" s="17" t="str">
        <f t="shared" si="0"/>
        <v>* contact.relationship 0..1 CodeableConcept ##34#Relationship with the subject##34# ##334#Relationship with the subject##334#</v>
      </c>
    </row>
    <row r="21" spans="1:9" x14ac:dyDescent="0.75">
      <c r="A21" s="8">
        <v>14</v>
      </c>
      <c r="B21" s="8"/>
      <c r="C21" s="8"/>
      <c r="D21" s="17"/>
      <c r="E21" s="8"/>
      <c r="F21" s="8"/>
      <c r="G21" s="8"/>
      <c r="I21" s="17" t="str">
        <f t="shared" si="0"/>
        <v>*  ..  ##34###34# ##334###334#</v>
      </c>
    </row>
    <row r="22" spans="1:9" x14ac:dyDescent="0.75">
      <c r="A22" s="8">
        <v>15</v>
      </c>
      <c r="B22" s="8"/>
      <c r="C22" s="8"/>
      <c r="D22" s="17"/>
      <c r="E22" s="8"/>
      <c r="F22" s="8"/>
      <c r="G22" s="8"/>
      <c r="I22" s="17" t="str">
        <f t="shared" si="0"/>
        <v>*  ..  ##34###34# ##334###334#</v>
      </c>
    </row>
    <row r="23" spans="1:9" x14ac:dyDescent="0.75">
      <c r="A23" s="8">
        <v>16</v>
      </c>
      <c r="B23" s="8"/>
      <c r="C23" s="8"/>
      <c r="D23" s="17"/>
      <c r="E23" s="8"/>
      <c r="F23" s="8"/>
      <c r="G23" s="8"/>
      <c r="I23" s="17" t="str">
        <f t="shared" si="0"/>
        <v>*  ..  ##34###34# ##334###334#</v>
      </c>
    </row>
    <row r="24" spans="1:9" x14ac:dyDescent="0.75">
      <c r="A24" s="8">
        <v>17</v>
      </c>
      <c r="B24" s="8"/>
      <c r="C24" s="8"/>
      <c r="D24" s="17"/>
      <c r="E24" s="8"/>
      <c r="F24" s="8"/>
      <c r="G24" s="8"/>
      <c r="I24" s="17" t="str">
        <f t="shared" si="0"/>
        <v>*  ..  ##34###34# ##334###334#</v>
      </c>
    </row>
    <row r="25" spans="1:9" x14ac:dyDescent="0.75">
      <c r="A25" s="8">
        <v>18</v>
      </c>
      <c r="B25" s="8"/>
      <c r="C25" s="8"/>
      <c r="D25" s="17"/>
      <c r="E25" s="8"/>
      <c r="F25" s="8"/>
      <c r="G25" s="8"/>
      <c r="I25" s="17" t="str">
        <f t="shared" si="0"/>
        <v>*  ..  ##34###34# ##334###334#</v>
      </c>
    </row>
    <row r="26" spans="1:9" x14ac:dyDescent="0.75">
      <c r="A26" s="8">
        <v>19</v>
      </c>
      <c r="B26" s="8"/>
      <c r="C26" s="8"/>
      <c r="D26" s="17"/>
      <c r="E26" s="8"/>
      <c r="F26" s="8"/>
      <c r="G26" s="8"/>
      <c r="I26" s="17" t="str">
        <f t="shared" si="0"/>
        <v>*  ..  ##34###34# ##334###334#</v>
      </c>
    </row>
    <row r="27" spans="1:9" x14ac:dyDescent="0.75">
      <c r="A27" s="8">
        <v>20</v>
      </c>
      <c r="B27" s="8"/>
      <c r="C27" s="8"/>
      <c r="D27" s="17"/>
      <c r="E27" s="8"/>
      <c r="F27" s="8"/>
      <c r="G27" s="8"/>
      <c r="I27" s="17" t="str">
        <f t="shared" si="0"/>
        <v>*  ..  ##34###34# ##334###334#</v>
      </c>
    </row>
    <row r="28" spans="1:9" x14ac:dyDescent="0.75">
      <c r="A28" s="8">
        <v>21</v>
      </c>
      <c r="B28" s="8"/>
      <c r="C28" s="8"/>
      <c r="D28" s="17"/>
      <c r="E28" s="8"/>
      <c r="F28" s="8"/>
      <c r="G28" s="8"/>
      <c r="I28" s="17" t="str">
        <f t="shared" si="0"/>
        <v>*  ..  ##34###34# ##334###334#</v>
      </c>
    </row>
    <row r="29" spans="1:9" x14ac:dyDescent="0.75">
      <c r="A29" s="8">
        <v>22</v>
      </c>
      <c r="B29" s="8"/>
      <c r="C29" s="8"/>
      <c r="D29" s="17"/>
      <c r="E29" s="8"/>
      <c r="F29" s="8"/>
      <c r="G29" s="8"/>
      <c r="I29" s="17" t="str">
        <f t="shared" si="0"/>
        <v>*  ..  ##34###34# ##334###334#</v>
      </c>
    </row>
    <row r="30" spans="1:9" x14ac:dyDescent="0.75">
      <c r="A30" s="8">
        <v>23</v>
      </c>
      <c r="B30" s="8"/>
      <c r="C30" s="8"/>
      <c r="D30" s="17"/>
      <c r="E30" s="8"/>
      <c r="F30" s="8"/>
      <c r="G30" s="8"/>
      <c r="I30" s="17" t="str">
        <f t="shared" si="0"/>
        <v>*  ..  ##34###34# ##334###334#</v>
      </c>
    </row>
    <row r="31" spans="1:9" x14ac:dyDescent="0.75">
      <c r="A31" s="8">
        <v>24</v>
      </c>
      <c r="B31" s="8"/>
      <c r="C31" s="8"/>
      <c r="D31" s="17"/>
      <c r="E31" s="8"/>
      <c r="F31" s="8"/>
      <c r="G31" s="8"/>
      <c r="I31" s="17" t="str">
        <f t="shared" si="0"/>
        <v>*  ..  ##34###34# ##334###334#</v>
      </c>
    </row>
    <row r="32" spans="1:9" x14ac:dyDescent="0.75">
      <c r="A32" s="8">
        <v>25</v>
      </c>
      <c r="B32" s="8"/>
      <c r="C32" s="8"/>
      <c r="D32" s="17"/>
      <c r="E32" s="8"/>
      <c r="F32" s="8"/>
      <c r="G32" s="8"/>
      <c r="I32" s="17" t="str">
        <f t="shared" si="0"/>
        <v>*  ..  ##34###34# ##334###334#</v>
      </c>
    </row>
    <row r="33" spans="1:9" x14ac:dyDescent="0.75">
      <c r="A33" s="8">
        <v>26</v>
      </c>
      <c r="B33" s="8"/>
      <c r="C33" s="8"/>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9"/>
      <c r="D37" s="89"/>
      <c r="E37" s="8"/>
      <c r="F37" s="8"/>
      <c r="G37" s="8"/>
      <c r="I37" s="17" t="str">
        <f t="shared" si="0"/>
        <v>*  ..  ##34###34# ##334###334#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29C5-C996-47FD-B3DA-DE99B138220E}">
  <sheetPr codeName="Foglio32"/>
  <dimension ref="A1:O58"/>
  <sheetViews>
    <sheetView workbookViewId="0">
      <selection activeCell="C6" sqref="C6"/>
    </sheetView>
  </sheetViews>
  <sheetFormatPr defaultRowHeight="14.75" x14ac:dyDescent="0.75"/>
  <cols>
    <col min="2" max="2" width="31.6796875" bestFit="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16" t="s">
        <v>77</v>
      </c>
      <c r="C4" s="90" t="s">
        <v>1029</v>
      </c>
      <c r="E4" s="30" t="str">
        <f>CONCATENATE("Mapping: ",C4)</f>
        <v>Mapping: Subject2Fhir</v>
      </c>
      <c r="H4" s="9"/>
      <c r="I4" s="9"/>
      <c r="J4" s="9"/>
      <c r="K4" s="9"/>
      <c r="L4" s="9"/>
      <c r="M4" s="9"/>
      <c r="N4" s="9"/>
      <c r="O4" s="9"/>
    </row>
    <row r="5" spans="1:15" ht="15.5" thickBot="1" x14ac:dyDescent="0.9">
      <c r="B5" s="16" t="s">
        <v>76</v>
      </c>
      <c r="C5" s="93" t="s">
        <v>15</v>
      </c>
      <c r="E5" s="31" t="str">
        <f>CONCATENATE("Id: ",C5)</f>
        <v>Id: fhir</v>
      </c>
      <c r="G5" s="1"/>
      <c r="H5" s="9"/>
      <c r="I5" s="9"/>
      <c r="J5" s="9"/>
      <c r="K5" s="9"/>
      <c r="L5" s="9"/>
      <c r="M5" s="9"/>
      <c r="N5" s="9"/>
      <c r="O5" s="9"/>
    </row>
    <row r="6" spans="1:15" ht="15.5" thickBot="1" x14ac:dyDescent="0.9">
      <c r="B6" s="16" t="s">
        <v>11</v>
      </c>
      <c r="C6" s="1" t="str">
        <f>C7 &amp;  " model to PCSP HL7 FHIR R4 Profiles"</f>
        <v>Subject model to PCSP HL7 FHIR R4 Profiles</v>
      </c>
      <c r="E6" s="31" t="str">
        <f>CONCATENATE("Title: ##34#",C6,"##34#")</f>
        <v>Title: ##34#Subject model to PCSP HL7 FHIR R4 Profiles##34#</v>
      </c>
      <c r="G6" s="1"/>
      <c r="H6" s="9"/>
      <c r="I6" s="9"/>
      <c r="J6" s="9"/>
      <c r="K6" s="9"/>
      <c r="L6" s="9"/>
      <c r="M6" s="9"/>
      <c r="N6" s="9"/>
      <c r="O6" s="9"/>
    </row>
    <row r="7" spans="1:15" ht="15.5" thickBot="1" x14ac:dyDescent="0.9">
      <c r="B7" s="16" t="s">
        <v>78</v>
      </c>
      <c r="C7" s="91" t="str">
        <f>B9</f>
        <v>Subject</v>
      </c>
      <c r="E7" s="31" t="str">
        <f>CONCATENATE("Source: ",C7)</f>
        <v>Source: Subject</v>
      </c>
      <c r="G7" s="1"/>
      <c r="H7" s="9"/>
      <c r="I7" s="9"/>
      <c r="J7" s="9"/>
      <c r="K7" s="9"/>
      <c r="L7" s="9"/>
      <c r="M7" s="9"/>
      <c r="N7" s="9"/>
      <c r="O7" s="9"/>
    </row>
    <row r="8" spans="1:15" ht="15.5" thickBot="1" x14ac:dyDescent="0.9">
      <c r="B8" s="29" t="s">
        <v>73</v>
      </c>
      <c r="C8" s="1" t="s">
        <v>14</v>
      </c>
      <c r="E8" s="32" t="str">
        <f>CONCATENATE("Target: ##34#",C8,"##34#")</f>
        <v>Target: ##34#hl7.org/fhir/r4##34#</v>
      </c>
      <c r="G8" s="1"/>
      <c r="H8" s="9"/>
      <c r="I8" s="9"/>
      <c r="J8" s="9"/>
      <c r="K8" s="9"/>
      <c r="L8" s="9"/>
      <c r="M8" s="9"/>
      <c r="N8" s="9"/>
      <c r="O8" s="9"/>
    </row>
    <row r="9" spans="1:15" x14ac:dyDescent="0.75">
      <c r="A9" s="8"/>
      <c r="B9" s="81" t="str">
        <f>Subj!B5</f>
        <v>Subject</v>
      </c>
      <c r="C9" s="4" t="s">
        <v>995</v>
      </c>
      <c r="E9" s="4" t="str">
        <f>CONCATENATE("* . -&gt; ##34#",C9,"##34#")</f>
        <v>* . -&gt; ##34#Patient##34#</v>
      </c>
      <c r="H9" s="9"/>
      <c r="I9" s="9"/>
      <c r="J9" s="9"/>
      <c r="K9" s="9"/>
      <c r="L9" s="9"/>
      <c r="M9" s="9"/>
      <c r="N9" s="9"/>
      <c r="O9" s="9"/>
    </row>
    <row r="10" spans="1:15" x14ac:dyDescent="0.75">
      <c r="A10" s="8"/>
      <c r="B10" s="8" t="str">
        <f>Subj!B8</f>
        <v>identifier</v>
      </c>
      <c r="C10" s="20" t="s">
        <v>996</v>
      </c>
      <c r="E10" s="17" t="str">
        <f>CONCATENATE("* ",B10," -&gt; ##34#",C10,"##34#")</f>
        <v>* identifier -&gt; ##34#Patient.identifier##34#</v>
      </c>
      <c r="G10" s="1"/>
      <c r="H10" s="9"/>
      <c r="I10" s="9"/>
      <c r="J10" s="9"/>
      <c r="K10" s="9"/>
      <c r="L10" s="9"/>
      <c r="M10" s="9"/>
      <c r="N10" s="9"/>
      <c r="O10" s="9"/>
    </row>
    <row r="11" spans="1:15" x14ac:dyDescent="0.75">
      <c r="A11" s="8"/>
      <c r="B11" s="8" t="str">
        <f>Subj!B9</f>
        <v>name</v>
      </c>
      <c r="C11" s="20" t="s">
        <v>997</v>
      </c>
      <c r="E11" s="17" t="str">
        <f t="shared" ref="E11:E32" si="0">CONCATENATE("* ",B11," -&gt; ##34#",C11,"##34#")</f>
        <v>* name -&gt; ##34#Patient.name##34#</v>
      </c>
      <c r="G11" s="1"/>
      <c r="H11" s="9"/>
      <c r="I11" s="9"/>
      <c r="J11" s="9"/>
      <c r="K11" s="9"/>
      <c r="L11" s="9"/>
      <c r="M11" s="9"/>
      <c r="N11" s="9"/>
      <c r="O11" s="9"/>
    </row>
    <row r="12" spans="1:15" x14ac:dyDescent="0.75">
      <c r="A12" s="8"/>
      <c r="B12" s="8" t="str">
        <f>Subj!B10</f>
        <v>name.lastname</v>
      </c>
      <c r="C12" s="20" t="s">
        <v>998</v>
      </c>
      <c r="E12" s="17" t="str">
        <f t="shared" si="0"/>
        <v>* name.lastname -&gt; ##34#Patient.name.given##34#</v>
      </c>
      <c r="G12" s="1"/>
      <c r="H12" s="9"/>
      <c r="I12" s="9"/>
      <c r="J12" s="9"/>
      <c r="K12" s="9"/>
      <c r="L12" s="9"/>
      <c r="M12" s="9"/>
      <c r="N12" s="9"/>
      <c r="O12" s="9"/>
    </row>
    <row r="13" spans="1:15" x14ac:dyDescent="0.75">
      <c r="A13" s="8"/>
      <c r="B13" s="8" t="str">
        <f>Subj!B11</f>
        <v>name.middleName</v>
      </c>
      <c r="C13" s="20" t="s">
        <v>998</v>
      </c>
      <c r="E13" s="17" t="str">
        <f t="shared" si="0"/>
        <v>* name.middleName -&gt; ##34#Patient.name.given##34#</v>
      </c>
      <c r="G13" s="1"/>
      <c r="H13" s="9"/>
      <c r="I13" s="9"/>
      <c r="J13" s="9"/>
      <c r="K13" s="9"/>
      <c r="L13" s="9"/>
      <c r="M13" s="9"/>
      <c r="N13" s="9"/>
      <c r="O13" s="9"/>
    </row>
    <row r="14" spans="1:15" x14ac:dyDescent="0.75">
      <c r="A14" s="8"/>
      <c r="B14" s="8" t="str">
        <f>Subj!B12</f>
        <v>name.firstName</v>
      </c>
      <c r="C14" s="20" t="s">
        <v>999</v>
      </c>
      <c r="E14" s="17" t="str">
        <f t="shared" si="0"/>
        <v>* name.firstName -&gt; ##34#Patient.name.family##34#</v>
      </c>
      <c r="G14" s="1"/>
      <c r="H14" s="9"/>
      <c r="I14" s="9"/>
      <c r="J14" s="9"/>
      <c r="K14" s="9"/>
      <c r="L14" s="9"/>
      <c r="M14" s="9"/>
      <c r="N14" s="9"/>
      <c r="O14" s="9"/>
    </row>
    <row r="15" spans="1:15" x14ac:dyDescent="0.75">
      <c r="A15" s="8"/>
      <c r="B15" s="8" t="str">
        <f>Subj!B13</f>
        <v>lastnameAtDiagnosis</v>
      </c>
      <c r="C15" s="20" t="s">
        <v>999</v>
      </c>
      <c r="E15" s="17" t="str">
        <f t="shared" si="0"/>
        <v>* lastnameAtDiagnosis -&gt; ##34#Patient.name.family##34#</v>
      </c>
      <c r="G15" s="1"/>
      <c r="H15" s="9"/>
      <c r="I15" s="9"/>
      <c r="J15" s="9"/>
      <c r="K15" s="9"/>
      <c r="L15" s="9"/>
      <c r="M15" s="9"/>
      <c r="N15" s="9"/>
      <c r="O15" s="9"/>
    </row>
    <row r="16" spans="1:15" x14ac:dyDescent="0.75">
      <c r="A16" s="8"/>
      <c r="B16" s="8" t="str">
        <f>Subj!B14</f>
        <v>gender</v>
      </c>
      <c r="C16" s="20" t="s">
        <v>1000</v>
      </c>
      <c r="E16" s="17" t="str">
        <f t="shared" si="0"/>
        <v>* gender -&gt; ##34#Patient.gender##34#</v>
      </c>
      <c r="G16" s="1"/>
      <c r="H16" s="9"/>
      <c r="I16" s="9"/>
      <c r="J16" s="9"/>
      <c r="K16" s="9"/>
      <c r="L16" s="9"/>
      <c r="M16" s="9"/>
      <c r="N16" s="9"/>
      <c r="O16" s="9"/>
    </row>
    <row r="17" spans="1:15" x14ac:dyDescent="0.75">
      <c r="A17" s="8"/>
      <c r="B17" s="8" t="str">
        <f>Subj!B15</f>
        <v>dateOfBirth</v>
      </c>
      <c r="C17" s="20" t="s">
        <v>1001</v>
      </c>
      <c r="E17" s="17" t="str">
        <f t="shared" si="0"/>
        <v>* dateOfBirth -&gt; ##34#Patient.birthDate##34#</v>
      </c>
      <c r="G17" s="1"/>
      <c r="H17" s="9"/>
      <c r="I17" s="9"/>
      <c r="J17" s="9"/>
      <c r="K17" s="9"/>
      <c r="L17" s="9"/>
      <c r="M17" s="9"/>
      <c r="N17" s="9"/>
      <c r="O17" s="9"/>
    </row>
    <row r="18" spans="1:15" ht="44.25" x14ac:dyDescent="0.75">
      <c r="A18" s="8"/>
      <c r="B18" s="8" t="str">
        <f>Subj!B16</f>
        <v>placeOfBirth</v>
      </c>
      <c r="C18" s="20" t="s">
        <v>1002</v>
      </c>
      <c r="E18" s="17" t="str">
        <f t="shared" si="0"/>
        <v>* placeOfBirth -&gt; ##34#Patient.extension(http://hl7.org/fhir/StructureDefinition/patient-birthPlace')##34#</v>
      </c>
      <c r="G18" s="1"/>
      <c r="H18" s="9"/>
      <c r="I18" s="9"/>
      <c r="J18" s="9"/>
      <c r="K18" s="9"/>
      <c r="L18" s="9"/>
      <c r="M18" s="9"/>
      <c r="N18" s="9"/>
      <c r="O18" s="9"/>
    </row>
    <row r="19" spans="1:15" x14ac:dyDescent="0.75">
      <c r="A19" s="8"/>
      <c r="B19" s="8" t="str">
        <f>Subj!B17</f>
        <v>contact</v>
      </c>
      <c r="C19" s="17" t="s">
        <v>1021</v>
      </c>
      <c r="E19" s="17" t="str">
        <f t="shared" si="0"/>
        <v>* contact -&gt; ##34#Patient.contact (if not the patient)##34#</v>
      </c>
      <c r="G19" s="1"/>
    </row>
    <row r="20" spans="1:15" x14ac:dyDescent="0.75">
      <c r="A20" s="8"/>
      <c r="B20" s="8" t="str">
        <f>Subj!B17</f>
        <v>contact</v>
      </c>
      <c r="C20" s="17" t="s">
        <v>1023</v>
      </c>
      <c r="E20" s="17" t="str">
        <f t="shared" si="0"/>
        <v>* contact -&gt; ##34#Patient.telecom (if the patient)##34#</v>
      </c>
      <c r="G20" s="1"/>
    </row>
    <row r="21" spans="1:15" x14ac:dyDescent="0.75">
      <c r="A21" s="8"/>
      <c r="B21" s="8" t="str">
        <f>Subj!B17</f>
        <v>contact</v>
      </c>
      <c r="C21" s="17" t="s">
        <v>1022</v>
      </c>
      <c r="E21" s="17" t="str">
        <f t="shared" si="0"/>
        <v>* contact -&gt; ##34#DocumentManifest.recipient (if intended recipient)##34#</v>
      </c>
      <c r="G21" s="1"/>
    </row>
    <row r="22" spans="1:15" x14ac:dyDescent="0.75">
      <c r="A22" s="8"/>
      <c r="B22" s="8" t="str">
        <f>Subj!B18</f>
        <v>contact.email</v>
      </c>
      <c r="C22" s="17" t="s">
        <v>1024</v>
      </c>
      <c r="E22" s="17" t="str">
        <f t="shared" si="0"/>
        <v>* contact.email -&gt; ##34#Patient.contact.telecom (if not the patient)##34#</v>
      </c>
      <c r="G22" s="1"/>
    </row>
    <row r="23" spans="1:15" x14ac:dyDescent="0.75">
      <c r="A23" s="8"/>
      <c r="B23" s="8" t="str">
        <f>Subj!B18</f>
        <v>contact.email</v>
      </c>
      <c r="C23" s="17" t="s">
        <v>1023</v>
      </c>
      <c r="E23" s="17" t="str">
        <f t="shared" si="0"/>
        <v>* contact.email -&gt; ##34#Patient.telecom (if the patient)##34#</v>
      </c>
      <c r="G23" s="1"/>
    </row>
    <row r="24" spans="1:15" ht="29.5" x14ac:dyDescent="0.75">
      <c r="A24" s="8"/>
      <c r="B24" s="8" t="str">
        <f>Subj!B18</f>
        <v>contact.email</v>
      </c>
      <c r="C24" s="17" t="s">
        <v>1025</v>
      </c>
      <c r="E24" s="17" t="str">
        <f t="shared" si="0"/>
        <v>* contact.email -&gt; ##34#DocumentManifest.recipient.resolve().telecom (if intended recipient)##34#</v>
      </c>
      <c r="G24" s="1"/>
    </row>
    <row r="25" spans="1:15" x14ac:dyDescent="0.75">
      <c r="A25" s="8"/>
      <c r="B25" s="8" t="str">
        <f>Subj!B19</f>
        <v>contact.mobile</v>
      </c>
      <c r="C25" s="17" t="s">
        <v>1024</v>
      </c>
      <c r="E25" s="17" t="str">
        <f t="shared" si="0"/>
        <v>* contact.mobile -&gt; ##34#Patient.contact.telecom (if not the patient)##34#</v>
      </c>
      <c r="G25" s="1"/>
    </row>
    <row r="26" spans="1:15" x14ac:dyDescent="0.75">
      <c r="A26" s="8"/>
      <c r="B26" s="8" t="str">
        <f>Subj!B19</f>
        <v>contact.mobile</v>
      </c>
      <c r="C26" s="17" t="s">
        <v>1023</v>
      </c>
      <c r="E26" s="17" t="str">
        <f t="shared" si="0"/>
        <v>* contact.mobile -&gt; ##34#Patient.telecom (if the patient)##34#</v>
      </c>
      <c r="G26" s="1"/>
    </row>
    <row r="27" spans="1:15" ht="29.5" x14ac:dyDescent="0.75">
      <c r="A27" s="8"/>
      <c r="B27" s="8" t="str">
        <f>Subj!B19</f>
        <v>contact.mobile</v>
      </c>
      <c r="C27" s="17" t="s">
        <v>1025</v>
      </c>
      <c r="E27" s="17" t="str">
        <f t="shared" si="0"/>
        <v>* contact.mobile -&gt; ##34#DocumentManifest.recipient.resolve().telecom (if intended recipient)##34#</v>
      </c>
      <c r="G27" s="1"/>
    </row>
    <row r="28" spans="1:15" x14ac:dyDescent="0.75">
      <c r="A28" s="8"/>
      <c r="B28" s="8" t="str">
        <f>Subj!B20</f>
        <v>contact.relationship</v>
      </c>
      <c r="C28" s="17" t="s">
        <v>1027</v>
      </c>
      <c r="E28" s="17" t="str">
        <f t="shared" si="0"/>
        <v>* contact.relationship -&gt; ##34#Patient.contact.relationship (if not the patient)##34#</v>
      </c>
      <c r="G28" s="1"/>
    </row>
    <row r="29" spans="1:15" x14ac:dyDescent="0.75">
      <c r="A29" s="8"/>
      <c r="B29" s="8" t="str">
        <f>Subj!B20</f>
        <v>contact.relationship</v>
      </c>
      <c r="C29" s="17" t="s">
        <v>1028</v>
      </c>
      <c r="E29" s="17" t="str">
        <f t="shared" si="0"/>
        <v>* contact.relationship -&gt; ##34#N/A (if the patient)##34#</v>
      </c>
      <c r="G29" s="1"/>
    </row>
    <row r="30" spans="1:15" ht="29.5" x14ac:dyDescent="0.75">
      <c r="A30" s="8"/>
      <c r="B30" s="8" t="str">
        <f>Subj!B20</f>
        <v>contact.relationship</v>
      </c>
      <c r="C30" s="17" t="s">
        <v>1026</v>
      </c>
      <c r="E30" s="17" t="str">
        <f t="shared" si="0"/>
        <v>* contact.relationship -&gt; ##34#DocumentManifest.recipient.resolve().relationship (if intended recipient - not patient)##34#</v>
      </c>
      <c r="G30" s="1"/>
    </row>
    <row r="31" spans="1:15" x14ac:dyDescent="0.75">
      <c r="A31" s="8"/>
      <c r="B31" s="8"/>
      <c r="C31" s="17"/>
      <c r="E31" s="17" t="str">
        <f t="shared" si="0"/>
        <v>*  -&gt; ##34###34#</v>
      </c>
    </row>
    <row r="32" spans="1:15" x14ac:dyDescent="0.75">
      <c r="A32" s="8"/>
      <c r="B32" s="8"/>
      <c r="C32" s="17"/>
      <c r="E32" s="17" t="str">
        <f t="shared" si="0"/>
        <v>*  -&gt; ##34###34#</v>
      </c>
    </row>
    <row r="33" spans="1:5" x14ac:dyDescent="0.75">
      <c r="A33" s="8"/>
      <c r="B33" s="8"/>
      <c r="C33" s="17"/>
      <c r="E33" s="17" t="str">
        <f t="shared" ref="E33:E58" si="1">CONCATENATE("* ",B33," -&gt; ##34#",C33,"##34#")</f>
        <v>*  -&gt; ##34###34#</v>
      </c>
    </row>
    <row r="34" spans="1:5" x14ac:dyDescent="0.75">
      <c r="B34" s="8"/>
      <c r="C34" s="17"/>
      <c r="E34" s="17" t="str">
        <f t="shared" si="1"/>
        <v>*  -&gt; ##34###34#</v>
      </c>
    </row>
    <row r="35" spans="1:5" x14ac:dyDescent="0.75">
      <c r="B35" s="8"/>
      <c r="C35" s="17"/>
      <c r="E35" s="17" t="str">
        <f t="shared" si="1"/>
        <v>*  -&gt; ##34###34#</v>
      </c>
    </row>
    <row r="36" spans="1:5" x14ac:dyDescent="0.75">
      <c r="B36" s="8"/>
      <c r="C36" s="20"/>
      <c r="E36" s="17" t="str">
        <f t="shared" si="1"/>
        <v>*  -&gt; ##34###34#</v>
      </c>
    </row>
    <row r="37" spans="1:5" x14ac:dyDescent="0.75">
      <c r="B37" s="8"/>
      <c r="C37" s="20"/>
      <c r="E37" s="17" t="str">
        <f t="shared" si="1"/>
        <v>*  -&gt; ##34###34#</v>
      </c>
    </row>
    <row r="38" spans="1:5" x14ac:dyDescent="0.75">
      <c r="B38" s="8"/>
      <c r="C38" s="20"/>
      <c r="E38" s="17" t="str">
        <f t="shared" si="1"/>
        <v>*  -&gt; ##34###34#</v>
      </c>
    </row>
    <row r="39" spans="1:5" x14ac:dyDescent="0.75">
      <c r="B39" s="8"/>
      <c r="C39" s="17"/>
      <c r="E39" s="17" t="str">
        <f t="shared" si="1"/>
        <v>*  -&gt; ##34###34#</v>
      </c>
    </row>
    <row r="40" spans="1:5" x14ac:dyDescent="0.75">
      <c r="B40" s="8"/>
      <c r="C40" s="17"/>
      <c r="E40" s="17" t="str">
        <f t="shared" si="1"/>
        <v>*  -&gt; ##34###34#</v>
      </c>
    </row>
    <row r="41" spans="1:5" x14ac:dyDescent="0.75">
      <c r="B41" s="8"/>
      <c r="C41" s="17"/>
      <c r="E41" s="17" t="str">
        <f t="shared" si="1"/>
        <v>*  -&gt; ##34###34#</v>
      </c>
    </row>
    <row r="42" spans="1:5" x14ac:dyDescent="0.75">
      <c r="B42" s="8"/>
      <c r="C42" s="17"/>
      <c r="E42" s="17" t="str">
        <f t="shared" si="1"/>
        <v>*  -&gt; ##34###34#</v>
      </c>
    </row>
    <row r="43" spans="1:5" x14ac:dyDescent="0.75">
      <c r="B43" s="8"/>
      <c r="C43" s="17"/>
      <c r="E43" s="17" t="str">
        <f t="shared" si="1"/>
        <v>*  -&gt; ##34###34#</v>
      </c>
    </row>
    <row r="44" spans="1:5" x14ac:dyDescent="0.75">
      <c r="B44" s="8"/>
      <c r="C44" s="17"/>
      <c r="E44" s="17" t="str">
        <f t="shared" si="1"/>
        <v>*  -&gt; ##34###34#</v>
      </c>
    </row>
    <row r="45" spans="1:5" x14ac:dyDescent="0.75">
      <c r="B45" s="8"/>
      <c r="C45" s="17"/>
      <c r="E45" s="17" t="str">
        <f t="shared" si="1"/>
        <v>*  -&gt; ##34###34#</v>
      </c>
    </row>
    <row r="46" spans="1:5" x14ac:dyDescent="0.75">
      <c r="B46" s="8"/>
      <c r="C46" s="17"/>
      <c r="E46" s="17" t="str">
        <f t="shared" si="1"/>
        <v>*  -&gt; ##34###34#</v>
      </c>
    </row>
    <row r="47" spans="1:5" x14ac:dyDescent="0.75">
      <c r="B47" s="8"/>
      <c r="C47" s="17"/>
      <c r="E47" s="17" t="str">
        <f t="shared" si="1"/>
        <v>*  -&gt; ##34###34#</v>
      </c>
    </row>
    <row r="48" spans="1:5" x14ac:dyDescent="0.75">
      <c r="B48" s="8"/>
      <c r="C48" s="17"/>
      <c r="E48" s="17" t="str">
        <f t="shared" si="1"/>
        <v>*  -&gt; ##34###34#</v>
      </c>
    </row>
    <row r="49" spans="2:5" x14ac:dyDescent="0.75">
      <c r="B49" s="8"/>
      <c r="C49" s="17"/>
      <c r="E49" s="17" t="str">
        <f t="shared" si="1"/>
        <v>*  -&gt; ##34###34#</v>
      </c>
    </row>
    <row r="50" spans="2:5" x14ac:dyDescent="0.75">
      <c r="B50" s="8"/>
      <c r="C50" s="17"/>
      <c r="E50" s="17" t="str">
        <f t="shared" si="1"/>
        <v>*  -&gt; ##34###34#</v>
      </c>
    </row>
    <row r="51" spans="2:5" x14ac:dyDescent="0.75">
      <c r="B51" s="8"/>
      <c r="C51" s="17"/>
      <c r="E51" s="17" t="str">
        <f t="shared" si="1"/>
        <v>*  -&gt; ##34###34#</v>
      </c>
    </row>
    <row r="52" spans="2:5" x14ac:dyDescent="0.75">
      <c r="B52" s="8"/>
      <c r="C52" s="17"/>
      <c r="E52" s="17" t="str">
        <f t="shared" si="1"/>
        <v>*  -&gt; ##34###34#</v>
      </c>
    </row>
    <row r="53" spans="2:5" x14ac:dyDescent="0.75">
      <c r="B53" s="8"/>
      <c r="C53" s="17"/>
      <c r="E53" s="17" t="str">
        <f t="shared" si="1"/>
        <v>*  -&gt; ##34###34#</v>
      </c>
    </row>
    <row r="54" spans="2:5" x14ac:dyDescent="0.75">
      <c r="B54" s="8">
        <f>Subj!B37</f>
        <v>0</v>
      </c>
      <c r="C54" s="17"/>
      <c r="E54" s="17" t="str">
        <f t="shared" si="1"/>
        <v>* 0 -&gt; ##34###34#</v>
      </c>
    </row>
    <row r="55" spans="2:5" x14ac:dyDescent="0.75">
      <c r="E55" s="17" t="str">
        <f t="shared" si="1"/>
        <v>*  -&gt; ##34###34#</v>
      </c>
    </row>
    <row r="56" spans="2:5" x14ac:dyDescent="0.75">
      <c r="E56" s="17" t="str">
        <f t="shared" si="1"/>
        <v>*  -&gt; ##34###34#</v>
      </c>
    </row>
    <row r="57" spans="2:5" x14ac:dyDescent="0.75">
      <c r="E57" s="17" t="str">
        <f t="shared" si="1"/>
        <v>*  -&gt; ##34###34#</v>
      </c>
    </row>
    <row r="58" spans="2:5" x14ac:dyDescent="0.75">
      <c r="E58" s="17" t="str">
        <f t="shared" si="1"/>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D14F-488B-44C1-8E3B-FD8EFA31FEA1}">
  <sheetPr codeName="Foglio10">
    <tabColor theme="9" tint="0.39997558519241921"/>
  </sheetPr>
  <dimension ref="C1:G66"/>
  <sheetViews>
    <sheetView workbookViewId="0">
      <selection activeCell="K37" sqref="K37"/>
    </sheetView>
  </sheetViews>
  <sheetFormatPr defaultRowHeight="14.75" x14ac:dyDescent="0.75"/>
  <cols>
    <col min="3" max="3" width="108.2265625" style="17" customWidth="1"/>
    <col min="7" max="7" width="33.26953125" customWidth="1"/>
  </cols>
  <sheetData>
    <row r="1" spans="3:7" ht="15.5" thickBot="1" x14ac:dyDescent="0.9">
      <c r="C1" s="34" t="str">
        <f>Subj!I1</f>
        <v>// -------------------------------------------------------------------------------</v>
      </c>
    </row>
    <row r="2" spans="3:7" ht="16.75" thickBot="1" x14ac:dyDescent="0.9">
      <c r="C2" s="35" t="str">
        <f>Subj!I2</f>
        <v>//  Logical Model</v>
      </c>
      <c r="G2" s="92" t="str">
        <f>"pcsp-"&amp;Subj!B5&amp;".fsh"</f>
        <v>pcsp-Subject.fsh</v>
      </c>
    </row>
    <row r="3" spans="3:7" x14ac:dyDescent="0.75">
      <c r="C3" s="35" t="str">
        <f>Subj!I3</f>
        <v>// -------------------------------------------------------------------------------</v>
      </c>
    </row>
    <row r="4" spans="3:7" x14ac:dyDescent="0.75">
      <c r="C4" s="27" t="str">
        <f>Subj!I4</f>
        <v>Logical: Subject</v>
      </c>
    </row>
    <row r="5" spans="3:7" x14ac:dyDescent="0.75">
      <c r="C5" s="27" t="str">
        <f>Subj!I5</f>
        <v>Id: Subject</v>
      </c>
    </row>
    <row r="6" spans="3:7" x14ac:dyDescent="0.75">
      <c r="C6" s="27" t="str">
        <f>Subj!I6</f>
        <v>Title: ##34#Subject of care##34#</v>
      </c>
    </row>
    <row r="7" spans="3:7" ht="29.5" x14ac:dyDescent="0.75">
      <c r="C7" s="27" t="str">
        <f>Subj!I7</f>
        <v>Description:  ##334#Subject of care
Maturity Level: 2 - Ready for Review##334#</v>
      </c>
    </row>
    <row r="8" spans="3:7" x14ac:dyDescent="0.75">
      <c r="C8" s="17" t="str">
        <f>IF(Subj!I8="*  ..  ##34###34# ##334###334#","//--- END",Subj!I8)</f>
        <v>* identifier 1..* Identifier ##34#ID##34# ##334#ID##334#</v>
      </c>
    </row>
    <row r="9" spans="3:7" x14ac:dyDescent="0.75">
      <c r="C9" s="17" t="str">
        <f>IF(Subj!I9="*  ..  ##34###34# ##334###334#","//--- END",Subj!I9)</f>
        <v>* name 1..* BackboneElement ##34#Subject Name##34# ##334#Subject Name##334#</v>
      </c>
    </row>
    <row r="10" spans="3:7" x14ac:dyDescent="0.75">
      <c r="C10" s="17" t="str">
        <f>IF(Subj!I10="*  ..  ##34###34# ##334###334#","//--- END",Subj!I10)</f>
        <v>* name.lastname 1..* string ##34#Lastname##34# ##334#Lastname##334#</v>
      </c>
    </row>
    <row r="11" spans="3:7" x14ac:dyDescent="0.75">
      <c r="C11" s="17" t="str">
        <f>IF(Subj!I11="*  ..  ##34###34# ##334###334#","//--- END",Subj!I11)</f>
        <v>* name.middleName 0..* string ##34#Middlename##34# ##334#Middlename##334#</v>
      </c>
    </row>
    <row r="12" spans="3:7" x14ac:dyDescent="0.75">
      <c r="C12" s="17" t="str">
        <f>IF(Subj!I12="*  ..  ##34###34# ##334###334#","//--- END",Subj!I12)</f>
        <v>* name.firstName 1..* string ##34#Firstname##34# ##334#Firstname##334#</v>
      </c>
    </row>
    <row r="13" spans="3:7" ht="29.5" x14ac:dyDescent="0.75">
      <c r="C13" s="17" t="str">
        <f>IF(Subj!I13="*  ..  ##34###34# ##334###334#","//--- END",Subj!I13)</f>
        <v>* lastnameAtDiagnosis 0..* string ##34#Lastname at diagnosis (if different from the actual one)##34# ##334#Lastname at diagnosis (if different from the actual one)##334#</v>
      </c>
    </row>
    <row r="14" spans="3:7" x14ac:dyDescent="0.75">
      <c r="C14" s="17" t="str">
        <f>IF(Subj!I14="*  ..  ##34###34# ##334###334#","//--- END",Subj!I14)</f>
        <v>* gender 1..* CodeableConcept ##34#Gender/Sex##34# ##334#Gender/Sex##334#</v>
      </c>
    </row>
    <row r="15" spans="3:7" x14ac:dyDescent="0.75">
      <c r="C15" s="17" t="str">
        <f>IF(Subj!I15="*  ..  ##34###34# ##334###334#","//--- END",Subj!I15)</f>
        <v>* dateOfBirth 0..* dateTime ##34#Date of birth##34# ##334#Date of birth##334#</v>
      </c>
    </row>
    <row r="16" spans="3:7" x14ac:dyDescent="0.75">
      <c r="C16" s="17" t="str">
        <f>IF(Subj!I16="*  ..  ##34###34# ##334###334#","//--- END",Subj!I16)</f>
        <v>* placeOfBirth 0..* Address ##34#Place of birth##34# ##334#Place of birth##334#</v>
      </c>
    </row>
    <row r="17" spans="3:3" x14ac:dyDescent="0.75">
      <c r="C17" s="17" t="str">
        <f>IF(Subj!I17="*  ..  ##34###34# ##334###334#","//--- END",Subj!I17)</f>
        <v>* contact 0..* BackboneElement ##34#Contact - receiver of the passport##34# ##334#Contact - receiver of the passport##334#</v>
      </c>
    </row>
    <row r="18" spans="3:3" x14ac:dyDescent="0.75">
      <c r="C18" s="17" t="str">
        <f>IF(Subj!I18="*  ..  ##34###34# ##334###334#","//--- END",Subj!I18)</f>
        <v>* contact.email 0..* uri ##34#E-mail##34# ##334#E-mail##334#</v>
      </c>
    </row>
    <row r="19" spans="3:3" x14ac:dyDescent="0.75">
      <c r="C19" s="17" t="str">
        <f>IF(Subj!I19="*  ..  ##34###34# ##334###334#","//--- END",Subj!I19)</f>
        <v>* contact.mobile 0..* uri ##34#Mobile phone##34# ##334#Mobile phone##334#</v>
      </c>
    </row>
    <row r="20" spans="3:3" ht="29.5" x14ac:dyDescent="0.75">
      <c r="C20" s="17" t="str">
        <f>IF(Subj!I20="*  ..  ##34###34# ##334###334#","//--- END",Subj!I20)</f>
        <v>* contact.relationship 0..1 CodeableConcept ##34#Relationship with the subject##34# ##334#Relationship with the subject##334#</v>
      </c>
    </row>
    <row r="21" spans="3:3" x14ac:dyDescent="0.75">
      <c r="C21" s="17" t="str">
        <f>IF(Subj!I21="*  ..  ##34###34# ##334###334#","//--- END",Subj!I21)</f>
        <v>//--- END</v>
      </c>
    </row>
    <row r="22" spans="3:3" x14ac:dyDescent="0.75">
      <c r="C22" s="17" t="str">
        <f>IF(Subj!I22="*  ..  ##34###34# ##334###334#","//--- END",Subj!I22)</f>
        <v>//--- END</v>
      </c>
    </row>
    <row r="23" spans="3:3" x14ac:dyDescent="0.75">
      <c r="C23" s="17" t="str">
        <f>IF(Subj!I23="*  ..  ##34###34# ##334###334#","//--- END",Subj!I23)</f>
        <v>//--- END</v>
      </c>
    </row>
    <row r="32" spans="3:3" x14ac:dyDescent="0.75">
      <c r="C32" s="34" t="str">
        <f>'Subj-Map'!E1</f>
        <v>// -------------------------------------------------------------------------------</v>
      </c>
    </row>
    <row r="33" spans="3:3" x14ac:dyDescent="0.75">
      <c r="C33" s="35" t="str">
        <f>'Subj-Map'!E2</f>
        <v>//  Map to FHIR R4</v>
      </c>
    </row>
    <row r="34" spans="3:3" x14ac:dyDescent="0.75">
      <c r="C34" s="35" t="str">
        <f>'Subj-Map'!E3</f>
        <v>// -------------------------------------------------------------------------------</v>
      </c>
    </row>
    <row r="35" spans="3:3" x14ac:dyDescent="0.75">
      <c r="C35" s="17" t="str">
        <f>'Subj-Map'!E4</f>
        <v>Mapping: Subject2Fhir</v>
      </c>
    </row>
    <row r="36" spans="3:3" x14ac:dyDescent="0.75">
      <c r="C36" s="17" t="str">
        <f>'Subj-Map'!E5</f>
        <v>Id: fhir</v>
      </c>
    </row>
    <row r="37" spans="3:3" x14ac:dyDescent="0.75">
      <c r="C37" s="17" t="str">
        <f>'Subj-Map'!E6</f>
        <v>Title: ##34#Subject model to PCSP HL7 FHIR R4 Profiles##34#</v>
      </c>
    </row>
    <row r="38" spans="3:3" x14ac:dyDescent="0.75">
      <c r="C38" s="17" t="str">
        <f>'Subj-Map'!E7</f>
        <v>Source: Subject</v>
      </c>
    </row>
    <row r="39" spans="3:3" x14ac:dyDescent="0.75">
      <c r="C39" s="17" t="str">
        <f>'Subj-Map'!E8</f>
        <v>Target: ##34#hl7.org/fhir/r4##34#</v>
      </c>
    </row>
    <row r="41" spans="3:3" x14ac:dyDescent="0.75">
      <c r="C41" s="17" t="str">
        <f>IF('Subj-Map'!E9="*  -&gt; ##34###34#","// --END",'Subj-Map'!E9)</f>
        <v>* . -&gt; ##34#Patient##34#</v>
      </c>
    </row>
    <row r="42" spans="3:3" x14ac:dyDescent="0.75">
      <c r="C42" s="17" t="str">
        <f>IF('Subj-Map'!E10="*  -&gt; ##34###34#","// --END",'Subj-Map'!E10)</f>
        <v>* identifier -&gt; ##34#Patient.identifier##34#</v>
      </c>
    </row>
    <row r="43" spans="3:3" x14ac:dyDescent="0.75">
      <c r="C43" s="17" t="str">
        <f>IF('Subj-Map'!E11="*  -&gt; ##34###34#","// --END",'Subj-Map'!E11)</f>
        <v>* name -&gt; ##34#Patient.name##34#</v>
      </c>
    </row>
    <row r="44" spans="3:3" x14ac:dyDescent="0.75">
      <c r="C44" s="17" t="str">
        <f>IF('Subj-Map'!E12="*  -&gt; ##34###34#","// --END",'Subj-Map'!E12)</f>
        <v>* name.lastname -&gt; ##34#Patient.name.given##34#</v>
      </c>
    </row>
    <row r="45" spans="3:3" x14ac:dyDescent="0.75">
      <c r="C45" s="17" t="str">
        <f>IF('Subj-Map'!E13="*  -&gt; ##34###34#","// --END",'Subj-Map'!E13)</f>
        <v>* name.middleName -&gt; ##34#Patient.name.given##34#</v>
      </c>
    </row>
    <row r="46" spans="3:3" x14ac:dyDescent="0.75">
      <c r="C46" s="17" t="str">
        <f>IF('Subj-Map'!E14="*  -&gt; ##34###34#","// --END",'Subj-Map'!E14)</f>
        <v>* name.firstName -&gt; ##34#Patient.name.family##34#</v>
      </c>
    </row>
    <row r="47" spans="3:3" x14ac:dyDescent="0.75">
      <c r="C47" s="17" t="str">
        <f>IF('Subj-Map'!E15="*  -&gt; ##34###34#","// --END",'Subj-Map'!E15)</f>
        <v>* lastnameAtDiagnosis -&gt; ##34#Patient.name.family##34#</v>
      </c>
    </row>
    <row r="48" spans="3:3" x14ac:dyDescent="0.75">
      <c r="C48" s="17" t="str">
        <f>IF('Subj-Map'!E16="*  -&gt; ##34###34#","// --END",'Subj-Map'!E16)</f>
        <v>* gender -&gt; ##34#Patient.gender##34#</v>
      </c>
    </row>
    <row r="49" spans="3:3" x14ac:dyDescent="0.75">
      <c r="C49" s="17" t="str">
        <f>IF('Subj-Map'!E17="*  -&gt; ##34###34#","// --END",'Subj-Map'!E17)</f>
        <v>* dateOfBirth -&gt; ##34#Patient.birthDate##34#</v>
      </c>
    </row>
    <row r="50" spans="3:3" x14ac:dyDescent="0.75">
      <c r="C50" s="17" t="str">
        <f>IF('Subj-Map'!E18="*  -&gt; ##34###34#","// --END",'Subj-Map'!E18)</f>
        <v>* placeOfBirth -&gt; ##34#Patient.extension(http://hl7.org/fhir/StructureDefinition/patient-birthPlace')##34#</v>
      </c>
    </row>
    <row r="51" spans="3:3" x14ac:dyDescent="0.75">
      <c r="C51" s="17" t="str">
        <f>IF('Subj-Map'!E19="*  -&gt; ##34###34#","// --END",'Subj-Map'!E19)</f>
        <v>* contact -&gt; ##34#Patient.contact (if not the patient)##34#</v>
      </c>
    </row>
    <row r="52" spans="3:3" x14ac:dyDescent="0.75">
      <c r="C52" s="17" t="str">
        <f>IF('Subj-Map'!E20="*  -&gt; ##34###34#","// --END",'Subj-Map'!E20)</f>
        <v>* contact -&gt; ##34#Patient.telecom (if the patient)##34#</v>
      </c>
    </row>
    <row r="53" spans="3:3" x14ac:dyDescent="0.75">
      <c r="C53" s="17" t="str">
        <f>IF('Subj-Map'!E21="*  -&gt; ##34###34#","// --END",'Subj-Map'!E21)</f>
        <v>* contact -&gt; ##34#DocumentManifest.recipient (if intended recipient)##34#</v>
      </c>
    </row>
    <row r="54" spans="3:3" x14ac:dyDescent="0.75">
      <c r="C54" s="17" t="str">
        <f>IF('Subj-Map'!E22="*  -&gt; ##34###34#","// --END",'Subj-Map'!E22)</f>
        <v>* contact.email -&gt; ##34#Patient.contact.telecom (if not the patient)##34#</v>
      </c>
    </row>
    <row r="55" spans="3:3" x14ac:dyDescent="0.75">
      <c r="C55" s="17" t="str">
        <f>IF('Subj-Map'!E23="*  -&gt; ##34###34#","// --END",'Subj-Map'!E23)</f>
        <v>* contact.email -&gt; ##34#Patient.telecom (if the patient)##34#</v>
      </c>
    </row>
    <row r="56" spans="3:3" x14ac:dyDescent="0.75">
      <c r="C56" s="17" t="str">
        <f>IF('Subj-Map'!E24="*  -&gt; ##34###34#","// --END",'Subj-Map'!E24)</f>
        <v>* contact.email -&gt; ##34#DocumentManifest.recipient.resolve().telecom (if intended recipient)##34#</v>
      </c>
    </row>
    <row r="57" spans="3:3" x14ac:dyDescent="0.75">
      <c r="C57" s="17" t="str">
        <f>IF('Subj-Map'!E25="*  -&gt; ##34###34#","// --END",'Subj-Map'!E25)</f>
        <v>* contact.mobile -&gt; ##34#Patient.contact.telecom (if not the patient)##34#</v>
      </c>
    </row>
    <row r="58" spans="3:3" x14ac:dyDescent="0.75">
      <c r="C58" s="17" t="str">
        <f>IF('Subj-Map'!E26="*  -&gt; ##34###34#","// --END",'Subj-Map'!E26)</f>
        <v>* contact.mobile -&gt; ##34#Patient.telecom (if the patient)##34#</v>
      </c>
    </row>
    <row r="59" spans="3:3" x14ac:dyDescent="0.75">
      <c r="C59" s="17" t="str">
        <f>IF('Subj-Map'!E27="*  -&gt; ##34###34#","// --END",'Subj-Map'!E27)</f>
        <v>* contact.mobile -&gt; ##34#DocumentManifest.recipient.resolve().telecom (if intended recipient)##34#</v>
      </c>
    </row>
    <row r="60" spans="3:3" x14ac:dyDescent="0.75">
      <c r="C60" s="17" t="str">
        <f>IF('Subj-Map'!E28="*  -&gt; ##34###34#","// --END",'Subj-Map'!E28)</f>
        <v>* contact.relationship -&gt; ##34#Patient.contact.relationship (if not the patient)##34#</v>
      </c>
    </row>
    <row r="61" spans="3:3" x14ac:dyDescent="0.75">
      <c r="C61" s="17" t="str">
        <f>IF('Subj-Map'!E29="*  -&gt; ##34###34#","// --END",'Subj-Map'!E29)</f>
        <v>* contact.relationship -&gt; ##34#N/A (if the patient)##34#</v>
      </c>
    </row>
    <row r="62" spans="3:3" x14ac:dyDescent="0.75">
      <c r="C62" s="17" t="str">
        <f>IF('Subj-Map'!E30="*  -&gt; ##34###34#","// --END",'Subj-Map'!E30)</f>
        <v>* contact.relationship -&gt; ##34#DocumentManifest.recipient.resolve().relationship (if intended recipient - not patient)##34#</v>
      </c>
    </row>
    <row r="63" spans="3:3" x14ac:dyDescent="0.75">
      <c r="C63" s="17" t="str">
        <f>IF('Subj-Map'!E31="*  -&gt; ##34###34#","// --END",'Subj-Map'!E31)</f>
        <v>// --END</v>
      </c>
    </row>
    <row r="64" spans="3:3" x14ac:dyDescent="0.75">
      <c r="C64" s="17" t="str">
        <f>IF('Subj-Map'!E32="*  -&gt; ##34###34#","// --END",'Subj-Map'!E32)</f>
        <v>// --END</v>
      </c>
    </row>
    <row r="65" spans="3:3" x14ac:dyDescent="0.75">
      <c r="C65" s="17" t="str">
        <f>IF('Subj-Map'!E33="*  -&gt; ##34###34#","// --END",'Subj-Map'!E33)</f>
        <v>// --END</v>
      </c>
    </row>
    <row r="66" spans="3:3" x14ac:dyDescent="0.75">
      <c r="C66" s="17" t="str">
        <f>IF('Subj-Map'!E34="*  -&gt; ##34###34#","// --END",'Subj-Map'!E34)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036A-7936-4E19-AFD7-97227E18B46D}">
  <sheetPr codeName="Foglio34">
    <tabColor theme="4" tint="0.59999389629810485"/>
  </sheetPr>
  <dimension ref="A1:L41"/>
  <sheetViews>
    <sheetView workbookViewId="0">
      <selection activeCell="B15" sqref="B1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Chemotherapy</v>
      </c>
      <c r="I4" s="27" t="str">
        <f>CONCATENATE("Logical: ",B4)</f>
        <v>Logical: Chemotherapy</v>
      </c>
    </row>
    <row r="5" spans="1:11" ht="15.5" thickBot="1" x14ac:dyDescent="0.9">
      <c r="A5" s="22" t="s">
        <v>76</v>
      </c>
      <c r="B5" s="87" t="s">
        <v>847</v>
      </c>
      <c r="I5" s="27" t="str">
        <f>CONCATENATE("Id: ",B5)</f>
        <v>Id: Chemotherapy</v>
      </c>
    </row>
    <row r="6" spans="1:11" x14ac:dyDescent="0.75">
      <c r="A6" s="22" t="s">
        <v>11</v>
      </c>
      <c r="B6" t="s">
        <v>847</v>
      </c>
      <c r="I6" s="28" t="str">
        <f>CONCATENATE("Title: ##34#",B6,"##34#")</f>
        <v>Title: ##34#Chemotherapy##34#</v>
      </c>
    </row>
    <row r="7" spans="1:11" ht="30.25" thickBot="1" x14ac:dyDescent="0.9">
      <c r="A7" s="23" t="s">
        <v>4</v>
      </c>
      <c r="B7" s="18" t="s">
        <v>1030</v>
      </c>
      <c r="C7" s="12" t="s">
        <v>5</v>
      </c>
      <c r="D7" s="2" t="s">
        <v>6</v>
      </c>
      <c r="E7" s="3" t="s">
        <v>7</v>
      </c>
      <c r="F7" s="3" t="s">
        <v>8</v>
      </c>
      <c r="G7" s="3" t="s">
        <v>9</v>
      </c>
      <c r="I7" s="28" t="str">
        <f>CONCATENATE("Description: "," ##334#",B7,"##334#",)</f>
        <v>Description:  ##334#Chemotherapy 
Maturity Level: 2 - Ready for Review##334#</v>
      </c>
    </row>
    <row r="8" spans="1:11" x14ac:dyDescent="0.75">
      <c r="A8" s="8">
        <v>1</v>
      </c>
      <c r="B8" s="8" t="s">
        <v>72</v>
      </c>
      <c r="C8" s="17" t="s">
        <v>1031</v>
      </c>
      <c r="D8" s="17" t="s">
        <v>1032</v>
      </c>
      <c r="E8" s="8">
        <v>1</v>
      </c>
      <c r="F8" s="8">
        <v>1</v>
      </c>
      <c r="G8" s="8" t="s">
        <v>0</v>
      </c>
      <c r="H8" s="25"/>
      <c r="I8" s="17" t="str">
        <f>CONCATENATE("* ",B8, " ",E8,"..",F8," ",G8," ##34#",C8,"##34# ##334#",D8,"##334#")</f>
        <v>* relatedDiagnosis 1..1 Identifier ##34#Related Diagnosis##34# ##334#Identifier of the diagnosis for which this chemotherapy is performed##334#</v>
      </c>
    </row>
    <row r="9" spans="1:11" ht="29.5" x14ac:dyDescent="0.75">
      <c r="A9" s="8">
        <v>2</v>
      </c>
      <c r="B9" s="8" t="s">
        <v>1033</v>
      </c>
      <c r="C9" s="17" t="s">
        <v>1034</v>
      </c>
      <c r="D9" s="17" t="s">
        <v>37</v>
      </c>
      <c r="E9" s="8">
        <v>1</v>
      </c>
      <c r="F9" s="8">
        <v>1</v>
      </c>
      <c r="G9" s="8" t="s">
        <v>906</v>
      </c>
      <c r="H9" s="25"/>
      <c r="I9" s="17" t="str">
        <f t="shared" ref="I9:I41" si="0">CONCATENATE("* ",B9, " ",E9,"..",F9," ",G9," ##34#",C9,"##34# ##334#",D9,"##334#")</f>
        <v>* startDate 1..1 dateTime ##34#Start date##34# ##334#Please report the date of the first chemotherapy given. If the date is unkown or partially missed insert the year at the best of your knowledge.##334#</v>
      </c>
    </row>
    <row r="10" spans="1:11" ht="44.25" x14ac:dyDescent="0.75">
      <c r="A10" s="8">
        <v>3</v>
      </c>
      <c r="B10" s="8" t="s">
        <v>1035</v>
      </c>
      <c r="C10" s="17" t="s">
        <v>1036</v>
      </c>
      <c r="D10" s="17" t="s">
        <v>38</v>
      </c>
      <c r="E10" s="8">
        <v>1</v>
      </c>
      <c r="F10" s="8">
        <v>1</v>
      </c>
      <c r="G10" s="8" t="s">
        <v>906</v>
      </c>
      <c r="H10" s="25"/>
      <c r="I10" s="17" t="str">
        <f t="shared" si="0"/>
        <v>* endDate 1..1 dateTime ##34#End date##34# ##334#Please report the date of the last chemotherapy given. If the date is unkown or partially missed insert the year at the best of your knowledge.##334#</v>
      </c>
    </row>
    <row r="11" spans="1:11" ht="44.25" x14ac:dyDescent="0.75">
      <c r="A11" s="8">
        <v>4</v>
      </c>
      <c r="B11" s="17" t="s">
        <v>1037</v>
      </c>
      <c r="C11" s="17" t="s">
        <v>1038</v>
      </c>
      <c r="D11" s="17" t="s">
        <v>36</v>
      </c>
      <c r="E11" s="8">
        <v>0</v>
      </c>
      <c r="F11" s="8">
        <v>1</v>
      </c>
      <c r="G11" s="8" t="s">
        <v>841</v>
      </c>
      <c r="H11" s="25"/>
      <c r="I11" s="17" t="str">
        <f t="shared" si="0"/>
        <v>* istitutionOfTreatment 0..1 BackboneElement ##34#Institution of treatment##34# ##334#Please indicate the institution in which all or most of the chemotherapeutic treatment was given##334#</v>
      </c>
    </row>
    <row r="12" spans="1:11" ht="44.25" x14ac:dyDescent="0.75">
      <c r="A12" s="8">
        <v>5</v>
      </c>
      <c r="B12" s="17" t="s">
        <v>1039</v>
      </c>
      <c r="C12" s="17" t="s">
        <v>1040</v>
      </c>
      <c r="D12" s="17" t="s">
        <v>1041</v>
      </c>
      <c r="E12" s="8">
        <v>0</v>
      </c>
      <c r="F12" s="8">
        <v>1</v>
      </c>
      <c r="G12" s="8" t="s">
        <v>2</v>
      </c>
      <c r="H12" s="25"/>
      <c r="I12" s="17" t="str">
        <f t="shared" si="0"/>
        <v>* istitutionOfTreatment.description 0..1 string ##34#Institution description##34# ##334#Please provide name, city and countryof the institution##334#</v>
      </c>
    </row>
    <row r="13" spans="1:11" ht="29.5" x14ac:dyDescent="0.75">
      <c r="A13" s="8">
        <v>6</v>
      </c>
      <c r="B13" s="17" t="s">
        <v>1042</v>
      </c>
      <c r="C13" s="17" t="s">
        <v>1043</v>
      </c>
      <c r="D13" s="17" t="s">
        <v>1043</v>
      </c>
      <c r="E13" s="8">
        <v>0</v>
      </c>
      <c r="F13" s="8">
        <v>1</v>
      </c>
      <c r="G13" s="8" t="s">
        <v>2</v>
      </c>
      <c r="H13" s="25"/>
      <c r="I13" s="17" t="str">
        <f t="shared" si="0"/>
        <v>* istitutionOfTreatment.name 0..1 string ##34#Institution name##34# ##334#Institution name##334#</v>
      </c>
    </row>
    <row r="14" spans="1:11" ht="29.5" x14ac:dyDescent="0.75">
      <c r="A14" s="8">
        <v>7</v>
      </c>
      <c r="B14" s="17" t="s">
        <v>1044</v>
      </c>
      <c r="C14" s="17" t="s">
        <v>1045</v>
      </c>
      <c r="D14" s="17" t="s">
        <v>1045</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1046</v>
      </c>
      <c r="C15" s="17" t="s">
        <v>1047</v>
      </c>
      <c r="D15" s="17" t="s">
        <v>1047</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1048</v>
      </c>
      <c r="C16" s="17" t="s">
        <v>1049</v>
      </c>
      <c r="D16" s="17" t="s">
        <v>1049</v>
      </c>
      <c r="E16" s="8">
        <v>0</v>
      </c>
      <c r="F16" s="8">
        <v>1</v>
      </c>
      <c r="G16" s="8" t="s">
        <v>2</v>
      </c>
      <c r="I16" s="17" t="str">
        <f t="shared" si="0"/>
        <v>* istitutionOfTreatment.address.country 0..1 string ##34#Institution country##34# ##334#Institution country##334#</v>
      </c>
    </row>
    <row r="17" spans="1:9" ht="44.25" x14ac:dyDescent="0.75">
      <c r="A17" s="8">
        <v>10</v>
      </c>
      <c r="B17" s="17" t="s">
        <v>1050</v>
      </c>
      <c r="C17" s="17" t="s">
        <v>1051</v>
      </c>
      <c r="D17" s="17" t="s">
        <v>1052</v>
      </c>
      <c r="E17" s="8">
        <v>1</v>
      </c>
      <c r="F17" s="8">
        <v>20</v>
      </c>
      <c r="G17" s="8" t="s">
        <v>841</v>
      </c>
      <c r="I17" s="17" t="str">
        <f t="shared" si="0"/>
        <v>* productAdministration 1..20 BackboneElement ##34#Product(s) administartion data##34# ##334#Information about the product(s) administered##334#</v>
      </c>
    </row>
    <row r="18" spans="1:9" ht="147.5" x14ac:dyDescent="0.75">
      <c r="A18" s="8">
        <v>11</v>
      </c>
      <c r="B18" s="17" t="s">
        <v>1053</v>
      </c>
      <c r="C18" s="17" t="s">
        <v>1054</v>
      </c>
      <c r="D18" s="17" t="s">
        <v>1055</v>
      </c>
      <c r="E18" s="8">
        <v>1</v>
      </c>
      <c r="F18" s="8">
        <v>1</v>
      </c>
      <c r="G18" s="8" t="s">
        <v>1</v>
      </c>
      <c r="I18" s="17" t="str">
        <f t="shared" si="0"/>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1:9" ht="29.5" x14ac:dyDescent="0.75">
      <c r="A19" s="8">
        <v>12</v>
      </c>
      <c r="B19" s="17" t="s">
        <v>1056</v>
      </c>
      <c r="C19" s="17" t="s">
        <v>1057</v>
      </c>
      <c r="D19" s="17" t="s">
        <v>1058</v>
      </c>
      <c r="E19" s="8">
        <v>0</v>
      </c>
      <c r="F19" s="8">
        <v>1</v>
      </c>
      <c r="G19" s="8" t="s">
        <v>1059</v>
      </c>
      <c r="I19" s="17" t="str">
        <f t="shared" si="0"/>
        <v>* productAdministration.dose 0..1 Quantity ##34#Dose (NOT in PCSP DB)##34# ##334#Dose received of each drug for this administration##334#</v>
      </c>
    </row>
    <row r="20" spans="1:9" ht="44.25" x14ac:dyDescent="0.75">
      <c r="A20" s="8">
        <v>13</v>
      </c>
      <c r="B20" s="17" t="s">
        <v>1060</v>
      </c>
      <c r="C20" s="17" t="s">
        <v>1061</v>
      </c>
      <c r="D20" s="17" t="s">
        <v>1062</v>
      </c>
      <c r="E20" s="8">
        <v>0</v>
      </c>
      <c r="F20" s="8">
        <v>1</v>
      </c>
      <c r="G20" s="8" t="s">
        <v>841</v>
      </c>
      <c r="I20" s="17" t="str">
        <f t="shared" si="0"/>
        <v>* productAdministration.cumulativeDose 0..1 BackboneElement ##34#Cumulative Dose##34# ##334#Report the total cumulative dose received of each drug. ##334#</v>
      </c>
    </row>
    <row r="21" spans="1:9" ht="44.25" x14ac:dyDescent="0.75">
      <c r="A21" s="8">
        <v>14</v>
      </c>
      <c r="B21" s="17" t="s">
        <v>1063</v>
      </c>
      <c r="C21" s="17" t="s">
        <v>1064</v>
      </c>
      <c r="D21" s="8" t="s">
        <v>1065</v>
      </c>
      <c r="E21" s="8">
        <v>0</v>
      </c>
      <c r="F21" s="8">
        <v>1</v>
      </c>
      <c r="G21" s="8" t="s">
        <v>1</v>
      </c>
      <c r="I21" s="17" t="str">
        <f t="shared" si="0"/>
        <v>* productAdministration.cumulativeDose.notAvailable 0..1 CodeableConcept ##34#Not calculated or not known dose##34# ##334#Flag indicating if the dose was not calculated or it was not known##334#</v>
      </c>
    </row>
    <row r="22" spans="1:9" ht="88.5" x14ac:dyDescent="0.75">
      <c r="A22" s="8">
        <v>15</v>
      </c>
      <c r="B22" s="17" t="s">
        <v>1066</v>
      </c>
      <c r="C22" s="17" t="s">
        <v>1067</v>
      </c>
      <c r="D22" s="17" t="s">
        <v>1068</v>
      </c>
      <c r="E22" s="8">
        <v>0</v>
      </c>
      <c r="F22" s="8">
        <v>1</v>
      </c>
      <c r="G22" s="8" t="s">
        <v>1</v>
      </c>
      <c r="I22" s="17" t="str">
        <f t="shared" si="0"/>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1:9" ht="44.25" x14ac:dyDescent="0.75">
      <c r="A23" s="8">
        <v>16</v>
      </c>
      <c r="B23" s="17" t="s">
        <v>1069</v>
      </c>
      <c r="C23" s="17" t="s">
        <v>40</v>
      </c>
      <c r="D23" s="17" t="s">
        <v>41</v>
      </c>
      <c r="E23" s="8">
        <v>0</v>
      </c>
      <c r="F23" s="8">
        <v>1</v>
      </c>
      <c r="G23" s="8" t="s">
        <v>1</v>
      </c>
      <c r="I23" s="17" t="str">
        <f t="shared" si="0"/>
        <v>* productAdministration.cumulativeDose.completionStatus 0..1 CodeableConcept ##34#The reported doses are incomplete (either under- or over-estimated)##34# ##334#Check in case of incomplete doses##334#</v>
      </c>
    </row>
    <row r="24" spans="1:9" ht="44.25" x14ac:dyDescent="0.75">
      <c r="A24" s="8">
        <v>17</v>
      </c>
      <c r="B24" s="17" t="s">
        <v>1070</v>
      </c>
      <c r="C24" s="17" t="s">
        <v>42</v>
      </c>
      <c r="D24" s="17" t="s">
        <v>43</v>
      </c>
      <c r="E24" s="8">
        <v>0</v>
      </c>
      <c r="F24" s="8">
        <v>1</v>
      </c>
      <c r="G24" s="8" t="s">
        <v>2</v>
      </c>
      <c r="I24" s="17" t="str">
        <f t="shared" si="0"/>
        <v>* productAdministration.cumulativeDose.statusReason 0..1 string ##34#Specify reasons why##34# ##334#Specify reasons of incomplete estimated doses##334#</v>
      </c>
    </row>
    <row r="25" spans="1:9" ht="44.25" x14ac:dyDescent="0.75">
      <c r="A25" s="8">
        <v>18</v>
      </c>
      <c r="B25" s="17" t="s">
        <v>1071</v>
      </c>
      <c r="C25" s="17" t="s">
        <v>1072</v>
      </c>
      <c r="D25" s="17" t="s">
        <v>1073</v>
      </c>
      <c r="E25" s="8">
        <v>0</v>
      </c>
      <c r="F25" s="8">
        <v>1</v>
      </c>
      <c r="G25" s="8" t="s">
        <v>1074</v>
      </c>
      <c r="I25" s="17" t="str">
        <f t="shared" si="0"/>
        <v>* productAdministration.cumulativeDose.value 0..1 decimal ##34#Total cumulative dose##34# ##334#Report the total cumulative dose received of each drug.##334#</v>
      </c>
    </row>
    <row r="26" spans="1:9" ht="118" x14ac:dyDescent="0.75">
      <c r="A26" s="8">
        <v>19</v>
      </c>
      <c r="B26" s="17" t="s">
        <v>1075</v>
      </c>
      <c r="C26" s="17" t="s">
        <v>59</v>
      </c>
      <c r="D26" s="17" t="s">
        <v>1076</v>
      </c>
      <c r="E26" s="8">
        <v>0</v>
      </c>
      <c r="F26" s="8">
        <v>1</v>
      </c>
      <c r="G26" s="8" t="s">
        <v>1</v>
      </c>
      <c r="I26" s="17" t="str">
        <f t="shared" si="0"/>
        <v>* productAdministration.cumulativeDose.unit 0..1 CodeableConcept ##34#Measure unit##34# ##334#If the dose was calculated, please report the measure unit of the calculation
1 =&gt; mg/m2
2 =&gt; gr/m2
3 =&gt; UI/m2
4 =&gt; NK
5 =&gt; NC (not calculated)##334#</v>
      </c>
    </row>
    <row r="27" spans="1:9" ht="88.5" x14ac:dyDescent="0.75">
      <c r="A27" s="8">
        <v>20</v>
      </c>
      <c r="B27" s="17" t="s">
        <v>1077</v>
      </c>
      <c r="C27" s="17" t="s">
        <v>39</v>
      </c>
      <c r="D27" s="17" t="s">
        <v>1078</v>
      </c>
      <c r="E27" s="8">
        <v>0</v>
      </c>
      <c r="F27" s="8">
        <v>1</v>
      </c>
      <c r="G27" s="8" t="s">
        <v>1</v>
      </c>
      <c r="I27" s="17" t="str">
        <f t="shared" si="0"/>
        <v>* corticosteroids 0..1 CodeableConcept ##34#Prolonged corticosteroids as anti-cancer treatment at least 4 weeks continuously##34# ##334#Report 'yes' if the survivor was treated with steroids for at least 4 weeks continuously
1 =&gt; Yes
2 =&gt; No
-9922 =&gt; NK##334#</v>
      </c>
    </row>
    <row r="28" spans="1:9" ht="29.5" x14ac:dyDescent="0.75">
      <c r="A28" s="8">
        <v>21</v>
      </c>
      <c r="B28" s="4" t="s">
        <v>1079</v>
      </c>
      <c r="C28" s="17" t="s">
        <v>1080</v>
      </c>
      <c r="D28" s="17" t="s">
        <v>1080</v>
      </c>
      <c r="E28" s="8">
        <v>0</v>
      </c>
      <c r="F28" s="8">
        <v>1</v>
      </c>
      <c r="G28" s="8" t="s">
        <v>841</v>
      </c>
      <c r="I28" s="17" t="str">
        <f t="shared" si="0"/>
        <v>* intrathecalInjections 0..1 BackboneElement ##34#Intrathecal injections##34# ##334#Intrathecal injections##334#</v>
      </c>
    </row>
    <row r="29" spans="1:9" ht="88.5" x14ac:dyDescent="0.75">
      <c r="A29" s="8">
        <v>22</v>
      </c>
      <c r="B29" s="8" t="s">
        <v>1081</v>
      </c>
      <c r="C29" s="17" t="s">
        <v>1082</v>
      </c>
      <c r="D29" s="17" t="s">
        <v>1083</v>
      </c>
      <c r="E29" s="8">
        <v>0</v>
      </c>
      <c r="F29" s="8">
        <v>1</v>
      </c>
      <c r="G29" s="8" t="s">
        <v>1</v>
      </c>
      <c r="I29" s="17" t="str">
        <f t="shared" si="0"/>
        <v>* intrathecalInjections.status 0..1 CodeableConcept ##34#Did the survivor receive therapeutic intrathecal injections ?##34# ##334#Please state if the survivor received any therapeutic intrathecal injections
1 =&gt; Yes
2 =&gt; No
-9922 =&gt; NK##334#</v>
      </c>
    </row>
    <row r="30" spans="1:9" ht="29.5" x14ac:dyDescent="0.75">
      <c r="A30" s="8">
        <v>23</v>
      </c>
      <c r="B30" s="8" t="s">
        <v>1084</v>
      </c>
      <c r="C30" s="17" t="s">
        <v>1085</v>
      </c>
      <c r="D30" s="17" t="s">
        <v>44</v>
      </c>
      <c r="E30" s="8">
        <v>0</v>
      </c>
      <c r="F30" s="8">
        <v>1</v>
      </c>
      <c r="G30" s="8" t="s">
        <v>929</v>
      </c>
      <c r="I30" s="17" t="str">
        <f t="shared" si="0"/>
        <v>* intrathecalInjections.number 0..1 integer ##34#Total number##34# ##334#Report the total number of injections##334#</v>
      </c>
    </row>
    <row r="31" spans="1:9" ht="44.25" x14ac:dyDescent="0.75">
      <c r="A31" s="8">
        <v>24</v>
      </c>
      <c r="B31" s="8" t="s">
        <v>1086</v>
      </c>
      <c r="C31" s="17" t="s">
        <v>1087</v>
      </c>
      <c r="D31" s="17" t="s">
        <v>45</v>
      </c>
      <c r="E31" s="8">
        <v>0</v>
      </c>
      <c r="F31" s="8" t="s">
        <v>851</v>
      </c>
      <c r="G31" s="8" t="s">
        <v>2</v>
      </c>
      <c r="I31" s="17" t="str">
        <f t="shared" si="0"/>
        <v>* intrathecalInjections.productName 0..* string ##34#Drug(s) administered##34# ##334#Please report the names of drugs injected intrathecal##334#</v>
      </c>
    </row>
    <row r="32" spans="1:9" ht="44.25" x14ac:dyDescent="0.75">
      <c r="A32" s="8">
        <v>25</v>
      </c>
      <c r="B32" s="8" t="s">
        <v>1088</v>
      </c>
      <c r="C32" s="17" t="s">
        <v>1089</v>
      </c>
      <c r="D32" s="17" t="s">
        <v>46</v>
      </c>
      <c r="E32" s="8">
        <v>0</v>
      </c>
      <c r="F32" s="8">
        <v>1</v>
      </c>
      <c r="G32" s="8" t="s">
        <v>841</v>
      </c>
      <c r="I32" s="17" t="str">
        <f t="shared" si="0"/>
        <v>* otherTreatments 0..1 BackboneElement ##34#Other chemothrapeutic treatments##34# ##334#Report any other chemothrapeutic treatments that are not included in the ATC code##334#</v>
      </c>
    </row>
    <row r="33" spans="1:9" ht="29.5" x14ac:dyDescent="0.75">
      <c r="A33" s="8">
        <v>26</v>
      </c>
      <c r="B33" s="8" t="s">
        <v>1090</v>
      </c>
      <c r="C33" s="17" t="s">
        <v>47</v>
      </c>
      <c r="D33" s="17" t="s">
        <v>48</v>
      </c>
      <c r="E33" s="8">
        <v>1</v>
      </c>
      <c r="F33" s="8" t="s">
        <v>851</v>
      </c>
      <c r="G33" s="8" t="s">
        <v>2</v>
      </c>
      <c r="I33" s="17" t="str">
        <f t="shared" si="0"/>
        <v>* otherTreatments.productName 1..* string ##34#Drugs name##34# ##334#If yes, describe treatments##334#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9"/>
      <c r="D37" s="89"/>
      <c r="E37" s="8"/>
      <c r="F37" s="8"/>
      <c r="G37" s="8"/>
      <c r="I37" s="17" t="str">
        <f t="shared" si="0"/>
        <v>*  ..  ##34###34# ##334###334#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F0290-6358-4F3C-BA25-1E622541EEFC}">
  <sheetPr codeName="Foglio36"/>
  <dimension ref="A1:O58"/>
  <sheetViews>
    <sheetView topLeftCell="A23" workbookViewId="0">
      <selection activeCell="G23" sqref="G23"/>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
        <v>1240</v>
      </c>
      <c r="E4" s="30" t="str">
        <f>CONCATENATE("Mapping: ",C4)</f>
        <v>Mapping: Chemo2Fhir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Chemotherapy model to PCSP HL7 FHIR R4 Profiles</v>
      </c>
      <c r="E6" s="31" t="str">
        <f>CONCATENATE("Title: ##34#",C6,"##34#")</f>
        <v>Title: ##34#Chemotherapy model to PCSP HL7 FHIR R4 Profiles##34#</v>
      </c>
      <c r="G6" s="1"/>
      <c r="H6" s="9"/>
      <c r="I6" s="9"/>
      <c r="J6" s="9"/>
      <c r="K6" s="9"/>
      <c r="L6" s="9"/>
      <c r="M6" s="9"/>
      <c r="N6" s="9"/>
      <c r="O6" s="9"/>
    </row>
    <row r="7" spans="1:15" ht="15.5" thickBot="1" x14ac:dyDescent="0.9">
      <c r="B7" s="94" t="s">
        <v>78</v>
      </c>
      <c r="C7" s="91" t="str">
        <f>B9</f>
        <v>Chemotherapy</v>
      </c>
      <c r="E7" s="31" t="str">
        <f>CONCATENATE("Source: ",C7)</f>
        <v>Source: Chemotherapy</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44.25" x14ac:dyDescent="0.75">
      <c r="A9" s="8"/>
      <c r="B9" s="4" t="str">
        <f>Chemo!B5</f>
        <v>Chemotherapy</v>
      </c>
      <c r="C9" s="4" t="s">
        <v>1091</v>
      </c>
      <c r="E9" s="4" t="str">
        <f>CONCATENATE("* . -&gt; ##34#",C9,"##34#")</f>
        <v>* . -&gt; ##34#MedicationAdministration.conformsTo('http://hl7.eu/fhir/ig/pcsp/StructureDefinition/MedicationAdministration-eu-pcsp')##34#</v>
      </c>
      <c r="H9" s="9"/>
      <c r="I9" s="9"/>
      <c r="J9" s="9"/>
      <c r="K9" s="9"/>
      <c r="L9" s="9"/>
      <c r="M9" s="9"/>
      <c r="N9" s="9"/>
      <c r="O9" s="9"/>
    </row>
    <row r="10" spans="1:15" x14ac:dyDescent="0.75">
      <c r="A10" s="8"/>
      <c r="B10" s="17" t="str">
        <f>Chemo!B8</f>
        <v>relatedDiagnosis</v>
      </c>
      <c r="C10" s="20" t="s">
        <v>1092</v>
      </c>
      <c r="E10" s="17" t="str">
        <f>CONCATENATE("* ",B10," -&gt; ##34#",C10,"##34#")</f>
        <v>* relatedDiagnosis -&gt; ##34#.reasonReference##34#</v>
      </c>
      <c r="G10" s="1"/>
      <c r="H10" s="9"/>
      <c r="I10" s="9"/>
      <c r="J10" s="9"/>
      <c r="K10" s="9"/>
      <c r="L10" s="9"/>
      <c r="M10" s="9"/>
      <c r="N10" s="9"/>
      <c r="O10" s="9"/>
    </row>
    <row r="11" spans="1:15" x14ac:dyDescent="0.75">
      <c r="A11" s="8"/>
      <c r="B11" s="17" t="str">
        <f>Chemo!B9</f>
        <v>startDate</v>
      </c>
      <c r="C11" s="20" t="s">
        <v>1093</v>
      </c>
      <c r="E11" s="17" t="str">
        <f t="shared" ref="E11:E42" si="0">CONCATENATE("* ",B11," -&gt; ##34#",C11,"##34#")</f>
        <v>* startDate -&gt; ##34#.effectivePeriod.start##34#</v>
      </c>
      <c r="G11" s="1"/>
      <c r="H11" s="9"/>
      <c r="I11" s="9"/>
      <c r="J11" s="9"/>
      <c r="K11" s="9"/>
      <c r="L11" s="9"/>
      <c r="M11" s="9"/>
      <c r="N11" s="9"/>
      <c r="O11" s="9"/>
    </row>
    <row r="12" spans="1:15" x14ac:dyDescent="0.75">
      <c r="A12" s="8"/>
      <c r="B12" s="17" t="str">
        <f>Chemo!B10</f>
        <v>endDate</v>
      </c>
      <c r="C12" s="20" t="s">
        <v>1094</v>
      </c>
      <c r="E12" s="17" t="str">
        <f t="shared" si="0"/>
        <v>* endDate -&gt; ##34#.effectivePeriod.end##34#</v>
      </c>
      <c r="G12" s="1"/>
      <c r="H12" s="9"/>
      <c r="I12" s="9"/>
      <c r="J12" s="9"/>
      <c r="K12" s="9"/>
      <c r="L12" s="9"/>
      <c r="M12" s="9"/>
      <c r="N12" s="9"/>
      <c r="O12" s="9"/>
    </row>
    <row r="13" spans="1:15" ht="59" x14ac:dyDescent="0.75">
      <c r="A13" s="8"/>
      <c r="B13" s="17" t="str">
        <f>Chemo!B11</f>
        <v>istitutionOfTreatment</v>
      </c>
      <c r="C13" s="20" t="s">
        <v>1095</v>
      </c>
      <c r="E13" s="17" t="str">
        <f t="shared" si="0"/>
        <v>* istitutionOfTreatment -&gt; ##34#.extension(http://hl7.eu/fhir/ig/pcsp/StructureDefinition/ActLocation-eu-pcsp).conformsTo(http://hl7.eu/fhir/ig/pcsp/StructureDefinition/Location-eu-pcsp)##34#</v>
      </c>
      <c r="G13" s="1"/>
      <c r="H13" s="9"/>
      <c r="I13" s="9"/>
      <c r="J13" s="9"/>
      <c r="K13" s="9"/>
      <c r="L13" s="9"/>
      <c r="M13" s="9"/>
      <c r="N13" s="9"/>
      <c r="O13" s="9"/>
    </row>
    <row r="14" spans="1:15" x14ac:dyDescent="0.75">
      <c r="A14" s="8"/>
      <c r="B14" s="17" t="str">
        <f>Chemo!B12</f>
        <v>istitutionOfTreatment.description</v>
      </c>
      <c r="C14" s="20" t="s">
        <v>1096</v>
      </c>
      <c r="E14" s="17" t="str">
        <f t="shared" si="0"/>
        <v>* istitutionOfTreatment.description -&gt; ##34#Location.description##34#</v>
      </c>
      <c r="G14" s="1"/>
      <c r="H14" s="9"/>
      <c r="I14" s="9"/>
      <c r="J14" s="9"/>
      <c r="K14" s="9"/>
      <c r="L14" s="9"/>
      <c r="M14" s="9"/>
      <c r="N14" s="9"/>
      <c r="O14" s="9"/>
    </row>
    <row r="15" spans="1:15" x14ac:dyDescent="0.75">
      <c r="A15" s="8"/>
      <c r="B15" s="17" t="str">
        <f>Chemo!B13</f>
        <v>istitutionOfTreatment.name</v>
      </c>
      <c r="C15" s="20" t="s">
        <v>1097</v>
      </c>
      <c r="E15" s="17" t="str">
        <f t="shared" si="0"/>
        <v>* istitutionOfTreatment.name -&gt; ##34#Location.name##34#</v>
      </c>
      <c r="G15" s="1"/>
      <c r="H15" s="9"/>
      <c r="I15" s="9"/>
      <c r="J15" s="9"/>
      <c r="K15" s="9"/>
      <c r="L15" s="9"/>
      <c r="M15" s="9"/>
      <c r="N15" s="9"/>
      <c r="O15" s="9"/>
    </row>
    <row r="16" spans="1:15" x14ac:dyDescent="0.75">
      <c r="A16" s="8"/>
      <c r="B16" s="17" t="str">
        <f>Chemo!B14</f>
        <v>istitutionOfTreatment.address</v>
      </c>
      <c r="C16" s="20" t="s">
        <v>1098</v>
      </c>
      <c r="E16" s="17" t="str">
        <f t="shared" si="0"/>
        <v>* istitutionOfTreatment.address -&gt; ##34#Location.address.city##34#</v>
      </c>
      <c r="G16" s="1"/>
      <c r="H16" s="9"/>
      <c r="I16" s="9"/>
      <c r="J16" s="9"/>
      <c r="K16" s="9"/>
      <c r="L16" s="9"/>
      <c r="M16" s="9"/>
      <c r="N16" s="9"/>
      <c r="O16" s="9"/>
    </row>
    <row r="17" spans="1:15" x14ac:dyDescent="0.75">
      <c r="A17" s="8"/>
      <c r="B17" s="17" t="str">
        <f>Chemo!B15</f>
        <v>istitutionOfTreatment.address.name</v>
      </c>
      <c r="C17" s="20"/>
      <c r="E17" s="4" t="s">
        <v>1639</v>
      </c>
      <c r="G17" s="1"/>
      <c r="H17" s="9"/>
      <c r="I17" s="9"/>
      <c r="J17" s="9"/>
      <c r="K17" s="9"/>
      <c r="L17" s="9"/>
      <c r="M17" s="9"/>
      <c r="N17" s="9"/>
      <c r="O17" s="9"/>
    </row>
    <row r="18" spans="1:15" ht="29.5" x14ac:dyDescent="0.75">
      <c r="A18" s="8"/>
      <c r="B18" s="17" t="str">
        <f>Chemo!B16</f>
        <v>istitutionOfTreatment.address.country</v>
      </c>
      <c r="C18" s="17" t="s">
        <v>1099</v>
      </c>
      <c r="E18" s="17" t="str">
        <f t="shared" si="0"/>
        <v>* istitutionOfTreatment.address.country -&gt; ##34#Location.address.country##34#</v>
      </c>
      <c r="G18" s="1"/>
      <c r="H18" s="9"/>
      <c r="I18" s="9"/>
      <c r="J18" s="9"/>
      <c r="K18" s="9"/>
      <c r="L18" s="9"/>
      <c r="M18" s="9"/>
      <c r="N18" s="9"/>
      <c r="O18" s="9"/>
    </row>
    <row r="19" spans="1:15" x14ac:dyDescent="0.75">
      <c r="A19" s="8"/>
      <c r="B19" s="17" t="str">
        <f>Chemo!B17</f>
        <v>productAdministration</v>
      </c>
      <c r="C19" s="17" t="s">
        <v>1100</v>
      </c>
      <c r="E19" s="17" t="str">
        <f t="shared" si="0"/>
        <v>* productAdministration -&gt; ##34#.medication[x]##34#</v>
      </c>
      <c r="G19" s="1"/>
    </row>
    <row r="20" spans="1:15" x14ac:dyDescent="0.75">
      <c r="A20" s="8"/>
      <c r="B20" s="17" t="str">
        <f>Chemo!B18</f>
        <v>productAdministration.agent</v>
      </c>
      <c r="C20" s="17" t="s">
        <v>1101</v>
      </c>
      <c r="E20" s="17" t="str">
        <f t="shared" si="0"/>
        <v>* productAdministration.agent -&gt; ##34#.medicationCodeableConcept##34#</v>
      </c>
      <c r="G20" s="1"/>
    </row>
    <row r="21" spans="1:15" x14ac:dyDescent="0.75">
      <c r="A21" s="8"/>
      <c r="B21" s="17" t="str">
        <f>Chemo!B19</f>
        <v>productAdministration.dose</v>
      </c>
      <c r="C21" s="17" t="s">
        <v>1102</v>
      </c>
      <c r="E21" s="17" t="str">
        <f t="shared" si="0"/>
        <v>* productAdministration.dose -&gt; ##34#.dosage.dose##34#</v>
      </c>
      <c r="G21" s="1"/>
    </row>
    <row r="22" spans="1:15" ht="59" x14ac:dyDescent="0.75">
      <c r="A22" s="8"/>
      <c r="B22" s="17" t="str">
        <f>Chemo!B20</f>
        <v>productAdministration.cumulativeDose</v>
      </c>
      <c r="C22" s="17" t="s">
        <v>1103</v>
      </c>
      <c r="E22" s="17" t="str">
        <f t="shared" si="0"/>
        <v>* productAdministration.cumulativeDose -&gt; ##34#.extension(http://hl7.eu/fhir/ig/pcsp/StructureDefinition/ResourceRelatedInfo-eu-pcsp).conformsTo(http://hl7.eu/fhir/ig/pcsp/StructureDefinition/Observation-cumulativeDoseChemo-eu-pcsp)##34#</v>
      </c>
      <c r="G22" s="1"/>
    </row>
    <row r="23" spans="1:15" ht="44.25" x14ac:dyDescent="0.75">
      <c r="A23" s="8"/>
      <c r="B23" s="17" t="str">
        <f>Chemo!B21</f>
        <v>productAdministration.cumulativeDose.notAvailable</v>
      </c>
      <c r="C23" s="17" t="s">
        <v>1104</v>
      </c>
      <c r="E23" s="17" t="str">
        <f t="shared" si="0"/>
        <v>* productAdministration.cumulativeDose.notAvailable -&gt; ##34#.valueCodeableConcept = http://terminology.hl7.org/CodeSystem/data-absent-reason#unknown##34#</v>
      </c>
      <c r="G23" s="1"/>
    </row>
    <row r="24" spans="1:15" ht="29.5" x14ac:dyDescent="0.75">
      <c r="A24" s="8"/>
      <c r="B24" s="17" t="str">
        <f>Chemo!B21</f>
        <v>productAdministration.cumulativeDose.notAvailable</v>
      </c>
      <c r="C24" s="17" t="s">
        <v>1105</v>
      </c>
      <c r="E24" s="17" t="str">
        <f t="shared" si="0"/>
        <v>* productAdministration.cumulativeDose.notAvailable -&gt; ##34#.dataAbsentReason##34#</v>
      </c>
      <c r="G24" s="1"/>
    </row>
    <row r="25" spans="1:15" ht="29.5" x14ac:dyDescent="0.75">
      <c r="A25" s="8"/>
      <c r="B25" s="17" t="str">
        <f>Chemo!B22</f>
        <v>productAdministration.cumulativeDose.measureType</v>
      </c>
      <c r="C25" s="17" t="s">
        <v>1106</v>
      </c>
      <c r="E25" s="17" t="str">
        <f t="shared" si="0"/>
        <v>* productAdministration.cumulativeDose.measureType -&gt; ##34#.method##34#</v>
      </c>
      <c r="G25" s="1"/>
    </row>
    <row r="26" spans="1:15" ht="29.5" x14ac:dyDescent="0.75">
      <c r="A26" s="8"/>
      <c r="B26" s="17" t="str">
        <f>Chemo!B23</f>
        <v>productAdministration.cumulativeDose.completionStatus</v>
      </c>
      <c r="C26" s="17" t="s">
        <v>1107</v>
      </c>
      <c r="E26" s="17" t="str">
        <f t="shared" si="0"/>
        <v>* productAdministration.cumulativeDose.completionStatus -&gt; ##34#.status = #preliminary##34#</v>
      </c>
      <c r="G26" s="1"/>
    </row>
    <row r="27" spans="1:15" ht="29.5" x14ac:dyDescent="0.75">
      <c r="A27" s="8"/>
      <c r="B27" s="17" t="str">
        <f>Chemo!B24</f>
        <v>productAdministration.cumulativeDose.statusReason</v>
      </c>
      <c r="C27" s="17" t="s">
        <v>1108</v>
      </c>
      <c r="E27" s="17" t="str">
        <f t="shared" si="0"/>
        <v>* productAdministration.cumulativeDose.statusReason -&gt; ##34#.extension('http://hl7.org/fhir/StructureDefinition/event-statusReason')##34#</v>
      </c>
      <c r="G27" s="1"/>
    </row>
    <row r="28" spans="1:15" ht="29.5" x14ac:dyDescent="0.75">
      <c r="A28" s="8"/>
      <c r="B28" s="17" t="str">
        <f>Chemo!B25</f>
        <v>productAdministration.cumulativeDose.value</v>
      </c>
      <c r="C28" s="17" t="s">
        <v>1109</v>
      </c>
      <c r="E28" s="17" t="str">
        <f t="shared" si="0"/>
        <v>* productAdministration.cumulativeDose.value -&gt; ##34#.valueQuantity.value##34#</v>
      </c>
      <c r="G28" s="1"/>
    </row>
    <row r="29" spans="1:15" ht="29.5" x14ac:dyDescent="0.75">
      <c r="A29" s="8"/>
      <c r="B29" s="17" t="str">
        <f>Chemo!B26</f>
        <v>productAdministration.cumulativeDose.unit</v>
      </c>
      <c r="C29" s="17" t="s">
        <v>1110</v>
      </c>
      <c r="E29" s="17" t="str">
        <f t="shared" si="0"/>
        <v>* productAdministration.cumulativeDose.unit -&gt; ##34#.valueQuantity.unit (human readeable)##34#</v>
      </c>
      <c r="G29" s="1"/>
    </row>
    <row r="30" spans="1:15" ht="29.5" x14ac:dyDescent="0.75">
      <c r="A30" s="8"/>
      <c r="B30" s="17" t="str">
        <f>Chemo!B26</f>
        <v>productAdministration.cumulativeDose.unit</v>
      </c>
      <c r="C30" s="17" t="s">
        <v>1111</v>
      </c>
      <c r="E30" s="17" t="str">
        <f t="shared" si="0"/>
        <v>* productAdministration.cumulativeDose.unit -&gt; ##34#.valueQuantity.code (code)##34#</v>
      </c>
      <c r="G30" s="1"/>
    </row>
    <row r="31" spans="1:15" ht="59" x14ac:dyDescent="0.75">
      <c r="A31" s="8"/>
      <c r="B31" s="17" t="str">
        <f>Chemo!B27</f>
        <v>corticosteroids</v>
      </c>
      <c r="C31" s="17" t="s">
        <v>1112</v>
      </c>
      <c r="E31" s="17" t="str">
        <f t="shared" si="0"/>
        <v>* corticosteroids -&gt; ##34#MedicationStatement.where(medicationCodeableConcept = 'http://www.whocc.no/atc|H02' and dosage.timing.repeat.boundsDuration.where( value='4' and code = 'w' and comparator ='&gt;' )##34#</v>
      </c>
    </row>
    <row r="32" spans="1:15" ht="29.5" x14ac:dyDescent="0.75">
      <c r="A32" s="8"/>
      <c r="B32" s="17" t="str">
        <f>Chemo!B28</f>
        <v>intrathecalInjections</v>
      </c>
      <c r="C32" s="17" t="s">
        <v>1113</v>
      </c>
      <c r="E32" s="17" t="str">
        <f t="shared" si="0"/>
        <v>* intrathecalInjections -&gt; ##34#MedicationStatement.where(dosage.route = https://standardterms.edqm.eu|20042000)##34#</v>
      </c>
    </row>
    <row r="33" spans="1:5" x14ac:dyDescent="0.75">
      <c r="A33" s="8"/>
      <c r="B33" s="17" t="str">
        <f>Chemo!B29</f>
        <v>intrathecalInjections.status</v>
      </c>
      <c r="C33" s="17" t="s">
        <v>1114</v>
      </c>
      <c r="E33" s="17" t="str">
        <f t="shared" si="0"/>
        <v>* intrathecalInjections.status -&gt; ##34#.exists()##34#</v>
      </c>
    </row>
    <row r="34" spans="1:5" x14ac:dyDescent="0.75">
      <c r="B34" s="17" t="str">
        <f>Chemo!B30</f>
        <v>intrathecalInjections.number</v>
      </c>
      <c r="C34" s="17" t="s">
        <v>1115</v>
      </c>
      <c r="E34" s="17" t="str">
        <f t="shared" si="0"/>
        <v>* intrathecalInjections.number -&gt; ##34#.dosage.timing.repeat.count##34#</v>
      </c>
    </row>
    <row r="35" spans="1:5" x14ac:dyDescent="0.75">
      <c r="B35" s="17" t="str">
        <f>Chemo!B30</f>
        <v>intrathecalInjections.number</v>
      </c>
      <c r="C35" s="20" t="s">
        <v>1116</v>
      </c>
      <c r="E35" s="17" t="str">
        <f t="shared" si="0"/>
        <v>* intrathecalInjections.number -&gt; ##34#.count()##34#</v>
      </c>
    </row>
    <row r="36" spans="1:5" ht="29.5" x14ac:dyDescent="0.75">
      <c r="B36" s="17" t="str">
        <f>Chemo!B31</f>
        <v>intrathecalInjections.productName</v>
      </c>
      <c r="C36" s="20" t="s">
        <v>1117</v>
      </c>
      <c r="E36" s="17" t="str">
        <f t="shared" si="0"/>
        <v>* intrathecalInjections.productName -&gt; ##34#.medicationCodeableConcept.text##34#</v>
      </c>
    </row>
    <row r="37" spans="1:5" x14ac:dyDescent="0.75">
      <c r="B37" s="17" t="str">
        <f>Chemo!B32</f>
        <v>otherTreatments</v>
      </c>
      <c r="C37" s="20" t="s">
        <v>1118</v>
      </c>
      <c r="E37" s="17" t="str">
        <f t="shared" si="0"/>
        <v>* otherTreatments -&gt; ##34#MedicationStatement##34#</v>
      </c>
    </row>
    <row r="38" spans="1:5" x14ac:dyDescent="0.75">
      <c r="B38" s="17" t="str">
        <f>Chemo!B33</f>
        <v>otherTreatments.productName</v>
      </c>
      <c r="C38" s="17" t="s">
        <v>1117</v>
      </c>
      <c r="E38" s="17" t="str">
        <f t="shared" si="0"/>
        <v>* otherTreatments.productName -&gt; ##34#.medicationCodeableConcept.text##34#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ref="E43:E58" si="1">CONCATENATE("* ",B43," -&gt; ##34#",C43,"##34#")</f>
        <v>*  -&gt; ##34###34#</v>
      </c>
    </row>
    <row r="44" spans="1:5" x14ac:dyDescent="0.75">
      <c r="B44" s="17"/>
      <c r="C44" s="17"/>
      <c r="E44" s="17" t="str">
        <f t="shared" si="1"/>
        <v>*  -&gt; ##34###34#</v>
      </c>
    </row>
    <row r="45" spans="1:5" x14ac:dyDescent="0.75">
      <c r="B45" s="17"/>
      <c r="C45" s="17"/>
      <c r="E45" s="17" t="str">
        <f t="shared" si="1"/>
        <v>*  -&gt; ##34###34#</v>
      </c>
    </row>
    <row r="46" spans="1:5" x14ac:dyDescent="0.75">
      <c r="B46" s="17"/>
      <c r="C46" s="17"/>
      <c r="E46" s="17" t="str">
        <f t="shared" si="1"/>
        <v>*  -&gt; ##34###34#</v>
      </c>
    </row>
    <row r="47" spans="1:5" x14ac:dyDescent="0.75">
      <c r="B47" s="17"/>
      <c r="C47" s="17"/>
      <c r="E47" s="17" t="str">
        <f t="shared" si="1"/>
        <v>*  -&gt; ##34###34#</v>
      </c>
    </row>
    <row r="48" spans="1:5" x14ac:dyDescent="0.75">
      <c r="B48" s="17"/>
      <c r="C48" s="17"/>
      <c r="E48" s="17" t="str">
        <f t="shared" si="1"/>
        <v>*  -&gt; ##34###34#</v>
      </c>
    </row>
    <row r="49" spans="2:5" x14ac:dyDescent="0.75">
      <c r="B49" s="17"/>
      <c r="C49" s="17"/>
      <c r="E49" s="17" t="str">
        <f t="shared" si="1"/>
        <v>*  -&gt; ##34###34#</v>
      </c>
    </row>
    <row r="50" spans="2:5" x14ac:dyDescent="0.75">
      <c r="B50" s="17"/>
      <c r="C50" s="17"/>
      <c r="E50" s="17" t="str">
        <f t="shared" si="1"/>
        <v>*  -&gt; ##34###34#</v>
      </c>
    </row>
    <row r="51" spans="2:5" x14ac:dyDescent="0.75">
      <c r="B51" s="17"/>
      <c r="C51" s="17"/>
      <c r="E51" s="17" t="str">
        <f t="shared" si="1"/>
        <v>*  -&gt; ##34###34#</v>
      </c>
    </row>
    <row r="52" spans="2:5" x14ac:dyDescent="0.75">
      <c r="B52" s="17"/>
      <c r="C52" s="17"/>
      <c r="E52" s="17" t="str">
        <f t="shared" si="1"/>
        <v>*  -&gt; ##34###34#</v>
      </c>
    </row>
    <row r="53" spans="2:5" x14ac:dyDescent="0.75">
      <c r="B53" s="17"/>
      <c r="C53" s="17"/>
      <c r="E53" s="17" t="str">
        <f t="shared" si="1"/>
        <v>*  -&gt; ##34###34#</v>
      </c>
    </row>
    <row r="54" spans="2:5" x14ac:dyDescent="0.75">
      <c r="B54" s="17"/>
      <c r="C54" s="17"/>
      <c r="E54" s="17" t="str">
        <f t="shared" si="1"/>
        <v>*  -&gt; ##34###34#</v>
      </c>
    </row>
    <row r="55" spans="2:5" x14ac:dyDescent="0.75">
      <c r="E55" s="17" t="str">
        <f t="shared" si="1"/>
        <v>*  -&gt; ##34###34#</v>
      </c>
    </row>
    <row r="56" spans="2:5" x14ac:dyDescent="0.75">
      <c r="E56" s="17" t="str">
        <f t="shared" si="1"/>
        <v>*  -&gt; ##34###34#</v>
      </c>
    </row>
    <row r="57" spans="2:5" x14ac:dyDescent="0.75">
      <c r="E57" s="17" t="str">
        <f t="shared" si="1"/>
        <v>*  -&gt; ##34###34#</v>
      </c>
    </row>
    <row r="58" spans="2:5" x14ac:dyDescent="0.75">
      <c r="E58" s="17" t="str">
        <f t="shared" si="1"/>
        <v>*  -&gt; ##34###34#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60CC7-11AB-4F48-9720-EE3E0C65A750}">
  <sheetPr codeName="Foglio13">
    <tabColor theme="9" tint="0.39997558519241921"/>
  </sheetPr>
  <dimension ref="C1:G80"/>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Chemo!I1</f>
        <v>// -------------------------------------------------------------------------------</v>
      </c>
    </row>
    <row r="2" spans="3:7" ht="16.75" thickBot="1" x14ac:dyDescent="0.9">
      <c r="C2" s="35" t="str">
        <f>Chemo!I2</f>
        <v>//  Logical Model</v>
      </c>
      <c r="G2" s="92" t="str">
        <f>"pcsp-"&amp;Chemo!B5&amp;".fsh"</f>
        <v>pcsp-Chemotherapy.fsh</v>
      </c>
    </row>
    <row r="3" spans="3:7" x14ac:dyDescent="0.75">
      <c r="C3" s="35" t="str">
        <f>Chemo!I3</f>
        <v>// -------------------------------------------------------------------------------</v>
      </c>
    </row>
    <row r="4" spans="3:7" x14ac:dyDescent="0.75">
      <c r="C4" s="27" t="str">
        <f>Chemo!I4</f>
        <v>Logical: Chemotherapy</v>
      </c>
    </row>
    <row r="5" spans="3:7" x14ac:dyDescent="0.75">
      <c r="C5" s="27" t="str">
        <f>Chemo!I5</f>
        <v>Id: Chemotherapy</v>
      </c>
    </row>
    <row r="6" spans="3:7" x14ac:dyDescent="0.75">
      <c r="C6" s="27" t="str">
        <f>Chemo!I6</f>
        <v>Title: ##34#Chemotherapy##34#</v>
      </c>
    </row>
    <row r="7" spans="3:7" ht="29.5" x14ac:dyDescent="0.75">
      <c r="C7" s="27" t="str">
        <f>Chemo!I7</f>
        <v>Description:  ##334#Chemotherapy 
Maturity Level: 2 - Ready for Review##334#</v>
      </c>
    </row>
    <row r="8" spans="3:7" ht="29.5" x14ac:dyDescent="0.75">
      <c r="C8" s="17" t="str">
        <f>IF(Chemo!I8="*  ..  ##34###34# ##334###334#","//--- END",Chemo!I8)</f>
        <v>* relatedDiagnosis 1..1 Identifier ##34#Related Diagnosis##34# ##334#Identifier of the diagnosis for which this chemotherapy is performed##334#</v>
      </c>
    </row>
    <row r="9" spans="3:7" ht="29.5" x14ac:dyDescent="0.75">
      <c r="C9" s="17" t="str">
        <f>IF(Chemo!I9="*  ..  ##34###34# ##334###334#","//--- END",Chemo!I9)</f>
        <v>* startDate 1..1 dateTime ##34#Start date##34# ##334#Please report the date of the first chemotherapy given. If the date is unkown or partially missed insert the year at the best of your knowledge.##334#</v>
      </c>
    </row>
    <row r="10" spans="3:7" ht="29.5" x14ac:dyDescent="0.75">
      <c r="C10" s="17" t="str">
        <f>IF(Chemo!I10="*  ..  ##34###34# ##334###334#","//--- END",Chemo!I10)</f>
        <v>* endDate 1..1 dateTime ##34#End date##34# ##334#Please report the date of the last chemotherapy given. If the date is unkown or partially missed insert the year at the best of your knowledge.##334#</v>
      </c>
    </row>
    <row r="11" spans="3:7" ht="29.5" x14ac:dyDescent="0.75">
      <c r="C11" s="17" t="str">
        <f>IF(Chemo!I11="*  ..  ##34###34# ##334###334#","//--- END",Chemo!I11)</f>
        <v>* istitutionOfTreatment 0..1 BackboneElement ##34#Institution of treatment##34# ##334#Please indicate the institution in which all or most of the chemotherapeutic treatment was given##334#</v>
      </c>
    </row>
    <row r="12" spans="3:7" ht="29.5" x14ac:dyDescent="0.75">
      <c r="C12" s="17" t="str">
        <f>IF(Chemo!I12="*  ..  ##34###34# ##334###334#","//--- END",Chemo!I12)</f>
        <v>* istitutionOfTreatment.description 0..1 string ##34#Institution description##34# ##334#Please provide name, city and countryof the institution##334#</v>
      </c>
    </row>
    <row r="13" spans="3:7" x14ac:dyDescent="0.75">
      <c r="C13" s="17" t="str">
        <f>IF(Chemo!I13="*  ..  ##34###34# ##334###334#","//--- END",Chemo!I13)</f>
        <v>* istitutionOfTreatment.name 0..1 string ##34#Institution name##34# ##334#Institution name##334#</v>
      </c>
    </row>
    <row r="14" spans="3:7" x14ac:dyDescent="0.75">
      <c r="C14" s="17" t="str">
        <f>IF(Chemo!I14="*  ..  ##34###34# ##334###334#","//--- END",Chemo!I14)</f>
        <v>* istitutionOfTreatment.address 0..1 BackboneElement ##34#Institution address##34# ##334#Institution address##334#</v>
      </c>
    </row>
    <row r="15" spans="3:7" x14ac:dyDescent="0.75">
      <c r="C15" s="17" t="str">
        <f>IF(Chemo!I15="*  ..  ##34###34# ##334###334#","//--- END",Chemo!I15)</f>
        <v>* istitutionOfTreatment.address.name 0..1 string ##34#Institution city##34# ##334#Institution city##334#</v>
      </c>
    </row>
    <row r="16" spans="3:7" x14ac:dyDescent="0.75">
      <c r="C16" s="17" t="str">
        <f>IF(Chemo!I16="*  ..  ##34###34# ##334###334#","//--- END",Chemo!I16)</f>
        <v>* istitutionOfTreatment.address.country 0..1 string ##34#Institution country##34# ##334#Institution country##334#</v>
      </c>
    </row>
    <row r="17" spans="3:3" ht="29.5" x14ac:dyDescent="0.75">
      <c r="C17" s="17" t="str">
        <f>IF(Chemo!I17="*  ..  ##34###34# ##334###334#","//--- END",Chemo!I17)</f>
        <v>* productAdministration 1..20 BackboneElement ##34#Product(s) administartion data##34# ##334#Information about the product(s) administered##334#</v>
      </c>
    </row>
    <row r="18" spans="3:3" ht="88.5" x14ac:dyDescent="0.75">
      <c r="C18" s="17" t="str">
        <f>IF(Chemo!I18="*  ..  ##34###34# ##334###334#","//--- END",Chemo!I18)</f>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3:3" ht="29.5" x14ac:dyDescent="0.75">
      <c r="C19" s="17" t="str">
        <f>IF(Chemo!I19="*  ..  ##34###34# ##334###334#","//--- END",Chemo!I19)</f>
        <v>* productAdministration.dose 0..1 Quantity ##34#Dose (NOT in PCSP DB)##34# ##334#Dose received of each drug for this administration##334#</v>
      </c>
    </row>
    <row r="20" spans="3:3" ht="29.5" x14ac:dyDescent="0.75">
      <c r="C20" s="17" t="str">
        <f>IF(Chemo!I20="*  ..  ##34###34# ##334###334#","//--- END",Chemo!I20)</f>
        <v>* productAdministration.cumulativeDose 0..1 BackboneElement ##34#Cumulative Dose##34# ##334#Report the total cumulative dose received of each drug. ##334#</v>
      </c>
    </row>
    <row r="21" spans="3:3" ht="29.5" x14ac:dyDescent="0.75">
      <c r="C21" s="17" t="str">
        <f>IF(Chemo!I21="*  ..  ##34###34# ##334###334#","//--- END",Chemo!I21)</f>
        <v>* productAdministration.cumulativeDose.notAvailable 0..1 CodeableConcept ##34#Not calculated or not known dose##34# ##334#Flag indicating if the dose was not calculated or it was not known##334#</v>
      </c>
    </row>
    <row r="22" spans="3:3" ht="59" x14ac:dyDescent="0.75">
      <c r="C22" s="17" t="str">
        <f>IF(Chemo!I22="*  ..  ##34###34# ##334###334#","//--- END",Chemo!I22)</f>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3:3" ht="29.5" x14ac:dyDescent="0.75">
      <c r="C23" s="17" t="str">
        <f>IF(Chemo!I23="*  ..  ##34###34# ##334###334#","//--- END",Chemo!I23)</f>
        <v>* productAdministration.cumulativeDose.completionStatus 0..1 CodeableConcept ##34#The reported doses are incomplete (either under- or over-estimated)##34# ##334#Check in case of incomplete doses##334#</v>
      </c>
    </row>
    <row r="24" spans="3:3" ht="29.5" x14ac:dyDescent="0.75">
      <c r="C24" s="17" t="str">
        <f>IF(Chemo!I24="*  ..  ##34###34# ##334###334#","//--- END",Chemo!I24)</f>
        <v>* productAdministration.cumulativeDose.statusReason 0..1 string ##34#Specify reasons why##34# ##334#Specify reasons of incomplete estimated doses##334#</v>
      </c>
    </row>
    <row r="25" spans="3:3" ht="29.5" x14ac:dyDescent="0.75">
      <c r="C25" s="17" t="str">
        <f>IF(Chemo!I25="*  ..  ##34###34# ##334###334#","//--- END",Chemo!I25)</f>
        <v>* productAdministration.cumulativeDose.value 0..1 decimal ##34#Total cumulative dose##34# ##334#Report the total cumulative dose received of each drug.##334#</v>
      </c>
    </row>
    <row r="26" spans="3:3" ht="103.25" x14ac:dyDescent="0.75">
      <c r="C26" s="17" t="str">
        <f>IF(Chemo!I26="*  ..  ##34###34# ##334###334#","//--- END",Chemo!I26)</f>
        <v>* productAdministration.cumulativeDose.unit 0..1 CodeableConcept ##34#Measure unit##34# ##334#If the dose was calculated, please report the measure unit of the calculation
1 =&gt; mg/m2
2 =&gt; gr/m2
3 =&gt; UI/m2
4 =&gt; NK
5 =&gt; NC (not calculated)##334#</v>
      </c>
    </row>
    <row r="27" spans="3:3" ht="73.75" x14ac:dyDescent="0.75">
      <c r="C27" s="17" t="str">
        <f>IF(Chemo!I27="*  ..  ##34###34# ##334###334#","//--- END",Chemo!I27)</f>
        <v>* corticosteroids 0..1 CodeableConcept ##34#Prolonged corticosteroids as anti-cancer treatment at least 4 weeks continuously##34# ##334#Report 'yes' if the survivor was treated with steroids for at least 4 weeks continuously
1 =&gt; Yes
2 =&gt; No
-9922 =&gt; NK##334#</v>
      </c>
    </row>
    <row r="28" spans="3:3" x14ac:dyDescent="0.75">
      <c r="C28" s="17" t="str">
        <f>IF(Chemo!I28="*  ..  ##34###34# ##334###334#","//--- END",Chemo!I28)</f>
        <v>* intrathecalInjections 0..1 BackboneElement ##34#Intrathecal injections##34# ##334#Intrathecal injections##334#</v>
      </c>
    </row>
    <row r="29" spans="3:3" ht="73.75" x14ac:dyDescent="0.75">
      <c r="C29" s="17" t="str">
        <f>IF(Chemo!I29="*  ..  ##34###34# ##334###334#","//--- END",Chemo!I29)</f>
        <v>* intrathecalInjections.status 0..1 CodeableConcept ##34#Did the survivor receive therapeutic intrathecal injections ?##34# ##334#Please state if the survivor received any therapeutic intrathecal injections
1 =&gt; Yes
2 =&gt; No
-9922 =&gt; NK##334#</v>
      </c>
    </row>
    <row r="30" spans="3:3" x14ac:dyDescent="0.75">
      <c r="C30" s="17" t="str">
        <f>IF(Chemo!I30="*  ..  ##34###34# ##334###334#","//--- END",Chemo!I30)</f>
        <v>* intrathecalInjections.number 0..1 integer ##34#Total number##34# ##334#Report the total number of injections##334#</v>
      </c>
    </row>
    <row r="31" spans="3:3" ht="29.5" x14ac:dyDescent="0.75">
      <c r="C31" s="17" t="str">
        <f>IF(Chemo!I31="*  ..  ##34###34# ##334###334#","//--- END",Chemo!I31)</f>
        <v>* intrathecalInjections.productName 0..* string ##34#Drug(s) administered##34# ##334#Please report the names of drugs injected intrathecal##334#</v>
      </c>
    </row>
    <row r="32" spans="3:3" ht="29.5" x14ac:dyDescent="0.75">
      <c r="C32" s="17" t="str">
        <f>IF(Chemo!I32="*  ..  ##34###34# ##334###334#","//--- END",Chemo!I32)</f>
        <v>* otherTreatments 0..1 BackboneElement ##34#Other chemothrapeutic treatments##34# ##334#Report any other chemothrapeutic treatments that are not included in the ATC code##334#</v>
      </c>
    </row>
    <row r="33" spans="3:3" x14ac:dyDescent="0.75">
      <c r="C33" s="17" t="str">
        <f>IF(Chemo!I33="*  ..  ##34###34# ##334###334#","//--- END",Chemo!I33)</f>
        <v>* otherTreatments.productName 1..* string ##34#Drugs name##34# ##334#If yes, describe treatments##334#</v>
      </c>
    </row>
    <row r="34" spans="3:3" x14ac:dyDescent="0.75">
      <c r="C34" s="17" t="str">
        <f>IF(Chemo!I34="*  ..  ##34###34# ##334###334#","//--- END",Chemo!I34)</f>
        <v>//--- END</v>
      </c>
    </row>
    <row r="35" spans="3:3" x14ac:dyDescent="0.75">
      <c r="C35" s="17" t="str">
        <f>IF(Chemo!I35="*  ..  ##34###34# ##334###334#","//--- END",Chemo!I35)</f>
        <v>//--- END</v>
      </c>
    </row>
    <row r="36" spans="3:3" x14ac:dyDescent="0.75">
      <c r="C36" s="17" t="str">
        <f>IF(Chemo!I36="*  ..  ##34###34# ##334###334#","//--- END",Chemo!I36)</f>
        <v>//--- END</v>
      </c>
    </row>
    <row r="39" spans="3:3" x14ac:dyDescent="0.75">
      <c r="C39" s="34" t="str">
        <f>'Chemo-Map'!E1</f>
        <v>// -------------------------------------------------------------------------------</v>
      </c>
    </row>
    <row r="40" spans="3:3" x14ac:dyDescent="0.75">
      <c r="C40" s="35" t="str">
        <f>'Chemo-Map'!E2</f>
        <v>//  Map to FHIR R4</v>
      </c>
    </row>
    <row r="41" spans="3:3" x14ac:dyDescent="0.75">
      <c r="C41" s="35" t="str">
        <f>'Chemo-Map'!E3</f>
        <v>// -------------------------------------------------------------------------------</v>
      </c>
    </row>
    <row r="42" spans="3:3" x14ac:dyDescent="0.75">
      <c r="C42" s="17" t="str">
        <f>'Chemo-Map'!E4</f>
        <v>Mapping: Chemo2Fhir</v>
      </c>
    </row>
    <row r="43" spans="3:3" x14ac:dyDescent="0.75">
      <c r="C43" s="17" t="str">
        <f>'Chemo-Map'!E5</f>
        <v>Id: fhir</v>
      </c>
    </row>
    <row r="44" spans="3:3" x14ac:dyDescent="0.75">
      <c r="C44" s="17" t="str">
        <f>'Chemo-Map'!E6</f>
        <v>Title: ##34#Chemotherapy model to PCSP HL7 FHIR R4 Profiles##34#</v>
      </c>
    </row>
    <row r="45" spans="3:3" x14ac:dyDescent="0.75">
      <c r="C45" s="17" t="str">
        <f>'Chemo-Map'!E7</f>
        <v>Source: Chemotherapy</v>
      </c>
    </row>
    <row r="46" spans="3:3" x14ac:dyDescent="0.75">
      <c r="C46" s="17" t="str">
        <f>'Chemo-Map'!E8</f>
        <v>Target: ##34#hl7.org/fhir/r4##34#</v>
      </c>
    </row>
    <row r="48" spans="3:3" ht="29.5" x14ac:dyDescent="0.75">
      <c r="C48" s="17" t="str">
        <f>IF('Chemo-Map'!E9="*  -&gt; ##34###34#","// --END",'Chemo-Map'!E9)</f>
        <v>* . -&gt; ##34#MedicationAdministration.conformsTo('http://hl7.eu/fhir/ig/pcsp/StructureDefinition/MedicationAdministration-eu-pcsp')##34#</v>
      </c>
    </row>
    <row r="49" spans="3:3" x14ac:dyDescent="0.75">
      <c r="C49" s="17" t="str">
        <f>IF('Chemo-Map'!E10="*  -&gt; ##34###34#","// --END",'Chemo-Map'!E10)</f>
        <v>* relatedDiagnosis -&gt; ##34#.reasonReference##34#</v>
      </c>
    </row>
    <row r="50" spans="3:3" x14ac:dyDescent="0.75">
      <c r="C50" s="17" t="str">
        <f>IF('Chemo-Map'!E11="*  -&gt; ##34###34#","// --END",'Chemo-Map'!E11)</f>
        <v>* startDate -&gt; ##34#.effectivePeriod.start##34#</v>
      </c>
    </row>
    <row r="51" spans="3:3" x14ac:dyDescent="0.75">
      <c r="C51" s="17" t="str">
        <f>IF('Chemo-Map'!E12="*  -&gt; ##34###34#","// --END",'Chemo-Map'!E12)</f>
        <v>* endDate -&gt; ##34#.effectivePeriod.end##34#</v>
      </c>
    </row>
    <row r="52" spans="3:3" ht="29.5" x14ac:dyDescent="0.75">
      <c r="C52" s="17" t="str">
        <f>IF('Chemo-Map'!E13="*  -&gt; ##34###34#","// --END",'Chemo-Map'!E13)</f>
        <v>* istitutionOfTreatment -&gt; ##34#.extension(http://hl7.eu/fhir/ig/pcsp/StructureDefinition/ActLocation-eu-pcsp).conformsTo(http://hl7.eu/fhir/ig/pcsp/StructureDefinition/Location-eu-pcsp)##34#</v>
      </c>
    </row>
    <row r="53" spans="3:3" x14ac:dyDescent="0.75">
      <c r="C53" s="17" t="str">
        <f>IF('Chemo-Map'!E14="*  -&gt; ##34###34#","// --END",'Chemo-Map'!E14)</f>
        <v>* istitutionOfTreatment.description -&gt; ##34#Location.description##34#</v>
      </c>
    </row>
    <row r="54" spans="3:3" x14ac:dyDescent="0.75">
      <c r="C54" s="17" t="str">
        <f>IF('Chemo-Map'!E15="*  -&gt; ##34###34#","// --END",'Chemo-Map'!E15)</f>
        <v>* istitutionOfTreatment.name -&gt; ##34#Location.name##34#</v>
      </c>
    </row>
    <row r="55" spans="3:3" x14ac:dyDescent="0.75">
      <c r="C55" s="17" t="str">
        <f>IF('Chemo-Map'!E16="*  -&gt; ##34###34#","// --END",'Chemo-Map'!E16)</f>
        <v>* istitutionOfTreatment.address -&gt; ##34#Location.address.city##34#</v>
      </c>
    </row>
    <row r="56" spans="3:3" x14ac:dyDescent="0.75">
      <c r="C56" s="17" t="str">
        <f>IF('Chemo-Map'!E17="*  -&gt; ##34###34#","// --END",'Chemo-Map'!E17)</f>
        <v>// no map</v>
      </c>
    </row>
    <row r="57" spans="3:3" x14ac:dyDescent="0.75">
      <c r="C57" s="17" t="str">
        <f>IF('Chemo-Map'!E18="*  -&gt; ##34###34#","// --END",'Chemo-Map'!E18)</f>
        <v>* istitutionOfTreatment.address.country -&gt; ##34#Location.address.country##34#</v>
      </c>
    </row>
    <row r="58" spans="3:3" x14ac:dyDescent="0.75">
      <c r="C58" s="17" t="str">
        <f>IF('Chemo-Map'!E19="*  -&gt; ##34###34#","// --END",'Chemo-Map'!E19)</f>
        <v>* productAdministration -&gt; ##34#.medication[x]##34#</v>
      </c>
    </row>
    <row r="59" spans="3:3" x14ac:dyDescent="0.75">
      <c r="C59" s="17" t="str">
        <f>IF('Chemo-Map'!E20="*  -&gt; ##34###34#","// --END",'Chemo-Map'!E20)</f>
        <v>* productAdministration.agent -&gt; ##34#.medicationCodeableConcept##34#</v>
      </c>
    </row>
    <row r="60" spans="3:3" x14ac:dyDescent="0.75">
      <c r="C60" s="17" t="str">
        <f>IF('Chemo-Map'!E21="*  -&gt; ##34###34#","// --END",'Chemo-Map'!E21)</f>
        <v>* productAdministration.dose -&gt; ##34#.dosage.dose##34#</v>
      </c>
    </row>
    <row r="61" spans="3:3" ht="44.25" x14ac:dyDescent="0.75">
      <c r="C61" s="17" t="str">
        <f>IF('Chemo-Map'!E22="*  -&gt; ##34###34#","// --END",'Chemo-Map'!E22)</f>
        <v>* productAdministration.cumulativeDose -&gt; ##34#.extension(http://hl7.eu/fhir/ig/pcsp/StructureDefinition/ResourceRelatedInfo-eu-pcsp).conformsTo(http://hl7.eu/fhir/ig/pcsp/StructureDefinition/Observation-cumulativeDoseChemo-eu-pcsp)##34#</v>
      </c>
    </row>
    <row r="62" spans="3:3" ht="29.5" x14ac:dyDescent="0.75">
      <c r="C62" s="17" t="str">
        <f>IF('Chemo-Map'!E23="*  -&gt; ##34###34#","// --END",'Chemo-Map'!E23)</f>
        <v>* productAdministration.cumulativeDose.notAvailable -&gt; ##34#.valueCodeableConcept = http://terminology.hl7.org/CodeSystem/data-absent-reason#unknown##34#</v>
      </c>
    </row>
    <row r="63" spans="3:3" x14ac:dyDescent="0.75">
      <c r="C63" s="17" t="str">
        <f>IF('Chemo-Map'!E24="*  -&gt; ##34###34#","// --END",'Chemo-Map'!E24)</f>
        <v>* productAdministration.cumulativeDose.notAvailable -&gt; ##34#.dataAbsentReason##34#</v>
      </c>
    </row>
    <row r="64" spans="3:3" x14ac:dyDescent="0.75">
      <c r="C64" s="17" t="str">
        <f>IF('Chemo-Map'!E25="*  -&gt; ##34###34#","// --END",'Chemo-Map'!E25)</f>
        <v>* productAdministration.cumulativeDose.measureType -&gt; ##34#.method##34#</v>
      </c>
    </row>
    <row r="65" spans="3:3" x14ac:dyDescent="0.75">
      <c r="C65" s="17" t="str">
        <f>IF('Chemo-Map'!E26="*  -&gt; ##34###34#","// --END",'Chemo-Map'!E26)</f>
        <v>* productAdministration.cumulativeDose.completionStatus -&gt; ##34#.status = #preliminary##34#</v>
      </c>
    </row>
    <row r="66" spans="3:3" ht="29.5" x14ac:dyDescent="0.75">
      <c r="C66" s="17" t="str">
        <f>IF('Chemo-Map'!E27="*  -&gt; ##34###34#","// --END",'Chemo-Map'!E27)</f>
        <v>* productAdministration.cumulativeDose.statusReason -&gt; ##34#.extension('http://hl7.org/fhir/StructureDefinition/event-statusReason')##34#</v>
      </c>
    </row>
    <row r="67" spans="3:3" x14ac:dyDescent="0.75">
      <c r="C67" s="17" t="str">
        <f>IF('Chemo-Map'!E28="*  -&gt; ##34###34#","// --END",'Chemo-Map'!E28)</f>
        <v>* productAdministration.cumulativeDose.value -&gt; ##34#.valueQuantity.value##34#</v>
      </c>
    </row>
    <row r="68" spans="3:3" x14ac:dyDescent="0.75">
      <c r="C68" s="17" t="str">
        <f>IF('Chemo-Map'!E29="*  -&gt; ##34###34#","// --END",'Chemo-Map'!E29)</f>
        <v>* productAdministration.cumulativeDose.unit -&gt; ##34#.valueQuantity.unit (human readeable)##34#</v>
      </c>
    </row>
    <row r="69" spans="3:3" x14ac:dyDescent="0.75">
      <c r="C69" s="17" t="str">
        <f>IF('Chemo-Map'!E30="*  -&gt; ##34###34#","// --END",'Chemo-Map'!E30)</f>
        <v>* productAdministration.cumulativeDose.unit -&gt; ##34#.valueQuantity.code (code)##34#</v>
      </c>
    </row>
    <row r="70" spans="3:3" ht="29.5" x14ac:dyDescent="0.75">
      <c r="C70" s="17" t="str">
        <f>IF('Chemo-Map'!E31="*  -&gt; ##34###34#","// --END",'Chemo-Map'!E31)</f>
        <v>* corticosteroids -&gt; ##34#MedicationStatement.where(medicationCodeableConcept = 'http://www.whocc.no/atc|H02' and dosage.timing.repeat.boundsDuration.where( value='4' and code = 'w' and comparator ='&gt;' )##34#</v>
      </c>
    </row>
    <row r="71" spans="3:3" x14ac:dyDescent="0.75">
      <c r="C71" s="17" t="str">
        <f>IF('Chemo-Map'!E32="*  -&gt; ##34###34#","// --END",'Chemo-Map'!E32)</f>
        <v>* intrathecalInjections -&gt; ##34#MedicationStatement.where(dosage.route = https://standardterms.edqm.eu|20042000)##34#</v>
      </c>
    </row>
    <row r="72" spans="3:3" x14ac:dyDescent="0.75">
      <c r="C72" s="17" t="str">
        <f>IF('Chemo-Map'!E33="*  -&gt; ##34###34#","// --END",'Chemo-Map'!E33)</f>
        <v>* intrathecalInjections.status -&gt; ##34#.exists()##34#</v>
      </c>
    </row>
    <row r="73" spans="3:3" x14ac:dyDescent="0.75">
      <c r="C73" s="17" t="str">
        <f>IF('Chemo-Map'!E34="*  -&gt; ##34###34#","// --END",'Chemo-Map'!E34)</f>
        <v>* intrathecalInjections.number -&gt; ##34#.dosage.timing.repeat.count##34#</v>
      </c>
    </row>
    <row r="74" spans="3:3" x14ac:dyDescent="0.75">
      <c r="C74" s="17" t="str">
        <f>IF('Chemo-Map'!E35="*  -&gt; ##34###34#","// --END",'Chemo-Map'!E35)</f>
        <v>* intrathecalInjections.number -&gt; ##34#.count()##34#</v>
      </c>
    </row>
    <row r="75" spans="3:3" x14ac:dyDescent="0.75">
      <c r="C75" s="17" t="str">
        <f>IF('Chemo-Map'!E36="*  -&gt; ##34###34#","// --END",'Chemo-Map'!E36)</f>
        <v>* intrathecalInjections.productName -&gt; ##34#.medicationCodeableConcept.text##34#</v>
      </c>
    </row>
    <row r="76" spans="3:3" x14ac:dyDescent="0.75">
      <c r="C76" s="17" t="str">
        <f>IF('Chemo-Map'!E37="*  -&gt; ##34###34#","// --END",'Chemo-Map'!E37)</f>
        <v>* otherTreatments -&gt; ##34#MedicationStatement##34#</v>
      </c>
    </row>
    <row r="77" spans="3:3" x14ac:dyDescent="0.75">
      <c r="C77" s="17" t="str">
        <f>IF('Chemo-Map'!E38="*  -&gt; ##34###34#","// --END",'Chemo-Map'!E38)</f>
        <v>* otherTreatments.productName -&gt; ##34#.medicationCodeableConcept.text##34#</v>
      </c>
    </row>
    <row r="78" spans="3:3" x14ac:dyDescent="0.75">
      <c r="C78" s="17" t="str">
        <f>IF('Chemo-Map'!E39="*  -&gt; ##34###34#","// --END",'Chemo-Map'!E39)</f>
        <v>// --END</v>
      </c>
    </row>
    <row r="79" spans="3:3" x14ac:dyDescent="0.75">
      <c r="C79" s="17" t="str">
        <f>IF('Chemo-Map'!E40="*  -&gt; ##34###34#","// --END",'Chemo-Map'!E40)</f>
        <v>// --END</v>
      </c>
    </row>
    <row r="80" spans="3:3" x14ac:dyDescent="0.75">
      <c r="C80" s="17" t="str">
        <f>IF('Chemo-Map'!E41="*  -&gt; ##34###34#","// --END",'Chemo-Map'!E41)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4" tint="0.59999389629810485"/>
  </sheetPr>
  <dimension ref="A1:L34"/>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RelapseAfterFLT</v>
      </c>
      <c r="I4" s="27" t="str">
        <f>CONCATENATE("Logical: ",B4)</f>
        <v>Logical: RelapseAfterFLT</v>
      </c>
    </row>
    <row r="5" spans="1:11" x14ac:dyDescent="0.75">
      <c r="A5" s="22" t="s">
        <v>76</v>
      </c>
      <c r="B5" s="36" t="s">
        <v>824</v>
      </c>
      <c r="I5" s="27" t="str">
        <f>CONCATENATE("Id: ",B5)</f>
        <v>Id: RelapseAfterFLT</v>
      </c>
    </row>
    <row r="6" spans="1:11" ht="15.5" thickBot="1" x14ac:dyDescent="0.9">
      <c r="A6" s="22" t="s">
        <v>11</v>
      </c>
      <c r="B6" s="80" t="s">
        <v>823</v>
      </c>
      <c r="I6" s="28" t="str">
        <f>CONCATENATE("Title: ##34#",B6,"##34#")</f>
        <v>Title: ##34#Progression-Relapse after FLT##34#</v>
      </c>
    </row>
    <row r="7" spans="1:11" ht="30.25" thickBot="1" x14ac:dyDescent="0.9">
      <c r="A7" s="23" t="s">
        <v>4</v>
      </c>
      <c r="B7" s="80" t="s">
        <v>835</v>
      </c>
      <c r="C7" s="12" t="s">
        <v>5</v>
      </c>
      <c r="D7" s="2" t="s">
        <v>6</v>
      </c>
      <c r="E7" s="3" t="s">
        <v>7</v>
      </c>
      <c r="F7" s="3" t="s">
        <v>8</v>
      </c>
      <c r="G7" s="3" t="s">
        <v>9</v>
      </c>
      <c r="I7" s="28" t="str">
        <f>CONCATENATE("Description: "," ##334#",B7,"##334#",)</f>
        <v>Description:  ##334#Progression-Relapse after FLT
Maturity Level: 2 - Ready for Review##334#</v>
      </c>
    </row>
    <row r="8" spans="1:11" ht="73.75" x14ac:dyDescent="0.75">
      <c r="A8" s="8">
        <v>1</v>
      </c>
      <c r="B8" s="8" t="s">
        <v>12</v>
      </c>
      <c r="C8" s="17" t="s">
        <v>796</v>
      </c>
      <c r="D8" s="17" t="s">
        <v>798</v>
      </c>
      <c r="E8" s="8">
        <v>0</v>
      </c>
      <c r="F8" s="8">
        <v>1</v>
      </c>
      <c r="G8" s="8" t="s">
        <v>0</v>
      </c>
      <c r="H8" s="25"/>
      <c r="I8" s="17"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1:11" ht="59" x14ac:dyDescent="0.75">
      <c r="A9" s="8">
        <v>2</v>
      </c>
      <c r="B9" s="8" t="s">
        <v>72</v>
      </c>
      <c r="C9" s="17" t="s">
        <v>149</v>
      </c>
      <c r="D9" s="18" t="s">
        <v>681</v>
      </c>
      <c r="E9" s="8">
        <v>0</v>
      </c>
      <c r="F9" s="8">
        <v>1</v>
      </c>
      <c r="G9" s="8" t="s">
        <v>0</v>
      </c>
      <c r="H9" s="25"/>
      <c r="I9" s="17" t="str">
        <f t="shared" ref="I9:I20"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1" ht="44.25" x14ac:dyDescent="0.75">
      <c r="A10" s="8">
        <v>3</v>
      </c>
      <c r="B10" s="8" t="s">
        <v>3</v>
      </c>
      <c r="C10" s="17" t="s">
        <v>825</v>
      </c>
      <c r="D10" s="17" t="s">
        <v>801</v>
      </c>
      <c r="E10" s="8">
        <v>0</v>
      </c>
      <c r="F10" s="8">
        <v>1</v>
      </c>
      <c r="G10" s="8" t="s">
        <v>3</v>
      </c>
      <c r="H10" s="25"/>
      <c r="I10" s="17" t="str">
        <f t="shared" si="0"/>
        <v>* date 0..1 date ##34#date of relapse##34# ##334#Report here the date (dd/mm/yyyy ) of the relapse/progression. If the date is unkown or partially missed insert the year at the best of your knowledge.##334#</v>
      </c>
    </row>
    <row r="11" spans="1:11" ht="132.75" x14ac:dyDescent="0.75">
      <c r="A11" s="8">
        <v>4</v>
      </c>
      <c r="B11" s="8" t="s">
        <v>826</v>
      </c>
      <c r="C11" s="17" t="s">
        <v>827</v>
      </c>
      <c r="D11" s="17" t="s">
        <v>828</v>
      </c>
      <c r="E11" s="8">
        <v>0</v>
      </c>
      <c r="F11" s="8">
        <v>1</v>
      </c>
      <c r="G11" s="8" t="s">
        <v>1</v>
      </c>
      <c r="H11" s="25"/>
      <c r="I11" s="17"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1:11" ht="44.25" x14ac:dyDescent="0.75">
      <c r="A12" s="8">
        <v>5</v>
      </c>
      <c r="B12" s="8" t="s">
        <v>16</v>
      </c>
      <c r="C12" s="17" t="s">
        <v>829</v>
      </c>
      <c r="D12" s="17" t="s">
        <v>803</v>
      </c>
      <c r="E12" s="8">
        <v>0</v>
      </c>
      <c r="F12" s="8">
        <v>1</v>
      </c>
      <c r="G12" s="8" t="s">
        <v>1</v>
      </c>
      <c r="H12" s="25"/>
      <c r="I12" s="17" t="str">
        <f t="shared" si="0"/>
        <v>* type 0..1 CodeableConcept ##34#local | distant | combined##34# ##334#Please define if the relapse/progression was local, distant or combined.
##334#</v>
      </c>
    </row>
    <row r="13" spans="1:11" ht="44.25" x14ac:dyDescent="0.75">
      <c r="A13" s="8">
        <v>6</v>
      </c>
      <c r="B13" s="8" t="s">
        <v>71</v>
      </c>
      <c r="C13" s="17" t="s">
        <v>697</v>
      </c>
      <c r="D13" s="17" t="s">
        <v>803</v>
      </c>
      <c r="E13" s="8">
        <v>0</v>
      </c>
      <c r="F13" s="8">
        <v>1</v>
      </c>
      <c r="G13" s="8" t="s">
        <v>2</v>
      </c>
      <c r="H13" s="25"/>
      <c r="I13" s="17" t="str">
        <f t="shared" si="0"/>
        <v>* site 0..1 string ##34#If distant, site of metastases##34# ##334#Please define if the relapse/progression was local, distant or combined.
##334#</v>
      </c>
    </row>
    <row r="14" spans="1:11" x14ac:dyDescent="0.75">
      <c r="A14" s="8"/>
      <c r="B14" s="8"/>
      <c r="C14" s="17"/>
      <c r="D14" s="17"/>
      <c r="E14" s="8"/>
      <c r="F14" s="8"/>
      <c r="G14" s="8"/>
      <c r="H14" s="25"/>
      <c r="I14" s="17" t="str">
        <f t="shared" si="0"/>
        <v>*  ..  ##34###34# ##334###334#</v>
      </c>
    </row>
    <row r="15" spans="1:11" x14ac:dyDescent="0.75">
      <c r="A15" s="8"/>
      <c r="B15" s="8"/>
      <c r="C15" s="8"/>
      <c r="D15" s="8"/>
      <c r="E15" s="8"/>
      <c r="F15" s="8"/>
      <c r="G15" s="8"/>
      <c r="H15" s="25"/>
      <c r="I15" s="17" t="str">
        <f t="shared" si="0"/>
        <v>*  ..  ##34###34# ##334###334#</v>
      </c>
      <c r="J15" s="21"/>
      <c r="K15" s="8"/>
    </row>
    <row r="16" spans="1:11" x14ac:dyDescent="0.75">
      <c r="I16" s="17" t="str">
        <f t="shared" si="0"/>
        <v>*  ..  ##34###34# ##334###334#</v>
      </c>
    </row>
    <row r="17" spans="2:9" x14ac:dyDescent="0.75">
      <c r="I17" s="17" t="str">
        <f t="shared" si="0"/>
        <v>*  ..  ##34###34# ##334###334#</v>
      </c>
    </row>
    <row r="18" spans="2:9" x14ac:dyDescent="0.75">
      <c r="I18" s="17" t="str">
        <f t="shared" si="0"/>
        <v>*  ..  ##34###34# ##334###334#</v>
      </c>
    </row>
    <row r="19" spans="2:9" x14ac:dyDescent="0.75">
      <c r="B19" s="8"/>
      <c r="C19" s="21"/>
      <c r="D19" s="17"/>
      <c r="E19" s="8"/>
      <c r="F19" s="8"/>
      <c r="G19" s="8"/>
      <c r="I19" s="17" t="str">
        <f t="shared" si="0"/>
        <v>*  ..  ##34###34# ##334###334#</v>
      </c>
    </row>
    <row r="20" spans="2:9" x14ac:dyDescent="0.75">
      <c r="I20" s="17" t="str">
        <f t="shared" si="0"/>
        <v>*  ..  ##34###34# ##334###334#</v>
      </c>
    </row>
    <row r="21" spans="2:9" x14ac:dyDescent="0.75">
      <c r="I21"/>
    </row>
    <row r="22" spans="2:9" x14ac:dyDescent="0.75">
      <c r="I22"/>
    </row>
    <row r="23" spans="2:9" x14ac:dyDescent="0.75">
      <c r="I23"/>
    </row>
    <row r="24" spans="2:9" x14ac:dyDescent="0.75">
      <c r="I24"/>
    </row>
    <row r="25" spans="2:9" x14ac:dyDescent="0.75">
      <c r="I25"/>
    </row>
    <row r="26" spans="2:9" x14ac:dyDescent="0.75">
      <c r="I26"/>
    </row>
    <row r="27" spans="2:9" x14ac:dyDescent="0.75">
      <c r="I27"/>
    </row>
    <row r="28" spans="2:9" x14ac:dyDescent="0.75">
      <c r="I28"/>
    </row>
    <row r="29" spans="2:9" x14ac:dyDescent="0.75">
      <c r="I29"/>
    </row>
    <row r="30" spans="2:9" x14ac:dyDescent="0.75">
      <c r="I30"/>
    </row>
    <row r="31" spans="2:9" x14ac:dyDescent="0.75">
      <c r="I31"/>
    </row>
    <row r="32" spans="2:9" x14ac:dyDescent="0.75">
      <c r="I32"/>
    </row>
    <row r="33" spans="9:9" x14ac:dyDescent="0.75">
      <c r="I33"/>
    </row>
    <row r="34" spans="9:9" x14ac:dyDescent="0.75">
      <c r="I3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topLeftCell="A12" workbookViewId="0">
      <selection activeCell="E16" sqref="E1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16" t="s">
        <v>77</v>
      </c>
      <c r="C4" s="7" t="s">
        <v>1019</v>
      </c>
      <c r="E4" s="30" t="str">
        <f>CONCATENATE("Mapping: ",C4)</f>
        <v>Mapping: RelAfterFLT2Fhir</v>
      </c>
      <c r="H4" s="9"/>
      <c r="I4" s="9"/>
      <c r="J4" s="9"/>
      <c r="K4" s="9"/>
      <c r="L4" s="9"/>
      <c r="M4" s="9"/>
      <c r="N4" s="9"/>
      <c r="O4" s="9"/>
    </row>
    <row r="5" spans="1:15" ht="15.5" thickBot="1" x14ac:dyDescent="0.9">
      <c r="B5" s="16" t="s">
        <v>76</v>
      </c>
      <c r="C5" s="5" t="s">
        <v>15</v>
      </c>
      <c r="E5" s="31" t="str">
        <f>CONCATENATE("Id: ",C5)</f>
        <v>Id: fhir</v>
      </c>
      <c r="G5" s="1"/>
      <c r="H5" s="9"/>
      <c r="I5" s="9"/>
      <c r="J5" s="9"/>
      <c r="K5" s="9"/>
      <c r="L5" s="9"/>
      <c r="M5" s="9"/>
      <c r="N5" s="9"/>
      <c r="O5" s="9"/>
    </row>
    <row r="6" spans="1:15" ht="15.5" thickBot="1" x14ac:dyDescent="0.9">
      <c r="B6" s="16" t="s">
        <v>11</v>
      </c>
      <c r="C6" s="1" t="str">
        <f>C7 &amp;  " model to PCSP HL7 FHIR R4 Profiles"</f>
        <v>RelapseAfterFLT model to PCSP HL7 FHIR R4 Profiles</v>
      </c>
      <c r="E6" s="31" t="str">
        <f>CONCATENATE("Title: ##34#",C6,"##34#")</f>
        <v>Title: ##34#RelapseAfterFLT model to PCSP HL7 FHIR R4 Profiles##34#</v>
      </c>
      <c r="G6" s="1"/>
      <c r="H6" s="9"/>
      <c r="I6" s="9"/>
      <c r="J6" s="9"/>
      <c r="K6" s="9"/>
      <c r="L6" s="9"/>
      <c r="M6" s="9"/>
      <c r="N6" s="9"/>
      <c r="O6" s="9"/>
    </row>
    <row r="7" spans="1:15" ht="15.5" thickBot="1" x14ac:dyDescent="0.9">
      <c r="B7" s="16" t="s">
        <v>78</v>
      </c>
      <c r="C7" s="10" t="str">
        <f>B9</f>
        <v>RelapseAfterFLT</v>
      </c>
      <c r="E7" s="31" t="str">
        <f>CONCATENATE("Source: ",C7)</f>
        <v>Source: RelapseAfterFLT</v>
      </c>
      <c r="G7" s="1"/>
      <c r="H7" s="9"/>
      <c r="I7" s="9"/>
      <c r="J7" s="9"/>
      <c r="K7" s="9"/>
      <c r="L7" s="9"/>
      <c r="M7" s="9"/>
      <c r="N7" s="9"/>
      <c r="O7" s="9"/>
    </row>
    <row r="8" spans="1:15" ht="15.5" thickBot="1" x14ac:dyDescent="0.9">
      <c r="B8" s="29" t="s">
        <v>73</v>
      </c>
      <c r="C8" t="s">
        <v>14</v>
      </c>
      <c r="E8" s="32" t="str">
        <f>CONCATENATE("Target: ##34#",C8,"##34#")</f>
        <v>Target: ##34#hl7.org/fhir/r4##34#</v>
      </c>
      <c r="G8" s="1"/>
      <c r="H8" s="9"/>
      <c r="I8" s="9"/>
      <c r="J8" s="9"/>
      <c r="K8" s="9"/>
      <c r="L8" s="9"/>
      <c r="M8" s="9"/>
      <c r="N8" s="9"/>
      <c r="O8" s="9"/>
    </row>
    <row r="9" spans="1:15" ht="103.25" x14ac:dyDescent="0.75">
      <c r="A9" s="8"/>
      <c r="B9" s="8" t="str">
        <f>RelAftFlt!B5</f>
        <v>RelapseAfterFLT</v>
      </c>
      <c r="C9" s="4" t="s">
        <v>830</v>
      </c>
      <c r="E9" s="4" t="str">
        <f>CONCATENATE("* . -&gt; ##34#",C9,"##34#")</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H9" s="9"/>
      <c r="I9" s="9"/>
      <c r="J9" s="9"/>
      <c r="K9" s="9"/>
      <c r="L9" s="9"/>
      <c r="M9" s="9"/>
      <c r="N9" s="9"/>
      <c r="O9" s="9"/>
    </row>
    <row r="10" spans="1:15" x14ac:dyDescent="0.75">
      <c r="A10" s="8"/>
      <c r="B10" s="8" t="str">
        <f>RelAftFlt!B8</f>
        <v>identifier</v>
      </c>
      <c r="C10" s="11" t="s">
        <v>74</v>
      </c>
      <c r="E10" s="17" t="str">
        <f>CONCATENATE("* ",B10," -&gt; ##34#",C10,"##34#")</f>
        <v>* identifier -&gt; ##34#.identifier##34#</v>
      </c>
      <c r="G10" s="1"/>
      <c r="H10" s="9"/>
      <c r="I10" s="9"/>
      <c r="J10" s="9"/>
      <c r="K10" s="9"/>
      <c r="L10" s="9"/>
      <c r="M10" s="9"/>
      <c r="N10" s="9"/>
      <c r="O10" s="9"/>
    </row>
    <row r="11" spans="1:15" ht="44.25" x14ac:dyDescent="0.75">
      <c r="A11" s="8"/>
      <c r="B11" s="8" t="str">
        <f>RelAftFlt!B9</f>
        <v>relatedDiagnosis</v>
      </c>
      <c r="C11" s="20" t="s">
        <v>831</v>
      </c>
      <c r="E11" s="17" t="str">
        <f t="shared" ref="E11:E21" si="0">CONCATENATE("* ",B11," -&gt; ##34#",C11,"##34#")</f>
        <v>* relatedDiagnosis -&gt; ##34#.extension('http://hl7.org/fhir/StructureDefinition/condition-occurredFollowing')##34#</v>
      </c>
      <c r="G11" s="1"/>
      <c r="H11" s="9"/>
      <c r="I11" s="9"/>
      <c r="J11" s="9"/>
      <c r="K11" s="9"/>
      <c r="L11" s="9"/>
      <c r="M11" s="9"/>
      <c r="N11" s="9"/>
      <c r="O11" s="9"/>
    </row>
    <row r="12" spans="1:15" ht="29.5" x14ac:dyDescent="0.75">
      <c r="A12" s="8"/>
      <c r="B12" s="8" t="str">
        <f>RelAftFlt!B10</f>
        <v>date</v>
      </c>
      <c r="C12" s="8" t="s">
        <v>832</v>
      </c>
      <c r="E12" s="17" t="str">
        <f t="shared" si="0"/>
        <v>* date -&gt; ##34#.extension('http://hl7.org/fhir/StructureDefinition/condition-assertedDate')##34#</v>
      </c>
      <c r="G12" s="1"/>
      <c r="H12" s="9"/>
      <c r="I12" s="9"/>
      <c r="J12" s="9"/>
      <c r="K12" s="9"/>
      <c r="L12" s="9"/>
      <c r="M12" s="9"/>
      <c r="N12" s="9"/>
      <c r="O12" s="9"/>
    </row>
    <row r="13" spans="1:15" ht="59" x14ac:dyDescent="0.75">
      <c r="A13" s="8"/>
      <c r="B13" s="8" t="str">
        <f>RelAftFlt!B11</f>
        <v>relapseOrProgression</v>
      </c>
      <c r="C13" s="17" t="s">
        <v>833</v>
      </c>
      <c r="E13" s="17" t="str">
        <f t="shared" si="0"/>
        <v>* relapseOrProgression -&gt; ##34#.extension('http://hl7.eu/fhir/ig/pcsp/StructureDefinition/condition-previousStatus').valueCodeableConcept OR Condition.where( clinicalStatus = #relapse or clinicalStatus = #recurrence).clinicalStatus##34#</v>
      </c>
      <c r="G13" s="1"/>
      <c r="H13" s="9"/>
      <c r="I13" s="9"/>
      <c r="J13" s="9"/>
      <c r="K13" s="9"/>
      <c r="L13" s="9"/>
      <c r="M13" s="9"/>
      <c r="N13" s="9"/>
      <c r="O13" s="9"/>
    </row>
    <row r="14" spans="1:15" ht="29.5" x14ac:dyDescent="0.75">
      <c r="A14" s="8"/>
      <c r="B14" s="8" t="str">
        <f>RelAftFlt!B12</f>
        <v>type</v>
      </c>
      <c r="C14" s="17" t="s">
        <v>834</v>
      </c>
      <c r="E14" s="17" t="str">
        <f t="shared" si="0"/>
        <v>* type -&gt; ##34#.extension('http://hl7.eu/fhir/ig/pcsp/StructureDefinition/condition-relapseType').valueCodeableConcept##34#</v>
      </c>
      <c r="G14" s="1"/>
      <c r="H14" s="9"/>
      <c r="I14" s="9"/>
      <c r="J14" s="9"/>
      <c r="K14" s="9"/>
      <c r="L14" s="9"/>
      <c r="M14" s="9"/>
      <c r="N14" s="9"/>
      <c r="O14" s="9"/>
    </row>
    <row r="15" spans="1:15" x14ac:dyDescent="0.75">
      <c r="A15" s="8"/>
      <c r="B15" s="8" t="str">
        <f>RelAftFlt!B13</f>
        <v>site</v>
      </c>
      <c r="C15" s="17" t="s">
        <v>75</v>
      </c>
      <c r="E15" s="17" t="str">
        <f t="shared" si="0"/>
        <v>* site -&gt; ##34#.bodySite##34#</v>
      </c>
      <c r="G15" s="1"/>
      <c r="H15" s="9"/>
      <c r="I15" s="9"/>
      <c r="J15" s="9"/>
      <c r="K15" s="9"/>
      <c r="L15" s="9"/>
      <c r="M15" s="9"/>
      <c r="N15" s="9"/>
      <c r="O15" s="9"/>
    </row>
    <row r="16" spans="1:15" x14ac:dyDescent="0.75">
      <c r="A16" s="8"/>
      <c r="B16" s="8"/>
      <c r="C16" s="8"/>
      <c r="E16" s="17" t="str">
        <f t="shared" si="0"/>
        <v>*  -&gt; ##34###34#</v>
      </c>
      <c r="G16" s="1"/>
      <c r="H16" s="9"/>
      <c r="I16" s="9"/>
      <c r="J16" s="9"/>
      <c r="K16" s="9"/>
      <c r="L16" s="9"/>
      <c r="M16" s="9"/>
      <c r="N16" s="9"/>
      <c r="O16" s="9"/>
    </row>
    <row r="17" spans="1:7" x14ac:dyDescent="0.75">
      <c r="A17" s="8"/>
      <c r="B17" s="8"/>
      <c r="C17" s="8"/>
      <c r="E17" s="17" t="str">
        <f t="shared" si="0"/>
        <v>*  -&gt; ##34###34#</v>
      </c>
      <c r="G17" s="1"/>
    </row>
    <row r="18" spans="1:7" x14ac:dyDescent="0.75">
      <c r="A18" s="8"/>
      <c r="B18" s="8"/>
      <c r="C18" s="8"/>
      <c r="E18" s="17" t="str">
        <f t="shared" si="0"/>
        <v>*  -&gt; ##34###34#</v>
      </c>
      <c r="G18" s="1"/>
    </row>
    <row r="19" spans="1:7" x14ac:dyDescent="0.75">
      <c r="A19" s="8"/>
      <c r="B19" s="8"/>
      <c r="C19" s="8"/>
      <c r="E19" s="17" t="str">
        <f t="shared" si="0"/>
        <v>*  -&gt; ##34###34#</v>
      </c>
    </row>
    <row r="20" spans="1:7" x14ac:dyDescent="0.75">
      <c r="A20" s="8"/>
      <c r="B20" s="8"/>
      <c r="C20" s="17"/>
      <c r="E20" s="17" t="str">
        <f t="shared" si="0"/>
        <v>*  -&gt; ##34###34#</v>
      </c>
    </row>
    <row r="21" spans="1:7" x14ac:dyDescent="0.75">
      <c r="E21" s="17" t="str">
        <f t="shared" si="0"/>
        <v>*  -&gt; ##34###34#</v>
      </c>
    </row>
    <row r="24" spans="1:7" x14ac:dyDescent="0.75">
      <c r="E24" s="24"/>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9" tint="0.39997558519241921"/>
  </sheetPr>
  <dimension ref="C1:G39"/>
  <sheetViews>
    <sheetView topLeftCell="C1" workbookViewId="0">
      <selection activeCell="C8" sqref="C8"/>
    </sheetView>
  </sheetViews>
  <sheetFormatPr defaultRowHeight="14.75" x14ac:dyDescent="0.75"/>
  <cols>
    <col min="3" max="3" width="108.2265625" style="17" customWidth="1"/>
    <col min="7" max="7" width="37.26953125" customWidth="1"/>
  </cols>
  <sheetData>
    <row r="1" spans="3:7" ht="15.5" thickBot="1" x14ac:dyDescent="0.9">
      <c r="C1" s="34" t="str">
        <f>RelAftFlt!I1</f>
        <v>// -------------------------------------------------------------------------------</v>
      </c>
    </row>
    <row r="2" spans="3:7" ht="16.75" thickBot="1" x14ac:dyDescent="0.9">
      <c r="C2" s="35" t="str">
        <f>RelAftFlt!I2</f>
        <v>//  Logical Model</v>
      </c>
      <c r="G2" s="92" t="str">
        <f>"pcsp-"&amp;RelAftFlt!B5&amp;".fsh"</f>
        <v>pcsp-RelapseAfterFLT.fsh</v>
      </c>
    </row>
    <row r="3" spans="3:7" x14ac:dyDescent="0.75">
      <c r="C3" s="35" t="str">
        <f>RelAftFlt!I3</f>
        <v>// -------------------------------------------------------------------------------</v>
      </c>
    </row>
    <row r="4" spans="3:7" x14ac:dyDescent="0.75">
      <c r="C4" s="27" t="str">
        <f>RelAftFlt!I4</f>
        <v>Logical: RelapseAfterFLT</v>
      </c>
    </row>
    <row r="5" spans="3:7" x14ac:dyDescent="0.75">
      <c r="C5" s="27" t="str">
        <f>RelAftFlt!I5</f>
        <v>Id: RelapseAfterFLT</v>
      </c>
    </row>
    <row r="6" spans="3:7" x14ac:dyDescent="0.75">
      <c r="C6" s="27" t="str">
        <f>RelAftFlt!I6</f>
        <v>Title: ##34#Progression-Relapse after FLT##34#</v>
      </c>
    </row>
    <row r="7" spans="3:7" ht="29.5" x14ac:dyDescent="0.75">
      <c r="C7" s="27" t="str">
        <f>RelAftFlt!I7</f>
        <v>Description:  ##334#Progression-Relapse after FLT
Maturity Level: 2 - Ready for Review##334#</v>
      </c>
    </row>
    <row r="8" spans="3:7" ht="44.25" x14ac:dyDescent="0.75">
      <c r="C8" s="17" t="str">
        <f>IF(RelAftFlt!I8="*  ..  ##34###34# ##334###334#","//--- END",RelAftFlt!I8)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7" ht="59" x14ac:dyDescent="0.75">
      <c r="C9" s="17" t="str">
        <f>IF(RelAftFlt!I9="*  ..  ##34###34# ##334###334#","//--- END",RelAftFlt!I9)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7" ht="29.5" x14ac:dyDescent="0.75">
      <c r="C10" s="17" t="str">
        <f>IF(RelAftFlt!I10="*  ..  ##34###34# ##334###334#","//--- END",RelAftFlt!I10)</f>
        <v>* date 0..1 date ##34#date of relapse##34# ##334#Report here the date (dd/mm/yyyy ) of the relapse/progression. If the date is unkown or partially missed insert the year at the best of your knowledge.##334#</v>
      </c>
    </row>
    <row r="11" spans="3:7" ht="103.25" x14ac:dyDescent="0.75">
      <c r="C11" s="17" t="str">
        <f>IF(RelAftFlt!I11="*  ..  ##34###34# ##334###334#","//--- END",RelAftFlt!I11)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7" ht="44.25" x14ac:dyDescent="0.75">
      <c r="C12" s="17" t="str">
        <f>IF(RelAftFlt!I12="*  ..  ##34###34# ##334###334#","//--- END",RelAftFlt!I12)</f>
        <v>* type 0..1 CodeableConcept ##34#local | distant | combined##34# ##334#Please define if the relapse/progression was local, distant or combined.
##334#</v>
      </c>
    </row>
    <row r="13" spans="3:7" ht="44.25" x14ac:dyDescent="0.75">
      <c r="C13" s="17" t="str">
        <f>IF(RelAftFlt!I13="*  ..  ##34###34# ##334###334#","//--- END",RelAftFlt!I13)</f>
        <v>* site 0..1 string ##34#If distant, site of metastases##34# ##334#Please define if the relapse/progression was local, distant or combined.
##334#</v>
      </c>
    </row>
    <row r="14" spans="3:7" x14ac:dyDescent="0.75">
      <c r="C14" s="17" t="str">
        <f>IF(RelAftFlt!I14="*  ..  ##34###34# ##334###334#","//--- END",RelAftFlt!I14)</f>
        <v>//--- END</v>
      </c>
    </row>
    <row r="15" spans="3:7" x14ac:dyDescent="0.75">
      <c r="C15" s="17" t="str">
        <f>IF(RelAftFlt!I15="*  ..  ##34###34# ##334###334#","//--- END",RelAftFlt!I15)</f>
        <v>//--- END</v>
      </c>
    </row>
    <row r="16" spans="3:7" x14ac:dyDescent="0.75">
      <c r="C16" s="17" t="str">
        <f>IF(RelAftFlt!I16="*  ..  ##34###34# ##334###334#","//--- END",RelAftFlt!I16)</f>
        <v>//--- END</v>
      </c>
    </row>
    <row r="21" spans="3:3" x14ac:dyDescent="0.75">
      <c r="C21" s="34" t="str">
        <f>'RelAftFlt-Map'!E1</f>
        <v>// -------------------------------------------------------------------------------</v>
      </c>
    </row>
    <row r="22" spans="3:3" x14ac:dyDescent="0.75">
      <c r="C22" s="35" t="str">
        <f>'RelAftFlt-Map'!E2</f>
        <v>//  Map to FHIR R4</v>
      </c>
    </row>
    <row r="23" spans="3:3" x14ac:dyDescent="0.75">
      <c r="C23" s="35" t="str">
        <f>'RelAftFlt-Map'!E3</f>
        <v>// -------------------------------------------------------------------------------</v>
      </c>
    </row>
    <row r="24" spans="3:3" x14ac:dyDescent="0.75">
      <c r="C24" s="17" t="str">
        <f>'RelAftFlt-Map'!E4</f>
        <v>Mapping: RelAfterFLT2Fhir</v>
      </c>
    </row>
    <row r="25" spans="3:3" x14ac:dyDescent="0.75">
      <c r="C25" s="17" t="str">
        <f>'RelAftFlt-Map'!E5</f>
        <v>Id: fhir</v>
      </c>
    </row>
    <row r="26" spans="3:3" x14ac:dyDescent="0.75">
      <c r="C26" s="17" t="str">
        <f>'RelAftFlt-Map'!E6</f>
        <v>Title: ##34#RelapseAfterFLT model to PCSP HL7 FHIR R4 Profiles##34#</v>
      </c>
    </row>
    <row r="27" spans="3:3" x14ac:dyDescent="0.75">
      <c r="C27" s="17" t="str">
        <f>'RelAftFlt-Map'!E7</f>
        <v>Source: RelapseAfterFLT</v>
      </c>
    </row>
    <row r="28" spans="3:3" x14ac:dyDescent="0.75">
      <c r="C28" s="17" t="str">
        <f>'RelAftFlt-Map'!E8</f>
        <v>Target: ##34#hl7.org/fhir/r4##34#</v>
      </c>
    </row>
    <row r="30" spans="3:3" ht="59" x14ac:dyDescent="0.75">
      <c r="C30" s="17" t="str">
        <f>IF('RelAftFlt-Map'!E9="*  -&gt; ##34###34#","// --END",'RelAftFlt-Map'!E9)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1" spans="3:3" x14ac:dyDescent="0.75">
      <c r="C31" s="17" t="str">
        <f>IF('RelAftFlt-Map'!E10="*  -&gt; ##34###34#","// --END",'RelAftFlt-Map'!E10)</f>
        <v>* identifier -&gt; ##34#.identifier##34#</v>
      </c>
    </row>
    <row r="32" spans="3:3" x14ac:dyDescent="0.75">
      <c r="C32" s="17" t="str">
        <f>IF('RelAftFlt-Map'!E11="*  -&gt; ##34###34#","// --END",'RelAftFlt-Map'!E11)</f>
        <v>* relatedDiagnosis -&gt; ##34#.extension('http://hl7.org/fhir/StructureDefinition/condition-occurredFollowing')##34#</v>
      </c>
    </row>
    <row r="33" spans="3:3" x14ac:dyDescent="0.75">
      <c r="C33" s="17" t="str">
        <f>IF('RelAftFlt-Map'!E12="*  -&gt; ##34###34#","// --END",'RelAftFlt-Map'!E12)</f>
        <v>* date -&gt; ##34#.extension('http://hl7.org/fhir/StructureDefinition/condition-assertedDate')##34#</v>
      </c>
    </row>
    <row r="34" spans="3:3" ht="44.25" x14ac:dyDescent="0.75">
      <c r="C34" s="17" t="str">
        <f>IF('RelAftFlt-Map'!E13="*  -&gt; ##34###34#","// --END",'RelAftFlt-Map'!E13)</f>
        <v>* relapseOrProgression -&gt; ##34#.extension('http://hl7.eu/fhir/ig/pcsp/StructureDefinition/condition-previousStatus').valueCodeableConcept OR Condition.where( clinicalStatus = #relapse or clinicalStatus = #recurrence).clinicalStatus##34#</v>
      </c>
    </row>
    <row r="35" spans="3:3" x14ac:dyDescent="0.75">
      <c r="C35" s="17" t="str">
        <f>IF('RelAftFlt-Map'!E14="*  -&gt; ##34###34#","// --END",'RelAftFlt-Map'!E14)</f>
        <v>* type -&gt; ##34#.extension('http://hl7.eu/fhir/ig/pcsp/StructureDefinition/condition-relapseType').valueCodeableConcept##34#</v>
      </c>
    </row>
    <row r="36" spans="3:3" x14ac:dyDescent="0.75">
      <c r="C36" s="17" t="str">
        <f>IF('RelAftFlt-Map'!E15="*  -&gt; ##34###34#","// --END",'RelAftFlt-Map'!E15)</f>
        <v>* site -&gt; ##34#.bodySite##34#</v>
      </c>
    </row>
    <row r="37" spans="3:3" x14ac:dyDescent="0.75">
      <c r="C37" s="17" t="str">
        <f>IF('RelAftFlt-Map'!E16="*  -&gt; ##34###34#","// --END",'RelAftFlt-Map'!E16)</f>
        <v>// --END</v>
      </c>
    </row>
    <row r="38" spans="3:3" x14ac:dyDescent="0.75">
      <c r="C38" s="17" t="str">
        <f>IF('RelAftFlt-Map'!E17="*  -&gt; ##34###34#","// --END",'RelAftFlt-Map'!E17)</f>
        <v>// --END</v>
      </c>
    </row>
    <row r="39" spans="3:3" x14ac:dyDescent="0.75">
      <c r="C39" s="17" t="str">
        <f>IF('RelAftFlt-Map'!E18="*  -&gt; ##34###34#","// --END",'RelAftFlt-Map'!E18)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374650</xdr:colOff>
                    <xdr:row>0</xdr:row>
                    <xdr:rowOff>171450</xdr:rowOff>
                  </from>
                  <to>
                    <xdr:col>5</xdr:col>
                    <xdr:colOff>438150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8E2A-EAF8-4572-9E72-A2C98EB7BB37}">
  <sheetPr codeName="Foglio35">
    <tabColor theme="4" tint="0.59999389629810485"/>
  </sheetPr>
  <dimension ref="A1:L69"/>
  <sheetViews>
    <sheetView workbookViewId="0">
      <selection activeCell="G19" sqref="G19"/>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Radiotherapy</v>
      </c>
      <c r="I4" s="27" t="str">
        <f>CONCATENATE("Logical: ",B4)</f>
        <v>Logical: Radiotherapy</v>
      </c>
    </row>
    <row r="5" spans="1:11" x14ac:dyDescent="0.75">
      <c r="A5" s="22" t="s">
        <v>76</v>
      </c>
      <c r="B5" t="s">
        <v>854</v>
      </c>
      <c r="I5" s="27" t="str">
        <f>CONCATENATE("Id: ",B5)</f>
        <v>Id: Radiotherapy</v>
      </c>
    </row>
    <row r="6" spans="1:11" x14ac:dyDescent="0.75">
      <c r="A6" s="22" t="s">
        <v>11</v>
      </c>
      <c r="B6" t="s">
        <v>854</v>
      </c>
      <c r="C6" s="1"/>
      <c r="I6" s="28" t="str">
        <f>CONCATENATE("Title: ##34#",B6,"##34#")</f>
        <v>Title: ##34#Radiotherapy##34#</v>
      </c>
    </row>
    <row r="7" spans="1:11" ht="30.25" thickBot="1" x14ac:dyDescent="0.9">
      <c r="A7" s="23" t="s">
        <v>4</v>
      </c>
      <c r="B7" s="18" t="s">
        <v>1119</v>
      </c>
      <c r="C7" s="12" t="s">
        <v>5</v>
      </c>
      <c r="D7" s="2" t="s">
        <v>6</v>
      </c>
      <c r="E7" s="3" t="s">
        <v>7</v>
      </c>
      <c r="F7" s="3" t="s">
        <v>8</v>
      </c>
      <c r="G7" s="3" t="s">
        <v>9</v>
      </c>
      <c r="I7" s="28" t="str">
        <f>CONCATENATE("Description: "," ##334#",B7,"##334#",)</f>
        <v>Description:  ##334#Radiotherapy
Maturity Level: 2 - Ready for Review##334#</v>
      </c>
    </row>
    <row r="8" spans="1:11" ht="44.25" x14ac:dyDescent="0.75">
      <c r="A8" s="8">
        <v>1</v>
      </c>
      <c r="B8" s="8" t="s">
        <v>72</v>
      </c>
      <c r="C8" s="17" t="s">
        <v>1031</v>
      </c>
      <c r="D8" s="17" t="s">
        <v>1120</v>
      </c>
      <c r="E8" s="8">
        <v>0</v>
      </c>
      <c r="F8" s="8">
        <v>1</v>
      </c>
      <c r="G8" s="8" t="s">
        <v>0</v>
      </c>
      <c r="H8" s="25"/>
      <c r="I8" s="17" t="str">
        <f>CONCATENATE("* ",B8, " ",E8,"..",F8," ",G8," ##34#",C8,"##34# ##334#",D8,"##334#")</f>
        <v>* relatedDiagnosis 0..1 Identifier ##34#Related Diagnosis##34# ##334#Identifier of the diagnosis for which this radiotherapy is performed##334#</v>
      </c>
    </row>
    <row r="9" spans="1:11" ht="44.25" x14ac:dyDescent="0.75">
      <c r="A9" s="8">
        <v>2</v>
      </c>
      <c r="B9" s="8" t="s">
        <v>1121</v>
      </c>
      <c r="C9" s="17" t="s">
        <v>1122</v>
      </c>
      <c r="D9" s="17" t="s">
        <v>1123</v>
      </c>
      <c r="E9" s="8">
        <v>0</v>
      </c>
      <c r="F9" s="8">
        <v>1</v>
      </c>
      <c r="G9" s="8" t="s">
        <v>0</v>
      </c>
      <c r="H9" s="25"/>
      <c r="I9" s="17" t="str">
        <f t="shared" ref="I9:I69" si="0">CONCATENATE("* ",B9, " ",E9,"..",F9," ",G9," ##34#",C9,"##34# ##334#",D9,"##334#")</f>
        <v>* relatedRelapse 0..1 Identifier ##34#Related relapse/progression (after FLT)##34# ##334#Identifier of the relapse/progression (after FLT) for which this radiotherapy is performed##334#</v>
      </c>
    </row>
    <row r="10" spans="1:11" ht="118" x14ac:dyDescent="0.75">
      <c r="A10" s="8">
        <v>3</v>
      </c>
      <c r="B10" s="8" t="s">
        <v>12</v>
      </c>
      <c r="C10" s="17" t="s">
        <v>1124</v>
      </c>
      <c r="D10" s="17" t="s">
        <v>49</v>
      </c>
      <c r="E10" s="8">
        <v>0</v>
      </c>
      <c r="F10" s="8" t="s">
        <v>851</v>
      </c>
      <c r="G10" s="8" t="s">
        <v>0</v>
      </c>
      <c r="H10" s="25"/>
      <c r="I10" s="17" t="str">
        <f t="shared" si="0"/>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1:11" ht="44.25" x14ac:dyDescent="0.75">
      <c r="A11" s="8">
        <v>4</v>
      </c>
      <c r="B11" s="17" t="s">
        <v>1037</v>
      </c>
      <c r="C11" s="17" t="s">
        <v>1038</v>
      </c>
      <c r="D11" s="17" t="s">
        <v>50</v>
      </c>
      <c r="E11" s="8">
        <v>0</v>
      </c>
      <c r="F11" s="8">
        <v>1</v>
      </c>
      <c r="G11" s="8" t="s">
        <v>841</v>
      </c>
      <c r="H11" s="25"/>
      <c r="I11" s="17" t="str">
        <f t="shared" si="0"/>
        <v>* istitutionOfTreatment 0..1 BackboneElement ##34#Institution of treatment##34# ##334#Please indicate the institution in which the radiotherapeutic treatment was given##334#</v>
      </c>
    </row>
    <row r="12" spans="1:11" ht="44.25" x14ac:dyDescent="0.75">
      <c r="A12" s="8">
        <v>5</v>
      </c>
      <c r="B12" s="17" t="s">
        <v>1039</v>
      </c>
      <c r="C12" s="17" t="s">
        <v>1040</v>
      </c>
      <c r="D12" s="17" t="s">
        <v>1041</v>
      </c>
      <c r="E12" s="8">
        <v>0</v>
      </c>
      <c r="F12" s="8">
        <v>1</v>
      </c>
      <c r="G12" s="8" t="s">
        <v>2</v>
      </c>
      <c r="H12" s="25"/>
      <c r="I12" s="17" t="str">
        <f t="shared" si="0"/>
        <v>* istitutionOfTreatment.description 0..1 string ##34#Institution description##34# ##334#Please provide name, city and countryof the institution##334#</v>
      </c>
    </row>
    <row r="13" spans="1:11" ht="29.5" x14ac:dyDescent="0.75">
      <c r="A13" s="8">
        <v>6</v>
      </c>
      <c r="B13" s="17" t="s">
        <v>1042</v>
      </c>
      <c r="C13" s="17" t="s">
        <v>1043</v>
      </c>
      <c r="D13" s="17" t="s">
        <v>1043</v>
      </c>
      <c r="E13" s="8">
        <v>0</v>
      </c>
      <c r="F13" s="8">
        <v>1</v>
      </c>
      <c r="G13" s="8" t="s">
        <v>2</v>
      </c>
      <c r="H13" s="25"/>
      <c r="I13" s="17" t="str">
        <f t="shared" si="0"/>
        <v>* istitutionOfTreatment.name 0..1 string ##34#Institution name##34# ##334#Institution name##334#</v>
      </c>
    </row>
    <row r="14" spans="1:11" ht="29.5" x14ac:dyDescent="0.75">
      <c r="A14" s="8">
        <v>7</v>
      </c>
      <c r="B14" s="17" t="s">
        <v>1044</v>
      </c>
      <c r="C14" s="17" t="s">
        <v>1045</v>
      </c>
      <c r="D14" s="17" t="s">
        <v>1045</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1046</v>
      </c>
      <c r="C15" s="17" t="s">
        <v>1047</v>
      </c>
      <c r="D15" s="17" t="s">
        <v>1047</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1048</v>
      </c>
      <c r="C16" s="17" t="s">
        <v>1049</v>
      </c>
      <c r="D16" s="17" t="s">
        <v>1049</v>
      </c>
      <c r="E16" s="8">
        <v>0</v>
      </c>
      <c r="F16" s="8">
        <v>1</v>
      </c>
      <c r="G16" s="8" t="s">
        <v>2</v>
      </c>
      <c r="I16" s="17" t="str">
        <f t="shared" si="0"/>
        <v>* istitutionOfTreatment.address.country 0..1 string ##34#Institution country##34# ##334#Institution country##334#</v>
      </c>
    </row>
    <row r="17" spans="1:9" ht="59" x14ac:dyDescent="0.75">
      <c r="A17" s="8">
        <v>10</v>
      </c>
      <c r="B17" s="17" t="s">
        <v>1033</v>
      </c>
      <c r="C17" s="95" t="s">
        <v>1034</v>
      </c>
      <c r="D17" s="17" t="s">
        <v>52</v>
      </c>
      <c r="E17" s="8">
        <v>1</v>
      </c>
      <c r="F17" s="8">
        <v>1</v>
      </c>
      <c r="G17" s="8" t="s">
        <v>906</v>
      </c>
      <c r="I17" s="17" t="str">
        <f t="shared" si="0"/>
        <v>* startDate 1..1 dateTime ##34#Start date##34# ##334#Enter the date on which the first treatment (fraction) of radiotherapy was given, in a DD/MM/YYYY format. If the date is unkown or partially missed insert the year at the best of your knowledge.##334#</v>
      </c>
    </row>
    <row r="18" spans="1:9" ht="88.5" x14ac:dyDescent="0.75">
      <c r="A18" s="8">
        <v>11</v>
      </c>
      <c r="B18" s="17" t="s">
        <v>1125</v>
      </c>
      <c r="C18" s="17" t="s">
        <v>1036</v>
      </c>
      <c r="D18" s="17" t="s">
        <v>53</v>
      </c>
      <c r="E18" s="8">
        <v>0</v>
      </c>
      <c r="F18" s="8">
        <v>1</v>
      </c>
      <c r="G18" s="8" t="s">
        <v>906</v>
      </c>
      <c r="I18" s="17" t="str">
        <f t="shared" si="0"/>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1:9" ht="191.75" x14ac:dyDescent="0.75">
      <c r="A19" s="8">
        <v>12</v>
      </c>
      <c r="B19" s="17" t="s">
        <v>16</v>
      </c>
      <c r="C19" s="95" t="s">
        <v>61</v>
      </c>
      <c r="D19" s="17" t="s">
        <v>1126</v>
      </c>
      <c r="E19" s="8">
        <v>1</v>
      </c>
      <c r="F19" s="8">
        <v>1</v>
      </c>
      <c r="G19" s="8" t="s">
        <v>1</v>
      </c>
      <c r="I19" s="17" t="str">
        <f t="shared" si="0"/>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1:9" ht="206.5" x14ac:dyDescent="0.75">
      <c r="A20" s="8">
        <v>13</v>
      </c>
      <c r="B20" s="17" t="s">
        <v>1127</v>
      </c>
      <c r="C20" s="17" t="s">
        <v>1128</v>
      </c>
      <c r="D20" s="17" t="s">
        <v>1129</v>
      </c>
      <c r="E20" s="8">
        <v>0</v>
      </c>
      <c r="F20" s="8">
        <v>1</v>
      </c>
      <c r="G20" s="8" t="s">
        <v>1</v>
      </c>
      <c r="I20" s="17" t="str">
        <f t="shared" si="0"/>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1:9" ht="162.25" x14ac:dyDescent="0.75">
      <c r="A21" s="8">
        <v>14</v>
      </c>
      <c r="B21" s="17" t="s">
        <v>1130</v>
      </c>
      <c r="C21" s="17" t="s">
        <v>1131</v>
      </c>
      <c r="D21" s="17" t="s">
        <v>1132</v>
      </c>
      <c r="E21" s="8">
        <v>0</v>
      </c>
      <c r="F21" s="8">
        <v>1</v>
      </c>
      <c r="G21" s="8" t="s">
        <v>1</v>
      </c>
      <c r="I21" s="17" t="str">
        <f t="shared" si="0"/>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1:9" ht="132.75" x14ac:dyDescent="0.75">
      <c r="A22" s="8">
        <v>15</v>
      </c>
      <c r="B22" s="17" t="s">
        <v>1133</v>
      </c>
      <c r="C22" s="17" t="s">
        <v>1134</v>
      </c>
      <c r="D22" s="17" t="s">
        <v>1135</v>
      </c>
      <c r="E22" s="8">
        <v>0</v>
      </c>
      <c r="F22" s="8">
        <v>1</v>
      </c>
      <c r="G22" s="8" t="s">
        <v>1</v>
      </c>
      <c r="I22" s="17" t="str">
        <f t="shared" si="0"/>
        <v>* isotopes 0..1 CodeableConcept ##34#Radioactive materials (if brachytherapy)##34# ##334#Specify the radioactive material (isotopes) used: If not listed, select 'Other then specify'
1 =&gt; Iridium (Ir)
2 =&gt; Gold (Au)
3 =&gt; Iodine (I)
4 =&gt; Caesium (Cs)
5 =&gt; Other
-9922 =&gt; Unknown##334#</v>
      </c>
    </row>
    <row r="23" spans="1:9" ht="177" x14ac:dyDescent="0.75">
      <c r="A23" s="8">
        <v>16</v>
      </c>
      <c r="B23" s="17" t="s">
        <v>1136</v>
      </c>
      <c r="C23" s="17" t="s">
        <v>1137</v>
      </c>
      <c r="D23" s="17" t="s">
        <v>1138</v>
      </c>
      <c r="E23" s="8">
        <v>0</v>
      </c>
      <c r="F23" s="8">
        <v>1</v>
      </c>
      <c r="G23" s="8" t="s">
        <v>1</v>
      </c>
      <c r="I23" s="17" t="str">
        <f t="shared" si="0"/>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1:9" ht="44.25" x14ac:dyDescent="0.75">
      <c r="A24" s="8">
        <v>17</v>
      </c>
      <c r="B24" s="17" t="s">
        <v>1139</v>
      </c>
      <c r="C24" s="17" t="s">
        <v>1140</v>
      </c>
      <c r="D24" s="17" t="s">
        <v>51</v>
      </c>
      <c r="E24" s="8">
        <v>0</v>
      </c>
      <c r="F24" s="8">
        <v>1</v>
      </c>
      <c r="G24" s="8" t="s">
        <v>929</v>
      </c>
      <c r="I24" s="17" t="str">
        <f t="shared" si="0"/>
        <v>* numberOfCourses 0..1 integer ##34#Number of courses  (If metabolic/radionuclide)##34# ##334#For Metabolic/radionuclide therapy##334#</v>
      </c>
    </row>
    <row r="25" spans="1:9" ht="88.5" x14ac:dyDescent="0.75">
      <c r="A25" s="8">
        <v>18</v>
      </c>
      <c r="B25" s="17" t="s">
        <v>1141</v>
      </c>
      <c r="C25" s="95" t="s">
        <v>73</v>
      </c>
      <c r="D25" s="96" t="s">
        <v>1142</v>
      </c>
      <c r="E25" s="8">
        <v>0</v>
      </c>
      <c r="F25" s="8">
        <v>5</v>
      </c>
      <c r="G25" s="8" t="s">
        <v>841</v>
      </c>
      <c r="I25" s="17" t="str">
        <f t="shared" si="0"/>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1:9" ht="221.25" x14ac:dyDescent="0.75">
      <c r="A26" s="8">
        <v>19</v>
      </c>
      <c r="B26" s="17" t="s">
        <v>1143</v>
      </c>
      <c r="C26" s="95" t="s">
        <v>1144</v>
      </c>
      <c r="D26" s="17" t="s">
        <v>1145</v>
      </c>
      <c r="E26" s="8">
        <v>1</v>
      </c>
      <c r="F26" s="8">
        <v>1</v>
      </c>
      <c r="G26" s="8" t="s">
        <v>1</v>
      </c>
      <c r="I26" s="17" t="str">
        <f t="shared" si="0"/>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1:9" ht="73.75" x14ac:dyDescent="0.75">
      <c r="A27" s="8">
        <v>20</v>
      </c>
      <c r="B27" s="17" t="s">
        <v>1146</v>
      </c>
      <c r="C27" s="17" t="s">
        <v>925</v>
      </c>
      <c r="D27" s="17" t="s">
        <v>1147</v>
      </c>
      <c r="E27" s="8">
        <v>0</v>
      </c>
      <c r="F27" s="8">
        <v>1</v>
      </c>
      <c r="G27" s="8" t="s">
        <v>1</v>
      </c>
      <c r="I27" s="17" t="str">
        <f t="shared" si="0"/>
        <v>* target.laterality 0..1 CodeableConcept ##34#Laterality##34# ##334#Report laterality of the radiation.
 R = right,
 L = left,
 B = bilateral##334#</v>
      </c>
    </row>
    <row r="28" spans="1:9" ht="29.5" x14ac:dyDescent="0.75">
      <c r="A28" s="8">
        <v>21</v>
      </c>
      <c r="B28" s="17" t="s">
        <v>1148</v>
      </c>
      <c r="C28" s="17" t="s">
        <v>54</v>
      </c>
      <c r="D28" s="17" t="s">
        <v>55</v>
      </c>
      <c r="E28" s="8">
        <v>0</v>
      </c>
      <c r="F28" s="8">
        <v>1</v>
      </c>
      <c r="G28" s="8" t="s">
        <v>2</v>
      </c>
      <c r="I28" s="17" t="str">
        <f t="shared" si="0"/>
        <v>* target.details 0..1 string ##34#Details##34# ##334#If needed it is possible to add details##334#</v>
      </c>
    </row>
    <row r="29" spans="1:9" ht="73.75" x14ac:dyDescent="0.75">
      <c r="A29" s="8">
        <v>22</v>
      </c>
      <c r="B29" s="17" t="s">
        <v>1149</v>
      </c>
      <c r="C29" s="17" t="s">
        <v>1150</v>
      </c>
      <c r="D29" s="17" t="s">
        <v>56</v>
      </c>
      <c r="E29" s="8">
        <v>0</v>
      </c>
      <c r="F29" s="8">
        <v>1</v>
      </c>
      <c r="G29" s="8" t="s">
        <v>2</v>
      </c>
      <c r="I29" s="17" t="str">
        <f t="shared" si="0"/>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1:9" ht="73.75" x14ac:dyDescent="0.75">
      <c r="A30" s="8">
        <v>23</v>
      </c>
      <c r="B30" s="17" t="s">
        <v>1151</v>
      </c>
      <c r="C30" s="17" t="s">
        <v>1152</v>
      </c>
      <c r="D30" s="17" t="s">
        <v>57</v>
      </c>
      <c r="E30" s="8">
        <v>0</v>
      </c>
      <c r="F30" s="8">
        <v>1</v>
      </c>
      <c r="G30" s="8" t="s">
        <v>2</v>
      </c>
      <c r="I30" s="17" t="str">
        <f t="shared" si="0"/>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1:9" ht="73.75" x14ac:dyDescent="0.75">
      <c r="A31" s="8">
        <v>24</v>
      </c>
      <c r="B31" s="17" t="s">
        <v>1153</v>
      </c>
      <c r="C31" s="17" t="s">
        <v>58</v>
      </c>
      <c r="D31" s="17" t="s">
        <v>1154</v>
      </c>
      <c r="E31" s="8">
        <v>0</v>
      </c>
      <c r="F31" s="8">
        <v>1</v>
      </c>
      <c r="G31" s="8" t="s">
        <v>1</v>
      </c>
      <c r="I31" s="17" t="str">
        <f t="shared" si="0"/>
        <v>* target.position 0..1 CodeableConcept ##34#Position##34# ##334#Specify whether the radiation was anterior or posterior. 
1 =&gt; Anterior
2 =&gt; Posterior
-9922 = NK##334#</v>
      </c>
    </row>
    <row r="32" spans="1:9" ht="44.25" x14ac:dyDescent="0.75">
      <c r="A32" s="8">
        <v>25</v>
      </c>
      <c r="B32" s="17" t="s">
        <v>1155</v>
      </c>
      <c r="C32" s="17" t="s">
        <v>1156</v>
      </c>
      <c r="D32" s="17" t="s">
        <v>1157</v>
      </c>
      <c r="E32" s="8">
        <v>0</v>
      </c>
      <c r="F32" s="8">
        <v>1</v>
      </c>
      <c r="G32" s="8" t="s">
        <v>841</v>
      </c>
      <c r="I32" s="17" t="str">
        <f t="shared" si="0"/>
        <v>* target.totalDose 0..1 BackboneElement ##34#Total dose##34# ##334#Specify the total dose given to the primary radiation therapy site.
If the dose is not known, write NK.##334#</v>
      </c>
    </row>
    <row r="33" spans="1:9" ht="44.25" x14ac:dyDescent="0.75">
      <c r="A33" s="8">
        <v>26</v>
      </c>
      <c r="B33" s="17" t="s">
        <v>1158</v>
      </c>
      <c r="C33" s="17" t="s">
        <v>40</v>
      </c>
      <c r="D33" s="17" t="s">
        <v>41</v>
      </c>
      <c r="E33" s="8">
        <v>0</v>
      </c>
      <c r="F33" s="8">
        <v>1</v>
      </c>
      <c r="G33" s="8" t="s">
        <v>1</v>
      </c>
      <c r="I33" s="17" t="str">
        <f t="shared" si="0"/>
        <v>* target.totalDose.completionStatus 0..1 CodeableConcept ##34#The reported doses are incomplete (either under- or over-estimated)##34# ##334#Check in case of incomplete doses##334#</v>
      </c>
    </row>
    <row r="34" spans="1:9" ht="29.5" x14ac:dyDescent="0.75">
      <c r="A34" s="8">
        <v>27</v>
      </c>
      <c r="B34" s="17" t="s">
        <v>1159</v>
      </c>
      <c r="C34" s="17" t="s">
        <v>42</v>
      </c>
      <c r="D34" s="17" t="s">
        <v>43</v>
      </c>
      <c r="E34" s="8">
        <v>0</v>
      </c>
      <c r="F34" s="8">
        <v>1</v>
      </c>
      <c r="G34" s="8" t="s">
        <v>1</v>
      </c>
      <c r="I34" s="17" t="str">
        <f t="shared" si="0"/>
        <v>* target.totalDose.statusReason 0..1 CodeableConcept ##34#Specify reasons why##34# ##334#Specify reasons of incomplete estimated doses##334#</v>
      </c>
    </row>
    <row r="35" spans="1:9" ht="29.5" x14ac:dyDescent="0.75">
      <c r="A35" s="8">
        <v>28</v>
      </c>
      <c r="B35" s="17" t="s">
        <v>1160</v>
      </c>
      <c r="C35" s="17" t="s">
        <v>1161</v>
      </c>
      <c r="D35" s="17" t="s">
        <v>1161</v>
      </c>
      <c r="E35" s="8">
        <v>0</v>
      </c>
      <c r="F35" s="8">
        <v>1</v>
      </c>
      <c r="G35" s="8" t="s">
        <v>2</v>
      </c>
      <c r="I35" s="17" t="str">
        <f t="shared" si="0"/>
        <v>* target.totalDose.notKnown 0..1 string ##34#Not known dose##34# ##334#Not known dose##334#</v>
      </c>
    </row>
    <row r="36" spans="1:9" ht="29.5" x14ac:dyDescent="0.75">
      <c r="A36" s="8">
        <v>29</v>
      </c>
      <c r="B36" s="17" t="s">
        <v>1162</v>
      </c>
      <c r="C36" s="17" t="s">
        <v>1163</v>
      </c>
      <c r="D36" s="17" t="s">
        <v>1164</v>
      </c>
      <c r="E36" s="8">
        <v>0</v>
      </c>
      <c r="F36" s="8">
        <v>1</v>
      </c>
      <c r="G36" s="8" t="s">
        <v>1074</v>
      </c>
      <c r="I36" s="17" t="str">
        <f t="shared" si="0"/>
        <v>* target.totalDose.dose 0..1 decimal ##34#Dose##34# ##334#Specify the total dose given to the primary radiation therapy site.##334#</v>
      </c>
    </row>
    <row r="37" spans="1:9" ht="88.5" x14ac:dyDescent="0.75">
      <c r="A37" s="8">
        <v>30</v>
      </c>
      <c r="B37" s="17" t="s">
        <v>1165</v>
      </c>
      <c r="C37" s="17" t="s">
        <v>59</v>
      </c>
      <c r="D37" s="17" t="s">
        <v>1166</v>
      </c>
      <c r="E37" s="8">
        <v>0</v>
      </c>
      <c r="F37" s="8">
        <v>1</v>
      </c>
      <c r="G37" s="8" t="s">
        <v>1</v>
      </c>
      <c r="I37" s="17" t="str">
        <f t="shared" si="0"/>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1:9" ht="44.25" x14ac:dyDescent="0.75">
      <c r="A38" s="8">
        <v>31</v>
      </c>
      <c r="B38" s="4" t="s">
        <v>1167</v>
      </c>
      <c r="C38" s="17" t="s">
        <v>1168</v>
      </c>
      <c r="D38" s="17" t="s">
        <v>1169</v>
      </c>
      <c r="E38" s="8">
        <v>0</v>
      </c>
      <c r="F38" s="8">
        <v>1</v>
      </c>
      <c r="G38" s="81" t="s">
        <v>929</v>
      </c>
      <c r="I38" s="17" t="str">
        <f t="shared" si="0"/>
        <v>* target.totalDose.fractions 0..1 integer ##34#Number of fractions (if  external beam)##34# ##334#A FRACTION of radiation treatment is a single attendance for treatment; if 'not known' insert NK##334#</v>
      </c>
    </row>
    <row r="39" spans="1:9" ht="44.25" x14ac:dyDescent="0.75">
      <c r="A39" s="8">
        <v>32</v>
      </c>
      <c r="B39" s="17" t="s">
        <v>1170</v>
      </c>
      <c r="C39" s="17" t="s">
        <v>60</v>
      </c>
      <c r="D39" s="17" t="s">
        <v>1171</v>
      </c>
      <c r="E39" s="8">
        <v>0</v>
      </c>
      <c r="F39" s="8">
        <v>5</v>
      </c>
      <c r="G39" s="8" t="s">
        <v>841</v>
      </c>
      <c r="I39" s="17" t="str">
        <f t="shared" si="0"/>
        <v>* target.boost 0..5 BackboneElement ##34#Boost##34# ##334#A boost is an extra dose of radiotherapy directed to a smaller area inside the primary radiation field. (only if type is External Beam)##334#</v>
      </c>
    </row>
    <row r="40" spans="1:9" ht="73.75" x14ac:dyDescent="0.75">
      <c r="A40" s="8">
        <v>33</v>
      </c>
      <c r="B40" s="17" t="s">
        <v>1172</v>
      </c>
      <c r="C40" s="17" t="s">
        <v>1173</v>
      </c>
      <c r="D40" s="4" t="s">
        <v>1174</v>
      </c>
      <c r="E40" s="8">
        <v>1</v>
      </c>
      <c r="F40" s="8">
        <v>1</v>
      </c>
      <c r="G40" s="8" t="s">
        <v>1</v>
      </c>
      <c r="I40" s="17" t="str">
        <f t="shared" si="0"/>
        <v>* target.boost.type 1..1 CodeableConcept ##34#Type of Boost##34# ##334#Specify radiation type of the boost.
1 =&gt; External Beam
2 =&gt; Brachytherapy
-9922 =&gt; NK  ##334#</v>
      </c>
    </row>
    <row r="41" spans="1:9" ht="29.5" x14ac:dyDescent="0.75">
      <c r="A41" s="8">
        <v>34</v>
      </c>
      <c r="B41" s="17" t="s">
        <v>1175</v>
      </c>
      <c r="C41" s="17" t="s">
        <v>1176</v>
      </c>
      <c r="D41" s="17" t="s">
        <v>1177</v>
      </c>
      <c r="E41" s="8">
        <v>0</v>
      </c>
      <c r="F41" s="8">
        <v>1</v>
      </c>
      <c r="G41" s="8" t="s">
        <v>1</v>
      </c>
      <c r="I41" s="17" t="str">
        <f t="shared" si="0"/>
        <v>* target.boost.given 0..1 CodeableConcept ##34#Boost given##34# ##334#Flag indicating if a boost was given, not given or unknown##334#</v>
      </c>
    </row>
    <row r="42" spans="1:9" ht="103.25" x14ac:dyDescent="0.75">
      <c r="A42" s="8">
        <v>35</v>
      </c>
      <c r="B42" s="17" t="s">
        <v>1178</v>
      </c>
      <c r="C42" s="17" t="s">
        <v>1179</v>
      </c>
      <c r="D42" s="96" t="s">
        <v>1180</v>
      </c>
      <c r="E42" s="8">
        <v>0</v>
      </c>
      <c r="F42" s="8">
        <v>1</v>
      </c>
      <c r="G42" s="8" t="s">
        <v>1</v>
      </c>
      <c r="I42" s="17" t="str">
        <f t="shared" si="0"/>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1:9" ht="73.75" x14ac:dyDescent="0.75">
      <c r="A43" s="8">
        <v>36</v>
      </c>
      <c r="B43" s="17" t="s">
        <v>1181</v>
      </c>
      <c r="C43" s="17" t="s">
        <v>925</v>
      </c>
      <c r="D43" s="17" t="s">
        <v>1147</v>
      </c>
      <c r="E43" s="8">
        <v>0</v>
      </c>
      <c r="F43" s="8">
        <v>1</v>
      </c>
      <c r="G43" s="8" t="s">
        <v>1</v>
      </c>
      <c r="I43" s="17" t="str">
        <f t="shared" si="0"/>
        <v>* target.boost.laterality 0..1 CodeableConcept ##34#Laterality##34# ##334#Report laterality of the radiation.
 R = right,
 L = left,
 B = bilateral##334#</v>
      </c>
    </row>
    <row r="44" spans="1:9" ht="29.5" x14ac:dyDescent="0.75">
      <c r="A44" s="8">
        <v>37</v>
      </c>
      <c r="B44" s="17" t="s">
        <v>1182</v>
      </c>
      <c r="C44" s="17" t="s">
        <v>54</v>
      </c>
      <c r="D44" s="17" t="s">
        <v>55</v>
      </c>
      <c r="E44" s="8">
        <v>0</v>
      </c>
      <c r="F44" s="8">
        <v>1</v>
      </c>
      <c r="G44" s="8" t="s">
        <v>2</v>
      </c>
      <c r="I44" s="17" t="str">
        <f t="shared" si="0"/>
        <v>* target.boost.details 0..1 string ##34#Details##34# ##334#If needed it is possible to add details##334#</v>
      </c>
    </row>
    <row r="45" spans="1:9" ht="73.75" x14ac:dyDescent="0.75">
      <c r="A45" s="8">
        <v>38</v>
      </c>
      <c r="B45" s="17" t="s">
        <v>1183</v>
      </c>
      <c r="C45" s="17" t="s">
        <v>1150</v>
      </c>
      <c r="D45" s="17" t="s">
        <v>56</v>
      </c>
      <c r="E45" s="8">
        <v>0</v>
      </c>
      <c r="F45" s="8">
        <v>1</v>
      </c>
      <c r="G45" s="8" t="s">
        <v>2</v>
      </c>
      <c r="I45" s="17" t="str">
        <f t="shared" si="0"/>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1:9" ht="73.75" x14ac:dyDescent="0.75">
      <c r="A46" s="8">
        <v>39</v>
      </c>
      <c r="B46" s="17" t="s">
        <v>1184</v>
      </c>
      <c r="C46" s="17" t="s">
        <v>1152</v>
      </c>
      <c r="D46" s="17" t="s">
        <v>57</v>
      </c>
      <c r="E46" s="8">
        <v>0</v>
      </c>
      <c r="F46" s="8">
        <v>1</v>
      </c>
      <c r="G46" s="8" t="s">
        <v>2</v>
      </c>
      <c r="I46" s="17" t="str">
        <f t="shared" si="0"/>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1:9" ht="73.75" x14ac:dyDescent="0.75">
      <c r="A47" s="8">
        <v>40</v>
      </c>
      <c r="B47" s="17" t="s">
        <v>1185</v>
      </c>
      <c r="C47" s="17" t="s">
        <v>58</v>
      </c>
      <c r="D47" s="17" t="s">
        <v>1154</v>
      </c>
      <c r="E47" s="8">
        <v>0</v>
      </c>
      <c r="F47" s="8">
        <v>1</v>
      </c>
      <c r="G47" s="8" t="s">
        <v>1</v>
      </c>
      <c r="I47" s="17" t="str">
        <f t="shared" si="0"/>
        <v>* target.boost.position 0..1 CodeableConcept ##34#Position##34# ##334#Specify whether the radiation was anterior or posterior. 
1 =&gt; Anterior
2 =&gt; Posterior
-9922 = NK##334#</v>
      </c>
    </row>
    <row r="48" spans="1:9" ht="29.5" x14ac:dyDescent="0.75">
      <c r="A48" s="8">
        <v>41</v>
      </c>
      <c r="B48" s="17" t="s">
        <v>1186</v>
      </c>
      <c r="C48" s="17" t="s">
        <v>1156</v>
      </c>
      <c r="D48" s="17" t="s">
        <v>1187</v>
      </c>
      <c r="E48" s="8">
        <v>1</v>
      </c>
      <c r="F48" s="8">
        <v>1</v>
      </c>
      <c r="G48" s="8" t="s">
        <v>841</v>
      </c>
      <c r="I48" s="17" t="str">
        <f t="shared" si="0"/>
        <v>* target.boost.totalDose 1..1 BackboneElement ##34#Total dose##34# ##334#Specify the total dose given to the boost site.##334#</v>
      </c>
    </row>
    <row r="49" spans="1:9" ht="44.25" x14ac:dyDescent="0.75">
      <c r="A49" s="8">
        <v>42</v>
      </c>
      <c r="B49" s="17" t="s">
        <v>1188</v>
      </c>
      <c r="C49" s="17" t="s">
        <v>40</v>
      </c>
      <c r="D49" s="17" t="s">
        <v>41</v>
      </c>
      <c r="E49" s="8">
        <v>0</v>
      </c>
      <c r="F49" s="8">
        <v>1</v>
      </c>
      <c r="G49" s="8" t="s">
        <v>1</v>
      </c>
      <c r="I49" s="17" t="str">
        <f t="shared" si="0"/>
        <v>* target.boost.totalDose.completionStatus 0..1 CodeableConcept ##34#The reported doses are incomplete (either under- or over-estimated)##34# ##334#Check in case of incomplete doses##334#</v>
      </c>
    </row>
    <row r="50" spans="1:9" ht="44.25" x14ac:dyDescent="0.75">
      <c r="A50" s="8">
        <v>43</v>
      </c>
      <c r="B50" s="17" t="s">
        <v>1189</v>
      </c>
      <c r="C50" s="17" t="s">
        <v>42</v>
      </c>
      <c r="D50" s="17" t="s">
        <v>43</v>
      </c>
      <c r="E50" s="8">
        <v>0</v>
      </c>
      <c r="F50" s="8">
        <v>1</v>
      </c>
      <c r="G50" s="8" t="s">
        <v>1</v>
      </c>
      <c r="I50" s="17" t="str">
        <f t="shared" si="0"/>
        <v>* target.boost.totalDose.statusReason 0..1 CodeableConcept ##34#Specify reasons why##34# ##334#Specify reasons of incomplete estimated doses##334#</v>
      </c>
    </row>
    <row r="51" spans="1:9" ht="29.5" x14ac:dyDescent="0.75">
      <c r="A51" s="8">
        <v>44</v>
      </c>
      <c r="B51" s="17" t="s">
        <v>1190</v>
      </c>
      <c r="C51" s="17" t="s">
        <v>1161</v>
      </c>
      <c r="D51" s="17" t="s">
        <v>1161</v>
      </c>
      <c r="E51" s="8">
        <v>0</v>
      </c>
      <c r="F51" s="8">
        <v>1</v>
      </c>
      <c r="G51" s="8" t="s">
        <v>1</v>
      </c>
      <c r="I51" s="17" t="str">
        <f t="shared" si="0"/>
        <v>* target.boost.totalDose.notKnown 0..1 CodeableConcept ##34#Not known dose##34# ##334#Not known dose##334#</v>
      </c>
    </row>
    <row r="52" spans="1:9" ht="29.5" x14ac:dyDescent="0.75">
      <c r="A52" s="8">
        <v>45</v>
      </c>
      <c r="B52" s="17" t="s">
        <v>1191</v>
      </c>
      <c r="C52" s="17" t="s">
        <v>1163</v>
      </c>
      <c r="D52" s="17" t="s">
        <v>1187</v>
      </c>
      <c r="E52" s="8">
        <v>0</v>
      </c>
      <c r="F52" s="8">
        <v>1</v>
      </c>
      <c r="G52" s="8" t="s">
        <v>1074</v>
      </c>
      <c r="I52" s="17" t="str">
        <f t="shared" si="0"/>
        <v>* target.boost.totalDose.dose 0..1 decimal ##34#Dose##34# ##334#Specify the total dose given to the boost site.##334#</v>
      </c>
    </row>
    <row r="53" spans="1:9" ht="73.75" x14ac:dyDescent="0.75">
      <c r="A53" s="8">
        <v>46</v>
      </c>
      <c r="B53" s="17" t="s">
        <v>1192</v>
      </c>
      <c r="C53" s="17" t="s">
        <v>1193</v>
      </c>
      <c r="D53" s="17" t="s">
        <v>1194</v>
      </c>
      <c r="E53" s="8">
        <v>0</v>
      </c>
      <c r="F53" s="8">
        <v>1</v>
      </c>
      <c r="G53" s="8" t="s">
        <v>1</v>
      </c>
      <c r="I53" s="17" t="str">
        <f t="shared" si="0"/>
        <v>* target.boost.totalDose.unit 0..1 CodeableConcept ##34#Unit##34# ##334#Specify the unit of the boost in case of external beam radiotherapy as  Gy. 
specify if dose is recorded in bequerels (MBq or GBq) or curies (Ci) or Unkwnon##334#</v>
      </c>
    </row>
    <row r="54" spans="1:9" ht="59" x14ac:dyDescent="0.75">
      <c r="A54" s="8">
        <v>47</v>
      </c>
      <c r="B54" s="4" t="s">
        <v>1195</v>
      </c>
      <c r="C54" s="17" t="s">
        <v>1168</v>
      </c>
      <c r="D54" s="17" t="s">
        <v>62</v>
      </c>
      <c r="E54" s="8">
        <v>0</v>
      </c>
      <c r="F54" s="8">
        <v>1</v>
      </c>
      <c r="G54" s="81" t="s">
        <v>929</v>
      </c>
      <c r="I54" s="17" t="str">
        <f t="shared" si="0"/>
        <v>* target.boost.totalDose.fractions 0..1 integer ##34#Number of fractions (if  external beam)##34# ##334#A fraction of radiation treatment is a single attendance for treatment. Please specify the number of fractions given as included in the boost. If not known, insert NK.##334#</v>
      </c>
    </row>
    <row r="55" spans="1:9" ht="29.5" x14ac:dyDescent="0.75">
      <c r="A55" s="8">
        <v>48</v>
      </c>
      <c r="B55" s="17" t="s">
        <v>1196</v>
      </c>
      <c r="C55" s="17" t="s">
        <v>63</v>
      </c>
      <c r="D55" s="8" t="s">
        <v>1197</v>
      </c>
      <c r="E55" s="8">
        <v>0</v>
      </c>
      <c r="F55" s="8">
        <v>1</v>
      </c>
      <c r="G55" s="8" t="s">
        <v>841</v>
      </c>
      <c r="I55" s="17" t="str">
        <f t="shared" si="0"/>
        <v>* target.shielding 0..1 BackboneElement ##34#Shielding##34# ##334#Shielding, in some records this is called “blocking” or “blocks”. ##334#</v>
      </c>
    </row>
    <row r="56" spans="1:9" ht="44.25" x14ac:dyDescent="0.75">
      <c r="A56" s="8">
        <v>49</v>
      </c>
      <c r="B56" s="17" t="s">
        <v>1198</v>
      </c>
      <c r="C56" s="17" t="s">
        <v>1199</v>
      </c>
      <c r="D56" s="17" t="s">
        <v>1200</v>
      </c>
      <c r="E56" s="8">
        <v>0</v>
      </c>
      <c r="F56" s="8">
        <v>1</v>
      </c>
      <c r="G56" s="8" t="s">
        <v>1</v>
      </c>
      <c r="I56" s="17" t="str">
        <f t="shared" si="0"/>
        <v>* target.shielding.status 0..1 CodeableConcept ##34#Shielding status##34# ##334#Specify if shielding was used or not. 
Yes;  No;  NK  ##334#</v>
      </c>
    </row>
    <row r="57" spans="1:9" ht="29.5" x14ac:dyDescent="0.75">
      <c r="A57" s="8">
        <v>50</v>
      </c>
      <c r="B57" s="17" t="s">
        <v>1201</v>
      </c>
      <c r="C57" s="17" t="s">
        <v>64</v>
      </c>
      <c r="D57" s="17" t="s">
        <v>65</v>
      </c>
      <c r="E57" s="8">
        <v>0</v>
      </c>
      <c r="F57" s="8">
        <v>1</v>
      </c>
      <c r="G57" s="8" t="s">
        <v>2</v>
      </c>
      <c r="I57" s="17" t="str">
        <f t="shared" si="0"/>
        <v>* target.shielding.position 0..1 string ##34#Position of shielding##34# ##334#Describe the positioning of shielding##334#</v>
      </c>
    </row>
    <row r="58" spans="1:9" ht="44.25" x14ac:dyDescent="0.75">
      <c r="A58" s="8">
        <v>51</v>
      </c>
      <c r="B58" s="17" t="s">
        <v>1202</v>
      </c>
      <c r="C58" s="17" t="s">
        <v>66</v>
      </c>
      <c r="D58" s="17" t="s">
        <v>67</v>
      </c>
      <c r="E58" s="8">
        <v>0</v>
      </c>
      <c r="F58" s="8">
        <v>1</v>
      </c>
      <c r="G58" s="8" t="s">
        <v>2</v>
      </c>
      <c r="I58" s="17" t="str">
        <f t="shared" si="0"/>
        <v>* target.site.notes 0..1 string ##34#Additional description##34# ##334#Record any available details on the shielded tissue/organ (or size of shielded area).##334#</v>
      </c>
    </row>
    <row r="59" spans="1:9" ht="29.5" x14ac:dyDescent="0.75">
      <c r="A59" s="8">
        <v>52</v>
      </c>
      <c r="B59" s="17" t="s">
        <v>1203</v>
      </c>
      <c r="C59" s="17" t="s">
        <v>1204</v>
      </c>
      <c r="D59" s="17" t="s">
        <v>1205</v>
      </c>
      <c r="E59" s="8">
        <v>0</v>
      </c>
      <c r="F59" s="8">
        <v>1</v>
      </c>
      <c r="G59" s="8" t="s">
        <v>841</v>
      </c>
      <c r="I59" s="17" t="str">
        <f t="shared" si="0"/>
        <v>* organAtRisk 0..1 BackboneElement ##34#Organ at Risk##34# ##334#Organs at Risk##334#</v>
      </c>
    </row>
    <row r="60" spans="1:9" ht="44.25" x14ac:dyDescent="0.75">
      <c r="A60" s="8">
        <v>53</v>
      </c>
      <c r="B60" s="17" t="s">
        <v>1206</v>
      </c>
      <c r="C60" s="17" t="s">
        <v>68</v>
      </c>
      <c r="D60" s="17" t="s">
        <v>1207</v>
      </c>
      <c r="E60" s="8">
        <v>0</v>
      </c>
      <c r="F60" s="8">
        <v>1</v>
      </c>
      <c r="G60" s="8" t="s">
        <v>1</v>
      </c>
      <c r="I60" s="17" t="str">
        <f t="shared" si="0"/>
        <v>* organAtRisk.dosimetry 0..1 CodeableConcept ##34#Dosimetry on Organ at Risk##34# ##334#Specify if there is available information on Dosimetry of Organs at Risk [Yes/No]##334#</v>
      </c>
    </row>
    <row r="61" spans="1:9" ht="59" x14ac:dyDescent="0.75">
      <c r="A61" s="8">
        <v>54</v>
      </c>
      <c r="B61" s="17" t="s">
        <v>1208</v>
      </c>
      <c r="C61" s="17" t="s">
        <v>1209</v>
      </c>
      <c r="D61" s="17" t="s">
        <v>69</v>
      </c>
      <c r="E61" s="8">
        <v>0</v>
      </c>
      <c r="F61" s="8">
        <v>2</v>
      </c>
      <c r="G61" s="8" t="s">
        <v>1210</v>
      </c>
      <c r="I61" s="17" t="str">
        <f t="shared" si="0"/>
        <v>* organAtRisk.dosimetryDocument 0..2 Binary ##34#Electronic / scanned version(s) of relevant document(s)##34# ##334#If Dosimetry on Organ at Risk is available, upload here the electronic / scanned version(s) of any relevant document(s)##334#</v>
      </c>
    </row>
    <row r="62" spans="1:9" ht="29.5" x14ac:dyDescent="0.75">
      <c r="A62" s="8">
        <v>55</v>
      </c>
      <c r="B62" s="17" t="s">
        <v>1211</v>
      </c>
      <c r="C62" s="17" t="s">
        <v>1212</v>
      </c>
      <c r="D62" s="17" t="s">
        <v>70</v>
      </c>
      <c r="E62" s="8">
        <v>0</v>
      </c>
      <c r="F62" s="8">
        <v>2</v>
      </c>
      <c r="G62" s="8" t="s">
        <v>1210</v>
      </c>
      <c r="I62" s="17" t="str">
        <f t="shared" si="0"/>
        <v>* files 0..2 Binary ##34#Upload radiotherapy file (1)##34# ##334#Radiotherapy file(s) can be uploaded here##334#</v>
      </c>
    </row>
    <row r="63" spans="1:9" x14ac:dyDescent="0.75">
      <c r="A63" s="8">
        <v>56</v>
      </c>
      <c r="B63" s="17" t="s">
        <v>947</v>
      </c>
      <c r="C63" s="17" t="s">
        <v>35</v>
      </c>
      <c r="D63" s="17" t="s">
        <v>35</v>
      </c>
      <c r="E63" s="8">
        <v>0</v>
      </c>
      <c r="F63" s="8">
        <v>1</v>
      </c>
      <c r="G63" s="8" t="s">
        <v>2</v>
      </c>
      <c r="I63" s="17" t="str">
        <f t="shared" si="0"/>
        <v>* notes 0..1 string ##34#Notes##34# ##334#Notes##334#</v>
      </c>
    </row>
    <row r="64" spans="1:9" x14ac:dyDescent="0.75">
      <c r="I64" s="17" t="str">
        <f t="shared" si="0"/>
        <v>*  ..  ##34###34# ##334###334#</v>
      </c>
    </row>
    <row r="65" spans="9:9" x14ac:dyDescent="0.75">
      <c r="I65" s="17" t="str">
        <f t="shared" si="0"/>
        <v>*  ..  ##34###34# ##334###334#</v>
      </c>
    </row>
    <row r="66" spans="9:9" x14ac:dyDescent="0.75">
      <c r="I66" s="17" t="str">
        <f t="shared" si="0"/>
        <v>*  ..  ##34###34# ##334###334#</v>
      </c>
    </row>
    <row r="67" spans="9:9" x14ac:dyDescent="0.75">
      <c r="I67" s="17" t="str">
        <f t="shared" si="0"/>
        <v>*  ..  ##34###34# ##334###334#</v>
      </c>
    </row>
    <row r="68" spans="9:9" x14ac:dyDescent="0.75">
      <c r="I68" s="17" t="str">
        <f t="shared" si="0"/>
        <v>*  ..  ##34###34# ##334###334#</v>
      </c>
    </row>
    <row r="69" spans="9:9" x14ac:dyDescent="0.75">
      <c r="I69" s="17" t="str">
        <f t="shared" si="0"/>
        <v>*  ..  ##34###34# ##334###334#</v>
      </c>
    </row>
  </sheetData>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EAEB-79EB-447B-BDBD-454109E7F7E4}">
  <sheetPr codeName="Foglio37"/>
  <dimension ref="A1:P73"/>
  <sheetViews>
    <sheetView topLeftCell="A51" workbookViewId="0">
      <selection activeCell="C75" sqref="C75"/>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8" width="45.26953125" customWidth="1"/>
    <col min="9" max="9" width="28.90625" customWidth="1"/>
  </cols>
  <sheetData>
    <row r="1" spans="1:16" x14ac:dyDescent="0.75">
      <c r="E1" s="26" t="s">
        <v>80</v>
      </c>
      <c r="I1" s="9"/>
      <c r="J1" s="9"/>
      <c r="K1" s="9"/>
      <c r="L1" s="9"/>
      <c r="M1" s="9"/>
      <c r="N1" s="9"/>
      <c r="O1" s="9"/>
      <c r="P1" s="9"/>
    </row>
    <row r="2" spans="1:16" x14ac:dyDescent="0.75">
      <c r="E2" s="33" t="s">
        <v>81</v>
      </c>
      <c r="I2" s="9"/>
      <c r="J2" s="9"/>
      <c r="K2" s="9"/>
      <c r="L2" s="9"/>
      <c r="M2" s="9"/>
      <c r="N2" s="9"/>
      <c r="O2" s="9"/>
      <c r="P2" s="9"/>
    </row>
    <row r="3" spans="1:16" ht="15.5" thickBot="1" x14ac:dyDescent="0.9">
      <c r="E3" s="33" t="str">
        <f>E1</f>
        <v>// -------------------------------------------------------------------------------</v>
      </c>
      <c r="I3" s="9"/>
      <c r="J3" s="9"/>
      <c r="K3" s="9"/>
      <c r="L3" s="9"/>
      <c r="M3" s="9"/>
      <c r="N3" s="9"/>
      <c r="O3" s="9"/>
      <c r="P3" s="9"/>
    </row>
    <row r="4" spans="1:16" ht="15.5" thickBot="1" x14ac:dyDescent="0.9">
      <c r="B4" s="94" t="s">
        <v>77</v>
      </c>
      <c r="C4" s="90" t="s">
        <v>1352</v>
      </c>
      <c r="E4" s="30" t="str">
        <f>CONCATENATE("Mapping: ",C4)</f>
        <v>Mapping: Radio2Fhir</v>
      </c>
      <c r="I4" s="9"/>
      <c r="J4" s="9"/>
      <c r="K4" s="9"/>
      <c r="L4" s="9"/>
      <c r="M4" s="9"/>
      <c r="N4" s="9"/>
      <c r="O4" s="9"/>
      <c r="P4" s="9"/>
    </row>
    <row r="5" spans="1:16" ht="15.5" thickBot="1" x14ac:dyDescent="0.9">
      <c r="B5" s="94" t="s">
        <v>76</v>
      </c>
      <c r="C5" s="93" t="s">
        <v>15</v>
      </c>
      <c r="E5" s="31" t="str">
        <f>CONCATENATE("Id: ",C5)</f>
        <v>Id: fhir</v>
      </c>
      <c r="G5" s="1"/>
      <c r="H5" s="1"/>
      <c r="I5" s="9"/>
      <c r="J5" s="9"/>
      <c r="K5" s="9"/>
      <c r="L5" s="9"/>
      <c r="M5" s="9"/>
      <c r="N5" s="9"/>
      <c r="O5" s="9"/>
      <c r="P5" s="9"/>
    </row>
    <row r="6" spans="1:16" ht="15.5" thickBot="1" x14ac:dyDescent="0.9">
      <c r="B6" s="94" t="s">
        <v>11</v>
      </c>
      <c r="C6" s="1" t="str">
        <f>C7 &amp;  " model to PCSP HL7 FHIR R4 Profiles"</f>
        <v>Radiotherapy model to PCSP HL7 FHIR R4 Profiles</v>
      </c>
      <c r="E6" s="31" t="str">
        <f>CONCATENATE("Title: ##34#",C6,"##34#")</f>
        <v>Title: ##34#Radiotherapy model to PCSP HL7 FHIR R4 Profiles##34#</v>
      </c>
      <c r="G6" s="1"/>
      <c r="H6" s="1"/>
      <c r="I6" s="9"/>
      <c r="J6" s="9"/>
      <c r="K6" s="9"/>
      <c r="L6" s="9"/>
      <c r="M6" s="9"/>
      <c r="N6" s="9"/>
      <c r="O6" s="9"/>
      <c r="P6" s="9"/>
    </row>
    <row r="7" spans="1:16" ht="15.5" thickBot="1" x14ac:dyDescent="0.9">
      <c r="B7" s="94" t="s">
        <v>78</v>
      </c>
      <c r="C7" s="91" t="str">
        <f>B9</f>
        <v>Radiotherapy</v>
      </c>
      <c r="E7" s="31" t="str">
        <f>CONCATENATE("Source: ",C7)</f>
        <v>Source: Radiotherapy</v>
      </c>
      <c r="G7" s="1"/>
      <c r="H7" s="1"/>
      <c r="I7" s="9"/>
      <c r="J7" s="9"/>
      <c r="K7" s="9"/>
      <c r="L7" s="9"/>
      <c r="M7" s="9"/>
      <c r="N7" s="9"/>
      <c r="O7" s="9"/>
      <c r="P7" s="9"/>
    </row>
    <row r="8" spans="1:16" ht="15.5" thickBot="1" x14ac:dyDescent="0.9">
      <c r="B8" s="98" t="s">
        <v>73</v>
      </c>
      <c r="C8" s="1" t="s">
        <v>14</v>
      </c>
      <c r="E8" s="32" t="str">
        <f>CONCATENATE("Target: ##34#",C8,"##34#")</f>
        <v>Target: ##34#hl7.org/fhir/r4##34#</v>
      </c>
      <c r="G8" s="1"/>
      <c r="H8" s="1"/>
      <c r="I8" s="9"/>
      <c r="J8" s="9"/>
      <c r="K8" s="9"/>
      <c r="L8" s="9"/>
      <c r="M8" s="9"/>
      <c r="N8" s="9"/>
      <c r="O8" s="9"/>
      <c r="P8" s="9"/>
    </row>
    <row r="9" spans="1:16" ht="44.25" x14ac:dyDescent="0.75">
      <c r="A9" s="8"/>
      <c r="B9" s="4" t="str">
        <f>Radio!B5</f>
        <v>Radiotherapy</v>
      </c>
      <c r="C9" s="4" t="s">
        <v>1213</v>
      </c>
      <c r="E9" s="4" t="str">
        <f>CONCATENATE("* . -&gt; ##34#",C9,"##34#")</f>
        <v>* . -&gt; ##34#Procedure.conformsTo('http://hl7.eu/fhir/ig/pcsp/StructureDefinition/Procedure-radiotheraphy-eu-pcsp')##34#</v>
      </c>
      <c r="K9" s="9"/>
      <c r="L9" s="9"/>
      <c r="M9" s="9"/>
      <c r="N9" s="9"/>
      <c r="O9" s="9"/>
      <c r="P9" s="9"/>
    </row>
    <row r="10" spans="1:16" x14ac:dyDescent="0.75">
      <c r="A10" s="8"/>
      <c r="B10" s="17" t="str">
        <f>Radio!B8</f>
        <v>relatedDiagnosis</v>
      </c>
      <c r="C10" s="17" t="s">
        <v>1092</v>
      </c>
      <c r="E10" s="17" t="str">
        <f>CONCATENATE("* ",B10," -&gt; ##34#",C10,"##34#")</f>
        <v>* relatedDiagnosis -&gt; ##34#.reasonReference##34#</v>
      </c>
      <c r="G10" t="b">
        <f>IF(B10=I10,TRUE, FALSE)</f>
        <v>1</v>
      </c>
      <c r="H10" t="b">
        <f>IF(C10=J10,TRUE, FALSE)</f>
        <v>1</v>
      </c>
      <c r="I10" s="9" t="s">
        <v>72</v>
      </c>
      <c r="J10" s="9" t="s">
        <v>1092</v>
      </c>
      <c r="K10" s="9"/>
      <c r="L10" s="9"/>
      <c r="M10" s="9"/>
      <c r="N10" s="9"/>
      <c r="O10" s="9"/>
      <c r="P10" s="9"/>
    </row>
    <row r="11" spans="1:16" x14ac:dyDescent="0.75">
      <c r="A11" s="8"/>
      <c r="B11" s="17" t="str">
        <f>Radio!B9</f>
        <v>relatedRelapse</v>
      </c>
      <c r="C11" s="17" t="s">
        <v>1092</v>
      </c>
      <c r="E11" s="17" t="str">
        <f t="shared" ref="E11:E73" si="0">CONCATENATE("* ",B11," -&gt; ##34#",C11,"##34#")</f>
        <v>* relatedRelapse -&gt; ##34#.reasonReference##34#</v>
      </c>
      <c r="G11" t="b">
        <f t="shared" ref="G11:G71" si="1">IF(B11=I11,TRUE, FALSE)</f>
        <v>1</v>
      </c>
      <c r="H11" t="b">
        <f t="shared" ref="H11:H71" si="2">IF(C11=J11,TRUE, FALSE)</f>
        <v>1</v>
      </c>
      <c r="I11" s="9" t="s">
        <v>1121</v>
      </c>
      <c r="J11" s="9" t="s">
        <v>1092</v>
      </c>
      <c r="K11" s="9"/>
      <c r="L11" s="9"/>
      <c r="M11" s="9"/>
      <c r="N11" s="9"/>
      <c r="O11" s="9"/>
      <c r="P11" s="9"/>
    </row>
    <row r="12" spans="1:16" x14ac:dyDescent="0.75">
      <c r="A12" s="8"/>
      <c r="B12" s="17" t="str">
        <f>Radio!B10</f>
        <v>identifier</v>
      </c>
      <c r="C12" s="17" t="s">
        <v>74</v>
      </c>
      <c r="E12" s="17" t="str">
        <f t="shared" si="0"/>
        <v>* identifier -&gt; ##34#.identifier##34#</v>
      </c>
      <c r="G12" t="b">
        <f t="shared" si="1"/>
        <v>1</v>
      </c>
      <c r="H12" t="b">
        <f t="shared" si="2"/>
        <v>1</v>
      </c>
      <c r="I12" s="9" t="s">
        <v>12</v>
      </c>
      <c r="J12" s="9" t="s">
        <v>74</v>
      </c>
      <c r="K12" s="9"/>
      <c r="L12" s="9"/>
      <c r="M12" s="9"/>
      <c r="N12" s="9"/>
      <c r="O12" s="9"/>
      <c r="P12" s="9"/>
    </row>
    <row r="13" spans="1:16" ht="44.25" x14ac:dyDescent="0.75">
      <c r="A13" s="8"/>
      <c r="B13" s="17" t="str">
        <f>Radio!B11</f>
        <v>istitutionOfTreatment</v>
      </c>
      <c r="C13" s="17" t="s">
        <v>1214</v>
      </c>
      <c r="E13" s="17" t="str">
        <f t="shared" si="0"/>
        <v>* istitutionOfTreatment -&gt; ##34#.location.resolve().conformsTo(http://hl7.eu/fhir/ig/pcsp/StructureDefinition/Location-eu-pcsp)##34#</v>
      </c>
      <c r="G13" t="b">
        <f t="shared" si="1"/>
        <v>1</v>
      </c>
      <c r="H13" t="b">
        <f t="shared" si="2"/>
        <v>1</v>
      </c>
      <c r="I13" s="9" t="s">
        <v>1037</v>
      </c>
      <c r="J13" s="9" t="s">
        <v>1214</v>
      </c>
      <c r="K13" s="9"/>
      <c r="L13" s="9"/>
      <c r="M13" s="9"/>
      <c r="N13" s="9"/>
      <c r="O13" s="9"/>
      <c r="P13" s="9"/>
    </row>
    <row r="14" spans="1:16" x14ac:dyDescent="0.75">
      <c r="A14" s="8"/>
      <c r="B14" s="17" t="str">
        <f>Radio!B12</f>
        <v>istitutionOfTreatment.description</v>
      </c>
      <c r="C14" s="20" t="s">
        <v>1096</v>
      </c>
      <c r="E14" s="17" t="str">
        <f t="shared" si="0"/>
        <v>* istitutionOfTreatment.description -&gt; ##34#Location.description##34#</v>
      </c>
      <c r="G14" t="b">
        <f t="shared" si="1"/>
        <v>1</v>
      </c>
      <c r="H14" t="b">
        <f t="shared" si="2"/>
        <v>1</v>
      </c>
      <c r="I14" s="9" t="s">
        <v>1039</v>
      </c>
      <c r="J14" s="9" t="s">
        <v>1096</v>
      </c>
      <c r="K14" s="9"/>
      <c r="L14" s="9"/>
      <c r="M14" s="9"/>
      <c r="N14" s="9"/>
      <c r="O14" s="9"/>
      <c r="P14" s="9"/>
    </row>
    <row r="15" spans="1:16" x14ac:dyDescent="0.75">
      <c r="A15" s="8"/>
      <c r="B15" s="17" t="str">
        <f>Radio!B13</f>
        <v>istitutionOfTreatment.name</v>
      </c>
      <c r="C15" s="20" t="s">
        <v>1097</v>
      </c>
      <c r="E15" s="17" t="str">
        <f t="shared" si="0"/>
        <v>* istitutionOfTreatment.name -&gt; ##34#Location.name##34#</v>
      </c>
      <c r="G15" t="b">
        <f t="shared" si="1"/>
        <v>1</v>
      </c>
      <c r="H15" t="b">
        <f t="shared" si="2"/>
        <v>1</v>
      </c>
      <c r="I15" s="9" t="s">
        <v>1042</v>
      </c>
      <c r="J15" s="9" t="s">
        <v>1097</v>
      </c>
      <c r="K15" s="9"/>
      <c r="L15" s="9"/>
      <c r="M15" s="9"/>
      <c r="N15" s="9"/>
      <c r="O15" s="9"/>
      <c r="P15" s="9"/>
    </row>
    <row r="16" spans="1:16" x14ac:dyDescent="0.75">
      <c r="A16" s="8"/>
      <c r="B16" s="17" t="str">
        <f>Radio!B14</f>
        <v>istitutionOfTreatment.address</v>
      </c>
      <c r="C16" s="20" t="s">
        <v>1098</v>
      </c>
      <c r="E16" s="17" t="str">
        <f t="shared" si="0"/>
        <v>* istitutionOfTreatment.address -&gt; ##34#Location.address.city##34#</v>
      </c>
      <c r="G16" t="b">
        <f t="shared" si="1"/>
        <v>1</v>
      </c>
      <c r="H16" t="b">
        <f t="shared" si="2"/>
        <v>1</v>
      </c>
      <c r="I16" s="9" t="s">
        <v>1044</v>
      </c>
      <c r="J16" s="9" t="s">
        <v>1098</v>
      </c>
      <c r="K16" s="9"/>
      <c r="L16" s="9"/>
      <c r="M16" s="9"/>
      <c r="N16" s="9"/>
      <c r="O16" s="9"/>
      <c r="P16" s="9"/>
    </row>
    <row r="17" spans="1:16" x14ac:dyDescent="0.75">
      <c r="A17" s="8"/>
      <c r="B17" s="17" t="str">
        <f>Radio!B15</f>
        <v>istitutionOfTreatment.address.name</v>
      </c>
      <c r="C17" s="20"/>
      <c r="E17" s="4" t="s">
        <v>1639</v>
      </c>
      <c r="G17" t="b">
        <f t="shared" si="1"/>
        <v>1</v>
      </c>
      <c r="H17" t="b">
        <f t="shared" si="2"/>
        <v>1</v>
      </c>
      <c r="I17" s="9" t="s">
        <v>1046</v>
      </c>
      <c r="J17" s="9"/>
      <c r="K17" s="9"/>
      <c r="L17" s="9"/>
      <c r="M17" s="9"/>
      <c r="N17" s="9"/>
      <c r="O17" s="9"/>
      <c r="P17" s="9"/>
    </row>
    <row r="18" spans="1:16" ht="29.5" x14ac:dyDescent="0.75">
      <c r="A18" s="8"/>
      <c r="B18" s="17" t="str">
        <f>Radio!B16</f>
        <v>istitutionOfTreatment.address.country</v>
      </c>
      <c r="C18" s="20" t="s">
        <v>1099</v>
      </c>
      <c r="E18" s="17" t="str">
        <f t="shared" si="0"/>
        <v>* istitutionOfTreatment.address.country -&gt; ##34#Location.address.country##34#</v>
      </c>
      <c r="G18" t="b">
        <f t="shared" si="1"/>
        <v>1</v>
      </c>
      <c r="H18" t="b">
        <f t="shared" si="2"/>
        <v>1</v>
      </c>
      <c r="I18" s="9" t="s">
        <v>1048</v>
      </c>
      <c r="J18" s="9" t="s">
        <v>1099</v>
      </c>
      <c r="K18" s="9"/>
      <c r="L18" s="9"/>
      <c r="M18" s="9"/>
      <c r="N18" s="9"/>
      <c r="O18" s="9"/>
      <c r="P18" s="9"/>
    </row>
    <row r="19" spans="1:16" x14ac:dyDescent="0.75">
      <c r="A19" s="8"/>
      <c r="B19" s="17" t="str">
        <f>Radio!B17</f>
        <v>startDate</v>
      </c>
      <c r="C19" s="20" t="s">
        <v>1215</v>
      </c>
      <c r="E19" s="17" t="str">
        <f t="shared" si="0"/>
        <v>* startDate -&gt; ##34#.performedPeriod.start##34#</v>
      </c>
      <c r="G19" t="b">
        <f t="shared" si="1"/>
        <v>1</v>
      </c>
      <c r="H19" t="b">
        <f t="shared" si="2"/>
        <v>1</v>
      </c>
      <c r="I19" s="9" t="s">
        <v>1033</v>
      </c>
      <c r="J19" s="9" t="s">
        <v>1215</v>
      </c>
    </row>
    <row r="20" spans="1:16" x14ac:dyDescent="0.75">
      <c r="A20" s="8"/>
      <c r="B20" s="17" t="str">
        <f>Radio!B18</f>
        <v>enddate</v>
      </c>
      <c r="C20" s="20" t="s">
        <v>1216</v>
      </c>
      <c r="E20" s="17" t="str">
        <f t="shared" si="0"/>
        <v>* enddate -&gt; ##34#.performedPeriod.end##34#</v>
      </c>
      <c r="G20" t="b">
        <f t="shared" si="1"/>
        <v>1</v>
      </c>
      <c r="H20" t="b">
        <f t="shared" si="2"/>
        <v>1</v>
      </c>
      <c r="I20" t="s">
        <v>1125</v>
      </c>
      <c r="J20" t="s">
        <v>1216</v>
      </c>
    </row>
    <row r="21" spans="1:16" x14ac:dyDescent="0.75">
      <c r="A21" s="8"/>
      <c r="B21" s="17" t="str">
        <f>Radio!B19</f>
        <v>type</v>
      </c>
      <c r="C21" s="17" t="s">
        <v>1217</v>
      </c>
      <c r="E21" s="17" t="str">
        <f t="shared" si="0"/>
        <v>* type -&gt; ##34#.code##34#</v>
      </c>
      <c r="G21" t="b">
        <f t="shared" si="1"/>
        <v>1</v>
      </c>
      <c r="H21" t="b">
        <f t="shared" si="2"/>
        <v>1</v>
      </c>
      <c r="I21" t="s">
        <v>16</v>
      </c>
      <c r="J21" t="s">
        <v>1217</v>
      </c>
    </row>
    <row r="22" spans="1:16" x14ac:dyDescent="0.75">
      <c r="A22" s="8"/>
      <c r="B22" s="17" t="str">
        <f>Radio!B20</f>
        <v>deviceType</v>
      </c>
      <c r="C22" s="17" t="s">
        <v>1218</v>
      </c>
      <c r="E22" s="17" t="str">
        <f t="shared" si="0"/>
        <v>* deviceType -&gt; ##34#.usedCode##34#</v>
      </c>
      <c r="G22" t="b">
        <f t="shared" si="1"/>
        <v>1</v>
      </c>
      <c r="H22" t="b">
        <f t="shared" si="2"/>
        <v>1</v>
      </c>
      <c r="I22" t="s">
        <v>1127</v>
      </c>
      <c r="J22" t="s">
        <v>1218</v>
      </c>
    </row>
    <row r="23" spans="1:16" ht="44.25" x14ac:dyDescent="0.75">
      <c r="A23" s="8"/>
      <c r="B23" s="17" t="str">
        <f>Radio!B21</f>
        <v>brachytherapyType</v>
      </c>
      <c r="C23" s="17" t="s">
        <v>1219</v>
      </c>
      <c r="E23" s="17" t="str">
        <f t="shared" si="0"/>
        <v>* brachytherapyType -&gt; ##34#.extension('http://hl7.org/fhir/StructureDefinition/procedure-method').valueCodeableConcept##34#</v>
      </c>
      <c r="G23" t="b">
        <f t="shared" si="1"/>
        <v>1</v>
      </c>
      <c r="H23" t="b">
        <f t="shared" si="2"/>
        <v>1</v>
      </c>
      <c r="I23" t="s">
        <v>1130</v>
      </c>
      <c r="J23" t="s">
        <v>1219</v>
      </c>
    </row>
    <row r="24" spans="1:16" ht="44.25" x14ac:dyDescent="0.75">
      <c r="A24" s="8"/>
      <c r="B24" s="17" t="str">
        <f>Radio!B22</f>
        <v>isotopes</v>
      </c>
      <c r="C24" s="17" t="s">
        <v>1220</v>
      </c>
      <c r="E24" s="17" t="str">
        <f t="shared" si="0"/>
        <v>* isotopes -&gt; ##34#.extension('http://hl7.eu/fhir/ig/pcsp/StructureDefinition/radiotherapy-energy-or-isotope').valueCodeableConcept##34#</v>
      </c>
      <c r="G24" t="b">
        <f t="shared" si="1"/>
        <v>1</v>
      </c>
      <c r="H24" t="b">
        <f t="shared" si="2"/>
        <v>1</v>
      </c>
      <c r="I24" t="s">
        <v>1133</v>
      </c>
      <c r="J24" t="s">
        <v>1220</v>
      </c>
    </row>
    <row r="25" spans="1:16" ht="44.25" x14ac:dyDescent="0.75">
      <c r="A25" s="8"/>
      <c r="B25" s="17" t="str">
        <f>Radio!B23</f>
        <v>radionuclides</v>
      </c>
      <c r="C25" s="17" t="s">
        <v>1220</v>
      </c>
      <c r="E25" s="17" t="str">
        <f t="shared" si="0"/>
        <v>* radionuclides -&gt; ##34#.extension('http://hl7.eu/fhir/ig/pcsp/StructureDefinition/radiotherapy-energy-or-isotope').valueCodeableConcept##34#</v>
      </c>
      <c r="G25" t="b">
        <f t="shared" si="1"/>
        <v>1</v>
      </c>
      <c r="H25" t="b">
        <f t="shared" si="2"/>
        <v>1</v>
      </c>
      <c r="I25" t="s">
        <v>1136</v>
      </c>
      <c r="J25" t="s">
        <v>1220</v>
      </c>
    </row>
    <row r="26" spans="1:16" ht="44.25" x14ac:dyDescent="0.75">
      <c r="A26" s="8"/>
      <c r="B26" s="17" t="str">
        <f>Radio!B24</f>
        <v>numberOfCourses</v>
      </c>
      <c r="C26" s="17" t="s">
        <v>1221</v>
      </c>
      <c r="E26" s="17" t="str">
        <f t="shared" si="0"/>
        <v>* numberOfCourses -&gt; ##34#.extension(http://hl7.eu/fhir/ig/pcsp/StructureDefinition/procedure-performedTiming).valueTiming.repeat.count##34#</v>
      </c>
      <c r="G26" t="b">
        <f t="shared" si="1"/>
        <v>1</v>
      </c>
      <c r="H26" t="b">
        <f t="shared" si="2"/>
        <v>1</v>
      </c>
      <c r="I26" t="s">
        <v>1139</v>
      </c>
      <c r="J26" t="s">
        <v>1221</v>
      </c>
    </row>
    <row r="27" spans="1:16" x14ac:dyDescent="0.75">
      <c r="A27" s="8"/>
      <c r="B27" s="17" t="str">
        <f>Radio!B25</f>
        <v>target</v>
      </c>
      <c r="C27" s="17" t="s">
        <v>75</v>
      </c>
      <c r="E27" s="17" t="str">
        <f t="shared" si="0"/>
        <v>* target -&gt; ##34#.bodySite##34#</v>
      </c>
      <c r="G27" t="b">
        <f t="shared" si="1"/>
        <v>1</v>
      </c>
      <c r="H27" t="b">
        <f t="shared" si="2"/>
        <v>1</v>
      </c>
      <c r="I27" t="s">
        <v>1141</v>
      </c>
      <c r="J27" t="s">
        <v>75</v>
      </c>
    </row>
    <row r="28" spans="1:16" ht="73.75" x14ac:dyDescent="0.75">
      <c r="A28" s="8"/>
      <c r="B28" s="17" t="str">
        <f>Radio!B25</f>
        <v>target</v>
      </c>
      <c r="C28" s="17" t="s">
        <v>1222</v>
      </c>
      <c r="E28" s="17" t="str">
        <f t="shared" si="0"/>
        <v>* target -&gt; ##34#.extension(http://hl7.eu/fhir/ig/pcsp/StructureDefinition/ResourceRelatedInfo-eu-pcsp).resolve().conformsTo(http://hl7.eu/fhir/ig/pcsp/StructureDefinition/Observation-cumulativeDoseRad-eu-pcsp)##34#</v>
      </c>
      <c r="G28" t="b">
        <f t="shared" si="1"/>
        <v>1</v>
      </c>
      <c r="H28" t="b">
        <f t="shared" si="2"/>
        <v>1</v>
      </c>
      <c r="I28" t="s">
        <v>1141</v>
      </c>
      <c r="J28" t="s">
        <v>1222</v>
      </c>
    </row>
    <row r="29" spans="1:16" x14ac:dyDescent="0.75">
      <c r="A29" s="8"/>
      <c r="B29" s="17" t="str">
        <f>Radio!B26</f>
        <v>target.site</v>
      </c>
      <c r="C29" s="97" t="s">
        <v>75</v>
      </c>
      <c r="E29" s="17" t="str">
        <f t="shared" si="0"/>
        <v>* target.site -&gt; ##34#.bodySite##34#</v>
      </c>
      <c r="G29" t="b">
        <f t="shared" si="1"/>
        <v>1</v>
      </c>
      <c r="H29" t="b">
        <f t="shared" si="2"/>
        <v>1</v>
      </c>
      <c r="I29" t="s">
        <v>1143</v>
      </c>
      <c r="J29" t="s">
        <v>75</v>
      </c>
    </row>
    <row r="30" spans="1:16" ht="44.25" x14ac:dyDescent="0.75">
      <c r="A30" s="8"/>
      <c r="B30" s="17" t="str">
        <f>Radio!B27</f>
        <v>target.laterality</v>
      </c>
      <c r="C30" s="17" t="s">
        <v>1223</v>
      </c>
      <c r="E30" s="17" t="str">
        <f t="shared" si="0"/>
        <v>* target.laterality -&gt; ##34#.extension(http://hl7.eu/fhir/ig/pcsp/StructureDefinition/mcode-laterality-qualifier).valueCodeableConcept##34#</v>
      </c>
      <c r="G30" t="b">
        <f t="shared" si="1"/>
        <v>1</v>
      </c>
      <c r="H30" t="b">
        <f t="shared" si="2"/>
        <v>1</v>
      </c>
      <c r="I30" t="s">
        <v>1146</v>
      </c>
      <c r="J30" t="s">
        <v>1223</v>
      </c>
    </row>
    <row r="31" spans="1:16" x14ac:dyDescent="0.75">
      <c r="A31" s="8"/>
      <c r="B31" s="17" t="str">
        <f>Radio!B28</f>
        <v>target.details</v>
      </c>
      <c r="C31" s="17" t="s">
        <v>1224</v>
      </c>
      <c r="E31" s="17" t="str">
        <f t="shared" si="0"/>
        <v>* target.details -&gt; ##34#.text##34#</v>
      </c>
      <c r="G31" t="b">
        <f t="shared" si="1"/>
        <v>1</v>
      </c>
      <c r="H31" t="b">
        <f t="shared" si="2"/>
        <v>1</v>
      </c>
      <c r="I31" t="s">
        <v>1148</v>
      </c>
      <c r="J31" t="s">
        <v>1224</v>
      </c>
    </row>
    <row r="32" spans="1:16" ht="44.25" x14ac:dyDescent="0.75">
      <c r="A32" s="8"/>
      <c r="B32" s="17" t="str">
        <f>Radio!B29</f>
        <v>target.from</v>
      </c>
      <c r="C32" s="97" t="s">
        <v>1225</v>
      </c>
      <c r="E32" s="17" t="str">
        <f t="shared" si="0"/>
        <v>* target.from -&gt; ##34#.bodySite.where(extension('mcode-body-location-qualifier').valueCodeableConcept = http://snomed.info/sct#272488003 'From-structure')##34#</v>
      </c>
      <c r="G32" t="b">
        <f t="shared" si="1"/>
        <v>1</v>
      </c>
      <c r="H32" t="b">
        <f t="shared" si="2"/>
        <v>1</v>
      </c>
      <c r="I32" t="s">
        <v>1149</v>
      </c>
      <c r="J32" t="s">
        <v>1225</v>
      </c>
    </row>
    <row r="33" spans="1:10" ht="44.25" x14ac:dyDescent="0.75">
      <c r="A33" s="8"/>
      <c r="B33" s="17" t="str">
        <f>Radio!B30</f>
        <v>target.to</v>
      </c>
      <c r="C33" s="97" t="s">
        <v>1226</v>
      </c>
      <c r="E33" s="17" t="str">
        <f t="shared" si="0"/>
        <v>* target.to -&gt; ##34#.bodySite.where(extension('mcode-body-location-qualifier').valueCodeableConcept = http://hl7.eu/fhir/ig/pcsp/CodeSystem/cs-generic-eu-pcsp#to-structure 'To-structure')##34#</v>
      </c>
      <c r="G33" t="b">
        <f t="shared" si="1"/>
        <v>1</v>
      </c>
      <c r="H33" t="b">
        <f t="shared" si="2"/>
        <v>1</v>
      </c>
      <c r="I33" t="s">
        <v>1151</v>
      </c>
      <c r="J33" t="s">
        <v>1226</v>
      </c>
    </row>
    <row r="34" spans="1:10" ht="44.25" x14ac:dyDescent="0.75">
      <c r="B34" s="17" t="str">
        <f>Radio!B31</f>
        <v>target.position</v>
      </c>
      <c r="C34" s="17" t="s">
        <v>1227</v>
      </c>
      <c r="E34" s="17" t="str">
        <f t="shared" si="0"/>
        <v>* target.position -&gt; ##34#.extension('http://hl7.org/fhir/us/mcode/StructureDefinition/mcode-body-location-qualifier').valueCodeableConcept##34#</v>
      </c>
      <c r="G34" t="b">
        <f t="shared" si="1"/>
        <v>1</v>
      </c>
      <c r="H34" t="b">
        <f t="shared" si="2"/>
        <v>1</v>
      </c>
      <c r="I34" t="s">
        <v>1153</v>
      </c>
      <c r="J34" t="s">
        <v>1227</v>
      </c>
    </row>
    <row r="35" spans="1:10" ht="73.75" x14ac:dyDescent="0.75">
      <c r="B35" s="17" t="str">
        <f>Radio!B32</f>
        <v>target.totalDose</v>
      </c>
      <c r="C35" s="17" t="s">
        <v>1222</v>
      </c>
      <c r="E35" s="17" t="str">
        <f t="shared" si="0"/>
        <v>* target.totalDose -&gt; ##34#.extension(http://hl7.eu/fhir/ig/pcsp/StructureDefinition/ResourceRelatedInfo-eu-pcsp).resolve().conformsTo(http://hl7.eu/fhir/ig/pcsp/StructureDefinition/Observation-cumulativeDoseRad-eu-pcsp)##34#</v>
      </c>
      <c r="G35" t="b">
        <f t="shared" si="1"/>
        <v>1</v>
      </c>
      <c r="H35" t="b">
        <f t="shared" si="2"/>
        <v>1</v>
      </c>
      <c r="I35" t="s">
        <v>1155</v>
      </c>
      <c r="J35" t="s">
        <v>1222</v>
      </c>
    </row>
    <row r="36" spans="1:10" x14ac:dyDescent="0.75">
      <c r="B36" s="17" t="str">
        <f>Radio!B33</f>
        <v>target.totalDose.completionStatus</v>
      </c>
      <c r="C36" s="17" t="s">
        <v>1107</v>
      </c>
      <c r="E36" s="17" t="str">
        <f t="shared" si="0"/>
        <v>* target.totalDose.completionStatus -&gt; ##34#.status = #preliminary##34#</v>
      </c>
      <c r="G36" t="b">
        <f t="shared" si="1"/>
        <v>1</v>
      </c>
      <c r="H36" t="b">
        <f t="shared" si="2"/>
        <v>1</v>
      </c>
      <c r="I36" t="s">
        <v>1158</v>
      </c>
      <c r="J36" t="s">
        <v>1107</v>
      </c>
    </row>
    <row r="37" spans="1:10" ht="29.5" x14ac:dyDescent="0.75">
      <c r="B37" s="17" t="str">
        <f>Radio!B34</f>
        <v>target.totalDose.statusReason</v>
      </c>
      <c r="C37" s="1" t="s">
        <v>1108</v>
      </c>
      <c r="E37" s="17" t="str">
        <f t="shared" si="0"/>
        <v>* target.totalDose.statusReason -&gt; ##34#.extension('http://hl7.org/fhir/StructureDefinition/event-statusReason')##34#</v>
      </c>
      <c r="G37" t="b">
        <f t="shared" si="1"/>
        <v>1</v>
      </c>
      <c r="H37" t="b">
        <f t="shared" si="2"/>
        <v>1</v>
      </c>
      <c r="I37" t="s">
        <v>1159</v>
      </c>
      <c r="J37" t="s">
        <v>1108</v>
      </c>
    </row>
    <row r="38" spans="1:10" ht="29.5" x14ac:dyDescent="0.75">
      <c r="B38" s="17" t="str">
        <f>Radio!B35</f>
        <v>target.totalDose.notKnown</v>
      </c>
      <c r="C38" s="17" t="s">
        <v>1104</v>
      </c>
      <c r="E38" s="17" t="str">
        <f t="shared" si="0"/>
        <v>* target.totalDose.notKnown -&gt; ##34#.valueCodeableConcept = http://terminology.hl7.org/CodeSystem/data-absent-reason#unknown##34#</v>
      </c>
      <c r="G38" t="b">
        <f t="shared" si="1"/>
        <v>1</v>
      </c>
      <c r="H38" t="b">
        <f t="shared" si="2"/>
        <v>1</v>
      </c>
      <c r="I38" t="s">
        <v>1160</v>
      </c>
      <c r="J38" t="s">
        <v>1104</v>
      </c>
    </row>
    <row r="39" spans="1:10" x14ac:dyDescent="0.75">
      <c r="B39" s="17" t="str">
        <f>Radio!B36</f>
        <v>target.totalDose.dose</v>
      </c>
      <c r="C39" s="17" t="s">
        <v>1109</v>
      </c>
      <c r="E39" s="17" t="str">
        <f t="shared" si="0"/>
        <v>* target.totalDose.dose -&gt; ##34#.valueQuantity.value##34#</v>
      </c>
      <c r="G39" t="b">
        <f t="shared" si="1"/>
        <v>1</v>
      </c>
      <c r="H39" t="b">
        <f t="shared" si="2"/>
        <v>1</v>
      </c>
      <c r="I39" t="s">
        <v>1162</v>
      </c>
      <c r="J39" t="s">
        <v>1109</v>
      </c>
    </row>
    <row r="40" spans="1:10" x14ac:dyDescent="0.75">
      <c r="B40" s="17" t="str">
        <f>Radio!B37</f>
        <v>target.totalDose.unit</v>
      </c>
      <c r="C40" s="17" t="s">
        <v>1228</v>
      </c>
      <c r="E40" s="17" t="str">
        <f t="shared" si="0"/>
        <v>* target.totalDose.unit -&gt; ##34#.valueQuantity.code##34#</v>
      </c>
      <c r="G40" t="b">
        <f t="shared" si="1"/>
        <v>1</v>
      </c>
      <c r="H40" t="b">
        <f t="shared" si="2"/>
        <v>1</v>
      </c>
      <c r="I40" t="s">
        <v>1165</v>
      </c>
      <c r="J40" t="s">
        <v>1228</v>
      </c>
    </row>
    <row r="41" spans="1:10" ht="44.25" x14ac:dyDescent="0.75">
      <c r="B41" s="17" t="str">
        <f>Radio!B38</f>
        <v>target.totalDose.fractions</v>
      </c>
      <c r="C41" s="17" t="s">
        <v>1221</v>
      </c>
      <c r="E41" s="17" t="str">
        <f t="shared" si="0"/>
        <v>* target.totalDose.fractions -&gt; ##34#.extension(http://hl7.eu/fhir/ig/pcsp/StructureDefinition/procedure-performedTiming).valueTiming.repeat.count##34#</v>
      </c>
      <c r="G41" t="b">
        <f t="shared" si="1"/>
        <v>1</v>
      </c>
      <c r="H41" t="b">
        <f t="shared" si="2"/>
        <v>1</v>
      </c>
      <c r="I41" t="s">
        <v>1167</v>
      </c>
      <c r="J41" t="s">
        <v>1221</v>
      </c>
    </row>
    <row r="42" spans="1:10" ht="44.25" x14ac:dyDescent="0.75">
      <c r="B42" s="17" t="str">
        <f>Radio!B39</f>
        <v>target.boost</v>
      </c>
      <c r="C42" s="17" t="s">
        <v>1229</v>
      </c>
      <c r="E42" s="17" t="str">
        <f t="shared" si="0"/>
        <v>* target.boost -&gt; ##34#Procedure.conformsTo('http://hl7.eu/fhir/ig/pcsp/StructureDefinition/Procedure-radiotheraphyBoost-eu-pcsp')##34#</v>
      </c>
      <c r="G42" t="b">
        <f t="shared" si="1"/>
        <v>1</v>
      </c>
      <c r="H42" t="b">
        <f t="shared" si="2"/>
        <v>1</v>
      </c>
      <c r="I42" t="s">
        <v>1170</v>
      </c>
      <c r="J42" t="s">
        <v>1229</v>
      </c>
    </row>
    <row r="43" spans="1:10" x14ac:dyDescent="0.75">
      <c r="B43" s="17" t="str">
        <f>Radio!B40</f>
        <v>target.boost.type</v>
      </c>
      <c r="C43" s="17" t="s">
        <v>1230</v>
      </c>
      <c r="E43" s="17" t="str">
        <f t="shared" si="0"/>
        <v>* target.boost.type -&gt; ##34#.partOf.resolve().code##34#</v>
      </c>
      <c r="G43" t="b">
        <f t="shared" si="1"/>
        <v>1</v>
      </c>
      <c r="H43" t="b">
        <f t="shared" si="2"/>
        <v>1</v>
      </c>
      <c r="I43" t="s">
        <v>1172</v>
      </c>
      <c r="J43" t="s">
        <v>1230</v>
      </c>
    </row>
    <row r="44" spans="1:10" x14ac:dyDescent="0.75">
      <c r="B44" s="17" t="str">
        <f>Radio!B41</f>
        <v>target.boost.given</v>
      </c>
      <c r="C44" s="1" t="s">
        <v>1231</v>
      </c>
      <c r="E44" s="17" t="str">
        <f t="shared" si="0"/>
        <v>* target.boost.given -&gt; ##34#.status##34#</v>
      </c>
      <c r="G44" t="b">
        <f t="shared" si="1"/>
        <v>1</v>
      </c>
      <c r="H44" t="b">
        <f t="shared" si="2"/>
        <v>1</v>
      </c>
      <c r="I44" t="s">
        <v>1175</v>
      </c>
      <c r="J44" t="s">
        <v>1231</v>
      </c>
    </row>
    <row r="45" spans="1:10" x14ac:dyDescent="0.75">
      <c r="B45" s="17" t="str">
        <f>Radio!B42</f>
        <v>target.boost.site</v>
      </c>
      <c r="C45" s="17" t="s">
        <v>75</v>
      </c>
      <c r="E45" s="17" t="str">
        <f t="shared" si="0"/>
        <v>* target.boost.site -&gt; ##34#.bodySite##34#</v>
      </c>
      <c r="G45" t="b">
        <f t="shared" si="1"/>
        <v>1</v>
      </c>
      <c r="H45" t="b">
        <f t="shared" si="2"/>
        <v>1</v>
      </c>
      <c r="I45" t="s">
        <v>1178</v>
      </c>
      <c r="J45" t="s">
        <v>75</v>
      </c>
    </row>
    <row r="46" spans="1:10" ht="73.75" x14ac:dyDescent="0.75">
      <c r="B46" s="17" t="str">
        <f>Radio!B42</f>
        <v>target.boost.site</v>
      </c>
      <c r="C46" s="17" t="s">
        <v>1232</v>
      </c>
      <c r="E46" s="17" t="str">
        <f t="shared" si="0"/>
        <v>* target.boost.site -&gt; ##34#.extension(http://hl7.eu/fhir/ig/pcsp/StructureDefinition/ResourceRelatedInfo-eu-pcsp).resolve().conformsTo(http://hl7.eu/fhir/ig/pcsp/StructureDefinition/Observation-cumulativeDoseRad-eu-pcsp).bodySite##34#</v>
      </c>
      <c r="G46" t="b">
        <f t="shared" si="1"/>
        <v>1</v>
      </c>
      <c r="H46" t="b">
        <f t="shared" si="2"/>
        <v>1</v>
      </c>
      <c r="I46" t="s">
        <v>1178</v>
      </c>
      <c r="J46" t="s">
        <v>1232</v>
      </c>
    </row>
    <row r="47" spans="1:10" ht="44.25" x14ac:dyDescent="0.75">
      <c r="B47" s="17" t="str">
        <f>Radio!B43</f>
        <v>target.boost.laterality</v>
      </c>
      <c r="C47" s="17" t="s">
        <v>1223</v>
      </c>
      <c r="E47" s="17" t="str">
        <f t="shared" si="0"/>
        <v>* target.boost.laterality -&gt; ##34#.extension(http://hl7.eu/fhir/ig/pcsp/StructureDefinition/mcode-laterality-qualifier).valueCodeableConcept##34#</v>
      </c>
      <c r="G47" t="b">
        <f t="shared" si="1"/>
        <v>1</v>
      </c>
      <c r="H47" t="b">
        <f t="shared" si="2"/>
        <v>1</v>
      </c>
      <c r="I47" t="s">
        <v>1181</v>
      </c>
      <c r="J47" t="s">
        <v>1223</v>
      </c>
    </row>
    <row r="48" spans="1:10" x14ac:dyDescent="0.75">
      <c r="B48" s="17" t="str">
        <f>Radio!B44</f>
        <v>target.boost.details</v>
      </c>
      <c r="C48" s="17" t="s">
        <v>1233</v>
      </c>
      <c r="E48" s="17" t="str">
        <f t="shared" si="0"/>
        <v>* target.boost.details -&gt; ##34#.note##34#</v>
      </c>
      <c r="G48" t="b">
        <f t="shared" si="1"/>
        <v>1</v>
      </c>
      <c r="H48" t="b">
        <f t="shared" si="2"/>
        <v>1</v>
      </c>
      <c r="I48" t="s">
        <v>1182</v>
      </c>
      <c r="J48" t="s">
        <v>1233</v>
      </c>
    </row>
    <row r="49" spans="2:10" ht="59" x14ac:dyDescent="0.75">
      <c r="B49" s="17" t="str">
        <f>Radio!B45</f>
        <v>target.boost.from</v>
      </c>
      <c r="C49" s="17" t="s">
        <v>1234</v>
      </c>
      <c r="E49" s="17" t="str">
        <f t="shared" si="0"/>
        <v>* target.boost.from -&gt; ##34#.bodySite.where(extension(http://hl7.org/fhir/us/mcode/StructureDefinition/mcode-body-location-qualifier).valueCodeableConcept = http://snomed.info/sct#272488003 'From-structure')##34#</v>
      </c>
      <c r="G49" t="b">
        <f t="shared" si="1"/>
        <v>1</v>
      </c>
      <c r="H49" t="b">
        <f t="shared" si="2"/>
        <v>1</v>
      </c>
      <c r="I49" t="s">
        <v>1183</v>
      </c>
      <c r="J49" t="s">
        <v>1234</v>
      </c>
    </row>
    <row r="50" spans="2:10" ht="73.75" x14ac:dyDescent="0.75">
      <c r="B50" s="17" t="str">
        <f>Radio!B46</f>
        <v>target.boost.to</v>
      </c>
      <c r="C50" s="17" t="s">
        <v>1235</v>
      </c>
      <c r="E50" s="17" t="str">
        <f t="shared" si="0"/>
        <v>* target.boost.to -&gt; ##34#.bodySite.where(extension(http://hl7.org/fhir/us/mcode/StructureDefinition/mcode-body-location-qualifier).valueCodeableConcept = http://hl7.eu/fhir/ig/pcsp/CodeSystem/cs-generic-eu-pcsp#to-structure 'To-structure')##34#</v>
      </c>
      <c r="G50" t="b">
        <f t="shared" si="1"/>
        <v>1</v>
      </c>
      <c r="H50" t="b">
        <f t="shared" si="2"/>
        <v>1</v>
      </c>
      <c r="I50" t="s">
        <v>1184</v>
      </c>
      <c r="J50" t="s">
        <v>1235</v>
      </c>
    </row>
    <row r="51" spans="2:10" ht="44.25" x14ac:dyDescent="0.75">
      <c r="B51" s="17" t="str">
        <f>Radio!B47</f>
        <v>target.boost.position</v>
      </c>
      <c r="C51" s="17" t="s">
        <v>1236</v>
      </c>
      <c r="E51" s="17" t="str">
        <f t="shared" si="0"/>
        <v>* target.boost.position -&gt; ##34#.extension(http://hl7.org/fhir/us/mcode/StructureDefinition/mcode-body-location-qualifier).valueCodeableConcept##34#</v>
      </c>
      <c r="G51" t="b">
        <f t="shared" si="1"/>
        <v>1</v>
      </c>
      <c r="H51" t="b">
        <f t="shared" si="2"/>
        <v>1</v>
      </c>
      <c r="I51" t="s">
        <v>1185</v>
      </c>
      <c r="J51" t="s">
        <v>1236</v>
      </c>
    </row>
    <row r="52" spans="2:10" ht="73.75" x14ac:dyDescent="0.75">
      <c r="B52" s="17" t="str">
        <f>Radio!B48</f>
        <v>target.boost.totalDose</v>
      </c>
      <c r="C52" s="17" t="s">
        <v>1222</v>
      </c>
      <c r="E52" s="17" t="str">
        <f t="shared" si="0"/>
        <v>* target.boost.totalDose -&gt; ##34#.extension(http://hl7.eu/fhir/ig/pcsp/StructureDefinition/ResourceRelatedInfo-eu-pcsp).resolve().conformsTo(http://hl7.eu/fhir/ig/pcsp/StructureDefinition/Observation-cumulativeDoseRad-eu-pcsp)##34#</v>
      </c>
      <c r="G52" t="b">
        <f t="shared" si="1"/>
        <v>1</v>
      </c>
      <c r="H52" t="b">
        <f t="shared" si="2"/>
        <v>1</v>
      </c>
      <c r="I52" t="s">
        <v>1186</v>
      </c>
      <c r="J52" t="s">
        <v>1222</v>
      </c>
    </row>
    <row r="53" spans="2:10" ht="29.5" x14ac:dyDescent="0.75">
      <c r="B53" s="17" t="str">
        <f>Radio!B49</f>
        <v>target.boost.totalDose.completionStatus</v>
      </c>
      <c r="C53" s="17" t="s">
        <v>1107</v>
      </c>
      <c r="E53" s="17" t="str">
        <f t="shared" si="0"/>
        <v>* target.boost.totalDose.completionStatus -&gt; ##34#.status = #preliminary##34#</v>
      </c>
      <c r="G53" t="b">
        <f t="shared" si="1"/>
        <v>1</v>
      </c>
      <c r="H53" t="b">
        <f t="shared" si="2"/>
        <v>1</v>
      </c>
      <c r="I53" t="s">
        <v>1188</v>
      </c>
      <c r="J53" t="s">
        <v>1107</v>
      </c>
    </row>
    <row r="54" spans="2:10" ht="29.5" x14ac:dyDescent="0.75">
      <c r="B54" s="17" t="str">
        <f>Radio!B50</f>
        <v>target.boost.totalDose.statusReason</v>
      </c>
      <c r="C54" s="17" t="s">
        <v>1108</v>
      </c>
      <c r="E54" s="17" t="str">
        <f t="shared" si="0"/>
        <v>* target.boost.totalDose.statusReason -&gt; ##34#.extension('http://hl7.org/fhir/StructureDefinition/event-statusReason')##34#</v>
      </c>
      <c r="G54" t="b">
        <f t="shared" si="1"/>
        <v>1</v>
      </c>
      <c r="H54" t="b">
        <f t="shared" si="2"/>
        <v>1</v>
      </c>
      <c r="I54" t="s">
        <v>1189</v>
      </c>
      <c r="J54" t="s">
        <v>1108</v>
      </c>
    </row>
    <row r="55" spans="2:10" ht="29.5" x14ac:dyDescent="0.75">
      <c r="B55" s="17" t="str">
        <f>Radio!B51</f>
        <v>target.boost.totalDose.notKnown</v>
      </c>
      <c r="C55" s="17" t="s">
        <v>1104</v>
      </c>
      <c r="E55" s="17" t="str">
        <f t="shared" si="0"/>
        <v>* target.boost.totalDose.notKnown -&gt; ##34#.valueCodeableConcept = http://terminology.hl7.org/CodeSystem/data-absent-reason#unknown##34#</v>
      </c>
      <c r="G55" t="b">
        <f t="shared" si="1"/>
        <v>1</v>
      </c>
      <c r="H55" t="b">
        <f t="shared" si="2"/>
        <v>1</v>
      </c>
      <c r="I55" t="s">
        <v>1190</v>
      </c>
      <c r="J55" t="s">
        <v>1104</v>
      </c>
    </row>
    <row r="56" spans="2:10" x14ac:dyDescent="0.75">
      <c r="B56" s="17" t="str">
        <f>Radio!B52</f>
        <v>target.boost.totalDose.dose</v>
      </c>
      <c r="C56" s="17" t="s">
        <v>1109</v>
      </c>
      <c r="E56" s="17" t="str">
        <f t="shared" si="0"/>
        <v>* target.boost.totalDose.dose -&gt; ##34#.valueQuantity.value##34#</v>
      </c>
      <c r="G56" t="b">
        <f t="shared" si="1"/>
        <v>1</v>
      </c>
      <c r="H56" t="b">
        <f t="shared" si="2"/>
        <v>1</v>
      </c>
      <c r="I56" t="s">
        <v>1191</v>
      </c>
      <c r="J56" t="s">
        <v>1109</v>
      </c>
    </row>
    <row r="57" spans="2:10" x14ac:dyDescent="0.75">
      <c r="B57" s="17" t="str">
        <f>Radio!B53</f>
        <v>target.boost.totalDose.unit</v>
      </c>
      <c r="C57" s="17" t="s">
        <v>1228</v>
      </c>
      <c r="E57" s="17" t="str">
        <f t="shared" si="0"/>
        <v>* target.boost.totalDose.unit -&gt; ##34#.valueQuantity.code##34#</v>
      </c>
      <c r="G57" t="b">
        <f t="shared" si="1"/>
        <v>1</v>
      </c>
      <c r="H57" t="b">
        <f t="shared" si="2"/>
        <v>1</v>
      </c>
      <c r="I57" t="s">
        <v>1192</v>
      </c>
      <c r="J57" t="s">
        <v>1228</v>
      </c>
    </row>
    <row r="58" spans="2:10" ht="44.25" x14ac:dyDescent="0.75">
      <c r="B58" s="17" t="str">
        <f>Radio!B54</f>
        <v>target.boost.totalDose.fractions</v>
      </c>
      <c r="C58" s="17" t="s">
        <v>1221</v>
      </c>
      <c r="E58" s="17" t="str">
        <f t="shared" si="0"/>
        <v>* target.boost.totalDose.fractions -&gt; ##34#.extension(http://hl7.eu/fhir/ig/pcsp/StructureDefinition/procedure-performedTiming).valueTiming.repeat.count##34#</v>
      </c>
      <c r="G58" t="b">
        <f t="shared" si="1"/>
        <v>1</v>
      </c>
      <c r="H58" t="b">
        <f t="shared" si="2"/>
        <v>1</v>
      </c>
      <c r="I58" t="s">
        <v>1195</v>
      </c>
      <c r="J58" t="s">
        <v>1221</v>
      </c>
    </row>
    <row r="59" spans="2:10" ht="44.25" x14ac:dyDescent="0.75">
      <c r="B59" s="17" t="str">
        <f>Radio!B55</f>
        <v>target.shielding</v>
      </c>
      <c r="C59" s="17" t="s">
        <v>1237</v>
      </c>
      <c r="E59" s="17" t="str">
        <f t="shared" si="0"/>
        <v>* target.shielding -&gt; ##34#Procedure.conformsTo('http://hl7.eu/fhir/ig/pcsp/StructureDefinition/Procedure-radiotheraphyShield-eu-pcsp')##34#</v>
      </c>
      <c r="G59" t="b">
        <f t="shared" si="1"/>
        <v>1</v>
      </c>
      <c r="H59" t="b">
        <f t="shared" si="2"/>
        <v>1</v>
      </c>
      <c r="I59" t="s">
        <v>1196</v>
      </c>
      <c r="J59" t="s">
        <v>1237</v>
      </c>
    </row>
    <row r="60" spans="2:10" x14ac:dyDescent="0.75">
      <c r="B60" s="17" t="str">
        <f>Radio!B56</f>
        <v>target.shielding.status</v>
      </c>
      <c r="C60" s="17" t="s">
        <v>1231</v>
      </c>
      <c r="E60" s="17" t="str">
        <f t="shared" si="0"/>
        <v>* target.shielding.status -&gt; ##34#.status##34#</v>
      </c>
      <c r="G60" t="b">
        <f t="shared" si="1"/>
        <v>1</v>
      </c>
      <c r="H60" t="b">
        <f t="shared" si="2"/>
        <v>1</v>
      </c>
      <c r="I60" t="s">
        <v>1198</v>
      </c>
      <c r="J60" t="s">
        <v>1231</v>
      </c>
    </row>
    <row r="61" spans="2:10" x14ac:dyDescent="0.75">
      <c r="B61" s="17" t="str">
        <f>Radio!B57</f>
        <v>target.shielding.position</v>
      </c>
      <c r="C61" s="17" t="s">
        <v>75</v>
      </c>
      <c r="E61" s="17" t="str">
        <f t="shared" si="0"/>
        <v>* target.shielding.position -&gt; ##34#.bodySite##34#</v>
      </c>
      <c r="G61" t="b">
        <f t="shared" si="1"/>
        <v>1</v>
      </c>
      <c r="H61" t="b">
        <f t="shared" si="2"/>
        <v>1</v>
      </c>
      <c r="I61" t="s">
        <v>1201</v>
      </c>
      <c r="J61" t="s">
        <v>75</v>
      </c>
    </row>
    <row r="62" spans="2:10" x14ac:dyDescent="0.75">
      <c r="B62" s="17" t="str">
        <f>Radio!B58</f>
        <v>target.site.notes</v>
      </c>
      <c r="C62" s="17" t="s">
        <v>1233</v>
      </c>
      <c r="E62" s="17" t="str">
        <f t="shared" si="0"/>
        <v>* target.site.notes -&gt; ##34#.note##34#</v>
      </c>
      <c r="G62" t="b">
        <f t="shared" si="1"/>
        <v>1</v>
      </c>
      <c r="H62" t="b">
        <f t="shared" si="2"/>
        <v>1</v>
      </c>
      <c r="I62" t="s">
        <v>1202</v>
      </c>
      <c r="J62" t="s">
        <v>1233</v>
      </c>
    </row>
    <row r="63" spans="2:10" ht="29.5" x14ac:dyDescent="0.75">
      <c r="B63" s="17" t="str">
        <f>Radio!B59</f>
        <v>organAtRisk</v>
      </c>
      <c r="C63" s="17" t="s">
        <v>1238</v>
      </c>
      <c r="E63" s="17" t="str">
        <f t="shared" si="0"/>
        <v>* organAtRisk -&gt; ##34#.extension(http://hl7.org/fhir/StructureDefinition/workflow-supportingInfo).ofType(DocumentReference)##34#</v>
      </c>
      <c r="G63" t="b">
        <f t="shared" si="1"/>
        <v>1</v>
      </c>
      <c r="H63" t="b">
        <f t="shared" si="2"/>
        <v>1</v>
      </c>
      <c r="I63" t="s">
        <v>1203</v>
      </c>
      <c r="J63" t="s">
        <v>1238</v>
      </c>
    </row>
    <row r="64" spans="2:10" x14ac:dyDescent="0.75">
      <c r="B64" s="17" t="str">
        <f>Radio!B60</f>
        <v>organAtRisk.dosimetry</v>
      </c>
      <c r="C64" s="100" t="s">
        <v>1114</v>
      </c>
      <c r="E64" s="17" t="str">
        <f t="shared" si="0"/>
        <v>* organAtRisk.dosimetry -&gt; ##34#.exists()##34#</v>
      </c>
      <c r="G64" t="b">
        <f t="shared" si="1"/>
        <v>1</v>
      </c>
      <c r="H64" t="b">
        <f t="shared" si="2"/>
        <v>1</v>
      </c>
      <c r="I64" t="s">
        <v>1206</v>
      </c>
      <c r="J64" t="s">
        <v>1114</v>
      </c>
    </row>
    <row r="65" spans="2:10" x14ac:dyDescent="0.75">
      <c r="B65" s="17" t="str">
        <f>Radio!B61</f>
        <v>organAtRisk.dosimetryDocument</v>
      </c>
      <c r="C65" s="100" t="s">
        <v>1239</v>
      </c>
      <c r="E65" s="17" t="str">
        <f t="shared" si="0"/>
        <v>* organAtRisk.dosimetryDocument -&gt; ##34#.##34#</v>
      </c>
      <c r="G65" t="b">
        <f t="shared" si="1"/>
        <v>1</v>
      </c>
      <c r="H65" t="b">
        <f t="shared" si="2"/>
        <v>1</v>
      </c>
      <c r="I65" t="s">
        <v>1208</v>
      </c>
      <c r="J65" t="s">
        <v>1239</v>
      </c>
    </row>
    <row r="66" spans="2:10" ht="29.5" x14ac:dyDescent="0.75">
      <c r="B66" s="17" t="str">
        <f>Radio!B62</f>
        <v>files</v>
      </c>
      <c r="C66" s="17" t="s">
        <v>1238</v>
      </c>
      <c r="E66" s="17" t="str">
        <f t="shared" si="0"/>
        <v>* files -&gt; ##34#.extension(http://hl7.org/fhir/StructureDefinition/workflow-supportingInfo).ofType(DocumentReference)##34#</v>
      </c>
      <c r="G66" t="b">
        <f t="shared" si="1"/>
        <v>1</v>
      </c>
      <c r="H66" t="b">
        <f t="shared" si="2"/>
        <v>1</v>
      </c>
      <c r="I66" t="s">
        <v>1211</v>
      </c>
      <c r="J66" t="s">
        <v>1238</v>
      </c>
    </row>
    <row r="67" spans="2:10" x14ac:dyDescent="0.75">
      <c r="B67" s="17" t="str">
        <f>Radio!B63</f>
        <v>notes</v>
      </c>
      <c r="C67" s="17" t="s">
        <v>1233</v>
      </c>
      <c r="E67" s="17" t="str">
        <f t="shared" si="0"/>
        <v>* notes -&gt; ##34#.note##34#</v>
      </c>
      <c r="G67" t="b">
        <f t="shared" si="1"/>
        <v>1</v>
      </c>
      <c r="H67" t="b">
        <f t="shared" si="2"/>
        <v>1</v>
      </c>
      <c r="I67" t="s">
        <v>947</v>
      </c>
      <c r="J67" t="s">
        <v>1233</v>
      </c>
    </row>
    <row r="68" spans="2:10" x14ac:dyDescent="0.75">
      <c r="B68" s="17"/>
      <c r="C68" s="17"/>
      <c r="E68" s="17" t="str">
        <f t="shared" si="0"/>
        <v>*  -&gt; ##34###34#</v>
      </c>
      <c r="G68" t="b">
        <f t="shared" si="1"/>
        <v>1</v>
      </c>
      <c r="H68" t="b">
        <f t="shared" si="2"/>
        <v>1</v>
      </c>
    </row>
    <row r="69" spans="2:10" x14ac:dyDescent="0.75">
      <c r="E69" s="17" t="str">
        <f t="shared" si="0"/>
        <v>*  -&gt; ##34###34#</v>
      </c>
      <c r="G69" t="b">
        <f t="shared" si="1"/>
        <v>1</v>
      </c>
      <c r="H69" t="b">
        <f t="shared" si="2"/>
        <v>1</v>
      </c>
    </row>
    <row r="70" spans="2:10" x14ac:dyDescent="0.75">
      <c r="E70" s="17" t="str">
        <f t="shared" si="0"/>
        <v>*  -&gt; ##34###34#</v>
      </c>
      <c r="G70" t="b">
        <f t="shared" si="1"/>
        <v>1</v>
      </c>
      <c r="H70" t="b">
        <f t="shared" si="2"/>
        <v>1</v>
      </c>
    </row>
    <row r="71" spans="2:10" x14ac:dyDescent="0.75">
      <c r="E71" s="17" t="str">
        <f t="shared" si="0"/>
        <v>*  -&gt; ##34###34#</v>
      </c>
      <c r="G71" t="b">
        <f t="shared" si="1"/>
        <v>1</v>
      </c>
      <c r="H71" t="b">
        <f t="shared" si="2"/>
        <v>1</v>
      </c>
    </row>
    <row r="72" spans="2:10" x14ac:dyDescent="0.75">
      <c r="E72" s="17" t="str">
        <f t="shared" si="0"/>
        <v>*  -&gt; ##34###34#</v>
      </c>
    </row>
    <row r="73" spans="2:10" x14ac:dyDescent="0.75">
      <c r="E73" s="17" t="str">
        <f t="shared" si="0"/>
        <v>*  -&gt; ##34###34#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4D59-921C-4FAA-9A52-3930BB322627}">
  <sheetPr codeName="Foglio14">
    <tabColor theme="9" tint="0.39997558519241921"/>
  </sheetPr>
  <dimension ref="C1:G144"/>
  <sheetViews>
    <sheetView workbookViewId="0">
      <selection activeCell="C145" sqref="C145"/>
    </sheetView>
  </sheetViews>
  <sheetFormatPr defaultRowHeight="14.75" x14ac:dyDescent="0.75"/>
  <cols>
    <col min="3" max="3" width="108.2265625" style="17" customWidth="1"/>
    <col min="7" max="7" width="33.26953125" customWidth="1"/>
  </cols>
  <sheetData>
    <row r="1" spans="3:7" ht="15.5" thickBot="1" x14ac:dyDescent="0.9">
      <c r="C1" s="34" t="str">
        <f>Radio!I1</f>
        <v>// -------------------------------------------------------------------------------</v>
      </c>
    </row>
    <row r="2" spans="3:7" ht="16.75" thickBot="1" x14ac:dyDescent="0.9">
      <c r="C2" s="35" t="str">
        <f>Radio!I2</f>
        <v>//  Logical Model</v>
      </c>
      <c r="G2" s="92" t="str">
        <f>"pcsp-"&amp;Radio!B5&amp;".fsh"</f>
        <v>pcsp-Radiotherapy.fsh</v>
      </c>
    </row>
    <row r="3" spans="3:7" x14ac:dyDescent="0.75">
      <c r="C3" s="35" t="str">
        <f>Radio!I3</f>
        <v>// -------------------------------------------------------------------------------</v>
      </c>
    </row>
    <row r="4" spans="3:7" x14ac:dyDescent="0.75">
      <c r="C4" s="27" t="str">
        <f>Radio!I4</f>
        <v>Logical: Radiotherapy</v>
      </c>
    </row>
    <row r="5" spans="3:7" x14ac:dyDescent="0.75">
      <c r="C5" s="27" t="str">
        <f>Radio!I5</f>
        <v>Id: Radiotherapy</v>
      </c>
    </row>
    <row r="6" spans="3:7" x14ac:dyDescent="0.75">
      <c r="C6" s="27" t="str">
        <f>Radio!I6</f>
        <v>Title: ##34#Radiotherapy##34#</v>
      </c>
    </row>
    <row r="7" spans="3:7" ht="29.5" x14ac:dyDescent="0.75">
      <c r="C7" s="27" t="str">
        <f>Radio!I7</f>
        <v>Description:  ##334#Radiotherapy
Maturity Level: 2 - Ready for Review##334#</v>
      </c>
    </row>
    <row r="8" spans="3:7" ht="29.5" x14ac:dyDescent="0.75">
      <c r="C8" s="17" t="str">
        <f>IF(Radio!I8="*  ..  ##34###34# ##334###334#","//--- END",Radio!I8)</f>
        <v>* relatedDiagnosis 0..1 Identifier ##34#Related Diagnosis##34# ##334#Identifier of the diagnosis for which this radiotherapy is performed##334#</v>
      </c>
    </row>
    <row r="9" spans="3:7" ht="29.5" x14ac:dyDescent="0.75">
      <c r="C9" s="17" t="str">
        <f>IF(Radio!I9="*  ..  ##34###34# ##334###334#","//--- END",Radio!I9)</f>
        <v>* relatedRelapse 0..1 Identifier ##34#Related relapse/progression (after FLT)##34# ##334#Identifier of the relapse/progression (after FLT) for which this radiotherapy is performed##334#</v>
      </c>
    </row>
    <row r="10" spans="3:7" ht="73.75" x14ac:dyDescent="0.75">
      <c r="C10" s="17" t="str">
        <f>IF(Radio!I10="*  ..  ##34###34# ##334###334#","//--- END",Radio!I10)</f>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3:7" ht="29.5" x14ac:dyDescent="0.75">
      <c r="C11" s="17" t="str">
        <f>IF(Radio!I11="*  ..  ##34###34# ##334###334#","//--- END",Radio!I11)</f>
        <v>* istitutionOfTreatment 0..1 BackboneElement ##34#Institution of treatment##34# ##334#Please indicate the institution in which the radiotherapeutic treatment was given##334#</v>
      </c>
    </row>
    <row r="12" spans="3:7" ht="29.5" x14ac:dyDescent="0.75">
      <c r="C12" s="17" t="str">
        <f>IF(Radio!I12="*  ..  ##34###34# ##334###334#","//--- END",Radio!I12)</f>
        <v>* istitutionOfTreatment.description 0..1 string ##34#Institution description##34# ##334#Please provide name, city and countryof the institution##334#</v>
      </c>
    </row>
    <row r="13" spans="3:7" x14ac:dyDescent="0.75">
      <c r="C13" s="17" t="str">
        <f>IF(Radio!I13="*  ..  ##34###34# ##334###334#","//--- END",Radio!I13)</f>
        <v>* istitutionOfTreatment.name 0..1 string ##34#Institution name##34# ##334#Institution name##334#</v>
      </c>
    </row>
    <row r="14" spans="3:7" x14ac:dyDescent="0.75">
      <c r="C14" s="17" t="str">
        <f>IF(Radio!I14="*  ..  ##34###34# ##334###334#","//--- END",Radio!I14)</f>
        <v>* istitutionOfTreatment.address 0..1 BackboneElement ##34#Institution address##34# ##334#Institution address##334#</v>
      </c>
    </row>
    <row r="15" spans="3:7" x14ac:dyDescent="0.75">
      <c r="C15" s="17" t="str">
        <f>IF(Radio!I15="*  ..  ##34###34# ##334###334#","//--- END",Radio!I15)</f>
        <v>* istitutionOfTreatment.address.name 0..1 string ##34#Institution city##34# ##334#Institution city##334#</v>
      </c>
    </row>
    <row r="16" spans="3:7" x14ac:dyDescent="0.75">
      <c r="C16" s="17" t="str">
        <f>IF(Radio!I16="*  ..  ##34###34# ##334###334#","//--- END",Radio!I16)</f>
        <v>* istitutionOfTreatment.address.country 0..1 string ##34#Institution country##34# ##334#Institution country##334#</v>
      </c>
    </row>
    <row r="17" spans="3:3" ht="44.25" x14ac:dyDescent="0.75">
      <c r="C17" s="17" t="str">
        <f>IF(Radio!I17="*  ..  ##34###34# ##334###334#","//--- END",Radio!I17)</f>
        <v>* startDate 1..1 dateTime ##34#Start date##34# ##334#Enter the date on which the first treatment (fraction) of radiotherapy was given, in a DD/MM/YYYY format. If the date is unkown or partially missed insert the year at the best of your knowledge.##334#</v>
      </c>
    </row>
    <row r="18" spans="3:3" ht="59" x14ac:dyDescent="0.75">
      <c r="C18" s="17" t="str">
        <f>IF(Radio!I18="*  ..  ##34###34# ##334###334#","//--- END",Radio!I18)</f>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3:3" ht="132.75" x14ac:dyDescent="0.75">
      <c r="C19" s="17" t="str">
        <f>IF(Radio!I19="*  ..  ##34###34# ##334###334#","//--- END",Radio!I19)</f>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3:3" ht="162.25" x14ac:dyDescent="0.75">
      <c r="C20" s="17" t="str">
        <f>IF(Radio!I20="*  ..  ##34###34# ##334###334#","//--- END",Radio!I20)</f>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3:3" ht="132.75" x14ac:dyDescent="0.75">
      <c r="C21" s="17" t="str">
        <f>IF(Radio!I21="*  ..  ##34###34# ##334###334#","//--- END",Radio!I21)</f>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3:3" ht="118" x14ac:dyDescent="0.75">
      <c r="C22" s="17" t="str">
        <f>IF(Radio!I22="*  ..  ##34###34# ##334###334#","//--- END",Radio!I22)</f>
        <v>* isotopes 0..1 CodeableConcept ##34#Radioactive materials (if brachytherapy)##34# ##334#Specify the radioactive material (isotopes) used: If not listed, select 'Other then specify'
1 =&gt; Iridium (Ir)
2 =&gt; Gold (Au)
3 =&gt; Iodine (I)
4 =&gt; Caesium (Cs)
5 =&gt; Other
-9922 =&gt; Unknown##334#</v>
      </c>
    </row>
    <row r="23" spans="3:3" ht="132.75" x14ac:dyDescent="0.75">
      <c r="C23" s="17" t="str">
        <f>IF(Radio!I23="*  ..  ##34###34# ##334###334#","//--- END",Radio!I23)</f>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3:3" ht="29.5" x14ac:dyDescent="0.75">
      <c r="C24" s="17" t="str">
        <f>IF(Radio!I24="*  ..  ##34###34# ##334###334#","//--- END",Radio!I24)</f>
        <v>* numberOfCourses 0..1 integer ##34#Number of courses  (If metabolic/radionuclide)##34# ##334#For Metabolic/radionuclide therapy##334#</v>
      </c>
    </row>
    <row r="25" spans="3:3" ht="73.75" x14ac:dyDescent="0.75">
      <c r="C25" s="17" t="str">
        <f>IF(Radio!I25="*  ..  ##34###34# ##334###334#","//--- END",Radio!I25)</f>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3:3" ht="132.75" x14ac:dyDescent="0.75">
      <c r="C26" s="17" t="str">
        <f>IF(Radio!I26="*  ..  ##34###34# ##334###334#","//--- END",Radio!I26)</f>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3:3" ht="59" x14ac:dyDescent="0.75">
      <c r="C27" s="17" t="str">
        <f>IF(Radio!I27="*  ..  ##34###34# ##334###334#","//--- END",Radio!I27)</f>
        <v>* target.laterality 0..1 CodeableConcept ##34#Laterality##34# ##334#Report laterality of the radiation.
 R = right,
 L = left,
 B = bilateral##334#</v>
      </c>
    </row>
    <row r="28" spans="3:3" x14ac:dyDescent="0.75">
      <c r="C28" s="17" t="str">
        <f>IF(Radio!I28="*  ..  ##34###34# ##334###334#","//--- END",Radio!I28)</f>
        <v>* target.details 0..1 string ##34#Details##34# ##334#If needed it is possible to add details##334#</v>
      </c>
    </row>
    <row r="29" spans="3:3" ht="44.25" x14ac:dyDescent="0.75">
      <c r="C29" s="17" t="str">
        <f>IF(Radio!I29="*  ..  ##34###34# ##334###334#","//--- END",Radio!I29)</f>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3:3" ht="44.25" x14ac:dyDescent="0.75">
      <c r="C30" s="17" t="str">
        <f>IF(Radio!I30="*  ..  ##34###34# ##334###334#","//--- END",Radio!I30)</f>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3:3" ht="59" x14ac:dyDescent="0.75">
      <c r="C31" s="17" t="str">
        <f>IF(Radio!I31="*  ..  ##34###34# ##334###334#","//--- END",Radio!I31)</f>
        <v>* target.position 0..1 CodeableConcept ##34#Position##34# ##334#Specify whether the radiation was anterior or posterior. 
1 =&gt; Anterior
2 =&gt; Posterior
-9922 = NK##334#</v>
      </c>
    </row>
    <row r="32" spans="3:3" ht="44.25" x14ac:dyDescent="0.75">
      <c r="C32" s="17" t="str">
        <f>IF(Radio!I32="*  ..  ##34###34# ##334###334#","//--- END",Radio!I32)</f>
        <v>* target.totalDose 0..1 BackboneElement ##34#Total dose##34# ##334#Specify the total dose given to the primary radiation therapy site.
If the dose is not known, write NK.##334#</v>
      </c>
    </row>
    <row r="33" spans="3:3" ht="29.5" x14ac:dyDescent="0.75">
      <c r="C33" s="17" t="str">
        <f>IF(Radio!I33="*  ..  ##34###34# ##334###334#","//--- END",Radio!I33)</f>
        <v>* target.totalDose.completionStatus 0..1 CodeableConcept ##34#The reported doses are incomplete (either under- or over-estimated)##34# ##334#Check in case of incomplete doses##334#</v>
      </c>
    </row>
    <row r="34" spans="3:3" ht="29.5" x14ac:dyDescent="0.75">
      <c r="C34" s="17" t="str">
        <f>IF(Radio!I34="*  ..  ##34###34# ##334###334#","//--- END",Radio!I34)</f>
        <v>* target.totalDose.statusReason 0..1 CodeableConcept ##34#Specify reasons why##34# ##334#Specify reasons of incomplete estimated doses##334#</v>
      </c>
    </row>
    <row r="35" spans="3:3" x14ac:dyDescent="0.75">
      <c r="C35" s="17" t="str">
        <f>IF(Radio!I35="*  ..  ##34###34# ##334###334#","//--- END",Radio!I35)</f>
        <v>* target.totalDose.notKnown 0..1 string ##34#Not known dose##34# ##334#Not known dose##334#</v>
      </c>
    </row>
    <row r="36" spans="3:3" ht="29.5" x14ac:dyDescent="0.75">
      <c r="C36" s="17" t="str">
        <f>IF(Radio!I36="*  ..  ##34###34# ##334###334#","//--- END",Radio!I36)</f>
        <v>* target.totalDose.dose 0..1 decimal ##34#Dose##34# ##334#Specify the total dose given to the primary radiation therapy site.##334#</v>
      </c>
    </row>
    <row r="37" spans="3:3" ht="44.25" x14ac:dyDescent="0.75">
      <c r="C37" s="17" t="str">
        <f>IF(Radio!I37="*  ..  ##34###34# ##334###334#","//--- END",Radio!I37)</f>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3:3" ht="29.5" x14ac:dyDescent="0.75">
      <c r="C38" s="17" t="str">
        <f>IF(Radio!I38="*  ..  ##34###34# ##334###334#","//--- END",Radio!I38)</f>
        <v>* target.totalDose.fractions 0..1 integer ##34#Number of fractions (if  external beam)##34# ##334#A FRACTION of radiation treatment is a single attendance for treatment; if 'not known' insert NK##334#</v>
      </c>
    </row>
    <row r="39" spans="3:3" ht="29.5" x14ac:dyDescent="0.75">
      <c r="C39" s="17" t="str">
        <f>IF(Radio!I39="*  ..  ##34###34# ##334###334#","//--- END",Radio!I39)</f>
        <v>* target.boost 0..5 BackboneElement ##34#Boost##34# ##334#A boost is an extra dose of radiotherapy directed to a smaller area inside the primary radiation field. (only if type is External Beam)##334#</v>
      </c>
    </row>
    <row r="40" spans="3:3" ht="59" x14ac:dyDescent="0.75">
      <c r="C40" s="17" t="str">
        <f>IF(Radio!I40="*  ..  ##34###34# ##334###334#","//--- END",Radio!I40)</f>
        <v>* target.boost.type 1..1 CodeableConcept ##34#Type of Boost##34# ##334#Specify radiation type of the boost.
1 =&gt; External Beam
2 =&gt; Brachytherapy
-9922 =&gt; NK  ##334#</v>
      </c>
    </row>
    <row r="41" spans="3:3" ht="29.5" x14ac:dyDescent="0.75">
      <c r="C41" s="17" t="str">
        <f>IF(Radio!I41="*  ..  ##34###34# ##334###334#","//--- END",Radio!I41)</f>
        <v>* target.boost.given 0..1 CodeableConcept ##34#Boost given##34# ##334#Flag indicating if a boost was given, not given or unknown##334#</v>
      </c>
    </row>
    <row r="42" spans="3:3" ht="73.75" x14ac:dyDescent="0.75">
      <c r="C42" s="17" t="str">
        <f>IF(Radio!I42="*  ..  ##34###34# ##334###334#","//--- END",Radio!I42)</f>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3:3" ht="59" x14ac:dyDescent="0.75">
      <c r="C43" s="17" t="str">
        <f>IF(Radio!I43="*  ..  ##34###34# ##334###334#","//--- END",Radio!I43)</f>
        <v>* target.boost.laterality 0..1 CodeableConcept ##34#Laterality##34# ##334#Report laterality of the radiation.
 R = right,
 L = left,
 B = bilateral##334#</v>
      </c>
    </row>
    <row r="44" spans="3:3" x14ac:dyDescent="0.75">
      <c r="C44" s="17" t="str">
        <f>IF(Radio!I44="*  ..  ##34###34# ##334###334#","//--- END",Radio!I44)</f>
        <v>* target.boost.details 0..1 string ##34#Details##34# ##334#If needed it is possible to add details##334#</v>
      </c>
    </row>
    <row r="45" spans="3:3" ht="44.25" x14ac:dyDescent="0.75">
      <c r="C45" s="17" t="str">
        <f>IF(Radio!I45="*  ..  ##34###34# ##334###334#","//--- END",Radio!I45)</f>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3:3" ht="44.25" x14ac:dyDescent="0.75">
      <c r="C46" s="17" t="str">
        <f>IF(Radio!I46="*  ..  ##34###34# ##334###334#","//--- END",Radio!I46)</f>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3:3" ht="73.75" x14ac:dyDescent="0.75">
      <c r="C47" s="17" t="str">
        <f>IF(Radio!I47="*  ..  ##34###34# ##334###334#","//--- END",Radio!I47)</f>
        <v>* target.boost.position 0..1 CodeableConcept ##34#Position##34# ##334#Specify whether the radiation was anterior or posterior. 
1 =&gt; Anterior
2 =&gt; Posterior
-9922 = NK##334#</v>
      </c>
    </row>
    <row r="48" spans="3:3" ht="29.5" x14ac:dyDescent="0.75">
      <c r="C48" s="17" t="str">
        <f>IF(Radio!I48="*  ..  ##34###34# ##334###334#","//--- END",Radio!I48)</f>
        <v>* target.boost.totalDose 1..1 BackboneElement ##34#Total dose##34# ##334#Specify the total dose given to the boost site.##334#</v>
      </c>
    </row>
    <row r="49" spans="3:3" ht="29.5" x14ac:dyDescent="0.75">
      <c r="C49" s="17" t="str">
        <f>IF(Radio!I49="*  ..  ##34###34# ##334###334#","//--- END",Radio!I49)</f>
        <v>* target.boost.totalDose.completionStatus 0..1 CodeableConcept ##34#The reported doses are incomplete (either under- or over-estimated)##34# ##334#Check in case of incomplete doses##334#</v>
      </c>
    </row>
    <row r="50" spans="3:3" ht="29.5" x14ac:dyDescent="0.75">
      <c r="C50" s="17" t="str">
        <f>IF(Radio!I50="*  ..  ##34###34# ##334###334#","//--- END",Radio!I50)</f>
        <v>* target.boost.totalDose.statusReason 0..1 CodeableConcept ##34#Specify reasons why##34# ##334#Specify reasons of incomplete estimated doses##334#</v>
      </c>
    </row>
    <row r="51" spans="3:3" x14ac:dyDescent="0.75">
      <c r="C51" s="17" t="str">
        <f>IF(Radio!I51="*  ..  ##34###34# ##334###334#","//--- END",Radio!I51)</f>
        <v>* target.boost.totalDose.notKnown 0..1 CodeableConcept ##34#Not known dose##34# ##334#Not known dose##334#</v>
      </c>
    </row>
    <row r="52" spans="3:3" x14ac:dyDescent="0.75">
      <c r="C52" s="17" t="str">
        <f>IF(Radio!I52="*  ..  ##34###34# ##334###334#","//--- END",Radio!I52)</f>
        <v>* target.boost.totalDose.dose 0..1 decimal ##34#Dose##34# ##334#Specify the total dose given to the boost site.##334#</v>
      </c>
    </row>
    <row r="53" spans="3:3" ht="44.25" x14ac:dyDescent="0.75">
      <c r="C53" s="17" t="str">
        <f>IF(Radio!I53="*  ..  ##34###34# ##334###334#","//--- END",Radio!I53)</f>
        <v>* target.boost.totalDose.unit 0..1 CodeableConcept ##34#Unit##34# ##334#Specify the unit of the boost in case of external beam radiotherapy as  Gy. 
specify if dose is recorded in bequerels (MBq or GBq) or curies (Ci) or Unkwnon##334#</v>
      </c>
    </row>
    <row r="54" spans="3:3" ht="44.25" x14ac:dyDescent="0.75">
      <c r="C54" s="17" t="str">
        <f>IF(Radio!I54="*  ..  ##34###34# ##334###334#","//--- END",Radio!I54)</f>
        <v>* target.boost.totalDose.fractions 0..1 integer ##34#Number of fractions (if  external beam)##34# ##334#A fraction of radiation treatment is a single attendance for treatment. Please specify the number of fractions given as included in the boost. If not known, insert NK.##334#</v>
      </c>
    </row>
    <row r="55" spans="3:3" ht="29.5" x14ac:dyDescent="0.75">
      <c r="C55" s="17" t="str">
        <f>IF(Radio!I55="*  ..  ##34###34# ##334###334#","//--- END",Radio!I55)</f>
        <v>* target.shielding 0..1 BackboneElement ##34#Shielding##34# ##334#Shielding, in some records this is called “blocking” or “blocks”. ##334#</v>
      </c>
    </row>
    <row r="56" spans="3:3" ht="29.5" x14ac:dyDescent="0.75">
      <c r="C56" s="17" t="str">
        <f>IF(Radio!I56="*  ..  ##34###34# ##334###334#","//--- END",Radio!I56)</f>
        <v>* target.shielding.status 0..1 CodeableConcept ##34#Shielding status##34# ##334#Specify if shielding was used or not. 
Yes;  No;  NK  ##334#</v>
      </c>
    </row>
    <row r="57" spans="3:3" x14ac:dyDescent="0.75">
      <c r="C57" s="17" t="str">
        <f>IF(Radio!I57="*  ..  ##34###34# ##334###334#","//--- END",Radio!I57)</f>
        <v>* target.shielding.position 0..1 string ##34#Position of shielding##34# ##334#Describe the positioning of shielding##334#</v>
      </c>
    </row>
    <row r="58" spans="3:3" ht="29.5" x14ac:dyDescent="0.75">
      <c r="C58" s="17" t="str">
        <f>IF(Radio!I58="*  ..  ##34###34# ##334###334#","//--- END",Radio!I58)</f>
        <v>* target.site.notes 0..1 string ##34#Additional description##34# ##334#Record any available details on the shielded tissue/organ (or size of shielded area).##334#</v>
      </c>
    </row>
    <row r="59" spans="3:3" x14ac:dyDescent="0.75">
      <c r="C59" s="17" t="str">
        <f>IF(Radio!I59="*  ..  ##34###34# ##334###334#","//--- END",Radio!I59)</f>
        <v>* organAtRisk 0..1 BackboneElement ##34#Organ at Risk##34# ##334#Organs at Risk##334#</v>
      </c>
    </row>
    <row r="60" spans="3:3" ht="29.5" x14ac:dyDescent="0.75">
      <c r="C60" s="17" t="str">
        <f>IF(Radio!I60="*  ..  ##34###34# ##334###334#","//--- END",Radio!I60)</f>
        <v>* organAtRisk.dosimetry 0..1 CodeableConcept ##34#Dosimetry on Organ at Risk##34# ##334#Specify if there is available information on Dosimetry of Organs at Risk [Yes/No]##334#</v>
      </c>
    </row>
    <row r="61" spans="3:3" ht="29.5" x14ac:dyDescent="0.75">
      <c r="C61" s="17" t="str">
        <f>IF(Radio!I61="*  ..  ##34###34# ##334###334#","//--- END",Radio!I61)</f>
        <v>* organAtRisk.dosimetryDocument 0..2 Binary ##34#Electronic / scanned version(s) of relevant document(s)##34# ##334#If Dosimetry on Organ at Risk is available, upload here the electronic / scanned version(s) of any relevant document(s)##334#</v>
      </c>
    </row>
    <row r="62" spans="3:3" x14ac:dyDescent="0.75">
      <c r="C62" s="17" t="str">
        <f>IF(Radio!I62="*  ..  ##34###34# ##334###334#","//--- END",Radio!I62)</f>
        <v>* files 0..2 Binary ##34#Upload radiotherapy file (1)##34# ##334#Radiotherapy file(s) can be uploaded here##334#</v>
      </c>
    </row>
    <row r="63" spans="3:3" x14ac:dyDescent="0.75">
      <c r="C63" s="17" t="str">
        <f>IF(Radio!I63="*  ..  ##34###34# ##334###334#","//--- END",Radio!I63)</f>
        <v>* notes 0..1 string ##34#Notes##34# ##334#Notes##334#</v>
      </c>
    </row>
    <row r="64" spans="3:3" x14ac:dyDescent="0.75">
      <c r="C64" s="17" t="str">
        <f>IF(Radio!I64="*  ..  ##34###34# ##334###334#","//--- END",Radio!I64)</f>
        <v>//--- END</v>
      </c>
    </row>
    <row r="65" spans="3:3" x14ac:dyDescent="0.75">
      <c r="C65" s="17" t="str">
        <f>IF(Radio!I65="*  ..  ##34###34# ##334###334#","//--- END",Radio!I65)</f>
        <v>//--- END</v>
      </c>
    </row>
    <row r="66" spans="3:3" x14ac:dyDescent="0.75">
      <c r="C66" s="17" t="str">
        <f>IF(Radio!I66="*  ..  ##34###34# ##334###334#","//--- END",Radio!I66)</f>
        <v>//--- END</v>
      </c>
    </row>
    <row r="74" spans="3:3" x14ac:dyDescent="0.75">
      <c r="C74" s="34" t="str">
        <f>'Radio-Map'!E1</f>
        <v>// -------------------------------------------------------------------------------</v>
      </c>
    </row>
    <row r="75" spans="3:3" x14ac:dyDescent="0.75">
      <c r="C75" s="35" t="str">
        <f>'Radio-Map'!E2</f>
        <v>//  Map to FHIR R4</v>
      </c>
    </row>
    <row r="76" spans="3:3" x14ac:dyDescent="0.75">
      <c r="C76" s="35" t="str">
        <f>'Radio-Map'!E3</f>
        <v>// -------------------------------------------------------------------------------</v>
      </c>
    </row>
    <row r="77" spans="3:3" x14ac:dyDescent="0.75">
      <c r="C77" s="17" t="str">
        <f>'Radio-Map'!E4</f>
        <v>Mapping: Radio2Fhir</v>
      </c>
    </row>
    <row r="78" spans="3:3" x14ac:dyDescent="0.75">
      <c r="C78" s="17" t="str">
        <f>'Radio-Map'!E5</f>
        <v>Id: fhir</v>
      </c>
    </row>
    <row r="79" spans="3:3" x14ac:dyDescent="0.75">
      <c r="C79" s="17" t="str">
        <f>'Radio-Map'!E6</f>
        <v>Title: ##34#Radiotherapy model to PCSP HL7 FHIR R4 Profiles##34#</v>
      </c>
    </row>
    <row r="80" spans="3:3" x14ac:dyDescent="0.75">
      <c r="C80" s="17" t="str">
        <f>'Radio-Map'!E7</f>
        <v>Source: Radiotherapy</v>
      </c>
    </row>
    <row r="81" spans="3:3" x14ac:dyDescent="0.75">
      <c r="C81" s="17" t="str">
        <f>'Radio-Map'!E8</f>
        <v>Target: ##34#hl7.org/fhir/r4##34#</v>
      </c>
    </row>
    <row r="83" spans="3:3" x14ac:dyDescent="0.75">
      <c r="C83" s="17" t="str">
        <f>IF('Radio-Map'!E9="*  -&gt; ##34###34#","// --END",'Radio-Map'!E9)</f>
        <v>* . -&gt; ##34#Procedure.conformsTo('http://hl7.eu/fhir/ig/pcsp/StructureDefinition/Procedure-radiotheraphy-eu-pcsp')##34#</v>
      </c>
    </row>
    <row r="84" spans="3:3" x14ac:dyDescent="0.75">
      <c r="C84" s="17" t="str">
        <f>IF('Radio-Map'!E10="*  -&gt; ##34###34#","// --END",'Radio-Map'!E10)</f>
        <v>* relatedDiagnosis -&gt; ##34#.reasonReference##34#</v>
      </c>
    </row>
    <row r="85" spans="3:3" x14ac:dyDescent="0.75">
      <c r="C85" s="17" t="str">
        <f>IF('Radio-Map'!E11="*  -&gt; ##34###34#","// --END",'Radio-Map'!E11)</f>
        <v>* relatedRelapse -&gt; ##34#.reasonReference##34#</v>
      </c>
    </row>
    <row r="86" spans="3:3" x14ac:dyDescent="0.75">
      <c r="C86" s="17" t="str">
        <f>IF('Radio-Map'!E12="*  -&gt; ##34###34#","// --END",'Radio-Map'!E12)</f>
        <v>* identifier -&gt; ##34#.identifier##34#</v>
      </c>
    </row>
    <row r="87" spans="3:3" ht="29.5" x14ac:dyDescent="0.75">
      <c r="C87" s="17" t="str">
        <f>IF('Radio-Map'!E13="*  -&gt; ##34###34#","// --END",'Radio-Map'!E13)</f>
        <v>* istitutionOfTreatment -&gt; ##34#.location.resolve().conformsTo(http://hl7.eu/fhir/ig/pcsp/StructureDefinition/Location-eu-pcsp)##34#</v>
      </c>
    </row>
    <row r="88" spans="3:3" x14ac:dyDescent="0.75">
      <c r="C88" s="17" t="str">
        <f>IF('Radio-Map'!E14="*  -&gt; ##34###34#","// --END",'Radio-Map'!E14)</f>
        <v>* istitutionOfTreatment.description -&gt; ##34#Location.description##34#</v>
      </c>
    </row>
    <row r="89" spans="3:3" x14ac:dyDescent="0.75">
      <c r="C89" s="17" t="str">
        <f>IF('Radio-Map'!E15="*  -&gt; ##34###34#","// --END",'Radio-Map'!E15)</f>
        <v>* istitutionOfTreatment.name -&gt; ##34#Location.name##34#</v>
      </c>
    </row>
    <row r="90" spans="3:3" x14ac:dyDescent="0.75">
      <c r="C90" s="17" t="str">
        <f>IF('Radio-Map'!E16="*  -&gt; ##34###34#","// --END",'Radio-Map'!E16)</f>
        <v>* istitutionOfTreatment.address -&gt; ##34#Location.address.city##34#</v>
      </c>
    </row>
    <row r="91" spans="3:3" x14ac:dyDescent="0.75">
      <c r="C91" s="17" t="str">
        <f>IF('Radio-Map'!E17="*  -&gt; ##34###34#","// --END",'Radio-Map'!E17)</f>
        <v>// no map</v>
      </c>
    </row>
    <row r="92" spans="3:3" x14ac:dyDescent="0.75">
      <c r="C92" s="17" t="str">
        <f>IF('Radio-Map'!E18="*  -&gt; ##34###34#","// --END",'Radio-Map'!E18)</f>
        <v>* istitutionOfTreatment.address.country -&gt; ##34#Location.address.country##34#</v>
      </c>
    </row>
    <row r="93" spans="3:3" x14ac:dyDescent="0.75">
      <c r="C93" s="17" t="str">
        <f>IF('Radio-Map'!E19="*  -&gt; ##34###34#","// --END",'Radio-Map'!E19)</f>
        <v>* startDate -&gt; ##34#.performedPeriod.start##34#</v>
      </c>
    </row>
    <row r="94" spans="3:3" x14ac:dyDescent="0.75">
      <c r="C94" s="17" t="str">
        <f>IF('Radio-Map'!E20="*  -&gt; ##34###34#","// --END",'Radio-Map'!E20)</f>
        <v>* enddate -&gt; ##34#.performedPeriod.end##34#</v>
      </c>
    </row>
    <row r="95" spans="3:3" x14ac:dyDescent="0.75">
      <c r="C95" s="17" t="str">
        <f>IF('Radio-Map'!E21="*  -&gt; ##34###34#","// --END",'Radio-Map'!E21)</f>
        <v>* type -&gt; ##34#.code##34#</v>
      </c>
    </row>
    <row r="96" spans="3:3" x14ac:dyDescent="0.75">
      <c r="C96" s="17" t="str">
        <f>IF('Radio-Map'!E22="*  -&gt; ##34###34#","// --END",'Radio-Map'!E22)</f>
        <v>* deviceType -&gt; ##34#.usedCode##34#</v>
      </c>
    </row>
    <row r="97" spans="3:3" ht="29.5" x14ac:dyDescent="0.75">
      <c r="C97" s="17" t="str">
        <f>IF('Radio-Map'!E23="*  -&gt; ##34###34#","// --END",'Radio-Map'!E23)</f>
        <v>* brachytherapyType -&gt; ##34#.extension('http://hl7.org/fhir/StructureDefinition/procedure-method').valueCodeableConcept##34#</v>
      </c>
    </row>
    <row r="98" spans="3:3" ht="29.5" x14ac:dyDescent="0.75">
      <c r="C98" s="17" t="str">
        <f>IF('Radio-Map'!E24="*  -&gt; ##34###34#","// --END",'Radio-Map'!E24)</f>
        <v>* isotopes -&gt; ##34#.extension('http://hl7.eu/fhir/ig/pcsp/StructureDefinition/radiotherapy-energy-or-isotope').valueCodeableConcept##34#</v>
      </c>
    </row>
    <row r="99" spans="3:3" ht="29.5" x14ac:dyDescent="0.75">
      <c r="C99" s="17" t="str">
        <f>IF('Radio-Map'!E25="*  -&gt; ##34###34#","// --END",'Radio-Map'!E25)</f>
        <v>* radionuclides -&gt; ##34#.extension('http://hl7.eu/fhir/ig/pcsp/StructureDefinition/radiotherapy-energy-or-isotope').valueCodeableConcept##34#</v>
      </c>
    </row>
    <row r="100" spans="3:3" ht="29.5" x14ac:dyDescent="0.75">
      <c r="C100" s="17" t="str">
        <f>IF('Radio-Map'!E26="*  -&gt; ##34###34#","// --END",'Radio-Map'!E26)</f>
        <v>* numberOfCourses -&gt; ##34#.extension(http://hl7.eu/fhir/ig/pcsp/StructureDefinition/procedure-performedTiming).valueTiming.repeat.count##34#</v>
      </c>
    </row>
    <row r="101" spans="3:3" x14ac:dyDescent="0.75">
      <c r="C101" s="17" t="str">
        <f>IF('Radio-Map'!E27="*  -&gt; ##34###34#","// --END",'Radio-Map'!E27)</f>
        <v>* target -&gt; ##34#.bodySite##34#</v>
      </c>
    </row>
    <row r="102" spans="3:3" ht="29.5" x14ac:dyDescent="0.75">
      <c r="C102" s="17" t="str">
        <f>IF('Radio-Map'!E28="*  -&gt; ##34###34#","// --END",'Radio-Map'!E28)</f>
        <v>* target -&gt; ##34#.extension(http://hl7.eu/fhir/ig/pcsp/StructureDefinition/ResourceRelatedInfo-eu-pcsp).resolve().conformsTo(http://hl7.eu/fhir/ig/pcsp/StructureDefinition/Observation-cumulativeDoseRad-eu-pcsp)##34#</v>
      </c>
    </row>
    <row r="103" spans="3:3" x14ac:dyDescent="0.75">
      <c r="C103" s="17" t="str">
        <f>IF('Radio-Map'!E29="*  -&gt; ##34###34#","// --END",'Radio-Map'!E29)</f>
        <v>* target.site -&gt; ##34#.bodySite##34#</v>
      </c>
    </row>
    <row r="104" spans="3:3" ht="29.5" x14ac:dyDescent="0.75">
      <c r="C104" s="17" t="str">
        <f>IF('Radio-Map'!E30="*  -&gt; ##34###34#","// --END",'Radio-Map'!E30)</f>
        <v>* target.laterality -&gt; ##34#.extension(http://hl7.eu/fhir/ig/pcsp/StructureDefinition/mcode-laterality-qualifier).valueCodeableConcept##34#</v>
      </c>
    </row>
    <row r="105" spans="3:3" x14ac:dyDescent="0.75">
      <c r="C105" s="17" t="str">
        <f>IF('Radio-Map'!E31="*  -&gt; ##34###34#","// --END",'Radio-Map'!E31)</f>
        <v>* target.details -&gt; ##34#.text##34#</v>
      </c>
    </row>
    <row r="106" spans="3:3" ht="29.5" x14ac:dyDescent="0.75">
      <c r="C106" s="17" t="str">
        <f>IF('Radio-Map'!E32="*  -&gt; ##34###34#","// --END",'Radio-Map'!E32)</f>
        <v>* target.from -&gt; ##34#.bodySite.where(extension('mcode-body-location-qualifier').valueCodeableConcept = http://snomed.info/sct#272488003 'From-structure')##34#</v>
      </c>
    </row>
    <row r="107" spans="3:3" ht="29.5" x14ac:dyDescent="0.75">
      <c r="C107" s="17" t="str">
        <f>IF('Radio-Map'!E33="*  -&gt; ##34###34#","// --END",'Radio-Map'!E33)</f>
        <v>* target.to -&gt; ##34#.bodySite.where(extension('mcode-body-location-qualifier').valueCodeableConcept = http://hl7.eu/fhir/ig/pcsp/CodeSystem/cs-generic-eu-pcsp#to-structure 'To-structure')##34#</v>
      </c>
    </row>
    <row r="108" spans="3:3" ht="29.5" x14ac:dyDescent="0.75">
      <c r="C108" s="17" t="str">
        <f>IF('Radio-Map'!E34="*  -&gt; ##34###34#","// --END",'Radio-Map'!E34)</f>
        <v>* target.position -&gt; ##34#.extension('http://hl7.org/fhir/us/mcode/StructureDefinition/mcode-body-location-qualifier').valueCodeableConcept##34#</v>
      </c>
    </row>
    <row r="109" spans="3:3" ht="29.5" x14ac:dyDescent="0.75">
      <c r="C109" s="17" t="str">
        <f>IF('Radio-Map'!E35="*  -&gt; ##34###34#","// --END",'Radio-Map'!E35)</f>
        <v>* target.totalDose -&gt; ##34#.extension(http://hl7.eu/fhir/ig/pcsp/StructureDefinition/ResourceRelatedInfo-eu-pcsp).resolve().conformsTo(http://hl7.eu/fhir/ig/pcsp/StructureDefinition/Observation-cumulativeDoseRad-eu-pcsp)##34#</v>
      </c>
    </row>
    <row r="110" spans="3:3" x14ac:dyDescent="0.75">
      <c r="C110" s="17" t="str">
        <f>IF('Radio-Map'!E36="*  -&gt; ##34###34#","// --END",'Radio-Map'!E36)</f>
        <v>* target.totalDose.completionStatus -&gt; ##34#.status = #preliminary##34#</v>
      </c>
    </row>
    <row r="111" spans="3:3" x14ac:dyDescent="0.75">
      <c r="C111" s="17" t="str">
        <f>IF('Radio-Map'!E37="*  -&gt; ##34###34#","// --END",'Radio-Map'!E37)</f>
        <v>* target.totalDose.statusReason -&gt; ##34#.extension('http://hl7.org/fhir/StructureDefinition/event-statusReason')##34#</v>
      </c>
    </row>
    <row r="112" spans="3:3" ht="29.5" x14ac:dyDescent="0.75">
      <c r="C112" s="17" t="str">
        <f>IF('Radio-Map'!E38="*  -&gt; ##34###34#","// --END",'Radio-Map'!E38)</f>
        <v>* target.totalDose.notKnown -&gt; ##34#.valueCodeableConcept = http://terminology.hl7.org/CodeSystem/data-absent-reason#unknown##34#</v>
      </c>
    </row>
    <row r="113" spans="3:3" x14ac:dyDescent="0.75">
      <c r="C113" s="17" t="str">
        <f>IF('Radio-Map'!E39="*  -&gt; ##34###34#","// --END",'Radio-Map'!E39)</f>
        <v>* target.totalDose.dose -&gt; ##34#.valueQuantity.value##34#</v>
      </c>
    </row>
    <row r="114" spans="3:3" x14ac:dyDescent="0.75">
      <c r="C114" s="17" t="str">
        <f>IF('Radio-Map'!E40="*  -&gt; ##34###34#","// --END",'Radio-Map'!E40)</f>
        <v>* target.totalDose.unit -&gt; ##34#.valueQuantity.code##34#</v>
      </c>
    </row>
    <row r="115" spans="3:3" ht="29.5" x14ac:dyDescent="0.75">
      <c r="C115" s="17" t="str">
        <f>IF('Radio-Map'!E41="*  -&gt; ##34###34#","// --END",'Radio-Map'!E41)</f>
        <v>* target.totalDose.fractions -&gt; ##34#.extension(http://hl7.eu/fhir/ig/pcsp/StructureDefinition/procedure-performedTiming).valueTiming.repeat.count##34#</v>
      </c>
    </row>
    <row r="116" spans="3:3" ht="29.5" x14ac:dyDescent="0.75">
      <c r="C116" s="17" t="str">
        <f>IF('Radio-Map'!E42="*  -&gt; ##34###34#","// --END",'Radio-Map'!E42)</f>
        <v>* target.boost -&gt; ##34#Procedure.conformsTo('http://hl7.eu/fhir/ig/pcsp/StructureDefinition/Procedure-radiotheraphyBoost-eu-pcsp')##34#</v>
      </c>
    </row>
    <row r="117" spans="3:3" x14ac:dyDescent="0.75">
      <c r="C117" s="17" t="str">
        <f>IF('Radio-Map'!E43="*  -&gt; ##34###34#","// --END",'Radio-Map'!E43)</f>
        <v>* target.boost.type -&gt; ##34#.partOf.resolve().code##34#</v>
      </c>
    </row>
    <row r="118" spans="3:3" x14ac:dyDescent="0.75">
      <c r="C118" s="17" t="str">
        <f>IF('Radio-Map'!E44="*  -&gt; ##34###34#","// --END",'Radio-Map'!E44)</f>
        <v>* target.boost.given -&gt; ##34#.status##34#</v>
      </c>
    </row>
    <row r="119" spans="3:3" x14ac:dyDescent="0.75">
      <c r="C119" s="17" t="str">
        <f>IF('Radio-Map'!E45="*  -&gt; ##34###34#","// --END",'Radio-Map'!E45)</f>
        <v>* target.boost.site -&gt; ##34#.bodySite##34#</v>
      </c>
    </row>
    <row r="120" spans="3:3" ht="44.25" x14ac:dyDescent="0.75">
      <c r="C120" s="17" t="str">
        <f>IF('Radio-Map'!E46="*  -&gt; ##34###34#","// --END",'Radio-Map'!E46)</f>
        <v>* target.boost.site -&gt; ##34#.extension(http://hl7.eu/fhir/ig/pcsp/StructureDefinition/ResourceRelatedInfo-eu-pcsp).resolve().conformsTo(http://hl7.eu/fhir/ig/pcsp/StructureDefinition/Observation-cumulativeDoseRad-eu-pcsp).bodySite##34#</v>
      </c>
    </row>
    <row r="121" spans="3:3" ht="29.5" x14ac:dyDescent="0.75">
      <c r="C121" s="17" t="str">
        <f>IF('Radio-Map'!E47="*  -&gt; ##34###34#","// --END",'Radio-Map'!E47)</f>
        <v>* target.boost.laterality -&gt; ##34#.extension(http://hl7.eu/fhir/ig/pcsp/StructureDefinition/mcode-laterality-qualifier).valueCodeableConcept##34#</v>
      </c>
    </row>
    <row r="122" spans="3:3" x14ac:dyDescent="0.75">
      <c r="C122" s="17" t="str">
        <f>IF('Radio-Map'!E48="*  -&gt; ##34###34#","// --END",'Radio-Map'!E48)</f>
        <v>* target.boost.details -&gt; ##34#.note##34#</v>
      </c>
    </row>
    <row r="123" spans="3:3" ht="29.5" x14ac:dyDescent="0.75">
      <c r="C123" s="17" t="str">
        <f>IF('Radio-Map'!E49="*  -&gt; ##34###34#","// --END",'Radio-Map'!E49)</f>
        <v>* target.boost.from -&gt; ##34#.bodySite.where(extension(http://hl7.org/fhir/us/mcode/StructureDefinition/mcode-body-location-qualifier).valueCodeableConcept = http://snomed.info/sct#272488003 'From-structure')##34#</v>
      </c>
    </row>
    <row r="124" spans="3:3" ht="29.5" x14ac:dyDescent="0.75">
      <c r="C124" s="17" t="str">
        <f>IF('Radio-Map'!E50="*  -&gt; ##34###34#","// --END",'Radio-Map'!E50)</f>
        <v>* target.boost.to -&gt; ##34#.bodySite.where(extension(http://hl7.org/fhir/us/mcode/StructureDefinition/mcode-body-location-qualifier).valueCodeableConcept = http://hl7.eu/fhir/ig/pcsp/CodeSystem/cs-generic-eu-pcsp#to-structure 'To-structure')##34#</v>
      </c>
    </row>
    <row r="125" spans="3:3" ht="29.5" x14ac:dyDescent="0.75">
      <c r="C125" s="17" t="str">
        <f>IF('Radio-Map'!E51="*  -&gt; ##34###34#","// --END",'Radio-Map'!E51)</f>
        <v>* target.boost.position -&gt; ##34#.extension(http://hl7.org/fhir/us/mcode/StructureDefinition/mcode-body-location-qualifier).valueCodeableConcept##34#</v>
      </c>
    </row>
    <row r="126" spans="3:3" ht="29.5" x14ac:dyDescent="0.75">
      <c r="C126" s="17" t="str">
        <f>IF('Radio-Map'!E52="*  -&gt; ##34###34#","// --END",'Radio-Map'!E52)</f>
        <v>* target.boost.totalDose -&gt; ##34#.extension(http://hl7.eu/fhir/ig/pcsp/StructureDefinition/ResourceRelatedInfo-eu-pcsp).resolve().conformsTo(http://hl7.eu/fhir/ig/pcsp/StructureDefinition/Observation-cumulativeDoseRad-eu-pcsp)##34#</v>
      </c>
    </row>
    <row r="127" spans="3:3" x14ac:dyDescent="0.75">
      <c r="C127" s="17" t="str">
        <f>IF('Radio-Map'!E53="*  -&gt; ##34###34#","// --END",'Radio-Map'!E53)</f>
        <v>* target.boost.totalDose.completionStatus -&gt; ##34#.status = #preliminary##34#</v>
      </c>
    </row>
    <row r="128" spans="3:3" x14ac:dyDescent="0.75">
      <c r="C128" s="17" t="str">
        <f>IF('Radio-Map'!E54="*  -&gt; ##34###34#","// --END",'Radio-Map'!E54)</f>
        <v>* target.boost.totalDose.statusReason -&gt; ##34#.extension('http://hl7.org/fhir/StructureDefinition/event-statusReason')##34#</v>
      </c>
    </row>
    <row r="129" spans="3:3" ht="29.5" x14ac:dyDescent="0.75">
      <c r="C129" s="17" t="str">
        <f>IF('Radio-Map'!E55="*  -&gt; ##34###34#","// --END",'Radio-Map'!E55)</f>
        <v>* target.boost.totalDose.notKnown -&gt; ##34#.valueCodeableConcept = http://terminology.hl7.org/CodeSystem/data-absent-reason#unknown##34#</v>
      </c>
    </row>
    <row r="130" spans="3:3" x14ac:dyDescent="0.75">
      <c r="C130" s="17" t="str">
        <f>IF('Radio-Map'!E56="*  -&gt; ##34###34#","// --END",'Radio-Map'!E56)</f>
        <v>* target.boost.totalDose.dose -&gt; ##34#.valueQuantity.value##34#</v>
      </c>
    </row>
    <row r="131" spans="3:3" x14ac:dyDescent="0.75">
      <c r="C131" s="17" t="str">
        <f>IF('Radio-Map'!E57="*  -&gt; ##34###34#","// --END",'Radio-Map'!E57)</f>
        <v>* target.boost.totalDose.unit -&gt; ##34#.valueQuantity.code##34#</v>
      </c>
    </row>
    <row r="132" spans="3:3" ht="29.5" x14ac:dyDescent="0.75">
      <c r="C132" s="17" t="str">
        <f>IF('Radio-Map'!E58="*  -&gt; ##34###34#","// --END",'Radio-Map'!E58)</f>
        <v>* target.boost.totalDose.fractions -&gt; ##34#.extension(http://hl7.eu/fhir/ig/pcsp/StructureDefinition/procedure-performedTiming).valueTiming.repeat.count##34#</v>
      </c>
    </row>
    <row r="133" spans="3:3" ht="29.5" x14ac:dyDescent="0.75">
      <c r="C133" s="17" t="str">
        <f>IF('Radio-Map'!E59="*  -&gt; ##34###34#","// --END",'Radio-Map'!E59)</f>
        <v>* target.shielding -&gt; ##34#Procedure.conformsTo('http://hl7.eu/fhir/ig/pcsp/StructureDefinition/Procedure-radiotheraphyShield-eu-pcsp')##34#</v>
      </c>
    </row>
    <row r="134" spans="3:3" x14ac:dyDescent="0.75">
      <c r="C134" s="17" t="str">
        <f>IF('Radio-Map'!E60="*  -&gt; ##34###34#","// --END",'Radio-Map'!E60)</f>
        <v>* target.shielding.status -&gt; ##34#.status##34#</v>
      </c>
    </row>
    <row r="135" spans="3:3" x14ac:dyDescent="0.75">
      <c r="C135" s="17" t="str">
        <f>IF('Radio-Map'!E61="*  -&gt; ##34###34#","// --END",'Radio-Map'!E61)</f>
        <v>* target.shielding.position -&gt; ##34#.bodySite##34#</v>
      </c>
    </row>
    <row r="136" spans="3:3" x14ac:dyDescent="0.75">
      <c r="C136" s="17" t="str">
        <f>IF('Radio-Map'!E62="*  -&gt; ##34###34#","// --END",'Radio-Map'!E62)</f>
        <v>* target.site.notes -&gt; ##34#.note##34#</v>
      </c>
    </row>
    <row r="137" spans="3:3" ht="29.5" x14ac:dyDescent="0.75">
      <c r="C137" s="17" t="str">
        <f>IF('Radio-Map'!E63="*  -&gt; ##34###34#","// --END",'Radio-Map'!E63)</f>
        <v>* organAtRisk -&gt; ##34#.extension(http://hl7.org/fhir/StructureDefinition/workflow-supportingInfo).ofType(DocumentReference)##34#</v>
      </c>
    </row>
    <row r="138" spans="3:3" x14ac:dyDescent="0.75">
      <c r="C138" s="17" t="str">
        <f>IF('Radio-Map'!E64="*  -&gt; ##34###34#","// --END",'Radio-Map'!E64)</f>
        <v>* organAtRisk.dosimetry -&gt; ##34#.exists()##34#</v>
      </c>
    </row>
    <row r="139" spans="3:3" x14ac:dyDescent="0.75">
      <c r="C139" s="17" t="str">
        <f>IF('Radio-Map'!E65="*  -&gt; ##34###34#","// --END",'Radio-Map'!E65)</f>
        <v>* organAtRisk.dosimetryDocument -&gt; ##34#.##34#</v>
      </c>
    </row>
    <row r="140" spans="3:3" x14ac:dyDescent="0.75">
      <c r="C140" s="17" t="str">
        <f>IF('Radio-Map'!E66="*  -&gt; ##34###34#","// --END",'Radio-Map'!E66)</f>
        <v>* files -&gt; ##34#.extension(http://hl7.org/fhir/StructureDefinition/workflow-supportingInfo).ofType(DocumentReference)##34#</v>
      </c>
    </row>
    <row r="141" spans="3:3" x14ac:dyDescent="0.75">
      <c r="C141" s="17" t="str">
        <f>IF('Radio-Map'!E67="*  -&gt; ##34###34#","// --END",'Radio-Map'!E67)</f>
        <v>* notes -&gt; ##34#.note##34#</v>
      </c>
    </row>
    <row r="142" spans="3:3" x14ac:dyDescent="0.75">
      <c r="C142" s="17" t="str">
        <f>IF('Radio-Map'!E68="*  -&gt; ##34###34#","// --END",'Radio-Map'!E68)</f>
        <v>// --END</v>
      </c>
    </row>
    <row r="143" spans="3:3" x14ac:dyDescent="0.75">
      <c r="C143" s="17" t="str">
        <f>IF('Radio-Map'!E69="*  -&gt; ##34###34#","// --END",'Radio-Map'!E69)</f>
        <v>// --END</v>
      </c>
    </row>
    <row r="144" spans="3:3" x14ac:dyDescent="0.75">
      <c r="C144" s="17" t="str">
        <f>IF('Radio-Map'!E70="*  -&gt; ##34###34#","// --END",'Radio-Map'!E70)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8B0D7-7606-41AC-9B8B-4AFB7627D2F9}">
  <sheetPr codeName="Foglio42">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MajorSurgery</v>
      </c>
      <c r="I4" s="27" t="str">
        <f>CONCATENATE("Logical: ",B4)</f>
        <v>Logical: MajorSurgery</v>
      </c>
    </row>
    <row r="5" spans="1:11" x14ac:dyDescent="0.75">
      <c r="A5" s="22" t="s">
        <v>76</v>
      </c>
      <c r="B5" t="s">
        <v>1304</v>
      </c>
      <c r="I5" s="27" t="str">
        <f>CONCATENATE("Id: ",B5)</f>
        <v>Id: MajorSurgery</v>
      </c>
    </row>
    <row r="6" spans="1:11" x14ac:dyDescent="0.75">
      <c r="A6" s="22" t="s">
        <v>11</v>
      </c>
      <c r="B6" t="s">
        <v>857</v>
      </c>
      <c r="I6" s="28" t="str">
        <f>CONCATENATE("Title: ##34#",B6,"##34#")</f>
        <v>Title: ##34#Major Surgery##34#</v>
      </c>
    </row>
    <row r="7" spans="1:11" ht="30.25" thickBot="1" x14ac:dyDescent="0.9">
      <c r="A7" s="23" t="s">
        <v>4</v>
      </c>
      <c r="B7" t="s">
        <v>1303</v>
      </c>
      <c r="C7" s="12" t="s">
        <v>5</v>
      </c>
      <c r="D7" s="2" t="s">
        <v>6</v>
      </c>
      <c r="E7" s="3" t="s">
        <v>7</v>
      </c>
      <c r="F7" s="3" t="s">
        <v>8</v>
      </c>
      <c r="G7" s="3" t="s">
        <v>9</v>
      </c>
      <c r="I7" s="28" t="str">
        <f>CONCATENATE("Description: "," ##334#",B7,"##334#",)</f>
        <v>Description:  ##334#Major Surgery.
Maturity Level: 2 - Ready for Review##334#</v>
      </c>
    </row>
    <row r="8" spans="1:11" ht="59" x14ac:dyDescent="0.75">
      <c r="A8" s="8">
        <v>1</v>
      </c>
      <c r="B8" s="86" t="s">
        <v>72</v>
      </c>
      <c r="C8" s="86" t="s">
        <v>149</v>
      </c>
      <c r="D8" s="17" t="s">
        <v>583</v>
      </c>
      <c r="E8" s="8">
        <v>0</v>
      </c>
      <c r="F8" s="8">
        <v>1</v>
      </c>
      <c r="G8" s="8" t="s">
        <v>0</v>
      </c>
      <c r="H8" s="25"/>
      <c r="I8" s="17" t="str">
        <f>CONCATENATE("* ",B8, " ",E8,"..",F8," ",G8," ##34#",C8,"##34# ##334#",D8,"##334#")</f>
        <v>* relatedDiagnosis 0..1 Identifier ##34#Progressive number of diagnosis##34# ##334#Progressive number of diagnosis (1=first; 2= second; 3 = third; …).  
In this field must be reported the ordinal number of the tumor diagnosis for which the surgery was performed##334#</v>
      </c>
    </row>
    <row r="9" spans="1:11" ht="44.25" x14ac:dyDescent="0.75">
      <c r="A9" s="8">
        <v>2</v>
      </c>
      <c r="B9" s="86" t="s">
        <v>1121</v>
      </c>
      <c r="C9" s="86" t="s">
        <v>291</v>
      </c>
      <c r="D9" s="17" t="s">
        <v>291</v>
      </c>
      <c r="E9" s="8">
        <v>0</v>
      </c>
      <c r="F9" s="8">
        <v>1</v>
      </c>
      <c r="G9" s="8" t="s">
        <v>0</v>
      </c>
      <c r="H9" s="25"/>
      <c r="I9" s="17" t="str">
        <f t="shared" ref="I9:I41" si="0">CONCATENATE("* ",B9, " ",E9,"..",F9," ",G9," ##34#",C9,"##34# ##334#",D9,"##334#")</f>
        <v>* relatedRelapse 0..1 Identifier ##34#Progressive number of relapse/progression (after FLT)##34# ##334#Progressive number of relapse/progression (after FLT)##334#</v>
      </c>
    </row>
    <row r="10" spans="1:11" ht="59" x14ac:dyDescent="0.75">
      <c r="A10" s="8">
        <v>3</v>
      </c>
      <c r="B10" s="8" t="s">
        <v>12</v>
      </c>
      <c r="C10" s="8" t="s">
        <v>584</v>
      </c>
      <c r="D10" s="17" t="s">
        <v>586</v>
      </c>
      <c r="E10" s="8">
        <v>0</v>
      </c>
      <c r="F10" s="8" t="s">
        <v>851</v>
      </c>
      <c r="G10" s="8" t="s">
        <v>0</v>
      </c>
      <c r="H10" s="25"/>
      <c r="I10" s="17" t="str">
        <f t="shared" si="0"/>
        <v>* identifier 0..* Identifier ##34#Progressive Surgery number##34# ##334#Progressive number of surgeries (1=first; 2= second; 3 = third; …).
In this field must be reported the ordinal number of the surgeries given. ##334#</v>
      </c>
    </row>
    <row r="11" spans="1:11" ht="44.25" x14ac:dyDescent="0.75">
      <c r="A11" s="8">
        <v>4</v>
      </c>
      <c r="B11" s="17" t="s">
        <v>1037</v>
      </c>
      <c r="C11" s="17" t="s">
        <v>1038</v>
      </c>
      <c r="D11" s="17" t="s">
        <v>588</v>
      </c>
      <c r="E11" s="8">
        <v>0</v>
      </c>
      <c r="F11" s="8">
        <v>1</v>
      </c>
      <c r="G11" s="8" t="s">
        <v>841</v>
      </c>
      <c r="H11" s="25"/>
      <c r="I11" s="17" t="str">
        <f t="shared" si="0"/>
        <v>* istitutionOfTreatment 0..1 BackboneElement ##34#Institution of treatment##34# ##334#Please Identify the institution were surgery was performed##334#</v>
      </c>
    </row>
    <row r="12" spans="1:11" ht="29.5" x14ac:dyDescent="0.75">
      <c r="A12" s="8">
        <v>5</v>
      </c>
      <c r="B12" s="17" t="s">
        <v>1039</v>
      </c>
      <c r="C12" s="17" t="s">
        <v>1040</v>
      </c>
      <c r="D12" s="17" t="s">
        <v>1040</v>
      </c>
      <c r="E12" s="8">
        <v>0</v>
      </c>
      <c r="F12" s="8">
        <v>1</v>
      </c>
      <c r="G12" s="8" t="s">
        <v>2</v>
      </c>
      <c r="H12" s="25"/>
      <c r="I12" s="17" t="str">
        <f t="shared" si="0"/>
        <v>* istitutionOfTreatment.description 0..1 string ##34#Institution description##34# ##334#Institution description##334#</v>
      </c>
    </row>
    <row r="13" spans="1:11" ht="29.5" x14ac:dyDescent="0.75">
      <c r="A13" s="8">
        <v>6</v>
      </c>
      <c r="B13" s="17" t="s">
        <v>1042</v>
      </c>
      <c r="C13" s="17" t="s">
        <v>1043</v>
      </c>
      <c r="D13" s="17" t="s">
        <v>1043</v>
      </c>
      <c r="E13" s="8">
        <v>0</v>
      </c>
      <c r="F13" s="8">
        <v>1</v>
      </c>
      <c r="G13" s="8" t="s">
        <v>2</v>
      </c>
      <c r="H13" s="25"/>
      <c r="I13" s="17" t="str">
        <f t="shared" si="0"/>
        <v>* istitutionOfTreatment.name 0..1 string ##34#Institution name##34# ##334#Institution name##334#</v>
      </c>
    </row>
    <row r="14" spans="1:11" ht="29.5" x14ac:dyDescent="0.75">
      <c r="A14" s="8">
        <v>7</v>
      </c>
      <c r="B14" s="17" t="s">
        <v>1044</v>
      </c>
      <c r="C14" s="17" t="s">
        <v>1045</v>
      </c>
      <c r="D14" s="17" t="s">
        <v>1045</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1046</v>
      </c>
      <c r="C15" s="17" t="s">
        <v>1047</v>
      </c>
      <c r="D15" s="17" t="s">
        <v>1047</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1048</v>
      </c>
      <c r="C16" s="17" t="s">
        <v>1049</v>
      </c>
      <c r="D16" s="17" t="s">
        <v>1049</v>
      </c>
      <c r="E16" s="8">
        <v>0</v>
      </c>
      <c r="F16" s="8">
        <v>1</v>
      </c>
      <c r="G16" s="8" t="s">
        <v>2</v>
      </c>
      <c r="I16" s="17" t="str">
        <f t="shared" si="0"/>
        <v>* istitutionOfTreatment.address.country 0..1 string ##34#Institution country##34# ##334#Institution country##334#</v>
      </c>
    </row>
    <row r="17" spans="1:9" ht="44.25" x14ac:dyDescent="0.75">
      <c r="A17" s="8">
        <v>10</v>
      </c>
      <c r="B17" s="8" t="s">
        <v>3</v>
      </c>
      <c r="C17" s="8" t="s">
        <v>1305</v>
      </c>
      <c r="D17" s="17" t="s">
        <v>592</v>
      </c>
      <c r="E17" s="8">
        <v>0</v>
      </c>
      <c r="F17" s="8">
        <v>1</v>
      </c>
      <c r="G17" s="8" t="s">
        <v>906</v>
      </c>
      <c r="I17" s="17" t="str">
        <f t="shared" si="0"/>
        <v>* date 0..1 dateTime ##34#Date of surgery##34# ##334#Date of surgery (dd/mm/yyyy). If the date is unkown or partially missed insert the year at the best of your knowledge.##334#</v>
      </c>
    </row>
    <row r="18" spans="1:9" ht="44.25" x14ac:dyDescent="0.75">
      <c r="A18" s="8">
        <v>11</v>
      </c>
      <c r="B18" s="8" t="s">
        <v>914</v>
      </c>
      <c r="C18" s="8" t="s">
        <v>1306</v>
      </c>
      <c r="D18" s="17" t="s">
        <v>595</v>
      </c>
      <c r="E18" s="8">
        <v>0</v>
      </c>
      <c r="F18" s="8">
        <v>1</v>
      </c>
      <c r="G18" s="8" t="s">
        <v>2</v>
      </c>
      <c r="I18" s="17" t="str">
        <f t="shared" si="0"/>
        <v>* description 0..1 string ##34#Surgery description##34# ##334#Please describe the type of surgery (is a free text section, no coding). In case of surgery on pair organs specify which organ (right or left) was operated.##334#</v>
      </c>
    </row>
    <row r="19" spans="1:9" ht="59" x14ac:dyDescent="0.75">
      <c r="A19" s="8">
        <v>12</v>
      </c>
      <c r="B19" s="17" t="s">
        <v>1307</v>
      </c>
      <c r="C19" s="17" t="s">
        <v>1308</v>
      </c>
      <c r="D19" s="17" t="s">
        <v>1309</v>
      </c>
      <c r="E19" s="8">
        <v>0</v>
      </c>
      <c r="F19" s="8" t="s">
        <v>851</v>
      </c>
      <c r="G19" s="8" t="s">
        <v>1</v>
      </c>
      <c r="I19" s="17" t="str">
        <f t="shared" si="0"/>
        <v>* affectedOrgan 0..* CodeableConcept ##34#Affected Organs##34# ##334#Was one of these organs involved ? 
(Oesophagus; Abdomen; Brain; Face; Liver; Spine; Spinal Cord; Sympathetic nerves; Chest/thorax; Pelvis)##334#</v>
      </c>
    </row>
    <row r="20" spans="1:9" ht="191.75" x14ac:dyDescent="0.75">
      <c r="A20" s="8">
        <v>13</v>
      </c>
      <c r="B20" s="81" t="s">
        <v>1310</v>
      </c>
      <c r="C20" s="8" t="s">
        <v>626</v>
      </c>
      <c r="D20" s="17" t="s">
        <v>1311</v>
      </c>
      <c r="E20" s="8">
        <v>0</v>
      </c>
      <c r="F20" s="8" t="s">
        <v>851</v>
      </c>
      <c r="G20" s="8" t="s">
        <v>1</v>
      </c>
      <c r="I20" s="17" t="str">
        <f t="shared" si="0"/>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1:9" ht="29.5" x14ac:dyDescent="0.75">
      <c r="A21" s="8">
        <v>14</v>
      </c>
      <c r="B21" s="8" t="s">
        <v>1312</v>
      </c>
      <c r="C21" s="8" t="s">
        <v>1313</v>
      </c>
      <c r="D21" s="17" t="s">
        <v>641</v>
      </c>
      <c r="E21" s="8">
        <v>0</v>
      </c>
      <c r="F21" s="8" t="s">
        <v>851</v>
      </c>
      <c r="G21" s="8" t="s">
        <v>841</v>
      </c>
      <c r="I21" s="17" t="str">
        <f t="shared" si="0"/>
        <v>* shuntApplication 0..* BackboneElement ##34#Shunt application##34# ##334#Please report if a cerebrovascular shunt was inserted ##334#</v>
      </c>
    </row>
    <row r="22" spans="1:9" ht="132.75" x14ac:dyDescent="0.75">
      <c r="A22" s="8">
        <v>15</v>
      </c>
      <c r="B22" s="17" t="s">
        <v>1314</v>
      </c>
      <c r="C22" s="8" t="s">
        <v>1315</v>
      </c>
      <c r="D22" s="17" t="s">
        <v>1316</v>
      </c>
      <c r="E22" s="8">
        <v>0</v>
      </c>
      <c r="F22" s="8">
        <v>1</v>
      </c>
      <c r="G22" s="8" t="s">
        <v>1</v>
      </c>
      <c r="I22" s="17" t="str">
        <f t="shared" si="0"/>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1:9" ht="103.25" x14ac:dyDescent="0.75">
      <c r="A23" s="8">
        <v>16</v>
      </c>
      <c r="B23" s="17" t="s">
        <v>1317</v>
      </c>
      <c r="C23" s="17" t="s">
        <v>1318</v>
      </c>
      <c r="D23" s="17" t="s">
        <v>1319</v>
      </c>
      <c r="E23" s="8">
        <v>0</v>
      </c>
      <c r="F23" s="8">
        <v>1</v>
      </c>
      <c r="G23" s="8" t="s">
        <v>1</v>
      </c>
      <c r="I23" s="17" t="str">
        <f t="shared" si="0"/>
        <v>* shuntApplication.laterality 0..1 CodeableConcept ##34#Laterality of shunt##34# ##334#Please specify the laterality of the shunt
1 = right
2= left
3 = midline
-9911 = not applicable
-9922 =&gt; NK##334#</v>
      </c>
    </row>
    <row r="24" spans="1:9" ht="88.5" x14ac:dyDescent="0.75">
      <c r="A24" s="8">
        <v>17</v>
      </c>
      <c r="B24" s="8" t="s">
        <v>1320</v>
      </c>
      <c r="C24" s="8" t="s">
        <v>1321</v>
      </c>
      <c r="D24" s="17" t="s">
        <v>1322</v>
      </c>
      <c r="E24" s="8">
        <v>0</v>
      </c>
      <c r="F24" s="8">
        <v>1</v>
      </c>
      <c r="G24" s="8" t="s">
        <v>1</v>
      </c>
      <c r="I24" s="17" t="str">
        <f t="shared" si="0"/>
        <v>* shuntApplication.isRemoved 0..1 CodeableConcept ##34#In place or removed ?##34# ##334#Define if it is still in place or is already removed 
1 =&gt; Still in place
2 =&gt; Removed
 -9911 =&gt; NA
 -9922 =&gt; NK##334#</v>
      </c>
    </row>
    <row r="25" spans="1:9" ht="103.25" x14ac:dyDescent="0.75">
      <c r="A25" s="8">
        <v>18</v>
      </c>
      <c r="B25" s="8" t="s">
        <v>1323</v>
      </c>
      <c r="C25" s="8" t="s">
        <v>1324</v>
      </c>
      <c r="D25" s="17" t="s">
        <v>1325</v>
      </c>
      <c r="E25" s="8">
        <v>0</v>
      </c>
      <c r="F25" s="8">
        <v>1</v>
      </c>
      <c r="G25" s="8" t="s">
        <v>1</v>
      </c>
      <c r="I25" s="17" t="str">
        <f t="shared" si="0"/>
        <v>* amputation 0..1 CodeableConcept ##34#Amputation##34# ##334#Here it is requested only a yes or no. Details should be reported in the surgery description 
1 =&gt; Yes
2 =&gt; No
-9911 =&gt; Not applicable
-9922 =&gt; NK ##334#</v>
      </c>
    </row>
    <row r="26" spans="1:9" ht="29.5" x14ac:dyDescent="0.75">
      <c r="A26" s="8">
        <v>19</v>
      </c>
      <c r="B26" s="8" t="s">
        <v>1326</v>
      </c>
      <c r="C26" s="8" t="s">
        <v>1327</v>
      </c>
      <c r="D26" s="8" t="s">
        <v>1327</v>
      </c>
      <c r="E26" s="8">
        <v>0</v>
      </c>
      <c r="F26" s="8">
        <v>1</v>
      </c>
      <c r="G26" s="8" t="s">
        <v>841</v>
      </c>
      <c r="I26" s="17" t="str">
        <f t="shared" si="0"/>
        <v>* prothesis 0..1 BackboneElement ##34#Prothesis##34# ##334#Prothesis##334#</v>
      </c>
    </row>
    <row r="27" spans="1:9" ht="44.25" x14ac:dyDescent="0.75">
      <c r="A27" s="8">
        <v>20</v>
      </c>
      <c r="B27" s="8" t="s">
        <v>1328</v>
      </c>
      <c r="C27" s="8" t="s">
        <v>1329</v>
      </c>
      <c r="D27" s="17" t="s">
        <v>663</v>
      </c>
      <c r="E27" s="8">
        <v>0</v>
      </c>
      <c r="F27" s="8">
        <v>1</v>
      </c>
      <c r="G27" s="8" t="s">
        <v>1</v>
      </c>
      <c r="I27" s="17" t="str">
        <f t="shared" si="0"/>
        <v>* prothesis.status 0..1 CodeableConcept ##34#status##34# ##334#Please state if the survivor has a prosthesis either internal (e.g. hip replacement) or external (e.g. artificial arm)##334#</v>
      </c>
    </row>
    <row r="28" spans="1:9" ht="103.25" x14ac:dyDescent="0.75">
      <c r="A28" s="8">
        <v>21</v>
      </c>
      <c r="B28" s="8" t="s">
        <v>1330</v>
      </c>
      <c r="C28" s="8" t="s">
        <v>1331</v>
      </c>
      <c r="D28" s="17" t="s">
        <v>1332</v>
      </c>
      <c r="E28" s="8">
        <v>0</v>
      </c>
      <c r="F28" s="8">
        <v>1</v>
      </c>
      <c r="G28" s="8" t="s">
        <v>1</v>
      </c>
      <c r="I28" s="17" t="str">
        <f t="shared" si="0"/>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1:9" ht="29.5" x14ac:dyDescent="0.75">
      <c r="A29" s="8">
        <v>22</v>
      </c>
      <c r="B29" s="8" t="s">
        <v>1333</v>
      </c>
      <c r="C29" s="8" t="s">
        <v>1334</v>
      </c>
      <c r="D29" s="8" t="s">
        <v>1334</v>
      </c>
      <c r="E29" s="8">
        <v>0</v>
      </c>
      <c r="F29" s="8">
        <v>1</v>
      </c>
      <c r="G29" s="8" t="s">
        <v>841</v>
      </c>
      <c r="I29" s="17" t="str">
        <f t="shared" si="0"/>
        <v>* colostomy 0..1 BackboneElement ##34#Colostomy##34# ##334#Colostomy##334#</v>
      </c>
    </row>
    <row r="30" spans="1:9" ht="44.25" x14ac:dyDescent="0.75">
      <c r="A30" s="8">
        <v>23</v>
      </c>
      <c r="B30" s="8" t="s">
        <v>1335</v>
      </c>
      <c r="C30" s="8" t="s">
        <v>1329</v>
      </c>
      <c r="D30" s="17" t="s">
        <v>672</v>
      </c>
      <c r="E30" s="8">
        <v>0</v>
      </c>
      <c r="F30" s="8">
        <v>1</v>
      </c>
      <c r="G30" s="8" t="s">
        <v>1</v>
      </c>
      <c r="I30" s="17" t="str">
        <f t="shared" si="0"/>
        <v>* colostomy.status 0..1 CodeableConcept ##34#status##34# ##334#State if a colostomy was created. Details should be reported in the surgery section.##334#</v>
      </c>
    </row>
    <row r="31" spans="1:9" ht="88.5" x14ac:dyDescent="0.75">
      <c r="A31" s="8">
        <v>24</v>
      </c>
      <c r="B31" s="8" t="s">
        <v>1336</v>
      </c>
      <c r="C31" s="8" t="s">
        <v>1321</v>
      </c>
      <c r="D31" s="17" t="s">
        <v>1337</v>
      </c>
      <c r="E31" s="8">
        <v>0</v>
      </c>
      <c r="F31" s="8">
        <v>1</v>
      </c>
      <c r="G31" s="8" t="s">
        <v>1</v>
      </c>
      <c r="I31" s="17" t="str">
        <f t="shared" si="0"/>
        <v>* colostomy.isRemoved 0..1 CodeableConcept ##34#In place or removed ?##34# ##334#State if a colostomy was created. Details should be reported in the surgery section.
1 =&gt; Still in place
2 =&gt; Removed
-9922 =&gt;NK##334#</v>
      </c>
    </row>
    <row r="32" spans="1:9" ht="88.5" x14ac:dyDescent="0.75">
      <c r="A32" s="8">
        <v>25</v>
      </c>
      <c r="B32" s="8" t="s">
        <v>1338</v>
      </c>
      <c r="C32" s="8" t="s">
        <v>1339</v>
      </c>
      <c r="D32" s="89" t="s">
        <v>1340</v>
      </c>
      <c r="E32" s="8">
        <v>0</v>
      </c>
      <c r="F32" s="8">
        <v>1</v>
      </c>
      <c r="G32" s="8" t="s">
        <v>1</v>
      </c>
      <c r="I32" s="17" t="str">
        <f t="shared" si="0"/>
        <v>* gastrostomy 0..1 CodeableConcept ##34#Gastrostomy##34# ##334#State if a gastrostomy was created. Details should be reported in the surgery section.
1 =&gt; Yes
2 =&gt; No
-9911 =&gt; Not applicable
-9922 =&gt;NK##334#</v>
      </c>
    </row>
    <row r="33" spans="1:9" x14ac:dyDescent="0.75">
      <c r="A33" s="8">
        <v>26</v>
      </c>
      <c r="B33" s="8"/>
      <c r="C33" s="17"/>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9"/>
      <c r="D37" s="89"/>
      <c r="E37" s="8"/>
      <c r="F37" s="8"/>
      <c r="G37" s="8"/>
      <c r="I37" s="17" t="str">
        <f t="shared" si="0"/>
        <v>*  ..  ##34###34# ##334###334#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BD2D-59BB-4A7A-8370-33E6BB85990F}">
  <sheetPr codeName="Foglio44"/>
  <dimension ref="A1:O58"/>
  <sheetViews>
    <sheetView workbookViewId="0">
      <selection activeCell="E17" sqref="E17"/>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
        <v>1353</v>
      </c>
      <c r="E4" s="30" t="str">
        <f>CONCATENATE("Mapping: ",C4)</f>
        <v>Mapping: Surgery2Fhir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MajorSurgery model to PCSP HL7 FHIR R4 Profiles</v>
      </c>
      <c r="E6" s="31" t="str">
        <f>CONCATENATE("Title: ##34#",C6,"##34#")</f>
        <v>Title: ##34#MajorSurgery model to PCSP HL7 FHIR R4 Profiles##34#</v>
      </c>
      <c r="G6" s="1"/>
      <c r="H6" s="9"/>
      <c r="I6" s="9"/>
      <c r="J6" s="9"/>
      <c r="K6" s="9"/>
      <c r="L6" s="9"/>
      <c r="M6" s="9"/>
      <c r="N6" s="9"/>
      <c r="O6" s="9"/>
    </row>
    <row r="7" spans="1:15" ht="15.5" thickBot="1" x14ac:dyDescent="0.9">
      <c r="B7" s="94" t="s">
        <v>78</v>
      </c>
      <c r="C7" s="91" t="str">
        <f>B9</f>
        <v>MajorSurgery</v>
      </c>
      <c r="E7" s="31" t="str">
        <f>CONCATENATE("Source: ",C7)</f>
        <v>Source: MajorSurgery</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44.25" x14ac:dyDescent="0.75">
      <c r="A9" s="8"/>
      <c r="B9" s="4" t="str">
        <f>Surg!B5</f>
        <v>MajorSurgery</v>
      </c>
      <c r="C9" s="20" t="s">
        <v>1341</v>
      </c>
      <c r="E9" s="4" t="str">
        <f>CONCATENATE("* . -&gt; ##34#",C9,"##34#")</f>
        <v>* . -&gt; ##34#Procedure.conformsTo('http://hl7.eu/fhir/ig/pcsp/StructureDefinition/Procedure-surgery-eu-pcsp')##34#</v>
      </c>
      <c r="H9" s="9"/>
      <c r="I9" s="9"/>
      <c r="J9" s="9"/>
      <c r="K9" s="9"/>
      <c r="L9" s="9"/>
      <c r="M9" s="9"/>
      <c r="N9" s="9"/>
      <c r="O9" s="9"/>
    </row>
    <row r="10" spans="1:15" x14ac:dyDescent="0.75">
      <c r="A10" s="8"/>
      <c r="B10" s="17" t="str">
        <f>Surg!B8</f>
        <v>relatedDiagnosis</v>
      </c>
      <c r="C10" s="20" t="s">
        <v>1092</v>
      </c>
      <c r="E10" s="17" t="str">
        <f>CONCATENATE("* ",B10," -&gt; ##34#",C10,"##34#")</f>
        <v>* relatedDiagnosis -&gt; ##34#.reasonReference##34#</v>
      </c>
      <c r="G10" s="1"/>
      <c r="H10" s="9"/>
      <c r="I10" s="9"/>
      <c r="J10" s="9"/>
      <c r="K10" s="9"/>
      <c r="L10" s="9"/>
      <c r="M10" s="9"/>
      <c r="N10" s="9"/>
      <c r="O10" s="9"/>
    </row>
    <row r="11" spans="1:15" x14ac:dyDescent="0.75">
      <c r="A11" s="8"/>
      <c r="B11" s="17" t="str">
        <f>Surg!B9</f>
        <v>relatedRelapse</v>
      </c>
      <c r="C11" s="20" t="s">
        <v>1092</v>
      </c>
      <c r="E11" s="17" t="str">
        <f t="shared" ref="E11:E58" si="0">CONCATENATE("* ",B11," -&gt; ##34#",C11,"##34#")</f>
        <v>* relatedRelapse -&gt; ##34#.reasonReference##34#</v>
      </c>
      <c r="G11" s="1"/>
      <c r="H11" s="9"/>
      <c r="I11" s="9"/>
      <c r="J11" s="9"/>
      <c r="K11" s="9"/>
      <c r="L11" s="9"/>
      <c r="M11" s="9"/>
      <c r="N11" s="9"/>
      <c r="O11" s="9"/>
    </row>
    <row r="12" spans="1:15" x14ac:dyDescent="0.75">
      <c r="A12" s="8"/>
      <c r="B12" s="17" t="str">
        <f>Surg!B10</f>
        <v>identifier</v>
      </c>
      <c r="C12" s="20" t="s">
        <v>74</v>
      </c>
      <c r="E12" s="17" t="str">
        <f t="shared" si="0"/>
        <v>* identifier -&gt; ##34#.identifier##34#</v>
      </c>
      <c r="G12" s="1"/>
      <c r="H12" s="9"/>
      <c r="I12" s="9"/>
      <c r="J12" s="9"/>
      <c r="K12" s="9"/>
      <c r="L12" s="9"/>
      <c r="M12" s="9"/>
      <c r="N12" s="9"/>
      <c r="O12" s="9"/>
    </row>
    <row r="13" spans="1:15" ht="44.25" x14ac:dyDescent="0.75">
      <c r="A13" s="8"/>
      <c r="B13" s="17" t="str">
        <f>Surg!B11</f>
        <v>istitutionOfTreatment</v>
      </c>
      <c r="C13" s="20" t="s">
        <v>1342</v>
      </c>
      <c r="E13" s="17" t="str">
        <f t="shared" si="0"/>
        <v>* istitutionOfTreatment -&gt; ##34#location.resolve().conformsTo(http://hl7.eu/fhir/ig/pcsp/StructureDefinition/Location-eu-pcsp)##34#</v>
      </c>
      <c r="G13" s="1"/>
      <c r="H13" s="9"/>
      <c r="I13" s="9"/>
      <c r="J13" s="9"/>
      <c r="K13" s="9"/>
      <c r="L13" s="9"/>
      <c r="M13" s="9"/>
      <c r="N13" s="9"/>
      <c r="O13" s="9"/>
    </row>
    <row r="14" spans="1:15" x14ac:dyDescent="0.75">
      <c r="A14" s="8"/>
      <c r="B14" s="17" t="str">
        <f>Surg!B12</f>
        <v>istitutionOfTreatment.description</v>
      </c>
      <c r="C14" s="20" t="s">
        <v>1096</v>
      </c>
      <c r="E14" s="17" t="str">
        <f t="shared" si="0"/>
        <v>* istitutionOfTreatment.description -&gt; ##34#Location.description##34#</v>
      </c>
      <c r="G14" s="1"/>
      <c r="H14" s="9"/>
      <c r="I14" s="9"/>
      <c r="J14" s="9"/>
      <c r="K14" s="9"/>
      <c r="L14" s="9"/>
      <c r="M14" s="9"/>
      <c r="N14" s="9"/>
      <c r="O14" s="9"/>
    </row>
    <row r="15" spans="1:15" x14ac:dyDescent="0.75">
      <c r="A15" s="8"/>
      <c r="B15" s="17" t="str">
        <f>Surg!B13</f>
        <v>istitutionOfTreatment.name</v>
      </c>
      <c r="C15" s="20" t="s">
        <v>1097</v>
      </c>
      <c r="E15" s="17" t="str">
        <f t="shared" si="0"/>
        <v>* istitutionOfTreatment.name -&gt; ##34#Location.name##34#</v>
      </c>
      <c r="G15" s="1"/>
      <c r="H15" s="9"/>
      <c r="I15" s="9"/>
      <c r="J15" s="9"/>
      <c r="K15" s="9"/>
      <c r="L15" s="9"/>
      <c r="M15" s="9"/>
      <c r="N15" s="9"/>
      <c r="O15" s="9"/>
    </row>
    <row r="16" spans="1:15" x14ac:dyDescent="0.75">
      <c r="A16" s="8"/>
      <c r="B16" s="17" t="str">
        <f>Surg!B14</f>
        <v>istitutionOfTreatment.address</v>
      </c>
      <c r="C16" s="20" t="s">
        <v>1098</v>
      </c>
      <c r="E16" s="17" t="str">
        <f t="shared" si="0"/>
        <v>* istitutionOfTreatment.address -&gt; ##34#Location.address.city##34#</v>
      </c>
      <c r="G16" s="1"/>
      <c r="H16" s="9"/>
      <c r="I16" s="9"/>
      <c r="J16" s="9"/>
      <c r="K16" s="9"/>
      <c r="L16" s="9"/>
      <c r="M16" s="9"/>
      <c r="N16" s="9"/>
      <c r="O16" s="9"/>
    </row>
    <row r="17" spans="1:15" x14ac:dyDescent="0.75">
      <c r="A17" s="8"/>
      <c r="B17" s="17" t="str">
        <f>Surg!B15</f>
        <v>istitutionOfTreatment.address.name</v>
      </c>
      <c r="C17" s="20"/>
      <c r="E17" s="4" t="s">
        <v>1639</v>
      </c>
      <c r="G17" s="1"/>
      <c r="H17" s="9"/>
      <c r="I17" s="9"/>
      <c r="J17" s="9"/>
      <c r="K17" s="9"/>
      <c r="L17" s="9"/>
      <c r="M17" s="9"/>
      <c r="N17" s="9"/>
      <c r="O17" s="9"/>
    </row>
    <row r="18" spans="1:15" ht="29.5" x14ac:dyDescent="0.75">
      <c r="A18" s="8"/>
      <c r="B18" s="17" t="str">
        <f>Surg!B16</f>
        <v>istitutionOfTreatment.address.country</v>
      </c>
      <c r="C18" s="17" t="s">
        <v>1099</v>
      </c>
      <c r="E18" s="17" t="str">
        <f t="shared" si="0"/>
        <v>* istitutionOfTreatment.address.country -&gt; ##34#Location.address.country##34#</v>
      </c>
      <c r="G18" s="1"/>
      <c r="H18" s="9"/>
      <c r="I18" s="9"/>
      <c r="J18" s="9"/>
      <c r="K18" s="9"/>
      <c r="L18" s="9"/>
      <c r="M18" s="9"/>
      <c r="N18" s="9"/>
      <c r="O18" s="9"/>
    </row>
    <row r="19" spans="1:15" x14ac:dyDescent="0.75">
      <c r="A19" s="8"/>
      <c r="B19" s="17" t="str">
        <f>Surg!B17</f>
        <v>date</v>
      </c>
      <c r="C19" s="17" t="s">
        <v>1343</v>
      </c>
      <c r="E19" s="17" t="str">
        <f t="shared" si="0"/>
        <v>* date -&gt; ##34#Procedure.performedDateTime##34#</v>
      </c>
      <c r="G19" s="1"/>
    </row>
    <row r="20" spans="1:15" x14ac:dyDescent="0.75">
      <c r="A20" s="8"/>
      <c r="B20" s="17" t="str">
        <f>Surg!B18</f>
        <v>description</v>
      </c>
      <c r="C20" s="17" t="s">
        <v>1224</v>
      </c>
      <c r="E20" s="17" t="str">
        <f t="shared" si="0"/>
        <v>* description -&gt; ##34#.text##34#</v>
      </c>
      <c r="G20" s="1"/>
    </row>
    <row r="21" spans="1:15" x14ac:dyDescent="0.75">
      <c r="A21" s="8"/>
      <c r="B21" s="17" t="str">
        <f>Surg!B19</f>
        <v>affectedOrgan</v>
      </c>
      <c r="C21" s="17" t="s">
        <v>75</v>
      </c>
      <c r="E21" s="17" t="str">
        <f t="shared" si="0"/>
        <v>* affectedOrgan -&gt; ##34#.bodySite##34#</v>
      </c>
      <c r="G21" s="1"/>
    </row>
    <row r="22" spans="1:15" x14ac:dyDescent="0.75">
      <c r="A22" s="8"/>
      <c r="B22" s="17" t="str">
        <f>Surg!B19</f>
        <v>affectedOrgan</v>
      </c>
      <c r="C22" s="17" t="s">
        <v>1217</v>
      </c>
      <c r="E22" s="17" t="str">
        <f t="shared" si="0"/>
        <v>* affectedOrgan -&gt; ##34#.code##34#</v>
      </c>
      <c r="G22" s="1"/>
    </row>
    <row r="23" spans="1:15" ht="44.25" x14ac:dyDescent="0.75">
      <c r="A23" s="8"/>
      <c r="B23" s="17" t="str">
        <f>Surg!B20</f>
        <v>sacrifiedOrgan</v>
      </c>
      <c r="C23" s="17" t="s">
        <v>1344</v>
      </c>
      <c r="E23" s="17" t="str">
        <f t="shared" si="0"/>
        <v>* sacrifiedOrgan -&gt; ##34#.extension('http://hl7.eu/fhir/ig/pcsp/StructureDefinition/surgery-sacrifiedOrgan').valueCodeableConcept##34#</v>
      </c>
      <c r="G23" s="1"/>
    </row>
    <row r="24" spans="1:15" x14ac:dyDescent="0.75">
      <c r="A24" s="8"/>
      <c r="B24" s="17" t="str">
        <f>Surg!B20</f>
        <v>sacrifiedOrgan</v>
      </c>
      <c r="C24" s="17" t="s">
        <v>1217</v>
      </c>
      <c r="E24" s="17" t="str">
        <f t="shared" si="0"/>
        <v>* sacrifiedOrgan -&gt; ##34#.code##34#</v>
      </c>
      <c r="G24" s="1"/>
    </row>
    <row r="25" spans="1:15" ht="44.25" x14ac:dyDescent="0.75">
      <c r="A25" s="8"/>
      <c r="B25" s="17" t="str">
        <f>Surg!B21</f>
        <v>shuntApplication</v>
      </c>
      <c r="C25" s="17" t="s">
        <v>1345</v>
      </c>
      <c r="E25" s="17" t="str">
        <f t="shared" si="0"/>
        <v>* shuntApplication -&gt; ##34#Procedure.conformsTo('http://hl7.eu/fhir/ig/pcsp/StructureDefinition/Procedure-surgery-eu-pcsp').where(code.memberOf(ShuntProcedureTypeVs))##34#</v>
      </c>
      <c r="G25" s="1"/>
    </row>
    <row r="26" spans="1:15" x14ac:dyDescent="0.75">
      <c r="A26" s="8"/>
      <c r="B26" s="17" t="str">
        <f>Surg!B22</f>
        <v>shuntApplication.type</v>
      </c>
      <c r="C26" s="17" t="s">
        <v>1217</v>
      </c>
      <c r="E26" s="17" t="str">
        <f t="shared" si="0"/>
        <v>* shuntApplication.type -&gt; ##34#.code##34#</v>
      </c>
      <c r="G26" s="1"/>
    </row>
    <row r="27" spans="1:15" ht="44.25" x14ac:dyDescent="0.75">
      <c r="A27" s="8"/>
      <c r="B27" s="17" t="str">
        <f>Surg!B23</f>
        <v>shuntApplication.laterality</v>
      </c>
      <c r="C27" s="17" t="s">
        <v>1346</v>
      </c>
      <c r="E27" s="17" t="str">
        <f t="shared" si="0"/>
        <v>* shuntApplication.laterality -&gt; ##34#.extension('http://hl7.eu/fhir/ig/pcsp/StructureDefinition/mcode-laterality-qualifier').valueCodeableConcept##34#</v>
      </c>
      <c r="G27" s="1"/>
    </row>
    <row r="28" spans="1:15" x14ac:dyDescent="0.75">
      <c r="A28" s="8"/>
      <c r="B28" s="17" t="str">
        <f>Surg!B24</f>
        <v>shuntApplication.isRemoved</v>
      </c>
      <c r="C28" s="17" t="s">
        <v>1293</v>
      </c>
      <c r="E28" s="17" t="str">
        <f t="shared" si="0"/>
        <v>* shuntApplication.isRemoved -&gt; ##34#.focalDevice.action##34#</v>
      </c>
      <c r="G28" s="1"/>
    </row>
    <row r="29" spans="1:15" ht="59" x14ac:dyDescent="0.75">
      <c r="A29" s="8"/>
      <c r="B29" s="17" t="str">
        <f>Surg!B25</f>
        <v>amputation</v>
      </c>
      <c r="C29" s="17" t="s">
        <v>1347</v>
      </c>
      <c r="E29" s="17" t="str">
        <f t="shared" si="0"/>
        <v>* amputation -&gt; ##34#Procedure.conformsTo('http://hl7.eu/fhir/ig/pcsp/StructureDefinition/Procedure-surgery-eu-pcsp').where(code.memberOf(AmputationProcedureTypeVs)).exists()##34#</v>
      </c>
      <c r="G29" s="1"/>
    </row>
    <row r="30" spans="1:15" ht="44.25" x14ac:dyDescent="0.75">
      <c r="A30" s="8"/>
      <c r="B30" s="17" t="str">
        <f>Surg!B26</f>
        <v>prothesis</v>
      </c>
      <c r="C30" s="17" t="s">
        <v>1348</v>
      </c>
      <c r="E30" s="17" t="str">
        <f t="shared" si="0"/>
        <v>* prothesis -&gt; ##34#Procedure.conformsTo('http://hl7.eu/fhir/ig/pcsp/StructureDefinition/Procedure-surgery-eu-pcsp').where(code.memberOf(ProstheticProcedureTypeVs))##34#</v>
      </c>
      <c r="G30" s="1"/>
    </row>
    <row r="31" spans="1:15" x14ac:dyDescent="0.75">
      <c r="A31" s="8"/>
      <c r="B31" s="17" t="str">
        <f>Surg!B27</f>
        <v>prothesis.status</v>
      </c>
      <c r="C31" s="17" t="s">
        <v>1114</v>
      </c>
      <c r="E31" s="17" t="str">
        <f t="shared" si="0"/>
        <v>* prothesis.status -&gt; ##34#.exists()##34#</v>
      </c>
    </row>
    <row r="32" spans="1:15" x14ac:dyDescent="0.75">
      <c r="A32" s="8"/>
      <c r="B32" s="17" t="str">
        <f>Surg!B28</f>
        <v>prothesis.deviceType</v>
      </c>
      <c r="C32" s="17" t="s">
        <v>1349</v>
      </c>
      <c r="E32" s="17" t="str">
        <f t="shared" si="0"/>
        <v>* prothesis.deviceType -&gt; ##34#usedCode##34#</v>
      </c>
    </row>
    <row r="33" spans="1:5" ht="44.25" x14ac:dyDescent="0.75">
      <c r="A33" s="8"/>
      <c r="B33" s="17" t="str">
        <f>Surg!B29</f>
        <v>colostomy</v>
      </c>
      <c r="C33" s="17" t="s">
        <v>1350</v>
      </c>
      <c r="E33" s="17" t="str">
        <f t="shared" si="0"/>
        <v>* colostomy -&gt; ##34#Procedure.conformsTo('http://hl7.eu/fhir/ig/pcsp/StructureDefinition/Procedure-surgery-eu-pcsp').where(code.memberOf(ColostomyProcedureTypeVs))##34#</v>
      </c>
    </row>
    <row r="34" spans="1:5" x14ac:dyDescent="0.75">
      <c r="B34" s="17" t="str">
        <f>Surg!B30</f>
        <v>colostomy.status</v>
      </c>
      <c r="C34" s="17" t="s">
        <v>1114</v>
      </c>
      <c r="E34" s="17" t="str">
        <f t="shared" si="0"/>
        <v>* colostomy.status -&gt; ##34#.exists()##34#</v>
      </c>
    </row>
    <row r="35" spans="1:5" x14ac:dyDescent="0.75">
      <c r="B35" s="17" t="str">
        <f>Surg!B31</f>
        <v>colostomy.isRemoved</v>
      </c>
      <c r="C35" s="20" t="s">
        <v>1293</v>
      </c>
      <c r="E35" s="17" t="str">
        <f t="shared" si="0"/>
        <v>* colostomy.isRemoved -&gt; ##34#.focalDevice.action##34#</v>
      </c>
    </row>
    <row r="36" spans="1:5" ht="59" x14ac:dyDescent="0.75">
      <c r="B36" s="17" t="str">
        <f>Surg!B32</f>
        <v>gastrostomy</v>
      </c>
      <c r="C36" s="20" t="s">
        <v>1351</v>
      </c>
      <c r="E36" s="17" t="str">
        <f t="shared" si="0"/>
        <v>* gastrostomy -&gt; ##34#Procedure.conformsTo('http://hl7.eu/fhir/ig/pcsp/StructureDefinition/Procedure-surgery-eu-pcsp').where(code.memberOf(GastrostomyProcedureTypeVs)).exists()##34#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si="0"/>
        <v>*  -&gt; ##34###34#</v>
      </c>
    </row>
    <row r="44" spans="1:5" x14ac:dyDescent="0.75">
      <c r="B44" s="17"/>
      <c r="C44" s="17"/>
      <c r="E44" s="17" t="str">
        <f t="shared" si="0"/>
        <v>*  -&gt; ##34###34#</v>
      </c>
    </row>
    <row r="45" spans="1:5" x14ac:dyDescent="0.75">
      <c r="B45" s="17"/>
      <c r="C45" s="17"/>
      <c r="E45" s="17" t="str">
        <f t="shared" si="0"/>
        <v>*  -&gt; ##34###34#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0F48-38F5-4C14-9E78-6ED8CC5A95B0}">
  <sheetPr codeName="Foglio16">
    <tabColor theme="9" tint="0.39997558519241921"/>
  </sheetPr>
  <dimension ref="C1:G79"/>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Surg!I1</f>
        <v>// -------------------------------------------------------------------------------</v>
      </c>
    </row>
    <row r="2" spans="3:7" ht="16.75" thickBot="1" x14ac:dyDescent="0.9">
      <c r="C2" s="35" t="str">
        <f>Surg!I2</f>
        <v>//  Logical Model</v>
      </c>
      <c r="G2" s="92" t="str">
        <f>"pcsp-"&amp;Surg!B5&amp;".fsh"</f>
        <v>pcsp-MajorSurgery.fsh</v>
      </c>
    </row>
    <row r="3" spans="3:7" x14ac:dyDescent="0.75">
      <c r="C3" s="35" t="str">
        <f>Surg!I3</f>
        <v>// -------------------------------------------------------------------------------</v>
      </c>
    </row>
    <row r="4" spans="3:7" x14ac:dyDescent="0.75">
      <c r="C4" s="27" t="str">
        <f>Surg!I4</f>
        <v>Logical: MajorSurgery</v>
      </c>
    </row>
    <row r="5" spans="3:7" x14ac:dyDescent="0.75">
      <c r="C5" s="27" t="str">
        <f>Surg!I5</f>
        <v>Id: MajorSurgery</v>
      </c>
    </row>
    <row r="6" spans="3:7" x14ac:dyDescent="0.75">
      <c r="C6" s="27" t="str">
        <f>Surg!I6</f>
        <v>Title: ##34#Major Surgery##34#</v>
      </c>
    </row>
    <row r="7" spans="3:7" ht="29.5" x14ac:dyDescent="0.75">
      <c r="C7" s="27" t="str">
        <f>Surg!I7</f>
        <v>Description:  ##334#Major Surgery.
Maturity Level: 2 - Ready for Review##334#</v>
      </c>
    </row>
    <row r="8" spans="3:7" ht="44.25" x14ac:dyDescent="0.75">
      <c r="C8" s="17" t="str">
        <f>IF(Surg!I8="*  ..  ##34###34# ##334###334#","//--- END",Surg!I8)</f>
        <v>* relatedDiagnosis 0..1 Identifier ##34#Progressive number of diagnosis##34# ##334#Progressive number of diagnosis (1=first; 2= second; 3 = third; …).  
In this field must be reported the ordinal number of the tumor diagnosis for which the surgery was performed##334#</v>
      </c>
    </row>
    <row r="9" spans="3:7" ht="29.5" x14ac:dyDescent="0.75">
      <c r="C9" s="17" t="str">
        <f>IF(Surg!I9="*  ..  ##34###34# ##334###334#","//--- END",Surg!I9)</f>
        <v>* relatedRelapse 0..1 Identifier ##34#Progressive number of relapse/progression (after FLT)##34# ##334#Progressive number of relapse/progression (after FLT)##334#</v>
      </c>
    </row>
    <row r="10" spans="3:7" ht="44.25" x14ac:dyDescent="0.75">
      <c r="C10" s="17" t="str">
        <f>IF(Surg!I10="*  ..  ##34###34# ##334###334#","//--- END",Surg!I10)</f>
        <v>* identifier 0..* Identifier ##34#Progressive Surgery number##34# ##334#Progressive number of surgeries (1=first; 2= second; 3 = third; …).
In this field must be reported the ordinal number of the surgeries given. ##334#</v>
      </c>
    </row>
    <row r="11" spans="3:7" ht="29.5" x14ac:dyDescent="0.75">
      <c r="C11" s="17" t="str">
        <f>IF(Surg!I11="*  ..  ##34###34# ##334###334#","//--- END",Surg!I11)</f>
        <v>* istitutionOfTreatment 0..1 BackboneElement ##34#Institution of treatment##34# ##334#Please Identify the institution were surgery was performed##334#</v>
      </c>
    </row>
    <row r="12" spans="3:7" x14ac:dyDescent="0.75">
      <c r="C12" s="17" t="str">
        <f>IF(Surg!I12="*  ..  ##34###34# ##334###334#","//--- END",Surg!I12)</f>
        <v>* istitutionOfTreatment.description 0..1 string ##34#Institution description##34# ##334#Institution description##334#</v>
      </c>
    </row>
    <row r="13" spans="3:7" x14ac:dyDescent="0.75">
      <c r="C13" s="17" t="str">
        <f>IF(Surg!I13="*  ..  ##34###34# ##334###334#","//--- END",Surg!I13)</f>
        <v>* istitutionOfTreatment.name 0..1 string ##34#Institution name##34# ##334#Institution name##334#</v>
      </c>
    </row>
    <row r="14" spans="3:7" x14ac:dyDescent="0.75">
      <c r="C14" s="17" t="str">
        <f>IF(Surg!I14="*  ..  ##34###34# ##334###334#","//--- END",Surg!I14)</f>
        <v>* istitutionOfTreatment.address 0..1 BackboneElement ##34#Institution address##34# ##334#Institution address##334#</v>
      </c>
    </row>
    <row r="15" spans="3:7" x14ac:dyDescent="0.75">
      <c r="C15" s="17" t="str">
        <f>IF(Surg!I15="*  ..  ##34###34# ##334###334#","//--- END",Surg!I15)</f>
        <v>* istitutionOfTreatment.address.name 0..1 string ##34#Institution city##34# ##334#Institution city##334#</v>
      </c>
    </row>
    <row r="16" spans="3:7" x14ac:dyDescent="0.75">
      <c r="C16" s="17" t="str">
        <f>IF(Surg!I16="*  ..  ##34###34# ##334###334#","//--- END",Surg!I16)</f>
        <v>* istitutionOfTreatment.address.country 0..1 string ##34#Institution country##34# ##334#Institution country##334#</v>
      </c>
    </row>
    <row r="17" spans="3:3" ht="29.5" x14ac:dyDescent="0.75">
      <c r="C17" s="17" t="str">
        <f>IF(Surg!I17="*  ..  ##34###34# ##334###334#","//--- END",Surg!I17)</f>
        <v>* date 0..1 dateTime ##34#Date of surgery##34# ##334#Date of surgery (dd/mm/yyyy). If the date is unkown or partially missed insert the year at the best of your knowledge.##334#</v>
      </c>
    </row>
    <row r="18" spans="3:3" ht="29.5" x14ac:dyDescent="0.75">
      <c r="C18" s="17" t="str">
        <f>IF(Surg!I18="*  ..  ##34###34# ##334###334#","//--- END",Surg!I18)</f>
        <v>* description 0..1 string ##34#Surgery description##34# ##334#Please describe the type of surgery (is a free text section, no coding). In case of surgery on pair organs specify which organ (right or left) was operated.##334#</v>
      </c>
    </row>
    <row r="19" spans="3:3" ht="29.5" x14ac:dyDescent="0.75">
      <c r="C19" s="17" t="str">
        <f>IF(Surg!I19="*  ..  ##34###34# ##334###334#","//--- END",Surg!I19)</f>
        <v>* affectedOrgan 0..* CodeableConcept ##34#Affected Organs##34# ##334#Was one of these organs involved ? 
(Oesophagus; Abdomen; Brain; Face; Liver; Spine; Spinal Cord; Sympathetic nerves; Chest/thorax; Pelvis)##334#</v>
      </c>
    </row>
    <row r="20" spans="3:3" ht="118" x14ac:dyDescent="0.75">
      <c r="C20" s="17" t="str">
        <f>IF(Surg!I20="*  ..  ##34###34# ##334###334#","//--- END",Surg!I20)</f>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3:3" ht="29.5" x14ac:dyDescent="0.75">
      <c r="C21" s="17" t="str">
        <f>IF(Surg!I21="*  ..  ##34###34# ##334###334#","//--- END",Surg!I21)</f>
        <v>* shuntApplication 0..* BackboneElement ##34#Shunt application##34# ##334#Please report if a cerebrovascular shunt was inserted ##334#</v>
      </c>
    </row>
    <row r="22" spans="3:3" ht="118" x14ac:dyDescent="0.75">
      <c r="C22" s="17" t="str">
        <f>IF(Surg!I22="*  ..  ##34###34# ##334###334#","//--- END",Surg!I22)</f>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3:3" ht="103.25" x14ac:dyDescent="0.75">
      <c r="C23" s="17" t="str">
        <f>IF(Surg!I23="*  ..  ##34###34# ##334###334#","//--- END",Surg!I23)</f>
        <v>* shuntApplication.laterality 0..1 CodeableConcept ##34#Laterality of shunt##34# ##334#Please specify the laterality of the shunt
1 = right
2= left
3 = midline
-9911 = not applicable
-9922 =&gt; NK##334#</v>
      </c>
    </row>
    <row r="24" spans="3:3" ht="88.5" x14ac:dyDescent="0.75">
      <c r="C24" s="17" t="str">
        <f>IF(Surg!I24="*  ..  ##34###34# ##334###334#","//--- END",Surg!I24)</f>
        <v>* shuntApplication.isRemoved 0..1 CodeableConcept ##34#In place or removed ?##34# ##334#Define if it is still in place or is already removed 
1 =&gt; Still in place
2 =&gt; Removed
 -9911 =&gt; NA
 -9922 =&gt; NK##334#</v>
      </c>
    </row>
    <row r="25" spans="3:3" ht="88.5" x14ac:dyDescent="0.75">
      <c r="C25" s="17" t="str">
        <f>IF(Surg!I25="*  ..  ##34###34# ##334###334#","//--- END",Surg!I25)</f>
        <v>* amputation 0..1 CodeableConcept ##34#Amputation##34# ##334#Here it is requested only a yes or no. Details should be reported in the surgery description 
1 =&gt; Yes
2 =&gt; No
-9911 =&gt; Not applicable
-9922 =&gt; NK ##334#</v>
      </c>
    </row>
    <row r="26" spans="3:3" x14ac:dyDescent="0.75">
      <c r="C26" s="17" t="str">
        <f>IF(Surg!I26="*  ..  ##34###34# ##334###334#","//--- END",Surg!I26)</f>
        <v>* prothesis 0..1 BackboneElement ##34#Prothesis##34# ##334#Prothesis##334#</v>
      </c>
    </row>
    <row r="27" spans="3:3" ht="29.5" x14ac:dyDescent="0.75">
      <c r="C27" s="17" t="str">
        <f>IF(Surg!I27="*  ..  ##34###34# ##334###334#","//--- END",Surg!I27)</f>
        <v>* prothesis.status 0..1 CodeableConcept ##34#status##34# ##334#Please state if the survivor has a prosthesis either internal (e.g. hip replacement) or external (e.g. artificial arm)##334#</v>
      </c>
    </row>
    <row r="28" spans="3:3" ht="73.75" x14ac:dyDescent="0.75">
      <c r="C28" s="17" t="str">
        <f>IF(Surg!I28="*  ..  ##34###34# ##334###334#","//--- END",Surg!I28)</f>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3:3" x14ac:dyDescent="0.75">
      <c r="C29" s="17" t="str">
        <f>IF(Surg!I29="*  ..  ##34###34# ##334###334#","//--- END",Surg!I29)</f>
        <v>* colostomy 0..1 BackboneElement ##34#Colostomy##34# ##334#Colostomy##334#</v>
      </c>
    </row>
    <row r="30" spans="3:3" ht="29.5" x14ac:dyDescent="0.75">
      <c r="C30" s="17" t="str">
        <f>IF(Surg!I30="*  ..  ##34###34# ##334###334#","//--- END",Surg!I30)</f>
        <v>* colostomy.status 0..1 CodeableConcept ##34#status##34# ##334#State if a colostomy was created. Details should be reported in the surgery section.##334#</v>
      </c>
    </row>
    <row r="31" spans="3:3" ht="73.75" x14ac:dyDescent="0.75">
      <c r="C31" s="17" t="str">
        <f>IF(Surg!I31="*  ..  ##34###34# ##334###334#","//--- END",Surg!I31)</f>
        <v>* colostomy.isRemoved 0..1 CodeableConcept ##34#In place or removed ?##34# ##334#State if a colostomy was created. Details should be reported in the surgery section.
1 =&gt; Still in place
2 =&gt; Removed
-9922 =&gt;NK##334#</v>
      </c>
    </row>
    <row r="32" spans="3:3" ht="88.5" x14ac:dyDescent="0.75">
      <c r="C32" s="17" t="str">
        <f>IF(Surg!I32="*  ..  ##34###34# ##334###334#","//--- END",Surg!I32)</f>
        <v>* gastrostomy 0..1 CodeableConcept ##34#Gastrostomy##34# ##334#State if a gastrostomy was created. Details should be reported in the surgery section.
1 =&gt; Yes
2 =&gt; No
-9911 =&gt; Not applicable
-9922 =&gt;NK##334#</v>
      </c>
    </row>
    <row r="33" spans="3:3" x14ac:dyDescent="0.75">
      <c r="C33" s="17" t="str">
        <f>IF(Surg!I33="*  ..  ##34###34# ##334###334#","//--- END",Surg!I33)</f>
        <v>//--- END</v>
      </c>
    </row>
    <row r="34" spans="3:3" x14ac:dyDescent="0.75">
      <c r="C34" s="17" t="str">
        <f>IF(Surg!I34="*  ..  ##34###34# ##334###334#","//--- END",Surg!I34)</f>
        <v>//--- END</v>
      </c>
    </row>
    <row r="35" spans="3:3" x14ac:dyDescent="0.75">
      <c r="C35" s="17" t="str">
        <f>IF(Surg!I35="*  ..  ##34###34# ##334###334#","//--- END",Surg!I35)</f>
        <v>//--- END</v>
      </c>
    </row>
    <row r="39" spans="3:3" x14ac:dyDescent="0.75">
      <c r="C39" s="34" t="str">
        <f>'Surg-Map'!E1</f>
        <v>// -------------------------------------------------------------------------------</v>
      </c>
    </row>
    <row r="40" spans="3:3" x14ac:dyDescent="0.75">
      <c r="C40" s="35" t="str">
        <f>'Surg-Map'!E2</f>
        <v>//  Map to FHIR R4</v>
      </c>
    </row>
    <row r="41" spans="3:3" x14ac:dyDescent="0.75">
      <c r="C41" s="35" t="str">
        <f>'Surg-Map'!E3</f>
        <v>// -------------------------------------------------------------------------------</v>
      </c>
    </row>
    <row r="42" spans="3:3" x14ac:dyDescent="0.75">
      <c r="C42" s="17" t="str">
        <f>'Surg-Map'!E4</f>
        <v>Mapping: Surgery2Fhir</v>
      </c>
    </row>
    <row r="43" spans="3:3" x14ac:dyDescent="0.75">
      <c r="C43" s="17" t="str">
        <f>'Surg-Map'!E5</f>
        <v>Id: fhir</v>
      </c>
    </row>
    <row r="44" spans="3:3" x14ac:dyDescent="0.75">
      <c r="C44" s="17" t="str">
        <f>'Surg-Map'!E6</f>
        <v>Title: ##34#MajorSurgery model to PCSP HL7 FHIR R4 Profiles##34#</v>
      </c>
    </row>
    <row r="45" spans="3:3" x14ac:dyDescent="0.75">
      <c r="C45" s="17" t="str">
        <f>'Surg-Map'!E7</f>
        <v>Source: MajorSurgery</v>
      </c>
    </row>
    <row r="46" spans="3:3" x14ac:dyDescent="0.75">
      <c r="C46" s="17" t="str">
        <f>'Surg-Map'!E8</f>
        <v>Target: ##34#hl7.org/fhir/r4##34#</v>
      </c>
    </row>
    <row r="48" spans="3:3" x14ac:dyDescent="0.75">
      <c r="C48" s="17" t="str">
        <f>IF('Surg-Map'!E9="*  -&gt; ##34###34#","// --END",'Surg-Map'!E9)</f>
        <v>* . -&gt; ##34#Procedure.conformsTo('http://hl7.eu/fhir/ig/pcsp/StructureDefinition/Procedure-surgery-eu-pcsp')##34#</v>
      </c>
    </row>
    <row r="49" spans="3:3" x14ac:dyDescent="0.75">
      <c r="C49" s="17" t="str">
        <f>IF('Surg-Map'!E10="*  -&gt; ##34###34#","// --END",'Surg-Map'!E10)</f>
        <v>* relatedDiagnosis -&gt; ##34#.reasonReference##34#</v>
      </c>
    </row>
    <row r="50" spans="3:3" x14ac:dyDescent="0.75">
      <c r="C50" s="17" t="str">
        <f>IF('Surg-Map'!E11="*  -&gt; ##34###34#","// --END",'Surg-Map'!E11)</f>
        <v>* relatedRelapse -&gt; ##34#.reasonReference##34#</v>
      </c>
    </row>
    <row r="51" spans="3:3" x14ac:dyDescent="0.75">
      <c r="C51" s="17" t="str">
        <f>IF('Surg-Map'!E12="*  -&gt; ##34###34#","// --END",'Surg-Map'!E12)</f>
        <v>* identifier -&gt; ##34#.identifier##34#</v>
      </c>
    </row>
    <row r="52" spans="3:3" ht="29.5" x14ac:dyDescent="0.75">
      <c r="C52" s="17" t="str">
        <f>IF('Surg-Map'!E13="*  -&gt; ##34###34#","// --END",'Surg-Map'!E13)</f>
        <v>* istitutionOfTreatment -&gt; ##34#location.resolve().conformsTo(http://hl7.eu/fhir/ig/pcsp/StructureDefinition/Location-eu-pcsp)##34#</v>
      </c>
    </row>
    <row r="53" spans="3:3" x14ac:dyDescent="0.75">
      <c r="C53" s="17" t="str">
        <f>IF('Surg-Map'!E14="*  -&gt; ##34###34#","// --END",'Surg-Map'!E14)</f>
        <v>* istitutionOfTreatment.description -&gt; ##34#Location.description##34#</v>
      </c>
    </row>
    <row r="54" spans="3:3" x14ac:dyDescent="0.75">
      <c r="C54" s="17" t="str">
        <f>IF('Surg-Map'!E15="*  -&gt; ##34###34#","// --END",'Surg-Map'!E15)</f>
        <v>* istitutionOfTreatment.name -&gt; ##34#Location.name##34#</v>
      </c>
    </row>
    <row r="55" spans="3:3" x14ac:dyDescent="0.75">
      <c r="C55" s="17" t="str">
        <f>IF('Surg-Map'!E16="*  -&gt; ##34###34#","// --END",'Surg-Map'!E16)</f>
        <v>* istitutionOfTreatment.address -&gt; ##34#Location.address.city##34#</v>
      </c>
    </row>
    <row r="56" spans="3:3" x14ac:dyDescent="0.75">
      <c r="C56" s="17" t="str">
        <f>IF('Surg-Map'!E17="*  -&gt; ##34###34#","// --END",'Surg-Map'!E17)</f>
        <v>// no map</v>
      </c>
    </row>
    <row r="57" spans="3:3" x14ac:dyDescent="0.75">
      <c r="C57" s="17" t="str">
        <f>IF('Surg-Map'!E18="*  -&gt; ##34###34#","// --END",'Surg-Map'!E18)</f>
        <v>* istitutionOfTreatment.address.country -&gt; ##34#Location.address.country##34#</v>
      </c>
    </row>
    <row r="58" spans="3:3" x14ac:dyDescent="0.75">
      <c r="C58" s="17" t="str">
        <f>IF('Surg-Map'!E19="*  -&gt; ##34###34#","// --END",'Surg-Map'!E19)</f>
        <v>* date -&gt; ##34#Procedure.performedDateTime##34#</v>
      </c>
    </row>
    <row r="59" spans="3:3" x14ac:dyDescent="0.75">
      <c r="C59" s="17" t="str">
        <f>IF('Surg-Map'!E20="*  -&gt; ##34###34#","// --END",'Surg-Map'!E20)</f>
        <v>* description -&gt; ##34#.text##34#</v>
      </c>
    </row>
    <row r="60" spans="3:3" x14ac:dyDescent="0.75">
      <c r="C60" s="17" t="str">
        <f>IF('Surg-Map'!E21="*  -&gt; ##34###34#","// --END",'Surg-Map'!E21)</f>
        <v>* affectedOrgan -&gt; ##34#.bodySite##34#</v>
      </c>
    </row>
    <row r="61" spans="3:3" x14ac:dyDescent="0.75">
      <c r="C61" s="17" t="str">
        <f>IF('Surg-Map'!E22="*  -&gt; ##34###34#","// --END",'Surg-Map'!E22)</f>
        <v>* affectedOrgan -&gt; ##34#.code##34#</v>
      </c>
    </row>
    <row r="62" spans="3:3" ht="29.5" x14ac:dyDescent="0.75">
      <c r="C62" s="17" t="str">
        <f>IF('Surg-Map'!E23="*  -&gt; ##34###34#","// --END",'Surg-Map'!E23)</f>
        <v>* sacrifiedOrgan -&gt; ##34#.extension('http://hl7.eu/fhir/ig/pcsp/StructureDefinition/surgery-sacrifiedOrgan').valueCodeableConcept##34#</v>
      </c>
    </row>
    <row r="63" spans="3:3" x14ac:dyDescent="0.75">
      <c r="C63" s="17" t="str">
        <f>IF('Surg-Map'!E24="*  -&gt; ##34###34#","// --END",'Surg-Map'!E24)</f>
        <v>* sacrifiedOrgan -&gt; ##34#.code##34#</v>
      </c>
    </row>
    <row r="64" spans="3:3" ht="29.5" x14ac:dyDescent="0.75">
      <c r="C64" s="17" t="str">
        <f>IF('Surg-Map'!E25="*  -&gt; ##34###34#","// --END",'Surg-Map'!E25)</f>
        <v>* shuntApplication -&gt; ##34#Procedure.conformsTo('http://hl7.eu/fhir/ig/pcsp/StructureDefinition/Procedure-surgery-eu-pcsp').where(code.memberOf(ShuntProcedureTypeVs))##34#</v>
      </c>
    </row>
    <row r="65" spans="3:3" x14ac:dyDescent="0.75">
      <c r="C65" s="17" t="str">
        <f>IF('Surg-Map'!E26="*  -&gt; ##34###34#","// --END",'Surg-Map'!E26)</f>
        <v>* shuntApplication.type -&gt; ##34#.code##34#</v>
      </c>
    </row>
    <row r="66" spans="3:3" ht="29.5" x14ac:dyDescent="0.75">
      <c r="C66" s="17" t="str">
        <f>IF('Surg-Map'!E27="*  -&gt; ##34###34#","// --END",'Surg-Map'!E27)</f>
        <v>* shuntApplication.laterality -&gt; ##34#.extension('http://hl7.eu/fhir/ig/pcsp/StructureDefinition/mcode-laterality-qualifier').valueCodeableConcept##34#</v>
      </c>
    </row>
    <row r="67" spans="3:3" x14ac:dyDescent="0.75">
      <c r="C67" s="17" t="str">
        <f>IF('Surg-Map'!E28="*  -&gt; ##34###34#","// --END",'Surg-Map'!E28)</f>
        <v>* shuntApplication.isRemoved -&gt; ##34#.focalDevice.action##34#</v>
      </c>
    </row>
    <row r="68" spans="3:3" ht="29.5" x14ac:dyDescent="0.75">
      <c r="C68" s="17" t="str">
        <f>IF('Surg-Map'!E29="*  -&gt; ##34###34#","// --END",'Surg-Map'!E29)</f>
        <v>* amputation -&gt; ##34#Procedure.conformsTo('http://hl7.eu/fhir/ig/pcsp/StructureDefinition/Procedure-surgery-eu-pcsp').where(code.memberOf(AmputationProcedureTypeVs)).exists()##34#</v>
      </c>
    </row>
    <row r="69" spans="3:3" ht="29.5" x14ac:dyDescent="0.75">
      <c r="C69" s="17" t="str">
        <f>IF('Surg-Map'!E30="*  -&gt; ##34###34#","// --END",'Surg-Map'!E30)</f>
        <v>* prothesis -&gt; ##34#Procedure.conformsTo('http://hl7.eu/fhir/ig/pcsp/StructureDefinition/Procedure-surgery-eu-pcsp').where(code.memberOf(ProstheticProcedureTypeVs))##34#</v>
      </c>
    </row>
    <row r="70" spans="3:3" x14ac:dyDescent="0.75">
      <c r="C70" s="17" t="str">
        <f>IF('Surg-Map'!E31="*  -&gt; ##34###34#","// --END",'Surg-Map'!E31)</f>
        <v>* prothesis.status -&gt; ##34#.exists()##34#</v>
      </c>
    </row>
    <row r="71" spans="3:3" x14ac:dyDescent="0.75">
      <c r="C71" s="17" t="str">
        <f>IF('Surg-Map'!E32="*  -&gt; ##34###34#","// --END",'Surg-Map'!E32)</f>
        <v>* prothesis.deviceType -&gt; ##34#usedCode##34#</v>
      </c>
    </row>
    <row r="72" spans="3:3" ht="29.5" x14ac:dyDescent="0.75">
      <c r="C72" s="17" t="str">
        <f>IF('Surg-Map'!E33="*  -&gt; ##34###34#","// --END",'Surg-Map'!E33)</f>
        <v>* colostomy -&gt; ##34#Procedure.conformsTo('http://hl7.eu/fhir/ig/pcsp/StructureDefinition/Procedure-surgery-eu-pcsp').where(code.memberOf(ColostomyProcedureTypeVs))##34#</v>
      </c>
    </row>
    <row r="73" spans="3:3" x14ac:dyDescent="0.75">
      <c r="C73" s="17" t="str">
        <f>IF('Surg-Map'!E34="*  -&gt; ##34###34#","// --END",'Surg-Map'!E34)</f>
        <v>* colostomy.status -&gt; ##34#.exists()##34#</v>
      </c>
    </row>
    <row r="74" spans="3:3" x14ac:dyDescent="0.75">
      <c r="C74" s="17" t="str">
        <f>IF('Surg-Map'!E35="*  -&gt; ##34###34#","// --END",'Surg-Map'!E35)</f>
        <v>* colostomy.isRemoved -&gt; ##34#.focalDevice.action##34#</v>
      </c>
    </row>
    <row r="75" spans="3:3" ht="29.5" x14ac:dyDescent="0.75">
      <c r="C75" s="17" t="str">
        <f>IF('Surg-Map'!E36="*  -&gt; ##34###34#","// --END",'Surg-Map'!E36)</f>
        <v>* gastrostomy -&gt; ##34#Procedure.conformsTo('http://hl7.eu/fhir/ig/pcsp/StructureDefinition/Procedure-surgery-eu-pcsp').where(code.memberOf(GastrostomyProcedureTypeVs)).exists()##34#</v>
      </c>
    </row>
    <row r="76" spans="3:3" x14ac:dyDescent="0.75">
      <c r="C76" s="17" t="str">
        <f>IF('Surg-Map'!E37="*  -&gt; ##34###34#","// --END",'Surg-Map'!E37)</f>
        <v>// --END</v>
      </c>
    </row>
    <row r="77" spans="3:3" x14ac:dyDescent="0.75">
      <c r="C77" s="17" t="str">
        <f>IF('Surg-Map'!E38="*  -&gt; ##34###34#","// --END",'Surg-Map'!E38)</f>
        <v>// --END</v>
      </c>
    </row>
    <row r="78" spans="3:3" x14ac:dyDescent="0.75">
      <c r="C78" s="17" t="str">
        <f>IF('Surg-Map'!E39="*  -&gt; ##34###34#","// --END",'Surg-Map'!E39)</f>
        <v>// --END</v>
      </c>
    </row>
    <row r="79" spans="3:3" x14ac:dyDescent="0.75">
      <c r="C79" s="17" t="str">
        <f>IF('Surg-Map'!E40="*  -&gt; ##34###34#","// --END",'Surg-Map'!E40)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76B4B-B6E7-4BA4-BBE2-211595171998}">
  <sheetPr codeName="Foglio45">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OtherInfos</v>
      </c>
      <c r="I4" s="27" t="str">
        <f>CONCATENATE("Logical: ",B4)</f>
        <v>Logical: OtherInfos</v>
      </c>
    </row>
    <row r="5" spans="1:11" ht="15.5" thickBot="1" x14ac:dyDescent="0.9">
      <c r="A5" s="22" t="s">
        <v>76</v>
      </c>
      <c r="B5" s="87" t="s">
        <v>1242</v>
      </c>
      <c r="I5" s="27" t="str">
        <f>CONCATENATE("Id: ",B5)</f>
        <v>Id: OtherInfos</v>
      </c>
    </row>
    <row r="6" spans="1:11" x14ac:dyDescent="0.75">
      <c r="A6" s="22" t="s">
        <v>11</v>
      </c>
      <c r="B6" t="s">
        <v>21</v>
      </c>
      <c r="I6" s="28" t="str">
        <f>CONCATENATE("Title: ##34#",B6,"##34#")</f>
        <v>Title: ##34#Other info and relevant events##34#</v>
      </c>
    </row>
    <row r="7" spans="1:11" ht="30.25" thickBot="1" x14ac:dyDescent="0.9">
      <c r="A7" s="23" t="s">
        <v>4</v>
      </c>
      <c r="B7" s="1" t="s">
        <v>1241</v>
      </c>
      <c r="C7" s="12" t="s">
        <v>5</v>
      </c>
      <c r="D7" s="2" t="s">
        <v>6</v>
      </c>
      <c r="E7" s="3" t="s">
        <v>7</v>
      </c>
      <c r="F7" s="3" t="s">
        <v>8</v>
      </c>
      <c r="G7" s="3" t="s">
        <v>9</v>
      </c>
      <c r="I7" s="28" t="str">
        <f>CONCATENATE("Description: "," ##334#",B7,"##334#",)</f>
        <v>Description:  ##334#Other info and relevant events
Maturity Level: 2 - Ready for Review##334#</v>
      </c>
    </row>
    <row r="8" spans="1:11" ht="59" x14ac:dyDescent="0.75">
      <c r="A8" s="8">
        <v>1</v>
      </c>
      <c r="B8" s="8" t="s">
        <v>12</v>
      </c>
      <c r="C8" s="8" t="s">
        <v>702</v>
      </c>
      <c r="D8" s="1" t="s">
        <v>704</v>
      </c>
      <c r="E8" s="8">
        <v>0</v>
      </c>
      <c r="F8" s="8">
        <v>1</v>
      </c>
      <c r="G8" s="8" t="s">
        <v>0</v>
      </c>
      <c r="H8" s="25"/>
      <c r="I8" s="17" t="str">
        <f>CONCATENATE("* ",B8, " ",E8,"..",F8," ",G8," ##34#",C8,"##34# ##334#",D8,"##334#")</f>
        <v>* identifier 0..1 Identifier ##34#Relevant event number##34# ##334#Progressive number of relevant event  (1=first; 2= second; 3 = third; …).
In this field must be reported the ordinal number of relevant event to be described.##334#</v>
      </c>
    </row>
    <row r="9" spans="1:11" ht="59" x14ac:dyDescent="0.75">
      <c r="A9" s="8">
        <v>2</v>
      </c>
      <c r="B9" s="8" t="s">
        <v>72</v>
      </c>
      <c r="C9" s="8" t="s">
        <v>149</v>
      </c>
      <c r="D9" s="17" t="s">
        <v>701</v>
      </c>
      <c r="E9" s="8">
        <v>0</v>
      </c>
      <c r="F9" s="8">
        <v>1</v>
      </c>
      <c r="G9" s="8" t="s">
        <v>0</v>
      </c>
      <c r="H9" s="25"/>
      <c r="I9" s="17" t="str">
        <f t="shared" ref="I9:I41" si="0">CONCATENATE("* ",B9, " ",E9,"..",F9," ",G9," ##34#",C9,"##34# ##334#",D9,"##334#")</f>
        <v>* relatedDiagnosis 0..1 Identifier ##34#Progressive number of diagnosis##34# ##334#Progressive number of diagnosis (1=first; 2= second; 3 = third; …).  
In this field must be reported the ordinal number of the tumor diagnosis in which other info or relevant events occurred##334#</v>
      </c>
    </row>
    <row r="10" spans="1:11" ht="73.75" x14ac:dyDescent="0.75">
      <c r="A10" s="8">
        <v>3</v>
      </c>
      <c r="B10" s="8" t="s">
        <v>1121</v>
      </c>
      <c r="C10" s="8" t="s">
        <v>291</v>
      </c>
      <c r="D10" s="17" t="s">
        <v>704</v>
      </c>
      <c r="E10" s="8">
        <v>0</v>
      </c>
      <c r="F10" s="8">
        <v>1</v>
      </c>
      <c r="G10" s="8" t="s">
        <v>0</v>
      </c>
      <c r="H10" s="25"/>
      <c r="I10" s="17" t="str">
        <f t="shared" si="0"/>
        <v>* relatedRelapse 0..1 Identifier ##34#Progressive number of relapse/progression (after FLT)##34# ##334#Progressive number of relevant event  (1=first; 2= second; 3 = third; …).
In this field must be reported the ordinal number of relevant event to be described.##334#</v>
      </c>
    </row>
    <row r="11" spans="1:11" ht="29.5" x14ac:dyDescent="0.75">
      <c r="A11" s="8">
        <v>4</v>
      </c>
      <c r="B11" s="1" t="s">
        <v>1243</v>
      </c>
      <c r="C11" s="8" t="s">
        <v>1244</v>
      </c>
      <c r="D11" s="8" t="s">
        <v>705</v>
      </c>
      <c r="E11" s="8">
        <v>0</v>
      </c>
      <c r="F11" s="8">
        <v>10</v>
      </c>
      <c r="G11" s="8" t="s">
        <v>841</v>
      </c>
      <c r="H11" s="25"/>
      <c r="I11" s="17" t="str">
        <f t="shared" si="0"/>
        <v>* severeToxicity 0..10 BackboneElement ##34#Important toxicity during treatment##34# ##334#Important toxicity during treatment  ##334#</v>
      </c>
    </row>
    <row r="12" spans="1:11" ht="132.75" x14ac:dyDescent="0.75">
      <c r="A12" s="8">
        <v>5</v>
      </c>
      <c r="B12" s="1" t="s">
        <v>1245</v>
      </c>
      <c r="C12" s="8" t="s">
        <v>1244</v>
      </c>
      <c r="D12" s="17" t="s">
        <v>1246</v>
      </c>
      <c r="E12" s="8">
        <v>0</v>
      </c>
      <c r="F12" s="8" t="s">
        <v>851</v>
      </c>
      <c r="G12" s="8" t="s">
        <v>1</v>
      </c>
      <c r="H12" s="25"/>
      <c r="I12" s="17" t="str">
        <f t="shared" si="0"/>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1:11" ht="29.5" x14ac:dyDescent="0.75">
      <c r="A13" s="8">
        <v>6</v>
      </c>
      <c r="B13" s="17" t="s">
        <v>1247</v>
      </c>
      <c r="C13" s="8" t="s">
        <v>708</v>
      </c>
      <c r="D13" s="8" t="s">
        <v>708</v>
      </c>
      <c r="E13" s="8">
        <v>0</v>
      </c>
      <c r="F13" s="8">
        <v>1</v>
      </c>
      <c r="G13" s="8" t="s">
        <v>929</v>
      </c>
      <c r="H13" s="25"/>
      <c r="I13" s="17" t="str">
        <f t="shared" si="0"/>
        <v>* severeToxicity.numberOfToxicity 0..1 integer ##34#Number of toxicity##34# ##334#Number of toxicity##334#</v>
      </c>
    </row>
    <row r="14" spans="1:11" ht="44.25" x14ac:dyDescent="0.75">
      <c r="A14" s="8">
        <v>7</v>
      </c>
      <c r="B14" s="17" t="s">
        <v>1248</v>
      </c>
      <c r="C14" s="8" t="s">
        <v>1249</v>
      </c>
      <c r="D14" s="17" t="s">
        <v>715</v>
      </c>
      <c r="E14" s="8">
        <v>1</v>
      </c>
      <c r="F14" s="8">
        <v>1</v>
      </c>
      <c r="G14" s="8" t="s">
        <v>906</v>
      </c>
      <c r="H14" s="25"/>
      <c r="I14" s="17" t="str">
        <f t="shared" si="0"/>
        <v>* severeToxicity.date 1..1 dateTime ##34#Date of event##34# ##334#Date (dd/mm/yyyy) of the event. If the date is unkown or partially missed insert the year at the best of your knowledge.##334#</v>
      </c>
    </row>
    <row r="15" spans="1:11" ht="73.75" x14ac:dyDescent="0.75">
      <c r="A15" s="8">
        <v>8</v>
      </c>
      <c r="B15" s="17" t="s">
        <v>1250</v>
      </c>
      <c r="C15" s="8" t="s">
        <v>4</v>
      </c>
      <c r="D15" s="17" t="s">
        <v>718</v>
      </c>
      <c r="E15" s="8">
        <v>1</v>
      </c>
      <c r="F15" s="8">
        <v>1</v>
      </c>
      <c r="G15" s="8" t="s">
        <v>2</v>
      </c>
      <c r="H15" s="25"/>
      <c r="I15" s="17" t="str">
        <f t="shared" si="0"/>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c r="J15" s="21"/>
      <c r="K15" s="8"/>
    </row>
    <row r="16" spans="1:11" ht="29.5" x14ac:dyDescent="0.75">
      <c r="A16" s="8">
        <v>9</v>
      </c>
      <c r="B16" s="17" t="s">
        <v>1251</v>
      </c>
      <c r="C16" s="99" t="s">
        <v>719</v>
      </c>
      <c r="D16" s="17" t="s">
        <v>722</v>
      </c>
      <c r="E16" s="8">
        <v>0</v>
      </c>
      <c r="F16" s="8">
        <v>1</v>
      </c>
      <c r="G16" s="8" t="s">
        <v>1</v>
      </c>
      <c r="I16" s="17" t="str">
        <f t="shared" si="0"/>
        <v>* severeToxicity.isResolved 0..1 CodeableConcept ##34#Resolved ?##34# ##334#Please specify if the event is resolved or not##334#</v>
      </c>
    </row>
    <row r="17" spans="1:9" ht="29.5" x14ac:dyDescent="0.75">
      <c r="A17" s="8">
        <v>10</v>
      </c>
      <c r="B17" s="8" t="s">
        <v>1252</v>
      </c>
      <c r="C17" s="8" t="s">
        <v>723</v>
      </c>
      <c r="D17" s="17" t="s">
        <v>725</v>
      </c>
      <c r="E17" s="8">
        <v>0</v>
      </c>
      <c r="F17" s="8">
        <v>1</v>
      </c>
      <c r="G17" s="8" t="s">
        <v>1</v>
      </c>
      <c r="I17" s="17" t="str">
        <f t="shared" si="0"/>
        <v>* hypogonadal 0..1 CodeableConcept ##34#Hypogonadal ?##34# ##334#Please specify if hypogonadal occured during therapy##334#</v>
      </c>
    </row>
    <row r="18" spans="1:9" ht="44.25" x14ac:dyDescent="0.75">
      <c r="A18" s="8">
        <v>11</v>
      </c>
      <c r="B18" s="17" t="s">
        <v>1253</v>
      </c>
      <c r="C18" s="17" t="s">
        <v>726</v>
      </c>
      <c r="D18" s="17" t="s">
        <v>728</v>
      </c>
      <c r="E18" s="8">
        <v>0</v>
      </c>
      <c r="F18" s="8">
        <v>1</v>
      </c>
      <c r="G18" s="8" t="s">
        <v>1</v>
      </c>
      <c r="I18" s="17" t="str">
        <f t="shared" si="0"/>
        <v>* growthHormoneDeficiency 0..1 CodeableConcept ##34#Growth hormone deficiency ?##34# ##334#Please specify if growth hormon deficiency occured during therapy##334#</v>
      </c>
    </row>
    <row r="19" spans="1:9" ht="29.5" x14ac:dyDescent="0.75">
      <c r="A19" s="8">
        <v>12</v>
      </c>
      <c r="B19" s="17" t="s">
        <v>1254</v>
      </c>
      <c r="C19" s="17" t="s">
        <v>729</v>
      </c>
      <c r="D19" s="17" t="s">
        <v>731</v>
      </c>
      <c r="E19" s="8">
        <v>0</v>
      </c>
      <c r="F19" s="8">
        <v>1</v>
      </c>
      <c r="G19" s="8" t="s">
        <v>1</v>
      </c>
      <c r="I19" s="17" t="str">
        <f t="shared" si="0"/>
        <v>* hydrocephalus 0..1 CodeableConcept ##34#Hydrocephalus ?##34# ##334#Please specify if hydrocephalus occured during therapy##334#</v>
      </c>
    </row>
    <row r="20" spans="1:9" ht="44.25" x14ac:dyDescent="0.75">
      <c r="A20" s="8">
        <v>13</v>
      </c>
      <c r="B20" s="17" t="s">
        <v>1255</v>
      </c>
      <c r="C20" s="17" t="s">
        <v>732</v>
      </c>
      <c r="D20" s="17" t="s">
        <v>734</v>
      </c>
      <c r="E20" s="8">
        <v>0</v>
      </c>
      <c r="F20" s="8">
        <v>1</v>
      </c>
      <c r="G20" s="8" t="s">
        <v>1</v>
      </c>
      <c r="I20" s="17" t="str">
        <f t="shared" si="0"/>
        <v>* chronicViralHepatitis 0..1 CodeableConcept ##34#Chronic viral hepatitis ?##34# ##334#Please specify if chronic viral hepatitis occured during therapy##334#</v>
      </c>
    </row>
    <row r="21" spans="1:9" ht="44.25" x14ac:dyDescent="0.75">
      <c r="A21" s="8">
        <v>14</v>
      </c>
      <c r="B21" s="99" t="s">
        <v>1256</v>
      </c>
      <c r="C21" s="99" t="s">
        <v>735</v>
      </c>
      <c r="D21" s="85" t="s">
        <v>737</v>
      </c>
      <c r="E21" s="8">
        <v>0</v>
      </c>
      <c r="F21" s="8">
        <v>1</v>
      </c>
      <c r="G21" s="8" t="s">
        <v>1</v>
      </c>
      <c r="I21" s="17" t="str">
        <f t="shared" si="0"/>
        <v>* sinusoidalObstructionSyndrome 0..1 CodeableConcept ##34#Sinusoidal obstruction syndrome ?##34# ##334#Please specify if sinusoidal obstruction syndrome occured during therapy##334#</v>
      </c>
    </row>
    <row r="22" spans="1:9" ht="29.5" x14ac:dyDescent="0.75">
      <c r="A22" s="8">
        <v>15</v>
      </c>
      <c r="B22" s="99" t="s">
        <v>1257</v>
      </c>
      <c r="C22" s="99" t="s">
        <v>1258</v>
      </c>
      <c r="D22" s="85" t="s">
        <v>741</v>
      </c>
      <c r="E22" s="8">
        <v>0</v>
      </c>
      <c r="F22" s="8">
        <v>1</v>
      </c>
      <c r="G22" s="8" t="s">
        <v>841</v>
      </c>
      <c r="I22" s="17" t="str">
        <f t="shared" si="0"/>
        <v>* catheter 0..1 BackboneElement ##34#CVC positioning##34# ##334#Please report if at least one central venous line (catheter) was positioned##334#</v>
      </c>
    </row>
    <row r="23" spans="1:9" ht="29.5" x14ac:dyDescent="0.75">
      <c r="A23" s="8">
        <v>16</v>
      </c>
      <c r="B23" s="99" t="s">
        <v>1259</v>
      </c>
      <c r="C23" s="99" t="s">
        <v>1260</v>
      </c>
      <c r="D23" s="85" t="s">
        <v>746</v>
      </c>
      <c r="E23" s="8">
        <v>0</v>
      </c>
      <c r="F23" s="8">
        <v>1</v>
      </c>
      <c r="G23" s="8" t="s">
        <v>1</v>
      </c>
      <c r="I23" s="17" t="str">
        <f t="shared" si="0"/>
        <v>* catheter.isInPlace 0..1 CodeableConcept ##34#If yes##34# ##334#Report if the CVC is still in place or was removed##334#</v>
      </c>
    </row>
    <row r="24" spans="1:9" ht="29.5" x14ac:dyDescent="0.75">
      <c r="A24" s="8">
        <v>17</v>
      </c>
      <c r="B24" s="99" t="s">
        <v>1261</v>
      </c>
      <c r="C24" s="99" t="s">
        <v>747</v>
      </c>
      <c r="D24" s="85" t="s">
        <v>749</v>
      </c>
      <c r="E24" s="8">
        <v>0</v>
      </c>
      <c r="F24" s="8">
        <v>1</v>
      </c>
      <c r="G24" s="8" t="s">
        <v>2</v>
      </c>
      <c r="I24" s="17" t="str">
        <f t="shared" si="0"/>
        <v>* catheter.site 0..1 string ##34#Specify the site##34# ##334#Report where (in which vein) the CVC was positioned##334#</v>
      </c>
    </row>
    <row r="25" spans="1:9" ht="29.5" x14ac:dyDescent="0.75">
      <c r="A25" s="8">
        <v>18</v>
      </c>
      <c r="B25" s="8" t="s">
        <v>1262</v>
      </c>
      <c r="C25" s="8" t="s">
        <v>750</v>
      </c>
      <c r="D25" s="8" t="s">
        <v>750</v>
      </c>
      <c r="E25" s="8">
        <v>0</v>
      </c>
      <c r="F25" s="8">
        <v>1</v>
      </c>
      <c r="G25" s="8" t="s">
        <v>841</v>
      </c>
      <c r="I25" s="17" t="str">
        <f t="shared" si="0"/>
        <v>* catheter.relatedThrombosis 0..1 BackboneElement ##34#Catheter-related thrombosis##34# ##334#Catheter-related thrombosis##334#</v>
      </c>
    </row>
    <row r="26" spans="1:9" ht="44.25" x14ac:dyDescent="0.75">
      <c r="A26" s="8">
        <v>19</v>
      </c>
      <c r="B26" s="8" t="s">
        <v>1263</v>
      </c>
      <c r="C26" s="8" t="s">
        <v>1264</v>
      </c>
      <c r="D26" s="17" t="s">
        <v>752</v>
      </c>
      <c r="E26" s="8">
        <v>0</v>
      </c>
      <c r="F26" s="8">
        <v>1</v>
      </c>
      <c r="G26" s="8" t="s">
        <v>1</v>
      </c>
      <c r="I26" s="17" t="str">
        <f t="shared" si="0"/>
        <v>* catheter.relatedThrombosis.occurred 0..1 CodeableConcept ##34#Yes/No/UNK##34# ##334#Report if there was a catheter-related thrombosis due to a central venous catheter.##334#</v>
      </c>
    </row>
    <row r="27" spans="1:9" ht="59" x14ac:dyDescent="0.75">
      <c r="A27" s="8">
        <v>20</v>
      </c>
      <c r="B27" s="8" t="s">
        <v>1265</v>
      </c>
      <c r="C27" s="17" t="s">
        <v>753</v>
      </c>
      <c r="D27" s="17" t="s">
        <v>756</v>
      </c>
      <c r="E27" s="8">
        <v>0</v>
      </c>
      <c r="F27" s="8">
        <v>1</v>
      </c>
      <c r="G27" s="8" t="s">
        <v>2</v>
      </c>
      <c r="I27" s="17" t="str">
        <f t="shared" si="0"/>
        <v>* catheter.relatedThrombosis.specification 0..1 string ##34#Catheter-related thrombosis specification##34# ##334#Specify the details of the catheter-related thrombosis, including the location (vessel and laterality), treatment and status at the end of cancer treatment.##334#</v>
      </c>
    </row>
    <row r="28" spans="1:9" ht="29.5" x14ac:dyDescent="0.75">
      <c r="A28" s="8">
        <v>21</v>
      </c>
      <c r="B28" s="8" t="s">
        <v>1266</v>
      </c>
      <c r="C28" s="8" t="s">
        <v>1267</v>
      </c>
      <c r="D28" s="8" t="s">
        <v>757</v>
      </c>
      <c r="E28" s="8">
        <v>0</v>
      </c>
      <c r="F28" s="8">
        <v>1</v>
      </c>
      <c r="G28" s="8" t="s">
        <v>841</v>
      </c>
      <c r="I28" s="17" t="str">
        <f t="shared" si="0"/>
        <v>* transfusion 0..1 BackboneElement ##34#Transfusion##34# ##334#Transfusion  ##334#</v>
      </c>
    </row>
    <row r="29" spans="1:9" ht="44.25" x14ac:dyDescent="0.75">
      <c r="A29" s="8">
        <v>22</v>
      </c>
      <c r="B29" s="8" t="s">
        <v>1268</v>
      </c>
      <c r="C29" s="8" t="s">
        <v>1264</v>
      </c>
      <c r="D29" s="17" t="s">
        <v>760</v>
      </c>
      <c r="E29" s="8">
        <v>0</v>
      </c>
      <c r="F29" s="8">
        <v>1</v>
      </c>
      <c r="G29" s="8" t="s">
        <v>1</v>
      </c>
      <c r="I29" s="17" t="str">
        <f t="shared" si="0"/>
        <v>* transfusion.occured 0..1 CodeableConcept ##34#Yes/No/UNK##34# ##334#Please state if at least one blood (any component) transfusion was made##334#</v>
      </c>
    </row>
    <row r="30" spans="1:9" ht="44.25" x14ac:dyDescent="0.75">
      <c r="A30" s="8">
        <v>23</v>
      </c>
      <c r="B30" s="8" t="s">
        <v>1269</v>
      </c>
      <c r="C30" s="17" t="s">
        <v>1270</v>
      </c>
      <c r="D30" s="17" t="s">
        <v>764</v>
      </c>
      <c r="E30" s="8">
        <v>0</v>
      </c>
      <c r="F30" s="8">
        <v>1</v>
      </c>
      <c r="G30" s="8" t="s">
        <v>2</v>
      </c>
      <c r="I30" s="17" t="str">
        <f t="shared" si="0"/>
        <v>* transfusion.last 0..1 string ##34#Last transfusion date##34# ##334#Please  report the date of the last transfusion given. If the date is unkown or partially missed insert the year at the best of your knowledge.##334#</v>
      </c>
    </row>
    <row r="31" spans="1:9" ht="44.25" x14ac:dyDescent="0.75">
      <c r="A31" s="8">
        <v>24</v>
      </c>
      <c r="B31" s="8" t="s">
        <v>1271</v>
      </c>
      <c r="C31" s="8" t="s">
        <v>765</v>
      </c>
      <c r="D31" s="17" t="s">
        <v>767</v>
      </c>
      <c r="E31" s="8">
        <v>0</v>
      </c>
      <c r="F31" s="8">
        <v>1</v>
      </c>
      <c r="G31" s="8" t="s">
        <v>1</v>
      </c>
      <c r="I31" s="17" t="str">
        <f t="shared" si="0"/>
        <v>* transfusion.moreThan10 0..1 CodeableConcept ##34#&gt;= 10 Transfusions ?##34# ##334#Please specify if patient recieved 10 or more than 10 trasfusions during therapy##334#</v>
      </c>
    </row>
    <row r="32" spans="1:9" ht="44.25" x14ac:dyDescent="0.75">
      <c r="A32" s="8">
        <v>25</v>
      </c>
      <c r="B32" s="17" t="s">
        <v>1272</v>
      </c>
      <c r="C32" s="8" t="s">
        <v>1273</v>
      </c>
      <c r="D32" s="17" t="s">
        <v>770</v>
      </c>
      <c r="E32" s="8">
        <v>0</v>
      </c>
      <c r="F32" s="8">
        <v>1</v>
      </c>
      <c r="G32" s="8" t="s">
        <v>841</v>
      </c>
      <c r="I32" s="17" t="str">
        <f t="shared" si="0"/>
        <v>* fertilityPreservation 0..1 BackboneElement ##34#Fertility preservation##34# ##334#Please state if any procedure was performed for fertility preservation##334#</v>
      </c>
    </row>
    <row r="33" spans="1:9" ht="44.25" x14ac:dyDescent="0.75">
      <c r="A33" s="8">
        <v>26</v>
      </c>
      <c r="B33" s="17" t="s">
        <v>1274</v>
      </c>
      <c r="C33" s="8" t="s">
        <v>4</v>
      </c>
      <c r="D33" s="17" t="s">
        <v>774</v>
      </c>
      <c r="E33" s="8">
        <v>0</v>
      </c>
      <c r="F33" s="8">
        <v>1</v>
      </c>
      <c r="G33" s="8" t="s">
        <v>1</v>
      </c>
      <c r="I33" s="17" t="str">
        <f t="shared" si="0"/>
        <v>* fertilityPreservation.description 0..1 CodeableConcept ##34#Description##34# ##334#If fertility preservation was performed,please  describe it##334#</v>
      </c>
    </row>
    <row r="34" spans="1:9" ht="59" x14ac:dyDescent="0.75">
      <c r="A34" s="8">
        <v>27</v>
      </c>
      <c r="B34" s="17" t="s">
        <v>1275</v>
      </c>
      <c r="C34" s="8" t="s">
        <v>775</v>
      </c>
      <c r="D34" s="17" t="s">
        <v>777</v>
      </c>
      <c r="E34" s="8">
        <v>0</v>
      </c>
      <c r="F34" s="8">
        <v>1</v>
      </c>
      <c r="G34" s="8" t="s">
        <v>2</v>
      </c>
      <c r="I34" s="17" t="str">
        <f t="shared" si="0"/>
        <v>* fertilityPreservation.storage 0..1 string ##34#Storage Institution##34# ##334#If fertility preservation was performed, describe with details of the institution where either sperm or ovarian tissue/oocytes have been stored##334#</v>
      </c>
    </row>
    <row r="35" spans="1:9" ht="44.25" x14ac:dyDescent="0.75">
      <c r="A35" s="8">
        <v>28</v>
      </c>
      <c r="B35" s="17" t="s">
        <v>1276</v>
      </c>
      <c r="C35" s="8" t="s">
        <v>778</v>
      </c>
      <c r="D35" s="17" t="s">
        <v>780</v>
      </c>
      <c r="E35" s="8">
        <v>0</v>
      </c>
      <c r="F35" s="8">
        <v>1</v>
      </c>
      <c r="G35" s="8" t="s">
        <v>2</v>
      </c>
      <c r="I35" s="17" t="str">
        <f t="shared" si="0"/>
        <v>* otherTreatment 0..1 string ##34#Other oncological treatments##34# ##334#Report here if any other treatment (not included in the chemotherapy, surgery or radiotherapy sections) was adminstered to the survivor##334#</v>
      </c>
    </row>
    <row r="36" spans="1:9" ht="29.5" x14ac:dyDescent="0.75">
      <c r="A36" s="8">
        <v>29</v>
      </c>
      <c r="B36" s="17" t="s">
        <v>1277</v>
      </c>
      <c r="C36" s="8" t="s">
        <v>781</v>
      </c>
      <c r="D36" s="8" t="s">
        <v>781</v>
      </c>
      <c r="E36" s="8">
        <v>0</v>
      </c>
      <c r="F36" s="8">
        <v>1</v>
      </c>
      <c r="G36" s="8" t="s">
        <v>1278</v>
      </c>
      <c r="I36" s="17" t="str">
        <f t="shared" si="0"/>
        <v>* dischargeLetter 0..1 Attachment ##34#Discharge letter##34# ##334#Discharge letter##334#</v>
      </c>
    </row>
    <row r="37" spans="1:9" x14ac:dyDescent="0.75">
      <c r="A37" s="8">
        <v>30</v>
      </c>
      <c r="B37" s="8"/>
      <c r="C37" s="89"/>
      <c r="D37" s="89"/>
      <c r="E37" s="8"/>
      <c r="F37" s="8"/>
      <c r="G37" s="8"/>
      <c r="I37" s="17" t="str">
        <f t="shared" si="0"/>
        <v>*  ..  ##34###34# ##334###334#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742C-9BA2-4B67-9CE3-11AC582C3D43}">
  <sheetPr codeName="Foglio46"/>
  <dimension ref="A1:O59"/>
  <sheetViews>
    <sheetView workbookViewId="0">
      <selection activeCell="C39" sqref="C39"/>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
        <v>1354</v>
      </c>
      <c r="E4" s="30" t="str">
        <f>CONCATENATE("Mapping: ",C4)</f>
        <v>Mapping: OtherInfo2Fhir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OtherInfos model to PCSP HL7 FHIR R4 Profiles</v>
      </c>
      <c r="E6" s="31" t="str">
        <f>CONCATENATE("Title: ##34#",C6,"##34#")</f>
        <v>Title: ##34#OtherInfos model to PCSP HL7 FHIR R4 Profiles##34#</v>
      </c>
      <c r="G6" s="1"/>
      <c r="H6" s="9"/>
      <c r="I6" s="9"/>
      <c r="J6" s="9"/>
      <c r="K6" s="9"/>
      <c r="L6" s="9"/>
      <c r="M6" s="9"/>
      <c r="N6" s="9"/>
      <c r="O6" s="9"/>
    </row>
    <row r="7" spans="1:15" ht="15.5" thickBot="1" x14ac:dyDescent="0.9">
      <c r="B7" s="94" t="s">
        <v>78</v>
      </c>
      <c r="C7" s="91" t="str">
        <f>B9</f>
        <v>OtherInfos</v>
      </c>
      <c r="E7" s="31" t="str">
        <f>CONCATENATE("Source: ",C7)</f>
        <v>Source: OtherInfos</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x14ac:dyDescent="0.75">
      <c r="A9" s="8"/>
      <c r="B9" s="4" t="str">
        <f>Other!B5</f>
        <v>OtherInfos</v>
      </c>
      <c r="C9" s="20" t="s">
        <v>1279</v>
      </c>
      <c r="E9" s="4" t="str">
        <f>CONCATENATE("* . -&gt; ##34#",C9,"##34#")</f>
        <v>* . -&gt; ##34#Procedure##34#</v>
      </c>
      <c r="H9" s="9"/>
      <c r="I9" s="9"/>
      <c r="J9" s="9"/>
      <c r="K9" s="9"/>
      <c r="L9" s="9"/>
      <c r="M9" s="9"/>
      <c r="N9" s="9"/>
      <c r="O9" s="9"/>
    </row>
    <row r="10" spans="1:15" x14ac:dyDescent="0.75">
      <c r="A10" s="8"/>
      <c r="B10" s="4" t="str">
        <f>Other!B5</f>
        <v>OtherInfos</v>
      </c>
      <c r="C10" s="20" t="s">
        <v>1280</v>
      </c>
      <c r="E10" s="4" t="str">
        <f>CONCATENATE("* . -&gt; ##34#",C10,"##34#")</f>
        <v>* . -&gt; ##34#Condition##34#</v>
      </c>
      <c r="H10" s="9"/>
      <c r="I10" s="9"/>
      <c r="J10" s="9"/>
      <c r="K10" s="9"/>
      <c r="L10" s="9"/>
      <c r="M10" s="9"/>
      <c r="N10" s="9"/>
      <c r="O10" s="9"/>
    </row>
    <row r="11" spans="1:15" x14ac:dyDescent="0.75">
      <c r="A11" s="8"/>
      <c r="B11" s="17" t="str">
        <f>Other!B8</f>
        <v>identifier</v>
      </c>
      <c r="C11" s="20" t="s">
        <v>74</v>
      </c>
      <c r="E11" s="17" t="str">
        <f>CONCATENATE("* ",B11," -&gt; ##34#",C11,"##34#")</f>
        <v>* identifier -&gt; ##34#.identifier##34#</v>
      </c>
      <c r="G11" s="1"/>
      <c r="H11" s="9"/>
      <c r="I11" s="9"/>
      <c r="J11" s="9"/>
      <c r="K11" s="9"/>
      <c r="L11" s="9"/>
      <c r="M11" s="9"/>
      <c r="N11" s="9"/>
      <c r="O11" s="9"/>
    </row>
    <row r="12" spans="1:15" x14ac:dyDescent="0.75">
      <c r="A12" s="8"/>
      <c r="B12" s="17" t="str">
        <f>Other!B9</f>
        <v>relatedDiagnosis</v>
      </c>
      <c r="C12" s="20" t="s">
        <v>1281</v>
      </c>
      <c r="E12" s="17" t="str">
        <f t="shared" ref="E12:E59" si="0">CONCATENATE("* ",B12," -&gt; ##34#",C12,"##34#")</f>
        <v>* relatedDiagnosis -&gt; ##34#Procedure.reasonReference##34#</v>
      </c>
      <c r="G12" s="1"/>
      <c r="H12" s="9"/>
      <c r="I12" s="9"/>
      <c r="J12" s="9"/>
      <c r="K12" s="9"/>
      <c r="L12" s="9"/>
      <c r="M12" s="9"/>
      <c r="N12" s="9"/>
      <c r="O12" s="9"/>
    </row>
    <row r="13" spans="1:15" ht="44.25" x14ac:dyDescent="0.75">
      <c r="A13" s="8"/>
      <c r="B13" s="17" t="str">
        <f>Other!B9</f>
        <v>relatedDiagnosis</v>
      </c>
      <c r="C13" s="20" t="s">
        <v>1282</v>
      </c>
      <c r="E13" s="17" t="str">
        <f t="shared" si="0"/>
        <v>* relatedDiagnosis -&gt; ##34#extension('http://hl7.org/fhir/StructureDefinition/condition-related').valueReference##34#</v>
      </c>
      <c r="G13" s="1"/>
      <c r="H13" s="9"/>
      <c r="I13" s="9"/>
      <c r="J13" s="9"/>
      <c r="K13" s="9"/>
      <c r="L13" s="9"/>
      <c r="M13" s="9"/>
      <c r="N13" s="9"/>
      <c r="O13" s="9"/>
    </row>
    <row r="14" spans="1:15" x14ac:dyDescent="0.75">
      <c r="A14" s="8"/>
      <c r="B14" s="17" t="str">
        <f>Other!B10</f>
        <v>relatedRelapse</v>
      </c>
      <c r="C14" s="20" t="s">
        <v>1281</v>
      </c>
      <c r="E14" s="17" t="str">
        <f t="shared" si="0"/>
        <v>* relatedRelapse -&gt; ##34#Procedure.reasonReference##34#</v>
      </c>
      <c r="G14" s="1"/>
      <c r="H14" s="9"/>
      <c r="I14" s="9"/>
      <c r="J14" s="9"/>
      <c r="K14" s="9"/>
      <c r="L14" s="9"/>
      <c r="M14" s="9"/>
      <c r="N14" s="9"/>
      <c r="O14" s="9"/>
    </row>
    <row r="15" spans="1:15" ht="44.25" x14ac:dyDescent="0.75">
      <c r="A15" s="8"/>
      <c r="B15" s="17" t="str">
        <f>Other!B10</f>
        <v>relatedRelapse</v>
      </c>
      <c r="C15" s="20" t="s">
        <v>1282</v>
      </c>
      <c r="E15" s="17" t="str">
        <f t="shared" si="0"/>
        <v>* relatedRelapse -&gt; ##34#extension('http://hl7.org/fhir/StructureDefinition/condition-related').valueReference##34#</v>
      </c>
      <c r="G15" s="1"/>
      <c r="H15" s="9"/>
      <c r="I15" s="9"/>
      <c r="J15" s="9"/>
      <c r="K15" s="9"/>
      <c r="L15" s="9"/>
      <c r="M15" s="9"/>
      <c r="N15" s="9"/>
      <c r="O15" s="9"/>
    </row>
    <row r="16" spans="1:15" ht="44.25" x14ac:dyDescent="0.75">
      <c r="A16" s="8"/>
      <c r="B16" s="17" t="str">
        <f>Other!B11</f>
        <v>severeToxicity</v>
      </c>
      <c r="C16" s="17" t="s">
        <v>1283</v>
      </c>
      <c r="E16" s="17" t="str">
        <f t="shared" si="0"/>
        <v>* severeToxicity -&gt; ##34#Condition.conformsTo('http://hl7.eu/fhir/ig/pcsp/StructureDefinition/Condition-toxicity-eu-pcsp')##34#</v>
      </c>
      <c r="G16" s="1"/>
      <c r="H16" s="9"/>
      <c r="I16" s="9"/>
      <c r="J16" s="9"/>
      <c r="K16" s="9"/>
      <c r="L16" s="9"/>
      <c r="M16" s="9"/>
      <c r="N16" s="9"/>
      <c r="O16" s="9"/>
    </row>
    <row r="17" spans="1:15" x14ac:dyDescent="0.75">
      <c r="A17" s="8"/>
      <c r="B17" s="17" t="str">
        <f>Other!B12</f>
        <v>severeToxicity.flag</v>
      </c>
      <c r="C17" s="17" t="s">
        <v>1114</v>
      </c>
      <c r="E17" s="17" t="str">
        <f t="shared" si="0"/>
        <v>* severeToxicity.flag -&gt; ##34#.exists()##34#</v>
      </c>
      <c r="G17" s="1"/>
      <c r="H17" s="9"/>
      <c r="I17" s="9"/>
      <c r="J17" s="9"/>
      <c r="K17" s="9"/>
      <c r="L17" s="9"/>
      <c r="M17" s="9"/>
      <c r="N17" s="9"/>
      <c r="O17" s="9"/>
    </row>
    <row r="18" spans="1:15" x14ac:dyDescent="0.75">
      <c r="A18" s="8"/>
      <c r="B18" s="17" t="str">
        <f>Other!B12</f>
        <v>severeToxicity.flag</v>
      </c>
      <c r="C18" s="17" t="s">
        <v>1284</v>
      </c>
      <c r="E18" s="17" t="str">
        <f t="shared" si="0"/>
        <v>* severeToxicity.flag -&gt; ##34#.verificationStatus##34#</v>
      </c>
      <c r="G18" s="1"/>
      <c r="H18" s="9"/>
      <c r="I18" s="9"/>
      <c r="J18" s="9"/>
      <c r="K18" s="9"/>
      <c r="L18" s="9"/>
      <c r="M18" s="9"/>
      <c r="N18" s="9"/>
      <c r="O18" s="9"/>
    </row>
    <row r="19" spans="1:15" x14ac:dyDescent="0.75">
      <c r="A19" s="8"/>
      <c r="B19" s="17" t="str">
        <f>Other!B13</f>
        <v>severeToxicity.numberOfToxicity</v>
      </c>
      <c r="C19" s="17" t="s">
        <v>74</v>
      </c>
      <c r="E19" s="17" t="str">
        <f t="shared" si="0"/>
        <v>* severeToxicity.numberOfToxicity -&gt; ##34#.identifier##34#</v>
      </c>
      <c r="G19" s="1"/>
      <c r="H19" s="9"/>
      <c r="I19" s="9"/>
      <c r="J19" s="9"/>
      <c r="K19" s="9"/>
      <c r="L19" s="9"/>
      <c r="M19" s="9"/>
      <c r="N19" s="9"/>
      <c r="O19" s="9"/>
    </row>
    <row r="20" spans="1:15" x14ac:dyDescent="0.75">
      <c r="A20" s="8"/>
      <c r="B20" s="17" t="str">
        <f>Other!B14</f>
        <v>severeToxicity.date</v>
      </c>
      <c r="C20" s="17" t="s">
        <v>1285</v>
      </c>
      <c r="E20" s="17" t="str">
        <f t="shared" si="0"/>
        <v>* severeToxicity.date -&gt; ##34#.onsetDateTime##34#</v>
      </c>
      <c r="G20" s="1"/>
    </row>
    <row r="21" spans="1:15" x14ac:dyDescent="0.75">
      <c r="A21" s="8"/>
      <c r="B21" s="17" t="str">
        <f>Other!B15</f>
        <v>severeToxicity.description</v>
      </c>
      <c r="C21" s="17" t="s">
        <v>1224</v>
      </c>
      <c r="E21" s="17" t="str">
        <f t="shared" si="0"/>
        <v>* severeToxicity.description -&gt; ##34#.text##34#</v>
      </c>
      <c r="G21" s="1"/>
    </row>
    <row r="22" spans="1:15" x14ac:dyDescent="0.75">
      <c r="A22" s="8"/>
      <c r="B22" s="17" t="str">
        <f>Other!B15</f>
        <v>severeToxicity.description</v>
      </c>
      <c r="C22" s="17" t="s">
        <v>1233</v>
      </c>
      <c r="E22" s="17" t="str">
        <f t="shared" si="0"/>
        <v>* severeToxicity.description -&gt; ##34#.note##34#</v>
      </c>
      <c r="G22" s="1"/>
    </row>
    <row r="23" spans="1:15" x14ac:dyDescent="0.75">
      <c r="A23" s="8"/>
      <c r="B23" s="17" t="str">
        <f>Other!B16</f>
        <v>severeToxicity.isResolved</v>
      </c>
      <c r="C23" s="17" t="s">
        <v>1286</v>
      </c>
      <c r="E23" s="17" t="str">
        <f t="shared" si="0"/>
        <v>* severeToxicity.isResolved -&gt; ##34#.clinicalStatus##34#</v>
      </c>
      <c r="G23" s="1"/>
    </row>
    <row r="24" spans="1:15" ht="59" x14ac:dyDescent="0.75">
      <c r="A24" s="8"/>
      <c r="B24" s="17" t="str">
        <f>Other!B17</f>
        <v>hypogonadal</v>
      </c>
      <c r="C24" s="17" t="s">
        <v>1287</v>
      </c>
      <c r="E24" s="17" t="str">
        <f t="shared" si="0"/>
        <v>* hypogonadal -&gt; ##34#Condition.conformsTo('http://hl7.eu/fhir/ig/pcsp/StructureDefinition/Condition-otherinfos-eu-pcsp').where(code = http://snomed.info/sct#48130008 'Hypogonadism').exists()##34#</v>
      </c>
      <c r="G24" s="1"/>
    </row>
    <row r="25" spans="1:15" ht="59" x14ac:dyDescent="0.75">
      <c r="A25" s="8"/>
      <c r="B25" s="17" t="str">
        <f>Other!B18</f>
        <v>growthHormoneDeficiency</v>
      </c>
      <c r="C25" s="17" t="s">
        <v>1288</v>
      </c>
      <c r="E25" s="17" t="str">
        <f t="shared" si="0"/>
        <v>* growthHormoneDeficiency -&gt; ##34#Condition.conformsTo('http://hl7.eu/fhir/ig/pcsp/StructureDefinition/Condition-otherinfos-eu-pcsp').where(code = http://snomed.info/sct#397827003 'Growth hormone deficiency').exists()##34#</v>
      </c>
      <c r="G25" s="1"/>
    </row>
    <row r="26" spans="1:15" ht="59" x14ac:dyDescent="0.75">
      <c r="A26" s="8"/>
      <c r="B26" s="17" t="str">
        <f>Other!B19</f>
        <v>hydrocephalus</v>
      </c>
      <c r="C26" s="17" t="s">
        <v>1289</v>
      </c>
      <c r="E26" s="17" t="str">
        <f t="shared" si="0"/>
        <v>* hydrocephalus -&gt; ##34#Condition.conformsTo('http://hl7.eu/fhir/ig/pcsp/StructureDefinition/Condition-otherinfos-eu-pcsp').where(code = http://snomed.info/sct#230745008 'Hydrocephalus').exists()##34#</v>
      </c>
      <c r="G26" s="1"/>
    </row>
    <row r="27" spans="1:15" ht="59" x14ac:dyDescent="0.75">
      <c r="A27" s="8"/>
      <c r="B27" s="17" t="str">
        <f>Other!B20</f>
        <v>chronicViralHepatitis</v>
      </c>
      <c r="C27" s="17" t="s">
        <v>1290</v>
      </c>
      <c r="E27" s="17" t="str">
        <f t="shared" si="0"/>
        <v>* chronicViralHepatitis -&gt; ##34#Condition.conformsTo('http://hl7.eu/fhir/ig/pcsp/StructureDefinition/Condition-otherinfos-eu-pcsp').where(code = http://snomed.info/sct#10295004 'Chronic viral hepatitis').exists()##34#</v>
      </c>
      <c r="G27" s="1"/>
    </row>
    <row r="28" spans="1:15" ht="59" x14ac:dyDescent="0.75">
      <c r="A28" s="8"/>
      <c r="B28" s="17" t="str">
        <f>Other!B21</f>
        <v>sinusoidalObstructionSyndrome</v>
      </c>
      <c r="C28" s="17" t="s">
        <v>1291</v>
      </c>
      <c r="E28" s="17" t="str">
        <f t="shared" si="0"/>
        <v>* sinusoidalObstructionSyndrome -&gt; ##34#Condition.conformsTo('http://hl7.eu/fhir/ig/pcsp/StructureDefinition/Condition-otherinfos-eu-pcsp').where(code = http://snomed.info/sct#65617004 'Veno-occlusive disease of the liver').exists()##34#</v>
      </c>
      <c r="G28" s="1"/>
    </row>
    <row r="29" spans="1:15" ht="44.25" x14ac:dyDescent="0.75">
      <c r="A29" s="8"/>
      <c r="B29" s="17" t="str">
        <f>Other!B22</f>
        <v>catheter</v>
      </c>
      <c r="C29" s="17" t="s">
        <v>1292</v>
      </c>
      <c r="E29" s="17" t="str">
        <f t="shared" si="0"/>
        <v>* catheter -&gt; ##34#Procedure.conformsTo('http://hl7.eu/fhir/ig/pcsp/StructureDefinition/Procedure-cvc-otherinfos-eu-pcsp')##34#</v>
      </c>
      <c r="G29" s="1"/>
    </row>
    <row r="30" spans="1:15" x14ac:dyDescent="0.75">
      <c r="A30" s="8"/>
      <c r="B30" s="17" t="str">
        <f>Other!B23</f>
        <v>catheter.isInPlace</v>
      </c>
      <c r="C30" s="17" t="s">
        <v>1293</v>
      </c>
      <c r="E30" s="17" t="str">
        <f t="shared" si="0"/>
        <v>* catheter.isInPlace -&gt; ##34#.focalDevice.action##34#</v>
      </c>
      <c r="G30" s="1"/>
    </row>
    <row r="31" spans="1:15" x14ac:dyDescent="0.75">
      <c r="A31" s="8"/>
      <c r="B31" s="17" t="str">
        <f>Other!B24</f>
        <v>catheter.site</v>
      </c>
      <c r="C31" s="17" t="s">
        <v>75</v>
      </c>
      <c r="E31" s="17" t="str">
        <f t="shared" si="0"/>
        <v>* catheter.site -&gt; ##34#.bodySite##34#</v>
      </c>
      <c r="G31" s="1"/>
    </row>
    <row r="32" spans="1:15" ht="59" x14ac:dyDescent="0.75">
      <c r="A32" s="8"/>
      <c r="B32" s="17" t="str">
        <f>Other!B25</f>
        <v>catheter.relatedThrombosis</v>
      </c>
      <c r="C32" s="17" t="s">
        <v>1294</v>
      </c>
      <c r="E32" s="17" t="str">
        <f t="shared" si="0"/>
        <v>* catheter.relatedThrombosis -&gt; ##34#Condition.conformsTo('http://hl7.eu/fhir/ig/pcsp/StructureDefinition/Condition-otherinfos-eu-pcsp').where(code = http://snomed.info/sct#439127006 'Thrombosis')##34#</v>
      </c>
    </row>
    <row r="33" spans="1:5" ht="29.5" x14ac:dyDescent="0.75">
      <c r="A33" s="8"/>
      <c r="B33" s="17" t="str">
        <f>Other!B26</f>
        <v>catheter.relatedThrombosis.occurred</v>
      </c>
      <c r="C33" s="20" t="s">
        <v>1114</v>
      </c>
      <c r="E33" s="17" t="str">
        <f t="shared" si="0"/>
        <v>* catheter.relatedThrombosis.occurred -&gt; ##34#.exists()##34#</v>
      </c>
    </row>
    <row r="34" spans="1:5" ht="29.5" x14ac:dyDescent="0.75">
      <c r="A34" s="8"/>
      <c r="B34" s="17" t="str">
        <f>Other!B27</f>
        <v>catheter.relatedThrombosis.specification</v>
      </c>
      <c r="C34" s="20" t="s">
        <v>1224</v>
      </c>
      <c r="E34" s="17" t="str">
        <f t="shared" si="0"/>
        <v>* catheter.relatedThrombosis.specification -&gt; ##34#.text##34#</v>
      </c>
    </row>
    <row r="35" spans="1:5" ht="44.25" x14ac:dyDescent="0.75">
      <c r="B35" s="17" t="str">
        <f>Other!B28</f>
        <v>transfusion</v>
      </c>
      <c r="C35" s="20" t="s">
        <v>1295</v>
      </c>
      <c r="E35" s="17" t="str">
        <f t="shared" si="0"/>
        <v>* transfusion -&gt; ##34#Procedure.conformsTo('http://hl7.eu/fhir/ig/pcsp/StructureDefinition/Procedure-transfusion-otherinfos-eu-pcsp')##34#</v>
      </c>
    </row>
    <row r="36" spans="1:5" x14ac:dyDescent="0.75">
      <c r="B36" s="17" t="str">
        <f>Other!B29</f>
        <v>transfusion.occured</v>
      </c>
      <c r="C36" s="17" t="s">
        <v>1114</v>
      </c>
      <c r="E36" s="17" t="str">
        <f t="shared" si="0"/>
        <v>* transfusion.occured -&gt; ##34#.exists()##34#</v>
      </c>
    </row>
    <row r="37" spans="1:5" ht="59" x14ac:dyDescent="0.75">
      <c r="B37" s="17" t="str">
        <f>Other!B30</f>
        <v>transfusion.last</v>
      </c>
      <c r="C37" s="17" t="s">
        <v>1355</v>
      </c>
      <c r="E37" s="17" t="str">
        <f t="shared" si="0"/>
        <v>* transfusion.last -&gt; ##34#extension('http://hl7.eu/fhir/ig/pcsp/StructureDefinition/procedure-performedTiming').valueTiming.event.value.aggregate(iif($total.empty(), $this, iif($this &gt; $total, $this, $total)))##34#</v>
      </c>
    </row>
    <row r="38" spans="1:5" x14ac:dyDescent="0.75">
      <c r="B38" s="17" t="str">
        <f>Other!B30</f>
        <v>transfusion.last</v>
      </c>
      <c r="C38" s="17" t="s">
        <v>1296</v>
      </c>
      <c r="E38" s="17" t="str">
        <f t="shared" si="0"/>
        <v>* transfusion.last -&gt; ##34#performedDateTime##34#</v>
      </c>
    </row>
    <row r="39" spans="1:5" ht="44.25" x14ac:dyDescent="0.75">
      <c r="B39" s="17" t="str">
        <f>Other!B31</f>
        <v>transfusion.moreThan10</v>
      </c>
      <c r="C39" s="17" t="s">
        <v>1297</v>
      </c>
      <c r="E39" s="17" t="str">
        <f t="shared" si="0"/>
        <v>* transfusion.moreThan10 -&gt; ##34#iif(.extension(''http://hl7.eu/fhir/ig/pcsp/StructureDefinition/procedure-performedTiming').valueTiming.repeat.count &gt; 9; true)##34#</v>
      </c>
    </row>
    <row r="40" spans="1:5" ht="44.25" x14ac:dyDescent="0.75">
      <c r="B40" s="17" t="str">
        <f>Other!B31</f>
        <v>transfusion.moreThan10</v>
      </c>
      <c r="C40" s="17" t="s">
        <v>1298</v>
      </c>
      <c r="E40" s="17" t="str">
        <f t="shared" si="0"/>
        <v>* transfusion.moreThan10 -&gt; ##34#iif(.extension(''http://hl7.eu/fhir/ig/pcsp/StructureDefinition/procedure-performedTiming').valueTiming.repeat..boundsRange.low &gt; 9; true)##34#</v>
      </c>
    </row>
    <row r="41" spans="1:5" ht="44.25" x14ac:dyDescent="0.75">
      <c r="B41" s="17" t="str">
        <f>Other!B32</f>
        <v>fertilityPreservation</v>
      </c>
      <c r="C41" s="17" t="s">
        <v>1299</v>
      </c>
      <c r="E41" s="17" t="str">
        <f t="shared" si="0"/>
        <v>* fertilityPreservation -&gt; ##34#Procedure.conformsTo('http://hl7.eu/fhir/ig/pcsp/StructureDefinition/Procedure-cryopreservation-otherinfos-eu-pcsp')##34#</v>
      </c>
    </row>
    <row r="42" spans="1:5" x14ac:dyDescent="0.75">
      <c r="B42" s="17" t="str">
        <f>Other!B33</f>
        <v>fertilityPreservation.description</v>
      </c>
      <c r="C42" s="17" t="s">
        <v>1224</v>
      </c>
      <c r="E42" s="17" t="str">
        <f t="shared" si="0"/>
        <v>* fertilityPreservation.description -&gt; ##34#.text##34#</v>
      </c>
    </row>
    <row r="43" spans="1:5" x14ac:dyDescent="0.75">
      <c r="B43" s="17" t="str">
        <f>Other!B34</f>
        <v>fertilityPreservation.storage</v>
      </c>
      <c r="C43" s="17" t="s">
        <v>1300</v>
      </c>
      <c r="E43" s="17" t="str">
        <f t="shared" si="0"/>
        <v>* fertilityPreservation.storage -&gt; ##34#.location##34#</v>
      </c>
    </row>
    <row r="44" spans="1:5" ht="44.25" x14ac:dyDescent="0.75">
      <c r="B44" s="17" t="str">
        <f>Other!B35</f>
        <v>otherTreatment</v>
      </c>
      <c r="C44" s="17" t="s">
        <v>1301</v>
      </c>
      <c r="E44" s="17" t="str">
        <f t="shared" si="0"/>
        <v>* otherTreatment -&gt; ##34#Procedure.conformsTo('http://hl7.eu/fhir/ig/pcsp/StructureDefinition/Procedure-treatment-otherinfos-eu-pcsp')##34#</v>
      </c>
    </row>
    <row r="45" spans="1:5" ht="44.25" x14ac:dyDescent="0.75">
      <c r="B45" s="17" t="str">
        <f>Other!B36</f>
        <v>dischargeLetter</v>
      </c>
      <c r="C45" s="17" t="s">
        <v>1302</v>
      </c>
      <c r="E45" s="17" t="str">
        <f t="shared" si="0"/>
        <v>* dischargeLetter -&gt; ##34#DocumentReference.conformsTo('http://hl7.eu/fhir/ig/pcsp/StructureDefinition/DocumentReference-eu-pcsp')##34#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B55" s="17"/>
      <c r="C55" s="17"/>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row r="59" spans="2:5" x14ac:dyDescent="0.75">
      <c r="E59" s="17" t="str">
        <f t="shared" si="0"/>
        <v>*  -&gt; ##34###34#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12EF-3948-4639-9B6B-D716CF87E7FD}">
  <sheetPr codeName="Foglio17">
    <tabColor theme="9" tint="0.39997558519241921"/>
  </sheetPr>
  <dimension ref="C1:G80"/>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Other!I1</f>
        <v>// -------------------------------------------------------------------------------</v>
      </c>
    </row>
    <row r="2" spans="3:7" ht="16.75" thickBot="1" x14ac:dyDescent="0.9">
      <c r="C2" s="35" t="str">
        <f>Other!I2</f>
        <v>//  Logical Model</v>
      </c>
      <c r="G2" s="92" t="str">
        <f>"pcsp-"&amp;Other!B5&amp;".fsh"</f>
        <v>pcsp-OtherInfos.fsh</v>
      </c>
    </row>
    <row r="3" spans="3:7" x14ac:dyDescent="0.75">
      <c r="C3" s="35" t="str">
        <f>Other!I3</f>
        <v>// -------------------------------------------------------------------------------</v>
      </c>
    </row>
    <row r="4" spans="3:7" x14ac:dyDescent="0.75">
      <c r="C4" s="27" t="str">
        <f>Other!I4</f>
        <v>Logical: OtherInfos</v>
      </c>
    </row>
    <row r="5" spans="3:7" x14ac:dyDescent="0.75">
      <c r="C5" s="27" t="str">
        <f>Other!I5</f>
        <v>Id: OtherInfos</v>
      </c>
    </row>
    <row r="6" spans="3:7" x14ac:dyDescent="0.75">
      <c r="C6" s="27" t="str">
        <f>Other!I6</f>
        <v>Title: ##34#Other info and relevant events##34#</v>
      </c>
    </row>
    <row r="7" spans="3:7" ht="29.5" x14ac:dyDescent="0.75">
      <c r="C7" s="27" t="str">
        <f>Other!I7</f>
        <v>Description:  ##334#Other info and relevant events
Maturity Level: 2 - Ready for Review##334#</v>
      </c>
    </row>
    <row r="8" spans="3:7" ht="44.25" x14ac:dyDescent="0.75">
      <c r="C8" s="17" t="str">
        <f>IF(Other!I8="*  ..  ##34###34# ##334###334#","//--- END",Other!I8)</f>
        <v>* identifier 0..1 Identifier ##34#Relevant event number##34# ##334#Progressive number of relevant event  (1=first; 2= second; 3 = third; …).
In this field must be reported the ordinal number of relevant event to be described.##334#</v>
      </c>
    </row>
    <row r="9" spans="3:7" ht="44.25" x14ac:dyDescent="0.75">
      <c r="C9" s="17" t="str">
        <f>IF(Other!I9="*  ..  ##34###34# ##334###334#","//--- END",Other!I9)</f>
        <v>* relatedDiagnosis 0..1 Identifier ##34#Progressive number of diagnosis##34# ##334#Progressive number of diagnosis (1=first; 2= second; 3 = third; …).  
In this field must be reported the ordinal number of the tumor diagnosis in which other info or relevant events occurred##334#</v>
      </c>
    </row>
    <row r="10" spans="3:7" ht="44.25" x14ac:dyDescent="0.75">
      <c r="C10" s="17" t="str">
        <f>IF(Other!I10="*  ..  ##34###34# ##334###334#","//--- END",Other!I10)</f>
        <v>* relatedRelapse 0..1 Identifier ##34#Progressive number of relapse/progression (after FLT)##34# ##334#Progressive number of relevant event  (1=first; 2= second; 3 = third; …).
In this field must be reported the ordinal number of relevant event to be described.##334#</v>
      </c>
    </row>
    <row r="11" spans="3:7" ht="29.5" x14ac:dyDescent="0.75">
      <c r="C11" s="17" t="str">
        <f>IF(Other!I11="*  ..  ##34###34# ##334###334#","//--- END",Other!I11)</f>
        <v>* severeToxicity 0..10 BackboneElement ##34#Important toxicity during treatment##34# ##334#Important toxicity during treatment  ##334#</v>
      </c>
    </row>
    <row r="12" spans="3:7" ht="103.25" x14ac:dyDescent="0.75">
      <c r="C12" s="17" t="str">
        <f>IF(Other!I12="*  ..  ##34###34# ##334###334#","//--- END",Other!I12)</f>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3:7" x14ac:dyDescent="0.75">
      <c r="C13" s="17" t="str">
        <f>IF(Other!I13="*  ..  ##34###34# ##334###334#","//--- END",Other!I13)</f>
        <v>* severeToxicity.numberOfToxicity 0..1 integer ##34#Number of toxicity##34# ##334#Number of toxicity##334#</v>
      </c>
    </row>
    <row r="14" spans="3:7" ht="29.5" x14ac:dyDescent="0.75">
      <c r="C14" s="17" t="str">
        <f>IF(Other!I14="*  ..  ##34###34# ##334###334#","//--- END",Other!I14)</f>
        <v>* severeToxicity.date 1..1 dateTime ##34#Date of event##34# ##334#Date (dd/mm/yyyy) of the event. If the date is unkown or partially missed insert the year at the best of your knowledge.##334#</v>
      </c>
    </row>
    <row r="15" spans="3:7" ht="44.25" x14ac:dyDescent="0.75">
      <c r="C15" s="17" t="str">
        <f>IF(Other!I15="*  ..  ##34###34# ##334###334#","//--- END",Other!I15)</f>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row>
    <row r="16" spans="3:7" ht="29.5" x14ac:dyDescent="0.75">
      <c r="C16" s="17" t="str">
        <f>IF(Other!I16="*  ..  ##34###34# ##334###334#","//--- END",Other!I16)</f>
        <v>* severeToxicity.isResolved 0..1 CodeableConcept ##34#Resolved ?##34# ##334#Please specify if the event is resolved or not##334#</v>
      </c>
    </row>
    <row r="17" spans="3:3" ht="29.5" x14ac:dyDescent="0.75">
      <c r="C17" s="17" t="str">
        <f>IF(Other!I17="*  ..  ##34###34# ##334###334#","//--- END",Other!I17)</f>
        <v>* hypogonadal 0..1 CodeableConcept ##34#Hypogonadal ?##34# ##334#Please specify if hypogonadal occured during therapy##334#</v>
      </c>
    </row>
    <row r="18" spans="3:3" ht="29.5" x14ac:dyDescent="0.75">
      <c r="C18" s="17" t="str">
        <f>IF(Other!I18="*  ..  ##34###34# ##334###334#","//--- END",Other!I18)</f>
        <v>* growthHormoneDeficiency 0..1 CodeableConcept ##34#Growth hormone deficiency ?##34# ##334#Please specify if growth hormon deficiency occured during therapy##334#</v>
      </c>
    </row>
    <row r="19" spans="3:3" ht="29.5" x14ac:dyDescent="0.75">
      <c r="C19" s="17" t="str">
        <f>IF(Other!I19="*  ..  ##34###34# ##334###334#","//--- END",Other!I19)</f>
        <v>* hydrocephalus 0..1 CodeableConcept ##34#Hydrocephalus ?##34# ##334#Please specify if hydrocephalus occured during therapy##334#</v>
      </c>
    </row>
    <row r="20" spans="3:3" ht="29.5" x14ac:dyDescent="0.75">
      <c r="C20" s="17" t="str">
        <f>IF(Other!I20="*  ..  ##34###34# ##334###334#","//--- END",Other!I20)</f>
        <v>* chronicViralHepatitis 0..1 CodeableConcept ##34#Chronic viral hepatitis ?##34# ##334#Please specify if chronic viral hepatitis occured during therapy##334#</v>
      </c>
    </row>
    <row r="21" spans="3:3" ht="29.5" x14ac:dyDescent="0.75">
      <c r="C21" s="17" t="str">
        <f>IF(Other!I21="*  ..  ##34###34# ##334###334#","//--- END",Other!I21)</f>
        <v>* sinusoidalObstructionSyndrome 0..1 CodeableConcept ##34#Sinusoidal obstruction syndrome ?##34# ##334#Please specify if sinusoidal obstruction syndrome occured during therapy##334#</v>
      </c>
    </row>
    <row r="22" spans="3:3" ht="29.5" x14ac:dyDescent="0.75">
      <c r="C22" s="17" t="str">
        <f>IF(Other!I22="*  ..  ##34###34# ##334###334#","//--- END",Other!I22)</f>
        <v>* catheter 0..1 BackboneElement ##34#CVC positioning##34# ##334#Please report if at least one central venous line (catheter) was positioned##334#</v>
      </c>
    </row>
    <row r="23" spans="3:3" x14ac:dyDescent="0.75">
      <c r="C23" s="17" t="str">
        <f>IF(Other!I23="*  ..  ##34###34# ##334###334#","//--- END",Other!I23)</f>
        <v>* catheter.isInPlace 0..1 CodeableConcept ##34#If yes##34# ##334#Report if the CVC is still in place or was removed##334#</v>
      </c>
    </row>
    <row r="24" spans="3:3" x14ac:dyDescent="0.75">
      <c r="C24" s="17" t="str">
        <f>IF(Other!I24="*  ..  ##34###34# ##334###334#","//--- END",Other!I24)</f>
        <v>* catheter.site 0..1 string ##34#Specify the site##34# ##334#Report where (in which vein) the CVC was positioned##334#</v>
      </c>
    </row>
    <row r="25" spans="3:3" ht="29.5" x14ac:dyDescent="0.75">
      <c r="C25" s="17" t="str">
        <f>IF(Other!I25="*  ..  ##34###34# ##334###334#","//--- END",Other!I25)</f>
        <v>* catheter.relatedThrombosis 0..1 BackboneElement ##34#Catheter-related thrombosis##34# ##334#Catheter-related thrombosis##334#</v>
      </c>
    </row>
    <row r="26" spans="3:3" ht="29.5" x14ac:dyDescent="0.75">
      <c r="C26" s="17" t="str">
        <f>IF(Other!I26="*  ..  ##34###34# ##334###334#","//--- END",Other!I26)</f>
        <v>* catheter.relatedThrombosis.occurred 0..1 CodeableConcept ##34#Yes/No/UNK##34# ##334#Report if there was a catheter-related thrombosis due to a central venous catheter.##334#</v>
      </c>
    </row>
    <row r="27" spans="3:3" ht="44.25" x14ac:dyDescent="0.75">
      <c r="C27" s="17" t="str">
        <f>IF(Other!I27="*  ..  ##34###34# ##334###334#","//--- END",Other!I27)</f>
        <v>* catheter.relatedThrombosis.specification 0..1 string ##34#Catheter-related thrombosis specification##34# ##334#Specify the details of the catheter-related thrombosis, including the location (vessel and laterality), treatment and status at the end of cancer treatment.##334#</v>
      </c>
    </row>
    <row r="28" spans="3:3" x14ac:dyDescent="0.75">
      <c r="C28" s="17" t="str">
        <f>IF(Other!I28="*  ..  ##34###34# ##334###334#","//--- END",Other!I28)</f>
        <v>* transfusion 0..1 BackboneElement ##34#Transfusion##34# ##334#Transfusion  ##334#</v>
      </c>
    </row>
    <row r="29" spans="3:3" ht="29.5" x14ac:dyDescent="0.75">
      <c r="C29" s="17" t="str">
        <f>IF(Other!I29="*  ..  ##34###34# ##334###334#","//--- END",Other!I29)</f>
        <v>* transfusion.occured 0..1 CodeableConcept ##34#Yes/No/UNK##34# ##334#Please state if at least one blood (any component) transfusion was made##334#</v>
      </c>
    </row>
    <row r="30" spans="3:3" ht="29.5" x14ac:dyDescent="0.75">
      <c r="C30" s="17" t="str">
        <f>IF(Other!I30="*  ..  ##34###34# ##334###334#","//--- END",Other!I30)</f>
        <v>* transfusion.last 0..1 string ##34#Last transfusion date##34# ##334#Please  report the date of the last transfusion given. If the date is unkown or partially missed insert the year at the best of your knowledge.##334#</v>
      </c>
    </row>
    <row r="31" spans="3:3" ht="29.5" x14ac:dyDescent="0.75">
      <c r="C31" s="17" t="str">
        <f>IF(Other!I31="*  ..  ##34###34# ##334###334#","//--- END",Other!I31)</f>
        <v>* transfusion.moreThan10 0..1 CodeableConcept ##34#&gt;= 10 Transfusions ?##34# ##334#Please specify if patient recieved 10 or more than 10 trasfusions during therapy##334#</v>
      </c>
    </row>
    <row r="32" spans="3:3" ht="29.5" x14ac:dyDescent="0.75">
      <c r="C32" s="17" t="str">
        <f>IF(Other!I32="*  ..  ##34###34# ##334###334#","//--- END",Other!I32)</f>
        <v>* fertilityPreservation 0..1 BackboneElement ##34#Fertility preservation##34# ##334#Please state if any procedure was performed for fertility preservation##334#</v>
      </c>
    </row>
    <row r="33" spans="3:3" ht="29.5" x14ac:dyDescent="0.75">
      <c r="C33" s="17" t="str">
        <f>IF(Other!I33="*  ..  ##34###34# ##334###334#","//--- END",Other!I33)</f>
        <v>* fertilityPreservation.description 0..1 CodeableConcept ##34#Description##34# ##334#If fertility preservation was performed,please  describe it##334#</v>
      </c>
    </row>
    <row r="34" spans="3:3" ht="29.5" x14ac:dyDescent="0.75">
      <c r="C34" s="17" t="str">
        <f>IF(Other!I34="*  ..  ##34###34# ##334###334#","//--- END",Other!I34)</f>
        <v>* fertilityPreservation.storage 0..1 string ##34#Storage Institution##34# ##334#If fertility preservation was performed, describe with details of the institution where either sperm or ovarian tissue/oocytes have been stored##334#</v>
      </c>
    </row>
    <row r="35" spans="3:3" ht="29.5" x14ac:dyDescent="0.75">
      <c r="C35" s="17" t="str">
        <f>IF(Other!I35="*  ..  ##34###34# ##334###334#","//--- END",Other!I35)</f>
        <v>* otherTreatment 0..1 string ##34#Other oncological treatments##34# ##334#Report here if any other treatment (not included in the chemotherapy, surgery or radiotherapy sections) was adminstered to the survivor##334#</v>
      </c>
    </row>
    <row r="36" spans="3:3" x14ac:dyDescent="0.75">
      <c r="C36" s="17" t="str">
        <f>IF(Other!I36="*  ..  ##34###34# ##334###334#","//--- END",Other!I36)</f>
        <v>* dischargeLetter 0..1 Attachment ##34#Discharge letter##34# ##334#Discharge letter##334#</v>
      </c>
    </row>
    <row r="39" spans="3:3" x14ac:dyDescent="0.75">
      <c r="C39" s="34" t="str">
        <f>'Other-Map'!E1</f>
        <v>// -------------------------------------------------------------------------------</v>
      </c>
    </row>
    <row r="40" spans="3:3" x14ac:dyDescent="0.75">
      <c r="C40" s="35" t="str">
        <f>'Other-Map'!E2</f>
        <v>//  Map to FHIR R4</v>
      </c>
    </row>
    <row r="41" spans="3:3" x14ac:dyDescent="0.75">
      <c r="C41" s="35" t="str">
        <f>'Other-Map'!E3</f>
        <v>// -------------------------------------------------------------------------------</v>
      </c>
    </row>
    <row r="42" spans="3:3" x14ac:dyDescent="0.75">
      <c r="C42" s="17" t="str">
        <f>'Other-Map'!E4</f>
        <v>Mapping: OtherInfo2Fhir</v>
      </c>
    </row>
    <row r="43" spans="3:3" x14ac:dyDescent="0.75">
      <c r="C43" s="17" t="str">
        <f>'Other-Map'!E5</f>
        <v>Id: fhir</v>
      </c>
    </row>
    <row r="44" spans="3:3" x14ac:dyDescent="0.75">
      <c r="C44" s="17" t="str">
        <f>'Other-Map'!E6</f>
        <v>Title: ##34#OtherInfos model to PCSP HL7 FHIR R4 Profiles##34#</v>
      </c>
    </row>
    <row r="45" spans="3:3" x14ac:dyDescent="0.75">
      <c r="C45" s="17" t="str">
        <f>'Other-Map'!E7</f>
        <v>Source: OtherInfos</v>
      </c>
    </row>
    <row r="46" spans="3:3" x14ac:dyDescent="0.75">
      <c r="C46" s="17" t="str">
        <f>'Other-Map'!E8</f>
        <v>Target: ##34#hl7.org/fhir/r4##34#</v>
      </c>
    </row>
    <row r="48" spans="3:3" x14ac:dyDescent="0.75">
      <c r="C48" s="17" t="str">
        <f>IF('Other-Map'!E9="*  -&gt; ##34###34#","// --END",'Other-Map'!E9)</f>
        <v>* . -&gt; ##34#Procedure##34#</v>
      </c>
    </row>
    <row r="49" spans="3:3" x14ac:dyDescent="0.75">
      <c r="C49" s="17" t="str">
        <f>IF('Other-Map'!E10="*  -&gt; ##34###34#","// --END",'Other-Map'!E10)</f>
        <v>* . -&gt; ##34#Condition##34#</v>
      </c>
    </row>
    <row r="50" spans="3:3" x14ac:dyDescent="0.75">
      <c r="C50" s="17" t="str">
        <f>IF('Other-Map'!E11="*  -&gt; ##34###34#","// --END",'Other-Map'!E11)</f>
        <v>* identifier -&gt; ##34#.identifier##34#</v>
      </c>
    </row>
    <row r="51" spans="3:3" x14ac:dyDescent="0.75">
      <c r="C51" s="17" t="str">
        <f>IF('Other-Map'!E12="*  -&gt; ##34###34#","// --END",'Other-Map'!E12)</f>
        <v>* relatedDiagnosis -&gt; ##34#Procedure.reasonReference##34#</v>
      </c>
    </row>
    <row r="52" spans="3:3" x14ac:dyDescent="0.75">
      <c r="C52" s="17" t="str">
        <f>IF('Other-Map'!E14="*  -&gt; ##34###34#","// --END",'Other-Map'!E14)</f>
        <v>* relatedRelapse -&gt; ##34#Procedure.reasonReference##34#</v>
      </c>
    </row>
    <row r="53" spans="3:3" x14ac:dyDescent="0.75">
      <c r="C53" s="17" t="str">
        <f>IF('Other-Map'!E15="*  -&gt; ##34###34#","// --END",'Other-Map'!E15)</f>
        <v>* relatedRelapse -&gt; ##34#extension('http://hl7.org/fhir/StructureDefinition/condition-related').valueReference##34#</v>
      </c>
    </row>
    <row r="54" spans="3:3" ht="29.5" x14ac:dyDescent="0.75">
      <c r="C54" s="17" t="str">
        <f>IF('Other-Map'!E16="*  -&gt; ##34###34#","// --END",'Other-Map'!E16)</f>
        <v>* severeToxicity -&gt; ##34#Condition.conformsTo('http://hl7.eu/fhir/ig/pcsp/StructureDefinition/Condition-toxicity-eu-pcsp')##34#</v>
      </c>
    </row>
    <row r="55" spans="3:3" x14ac:dyDescent="0.75">
      <c r="C55" s="17" t="str">
        <f>IF('Other-Map'!E17="*  -&gt; ##34###34#","// --END",'Other-Map'!E17)</f>
        <v>* severeToxicity.flag -&gt; ##34#.exists()##34#</v>
      </c>
    </row>
    <row r="56" spans="3:3" x14ac:dyDescent="0.75">
      <c r="C56" s="17" t="str">
        <f>IF('Other-Map'!E18="*  -&gt; ##34###34#","// --END",'Other-Map'!E18)</f>
        <v>* severeToxicity.flag -&gt; ##34#.verificationStatus##34#</v>
      </c>
    </row>
    <row r="57" spans="3:3" x14ac:dyDescent="0.75">
      <c r="C57" s="17" t="str">
        <f>IF('Other-Map'!E19="*  -&gt; ##34###34#","// --END",'Other-Map'!E19)</f>
        <v>* severeToxicity.numberOfToxicity -&gt; ##34#.identifier##34#</v>
      </c>
    </row>
    <row r="58" spans="3:3" x14ac:dyDescent="0.75">
      <c r="C58" s="17" t="str">
        <f>IF('Other-Map'!E20="*  -&gt; ##34###34#","// --END",'Other-Map'!E20)</f>
        <v>* severeToxicity.date -&gt; ##34#.onsetDateTime##34#</v>
      </c>
    </row>
    <row r="59" spans="3:3" x14ac:dyDescent="0.75">
      <c r="C59" s="17" t="str">
        <f>IF('Other-Map'!E21="*  -&gt; ##34###34#","// --END",'Other-Map'!E21)</f>
        <v>* severeToxicity.description -&gt; ##34#.text##34#</v>
      </c>
    </row>
    <row r="60" spans="3:3" x14ac:dyDescent="0.75">
      <c r="C60" s="17" t="str">
        <f>IF('Other-Map'!E22="*  -&gt; ##34###34#","// --END",'Other-Map'!E22)</f>
        <v>* severeToxicity.description -&gt; ##34#.note##34#</v>
      </c>
    </row>
    <row r="61" spans="3:3" x14ac:dyDescent="0.75">
      <c r="C61" s="17" t="str">
        <f>IF('Other-Map'!E23="*  -&gt; ##34###34#","// --END",'Other-Map'!E23)</f>
        <v>* severeToxicity.isResolved -&gt; ##34#.clinicalStatus##34#</v>
      </c>
    </row>
    <row r="62" spans="3:3" ht="29.5" x14ac:dyDescent="0.75">
      <c r="C62" s="17" t="str">
        <f>IF('Other-Map'!E24="*  -&gt; ##34###34#","// --END",'Other-Map'!E24)</f>
        <v>* hypogonadal -&gt; ##34#Condition.conformsTo('http://hl7.eu/fhir/ig/pcsp/StructureDefinition/Condition-otherinfos-eu-pcsp').where(code = http://snomed.info/sct#48130008 'Hypogonadism').exists()##34#</v>
      </c>
    </row>
    <row r="63" spans="3:3" ht="29.5" x14ac:dyDescent="0.75">
      <c r="C63" s="17" t="str">
        <f>IF('Other-Map'!E25="*  -&gt; ##34###34#","// --END",'Other-Map'!E25)</f>
        <v>* growthHormoneDeficiency -&gt; ##34#Condition.conformsTo('http://hl7.eu/fhir/ig/pcsp/StructureDefinition/Condition-otherinfos-eu-pcsp').where(code = http://snomed.info/sct#397827003 'Growth hormone deficiency').exists()##34#</v>
      </c>
    </row>
    <row r="64" spans="3:3" ht="29.5" x14ac:dyDescent="0.75">
      <c r="C64" s="17" t="str">
        <f>IF('Other-Map'!E26="*  -&gt; ##34###34#","// --END",'Other-Map'!E26)</f>
        <v>* hydrocephalus -&gt; ##34#Condition.conformsTo('http://hl7.eu/fhir/ig/pcsp/StructureDefinition/Condition-otherinfos-eu-pcsp').where(code = http://snomed.info/sct#230745008 'Hydrocephalus').exists()##34#</v>
      </c>
    </row>
    <row r="65" spans="3:3" ht="29.5" x14ac:dyDescent="0.75">
      <c r="C65" s="17" t="str">
        <f>IF('Other-Map'!E27="*  -&gt; ##34###34#","// --END",'Other-Map'!E27)</f>
        <v>* chronicViralHepatitis -&gt; ##34#Condition.conformsTo('http://hl7.eu/fhir/ig/pcsp/StructureDefinition/Condition-otherinfos-eu-pcsp').where(code = http://snomed.info/sct#10295004 'Chronic viral hepatitis').exists()##34#</v>
      </c>
    </row>
    <row r="66" spans="3:3" ht="29.5" x14ac:dyDescent="0.75">
      <c r="C66" s="17" t="str">
        <f>IF('Other-Map'!E28="*  -&gt; ##34###34#","// --END",'Other-Map'!E28)</f>
        <v>* sinusoidalObstructionSyndrome -&gt; ##34#Condition.conformsTo('http://hl7.eu/fhir/ig/pcsp/StructureDefinition/Condition-otherinfos-eu-pcsp').where(code = http://snomed.info/sct#65617004 'Veno-occlusive disease of the liver').exists()##34#</v>
      </c>
    </row>
    <row r="67" spans="3:3" ht="29.5" x14ac:dyDescent="0.75">
      <c r="C67" s="17" t="str">
        <f>IF('Other-Map'!E29="*  -&gt; ##34###34#","// --END",'Other-Map'!E29)</f>
        <v>* catheter -&gt; ##34#Procedure.conformsTo('http://hl7.eu/fhir/ig/pcsp/StructureDefinition/Procedure-cvc-otherinfos-eu-pcsp')##34#</v>
      </c>
    </row>
    <row r="68" spans="3:3" x14ac:dyDescent="0.75">
      <c r="C68" s="17" t="str">
        <f>IF('Other-Map'!E30="*  -&gt; ##34###34#","// --END",'Other-Map'!E30)</f>
        <v>* catheter.isInPlace -&gt; ##34#.focalDevice.action##34#</v>
      </c>
    </row>
    <row r="69" spans="3:3" x14ac:dyDescent="0.75">
      <c r="C69" s="17" t="str">
        <f>IF('Other-Map'!E31="*  -&gt; ##34###34#","// --END",'Other-Map'!E31)</f>
        <v>* catheter.site -&gt; ##34#.bodySite##34#</v>
      </c>
    </row>
    <row r="70" spans="3:3" ht="29.5" x14ac:dyDescent="0.75">
      <c r="C70" s="17" t="str">
        <f>IF('Other-Map'!E32="*  -&gt; ##34###34#","// --END",'Other-Map'!E32)</f>
        <v>* catheter.relatedThrombosis -&gt; ##34#Condition.conformsTo('http://hl7.eu/fhir/ig/pcsp/StructureDefinition/Condition-otherinfos-eu-pcsp').where(code = http://snomed.info/sct#439127006 'Thrombosis')##34#</v>
      </c>
    </row>
    <row r="71" spans="3:3" x14ac:dyDescent="0.75">
      <c r="C71" s="17" t="str">
        <f>IF('Other-Map'!E33="*  -&gt; ##34###34#","// --END",'Other-Map'!E33)</f>
        <v>* catheter.relatedThrombosis.occurred -&gt; ##34#.exists()##34#</v>
      </c>
    </row>
    <row r="72" spans="3:3" x14ac:dyDescent="0.75">
      <c r="C72" s="17" t="str">
        <f>IF('Other-Map'!E34="*  -&gt; ##34###34#","// --END",'Other-Map'!E34)</f>
        <v>* catheter.relatedThrombosis.specification -&gt; ##34#.text##34#</v>
      </c>
    </row>
    <row r="73" spans="3:3" ht="29.5" x14ac:dyDescent="0.75">
      <c r="C73" s="17" t="str">
        <f>IF('Other-Map'!E35="*  -&gt; ##34###34#","// --END",'Other-Map'!E35)</f>
        <v>* transfusion -&gt; ##34#Procedure.conformsTo('http://hl7.eu/fhir/ig/pcsp/StructureDefinition/Procedure-transfusion-otherinfos-eu-pcsp')##34#</v>
      </c>
    </row>
    <row r="74" spans="3:3" x14ac:dyDescent="0.75">
      <c r="C74" s="17" t="str">
        <f>IF('Other-Map'!E36="*  -&gt; ##34###34#","// --END",'Other-Map'!E36)</f>
        <v>* transfusion.occured -&gt; ##34#.exists()##34#</v>
      </c>
    </row>
    <row r="75" spans="3:3" ht="29.5" x14ac:dyDescent="0.75">
      <c r="C75" s="17" t="str">
        <f>IF('Other-Map'!E37="*  -&gt; ##34###34#","// --END",'Other-Map'!E37)</f>
        <v>* transfusion.last -&gt; ##34#extension('http://hl7.eu/fhir/ig/pcsp/StructureDefinition/procedure-performedTiming').valueTiming.event.value.aggregate(iif($total.empty(), $this, iif($this &gt; $total, $this, $total)))##34#</v>
      </c>
    </row>
    <row r="76" spans="3:3" x14ac:dyDescent="0.75">
      <c r="C76" s="17" t="str">
        <f>IF('Other-Map'!E38="*  -&gt; ##34###34#","// --END",'Other-Map'!E38)</f>
        <v>* transfusion.last -&gt; ##34#performedDateTime##34#</v>
      </c>
    </row>
    <row r="77" spans="3:3" ht="29.5" x14ac:dyDescent="0.75">
      <c r="C77" s="17" t="str">
        <f>IF('Other-Map'!E39="*  -&gt; ##34###34#","// --END",'Other-Map'!E39)</f>
        <v>* transfusion.moreThan10 -&gt; ##34#iif(.extension(''http://hl7.eu/fhir/ig/pcsp/StructureDefinition/procedure-performedTiming').valueTiming.repeat.count &gt; 9; true)##34#</v>
      </c>
    </row>
    <row r="78" spans="3:3" ht="29.5" x14ac:dyDescent="0.75">
      <c r="C78" s="17" t="str">
        <f>IF('Other-Map'!E40="*  -&gt; ##34###34#","// --END",'Other-Map'!E40)</f>
        <v>* transfusion.moreThan10 -&gt; ##34#iif(.extension(''http://hl7.eu/fhir/ig/pcsp/StructureDefinition/procedure-performedTiming').valueTiming.repeat..boundsRange.low &gt; 9; true)##34#</v>
      </c>
    </row>
    <row r="79" spans="3:3" ht="29.5" x14ac:dyDescent="0.75">
      <c r="C79" s="17" t="str">
        <f>IF('Other-Map'!E41="*  -&gt; ##34###34#","// --END",'Other-Map'!E41)</f>
        <v>* fertilityPreservation -&gt; ##34#Procedure.conformsTo('http://hl7.eu/fhir/ig/pcsp/StructureDefinition/Procedure-cryopreservation-otherinfos-eu-pcsp')##34#</v>
      </c>
    </row>
    <row r="80" spans="3:3" x14ac:dyDescent="0.75">
      <c r="C80" s="17" t="str">
        <f>IF('Other-Map'!E42="*  -&gt; ##34###34#","// --END",'Other-Map'!E42)</f>
        <v>* fertilityPreservation.description -&gt; ##34#.text##34#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17551-2605-46F3-BEE7-036A17FB77AD}">
  <sheetPr codeName="Foglio40">
    <tabColor theme="4" tint="0.59999389629810485"/>
  </sheetPr>
  <dimension ref="A1:L48"/>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StemCellTransplantation</v>
      </c>
      <c r="I4" s="27" t="str">
        <f>CONCATENATE("Logical: ",B4)</f>
        <v>Logical: StemCellTransplantation</v>
      </c>
    </row>
    <row r="5" spans="1:11" ht="15.5" thickBot="1" x14ac:dyDescent="0.9">
      <c r="A5" s="22" t="s">
        <v>76</v>
      </c>
      <c r="B5" s="87" t="s">
        <v>1357</v>
      </c>
      <c r="I5" s="27" t="str">
        <f>CONCATENATE("Id: ",B5)</f>
        <v>Id: StemCellTransplantation</v>
      </c>
    </row>
    <row r="6" spans="1:11" x14ac:dyDescent="0.75">
      <c r="A6" s="22" t="s">
        <v>11</v>
      </c>
      <c r="B6" t="s">
        <v>1638</v>
      </c>
      <c r="I6" s="28" t="str">
        <f>CONCATENATE("Title: ##34#",B6,"##34#")</f>
        <v>Title: ##34#Stem Cell Transplantation##34#</v>
      </c>
    </row>
    <row r="7" spans="1:11" ht="30.25" thickBot="1" x14ac:dyDescent="0.9">
      <c r="A7" s="23" t="s">
        <v>4</v>
      </c>
      <c r="B7" t="s">
        <v>1356</v>
      </c>
      <c r="C7" s="12" t="s">
        <v>5</v>
      </c>
      <c r="D7" s="2" t="s">
        <v>6</v>
      </c>
      <c r="E7" s="3" t="s">
        <v>7</v>
      </c>
      <c r="F7" s="3" t="s">
        <v>8</v>
      </c>
      <c r="G7" s="3" t="s">
        <v>9</v>
      </c>
      <c r="I7" s="28" t="str">
        <f>CONCATENATE("Description: "," ##334#",B7,"##334#",)</f>
        <v>Description:  ##334#Stem Cell Transplantation.
Maturity Level: 2 - Ready for Review##334#</v>
      </c>
    </row>
    <row r="8" spans="1:11" ht="44.25" x14ac:dyDescent="0.75">
      <c r="A8" s="8">
        <v>1</v>
      </c>
      <c r="B8" s="8" t="s">
        <v>12</v>
      </c>
      <c r="C8" s="8" t="s">
        <v>1358</v>
      </c>
      <c r="D8" s="8" t="s">
        <v>339</v>
      </c>
      <c r="E8" s="8">
        <v>1</v>
      </c>
      <c r="F8" s="8" t="s">
        <v>851</v>
      </c>
      <c r="G8" s="8" t="s">
        <v>0</v>
      </c>
      <c r="H8" s="25"/>
      <c r="I8" s="17" t="str">
        <f>CONCATENATE("* ",B8, " ",E8,"..",F8," ",G8," ##34#",C8,"##34# ##334#",D8,"##334#")</f>
        <v>* identifier 1..* Identifier ##34#SCT Identifier##34# ##334#Progressive SCT number##334#</v>
      </c>
    </row>
    <row r="9" spans="1:11" ht="44.25" x14ac:dyDescent="0.75">
      <c r="A9" s="8">
        <v>2</v>
      </c>
      <c r="B9" s="8" t="s">
        <v>72</v>
      </c>
      <c r="C9" s="8" t="s">
        <v>149</v>
      </c>
      <c r="D9" s="8" t="s">
        <v>149</v>
      </c>
      <c r="E9" s="8">
        <v>1</v>
      </c>
      <c r="F9" s="8" t="s">
        <v>851</v>
      </c>
      <c r="G9" s="8" t="s">
        <v>0</v>
      </c>
      <c r="H9" s="25"/>
      <c r="I9" s="17" t="str">
        <f t="shared" ref="I9:I48" si="0">CONCATENATE("* ",B9, " ",E9,"..",F9," ",G9," ##34#",C9,"##34# ##334#",D9,"##334#")</f>
        <v>* relatedDiagnosis 1..* Identifier ##34#Progressive number of diagnosis##34# ##334#Progressive number of diagnosis##334#</v>
      </c>
    </row>
    <row r="10" spans="1:11" ht="44.25" x14ac:dyDescent="0.75">
      <c r="A10" s="8">
        <v>3</v>
      </c>
      <c r="B10" s="8" t="s">
        <v>1121</v>
      </c>
      <c r="C10" s="8" t="s">
        <v>291</v>
      </c>
      <c r="D10" s="8" t="s">
        <v>291</v>
      </c>
      <c r="E10" s="8">
        <v>1</v>
      </c>
      <c r="F10" s="8" t="s">
        <v>851</v>
      </c>
      <c r="G10" s="8" t="s">
        <v>0</v>
      </c>
      <c r="H10" s="25"/>
      <c r="I10" s="17" t="str">
        <f t="shared" si="0"/>
        <v>* relatedRelapse 1..* Identifier ##34#Progressive number of relapse/progression (after FLT)##34# ##334#Progressive number of relapse/progression (after FLT)##334#</v>
      </c>
    </row>
    <row r="11" spans="1:11" ht="44.25" x14ac:dyDescent="0.75">
      <c r="A11" s="8">
        <v>4</v>
      </c>
      <c r="B11" s="17" t="s">
        <v>1037</v>
      </c>
      <c r="C11" s="17" t="s">
        <v>1038</v>
      </c>
      <c r="D11" s="17" t="s">
        <v>1359</v>
      </c>
      <c r="E11" s="8">
        <v>0</v>
      </c>
      <c r="F11" s="8">
        <v>1</v>
      </c>
      <c r="G11" s="8" t="s">
        <v>841</v>
      </c>
      <c r="H11" s="25"/>
      <c r="I11" s="17" t="str">
        <f t="shared" si="0"/>
        <v>* istitutionOfTreatment 0..1 BackboneElement ##34#Institution of treatment##34# ##334#Please Identify the institution were the procedure was performed##334#</v>
      </c>
    </row>
    <row r="12" spans="1:11" ht="29.5" x14ac:dyDescent="0.75">
      <c r="A12" s="8">
        <v>5</v>
      </c>
      <c r="B12" s="17" t="s">
        <v>1039</v>
      </c>
      <c r="C12" s="17" t="s">
        <v>1040</v>
      </c>
      <c r="D12" s="17" t="s">
        <v>1040</v>
      </c>
      <c r="E12" s="8">
        <v>0</v>
      </c>
      <c r="F12" s="8">
        <v>1</v>
      </c>
      <c r="G12" s="8" t="s">
        <v>2</v>
      </c>
      <c r="H12" s="25"/>
      <c r="I12" s="17" t="str">
        <f t="shared" si="0"/>
        <v>* istitutionOfTreatment.description 0..1 string ##34#Institution description##34# ##334#Institution description##334#</v>
      </c>
    </row>
    <row r="13" spans="1:11" ht="29.5" x14ac:dyDescent="0.75">
      <c r="A13" s="8">
        <v>6</v>
      </c>
      <c r="B13" s="17" t="s">
        <v>1042</v>
      </c>
      <c r="C13" s="17" t="s">
        <v>1043</v>
      </c>
      <c r="D13" s="17" t="s">
        <v>1043</v>
      </c>
      <c r="E13" s="8">
        <v>0</v>
      </c>
      <c r="F13" s="8">
        <v>1</v>
      </c>
      <c r="G13" s="8" t="s">
        <v>2</v>
      </c>
      <c r="H13" s="25"/>
      <c r="I13" s="17" t="str">
        <f t="shared" si="0"/>
        <v>* istitutionOfTreatment.name 0..1 string ##34#Institution name##34# ##334#Institution name##334#</v>
      </c>
    </row>
    <row r="14" spans="1:11" ht="29.5" x14ac:dyDescent="0.75">
      <c r="A14" s="8">
        <v>7</v>
      </c>
      <c r="B14" s="17" t="s">
        <v>1044</v>
      </c>
      <c r="C14" s="17" t="s">
        <v>1045</v>
      </c>
      <c r="D14" s="17" t="s">
        <v>1045</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1046</v>
      </c>
      <c r="C15" s="17" t="s">
        <v>1047</v>
      </c>
      <c r="D15" s="17" t="s">
        <v>1047</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1048</v>
      </c>
      <c r="C16" s="17" t="s">
        <v>1049</v>
      </c>
      <c r="D16" s="17" t="s">
        <v>1049</v>
      </c>
      <c r="E16" s="8">
        <v>0</v>
      </c>
      <c r="F16" s="8">
        <v>1</v>
      </c>
      <c r="G16" s="8" t="s">
        <v>2</v>
      </c>
      <c r="I16" s="17" t="str">
        <f t="shared" si="0"/>
        <v>* istitutionOfTreatment.address.country 0..1 string ##34#Institution country##34# ##334#Institution country##334#</v>
      </c>
    </row>
    <row r="17" spans="1:9" ht="55.5" x14ac:dyDescent="0.75">
      <c r="A17" s="8">
        <v>10</v>
      </c>
      <c r="B17" s="101" t="s">
        <v>3</v>
      </c>
      <c r="C17" s="8" t="s">
        <v>1360</v>
      </c>
      <c r="D17" s="13" t="s">
        <v>347</v>
      </c>
      <c r="E17" s="8">
        <v>0</v>
      </c>
      <c r="F17" s="8" t="s">
        <v>851</v>
      </c>
      <c r="G17" s="8" t="s">
        <v>906</v>
      </c>
      <c r="I17" s="17" t="str">
        <f t="shared" si="0"/>
        <v>* date 0..* dateTime ##34#Date of transplant##34# ##334#Date of the reinfusion of hematopoietic stem cells. If the date is unkown or partially missed insert the year at the best of your knowledge.##334#</v>
      </c>
    </row>
    <row r="18" spans="1:9" ht="74" x14ac:dyDescent="0.75">
      <c r="A18" s="8">
        <v>11</v>
      </c>
      <c r="B18" s="101" t="s">
        <v>1361</v>
      </c>
      <c r="C18" s="8" t="s">
        <v>1362</v>
      </c>
      <c r="D18" s="13" t="s">
        <v>1363</v>
      </c>
      <c r="E18" s="8">
        <v>0</v>
      </c>
      <c r="F18" s="8">
        <v>1</v>
      </c>
      <c r="G18" s="8" t="s">
        <v>1</v>
      </c>
      <c r="I18" s="17" t="str">
        <f t="shared" si="0"/>
        <v>* transplantType 0..1 CodeableConcept ##34#Type of transplant##34# ##334#Indicate if the transplant was autologous or allogeneic.
1 = Autologous
2 = Allogeneic
-9922 = NK##334#</v>
      </c>
    </row>
    <row r="19" spans="1:9" ht="240.5" x14ac:dyDescent="0.75">
      <c r="A19" s="8">
        <v>12</v>
      </c>
      <c r="B19" s="101" t="s">
        <v>1364</v>
      </c>
      <c r="C19" s="8" t="s">
        <v>1365</v>
      </c>
      <c r="D19" s="15" t="s">
        <v>1366</v>
      </c>
      <c r="E19" s="8">
        <v>0</v>
      </c>
      <c r="F19" s="8">
        <v>1</v>
      </c>
      <c r="G19" s="8" t="s">
        <v>1</v>
      </c>
      <c r="I19" s="17" t="str">
        <f t="shared" si="0"/>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1:9" ht="92.5" x14ac:dyDescent="0.75">
      <c r="A20" s="8">
        <v>13</v>
      </c>
      <c r="B20" s="101" t="s">
        <v>1367</v>
      </c>
      <c r="C20" s="8" t="s">
        <v>1368</v>
      </c>
      <c r="D20" s="13" t="s">
        <v>1369</v>
      </c>
      <c r="E20" s="8">
        <v>0</v>
      </c>
      <c r="F20" s="8">
        <v>1</v>
      </c>
      <c r="G20" s="8" t="s">
        <v>1</v>
      </c>
      <c r="I20" s="17" t="str">
        <f t="shared" si="0"/>
        <v>* cellSource 0..1 CodeableConcept ##34#Source of cells##34# ##334#Indicate the source of cells
1 = PBSC 
2 = Bone marrow
3 = Cord
-9922 = NK##334#</v>
      </c>
    </row>
    <row r="21" spans="1:9" ht="129.5" x14ac:dyDescent="0.75">
      <c r="A21" s="8">
        <v>14</v>
      </c>
      <c r="B21" s="102" t="s">
        <v>1370</v>
      </c>
      <c r="C21" s="81" t="s">
        <v>1371</v>
      </c>
      <c r="D21" s="48" t="s">
        <v>369</v>
      </c>
      <c r="E21" s="8">
        <v>0</v>
      </c>
      <c r="F21" s="8">
        <v>1</v>
      </c>
      <c r="G21" s="8" t="s">
        <v>2</v>
      </c>
      <c r="I21" s="17" t="str">
        <f t="shared" si="0"/>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1:9" ht="29.5" x14ac:dyDescent="0.75">
      <c r="A22" s="8">
        <v>15</v>
      </c>
      <c r="B22" s="101" t="s">
        <v>1372</v>
      </c>
      <c r="C22" s="8" t="s">
        <v>1373</v>
      </c>
      <c r="D22" s="15" t="s">
        <v>1373</v>
      </c>
      <c r="E22" s="8">
        <v>0</v>
      </c>
      <c r="F22" s="8">
        <v>1</v>
      </c>
      <c r="G22" s="8" t="s">
        <v>841</v>
      </c>
      <c r="I22" s="17" t="str">
        <f t="shared" si="0"/>
        <v>* gvhd 0..1 BackboneElement ##34#Graft Versus Host Disease##34# ##334#Graft Versus Host Disease##334#</v>
      </c>
    </row>
    <row r="23" spans="1:9" ht="111" x14ac:dyDescent="0.75">
      <c r="A23" s="8">
        <v>16</v>
      </c>
      <c r="B23" s="8" t="s">
        <v>1374</v>
      </c>
      <c r="C23" s="8" t="s">
        <v>1375</v>
      </c>
      <c r="D23" s="15" t="s">
        <v>1376</v>
      </c>
      <c r="E23" s="8">
        <v>0</v>
      </c>
      <c r="F23" s="8">
        <v>1</v>
      </c>
      <c r="G23" s="8" t="s">
        <v>1</v>
      </c>
      <c r="I23" s="17" t="str">
        <f t="shared" si="0"/>
        <v>* gvhd.prophylaxis 0..1 CodeableConcept ##34#GVHD prophylaxis##34# ##334#State if any GVHD prophylaxis was given. Details on the drug names used for GVHD prophylaxis should be listed in the chemotherapy section under 'immunotherapy').
1 =&gt; Yes
2 =&gt; No
-9922 =&gt; NK   ##334#</v>
      </c>
    </row>
    <row r="24" spans="1:9" ht="29.5" x14ac:dyDescent="0.75">
      <c r="A24" s="8">
        <v>17</v>
      </c>
      <c r="B24" s="8" t="s">
        <v>1377</v>
      </c>
      <c r="C24" s="8" t="s">
        <v>1378</v>
      </c>
      <c r="D24" s="13" t="s">
        <v>1379</v>
      </c>
      <c r="E24" s="8">
        <v>0</v>
      </c>
      <c r="F24" s="8">
        <v>1</v>
      </c>
      <c r="G24" s="8" t="s">
        <v>841</v>
      </c>
      <c r="I24" s="17" t="str">
        <f t="shared" si="0"/>
        <v>* gvhd.acute 0..1 BackboneElement ##34#GVHD Acute##34# ##334#GVHD Acute ##334#</v>
      </c>
    </row>
    <row r="25" spans="1:9" ht="74" x14ac:dyDescent="0.75">
      <c r="A25" s="8">
        <v>18</v>
      </c>
      <c r="B25" s="8" t="s">
        <v>1380</v>
      </c>
      <c r="C25" s="8" t="s">
        <v>1381</v>
      </c>
      <c r="D25" s="13" t="s">
        <v>1382</v>
      </c>
      <c r="E25" s="8">
        <v>1</v>
      </c>
      <c r="F25" s="8">
        <v>1</v>
      </c>
      <c r="G25" s="8" t="s">
        <v>1</v>
      </c>
      <c r="I25" s="17" t="str">
        <f t="shared" si="0"/>
        <v>* gvhd.acute.status 1..1 CodeableConcept ##34#GVHD Acutestatus##34# ##334#Please State if acute GVHD occurred
1 =&gt; Yes
2 =&gt; No
-9922 =&gt; NK ##334#</v>
      </c>
    </row>
    <row r="26" spans="1:9" ht="129.5" x14ac:dyDescent="0.75">
      <c r="A26" s="8">
        <v>19</v>
      </c>
      <c r="B26" s="8" t="s">
        <v>1383</v>
      </c>
      <c r="C26" s="8" t="s">
        <v>378</v>
      </c>
      <c r="D26" s="13" t="s">
        <v>1384</v>
      </c>
      <c r="E26" s="8">
        <v>1</v>
      </c>
      <c r="F26" s="8">
        <v>1</v>
      </c>
      <c r="G26" s="8" t="s">
        <v>1</v>
      </c>
      <c r="I26" s="17" t="str">
        <f t="shared" si="0"/>
        <v>* gvhd.acute.grade 1..1 CodeableConcept ##34#Grade##34# ##334#If yes, state the maximum grade of acute GVHD.
1 =&gt; 1
2 =&gt; 2
3 =&gt; 3
4 =&gt; 4
-9922 =&gt; NK ##334#</v>
      </c>
    </row>
    <row r="27" spans="1:9" ht="44.25" x14ac:dyDescent="0.75">
      <c r="A27" s="8">
        <v>20</v>
      </c>
      <c r="B27" s="8" t="s">
        <v>1385</v>
      </c>
      <c r="C27" s="8" t="s">
        <v>1034</v>
      </c>
      <c r="D27" s="13" t="s">
        <v>385</v>
      </c>
      <c r="E27" s="8">
        <v>0</v>
      </c>
      <c r="F27" s="8">
        <v>1</v>
      </c>
      <c r="G27" s="8" t="s">
        <v>3</v>
      </c>
      <c r="I27" s="17" t="str">
        <f t="shared" si="0"/>
        <v>* gvhd.acute.startDate 0..1 date ##34#Start date##34# ##334#Define the starting date of GVHD. If the date is unkown or partially missed insert the year at the best of your knowledge.##334#</v>
      </c>
    </row>
    <row r="28" spans="1:9" ht="44.25" x14ac:dyDescent="0.75">
      <c r="A28" s="8">
        <v>21</v>
      </c>
      <c r="B28" s="8" t="s">
        <v>1386</v>
      </c>
      <c r="C28" s="8" t="s">
        <v>1036</v>
      </c>
      <c r="D28" s="13" t="s">
        <v>388</v>
      </c>
      <c r="E28" s="8">
        <v>0</v>
      </c>
      <c r="F28" s="8">
        <v>1</v>
      </c>
      <c r="G28" s="8" t="s">
        <v>3</v>
      </c>
      <c r="I28" s="17" t="str">
        <f t="shared" si="0"/>
        <v>* gvhd.acute.endDate 0..1 date ##34#End date##34# ##334#Define the ending date of GVHD. If the date is unkown or partially missed insert the year at the best of your knowledge.##334#</v>
      </c>
    </row>
    <row r="29" spans="1:9" ht="29.5" x14ac:dyDescent="0.75">
      <c r="A29" s="8">
        <v>22</v>
      </c>
      <c r="B29" s="8" t="s">
        <v>1387</v>
      </c>
      <c r="C29" s="8" t="s">
        <v>1388</v>
      </c>
      <c r="D29" s="8" t="s">
        <v>1389</v>
      </c>
      <c r="E29" s="8">
        <v>0</v>
      </c>
      <c r="F29" s="8">
        <v>1</v>
      </c>
      <c r="G29" s="8" t="s">
        <v>841</v>
      </c>
      <c r="I29" s="17" t="str">
        <f t="shared" si="0"/>
        <v>* gvhd.chronic 0..1 BackboneElement ##34#GVHD Chronic##34# ##334#GVHD Chronic ##334#</v>
      </c>
    </row>
    <row r="30" spans="1:9" ht="74" x14ac:dyDescent="0.75">
      <c r="A30" s="8">
        <v>23</v>
      </c>
      <c r="B30" s="8" t="s">
        <v>1390</v>
      </c>
      <c r="C30" s="8" t="s">
        <v>1391</v>
      </c>
      <c r="D30" s="15" t="s">
        <v>1392</v>
      </c>
      <c r="E30" s="8">
        <v>1</v>
      </c>
      <c r="F30" s="8">
        <v>1</v>
      </c>
      <c r="G30" s="8" t="s">
        <v>1</v>
      </c>
      <c r="I30" s="17" t="str">
        <f t="shared" si="0"/>
        <v>* gvhd.chronic.status 1..1 CodeableConcept ##34#GVHD Chronicstatus##34# ##334#Please State if chronic GVHD occurred
1 =&gt; Yes
2 =&gt; No
-9922 =&gt; NK ##334#</v>
      </c>
    </row>
    <row r="31" spans="1:9" ht="74" x14ac:dyDescent="0.75">
      <c r="A31" s="8">
        <v>24</v>
      </c>
      <c r="B31" s="8" t="s">
        <v>1393</v>
      </c>
      <c r="C31" s="8" t="s">
        <v>378</v>
      </c>
      <c r="D31" s="13" t="s">
        <v>1394</v>
      </c>
      <c r="E31" s="8">
        <v>1</v>
      </c>
      <c r="F31" s="8">
        <v>1</v>
      </c>
      <c r="G31" s="8" t="s">
        <v>1</v>
      </c>
      <c r="I31" s="17" t="str">
        <f t="shared" si="0"/>
        <v>* gvhd.chronic.grade 1..1 CodeableConcept ##34#Grade##34# ##334# If yes, state the maximum grade of chronic GVHD
1 =&gt; Limited
2 =&gt; Extensive
-9922 =&gt; NK##334#</v>
      </c>
    </row>
    <row r="32" spans="1:9" ht="44.25" x14ac:dyDescent="0.75">
      <c r="A32" s="8">
        <v>25</v>
      </c>
      <c r="B32" s="8" t="s">
        <v>1395</v>
      </c>
      <c r="C32" s="8" t="s">
        <v>1034</v>
      </c>
      <c r="D32" s="13" t="s">
        <v>397</v>
      </c>
      <c r="E32" s="8">
        <v>0</v>
      </c>
      <c r="F32" s="8">
        <v>1</v>
      </c>
      <c r="G32" s="8" t="s">
        <v>3</v>
      </c>
      <c r="I32" s="17" t="str">
        <f t="shared" si="0"/>
        <v>* gvhd.chronic.startDate 0..1 date ##34#Start date##34# ##334#Please Define the starting date of GVHD. If the date is unkown or partially missed insert the year at the best of your knowledge.##334#</v>
      </c>
    </row>
    <row r="33" spans="1:9" ht="44.25" x14ac:dyDescent="0.75">
      <c r="A33" s="8">
        <v>26</v>
      </c>
      <c r="B33" s="8" t="s">
        <v>1396</v>
      </c>
      <c r="C33" s="8" t="s">
        <v>1036</v>
      </c>
      <c r="D33" s="13" t="s">
        <v>399</v>
      </c>
      <c r="E33" s="8">
        <v>0</v>
      </c>
      <c r="F33" s="8">
        <v>1</v>
      </c>
      <c r="G33" s="8" t="s">
        <v>3</v>
      </c>
      <c r="I33" s="17" t="str">
        <f t="shared" si="0"/>
        <v>* gvhd.chronic.endDate 0..1 date ##34#End date##34# ##334#Please Define the ending date of GVHD. If the date is unkown or partially missed insert the year at the best of your knowledge.##334#</v>
      </c>
    </row>
    <row r="34" spans="1:9" ht="29.5" x14ac:dyDescent="0.75">
      <c r="A34" s="8">
        <v>27</v>
      </c>
      <c r="B34" s="8" t="s">
        <v>1397</v>
      </c>
      <c r="C34" s="8" t="s">
        <v>1398</v>
      </c>
      <c r="D34" s="13" t="s">
        <v>403</v>
      </c>
      <c r="E34" s="8">
        <v>0</v>
      </c>
      <c r="F34" s="8" t="s">
        <v>851</v>
      </c>
      <c r="G34" s="8" t="s">
        <v>2</v>
      </c>
      <c r="I34" s="17" t="str">
        <f t="shared" si="0"/>
        <v>* gvhd.organAffected 0..* string ##34#Organs affected##34# ##334#Please List organs affected by GVHD##334#</v>
      </c>
    </row>
    <row r="35" spans="1:9" ht="29.5" x14ac:dyDescent="0.75">
      <c r="A35" s="8">
        <v>28</v>
      </c>
      <c r="B35" s="8" t="s">
        <v>1399</v>
      </c>
      <c r="C35" s="8" t="s">
        <v>1400</v>
      </c>
      <c r="D35" s="8" t="s">
        <v>1401</v>
      </c>
      <c r="E35" s="8">
        <v>0</v>
      </c>
      <c r="F35" s="8">
        <v>1</v>
      </c>
      <c r="G35" s="8" t="s">
        <v>841</v>
      </c>
      <c r="I35" s="17" t="str">
        <f t="shared" si="0"/>
        <v>* bloodBeforeTransplant 0..1 BackboneElement ##34#Blood before transplant##34# ##334#Blood before transplant ##334#</v>
      </c>
    </row>
    <row r="36" spans="1:9" ht="111" x14ac:dyDescent="0.75">
      <c r="A36" s="8">
        <v>29</v>
      </c>
      <c r="B36" s="8" t="s">
        <v>1402</v>
      </c>
      <c r="C36" s="8" t="s">
        <v>1403</v>
      </c>
      <c r="D36" s="13" t="s">
        <v>1404</v>
      </c>
      <c r="E36" s="8">
        <v>1</v>
      </c>
      <c r="F36" s="8">
        <v>1</v>
      </c>
      <c r="G36" s="8" t="s">
        <v>1</v>
      </c>
      <c r="I36" s="17" t="str">
        <f t="shared" si="0"/>
        <v>* bloodBeforeTransplant.type 1..1 CodeableConcept ##34#Blood type##34# ##334#Blood type before transplant 
1 =&gt; A
2 =&gt; B
3 =&gt; AB
4 =&gt; O 
-9922 =&gt; NK##334#</v>
      </c>
    </row>
    <row r="37" spans="1:9" ht="74" x14ac:dyDescent="0.75">
      <c r="A37" s="8">
        <v>30</v>
      </c>
      <c r="B37" s="8" t="s">
        <v>1405</v>
      </c>
      <c r="C37" s="8" t="s">
        <v>1406</v>
      </c>
      <c r="D37" s="13" t="s">
        <v>1407</v>
      </c>
      <c r="E37" s="8">
        <v>1</v>
      </c>
      <c r="F37" s="8">
        <v>1</v>
      </c>
      <c r="G37" s="8" t="s">
        <v>1</v>
      </c>
      <c r="I37" s="17" t="str">
        <f t="shared" si="0"/>
        <v>* bloodBeforeTransplant.rh 1..1 CodeableConcept ##34#Rh##34# ##334#Rh factor before transplant
1 =&gt; +
2 =&gt; -
-9922 =&gt; NK ##334#</v>
      </c>
    </row>
    <row r="38" spans="1:9" ht="29.5" x14ac:dyDescent="0.75">
      <c r="A38" s="8">
        <v>31</v>
      </c>
      <c r="B38" s="8" t="s">
        <v>1408</v>
      </c>
      <c r="C38" s="8" t="s">
        <v>1409</v>
      </c>
      <c r="D38" s="8" t="s">
        <v>1410</v>
      </c>
      <c r="E38" s="8">
        <v>0</v>
      </c>
      <c r="F38" s="8">
        <v>1</v>
      </c>
      <c r="G38" s="8" t="s">
        <v>841</v>
      </c>
      <c r="I38" s="17" t="str">
        <f t="shared" si="0"/>
        <v>* bloodAfterTransplant 0..1 BackboneElement ##34#Blood after transplant##34# ##334#Blood after transplant ##334#</v>
      </c>
    </row>
    <row r="39" spans="1:9" ht="111" x14ac:dyDescent="0.75">
      <c r="A39" s="8">
        <v>32</v>
      </c>
      <c r="B39" s="8" t="s">
        <v>1411</v>
      </c>
      <c r="C39" s="8" t="s">
        <v>1403</v>
      </c>
      <c r="D39" s="13" t="s">
        <v>1412</v>
      </c>
      <c r="E39" s="8">
        <v>1</v>
      </c>
      <c r="F39" s="8">
        <v>1</v>
      </c>
      <c r="G39" s="8" t="s">
        <v>1</v>
      </c>
      <c r="I39" s="17" t="str">
        <f t="shared" si="0"/>
        <v>* bloodAfterTransplant.type 1..1 CodeableConcept ##34#Blood type##34# ##334#Blood type after transplant 
1 =&gt; A
2 =&gt; B
3 =&gt; AB
4 =&gt; O 
-9922 =&gt; NK##334#</v>
      </c>
    </row>
    <row r="40" spans="1:9" ht="74" x14ac:dyDescent="0.75">
      <c r="A40" s="8">
        <v>33</v>
      </c>
      <c r="B40" s="8" t="s">
        <v>1413</v>
      </c>
      <c r="C40" s="8" t="s">
        <v>1406</v>
      </c>
      <c r="D40" s="13" t="s">
        <v>1414</v>
      </c>
      <c r="E40" s="8">
        <v>1</v>
      </c>
      <c r="F40" s="8">
        <v>1</v>
      </c>
      <c r="G40" s="8" t="s">
        <v>1</v>
      </c>
      <c r="I40" s="17" t="str">
        <f t="shared" si="0"/>
        <v>* bloodAfterTransplant.rh 1..1 CodeableConcept ##34#Rh##34# ##334#Rh factor after transplant
1 =&gt; +
2 =&gt; -
-9922 =&gt; NK ##334#</v>
      </c>
    </row>
    <row r="41" spans="1:9" ht="59" x14ac:dyDescent="0.75">
      <c r="A41" s="8">
        <v>34</v>
      </c>
      <c r="B41" s="103" t="s">
        <v>1415</v>
      </c>
      <c r="C41" s="8" t="s">
        <v>1416</v>
      </c>
      <c r="D41" s="13" t="s">
        <v>421</v>
      </c>
      <c r="E41" s="103">
        <v>0</v>
      </c>
      <c r="F41" s="103">
        <v>1</v>
      </c>
      <c r="G41" s="103" t="s">
        <v>3</v>
      </c>
      <c r="I41" s="17" t="str">
        <f t="shared" si="0"/>
        <v>* endOfTreatment 0..1 date ##34#Date of end of immunosuppressive treatmentafter HSCT##34# ##334#Date of end of immunosuppressive treatment. If the date is unkown or partially missed insert the year at the best of your knowledge.##334#</v>
      </c>
    </row>
    <row r="42" spans="1:9" x14ac:dyDescent="0.75">
      <c r="I42" s="17" t="str">
        <f t="shared" si="0"/>
        <v>*  ..  ##34###34# ##334###334#</v>
      </c>
    </row>
    <row r="43" spans="1:9" x14ac:dyDescent="0.75">
      <c r="I43" s="17" t="str">
        <f t="shared" si="0"/>
        <v>*  ..  ##34###34# ##334###334#</v>
      </c>
    </row>
    <row r="44" spans="1:9" x14ac:dyDescent="0.75">
      <c r="I44" s="17" t="str">
        <f t="shared" si="0"/>
        <v>*  ..  ##34###34# ##334###334#</v>
      </c>
    </row>
    <row r="45" spans="1:9" x14ac:dyDescent="0.75">
      <c r="I45" s="17" t="str">
        <f t="shared" si="0"/>
        <v>*  ..  ##34###34# ##334###334#</v>
      </c>
    </row>
    <row r="46" spans="1:9" x14ac:dyDescent="0.75">
      <c r="I46" s="17" t="str">
        <f t="shared" si="0"/>
        <v>*  ..  ##34###34# ##334###334#</v>
      </c>
    </row>
    <row r="47" spans="1:9" x14ac:dyDescent="0.75">
      <c r="I47" s="17" t="str">
        <f t="shared" si="0"/>
        <v>*  ..  ##34###34# ##334###334#</v>
      </c>
    </row>
    <row r="48" spans="1:9" x14ac:dyDescent="0.75">
      <c r="I48" s="17" t="str">
        <f t="shared" si="0"/>
        <v>*  ..  ##34###34# ##334###334#</v>
      </c>
    </row>
  </sheetData>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9C48C-9BF3-4262-BD29-64556690F8B0}">
  <sheetPr codeName="Foglio47"/>
  <dimension ref="A1:P58"/>
  <sheetViews>
    <sheetView topLeftCell="A29" workbookViewId="0">
      <selection activeCell="E17" sqref="E17"/>
    </sheetView>
  </sheetViews>
  <sheetFormatPr defaultRowHeight="14.75" x14ac:dyDescent="0.75"/>
  <cols>
    <col min="2" max="2" width="33.40625" style="1" bestFit="1" customWidth="1"/>
    <col min="3" max="3" width="77.2265625" style="1" customWidth="1"/>
    <col min="4" max="4" width="8.04296875" customWidth="1"/>
    <col min="5" max="5" width="71.58984375" style="1" customWidth="1"/>
    <col min="6" max="7" width="10.76953125" customWidth="1"/>
    <col min="8" max="8" width="45.26953125" customWidth="1"/>
  </cols>
  <sheetData>
    <row r="1" spans="1:16" x14ac:dyDescent="0.75">
      <c r="E1" s="26" t="s">
        <v>80</v>
      </c>
      <c r="I1" s="9"/>
      <c r="J1" s="9"/>
      <c r="K1" s="9"/>
      <c r="L1" s="9"/>
      <c r="M1" s="9"/>
      <c r="N1" s="9"/>
      <c r="O1" s="9"/>
      <c r="P1" s="9"/>
    </row>
    <row r="2" spans="1:16" x14ac:dyDescent="0.75">
      <c r="E2" s="33" t="s">
        <v>81</v>
      </c>
      <c r="I2" s="9"/>
      <c r="J2" s="9"/>
      <c r="K2" s="9"/>
      <c r="L2" s="9"/>
      <c r="M2" s="9"/>
      <c r="N2" s="9"/>
      <c r="O2" s="9"/>
      <c r="P2" s="9"/>
    </row>
    <row r="3" spans="1:16" ht="15.5" thickBot="1" x14ac:dyDescent="0.9">
      <c r="E3" s="33" t="str">
        <f>E1</f>
        <v>// -------------------------------------------------------------------------------</v>
      </c>
      <c r="I3" s="9"/>
      <c r="J3" s="9"/>
      <c r="K3" s="9"/>
      <c r="L3" s="9"/>
      <c r="M3" s="9"/>
      <c r="N3" s="9"/>
      <c r="O3" s="9"/>
      <c r="P3" s="9"/>
    </row>
    <row r="4" spans="1:16" ht="15.5" thickBot="1" x14ac:dyDescent="0.9">
      <c r="B4" s="94" t="s">
        <v>77</v>
      </c>
      <c r="C4" s="90" t="s">
        <v>1502</v>
      </c>
      <c r="E4" s="30" t="str">
        <f>CONCATENATE("Mapping: ",C4)</f>
        <v>Mapping: Sct2Fhir</v>
      </c>
      <c r="I4" s="9"/>
      <c r="J4" s="9"/>
      <c r="K4" s="9"/>
      <c r="L4" s="9"/>
      <c r="M4" s="9"/>
      <c r="N4" s="9"/>
      <c r="O4" s="9"/>
      <c r="P4" s="9"/>
    </row>
    <row r="5" spans="1:16" ht="15.5" thickBot="1" x14ac:dyDescent="0.9">
      <c r="B5" s="94" t="s">
        <v>76</v>
      </c>
      <c r="C5" s="93" t="s">
        <v>15</v>
      </c>
      <c r="E5" s="31" t="str">
        <f>CONCATENATE("Id: ",C5)</f>
        <v>Id: fhir</v>
      </c>
      <c r="H5" s="1"/>
      <c r="I5" s="9"/>
      <c r="J5" s="9"/>
      <c r="K5" s="9"/>
      <c r="L5" s="9"/>
      <c r="M5" s="9"/>
      <c r="N5" s="9"/>
      <c r="O5" s="9"/>
      <c r="P5" s="9"/>
    </row>
    <row r="6" spans="1:16" ht="15.5" thickBot="1" x14ac:dyDescent="0.9">
      <c r="B6" s="94" t="s">
        <v>11</v>
      </c>
      <c r="C6" s="1" t="str">
        <f>C7 &amp;  " model to PCSP HL7 FHIR R4 Profiles"</f>
        <v>StemCellTransplantation model to PCSP HL7 FHIR R4 Profiles</v>
      </c>
      <c r="E6" s="31" t="str">
        <f>CONCATENATE("Title: ##34#",C6,"##34#")</f>
        <v>Title: ##34#StemCellTransplantation model to PCSP HL7 FHIR R4 Profiles##34#</v>
      </c>
      <c r="H6" s="1"/>
      <c r="I6" s="9"/>
      <c r="J6" s="9"/>
      <c r="K6" s="9"/>
      <c r="L6" s="9"/>
      <c r="M6" s="9"/>
      <c r="N6" s="9"/>
      <c r="O6" s="9"/>
      <c r="P6" s="9"/>
    </row>
    <row r="7" spans="1:16" ht="15.5" thickBot="1" x14ac:dyDescent="0.9">
      <c r="B7" s="94" t="s">
        <v>78</v>
      </c>
      <c r="C7" s="91" t="str">
        <f>B9</f>
        <v>StemCellTransplantation</v>
      </c>
      <c r="E7" s="31" t="str">
        <f>CONCATENATE("Source: ",C7)</f>
        <v>Source: StemCellTransplantation</v>
      </c>
      <c r="H7" s="1"/>
      <c r="I7" s="9"/>
      <c r="J7" s="9"/>
      <c r="K7" s="9"/>
      <c r="L7" s="9"/>
      <c r="M7" s="9"/>
      <c r="N7" s="9"/>
      <c r="O7" s="9"/>
      <c r="P7" s="9"/>
    </row>
    <row r="8" spans="1:16" ht="15.5" thickBot="1" x14ac:dyDescent="0.9">
      <c r="B8" s="98" t="s">
        <v>73</v>
      </c>
      <c r="C8" s="1" t="s">
        <v>14</v>
      </c>
      <c r="E8" s="32" t="str">
        <f>CONCATENATE("Target: ##34#",C8,"##34#")</f>
        <v>Target: ##34#hl7.org/fhir/r4##34#</v>
      </c>
      <c r="H8" s="1"/>
      <c r="I8" s="9"/>
      <c r="J8" s="9"/>
      <c r="K8" s="9"/>
      <c r="L8" s="9"/>
      <c r="M8" s="9"/>
      <c r="N8" s="9"/>
      <c r="O8" s="9"/>
      <c r="P8" s="9"/>
    </row>
    <row r="9" spans="1:16" ht="44.25" x14ac:dyDescent="0.75">
      <c r="A9" s="8"/>
      <c r="B9" s="4" t="str">
        <f>Sct!B5</f>
        <v>StemCellTransplantation</v>
      </c>
      <c r="C9" s="4" t="s">
        <v>1417</v>
      </c>
      <c r="E9" s="4" t="str">
        <f>CONCATENATE("* . -&gt; ##34#",C9,"##34#")</f>
        <v>* . -&gt; ##34#Procedure.conformsTo('http://hl7.eu/fhir/ig/pcsp/StructureDefinition/Procedure-sct-eu-pcsp')##34#</v>
      </c>
      <c r="I9" s="9"/>
      <c r="J9" s="9"/>
      <c r="K9" s="9"/>
      <c r="L9" s="9"/>
      <c r="M9" s="9"/>
      <c r="N9" s="9"/>
      <c r="O9" s="9"/>
      <c r="P9" s="9"/>
    </row>
    <row r="10" spans="1:16" x14ac:dyDescent="0.75">
      <c r="A10" s="8"/>
      <c r="B10" s="17" t="str">
        <f>Sct!B8</f>
        <v>identifier</v>
      </c>
      <c r="C10" s="1" t="s">
        <v>74</v>
      </c>
      <c r="E10" s="17" t="str">
        <f>CONCATENATE("* ",B10," -&gt; ##34#",C10,"##34#")</f>
        <v>* identifier -&gt; ##34#.identifier##34#</v>
      </c>
      <c r="G10" t="b">
        <f>IF(B10=H10,TRUE, FALSE)</f>
        <v>1</v>
      </c>
      <c r="H10" s="1" t="s">
        <v>12</v>
      </c>
      <c r="I10" s="9" t="s">
        <v>74</v>
      </c>
      <c r="J10" s="9"/>
      <c r="K10" s="9"/>
      <c r="L10" s="9"/>
      <c r="M10" s="9"/>
      <c r="N10" s="9"/>
      <c r="O10" s="9"/>
      <c r="P10" s="9"/>
    </row>
    <row r="11" spans="1:16" x14ac:dyDescent="0.75">
      <c r="A11" s="8"/>
      <c r="B11" s="17" t="str">
        <f>Sct!B9</f>
        <v>relatedDiagnosis</v>
      </c>
      <c r="C11" s="1" t="s">
        <v>1092</v>
      </c>
      <c r="E11" s="17" t="str">
        <f t="shared" ref="E11:E58" si="0">CONCATENATE("* ",B11," -&gt; ##34#",C11,"##34#")</f>
        <v>* relatedDiagnosis -&gt; ##34#.reasonReference##34#</v>
      </c>
      <c r="G11" t="b">
        <f t="shared" ref="G11:G43" si="1">IF(B11=H11,TRUE, FALSE)</f>
        <v>1</v>
      </c>
      <c r="H11" s="1" t="s">
        <v>72</v>
      </c>
      <c r="I11" s="9" t="s">
        <v>1092</v>
      </c>
      <c r="J11" s="9"/>
      <c r="K11" s="9"/>
      <c r="L11" s="9"/>
      <c r="M11" s="9"/>
      <c r="N11" s="9"/>
      <c r="O11" s="9"/>
      <c r="P11" s="9"/>
    </row>
    <row r="12" spans="1:16" x14ac:dyDescent="0.75">
      <c r="A12" s="8"/>
      <c r="B12" s="17" t="str">
        <f>Sct!B10</f>
        <v>relatedRelapse</v>
      </c>
      <c r="C12" s="1" t="s">
        <v>1092</v>
      </c>
      <c r="E12" s="17" t="str">
        <f t="shared" si="0"/>
        <v>* relatedRelapse -&gt; ##34#.reasonReference##34#</v>
      </c>
      <c r="G12" t="b">
        <f t="shared" si="1"/>
        <v>1</v>
      </c>
      <c r="H12" s="1" t="s">
        <v>1121</v>
      </c>
      <c r="I12" s="9" t="s">
        <v>1092</v>
      </c>
      <c r="J12" s="9"/>
      <c r="K12" s="9"/>
      <c r="L12" s="9"/>
      <c r="M12" s="9"/>
      <c r="N12" s="9"/>
      <c r="O12" s="9"/>
      <c r="P12" s="9"/>
    </row>
    <row r="13" spans="1:16" ht="44.25" x14ac:dyDescent="0.75">
      <c r="A13" s="8"/>
      <c r="B13" s="17" t="str">
        <f>Sct!B11</f>
        <v>istitutionOfTreatment</v>
      </c>
      <c r="C13" s="1" t="s">
        <v>1342</v>
      </c>
      <c r="E13" s="17" t="str">
        <f t="shared" si="0"/>
        <v>* istitutionOfTreatment -&gt; ##34#location.resolve().conformsTo(http://hl7.eu/fhir/ig/pcsp/StructureDefinition/Location-eu-pcsp)##34#</v>
      </c>
      <c r="G13" t="b">
        <f t="shared" si="1"/>
        <v>1</v>
      </c>
      <c r="H13" s="1" t="s">
        <v>1037</v>
      </c>
      <c r="I13" s="9" t="s">
        <v>1342</v>
      </c>
      <c r="J13" s="9"/>
      <c r="K13" s="9"/>
      <c r="L13" s="9"/>
      <c r="M13" s="9"/>
      <c r="N13" s="9"/>
      <c r="O13" s="9"/>
      <c r="P13" s="9"/>
    </row>
    <row r="14" spans="1:16" x14ac:dyDescent="0.75">
      <c r="A14" s="8"/>
      <c r="B14" s="17" t="str">
        <f>Sct!B12</f>
        <v>istitutionOfTreatment.description</v>
      </c>
      <c r="C14" s="1" t="s">
        <v>1096</v>
      </c>
      <c r="E14" s="17" t="str">
        <f t="shared" si="0"/>
        <v>* istitutionOfTreatment.description -&gt; ##34#Location.description##34#</v>
      </c>
      <c r="G14" t="b">
        <f t="shared" si="1"/>
        <v>1</v>
      </c>
      <c r="H14" s="1" t="s">
        <v>1039</v>
      </c>
      <c r="I14" s="9" t="s">
        <v>1096</v>
      </c>
      <c r="J14" s="9"/>
      <c r="K14" s="9"/>
      <c r="L14" s="9"/>
      <c r="M14" s="9"/>
      <c r="N14" s="9"/>
      <c r="O14" s="9"/>
      <c r="P14" s="9"/>
    </row>
    <row r="15" spans="1:16" x14ac:dyDescent="0.75">
      <c r="A15" s="8"/>
      <c r="B15" s="17" t="str">
        <f>Sct!B13</f>
        <v>istitutionOfTreatment.name</v>
      </c>
      <c r="C15" s="1" t="s">
        <v>1097</v>
      </c>
      <c r="E15" s="17" t="str">
        <f t="shared" si="0"/>
        <v>* istitutionOfTreatment.name -&gt; ##34#Location.name##34#</v>
      </c>
      <c r="G15" t="b">
        <f t="shared" si="1"/>
        <v>1</v>
      </c>
      <c r="H15" s="1" t="s">
        <v>1042</v>
      </c>
      <c r="I15" s="9" t="s">
        <v>1097</v>
      </c>
      <c r="J15" s="9"/>
      <c r="K15" s="9"/>
      <c r="L15" s="9"/>
      <c r="M15" s="9"/>
      <c r="N15" s="9"/>
      <c r="O15" s="9"/>
      <c r="P15" s="9"/>
    </row>
    <row r="16" spans="1:16" x14ac:dyDescent="0.75">
      <c r="A16" s="8"/>
      <c r="B16" s="17" t="str">
        <f>Sct!B14</f>
        <v>istitutionOfTreatment.address</v>
      </c>
      <c r="C16" s="1" t="s">
        <v>1098</v>
      </c>
      <c r="E16" s="17" t="str">
        <f t="shared" si="0"/>
        <v>* istitutionOfTreatment.address -&gt; ##34#Location.address.city##34#</v>
      </c>
      <c r="G16" t="b">
        <f t="shared" si="1"/>
        <v>1</v>
      </c>
      <c r="H16" s="1" t="s">
        <v>1044</v>
      </c>
      <c r="I16" s="9" t="s">
        <v>1098</v>
      </c>
      <c r="J16" s="9"/>
      <c r="K16" s="9"/>
      <c r="L16" s="9"/>
      <c r="M16" s="9"/>
      <c r="N16" s="9"/>
      <c r="O16" s="9"/>
      <c r="P16" s="9"/>
    </row>
    <row r="17" spans="1:16" x14ac:dyDescent="0.75">
      <c r="A17" s="8"/>
      <c r="B17" s="17" t="str">
        <f>Sct!B15</f>
        <v>istitutionOfTreatment.address.name</v>
      </c>
      <c r="E17" s="4" t="s">
        <v>1639</v>
      </c>
      <c r="G17" t="b">
        <f t="shared" si="1"/>
        <v>1</v>
      </c>
      <c r="H17" s="1" t="s">
        <v>1046</v>
      </c>
      <c r="I17" s="9"/>
      <c r="J17" s="9"/>
      <c r="K17" s="9"/>
      <c r="L17" s="9"/>
      <c r="M17" s="9"/>
      <c r="N17" s="9"/>
      <c r="O17" s="9"/>
      <c r="P17" s="9"/>
    </row>
    <row r="18" spans="1:16" x14ac:dyDescent="0.75">
      <c r="A18" s="8"/>
      <c r="B18" s="17" t="str">
        <f>Sct!B16</f>
        <v>istitutionOfTreatment.address.country</v>
      </c>
      <c r="C18" s="1" t="s">
        <v>1099</v>
      </c>
      <c r="E18" s="17" t="str">
        <f t="shared" si="0"/>
        <v>* istitutionOfTreatment.address.country -&gt; ##34#Location.address.country##34#</v>
      </c>
      <c r="G18" t="b">
        <f t="shared" si="1"/>
        <v>1</v>
      </c>
      <c r="H18" s="1" t="s">
        <v>1048</v>
      </c>
      <c r="I18" s="9" t="s">
        <v>1099</v>
      </c>
      <c r="J18" s="9"/>
      <c r="K18" s="9"/>
      <c r="L18" s="9"/>
      <c r="M18" s="9"/>
      <c r="N18" s="9"/>
      <c r="O18" s="9"/>
      <c r="P18" s="9"/>
    </row>
    <row r="19" spans="1:16" x14ac:dyDescent="0.75">
      <c r="A19" s="8"/>
      <c r="B19" s="17" t="str">
        <f>Sct!B17</f>
        <v>date</v>
      </c>
      <c r="C19" s="1" t="s">
        <v>1418</v>
      </c>
      <c r="E19" s="17" t="str">
        <f t="shared" si="0"/>
        <v>* date -&gt; ##34#.performedDateTime##34#</v>
      </c>
      <c r="G19" t="b">
        <f t="shared" si="1"/>
        <v>1</v>
      </c>
      <c r="H19" s="1" t="s">
        <v>3</v>
      </c>
      <c r="I19" t="s">
        <v>1418</v>
      </c>
    </row>
    <row r="20" spans="1:16" x14ac:dyDescent="0.75">
      <c r="A20" s="8"/>
      <c r="B20" s="17" t="str">
        <f>Sct!B18</f>
        <v>transplantType</v>
      </c>
      <c r="C20" s="1" t="s">
        <v>1217</v>
      </c>
      <c r="E20" s="17" t="str">
        <f t="shared" si="0"/>
        <v>* transplantType -&gt; ##34#.code##34#</v>
      </c>
      <c r="G20" t="b">
        <f t="shared" si="1"/>
        <v>1</v>
      </c>
      <c r="H20" s="1" t="s">
        <v>1361</v>
      </c>
      <c r="I20" t="s">
        <v>1217</v>
      </c>
    </row>
    <row r="21" spans="1:16" ht="59" x14ac:dyDescent="0.75">
      <c r="A21" s="8"/>
      <c r="B21" s="17" t="str">
        <f>Sct!B19</f>
        <v>donorType</v>
      </c>
      <c r="C21" s="1" t="s">
        <v>1419</v>
      </c>
      <c r="E21" s="17" t="str">
        <f t="shared" si="0"/>
        <v>* donorType -&gt; ##34#BiologicallyDerivedProduct .conformsTo('http://hl7.eu/fhir/ig/pcsp/StructureDefinition/BiologicallyDerivedProduct-sct-eu-pcsp').extension('http://hl7.eu/fhir/ig/pcsp/StructureDefinition/sct-donor-type').valueCodeableConcept##34#</v>
      </c>
      <c r="G21" t="b">
        <f t="shared" si="1"/>
        <v>1</v>
      </c>
      <c r="H21" s="1" t="s">
        <v>1364</v>
      </c>
      <c r="I21" t="s">
        <v>1419</v>
      </c>
    </row>
    <row r="22" spans="1:16" ht="59" x14ac:dyDescent="0.75">
      <c r="A22" s="8"/>
      <c r="B22" s="17" t="str">
        <f>Sct!B20</f>
        <v>cellSource</v>
      </c>
      <c r="C22" s="1" t="s">
        <v>1420</v>
      </c>
      <c r="E22" s="17" t="str">
        <f t="shared" si="0"/>
        <v>* cellSource -&gt; ##34#BiologicallyDerivedProduct .conformsTo('http://hl7.eu/fhir/ig/pcsp/StructureDefinition/BiologicallyDerivedProduct-sct-eu-pcsp').extension('http://hl7.eu/fhir/ig/pcsp/StructureDefinition/sct-source-type').valueCodeableConcept##34#</v>
      </c>
      <c r="G22" t="b">
        <f t="shared" si="1"/>
        <v>1</v>
      </c>
      <c r="H22" s="1" t="s">
        <v>1367</v>
      </c>
      <c r="I22" t="s">
        <v>1420</v>
      </c>
    </row>
    <row r="23" spans="1:16" ht="73.75" x14ac:dyDescent="0.75">
      <c r="A23" s="8"/>
      <c r="B23" s="17" t="str">
        <f>Sct!B21</f>
        <v>conditioningRegimen</v>
      </c>
      <c r="C23" s="1" t="s">
        <v>1421</v>
      </c>
      <c r="E23" s="17" t="str">
        <f t="shared" si="0"/>
        <v>* conditioningRegimen -&gt; ##34#Procedure.conformsTo('http://hl7.eu/fhir/ig/pcsp/StructureDefinition/Procedure-sct-prophylaxis-eu-pcsp').where(reasonReference.resolve().conformTo('http://hl7.eu/fhir/ig/pcsp/StructureDefinition/Procedure-sct-eu-pcsp') ).text##34#</v>
      </c>
      <c r="G23" t="b">
        <f t="shared" si="1"/>
        <v>1</v>
      </c>
      <c r="H23" s="1" t="s">
        <v>1370</v>
      </c>
      <c r="I23" t="s">
        <v>1421</v>
      </c>
    </row>
    <row r="24" spans="1:16" ht="44.25" x14ac:dyDescent="0.75">
      <c r="A24" s="8"/>
      <c r="B24" s="17" t="str">
        <f>Sct!B22</f>
        <v>gvhd</v>
      </c>
      <c r="C24" s="1" t="s">
        <v>1422</v>
      </c>
      <c r="E24" s="17" t="str">
        <f t="shared" si="0"/>
        <v>* gvhd -&gt; ##34#Condition.conformsTo('http://hl7.eu/fhir/ig/pcsp/StructureDefinition/Condition-gvdh-eu-pcsp')##34#</v>
      </c>
      <c r="G24" t="b">
        <f t="shared" si="1"/>
        <v>1</v>
      </c>
      <c r="H24" s="1" t="s">
        <v>1372</v>
      </c>
      <c r="I24" t="s">
        <v>1422</v>
      </c>
    </row>
    <row r="25" spans="1:16" ht="59" x14ac:dyDescent="0.75">
      <c r="A25" s="8"/>
      <c r="B25" s="17" t="str">
        <f>Sct!B23</f>
        <v>gvhd.prophylaxis</v>
      </c>
      <c r="C25" s="1" t="s">
        <v>1423</v>
      </c>
      <c r="E25" s="17" t="str">
        <f t="shared" si="0"/>
        <v>* gvhd.prophylaxis -&gt; ##34#Procedure.conformsTo('http://hl7.eu/fhir/ig/pcsp/StructureDefinition/Procedure-sct-prophylaxis-eu-pcsp').where(code = $sct#868254008 'GVHD (graft versus host disease) prophylaxis').exists()##34#</v>
      </c>
      <c r="G25" t="b">
        <f t="shared" si="1"/>
        <v>1</v>
      </c>
      <c r="H25" s="1" t="s">
        <v>1374</v>
      </c>
      <c r="I25" t="s">
        <v>1423</v>
      </c>
    </row>
    <row r="26" spans="1:16" ht="29.5" x14ac:dyDescent="0.75">
      <c r="A26" s="8"/>
      <c r="B26" s="17" t="str">
        <f>Sct!B24</f>
        <v>gvhd.acute</v>
      </c>
      <c r="C26" s="1" t="s">
        <v>1424</v>
      </c>
      <c r="E26" s="17" t="str">
        <f t="shared" si="0"/>
        <v>* gvhd.acute -&gt; ##34#.where(code = http://snomed.info/sct#402355000 'Acute graft-versus-host disease')##34#</v>
      </c>
      <c r="G26" t="b">
        <f t="shared" si="1"/>
        <v>1</v>
      </c>
      <c r="H26" s="1" t="s">
        <v>1377</v>
      </c>
      <c r="I26" t="s">
        <v>1424</v>
      </c>
    </row>
    <row r="27" spans="1:16" ht="29.5" x14ac:dyDescent="0.75">
      <c r="A27" s="8"/>
      <c r="B27" s="17" t="str">
        <f>Sct!B25</f>
        <v>gvhd.acute.status</v>
      </c>
      <c r="C27" s="1" t="s">
        <v>1425</v>
      </c>
      <c r="E27" s="17" t="str">
        <f t="shared" si="0"/>
        <v>* gvhd.acute.status -&gt; ##34#.where(code = http://snomed.info/sct#402355000 'Acute graft-versus-host disease').exists()##34#</v>
      </c>
      <c r="G27" t="b">
        <f t="shared" si="1"/>
        <v>1</v>
      </c>
      <c r="H27" s="1" t="s">
        <v>1380</v>
      </c>
      <c r="I27" t="s">
        <v>1425</v>
      </c>
    </row>
    <row r="28" spans="1:16" x14ac:dyDescent="0.75">
      <c r="A28" s="8"/>
      <c r="B28" s="17" t="str">
        <f>Sct!B26</f>
        <v>gvhd.acute.grade</v>
      </c>
      <c r="C28" s="1" t="s">
        <v>1426</v>
      </c>
      <c r="E28" s="17" t="str">
        <f t="shared" si="0"/>
        <v>* gvhd.acute.grade -&gt; ##34#.stage.summary##34#</v>
      </c>
      <c r="G28" t="b">
        <f t="shared" si="1"/>
        <v>1</v>
      </c>
      <c r="H28" s="1" t="s">
        <v>1383</v>
      </c>
      <c r="I28" t="s">
        <v>1426</v>
      </c>
    </row>
    <row r="29" spans="1:16" x14ac:dyDescent="0.75">
      <c r="A29" s="8"/>
      <c r="B29" s="17" t="str">
        <f>Sct!B27</f>
        <v>gvhd.acute.startDate</v>
      </c>
      <c r="C29" s="1" t="s">
        <v>1285</v>
      </c>
      <c r="E29" s="17" t="str">
        <f t="shared" si="0"/>
        <v>* gvhd.acute.startDate -&gt; ##34#.onsetDateTime##34#</v>
      </c>
      <c r="G29" t="b">
        <f t="shared" si="1"/>
        <v>1</v>
      </c>
      <c r="H29" s="1" t="s">
        <v>1385</v>
      </c>
      <c r="I29" t="s">
        <v>1285</v>
      </c>
    </row>
    <row r="30" spans="1:16" x14ac:dyDescent="0.75">
      <c r="A30" s="8"/>
      <c r="B30" s="17" t="str">
        <f>Sct!B28</f>
        <v>gvhd.acute.endDate</v>
      </c>
      <c r="C30" s="1" t="s">
        <v>1427</v>
      </c>
      <c r="E30" s="17" t="str">
        <f t="shared" si="0"/>
        <v>* gvhd.acute.endDate -&gt; ##34#.abatementDateTime##34#</v>
      </c>
      <c r="G30" t="b">
        <f t="shared" si="1"/>
        <v>1</v>
      </c>
      <c r="H30" s="1" t="s">
        <v>1386</v>
      </c>
      <c r="I30" t="s">
        <v>1427</v>
      </c>
    </row>
    <row r="31" spans="1:16" ht="29.5" x14ac:dyDescent="0.75">
      <c r="A31" s="8"/>
      <c r="B31" s="17" t="str">
        <f>Sct!B29</f>
        <v>gvhd.chronic</v>
      </c>
      <c r="C31" s="1" t="s">
        <v>1428</v>
      </c>
      <c r="E31" s="17" t="str">
        <f t="shared" si="0"/>
        <v>* gvhd.chronic -&gt; ##34#.where(code = http://snomed.info/sct#402356004 'Chronic graft-versus-host disease')##34#</v>
      </c>
      <c r="G31" t="b">
        <f t="shared" si="1"/>
        <v>1</v>
      </c>
      <c r="H31" t="s">
        <v>1387</v>
      </c>
      <c r="I31" t="s">
        <v>1428</v>
      </c>
    </row>
    <row r="32" spans="1:16" ht="29.5" x14ac:dyDescent="0.75">
      <c r="A32" s="8"/>
      <c r="B32" s="17" t="str">
        <f>Sct!B30</f>
        <v>gvhd.chronic.status</v>
      </c>
      <c r="C32" s="1" t="s">
        <v>1429</v>
      </c>
      <c r="E32" s="17" t="str">
        <f t="shared" si="0"/>
        <v>* gvhd.chronic.status -&gt; ##34#.where(code = http://snomed.info/sct#402356004 'Chronic graft-versus-host disease').exists()##34#</v>
      </c>
      <c r="G32" t="b">
        <f t="shared" si="1"/>
        <v>1</v>
      </c>
      <c r="H32" t="s">
        <v>1390</v>
      </c>
      <c r="I32" t="s">
        <v>1429</v>
      </c>
    </row>
    <row r="33" spans="1:9" x14ac:dyDescent="0.75">
      <c r="A33" s="8"/>
      <c r="B33" s="17" t="str">
        <f>Sct!B31</f>
        <v>gvhd.chronic.grade</v>
      </c>
      <c r="C33" s="1" t="s">
        <v>1426</v>
      </c>
      <c r="E33" s="17" t="str">
        <f t="shared" si="0"/>
        <v>* gvhd.chronic.grade -&gt; ##34#.stage.summary##34#</v>
      </c>
      <c r="G33" t="b">
        <f t="shared" si="1"/>
        <v>1</v>
      </c>
      <c r="H33" t="s">
        <v>1393</v>
      </c>
      <c r="I33" t="s">
        <v>1426</v>
      </c>
    </row>
    <row r="34" spans="1:9" x14ac:dyDescent="0.75">
      <c r="B34" s="17" t="str">
        <f>Sct!B32</f>
        <v>gvhd.chronic.startDate</v>
      </c>
      <c r="C34" s="1" t="s">
        <v>1285</v>
      </c>
      <c r="E34" s="17" t="str">
        <f t="shared" si="0"/>
        <v>* gvhd.chronic.startDate -&gt; ##34#.onsetDateTime##34#</v>
      </c>
      <c r="G34" t="b">
        <f t="shared" si="1"/>
        <v>1</v>
      </c>
      <c r="H34" t="s">
        <v>1395</v>
      </c>
      <c r="I34" t="s">
        <v>1285</v>
      </c>
    </row>
    <row r="35" spans="1:9" x14ac:dyDescent="0.75">
      <c r="B35" s="17" t="str">
        <f>Sct!B33</f>
        <v>gvhd.chronic.endDate</v>
      </c>
      <c r="C35" s="1" t="s">
        <v>1427</v>
      </c>
      <c r="E35" s="17" t="str">
        <f t="shared" si="0"/>
        <v>* gvhd.chronic.endDate -&gt; ##34#.abatementDateTime##34#</v>
      </c>
      <c r="G35" t="b">
        <f t="shared" si="1"/>
        <v>1</v>
      </c>
      <c r="H35" t="s">
        <v>1396</v>
      </c>
      <c r="I35" t="s">
        <v>1427</v>
      </c>
    </row>
    <row r="36" spans="1:9" x14ac:dyDescent="0.75">
      <c r="B36" s="17" t="str">
        <f>Sct!B34</f>
        <v>gvhd.organAffected</v>
      </c>
      <c r="C36" s="1" t="s">
        <v>75</v>
      </c>
      <c r="E36" s="17" t="str">
        <f t="shared" si="0"/>
        <v>* gvhd.organAffected -&gt; ##34#.bodySite##34#</v>
      </c>
      <c r="G36" t="b">
        <f t="shared" si="1"/>
        <v>1</v>
      </c>
      <c r="H36" t="s">
        <v>1397</v>
      </c>
      <c r="I36" t="s">
        <v>75</v>
      </c>
    </row>
    <row r="37" spans="1:9" ht="59" x14ac:dyDescent="0.75">
      <c r="B37" s="17" t="str">
        <f>Sct!B35</f>
        <v>bloodBeforeTransplant</v>
      </c>
      <c r="C37" s="1" t="s">
        <v>1430</v>
      </c>
      <c r="E37" s="17" t="str">
        <f t="shared" si="0"/>
        <v>* bloodBeforeTransplant -&gt; ##34#Observation.conformsTo('http://hl7.eu/fhir/ig/pcsp/StructureDefinition/Observation-bld-abo-rh-eu-pcsp').where(effectiveTiming.code = #before-procedure)##34#</v>
      </c>
      <c r="G37" t="b">
        <f t="shared" si="1"/>
        <v>1</v>
      </c>
      <c r="H37" t="s">
        <v>1399</v>
      </c>
      <c r="I37" t="s">
        <v>1430</v>
      </c>
    </row>
    <row r="38" spans="1:9" ht="29.5" x14ac:dyDescent="0.75">
      <c r="B38" s="17" t="str">
        <f>Sct!B36</f>
        <v>bloodBeforeTransplant.type</v>
      </c>
      <c r="C38" s="1" t="s">
        <v>1431</v>
      </c>
      <c r="E38" s="17" t="str">
        <f t="shared" si="0"/>
        <v>* bloodBeforeTransplant.type -&gt; ##34#component.where(code = $loinc#883-9	'ABO group [Type] in Blood').value##34#</v>
      </c>
      <c r="G38" t="b">
        <f t="shared" si="1"/>
        <v>1</v>
      </c>
      <c r="H38" t="s">
        <v>1402</v>
      </c>
      <c r="I38" t="s">
        <v>1431</v>
      </c>
    </row>
    <row r="39" spans="1:9" ht="29.5" x14ac:dyDescent="0.75">
      <c r="B39" s="17" t="str">
        <f>Sct!B37</f>
        <v>bloodBeforeTransplant.rh</v>
      </c>
      <c r="C39" s="1" t="s">
        <v>1432</v>
      </c>
      <c r="E39" s="17" t="str">
        <f t="shared" si="0"/>
        <v>* bloodBeforeTransplant.rh -&gt; ##34#component.where(code = $loinc#10331-7 'Rh [Type] in Blood').value##34#</v>
      </c>
      <c r="G39" t="b">
        <f t="shared" si="1"/>
        <v>1</v>
      </c>
      <c r="H39" t="s">
        <v>1405</v>
      </c>
      <c r="I39" t="s">
        <v>1432</v>
      </c>
    </row>
    <row r="40" spans="1:9" ht="44.25" x14ac:dyDescent="0.75">
      <c r="B40" s="17" t="str">
        <f>Sct!B38</f>
        <v>bloodAfterTransplant</v>
      </c>
      <c r="C40" s="1" t="s">
        <v>1433</v>
      </c>
      <c r="E40" s="17" t="str">
        <f t="shared" si="0"/>
        <v>* bloodAfterTransplant -&gt; ##34#Observation.conformsTo('http://hl7.eu/fhir/ig/pcsp/StructureDefinition/Observation-bld-abo-rh-eu-pcsp').where(effectiveTiming.code = #after-procedure)##34#</v>
      </c>
      <c r="G40" t="b">
        <f t="shared" si="1"/>
        <v>1</v>
      </c>
      <c r="H40" t="s">
        <v>1408</v>
      </c>
      <c r="I40" t="s">
        <v>1433</v>
      </c>
    </row>
    <row r="41" spans="1:9" ht="29.5" x14ac:dyDescent="0.75">
      <c r="B41" s="17" t="str">
        <f>Sct!B39</f>
        <v>bloodAfterTransplant.type</v>
      </c>
      <c r="C41" s="1" t="s">
        <v>1431</v>
      </c>
      <c r="E41" s="17" t="str">
        <f t="shared" si="0"/>
        <v>* bloodAfterTransplant.type -&gt; ##34#component.where(code = $loinc#883-9	'ABO group [Type] in Blood').value##34#</v>
      </c>
      <c r="G41" t="b">
        <f t="shared" si="1"/>
        <v>1</v>
      </c>
      <c r="H41" t="s">
        <v>1411</v>
      </c>
      <c r="I41" t="s">
        <v>1431</v>
      </c>
    </row>
    <row r="42" spans="1:9" ht="29.5" x14ac:dyDescent="0.75">
      <c r="B42" s="17" t="str">
        <f>Sct!B40</f>
        <v>bloodAfterTransplant.rh</v>
      </c>
      <c r="C42" s="1" t="s">
        <v>1432</v>
      </c>
      <c r="E42" s="17" t="str">
        <f t="shared" si="0"/>
        <v>* bloodAfterTransplant.rh -&gt; ##34#component.where(code = $loinc#10331-7 'Rh [Type] in Blood').value##34#</v>
      </c>
      <c r="G42" t="b">
        <f t="shared" si="1"/>
        <v>1</v>
      </c>
      <c r="H42" t="s">
        <v>1413</v>
      </c>
      <c r="I42" t="s">
        <v>1432</v>
      </c>
    </row>
    <row r="43" spans="1:9" ht="59" x14ac:dyDescent="0.75">
      <c r="B43" s="17" t="str">
        <f>Sct!B41</f>
        <v>endOfTreatment</v>
      </c>
      <c r="C43" s="1" t="s">
        <v>1434</v>
      </c>
      <c r="E43" s="17" t="str">
        <f t="shared" si="0"/>
        <v>* endOfTreatment -&gt; ##34#Procedure.conformsTo('http://hl7.eu/fhir/ig/pcsp/StructureDefinition/Procedure-sct-prophylaxis-eu-pcsp').where(category = $sct#416608005 'Drug therapy' ).performedPeriod.end##34#</v>
      </c>
      <c r="G43" t="b">
        <f t="shared" si="1"/>
        <v>1</v>
      </c>
      <c r="H43" t="s">
        <v>1415</v>
      </c>
      <c r="I43" t="s">
        <v>1434</v>
      </c>
    </row>
    <row r="44" spans="1:9" x14ac:dyDescent="0.75">
      <c r="B44" s="17"/>
      <c r="C44" s="17"/>
      <c r="E44" s="17" t="str">
        <f t="shared" si="0"/>
        <v>*  -&gt; ##34###34#</v>
      </c>
    </row>
    <row r="45" spans="1:9" x14ac:dyDescent="0.75">
      <c r="B45" s="17"/>
      <c r="C45" s="17"/>
      <c r="E45" s="17" t="str">
        <f t="shared" si="0"/>
        <v>*  -&gt; ##34###34#</v>
      </c>
    </row>
    <row r="46" spans="1:9" x14ac:dyDescent="0.75">
      <c r="B46" s="17"/>
      <c r="C46" s="17"/>
      <c r="E46" s="17" t="str">
        <f t="shared" si="0"/>
        <v>*  -&gt; ##34###34#</v>
      </c>
    </row>
    <row r="47" spans="1:9" x14ac:dyDescent="0.75">
      <c r="B47" s="17"/>
      <c r="C47" s="17"/>
      <c r="E47" s="17" t="str">
        <f t="shared" si="0"/>
        <v>*  -&gt; ##34###34#</v>
      </c>
    </row>
    <row r="48" spans="1:9"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B0E69-2EB1-4B74-A661-54119914345D}">
  <sheetPr codeName="Foglio18">
    <tabColor theme="9" tint="0.39997558519241921"/>
  </sheetPr>
  <dimension ref="C1:G98"/>
  <sheetViews>
    <sheetView workbookViewId="0">
      <selection activeCell="G3" sqref="G3"/>
    </sheetView>
  </sheetViews>
  <sheetFormatPr defaultRowHeight="14.75" x14ac:dyDescent="0.75"/>
  <cols>
    <col min="3" max="3" width="108.2265625" style="17" customWidth="1"/>
    <col min="7" max="7" width="33.26953125" customWidth="1"/>
  </cols>
  <sheetData>
    <row r="1" spans="3:7" ht="15.5" thickBot="1" x14ac:dyDescent="0.9">
      <c r="C1" s="34" t="str">
        <f>Sct!I1</f>
        <v>// -------------------------------------------------------------------------------</v>
      </c>
    </row>
    <row r="2" spans="3:7" ht="16.75" thickBot="1" x14ac:dyDescent="0.9">
      <c r="C2" s="35" t="str">
        <f>Sct!I2</f>
        <v>//  Logical Model</v>
      </c>
      <c r="G2" s="92" t="str">
        <f>"pcsp-"&amp;Sct!B5&amp;".fsh"</f>
        <v>pcsp-StemCellTransplantation.fsh</v>
      </c>
    </row>
    <row r="3" spans="3:7" x14ac:dyDescent="0.75">
      <c r="C3" s="35" t="str">
        <f>Sct!I3</f>
        <v>// -------------------------------------------------------------------------------</v>
      </c>
    </row>
    <row r="4" spans="3:7" x14ac:dyDescent="0.75">
      <c r="C4" s="27" t="str">
        <f>Sct!I4</f>
        <v>Logical: StemCellTransplantation</v>
      </c>
    </row>
    <row r="5" spans="3:7" x14ac:dyDescent="0.75">
      <c r="C5" s="27" t="str">
        <f>Sct!I5</f>
        <v>Id: StemCellTransplantation</v>
      </c>
    </row>
    <row r="6" spans="3:7" ht="29.5" x14ac:dyDescent="0.75">
      <c r="C6" s="27" t="str">
        <f>Sct!I6</f>
        <v>Title: ##34#Stem Cell Transplantation##34#</v>
      </c>
    </row>
    <row r="7" spans="3:7" ht="29.5" x14ac:dyDescent="0.75">
      <c r="C7" s="27" t="str">
        <f>Sct!I7</f>
        <v>Description:  ##334#Stem Cell Transplantation.
Maturity Level: 2 - Ready for Review##334#</v>
      </c>
    </row>
    <row r="8" spans="3:7" x14ac:dyDescent="0.75">
      <c r="C8" s="17" t="str">
        <f>IF(Sct!I8="*  ..  ##34###34# ##334###334#","//--- END",Sct!I8)</f>
        <v>* identifier 1..* Identifier ##34#SCT Identifier##34# ##334#Progressive SCT number##334#</v>
      </c>
    </row>
    <row r="9" spans="3:7" x14ac:dyDescent="0.75">
      <c r="C9" s="17" t="str">
        <f>IF(Sct!I9="*  ..  ##34###34# ##334###334#","//--- END",Sct!I9)</f>
        <v>* relatedDiagnosis 1..* Identifier ##34#Progressive number of diagnosis##34# ##334#Progressive number of diagnosis##334#</v>
      </c>
    </row>
    <row r="10" spans="3:7" ht="29.5" x14ac:dyDescent="0.75">
      <c r="C10" s="17" t="str">
        <f>IF(Sct!I10="*  ..  ##34###34# ##334###334#","//--- END",Sct!I10)</f>
        <v>* relatedRelapse 1..* Identifier ##34#Progressive number of relapse/progression (after FLT)##34# ##334#Progressive number of relapse/progression (after FLT)##334#</v>
      </c>
    </row>
    <row r="11" spans="3:7" ht="29.5" x14ac:dyDescent="0.75">
      <c r="C11" s="17" t="str">
        <f>IF(Sct!I11="*  ..  ##34###34# ##334###334#","//--- END",Sct!I11)</f>
        <v>* istitutionOfTreatment 0..1 BackboneElement ##34#Institution of treatment##34# ##334#Please Identify the institution were the procedure was performed##334#</v>
      </c>
    </row>
    <row r="12" spans="3:7" x14ac:dyDescent="0.75">
      <c r="C12" s="17" t="str">
        <f>IF(Sct!I12="*  ..  ##34###34# ##334###334#","//--- END",Sct!I12)</f>
        <v>* istitutionOfTreatment.description 0..1 string ##34#Institution description##34# ##334#Institution description##334#</v>
      </c>
    </row>
    <row r="13" spans="3:7" x14ac:dyDescent="0.75">
      <c r="C13" s="17" t="str">
        <f>IF(Sct!I13="*  ..  ##34###34# ##334###334#","//--- END",Sct!I13)</f>
        <v>* istitutionOfTreatment.name 0..1 string ##34#Institution name##34# ##334#Institution name##334#</v>
      </c>
    </row>
    <row r="14" spans="3:7" x14ac:dyDescent="0.75">
      <c r="C14" s="17" t="str">
        <f>IF(Sct!I14="*  ..  ##34###34# ##334###334#","//--- END",Sct!I14)</f>
        <v>* istitutionOfTreatment.address 0..1 BackboneElement ##34#Institution address##34# ##334#Institution address##334#</v>
      </c>
    </row>
    <row r="15" spans="3:7" x14ac:dyDescent="0.75">
      <c r="C15" s="17" t="str">
        <f>IF(Sct!I15="*  ..  ##34###34# ##334###334#","//--- END",Sct!I15)</f>
        <v>* istitutionOfTreatment.address.name 0..1 string ##34#Institution city##34# ##334#Institution city##334#</v>
      </c>
    </row>
    <row r="16" spans="3:7" x14ac:dyDescent="0.75">
      <c r="C16" s="17" t="str">
        <f>IF(Sct!I16="*  ..  ##34###34# ##334###334#","//--- END",Sct!I16)</f>
        <v>* istitutionOfTreatment.address.country 0..1 string ##34#Institution country##34# ##334#Institution country##334#</v>
      </c>
    </row>
    <row r="17" spans="3:3" ht="29.5" x14ac:dyDescent="0.75">
      <c r="C17" s="17" t="str">
        <f>IF(Sct!I17="*  ..  ##34###34# ##334###334#","//--- END",Sct!I17)</f>
        <v>* date 0..* dateTime ##34#Date of transplant##34# ##334#Date of the reinfusion of hematopoietic stem cells. If the date is unkown or partially missed insert the year at the best of your knowledge.##334#</v>
      </c>
    </row>
    <row r="18" spans="3:3" ht="73.75" x14ac:dyDescent="0.75">
      <c r="C18" s="17" t="str">
        <f>IF(Sct!I18="*  ..  ##34###34# ##334###334#","//--- END",Sct!I18)</f>
        <v>* transplantType 0..1 CodeableConcept ##34#Type of transplant##34# ##334#Indicate if the transplant was autologous or allogeneic.
1 = Autologous
2 = Allogeneic
-9922 = NK##334#</v>
      </c>
    </row>
    <row r="19" spans="3:3" ht="191.75" x14ac:dyDescent="0.75">
      <c r="C19" s="17" t="str">
        <f>IF(Sct!I19="*  ..  ##34###34# ##334###334#","//--- END",Sct!I19)</f>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3:3" ht="73.75" x14ac:dyDescent="0.75">
      <c r="C20" s="17" t="str">
        <f>IF(Sct!I20="*  ..  ##34###34# ##334###334#","//--- END",Sct!I20)</f>
        <v>* cellSource 0..1 CodeableConcept ##34#Source of cells##34# ##334#Indicate the source of cells
1 = PBSC 
2 = Bone marrow
3 = Cord
-9922 = NK##334#</v>
      </c>
    </row>
    <row r="21" spans="3:3" ht="73.75" x14ac:dyDescent="0.75">
      <c r="C21" s="17" t="str">
        <f>IF(Sct!I21="*  ..  ##34###34# ##334###334#","//--- END",Sct!I21)</f>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3:3" x14ac:dyDescent="0.75">
      <c r="C22" s="17" t="str">
        <f>IF(Sct!I22="*  ..  ##34###34# ##334###334#","//--- END",Sct!I22)</f>
        <v>* gvhd 0..1 BackboneElement ##34#Graft Versus Host Disease##34# ##334#Graft Versus Host Disease##334#</v>
      </c>
    </row>
    <row r="23" spans="3:3" ht="73.75" x14ac:dyDescent="0.75">
      <c r="C23" s="17" t="str">
        <f>IF(Sct!I23="*  ..  ##34###34# ##334###334#","//--- END",Sct!I23)</f>
        <v>* gvhd.prophylaxis 0..1 CodeableConcept ##34#GVHD prophylaxis##34# ##334#State if any GVHD prophylaxis was given. Details on the drug names used for GVHD prophylaxis should be listed in the chemotherapy section under 'immunotherapy').
1 =&gt; Yes
2 =&gt; No
-9922 =&gt; NK   ##334#</v>
      </c>
    </row>
    <row r="24" spans="3:3" x14ac:dyDescent="0.75">
      <c r="C24" s="17" t="str">
        <f>IF(Sct!I24="*  ..  ##34###34# ##334###334#","//--- END",Sct!I24)</f>
        <v>* gvhd.acute 0..1 BackboneElement ##34#GVHD Acute##34# ##334#GVHD Acute ##334#</v>
      </c>
    </row>
    <row r="25" spans="3:3" ht="59" x14ac:dyDescent="0.75">
      <c r="C25" s="17" t="str">
        <f>IF(Sct!I25="*  ..  ##34###34# ##334###334#","//--- END",Sct!I25)</f>
        <v>* gvhd.acute.status 1..1 CodeableConcept ##34#GVHD Acutestatus##34# ##334#Please State if acute GVHD occurred
1 =&gt; Yes
2 =&gt; No
-9922 =&gt; NK ##334#</v>
      </c>
    </row>
    <row r="26" spans="3:3" ht="103.25" x14ac:dyDescent="0.75">
      <c r="C26" s="17" t="str">
        <f>IF(Sct!I26="*  ..  ##34###34# ##334###334#","//--- END",Sct!I26)</f>
        <v>* gvhd.acute.grade 1..1 CodeableConcept ##34#Grade##34# ##334#If yes, state the maximum grade of acute GVHD.
1 =&gt; 1
2 =&gt; 2
3 =&gt; 3
4 =&gt; 4
-9922 =&gt; NK ##334#</v>
      </c>
    </row>
    <row r="27" spans="3:3" ht="29.5" x14ac:dyDescent="0.75">
      <c r="C27" s="17" t="str">
        <f>IF(Sct!I27="*  ..  ##34###34# ##334###334#","//--- END",Sct!I27)</f>
        <v>* gvhd.acute.startDate 0..1 date ##34#Start date##34# ##334#Define the starting date of GVHD. If the date is unkown or partially missed insert the year at the best of your knowledge.##334#</v>
      </c>
    </row>
    <row r="28" spans="3:3" ht="29.5" x14ac:dyDescent="0.75">
      <c r="C28" s="17" t="str">
        <f>IF(Sct!I28="*  ..  ##34###34# ##334###334#","//--- END",Sct!I28)</f>
        <v>* gvhd.acute.endDate 0..1 date ##34#End date##34# ##334#Define the ending date of GVHD. If the date is unkown or partially missed insert the year at the best of your knowledge.##334#</v>
      </c>
    </row>
    <row r="29" spans="3:3" x14ac:dyDescent="0.75">
      <c r="C29" s="17" t="str">
        <f>IF(Sct!I29="*  ..  ##34###34# ##334###334#","//--- END",Sct!I29)</f>
        <v>* gvhd.chronic 0..1 BackboneElement ##34#GVHD Chronic##34# ##334#GVHD Chronic ##334#</v>
      </c>
    </row>
    <row r="30" spans="3:3" ht="59" x14ac:dyDescent="0.75">
      <c r="C30" s="17" t="str">
        <f>IF(Sct!I30="*  ..  ##34###34# ##334###334#","//--- END",Sct!I30)</f>
        <v>* gvhd.chronic.status 1..1 CodeableConcept ##34#GVHD Chronicstatus##34# ##334#Please State if chronic GVHD occurred
1 =&gt; Yes
2 =&gt; No
-9922 =&gt; NK ##334#</v>
      </c>
    </row>
    <row r="31" spans="3:3" ht="59" x14ac:dyDescent="0.75">
      <c r="C31" s="17" t="str">
        <f>IF(Sct!I31="*  ..  ##34###34# ##334###334#","//--- END",Sct!I31)</f>
        <v>* gvhd.chronic.grade 1..1 CodeableConcept ##34#Grade##34# ##334# If yes, state the maximum grade of chronic GVHD
1 =&gt; Limited
2 =&gt; Extensive
-9922 =&gt; NK##334#</v>
      </c>
    </row>
    <row r="32" spans="3:3" ht="29.5" x14ac:dyDescent="0.75">
      <c r="C32" s="17" t="str">
        <f>IF(Sct!I32="*  ..  ##34###34# ##334###334#","//--- END",Sct!I32)</f>
        <v>* gvhd.chronic.startDate 0..1 date ##34#Start date##34# ##334#Please Define the starting date of GVHD. If the date is unkown or partially missed insert the year at the best of your knowledge.##334#</v>
      </c>
    </row>
    <row r="33" spans="3:3" ht="29.5" x14ac:dyDescent="0.75">
      <c r="C33" s="17" t="str">
        <f>IF(Sct!I33="*  ..  ##34###34# ##334###334#","//--- END",Sct!I33)</f>
        <v>* gvhd.chronic.endDate 0..1 date ##34#End date##34# ##334#Please Define the ending date of GVHD. If the date is unkown or partially missed insert the year at the best of your knowledge.##334#</v>
      </c>
    </row>
    <row r="34" spans="3:3" x14ac:dyDescent="0.75">
      <c r="C34" s="17" t="str">
        <f>IF(Sct!I34="*  ..  ##34###34# ##334###334#","//--- END",Sct!I34)</f>
        <v>* gvhd.organAffected 0..* string ##34#Organs affected##34# ##334#Please List organs affected by GVHD##334#</v>
      </c>
    </row>
    <row r="35" spans="3:3" x14ac:dyDescent="0.75">
      <c r="C35" s="17" t="str">
        <f>IF(Sct!I35="*  ..  ##34###34# ##334###334#","//--- END",Sct!I35)</f>
        <v>* bloodBeforeTransplant 0..1 BackboneElement ##34#Blood before transplant##34# ##334#Blood before transplant ##334#</v>
      </c>
    </row>
    <row r="36" spans="3:3" ht="88.5" x14ac:dyDescent="0.75">
      <c r="C36" s="17" t="str">
        <f>IF(Sct!I36="*  ..  ##34###34# ##334###334#","//--- END",Sct!I36)</f>
        <v>* bloodBeforeTransplant.type 1..1 CodeableConcept ##34#Blood type##34# ##334#Blood type before transplant 
1 =&gt; A
2 =&gt; B
3 =&gt; AB
4 =&gt; O 
-9922 =&gt; NK##334#</v>
      </c>
    </row>
    <row r="37" spans="3:3" ht="59" x14ac:dyDescent="0.75">
      <c r="C37" s="17" t="str">
        <f>IF(Sct!I37="*  ..  ##34###34# ##334###334#","//--- END",Sct!I37)</f>
        <v>* bloodBeforeTransplant.rh 1..1 CodeableConcept ##34#Rh##34# ##334#Rh factor before transplant
1 =&gt; +
2 =&gt; -
-9922 =&gt; NK ##334#</v>
      </c>
    </row>
    <row r="38" spans="3:3" x14ac:dyDescent="0.75">
      <c r="C38" s="17" t="str">
        <f>IF(Sct!I38="*  ..  ##34###34# ##334###334#","//--- END",Sct!I38)</f>
        <v>* bloodAfterTransplant 0..1 BackboneElement ##34#Blood after transplant##34# ##334#Blood after transplant ##334#</v>
      </c>
    </row>
    <row r="39" spans="3:3" ht="88.5" x14ac:dyDescent="0.75">
      <c r="C39" s="17" t="str">
        <f>IF(Sct!I39="*  ..  ##34###34# ##334###334#","//--- END",Sct!I39)</f>
        <v>* bloodAfterTransplant.type 1..1 CodeableConcept ##34#Blood type##34# ##334#Blood type after transplant 
1 =&gt; A
2 =&gt; B
3 =&gt; AB
4 =&gt; O 
-9922 =&gt; NK##334#</v>
      </c>
    </row>
    <row r="40" spans="3:3" ht="59" x14ac:dyDescent="0.75">
      <c r="C40" s="17" t="str">
        <f>IF(Sct!I40="*  ..  ##34###34# ##334###334#","//--- END",Sct!I40)</f>
        <v>* bloodAfterTransplant.rh 1..1 CodeableConcept ##34#Rh##34# ##334#Rh factor after transplant
1 =&gt; +
2 =&gt; -
-9922 =&gt; NK ##334#</v>
      </c>
    </row>
    <row r="41" spans="3:3" ht="29.5" x14ac:dyDescent="0.75">
      <c r="C41" s="17" t="str">
        <f>IF(Sct!I41="*  ..  ##34###34# ##334###334#","//--- END",Sct!I41)</f>
        <v>* endOfTreatment 0..1 date ##34#Date of end of immunosuppressive treatmentafter HSCT##34# ##334#Date of end of immunosuppressive treatment. If the date is unkown or partially missed insert the year at the best of your knowledge.##334#</v>
      </c>
    </row>
    <row r="42" spans="3:3" x14ac:dyDescent="0.75">
      <c r="C42" s="17" t="str">
        <f>IF(Sct!I42="*  ..  ##34###34# ##334###334#","//--- END",Sct!I42)</f>
        <v>//--- END</v>
      </c>
    </row>
    <row r="43" spans="3:3" x14ac:dyDescent="0.75">
      <c r="C43" s="17" t="str">
        <f>IF(Sct!I43="*  ..  ##34###34# ##334###334#","//--- END",Sct!I43)</f>
        <v>//--- END</v>
      </c>
    </row>
    <row r="44" spans="3:3" x14ac:dyDescent="0.75">
      <c r="C44" s="17" t="str">
        <f>IF(Sct!I44="*  ..  ##34###34# ##334###334#","//--- END",Sct!I44)</f>
        <v>//--- END</v>
      </c>
    </row>
    <row r="52" spans="3:3" x14ac:dyDescent="0.75">
      <c r="C52" s="34" t="str">
        <f>'Sct-Map'!E1</f>
        <v>// -------------------------------------------------------------------------------</v>
      </c>
    </row>
    <row r="53" spans="3:3" x14ac:dyDescent="0.75">
      <c r="C53" s="35" t="str">
        <f>'Sct-Map'!E2</f>
        <v>//  Map to FHIR R4</v>
      </c>
    </row>
    <row r="54" spans="3:3" x14ac:dyDescent="0.75">
      <c r="C54" s="35" t="str">
        <f>'Sct-Map'!E3</f>
        <v>// -------------------------------------------------------------------------------</v>
      </c>
    </row>
    <row r="55" spans="3:3" x14ac:dyDescent="0.75">
      <c r="C55" s="17" t="str">
        <f>'Sct-Map'!E4</f>
        <v>Mapping: Sct2Fhir</v>
      </c>
    </row>
    <row r="56" spans="3:3" x14ac:dyDescent="0.75">
      <c r="C56" s="17" t="str">
        <f>'Sct-Map'!E5</f>
        <v>Id: fhir</v>
      </c>
    </row>
    <row r="57" spans="3:3" x14ac:dyDescent="0.75">
      <c r="C57" s="17" t="str">
        <f>'Sct-Map'!E6</f>
        <v>Title: ##34#StemCellTransplantation model to PCSP HL7 FHIR R4 Profiles##34#</v>
      </c>
    </row>
    <row r="58" spans="3:3" x14ac:dyDescent="0.75">
      <c r="C58" s="17" t="str">
        <f>'Sct-Map'!E7</f>
        <v>Source: StemCellTransplantation</v>
      </c>
    </row>
    <row r="59" spans="3:3" x14ac:dyDescent="0.75">
      <c r="C59" s="17" t="str">
        <f>'Sct-Map'!E8</f>
        <v>Target: ##34#hl7.org/fhir/r4##34#</v>
      </c>
    </row>
    <row r="61" spans="3:3" x14ac:dyDescent="0.75">
      <c r="C61" s="17" t="str">
        <f>IF('Sct-Map'!E9="*  -&gt; ##34###34#","// --END",'Sct-Map'!E9)</f>
        <v>* . -&gt; ##34#Procedure.conformsTo('http://hl7.eu/fhir/ig/pcsp/StructureDefinition/Procedure-sct-eu-pcsp')##34#</v>
      </c>
    </row>
    <row r="62" spans="3:3" x14ac:dyDescent="0.75">
      <c r="C62" s="17" t="str">
        <f>IF('Sct-Map'!E10="*  -&gt; ##34###34#","// --END",'Sct-Map'!E10)</f>
        <v>* identifier -&gt; ##34#.identifier##34#</v>
      </c>
    </row>
    <row r="63" spans="3:3" x14ac:dyDescent="0.75">
      <c r="C63" s="17" t="str">
        <f>IF('Sct-Map'!E11="*  -&gt; ##34###34#","// --END",'Sct-Map'!E11)</f>
        <v>* relatedDiagnosis -&gt; ##34#.reasonReference##34#</v>
      </c>
    </row>
    <row r="64" spans="3:3" x14ac:dyDescent="0.75">
      <c r="C64" s="17" t="str">
        <f>IF('Sct-Map'!E12="*  -&gt; ##34###34#","// --END",'Sct-Map'!E12)</f>
        <v>* relatedRelapse -&gt; ##34#.reasonReference##34#</v>
      </c>
    </row>
    <row r="65" spans="3:3" ht="29.5" x14ac:dyDescent="0.75">
      <c r="C65" s="17" t="str">
        <f>IF('Sct-Map'!E13="*  -&gt; ##34###34#","// --END",'Sct-Map'!E13)</f>
        <v>* istitutionOfTreatment -&gt; ##34#location.resolve().conformsTo(http://hl7.eu/fhir/ig/pcsp/StructureDefinition/Location-eu-pcsp)##34#</v>
      </c>
    </row>
    <row r="66" spans="3:3" x14ac:dyDescent="0.75">
      <c r="C66" s="17" t="str">
        <f>IF('Sct-Map'!E14="*  -&gt; ##34###34#","// --END",'Sct-Map'!E14)</f>
        <v>* istitutionOfTreatment.description -&gt; ##34#Location.description##34#</v>
      </c>
    </row>
    <row r="67" spans="3:3" x14ac:dyDescent="0.75">
      <c r="C67" s="17" t="str">
        <f>IF('Sct-Map'!E15="*  -&gt; ##34###34#","// --END",'Sct-Map'!E15)</f>
        <v>* istitutionOfTreatment.name -&gt; ##34#Location.name##34#</v>
      </c>
    </row>
    <row r="68" spans="3:3" x14ac:dyDescent="0.75">
      <c r="C68" s="17" t="str">
        <f>IF('Sct-Map'!E16="*  -&gt; ##34###34#","// --END",'Sct-Map'!E16)</f>
        <v>* istitutionOfTreatment.address -&gt; ##34#Location.address.city##34#</v>
      </c>
    </row>
    <row r="69" spans="3:3" x14ac:dyDescent="0.75">
      <c r="C69" s="17" t="str">
        <f>IF('Sct-Map'!E17="*  -&gt; ##34###34#","// --END",'Sct-Map'!E17)</f>
        <v>// no map</v>
      </c>
    </row>
    <row r="70" spans="3:3" x14ac:dyDescent="0.75">
      <c r="C70" s="17" t="str">
        <f>IF('Sct-Map'!E18="*  -&gt; ##34###34#","// --END",'Sct-Map'!E18)</f>
        <v>* istitutionOfTreatment.address.country -&gt; ##34#Location.address.country##34#</v>
      </c>
    </row>
    <row r="71" spans="3:3" x14ac:dyDescent="0.75">
      <c r="C71" s="17" t="str">
        <f>IF('Sct-Map'!E19="*  -&gt; ##34###34#","// --END",'Sct-Map'!E19)</f>
        <v>* date -&gt; ##34#.performedDateTime##34#</v>
      </c>
    </row>
    <row r="72" spans="3:3" x14ac:dyDescent="0.75">
      <c r="C72" s="17" t="str">
        <f>IF('Sct-Map'!E20="*  -&gt; ##34###34#","// --END",'Sct-Map'!E20)</f>
        <v>* transplantType -&gt; ##34#.code##34#</v>
      </c>
    </row>
    <row r="73" spans="3:3" ht="44.25" x14ac:dyDescent="0.75">
      <c r="C73" s="17" t="str">
        <f>IF('Sct-Map'!E21="*  -&gt; ##34###34#","// --END",'Sct-Map'!E21)</f>
        <v>* donorType -&gt; ##34#BiologicallyDerivedProduct .conformsTo('http://hl7.eu/fhir/ig/pcsp/StructureDefinition/BiologicallyDerivedProduct-sct-eu-pcsp').extension('http://hl7.eu/fhir/ig/pcsp/StructureDefinition/sct-donor-type').valueCodeableConcept##34#</v>
      </c>
    </row>
    <row r="74" spans="3:3" ht="44.25" x14ac:dyDescent="0.75">
      <c r="C74" s="17" t="str">
        <f>IF('Sct-Map'!E22="*  -&gt; ##34###34#","// --END",'Sct-Map'!E22)</f>
        <v>* cellSource -&gt; ##34#BiologicallyDerivedProduct .conformsTo('http://hl7.eu/fhir/ig/pcsp/StructureDefinition/BiologicallyDerivedProduct-sct-eu-pcsp').extension('http://hl7.eu/fhir/ig/pcsp/StructureDefinition/sct-source-type').valueCodeableConcept##34#</v>
      </c>
    </row>
    <row r="75" spans="3:3" ht="44.25" x14ac:dyDescent="0.75">
      <c r="C75" s="17" t="str">
        <f>IF('Sct-Map'!E23="*  -&gt; ##34###34#","// --END",'Sct-Map'!E23)</f>
        <v>* conditioningRegimen -&gt; ##34#Procedure.conformsTo('http://hl7.eu/fhir/ig/pcsp/StructureDefinition/Procedure-sct-prophylaxis-eu-pcsp').where(reasonReference.resolve().conformTo('http://hl7.eu/fhir/ig/pcsp/StructureDefinition/Procedure-sct-eu-pcsp') ).text##34#</v>
      </c>
    </row>
    <row r="76" spans="3:3" x14ac:dyDescent="0.75">
      <c r="C76" s="17" t="str">
        <f>IF('Sct-Map'!E24="*  -&gt; ##34###34#","// --END",'Sct-Map'!E24)</f>
        <v>* gvhd -&gt; ##34#Condition.conformsTo('http://hl7.eu/fhir/ig/pcsp/StructureDefinition/Condition-gvdh-eu-pcsp')##34#</v>
      </c>
    </row>
    <row r="77" spans="3:3" ht="29.5" x14ac:dyDescent="0.75">
      <c r="C77" s="17" t="str">
        <f>IF('Sct-Map'!E25="*  -&gt; ##34###34#","// --END",'Sct-Map'!E25)</f>
        <v>* gvhd.prophylaxis -&gt; ##34#Procedure.conformsTo('http://hl7.eu/fhir/ig/pcsp/StructureDefinition/Procedure-sct-prophylaxis-eu-pcsp').where(code = $sct#868254008 'GVHD (graft versus host disease) prophylaxis').exists()##34#</v>
      </c>
    </row>
    <row r="78" spans="3:3" x14ac:dyDescent="0.75">
      <c r="C78" s="17" t="str">
        <f>IF('Sct-Map'!E26="*  -&gt; ##34###34#","// --END",'Sct-Map'!E26)</f>
        <v>* gvhd.acute -&gt; ##34#.where(code = http://snomed.info/sct#402355000 'Acute graft-versus-host disease')##34#</v>
      </c>
    </row>
    <row r="79" spans="3:3" x14ac:dyDescent="0.75">
      <c r="C79" s="17" t="str">
        <f>IF('Sct-Map'!E27="*  -&gt; ##34###34#","// --END",'Sct-Map'!E27)</f>
        <v>* gvhd.acute.status -&gt; ##34#.where(code = http://snomed.info/sct#402355000 'Acute graft-versus-host disease').exists()##34#</v>
      </c>
    </row>
    <row r="80" spans="3:3" x14ac:dyDescent="0.75">
      <c r="C80" s="17" t="str">
        <f>IF('Sct-Map'!E28="*  -&gt; ##34###34#","// --END",'Sct-Map'!E28)</f>
        <v>* gvhd.acute.grade -&gt; ##34#.stage.summary##34#</v>
      </c>
    </row>
    <row r="81" spans="3:3" x14ac:dyDescent="0.75">
      <c r="C81" s="17" t="str">
        <f>IF('Sct-Map'!E29="*  -&gt; ##34###34#","// --END",'Sct-Map'!E29)</f>
        <v>* gvhd.acute.startDate -&gt; ##34#.onsetDateTime##34#</v>
      </c>
    </row>
    <row r="82" spans="3:3" x14ac:dyDescent="0.75">
      <c r="C82" s="17" t="str">
        <f>IF('Sct-Map'!E30="*  -&gt; ##34###34#","// --END",'Sct-Map'!E30)</f>
        <v>* gvhd.acute.endDate -&gt; ##34#.abatementDateTime##34#</v>
      </c>
    </row>
    <row r="83" spans="3:3" x14ac:dyDescent="0.75">
      <c r="C83" s="17" t="str">
        <f>IF('Sct-Map'!E31="*  -&gt; ##34###34#","// --END",'Sct-Map'!E31)</f>
        <v>* gvhd.chronic -&gt; ##34#.where(code = http://snomed.info/sct#402356004 'Chronic graft-versus-host disease')##34#</v>
      </c>
    </row>
    <row r="84" spans="3:3" ht="29.5" x14ac:dyDescent="0.75">
      <c r="C84" s="17" t="str">
        <f>IF('Sct-Map'!E32="*  -&gt; ##34###34#","// --END",'Sct-Map'!E32)</f>
        <v>* gvhd.chronic.status -&gt; ##34#.where(code = http://snomed.info/sct#402356004 'Chronic graft-versus-host disease').exists()##34#</v>
      </c>
    </row>
    <row r="85" spans="3:3" x14ac:dyDescent="0.75">
      <c r="C85" s="17" t="str">
        <f>IF('Sct-Map'!E33="*  -&gt; ##34###34#","// --END",'Sct-Map'!E33)</f>
        <v>* gvhd.chronic.grade -&gt; ##34#.stage.summary##34#</v>
      </c>
    </row>
    <row r="86" spans="3:3" x14ac:dyDescent="0.75">
      <c r="C86" s="17" t="str">
        <f>IF('Sct-Map'!E34="*  -&gt; ##34###34#","// --END",'Sct-Map'!E34)</f>
        <v>* gvhd.chronic.startDate -&gt; ##34#.onsetDateTime##34#</v>
      </c>
    </row>
    <row r="87" spans="3:3" x14ac:dyDescent="0.75">
      <c r="C87" s="17" t="str">
        <f>IF('Sct-Map'!E35="*  -&gt; ##34###34#","// --END",'Sct-Map'!E35)</f>
        <v>* gvhd.chronic.endDate -&gt; ##34#.abatementDateTime##34#</v>
      </c>
    </row>
    <row r="88" spans="3:3" x14ac:dyDescent="0.75">
      <c r="C88" s="17" t="str">
        <f>IF('Sct-Map'!E36="*  -&gt; ##34###34#","// --END",'Sct-Map'!E36)</f>
        <v>* gvhd.organAffected -&gt; ##34#.bodySite##34#</v>
      </c>
    </row>
    <row r="89" spans="3:3" ht="29.5" x14ac:dyDescent="0.75">
      <c r="C89" s="17" t="str">
        <f>IF('Sct-Map'!E37="*  -&gt; ##34###34#","// --END",'Sct-Map'!E37)</f>
        <v>* bloodBeforeTransplant -&gt; ##34#Observation.conformsTo('http://hl7.eu/fhir/ig/pcsp/StructureDefinition/Observation-bld-abo-rh-eu-pcsp').where(effectiveTiming.code = #before-procedure)##34#</v>
      </c>
    </row>
    <row r="90" spans="3:3" x14ac:dyDescent="0.75">
      <c r="C90" s="17" t="str">
        <f>IF('Sct-Map'!E38="*  -&gt; ##34###34#","// --END",'Sct-Map'!E38)</f>
        <v>* bloodBeforeTransplant.type -&gt; ##34#component.where(code = $loinc#883-9	'ABO group [Type] in Blood').value##34#</v>
      </c>
    </row>
    <row r="91" spans="3:3" x14ac:dyDescent="0.75">
      <c r="C91" s="17" t="str">
        <f>IF('Sct-Map'!E39="*  -&gt; ##34###34#","// --END",'Sct-Map'!E39)</f>
        <v>* bloodBeforeTransplant.rh -&gt; ##34#component.where(code = $loinc#10331-7 'Rh [Type] in Blood').value##34#</v>
      </c>
    </row>
    <row r="92" spans="3:3" ht="29.5" x14ac:dyDescent="0.75">
      <c r="C92" s="17" t="str">
        <f>IF('Sct-Map'!E40="*  -&gt; ##34###34#","// --END",'Sct-Map'!E40)</f>
        <v>* bloodAfterTransplant -&gt; ##34#Observation.conformsTo('http://hl7.eu/fhir/ig/pcsp/StructureDefinition/Observation-bld-abo-rh-eu-pcsp').where(effectiveTiming.code = #after-procedure)##34#</v>
      </c>
    </row>
    <row r="93" spans="3:3" x14ac:dyDescent="0.75">
      <c r="C93" s="17" t="str">
        <f>IF('Sct-Map'!E41="*  -&gt; ##34###34#","// --END",'Sct-Map'!E41)</f>
        <v>* bloodAfterTransplant.type -&gt; ##34#component.where(code = $loinc#883-9	'ABO group [Type] in Blood').value##34#</v>
      </c>
    </row>
    <row r="94" spans="3:3" x14ac:dyDescent="0.75">
      <c r="C94" s="17" t="str">
        <f>IF('Sct-Map'!E42="*  -&gt; ##34###34#","// --END",'Sct-Map'!E42)</f>
        <v>* bloodAfterTransplant.rh -&gt; ##34#component.where(code = $loinc#10331-7 'Rh [Type] in Blood').value##34#</v>
      </c>
    </row>
    <row r="95" spans="3:3" ht="29.5" x14ac:dyDescent="0.75">
      <c r="C95" s="17" t="str">
        <f>IF('Sct-Map'!E43="*  -&gt; ##34###34#","// --END",'Sct-Map'!E43)</f>
        <v>* endOfTreatment -&gt; ##34#Procedure.conformsTo('http://hl7.eu/fhir/ig/pcsp/StructureDefinition/Procedure-sct-prophylaxis-eu-pcsp').where(category = $sct#416608005 'Drug therapy' ).performedPeriod.end##34#</v>
      </c>
    </row>
    <row r="96" spans="3:3" x14ac:dyDescent="0.75">
      <c r="C96" s="17" t="str">
        <f>IF('Sct-Map'!E44="*  -&gt; ##34###34#","// --END",'Sct-Map'!E44)</f>
        <v>// --END</v>
      </c>
    </row>
    <row r="97" spans="3:3" x14ac:dyDescent="0.75">
      <c r="C97" s="17" t="str">
        <f>IF('Sct-Map'!E45="*  -&gt; ##34###34#","// --END",'Sct-Map'!E45)</f>
        <v>// --END</v>
      </c>
    </row>
    <row r="98" spans="3:3" x14ac:dyDescent="0.75">
      <c r="C98" s="17" t="str">
        <f>IF('Sct-Map'!E46="*  -&gt; ##34###34#","// --END",'Sct-Map'!E46)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935D9-ECCD-482C-90BF-EF68D5199B87}">
  <sheetPr codeName="Foglio48">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FrontLineTreatment</v>
      </c>
      <c r="I4" s="27" t="str">
        <f>CONCATENATE("Logical: ",B4)</f>
        <v>Logical: FrontLineTreatment</v>
      </c>
    </row>
    <row r="5" spans="1:11" ht="15.5" thickBot="1" x14ac:dyDescent="0.9">
      <c r="A5" s="22" t="s">
        <v>76</v>
      </c>
      <c r="B5" s="87" t="s">
        <v>1437</v>
      </c>
      <c r="I5" s="27" t="str">
        <f>CONCATENATE("Id: ",B5)</f>
        <v>Id: FrontLineTreatment</v>
      </c>
    </row>
    <row r="6" spans="1:11" x14ac:dyDescent="0.75">
      <c r="A6" s="22" t="s">
        <v>11</v>
      </c>
      <c r="B6" t="s">
        <v>1435</v>
      </c>
      <c r="I6" s="27" t="str">
        <f>CONCATENATE("Title: ##34#",B6,"##34#")</f>
        <v>Title: ##34#Front Line Treatment##34#</v>
      </c>
    </row>
    <row r="7" spans="1:11" ht="118.75" thickBot="1" x14ac:dyDescent="0.9">
      <c r="A7" s="23" t="s">
        <v>4</v>
      </c>
      <c r="B7" s="1" t="s">
        <v>1436</v>
      </c>
      <c r="C7" s="12" t="s">
        <v>5</v>
      </c>
      <c r="D7" s="2" t="s">
        <v>6</v>
      </c>
      <c r="E7" s="3" t="s">
        <v>7</v>
      </c>
      <c r="F7" s="3" t="s">
        <v>8</v>
      </c>
      <c r="G7" s="3" t="s">
        <v>9</v>
      </c>
      <c r="I7" s="27" t="str">
        <f>CONCATENATE("Description: "," ##334#",B7,"##334#",)</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1:11" ht="44.25" x14ac:dyDescent="0.75">
      <c r="A8" s="8">
        <v>1</v>
      </c>
      <c r="B8" s="17" t="s">
        <v>1438</v>
      </c>
      <c r="C8" s="8" t="s">
        <v>1439</v>
      </c>
      <c r="D8" s="8" t="s">
        <v>1439</v>
      </c>
      <c r="E8" s="8">
        <v>0</v>
      </c>
      <c r="F8" s="8" t="s">
        <v>851</v>
      </c>
      <c r="G8" s="8" t="s">
        <v>841</v>
      </c>
      <c r="H8" s="25"/>
      <c r="I8" s="17" t="str">
        <f>CONCATENATE("* ",B8, " ",E8,"..",F8," ",G8," ##34#",C8,"##34# ##334#",D8,"##334#")</f>
        <v>* followedProtocol 0..* BackboneElement ##34#Followed Protocol##34# ##334#Followed Protocol##334#</v>
      </c>
    </row>
    <row r="9" spans="1:11" ht="59" x14ac:dyDescent="0.75">
      <c r="A9" s="8">
        <v>2</v>
      </c>
      <c r="B9" s="17" t="s">
        <v>1440</v>
      </c>
      <c r="C9" s="8" t="s">
        <v>1441</v>
      </c>
      <c r="D9" s="17" t="s">
        <v>1442</v>
      </c>
      <c r="E9" s="8">
        <v>0</v>
      </c>
      <c r="F9" s="8">
        <v>1</v>
      </c>
      <c r="G9" s="8" t="s">
        <v>1</v>
      </c>
      <c r="H9" s="25"/>
      <c r="I9" s="17" t="str">
        <f t="shared" ref="I9:I41" si="0">CONCATENATE("* ",B9, " ",E9,"..",F9," ",G9," ##34#",C9,"##34# ##334#",D9,"##334#")</f>
        <v>* followedProtocol.type 0..1 CodeableConcept ##34#Protocole type##34# ##334#2 =&gt; Trial/protocol
2 =&gt; Personalized
3 =&gt; Guidelines
-9922 =&gt; NK##334#</v>
      </c>
    </row>
    <row r="10" spans="1:11" ht="29.5" x14ac:dyDescent="0.75">
      <c r="A10" s="8">
        <v>3</v>
      </c>
      <c r="B10" s="17" t="s">
        <v>1443</v>
      </c>
      <c r="C10" s="8" t="s">
        <v>1444</v>
      </c>
      <c r="D10" s="8" t="s">
        <v>1444</v>
      </c>
      <c r="E10" s="8">
        <v>0</v>
      </c>
      <c r="F10" s="8">
        <v>1</v>
      </c>
      <c r="G10" s="8" t="s">
        <v>2</v>
      </c>
      <c r="H10" s="25"/>
      <c r="I10" s="17" t="str">
        <f t="shared" si="0"/>
        <v>* followedProtocol.name 0..1 string ##34#Protocole name##34# ##334#Protocole name##334#</v>
      </c>
    </row>
    <row r="11" spans="1:11" ht="73.75" x14ac:dyDescent="0.75">
      <c r="A11" s="8">
        <v>4</v>
      </c>
      <c r="B11" s="17" t="s">
        <v>1445</v>
      </c>
      <c r="C11" s="8" t="s">
        <v>1446</v>
      </c>
      <c r="D11" s="17" t="s">
        <v>1447</v>
      </c>
      <c r="E11" s="8">
        <v>0</v>
      </c>
      <c r="F11" s="8">
        <v>1</v>
      </c>
      <c r="G11" s="8" t="s">
        <v>2</v>
      </c>
      <c r="H11" s="25"/>
      <c r="I11" s="17" t="str">
        <f t="shared" si="0"/>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1:11" ht="29.5" x14ac:dyDescent="0.75">
      <c r="A12" s="8">
        <v>5</v>
      </c>
      <c r="B12" s="17" t="s">
        <v>1448</v>
      </c>
      <c r="C12" s="99" t="s">
        <v>1449</v>
      </c>
      <c r="D12" s="8" t="s">
        <v>258</v>
      </c>
      <c r="E12" s="8">
        <v>0</v>
      </c>
      <c r="F12" s="8">
        <v>1</v>
      </c>
      <c r="G12" s="8" t="s">
        <v>2</v>
      </c>
      <c r="H12" s="25"/>
      <c r="I12" s="17" t="str">
        <f t="shared" si="0"/>
        <v>* followedProtocol.arm 0..1 string ##34#Group/Arm/Randomization##34# ##334#If the trial was randomized, please define randomization arm##334#</v>
      </c>
    </row>
    <row r="13" spans="1:11" ht="59" x14ac:dyDescent="0.75">
      <c r="A13" s="8">
        <v>6</v>
      </c>
      <c r="B13" s="17" t="s">
        <v>1450</v>
      </c>
      <c r="C13" s="8" t="s">
        <v>1451</v>
      </c>
      <c r="D13" s="17" t="s">
        <v>1452</v>
      </c>
      <c r="E13" s="8">
        <v>0</v>
      </c>
      <c r="F13" s="8">
        <v>1</v>
      </c>
      <c r="G13" s="8" t="s">
        <v>906</v>
      </c>
      <c r="H13" s="25"/>
      <c r="I13" s="17" t="str">
        <f t="shared" si="0"/>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1:11" ht="29.5" x14ac:dyDescent="0.75">
      <c r="A14" s="8">
        <v>7</v>
      </c>
      <c r="B14" s="17" t="s">
        <v>1453</v>
      </c>
      <c r="C14" s="99" t="s">
        <v>1454</v>
      </c>
      <c r="D14" s="99" t="s">
        <v>1454</v>
      </c>
      <c r="E14" s="8">
        <v>0</v>
      </c>
      <c r="F14" s="8">
        <v>1</v>
      </c>
      <c r="G14" s="8" t="s">
        <v>1</v>
      </c>
      <c r="H14" s="25"/>
      <c r="I14" s="17" t="str">
        <f t="shared" si="0"/>
        <v>* isChemotherapy 0..1 CodeableConcept ##34#Chemotherapy ?##34# ##334#Chemotherapy ?##334#</v>
      </c>
    </row>
    <row r="15" spans="1:11" ht="29.5" x14ac:dyDescent="0.75">
      <c r="A15" s="8">
        <v>8</v>
      </c>
      <c r="B15" s="17" t="s">
        <v>1455</v>
      </c>
      <c r="C15" s="99" t="s">
        <v>1456</v>
      </c>
      <c r="D15" s="99" t="s">
        <v>1456</v>
      </c>
      <c r="E15" s="8">
        <v>0</v>
      </c>
      <c r="F15" s="8">
        <v>1</v>
      </c>
      <c r="G15" s="8" t="s">
        <v>1</v>
      </c>
      <c r="H15" s="25"/>
      <c r="I15" s="17" t="str">
        <f t="shared" si="0"/>
        <v>* isStemCellTransplantation 0..1 CodeableConcept ##34#Stem Cell transplantation ?##34# ##334#Stem Cell transplantation ?##334#</v>
      </c>
      <c r="J15" s="21"/>
      <c r="K15" s="8"/>
    </row>
    <row r="16" spans="1:11" ht="29.5" x14ac:dyDescent="0.75">
      <c r="A16" s="8">
        <v>9</v>
      </c>
      <c r="B16" s="17" t="s">
        <v>1457</v>
      </c>
      <c r="C16" s="99" t="s">
        <v>1458</v>
      </c>
      <c r="D16" s="99" t="s">
        <v>1458</v>
      </c>
      <c r="E16" s="8">
        <v>0</v>
      </c>
      <c r="F16" s="8">
        <v>1</v>
      </c>
      <c r="G16" s="8" t="s">
        <v>1</v>
      </c>
      <c r="I16" s="17" t="str">
        <f t="shared" si="0"/>
        <v>* isRadiotherapy 0..1 CodeableConcept ##34#Radiotherapy ?##34# ##334#Radiotherapy ?##334#</v>
      </c>
    </row>
    <row r="17" spans="1:9" ht="29.5" x14ac:dyDescent="0.75">
      <c r="A17" s="8">
        <v>10</v>
      </c>
      <c r="B17" s="17" t="s">
        <v>1459</v>
      </c>
      <c r="C17" s="99" t="s">
        <v>1460</v>
      </c>
      <c r="D17" s="99" t="s">
        <v>1460</v>
      </c>
      <c r="E17" s="8">
        <v>0</v>
      </c>
      <c r="F17" s="8">
        <v>1</v>
      </c>
      <c r="G17" s="8" t="s">
        <v>1</v>
      </c>
      <c r="I17" s="17" t="str">
        <f t="shared" si="0"/>
        <v>* isMajorSurgery 0..1 CodeableConcept ##34#Major Surgery ?##34# ##334#Major Surgery ?##334#</v>
      </c>
    </row>
    <row r="18" spans="1:9" ht="29.5" x14ac:dyDescent="0.75">
      <c r="A18" s="8">
        <v>11</v>
      </c>
      <c r="B18" s="17" t="s">
        <v>1461</v>
      </c>
      <c r="C18" s="99" t="s">
        <v>872</v>
      </c>
      <c r="D18" s="99" t="s">
        <v>872</v>
      </c>
      <c r="E18" s="8">
        <v>0</v>
      </c>
      <c r="F18" s="8">
        <v>1</v>
      </c>
      <c r="G18" s="8" t="s">
        <v>841</v>
      </c>
      <c r="I18" s="17" t="str">
        <f t="shared" si="0"/>
        <v>* notForRelapse 0..1 BackboneElement ##34#Details not provided for relapses after EOT##34# ##334#Details not provided for relapses after EOT##334#</v>
      </c>
    </row>
    <row r="19" spans="1:9" ht="29.5" x14ac:dyDescent="0.75">
      <c r="A19" s="8">
        <v>12</v>
      </c>
      <c r="B19" s="17" t="s">
        <v>1462</v>
      </c>
      <c r="C19" s="17" t="s">
        <v>1463</v>
      </c>
      <c r="D19" s="17" t="s">
        <v>1463</v>
      </c>
      <c r="E19" s="8">
        <v>0</v>
      </c>
      <c r="F19" s="8">
        <v>1</v>
      </c>
      <c r="G19" s="8" t="s">
        <v>841</v>
      </c>
      <c r="I19" s="17" t="str">
        <f t="shared" si="0"/>
        <v>* notForRelapse.completeRemission 0..1 BackboneElement ##34#Complete remission##34# ##334#Complete remission##334#</v>
      </c>
    </row>
    <row r="20" spans="1:9" ht="29.5" x14ac:dyDescent="0.75">
      <c r="A20" s="8">
        <v>13</v>
      </c>
      <c r="B20" s="17" t="s">
        <v>1464</v>
      </c>
      <c r="C20" s="17" t="s">
        <v>1465</v>
      </c>
      <c r="D20" s="17" t="s">
        <v>1465</v>
      </c>
      <c r="E20" s="8">
        <v>1</v>
      </c>
      <c r="F20" s="8">
        <v>1</v>
      </c>
      <c r="G20" s="8" t="s">
        <v>906</v>
      </c>
      <c r="I20" s="17" t="str">
        <f t="shared" si="0"/>
        <v>* notForRelapse.completeRemission.status 1..1 dateTime ##34#Complete remission (Yes/No)##34# ##334#Complete remission (Yes/No)##334#</v>
      </c>
    </row>
    <row r="21" spans="1:9" ht="44.25" x14ac:dyDescent="0.75">
      <c r="A21" s="8">
        <v>14</v>
      </c>
      <c r="B21" s="17" t="s">
        <v>1466</v>
      </c>
      <c r="C21" s="17" t="s">
        <v>1467</v>
      </c>
      <c r="D21" s="17" t="s">
        <v>1467</v>
      </c>
      <c r="E21" s="8">
        <v>1</v>
      </c>
      <c r="F21" s="8">
        <v>1</v>
      </c>
      <c r="G21" s="8" t="s">
        <v>1</v>
      </c>
      <c r="I21" s="17" t="str">
        <f t="shared" si="0"/>
        <v>* notForRelapse.completeRemission.description 1..1 CodeableConcept ##34#Textual description in case of no remission##34# ##334#Textual description in case of no remission##334#</v>
      </c>
    </row>
    <row r="22" spans="1:9" ht="44.25" x14ac:dyDescent="0.75">
      <c r="A22" s="8">
        <v>15</v>
      </c>
      <c r="B22" s="17" t="s">
        <v>1468</v>
      </c>
      <c r="C22" s="8" t="s">
        <v>1469</v>
      </c>
      <c r="D22" s="8" t="s">
        <v>1469</v>
      </c>
      <c r="E22" s="8">
        <v>0</v>
      </c>
      <c r="F22" s="8">
        <v>1</v>
      </c>
      <c r="G22" s="8" t="s">
        <v>1</v>
      </c>
      <c r="I22" s="17" t="str">
        <f t="shared" si="0"/>
        <v>* notForRelapse.isProgressionRelapseDuringFLT 0..1 CodeableConcept ##34#Progression/relapse during frontline treatment ?##34# ##334#Progression/relapse during frontline treatment ?##334#</v>
      </c>
    </row>
    <row r="23" spans="1:9" ht="44.25" x14ac:dyDescent="0.75">
      <c r="A23" s="8">
        <v>16</v>
      </c>
      <c r="B23" s="17" t="s">
        <v>1470</v>
      </c>
      <c r="C23" s="17" t="s">
        <v>1471</v>
      </c>
      <c r="D23" s="17" t="s">
        <v>1471</v>
      </c>
      <c r="E23" s="8">
        <v>0</v>
      </c>
      <c r="F23" s="8">
        <v>1</v>
      </c>
      <c r="G23" s="8" t="s">
        <v>1</v>
      </c>
      <c r="I23" s="17" t="str">
        <f t="shared" si="0"/>
        <v>* notForRelapse.isProgressionRelapseAfterFLT 0..1 CodeableConcept ##34#Progression/relapse after first elective end of treatment ?##34# ##334#Progression/relapse after first elective end of treatment ?##334#</v>
      </c>
    </row>
    <row r="24" spans="1:9" x14ac:dyDescent="0.75">
      <c r="A24" s="8">
        <v>17</v>
      </c>
      <c r="B24" s="17"/>
      <c r="C24" s="17"/>
      <c r="D24" s="17"/>
      <c r="E24" s="8"/>
      <c r="F24" s="8"/>
      <c r="G24" s="8"/>
      <c r="I24" s="17" t="str">
        <f t="shared" si="0"/>
        <v>*  ..  ##34###34# ##334###334#</v>
      </c>
    </row>
    <row r="25" spans="1:9" x14ac:dyDescent="0.75">
      <c r="A25" s="8">
        <v>18</v>
      </c>
      <c r="B25" s="17"/>
      <c r="C25" s="17"/>
      <c r="D25" s="17"/>
      <c r="E25" s="8"/>
      <c r="F25" s="8"/>
      <c r="G25" s="8"/>
      <c r="I25" s="17" t="str">
        <f t="shared" si="0"/>
        <v>*  ..  ##34###34# ##334###334#</v>
      </c>
    </row>
    <row r="26" spans="1:9" x14ac:dyDescent="0.75">
      <c r="A26" s="8">
        <v>19</v>
      </c>
      <c r="B26" s="17"/>
      <c r="C26" s="17"/>
      <c r="D26" s="17"/>
      <c r="E26" s="8"/>
      <c r="F26" s="8"/>
      <c r="G26" s="8"/>
      <c r="I26" s="17" t="str">
        <f t="shared" si="0"/>
        <v>*  ..  ##34###34# ##334###334#</v>
      </c>
    </row>
    <row r="27" spans="1:9" x14ac:dyDescent="0.75">
      <c r="A27" s="8">
        <v>20</v>
      </c>
      <c r="B27" s="17"/>
      <c r="C27" s="17"/>
      <c r="D27" s="17"/>
      <c r="E27" s="8"/>
      <c r="F27" s="8"/>
      <c r="G27" s="8"/>
      <c r="I27" s="17" t="str">
        <f t="shared" si="0"/>
        <v>*  ..  ##34###34# ##334###334#</v>
      </c>
    </row>
    <row r="28" spans="1:9" x14ac:dyDescent="0.75">
      <c r="A28" s="8">
        <v>21</v>
      </c>
      <c r="B28" s="17"/>
      <c r="C28" s="17"/>
      <c r="D28" s="17"/>
      <c r="E28" s="8"/>
      <c r="F28" s="8"/>
      <c r="G28" s="8"/>
      <c r="I28" s="17" t="str">
        <f t="shared" si="0"/>
        <v>*  ..  ##34###34# ##334###334#</v>
      </c>
    </row>
    <row r="29" spans="1:9" x14ac:dyDescent="0.75">
      <c r="A29" s="8">
        <v>22</v>
      </c>
      <c r="B29" s="17"/>
      <c r="C29" s="17"/>
      <c r="D29" s="17"/>
      <c r="E29" s="8"/>
      <c r="F29" s="8"/>
      <c r="G29" s="8"/>
      <c r="I29" s="17" t="str">
        <f t="shared" si="0"/>
        <v>*  ..  ##34###34# ##334###334#</v>
      </c>
    </row>
    <row r="30" spans="1:9" x14ac:dyDescent="0.75">
      <c r="A30" s="8">
        <v>23</v>
      </c>
      <c r="B30" s="17"/>
      <c r="C30" s="17"/>
      <c r="D30" s="17"/>
      <c r="E30" s="8"/>
      <c r="F30" s="8"/>
      <c r="G30" s="8"/>
      <c r="I30" s="17" t="str">
        <f t="shared" si="0"/>
        <v>*  ..  ##34###34# ##334###334#</v>
      </c>
    </row>
    <row r="31" spans="1:9" x14ac:dyDescent="0.75">
      <c r="A31" s="8">
        <v>24</v>
      </c>
      <c r="B31" s="17"/>
      <c r="C31" s="17"/>
      <c r="D31" s="17"/>
      <c r="E31" s="8"/>
      <c r="F31" s="8"/>
      <c r="G31" s="8"/>
      <c r="I31" s="17" t="str">
        <f t="shared" si="0"/>
        <v>*  ..  ##34###34# ##334###334#</v>
      </c>
    </row>
    <row r="32" spans="1:9" x14ac:dyDescent="0.75">
      <c r="A32" s="8">
        <v>25</v>
      </c>
      <c r="B32" s="17"/>
      <c r="C32" s="17"/>
      <c r="D32" s="17"/>
      <c r="E32" s="8"/>
      <c r="F32" s="8"/>
      <c r="G32" s="8"/>
      <c r="I32" s="17" t="str">
        <f t="shared" si="0"/>
        <v>*  ..  ##34###34# ##334###334#</v>
      </c>
    </row>
    <row r="33" spans="1:9" x14ac:dyDescent="0.75">
      <c r="A33" s="8">
        <v>26</v>
      </c>
      <c r="B33" s="17"/>
      <c r="C33" s="17"/>
      <c r="D33" s="17"/>
      <c r="E33" s="8"/>
      <c r="F33" s="8"/>
      <c r="G33" s="8"/>
      <c r="I33" s="17" t="str">
        <f t="shared" si="0"/>
        <v>*  ..  ##34###34# ##334###334#</v>
      </c>
    </row>
    <row r="34" spans="1:9" x14ac:dyDescent="0.75">
      <c r="A34" s="8">
        <v>27</v>
      </c>
      <c r="B34" s="17"/>
      <c r="C34" s="17"/>
      <c r="D34" s="17"/>
      <c r="E34" s="8"/>
      <c r="F34" s="8"/>
      <c r="G34" s="8"/>
      <c r="I34" s="17" t="str">
        <f t="shared" si="0"/>
        <v>*  ..  ##34###34# ##334###334#</v>
      </c>
    </row>
    <row r="35" spans="1:9" x14ac:dyDescent="0.75">
      <c r="A35" s="8">
        <v>28</v>
      </c>
      <c r="B35" s="17"/>
      <c r="C35" s="17"/>
      <c r="D35" s="17"/>
      <c r="E35" s="8"/>
      <c r="F35" s="8"/>
      <c r="G35" s="8"/>
      <c r="I35" s="17" t="str">
        <f t="shared" si="0"/>
        <v>*  ..  ##34###34# ##334###334#</v>
      </c>
    </row>
    <row r="36" spans="1:9" x14ac:dyDescent="0.75">
      <c r="A36" s="8">
        <v>29</v>
      </c>
      <c r="B36" s="17"/>
      <c r="C36" s="17"/>
      <c r="D36" s="17"/>
      <c r="E36" s="8"/>
      <c r="F36" s="8"/>
      <c r="G36" s="8"/>
      <c r="I36" s="17" t="str">
        <f t="shared" si="0"/>
        <v>*  ..  ##34###34# ##334###334#</v>
      </c>
    </row>
    <row r="37" spans="1:9" x14ac:dyDescent="0.75">
      <c r="A37" s="8">
        <v>30</v>
      </c>
      <c r="B37" s="8"/>
      <c r="C37" s="89"/>
      <c r="D37" s="89"/>
      <c r="E37" s="8"/>
      <c r="F37" s="8"/>
      <c r="G37" s="8"/>
      <c r="I37" s="17" t="str">
        <f t="shared" si="0"/>
        <v>*  ..  ##34###34# ##334###334#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5FF10-FEE8-45BD-9DF9-E395E85E3CE0}">
  <sheetPr codeName="Foglio49"/>
  <dimension ref="A1:O61"/>
  <sheetViews>
    <sheetView topLeftCell="A15" workbookViewId="0">
      <selection activeCell="C23" sqref="C23"/>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28"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
        <v>1503</v>
      </c>
      <c r="E4" s="30" t="str">
        <f>CONCATENATE("Mapping: ",C4)</f>
        <v>Mapping: Flt2Fhir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FrontLineTreatment model to PCSP HL7 FHIR R4 Profiles</v>
      </c>
      <c r="E6" s="31" t="str">
        <f>CONCATENATE("Title: ##34#",C6,"##34#")</f>
        <v>Title: ##34#FrontLineTreatment model to PCSP HL7 FHIR R4 Profiles##34#</v>
      </c>
      <c r="G6" s="1"/>
      <c r="H6" s="9"/>
      <c r="I6" s="9"/>
      <c r="J6" s="9"/>
      <c r="K6" s="9"/>
      <c r="L6" s="9"/>
      <c r="M6" s="9"/>
      <c r="N6" s="9"/>
      <c r="O6" s="9"/>
    </row>
    <row r="7" spans="1:15" ht="15.5" thickBot="1" x14ac:dyDescent="0.9">
      <c r="B7" s="94" t="s">
        <v>78</v>
      </c>
      <c r="C7" s="91" t="str">
        <f>B9</f>
        <v>FrontLineTreatment</v>
      </c>
      <c r="E7" s="31" t="str">
        <f>CONCATENATE("Source: ",C7)</f>
        <v>Source: FrontLineTreatment</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44.25" x14ac:dyDescent="0.75">
      <c r="A9" s="8"/>
      <c r="B9" s="4" t="str">
        <f>Flt!B5</f>
        <v>FrontLineTreatment</v>
      </c>
      <c r="C9" s="4" t="s">
        <v>1472</v>
      </c>
      <c r="E9" s="4" t="str">
        <f>CONCATENATE("* . -&gt; ##34#",C9,"##34#")</f>
        <v>* . -&gt; ##34#Procedure.conformsTo('http://hl7.eu/fhir/ig/pcsp/StructureDefinition/Procedure-flt-eu-pcsp')##34#</v>
      </c>
      <c r="H9" s="9"/>
      <c r="I9" s="9"/>
      <c r="J9" s="9"/>
      <c r="K9" s="9"/>
      <c r="L9" s="9"/>
      <c r="M9" s="9"/>
      <c r="N9" s="9"/>
      <c r="O9" s="9"/>
    </row>
    <row r="10" spans="1:15" x14ac:dyDescent="0.75">
      <c r="A10" s="8"/>
      <c r="B10" s="17" t="str">
        <f>Flt!B8</f>
        <v>followedProtocol</v>
      </c>
      <c r="C10" s="20" t="s">
        <v>1473</v>
      </c>
      <c r="E10" s="17" t="str">
        <f>CONCATENATE("* ",B10," -&gt; ##34#",C10,"##34#")</f>
        <v>* followedProtocol -&gt; ##34#.instantiatesCanonical##34#</v>
      </c>
      <c r="G10" t="b">
        <f>IF(B10=H10,TRUE, FALSE)</f>
        <v>1</v>
      </c>
      <c r="H10" s="9" t="s">
        <v>1438</v>
      </c>
      <c r="I10" s="9" t="s">
        <v>1473</v>
      </c>
      <c r="J10" s="9"/>
      <c r="K10" s="9"/>
      <c r="L10" s="9"/>
      <c r="M10" s="9"/>
      <c r="N10" s="9"/>
      <c r="O10" s="9"/>
    </row>
    <row r="11" spans="1:15" ht="29.5" x14ac:dyDescent="0.75">
      <c r="A11" s="8"/>
      <c r="B11" s="17" t="str">
        <f>Flt!B8</f>
        <v>followedProtocol</v>
      </c>
      <c r="C11" s="20" t="s">
        <v>1474</v>
      </c>
      <c r="E11" s="17" t="str">
        <f t="shared" ref="E11:E37" si="0">CONCATENATE("* ",B11," -&gt; ##34#",C11,"##34#")</f>
        <v>* followedProtocol -&gt; ##34#PlanDefinition.conformsTo('http://hl7.eu/fhir/ig/pcsp/StructureDefinition/PlanDefinition-flt-eu-pcsp')##34#</v>
      </c>
      <c r="G11" t="b">
        <f t="shared" ref="G11:G29" si="1">IF(B11=H11,TRUE, FALSE)</f>
        <v>1</v>
      </c>
      <c r="H11" s="9" t="s">
        <v>1438</v>
      </c>
      <c r="I11" s="9" t="s">
        <v>1474</v>
      </c>
      <c r="J11" s="9"/>
      <c r="K11" s="9"/>
      <c r="L11" s="9"/>
      <c r="M11" s="9"/>
      <c r="N11" s="9"/>
      <c r="O11" s="9"/>
    </row>
    <row r="12" spans="1:15" x14ac:dyDescent="0.75">
      <c r="A12" s="8"/>
      <c r="B12" s="17" t="str">
        <f>Flt!B9</f>
        <v>followedProtocol.type</v>
      </c>
      <c r="C12" s="20" t="s">
        <v>1475</v>
      </c>
      <c r="E12" s="17" t="str">
        <f t="shared" si="0"/>
        <v>* followedProtocol.type -&gt; ##34#.type##34#</v>
      </c>
      <c r="G12" t="b">
        <f t="shared" si="1"/>
        <v>1</v>
      </c>
      <c r="H12" s="9" t="s">
        <v>1440</v>
      </c>
      <c r="I12" s="9" t="s">
        <v>1475</v>
      </c>
      <c r="J12" s="9"/>
      <c r="K12" s="9"/>
      <c r="L12" s="9"/>
      <c r="M12" s="9"/>
      <c r="N12" s="9"/>
      <c r="O12" s="9"/>
    </row>
    <row r="13" spans="1:15" x14ac:dyDescent="0.75">
      <c r="A13" s="8"/>
      <c r="B13" s="17" t="str">
        <f>Flt!B10</f>
        <v>followedProtocol.name</v>
      </c>
      <c r="C13" s="20" t="s">
        <v>1476</v>
      </c>
      <c r="E13" s="17" t="str">
        <f t="shared" si="0"/>
        <v>* followedProtocol.name -&gt; ##34#.title##34#</v>
      </c>
      <c r="G13" t="b">
        <f t="shared" si="1"/>
        <v>1</v>
      </c>
      <c r="H13" s="9" t="s">
        <v>1443</v>
      </c>
      <c r="I13" s="9" t="s">
        <v>1476</v>
      </c>
      <c r="J13" s="9"/>
      <c r="K13" s="9"/>
      <c r="L13" s="9"/>
      <c r="M13" s="9"/>
      <c r="N13" s="9"/>
      <c r="O13" s="9"/>
    </row>
    <row r="14" spans="1:15" x14ac:dyDescent="0.75">
      <c r="A14" s="8"/>
      <c r="B14" s="17" t="str">
        <f>Flt!B11</f>
        <v>followedProtocol.description</v>
      </c>
      <c r="C14" s="20" t="s">
        <v>1477</v>
      </c>
      <c r="E14" s="17" t="str">
        <f t="shared" si="0"/>
        <v>* followedProtocol.description -&gt; ##34#.description##34#</v>
      </c>
      <c r="G14" t="b">
        <f t="shared" si="1"/>
        <v>1</v>
      </c>
      <c r="H14" s="9" t="s">
        <v>1445</v>
      </c>
      <c r="I14" s="9" t="s">
        <v>1477</v>
      </c>
      <c r="J14" s="9"/>
      <c r="K14" s="9"/>
      <c r="L14" s="9"/>
      <c r="M14" s="9"/>
      <c r="N14" s="9"/>
      <c r="O14" s="9"/>
    </row>
    <row r="15" spans="1:15" ht="44.25" x14ac:dyDescent="0.75">
      <c r="A15" s="8"/>
      <c r="B15" s="17" t="str">
        <f>Flt!B12</f>
        <v>followedProtocol.arm</v>
      </c>
      <c r="C15" s="20" t="s">
        <v>1478</v>
      </c>
      <c r="E15" s="17" t="str">
        <f t="shared" si="0"/>
        <v>* followedProtocol.arm -&gt; ##34#.extension('http://hl7.eu/fhir/ig/pcsp/StructureDefinition/procedure-fltArm').valueString##34#</v>
      </c>
      <c r="G15" t="b">
        <f t="shared" si="1"/>
        <v>1</v>
      </c>
      <c r="H15" s="9" t="s">
        <v>1448</v>
      </c>
      <c r="I15" s="9" t="s">
        <v>1478</v>
      </c>
      <c r="J15" s="9"/>
      <c r="K15" s="9"/>
      <c r="L15" s="9"/>
      <c r="M15" s="9"/>
      <c r="N15" s="9"/>
      <c r="O15" s="9"/>
    </row>
    <row r="16" spans="1:15" x14ac:dyDescent="0.75">
      <c r="A16" s="8"/>
      <c r="B16" s="17" t="str">
        <f>Flt!B13</f>
        <v>dateEOT</v>
      </c>
      <c r="C16" s="20" t="s">
        <v>1479</v>
      </c>
      <c r="E16" s="17" t="str">
        <f t="shared" si="0"/>
        <v>* dateEOT -&gt; ##34#Procedure.performedPeriod.end##34#</v>
      </c>
      <c r="G16" t="b">
        <f t="shared" si="1"/>
        <v>1</v>
      </c>
      <c r="H16" s="9" t="s">
        <v>1450</v>
      </c>
      <c r="I16" s="9" t="s">
        <v>1479</v>
      </c>
      <c r="J16" s="9"/>
      <c r="K16" s="9"/>
      <c r="L16" s="9"/>
      <c r="M16" s="9"/>
      <c r="N16" s="9"/>
      <c r="O16" s="9"/>
    </row>
    <row r="17" spans="1:15" ht="44.25" x14ac:dyDescent="0.75">
      <c r="A17" s="8"/>
      <c r="B17" s="17" t="str">
        <f>Flt!B14</f>
        <v>isChemotherapy</v>
      </c>
      <c r="C17" s="20" t="s">
        <v>1480</v>
      </c>
      <c r="E17" s="17" t="str">
        <f t="shared" si="0"/>
        <v>* isChemotherapy -&gt; ##34#MedicationAdministration.conformsTo('http://hl7.eu/fhir/ig/pcsp/StructureDefinition/MedicationAdministration-eu-pcsp').exists()##34#</v>
      </c>
      <c r="G17" t="b">
        <f t="shared" si="1"/>
        <v>1</v>
      </c>
      <c r="H17" s="9" t="s">
        <v>1453</v>
      </c>
      <c r="I17" s="9" t="s">
        <v>1480</v>
      </c>
      <c r="J17" s="9"/>
      <c r="K17" s="9"/>
      <c r="L17" s="9"/>
      <c r="M17" s="9"/>
      <c r="N17" s="9"/>
      <c r="O17" s="9"/>
    </row>
    <row r="18" spans="1:15" ht="44.25" x14ac:dyDescent="0.75">
      <c r="A18" s="8"/>
      <c r="B18" s="17" t="str">
        <f>Flt!B15</f>
        <v>isStemCellTransplantation</v>
      </c>
      <c r="C18" s="17" t="s">
        <v>1481</v>
      </c>
      <c r="E18" s="17" t="str">
        <f t="shared" si="0"/>
        <v>* isStemCellTransplantation -&gt; ##34#Procedure.conformsTo('http://hl7.eu/fhir/ig/pcsp/StructureDefinition/Procedure-sct-eu-pcsp').exists()##34#</v>
      </c>
      <c r="G18" t="b">
        <f t="shared" si="1"/>
        <v>1</v>
      </c>
      <c r="H18" s="9" t="s">
        <v>1455</v>
      </c>
      <c r="I18" s="9" t="s">
        <v>1481</v>
      </c>
      <c r="J18" s="9"/>
      <c r="K18" s="9"/>
      <c r="L18" s="9"/>
      <c r="M18" s="9"/>
      <c r="N18" s="9"/>
      <c r="O18" s="9"/>
    </row>
    <row r="19" spans="1:15" ht="44.25" x14ac:dyDescent="0.75">
      <c r="A19" s="8"/>
      <c r="B19" s="17" t="str">
        <f>Flt!B16</f>
        <v>isRadiotherapy</v>
      </c>
      <c r="C19" s="17" t="s">
        <v>1482</v>
      </c>
      <c r="E19" s="17" t="str">
        <f t="shared" si="0"/>
        <v>* isRadiotherapy -&gt; ##34#Procedure.conformsTo('http://hl7.eu/fhir/ig/pcsp/StructureDefinition/Procedure-radiotheraphy-eu-pcsp').exists()##34#</v>
      </c>
      <c r="G19" t="b">
        <f t="shared" si="1"/>
        <v>1</v>
      </c>
      <c r="H19" t="s">
        <v>1457</v>
      </c>
      <c r="I19" t="s">
        <v>1482</v>
      </c>
    </row>
    <row r="20" spans="1:15" ht="44.25" x14ac:dyDescent="0.75">
      <c r="A20" s="8"/>
      <c r="B20" s="17" t="str">
        <f>Flt!B17</f>
        <v>isMajorSurgery</v>
      </c>
      <c r="C20" s="17" t="s">
        <v>1642</v>
      </c>
      <c r="E20" s="17" t="str">
        <f t="shared" si="0"/>
        <v>* isMajorSurgery -&gt; ##34#Procedure.conformsTo('http://hl7.eu/fhir/ig/pcsp/StructureDefinition/Procedure-surgery-eu-pcsp').exists().not() [No Case, implicit]##34#</v>
      </c>
      <c r="G20" t="b">
        <f t="shared" si="1"/>
        <v>1</v>
      </c>
      <c r="H20" t="s">
        <v>1459</v>
      </c>
      <c r="I20" t="s">
        <v>1483</v>
      </c>
    </row>
    <row r="21" spans="1:15" ht="44.25" x14ac:dyDescent="0.75">
      <c r="A21" s="8"/>
      <c r="B21" s="17" t="str">
        <f>Flt!B17</f>
        <v>isMajorSurgery</v>
      </c>
      <c r="C21" s="17" t="s">
        <v>1644</v>
      </c>
      <c r="E21" s="17" t="str">
        <f t="shared" si="0"/>
        <v>* isMajorSurgery -&gt; ##34#Procedure.conformsTo('http://hl7.eu/fhir/ig/pcsp/StructureDefinition/Procedure-surgery-eu-pcsp')..where(code = 'no-known-procedures').exists() [No Case, explicit]##34#</v>
      </c>
    </row>
    <row r="22" spans="1:15" ht="59" x14ac:dyDescent="0.75">
      <c r="A22" s="8"/>
      <c r="B22" s="17" t="str">
        <f>Flt!B17</f>
        <v>isMajorSurgery</v>
      </c>
      <c r="C22" s="17" t="s">
        <v>1641</v>
      </c>
      <c r="E22" s="17" t="str">
        <f t="shared" si="0"/>
        <v>* isMajorSurgery -&gt; ##34#Procedure.conformsTo('http://hl7.eu/fhir/ig/pcsp/StructureDefinition/Procedure-surgery-eu-pcsp').where(code != 'no-known-procedures' or code != 'no-procedure-info').exists() [Yes Case]##34#</v>
      </c>
    </row>
    <row r="23" spans="1:15" ht="44.25" x14ac:dyDescent="0.75">
      <c r="A23" s="8"/>
      <c r="B23" s="17" t="str">
        <f>Flt!B17</f>
        <v>isMajorSurgery</v>
      </c>
      <c r="C23" s="17" t="s">
        <v>1643</v>
      </c>
      <c r="E23" s="17" t="str">
        <f t="shared" si="0"/>
        <v>* isMajorSurgery -&gt; ##34#Procedure.conformsTo('http://hl7.eu/fhir/ig/pcsp/StructureDefinition/Procedure-surgery-eu-pcsp').where(code = 'no-procedure-info').exists() [Unk case]##34#</v>
      </c>
    </row>
    <row r="24" spans="1:15" x14ac:dyDescent="0.75">
      <c r="A24" s="8"/>
      <c r="B24" s="17" t="str">
        <f>Flt!B18</f>
        <v>notForRelapse</v>
      </c>
      <c r="C24" s="17"/>
      <c r="E24" s="4" t="s">
        <v>1639</v>
      </c>
      <c r="G24" t="b">
        <f t="shared" si="1"/>
        <v>1</v>
      </c>
      <c r="H24" t="s">
        <v>1461</v>
      </c>
    </row>
    <row r="25" spans="1:15" x14ac:dyDescent="0.75">
      <c r="A25" s="8"/>
      <c r="B25" s="17" t="str">
        <f>Flt!B19</f>
        <v>notForRelapse.completeRemission</v>
      </c>
      <c r="C25" s="17" t="s">
        <v>1484</v>
      </c>
      <c r="E25" s="17" t="str">
        <f t="shared" si="0"/>
        <v>* notForRelapse.completeRemission -&gt; ##34#outcome##34#</v>
      </c>
      <c r="G25" t="b">
        <f t="shared" si="1"/>
        <v>1</v>
      </c>
      <c r="H25" t="s">
        <v>1462</v>
      </c>
      <c r="I25" t="s">
        <v>1484</v>
      </c>
    </row>
    <row r="26" spans="1:15" ht="29.5" x14ac:dyDescent="0.75">
      <c r="A26" s="8"/>
      <c r="B26" s="17" t="str">
        <f>Flt!B20</f>
        <v>notForRelapse.completeRemission.status</v>
      </c>
      <c r="C26" s="17" t="s">
        <v>1485</v>
      </c>
      <c r="E26" s="17" t="str">
        <f t="shared" si="0"/>
        <v>* notForRelapse.completeRemission.status -&gt; ##34#outcome.coding##34#</v>
      </c>
      <c r="G26" t="b">
        <f t="shared" si="1"/>
        <v>1</v>
      </c>
      <c r="H26" t="s">
        <v>1464</v>
      </c>
      <c r="I26" t="s">
        <v>1485</v>
      </c>
    </row>
    <row r="27" spans="1:15" ht="29.5" x14ac:dyDescent="0.75">
      <c r="A27" s="8"/>
      <c r="B27" s="17" t="str">
        <f>Flt!B21</f>
        <v>notForRelapse.completeRemission.description</v>
      </c>
      <c r="C27" s="17" t="s">
        <v>1486</v>
      </c>
      <c r="E27" s="17" t="str">
        <f t="shared" si="0"/>
        <v>* notForRelapse.completeRemission.description -&gt; ##34#outcome.text##34#</v>
      </c>
      <c r="G27" t="b">
        <f t="shared" si="1"/>
        <v>1</v>
      </c>
      <c r="H27" t="s">
        <v>1466</v>
      </c>
      <c r="I27" t="s">
        <v>1486</v>
      </c>
    </row>
    <row r="28" spans="1:15" ht="103.25" x14ac:dyDescent="0.75">
      <c r="A28" s="8"/>
      <c r="B28" s="17" t="str">
        <f>Flt!B22</f>
        <v>notForRelapse.isProgressionRelapseDuringFLT</v>
      </c>
      <c r="C28" s="17" t="s">
        <v>1487</v>
      </c>
      <c r="E28" s="17" t="str">
        <f t="shared" si="0"/>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c r="G28" t="b">
        <f t="shared" si="1"/>
        <v>1</v>
      </c>
      <c r="H28" t="s">
        <v>1468</v>
      </c>
      <c r="I28" t="s">
        <v>1487</v>
      </c>
    </row>
    <row r="29" spans="1:15" ht="103.25" x14ac:dyDescent="0.75">
      <c r="A29" s="8"/>
      <c r="B29" s="17" t="str">
        <f>Flt!B23</f>
        <v>notForRelapse.isProgressionRelapseAfterFLT</v>
      </c>
      <c r="C29" s="17" t="s">
        <v>1488</v>
      </c>
      <c r="E29" s="17" t="str">
        <f t="shared" si="0"/>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c r="G29" t="b">
        <f t="shared" si="1"/>
        <v>1</v>
      </c>
      <c r="H29" t="s">
        <v>1470</v>
      </c>
      <c r="I29" t="s">
        <v>1488</v>
      </c>
    </row>
    <row r="30" spans="1:15" x14ac:dyDescent="0.75">
      <c r="A30" s="8"/>
      <c r="B30" s="17"/>
      <c r="C30" s="17"/>
      <c r="E30" s="17" t="str">
        <f t="shared" si="0"/>
        <v>*  -&gt; ##34###34#</v>
      </c>
      <c r="G30" s="1"/>
    </row>
    <row r="31" spans="1:15" x14ac:dyDescent="0.75">
      <c r="A31" s="8"/>
      <c r="B31" s="17"/>
      <c r="C31" s="17"/>
      <c r="E31" s="17" t="str">
        <f t="shared" si="0"/>
        <v>*  -&gt; ##34###34#</v>
      </c>
      <c r="G31" s="1"/>
    </row>
    <row r="32" spans="1:15" x14ac:dyDescent="0.75">
      <c r="A32" s="8"/>
      <c r="B32" s="17"/>
      <c r="C32" s="17"/>
      <c r="E32" s="17" t="str">
        <f t="shared" si="0"/>
        <v>*  -&gt; ##34###34#</v>
      </c>
      <c r="G32" s="1"/>
    </row>
    <row r="33" spans="1:7" x14ac:dyDescent="0.75">
      <c r="A33" s="8"/>
      <c r="B33" s="17"/>
      <c r="C33" s="17"/>
      <c r="E33" s="17" t="str">
        <f t="shared" si="0"/>
        <v>*  -&gt; ##34###34#</v>
      </c>
      <c r="G33" s="1"/>
    </row>
    <row r="34" spans="1:7" x14ac:dyDescent="0.75">
      <c r="A34" s="8"/>
      <c r="B34" s="17"/>
      <c r="C34" s="17"/>
      <c r="E34" s="17" t="str">
        <f t="shared" si="0"/>
        <v>*  -&gt; ##34###34#</v>
      </c>
    </row>
    <row r="35" spans="1:7" x14ac:dyDescent="0.75">
      <c r="A35" s="8"/>
      <c r="B35" s="17"/>
      <c r="C35" s="17"/>
      <c r="E35" s="17" t="str">
        <f t="shared" si="0"/>
        <v>*  -&gt; ##34###34#</v>
      </c>
    </row>
    <row r="36" spans="1:7" x14ac:dyDescent="0.75">
      <c r="A36" s="8"/>
      <c r="B36" s="17"/>
      <c r="C36" s="17"/>
      <c r="E36" s="17" t="str">
        <f t="shared" si="0"/>
        <v>*  -&gt; ##34###34#</v>
      </c>
    </row>
    <row r="37" spans="1:7" x14ac:dyDescent="0.75">
      <c r="B37" s="17"/>
      <c r="C37" s="17"/>
      <c r="E37" s="17" t="str">
        <f t="shared" si="0"/>
        <v>*  -&gt; ##34###34#</v>
      </c>
    </row>
    <row r="38" spans="1:7" x14ac:dyDescent="0.75">
      <c r="B38" s="17"/>
      <c r="C38" s="20"/>
      <c r="E38" s="17"/>
    </row>
    <row r="39" spans="1:7" x14ac:dyDescent="0.75">
      <c r="B39" s="17"/>
      <c r="C39" s="20"/>
      <c r="E39" s="17"/>
    </row>
    <row r="40" spans="1:7" x14ac:dyDescent="0.75">
      <c r="B40" s="17"/>
      <c r="C40" s="20"/>
      <c r="E40" s="17"/>
    </row>
    <row r="41" spans="1:7" x14ac:dyDescent="0.75">
      <c r="B41" s="17"/>
      <c r="C41" s="17"/>
      <c r="E41" s="17"/>
    </row>
    <row r="42" spans="1:7" x14ac:dyDescent="0.75">
      <c r="B42" s="17"/>
      <c r="C42" s="17"/>
      <c r="E42" s="17"/>
    </row>
    <row r="43" spans="1:7" x14ac:dyDescent="0.75">
      <c r="B43" s="17"/>
      <c r="C43" s="17"/>
      <c r="E43" s="17"/>
    </row>
    <row r="44" spans="1:7" x14ac:dyDescent="0.75">
      <c r="B44" s="17"/>
      <c r="C44" s="17"/>
      <c r="E44" s="17"/>
    </row>
    <row r="45" spans="1:7" x14ac:dyDescent="0.75">
      <c r="B45" s="17"/>
      <c r="C45" s="17"/>
      <c r="E45" s="17"/>
    </row>
    <row r="46" spans="1:7" x14ac:dyDescent="0.75">
      <c r="B46" s="17"/>
      <c r="C46" s="17"/>
      <c r="E46" s="17"/>
    </row>
    <row r="47" spans="1:7" x14ac:dyDescent="0.75">
      <c r="B47" s="17"/>
      <c r="C47" s="17"/>
      <c r="E47" s="17"/>
    </row>
    <row r="48" spans="1:7" x14ac:dyDescent="0.75">
      <c r="B48" s="17"/>
      <c r="C48" s="17"/>
      <c r="E48" s="17"/>
    </row>
    <row r="49" spans="2:5" x14ac:dyDescent="0.75">
      <c r="B49" s="17"/>
      <c r="C49" s="17"/>
      <c r="E49" s="17"/>
    </row>
    <row r="50" spans="2:5" x14ac:dyDescent="0.75">
      <c r="B50" s="17"/>
      <c r="C50" s="17"/>
      <c r="E50" s="17"/>
    </row>
    <row r="51" spans="2:5" x14ac:dyDescent="0.75">
      <c r="B51" s="17"/>
      <c r="C51" s="17"/>
      <c r="E51" s="17"/>
    </row>
    <row r="52" spans="2:5" x14ac:dyDescent="0.75">
      <c r="B52" s="17"/>
      <c r="C52" s="17"/>
      <c r="E52" s="17"/>
    </row>
    <row r="53" spans="2:5" x14ac:dyDescent="0.75">
      <c r="B53" s="17"/>
      <c r="C53" s="17"/>
      <c r="E53" s="17"/>
    </row>
    <row r="54" spans="2:5" x14ac:dyDescent="0.75">
      <c r="B54" s="17"/>
      <c r="C54" s="17"/>
      <c r="E54" s="17"/>
    </row>
    <row r="55" spans="2:5" x14ac:dyDescent="0.75">
      <c r="B55" s="17"/>
      <c r="C55" s="17"/>
      <c r="E55" s="17"/>
    </row>
    <row r="56" spans="2:5" x14ac:dyDescent="0.75">
      <c r="B56" s="17"/>
      <c r="C56" s="17"/>
      <c r="E56" s="17"/>
    </row>
    <row r="57" spans="2:5" x14ac:dyDescent="0.75">
      <c r="B57" s="17"/>
      <c r="C57" s="17"/>
      <c r="E57" s="17"/>
    </row>
    <row r="58" spans="2:5" x14ac:dyDescent="0.75">
      <c r="E58" s="17"/>
    </row>
    <row r="59" spans="2:5" x14ac:dyDescent="0.75">
      <c r="E59" s="17"/>
    </row>
    <row r="60" spans="2:5" x14ac:dyDescent="0.75">
      <c r="E60" s="17"/>
    </row>
    <row r="61" spans="2:5" x14ac:dyDescent="0.75">
      <c r="E61" s="1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AD3A-A15A-4408-9553-F45A06E471D8}">
  <sheetPr codeName="Foglio19">
    <tabColor theme="9" tint="0.39997558519241921"/>
  </sheetPr>
  <dimension ref="C1:G66"/>
  <sheetViews>
    <sheetView tabSelected="1" workbookViewId="0">
      <selection activeCell="C59" sqref="C59"/>
    </sheetView>
  </sheetViews>
  <sheetFormatPr defaultRowHeight="14.75" x14ac:dyDescent="0.75"/>
  <cols>
    <col min="3" max="3" width="108.2265625" style="17" customWidth="1"/>
    <col min="7" max="7" width="33.26953125" customWidth="1"/>
  </cols>
  <sheetData>
    <row r="1" spans="3:7" ht="15.5" thickBot="1" x14ac:dyDescent="0.9">
      <c r="C1" s="34" t="str">
        <f>Flt!I1</f>
        <v>// -------------------------------------------------------------------------------</v>
      </c>
    </row>
    <row r="2" spans="3:7" ht="16.75" thickBot="1" x14ac:dyDescent="0.9">
      <c r="C2" s="35" t="str">
        <f>Flt!I2</f>
        <v>//  Logical Model</v>
      </c>
      <c r="G2" s="92" t="str">
        <f>"pcsp-"&amp;Flt!B5&amp;".fsh"</f>
        <v>pcsp-FrontLineTreatment.fsh</v>
      </c>
    </row>
    <row r="3" spans="3:7" x14ac:dyDescent="0.75">
      <c r="C3" s="35" t="str">
        <f>Flt!I3</f>
        <v>// -------------------------------------------------------------------------------</v>
      </c>
    </row>
    <row r="4" spans="3:7" x14ac:dyDescent="0.75">
      <c r="C4" s="27" t="str">
        <f>Flt!I4</f>
        <v>Logical: FrontLineTreatment</v>
      </c>
    </row>
    <row r="5" spans="3:7" x14ac:dyDescent="0.75">
      <c r="C5" s="27" t="str">
        <f>Flt!I5</f>
        <v>Id: FrontLineTreatment</v>
      </c>
    </row>
    <row r="6" spans="3:7" x14ac:dyDescent="0.75">
      <c r="C6" s="27" t="str">
        <f>Flt!I6</f>
        <v>Title: ##34#Front Line Treatment##34#</v>
      </c>
    </row>
    <row r="7" spans="3:7" ht="73.75" x14ac:dyDescent="0.75">
      <c r="C7" s="27" t="str">
        <f>Flt!I7</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3:7" x14ac:dyDescent="0.75">
      <c r="C8" s="17" t="str">
        <f>IF(Flt!I8="*  ..  ##34###34# ##334###334#","//--- END",Flt!I8)</f>
        <v>* followedProtocol 0..* BackboneElement ##34#Followed Protocol##34# ##334#Followed Protocol##334#</v>
      </c>
    </row>
    <row r="9" spans="3:7" ht="59" x14ac:dyDescent="0.75">
      <c r="C9" s="17" t="str">
        <f>IF(Flt!I9="*  ..  ##34###34# ##334###334#","//--- END",Flt!I9)</f>
        <v>* followedProtocol.type 0..1 CodeableConcept ##34#Protocole type##34# ##334#2 =&gt; Trial/protocol
2 =&gt; Personalized
3 =&gt; Guidelines
-9922 =&gt; NK##334#</v>
      </c>
    </row>
    <row r="10" spans="3:7" x14ac:dyDescent="0.75">
      <c r="C10" s="17" t="str">
        <f>IF(Flt!I10="*  ..  ##34###34# ##334###334#","//--- END",Flt!I10)</f>
        <v>* followedProtocol.name 0..1 string ##34#Protocole name##34# ##334#Protocole name##334#</v>
      </c>
    </row>
    <row r="11" spans="3:7" ht="73.75" x14ac:dyDescent="0.75">
      <c r="C11" s="17" t="str">
        <f>IF(Flt!I11="*  ..  ##34###34# ##334###334#","//--- END",Flt!I11)</f>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3:7" ht="29.5" x14ac:dyDescent="0.75">
      <c r="C12" s="17" t="str">
        <f>IF(Flt!I12="*  ..  ##34###34# ##334###334#","//--- END",Flt!I12)</f>
        <v>* followedProtocol.arm 0..1 string ##34#Group/Arm/Randomization##34# ##334#If the trial was randomized, please define randomization arm##334#</v>
      </c>
    </row>
    <row r="13" spans="3:7" ht="44.25" x14ac:dyDescent="0.75">
      <c r="C13" s="17" t="str">
        <f>IF(Flt!I13="*  ..  ##34###34# ##334###334#","//--- END",Flt!I13)</f>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3:7" x14ac:dyDescent="0.75">
      <c r="C14" s="17" t="str">
        <f>IF(Flt!I14="*  ..  ##34###34# ##334###334#","//--- END",Flt!I14)</f>
        <v>* isChemotherapy 0..1 CodeableConcept ##34#Chemotherapy ?##34# ##334#Chemotherapy ?##334#</v>
      </c>
    </row>
    <row r="15" spans="3:7" ht="29.5" x14ac:dyDescent="0.75">
      <c r="C15" s="17" t="str">
        <f>IF(Flt!I15="*  ..  ##34###34# ##334###334#","//--- END",Flt!I15)</f>
        <v>* isStemCellTransplantation 0..1 CodeableConcept ##34#Stem Cell transplantation ?##34# ##334#Stem Cell transplantation ?##334#</v>
      </c>
    </row>
    <row r="16" spans="3:7" x14ac:dyDescent="0.75">
      <c r="C16" s="17" t="str">
        <f>IF(Flt!I16="*  ..  ##34###34# ##334###334#","//--- END",Flt!I16)</f>
        <v>* isRadiotherapy 0..1 CodeableConcept ##34#Radiotherapy ?##34# ##334#Radiotherapy ?##334#</v>
      </c>
    </row>
    <row r="17" spans="3:3" x14ac:dyDescent="0.75">
      <c r="C17" s="17" t="str">
        <f>IF(Flt!I17="*  ..  ##34###34# ##334###334#","//--- END",Flt!I17)</f>
        <v>* isMajorSurgery 0..1 CodeableConcept ##34#Major Surgery ?##34# ##334#Major Surgery ?##334#</v>
      </c>
    </row>
    <row r="18" spans="3:3" ht="29.5" x14ac:dyDescent="0.75">
      <c r="C18" s="17" t="str">
        <f>IF(Flt!I18="*  ..  ##34###34# ##334###334#","//--- END",Flt!I18)</f>
        <v>* notForRelapse 0..1 BackboneElement ##34#Details not provided for relapses after EOT##34# ##334#Details not provided for relapses after EOT##334#</v>
      </c>
    </row>
    <row r="19" spans="3:3" x14ac:dyDescent="0.75">
      <c r="C19" s="17" t="str">
        <f>IF(Flt!I19="*  ..  ##34###34# ##334###334#","//--- END",Flt!I19)</f>
        <v>* notForRelapse.completeRemission 0..1 BackboneElement ##34#Complete remission##34# ##334#Complete remission##334#</v>
      </c>
    </row>
    <row r="20" spans="3:3" ht="29.5" x14ac:dyDescent="0.75">
      <c r="C20" s="17" t="str">
        <f>IF(Flt!I20="*  ..  ##34###34# ##334###334#","//--- END",Flt!I20)</f>
        <v>* notForRelapse.completeRemission.status 1..1 dateTime ##34#Complete remission (Yes/No)##34# ##334#Complete remission (Yes/No)##334#</v>
      </c>
    </row>
    <row r="21" spans="3:3" ht="29.5" x14ac:dyDescent="0.75">
      <c r="C21" s="17" t="str">
        <f>IF(Flt!I21="*  ..  ##34###34# ##334###334#","//--- END",Flt!I21)</f>
        <v>* notForRelapse.completeRemission.description 1..1 CodeableConcept ##34#Textual description in case of no remission##34# ##334#Textual description in case of no remission##334#</v>
      </c>
    </row>
    <row r="22" spans="3:3" ht="29.5" x14ac:dyDescent="0.75">
      <c r="C22" s="17" t="str">
        <f>IF(Flt!I22="*  ..  ##34###34# ##334###334#","//--- END",Flt!I22)</f>
        <v>* notForRelapse.isProgressionRelapseDuringFLT 0..1 CodeableConcept ##34#Progression/relapse during frontline treatment ?##34# ##334#Progression/relapse during frontline treatment ?##334#</v>
      </c>
    </row>
    <row r="23" spans="3:3" ht="29.5" x14ac:dyDescent="0.75">
      <c r="C23" s="17" t="str">
        <f>IF(Flt!I23="*  ..  ##34###34# ##334###334#","//--- END",Flt!I23)</f>
        <v>* notForRelapse.isProgressionRelapseAfterFLT 0..1 CodeableConcept ##34#Progression/relapse after first elective end of treatment ?##34# ##334#Progression/relapse after first elective end of treatment ?##334#</v>
      </c>
    </row>
    <row r="24" spans="3:3" x14ac:dyDescent="0.75">
      <c r="C24" s="17" t="str">
        <f>IF(Flt!I24="*  ..  ##34###34# ##334###334#","//--- END",Flt!I24)</f>
        <v>//--- END</v>
      </c>
    </row>
    <row r="25" spans="3:3" x14ac:dyDescent="0.75">
      <c r="C25" s="17" t="str">
        <f>IF(Flt!I25="*  ..  ##34###34# ##334###334#","//--- END",Flt!I25)</f>
        <v>//--- END</v>
      </c>
    </row>
    <row r="26" spans="3:3" x14ac:dyDescent="0.75">
      <c r="C26" s="17" t="str">
        <f>IF(Flt!I26="*  ..  ##34###34# ##334###334#","//--- END",Flt!I26)</f>
        <v>//--- END</v>
      </c>
    </row>
    <row r="29" spans="3:3" x14ac:dyDescent="0.75">
      <c r="C29" s="34" t="str">
        <f>'Flt-Map'!E1</f>
        <v>// -------------------------------------------------------------------------------</v>
      </c>
    </row>
    <row r="30" spans="3:3" x14ac:dyDescent="0.75">
      <c r="C30" s="35" t="str">
        <f>'Flt-Map'!E2</f>
        <v>//  Map to FHIR R4</v>
      </c>
    </row>
    <row r="31" spans="3:3" x14ac:dyDescent="0.75">
      <c r="C31" s="35" t="str">
        <f>'Flt-Map'!E3</f>
        <v>// -------------------------------------------------------------------------------</v>
      </c>
    </row>
    <row r="32" spans="3:3" x14ac:dyDescent="0.75">
      <c r="C32" s="17" t="str">
        <f>'Flt-Map'!E4</f>
        <v>Mapping: Flt2Fhir</v>
      </c>
    </row>
    <row r="33" spans="3:3" x14ac:dyDescent="0.75">
      <c r="C33" s="17" t="str">
        <f>'Flt-Map'!E5</f>
        <v>Id: fhir</v>
      </c>
    </row>
    <row r="34" spans="3:3" x14ac:dyDescent="0.75">
      <c r="C34" s="17" t="str">
        <f>'Flt-Map'!E6</f>
        <v>Title: ##34#FrontLineTreatment model to PCSP HL7 FHIR R4 Profiles##34#</v>
      </c>
    </row>
    <row r="35" spans="3:3" x14ac:dyDescent="0.75">
      <c r="C35" s="17" t="str">
        <f>'Flt-Map'!E7</f>
        <v>Source: FrontLineTreatment</v>
      </c>
    </row>
    <row r="36" spans="3:3" x14ac:dyDescent="0.75">
      <c r="C36" s="17" t="str">
        <f>'Flt-Map'!E8</f>
        <v>Target: ##34#hl7.org/fhir/r4##34#</v>
      </c>
    </row>
    <row r="38" spans="3:3" x14ac:dyDescent="0.75">
      <c r="C38" s="17" t="str">
        <f>IF('Flt-Map'!E9="*  -&gt; ##34###34#","// --END",'Flt-Map'!E9)</f>
        <v>* . -&gt; ##34#Procedure.conformsTo('http://hl7.eu/fhir/ig/pcsp/StructureDefinition/Procedure-flt-eu-pcsp')##34#</v>
      </c>
    </row>
    <row r="39" spans="3:3" x14ac:dyDescent="0.75">
      <c r="C39" s="17" t="str">
        <f>IF('Flt-Map'!E10="*  -&gt; ##34###34#","// --END",'Flt-Map'!E10)</f>
        <v>* followedProtocol -&gt; ##34#.instantiatesCanonical##34#</v>
      </c>
    </row>
    <row r="40" spans="3:3" ht="29.5" x14ac:dyDescent="0.75">
      <c r="C40" s="17" t="str">
        <f>IF('Flt-Map'!E11="*  -&gt; ##34###34#","// --END",'Flt-Map'!E11)</f>
        <v>* followedProtocol -&gt; ##34#PlanDefinition.conformsTo('http://hl7.eu/fhir/ig/pcsp/StructureDefinition/PlanDefinition-flt-eu-pcsp')##34#</v>
      </c>
    </row>
    <row r="41" spans="3:3" x14ac:dyDescent="0.75">
      <c r="C41" s="17" t="str">
        <f>IF('Flt-Map'!E12="*  -&gt; ##34###34#","// --END",'Flt-Map'!E12)</f>
        <v>* followedProtocol.type -&gt; ##34#.type##34#</v>
      </c>
    </row>
    <row r="42" spans="3:3" x14ac:dyDescent="0.75">
      <c r="C42" s="17" t="str">
        <f>IF('Flt-Map'!E13="*  -&gt; ##34###34#","// --END",'Flt-Map'!E13)</f>
        <v>* followedProtocol.name -&gt; ##34#.title##34#</v>
      </c>
    </row>
    <row r="43" spans="3:3" x14ac:dyDescent="0.75">
      <c r="C43" s="17" t="str">
        <f>IF('Flt-Map'!E14="*  -&gt; ##34###34#","// --END",'Flt-Map'!E14)</f>
        <v>* followedProtocol.description -&gt; ##34#.description##34#</v>
      </c>
    </row>
    <row r="44" spans="3:3" x14ac:dyDescent="0.75">
      <c r="C44" s="17" t="str">
        <f>IF('Flt-Map'!E15="*  -&gt; ##34###34#","// --END",'Flt-Map'!E15)</f>
        <v>* followedProtocol.arm -&gt; ##34#.extension('http://hl7.eu/fhir/ig/pcsp/StructureDefinition/procedure-fltArm').valueString##34#</v>
      </c>
    </row>
    <row r="45" spans="3:3" x14ac:dyDescent="0.75">
      <c r="C45" s="17" t="str">
        <f>IF('Flt-Map'!E16="*  -&gt; ##34###34#","// --END",'Flt-Map'!E16)</f>
        <v>* dateEOT -&gt; ##34#Procedure.performedPeriod.end##34#</v>
      </c>
    </row>
    <row r="46" spans="3:3" ht="44.25" x14ac:dyDescent="0.75">
      <c r="C46" s="17" t="str">
        <f>IF('Flt-Map'!E17="*  -&gt; ##34###34#","// --END",'Flt-Map'!E17)</f>
        <v>* isChemotherapy -&gt; ##34#MedicationAdministration.conformsTo('http://hl7.eu/fhir/ig/pcsp/StructureDefinition/MedicationAdministration-eu-pcsp').exists()##34#</v>
      </c>
    </row>
    <row r="47" spans="3:3" ht="29.5" x14ac:dyDescent="0.75">
      <c r="C47" s="17" t="str">
        <f>IF('Flt-Map'!E18="*  -&gt; ##34###34#","// --END",'Flt-Map'!E18)</f>
        <v>* isStemCellTransplantation -&gt; ##34#Procedure.conformsTo('http://hl7.eu/fhir/ig/pcsp/StructureDefinition/Procedure-sct-eu-pcsp').exists()##34#</v>
      </c>
    </row>
    <row r="48" spans="3:3" ht="29.5" x14ac:dyDescent="0.75">
      <c r="C48" s="17" t="str">
        <f>IF('Flt-Map'!E19="*  -&gt; ##34###34#","// --END",'Flt-Map'!E19)</f>
        <v>* isRadiotherapy -&gt; ##34#Procedure.conformsTo('http://hl7.eu/fhir/ig/pcsp/StructureDefinition/Procedure-radiotheraphy-eu-pcsp').exists()##34#</v>
      </c>
    </row>
    <row r="49" spans="3:3" ht="29.5" x14ac:dyDescent="0.75">
      <c r="C49" s="17" t="str">
        <f>IF('Flt-Map'!E20="*  -&gt; ##34###34#","// --END",'Flt-Map'!E20)</f>
        <v>* isMajorSurgery -&gt; ##34#Procedure.conformsTo('http://hl7.eu/fhir/ig/pcsp/StructureDefinition/Procedure-surgery-eu-pcsp').exists().not() [No Case, implicit]##34#</v>
      </c>
    </row>
    <row r="50" spans="3:3" ht="29.5" x14ac:dyDescent="0.75">
      <c r="C50" s="17" t="str">
        <f>IF('Flt-Map'!E21="*  -&gt; ##34###34#","// --END",'Flt-Map'!E21)</f>
        <v>* isMajorSurgery -&gt; ##34#Procedure.conformsTo('http://hl7.eu/fhir/ig/pcsp/StructureDefinition/Procedure-surgery-eu-pcsp')..where(code = 'no-known-procedures').exists() [No Case, explicit]##34#</v>
      </c>
    </row>
    <row r="51" spans="3:3" ht="29.5" x14ac:dyDescent="0.75">
      <c r="C51" s="17" t="str">
        <f>IF('Flt-Map'!E22="*  -&gt; ##34###34#","// --END",'Flt-Map'!E22)</f>
        <v>* isMajorSurgery -&gt; ##34#Procedure.conformsTo('http://hl7.eu/fhir/ig/pcsp/StructureDefinition/Procedure-surgery-eu-pcsp').where(code != 'no-known-procedures' or code != 'no-procedure-info').exists() [Yes Case]##34#</v>
      </c>
    </row>
    <row r="52" spans="3:3" ht="29.5" x14ac:dyDescent="0.75">
      <c r="C52" s="17" t="str">
        <f>IF('Flt-Map'!E23="*  -&gt; ##34###34#","// --END",'Flt-Map'!E23)</f>
        <v>* isMajorSurgery -&gt; ##34#Procedure.conformsTo('http://hl7.eu/fhir/ig/pcsp/StructureDefinition/Procedure-surgery-eu-pcsp').where(code = 'no-procedure-info').exists() [Unk case]##34#</v>
      </c>
    </row>
    <row r="53" spans="3:3" x14ac:dyDescent="0.75">
      <c r="C53" s="17" t="str">
        <f>IF('Flt-Map'!E24="*  -&gt; ##34###34#","// --END",'Flt-Map'!E24)</f>
        <v>// no map</v>
      </c>
    </row>
    <row r="54" spans="3:3" x14ac:dyDescent="0.75">
      <c r="C54" s="17" t="str">
        <f>IF('Flt-Map'!E25="*  -&gt; ##34###34#","// --END",'Flt-Map'!E25)</f>
        <v>* notForRelapse.completeRemission -&gt; ##34#outcome##34#</v>
      </c>
    </row>
    <row r="55" spans="3:3" x14ac:dyDescent="0.75">
      <c r="C55" s="17" t="str">
        <f>IF('Flt-Map'!E26="*  -&gt; ##34###34#","// --END",'Flt-Map'!E26)</f>
        <v>* notForRelapse.completeRemission.status -&gt; ##34#outcome.coding##34#</v>
      </c>
    </row>
    <row r="56" spans="3:3" x14ac:dyDescent="0.75">
      <c r="C56" s="17" t="str">
        <f>IF('Flt-Map'!E27="*  -&gt; ##34###34#","// --END",'Flt-Map'!E27)</f>
        <v>* notForRelapse.completeRemission.description -&gt; ##34#outcome.text##34#</v>
      </c>
    </row>
    <row r="57" spans="3:3" ht="73.75" x14ac:dyDescent="0.75">
      <c r="C57" s="17" t="str">
        <f>IF('Flt-Map'!E28="*  -&gt; ##34###34#","// --END",'Flt-Map'!E28)</f>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row>
    <row r="58" spans="3:3" ht="73.75" x14ac:dyDescent="0.75">
      <c r="C58" s="17" t="str">
        <f>IF('Flt-Map'!E29="*  -&gt; ##34###34#","// --END",'Flt-Map'!E29)</f>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row>
    <row r="59" spans="3:3" x14ac:dyDescent="0.75">
      <c r="C59" s="17" t="str">
        <f>IF('Flt-Map'!E30="*  -&gt; ##34###34#","// --END",'Flt-Map'!E30)</f>
        <v>// --END</v>
      </c>
    </row>
    <row r="60" spans="3:3" x14ac:dyDescent="0.75">
      <c r="C60" s="17" t="str">
        <f>IF('Flt-Map'!E31="*  -&gt; ##34###34#","// --END",'Flt-Map'!E31)</f>
        <v>// --END</v>
      </c>
    </row>
    <row r="61" spans="3:3" x14ac:dyDescent="0.75">
      <c r="C61" s="17" t="str">
        <f>IF('Flt-Map'!E32="*  -&gt; ##34###34#","// --END",'Flt-Map'!E32)</f>
        <v>// --END</v>
      </c>
    </row>
    <row r="62" spans="3:3" x14ac:dyDescent="0.75">
      <c r="C62" s="17" t="str">
        <f>IF('Flt-Map'!E33="*  -&gt; ##34###34#","// --END",'Flt-Map'!E33)</f>
        <v>// --END</v>
      </c>
    </row>
    <row r="63" spans="3:3" x14ac:dyDescent="0.75">
      <c r="C63" s="17" t="str">
        <f>IF('Flt-Map'!E34="*  -&gt; ##34###34#","// --END",'Flt-Map'!E34)</f>
        <v>// --END</v>
      </c>
    </row>
    <row r="64" spans="3:3" x14ac:dyDescent="0.75">
      <c r="C64" s="17" t="str">
        <f>IF('Flt-Map'!E35="*  -&gt; ##34###34#","// --END",'Flt-Map'!E35)</f>
        <v>// --END</v>
      </c>
    </row>
    <row r="65" spans="3:3" x14ac:dyDescent="0.75">
      <c r="C65" s="17" t="str">
        <f>IF('Flt-Map'!E36="*  -&gt; ##34###34#","// --END",'Flt-Map'!E36)</f>
        <v>// --END</v>
      </c>
    </row>
    <row r="66" spans="3:3" x14ac:dyDescent="0.75">
      <c r="C66" s="17" t="str">
        <f>IF('Flt-Map'!E37="*  -&gt; ##34###34#","// --END",'Flt-Map'!E37)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179C7-D5A6-410F-8240-B7B7DDCFF48A}">
  <sheetPr codeName="Foglio50">
    <tabColor theme="4" tint="0.59999389629810485"/>
  </sheetPr>
  <dimension ref="A1:L19"/>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RelapseDuringFLT</v>
      </c>
      <c r="I4" s="27" t="str">
        <f>CONCATENATE("Logical: ",B4)</f>
        <v>Logical: RelapseDuringFLT</v>
      </c>
    </row>
    <row r="5" spans="1:11" ht="15.5" thickBot="1" x14ac:dyDescent="0.9">
      <c r="A5" s="22" t="s">
        <v>76</v>
      </c>
      <c r="B5" s="87" t="s">
        <v>1490</v>
      </c>
      <c r="I5" s="27" t="str">
        <f>CONCATENATE("Id: ",B5)</f>
        <v>Id: RelapseDuringFLT</v>
      </c>
    </row>
    <row r="6" spans="1:11" x14ac:dyDescent="0.75">
      <c r="A6" s="22" t="s">
        <v>11</v>
      </c>
      <c r="B6" t="s">
        <v>20</v>
      </c>
      <c r="I6" s="28" t="str">
        <f>CONCATENATE("Title: ##34#",B6,"##34#")</f>
        <v>Title: ##34#Progression-Relapse during FLT##34#</v>
      </c>
    </row>
    <row r="7" spans="1:11" ht="30.25" thickBot="1" x14ac:dyDescent="0.9">
      <c r="A7" s="23" t="s">
        <v>4</v>
      </c>
      <c r="B7" t="s">
        <v>1489</v>
      </c>
      <c r="C7" s="12" t="s">
        <v>5</v>
      </c>
      <c r="D7" s="2" t="s">
        <v>6</v>
      </c>
      <c r="E7" s="3" t="s">
        <v>7</v>
      </c>
      <c r="F7" s="3" t="s">
        <v>8</v>
      </c>
      <c r="G7" s="3" t="s">
        <v>9</v>
      </c>
      <c r="I7" s="28" t="str">
        <f>CONCATENATE("Description: "," ##334#",B7,"##334#",)</f>
        <v>Description:  ##334#Progression-Relapse during FLT
Maturity Level: 2 - Ready for Review##334#</v>
      </c>
    </row>
    <row r="8" spans="1:11" ht="44.25" x14ac:dyDescent="0.75">
      <c r="A8" s="8">
        <v>1</v>
      </c>
      <c r="B8" s="8" t="s">
        <v>12</v>
      </c>
      <c r="C8" s="17" t="s">
        <v>1491</v>
      </c>
      <c r="D8" s="17" t="s">
        <v>1491</v>
      </c>
      <c r="E8" s="8">
        <v>0</v>
      </c>
      <c r="F8" s="8">
        <v>1</v>
      </c>
      <c r="G8" s="8" t="s">
        <v>0</v>
      </c>
      <c r="H8" s="25"/>
      <c r="I8" s="17" t="str">
        <f>CONCATENATE("* ",B8, " ",E8,"..",F8," ",G8," ##34#",C8,"##34# ##334#",D8,"##334#")</f>
        <v>* identifier 0..1 Identifier ##34#Progression-Relapse during FLT identifier##34# ##334#Progression-Relapse during FLT identifier##334#</v>
      </c>
    </row>
    <row r="9" spans="1:11" ht="44.25" x14ac:dyDescent="0.75">
      <c r="A9" s="8">
        <v>2</v>
      </c>
      <c r="B9" s="11" t="s">
        <v>72</v>
      </c>
      <c r="C9" s="20" t="s">
        <v>1492</v>
      </c>
      <c r="D9" s="17" t="s">
        <v>1492</v>
      </c>
      <c r="E9" s="8">
        <v>0</v>
      </c>
      <c r="F9" s="8">
        <v>1</v>
      </c>
      <c r="G9" s="8" t="s">
        <v>0</v>
      </c>
      <c r="H9" s="25"/>
      <c r="I9" s="17" t="str">
        <f t="shared" ref="I9:I19" si="0">CONCATENATE("* ",B9, " ",E9,"..",F9," ",G9," ##34#",C9,"##34# ##334#",D9,"##334#")</f>
        <v>* relatedDiagnosis 0..1 Identifier ##34#Related diagnosis identifier##34# ##334#Related diagnosis identifier##334#</v>
      </c>
    </row>
    <row r="10" spans="1:11" ht="44.25" x14ac:dyDescent="0.75">
      <c r="A10" s="8">
        <v>3</v>
      </c>
      <c r="B10" s="11" t="s">
        <v>3</v>
      </c>
      <c r="C10" s="20" t="s">
        <v>1493</v>
      </c>
      <c r="D10" s="17" t="s">
        <v>691</v>
      </c>
      <c r="E10" s="8">
        <v>0</v>
      </c>
      <c r="F10" s="8">
        <v>1</v>
      </c>
      <c r="G10" s="8" t="s">
        <v>906</v>
      </c>
      <c r="H10" s="25"/>
      <c r="I10" s="17" t="str">
        <f t="shared" si="0"/>
        <v>* date 0..1 dateTime ##34#Date##34# ##334#Report the date of the event in DD/MM/YYYY format. If the date is unkown or partially missed insert the year at the best of your knowledge.##334#</v>
      </c>
    </row>
    <row r="11" spans="1:11" ht="59" x14ac:dyDescent="0.75">
      <c r="A11" s="8">
        <v>4</v>
      </c>
      <c r="B11" s="11" t="s">
        <v>16</v>
      </c>
      <c r="C11" s="20" t="s">
        <v>827</v>
      </c>
      <c r="D11" s="17" t="s">
        <v>1494</v>
      </c>
      <c r="E11" s="8">
        <v>0</v>
      </c>
      <c r="F11" s="8">
        <v>1</v>
      </c>
      <c r="G11" s="8" t="s">
        <v>1</v>
      </c>
      <c r="H11" s="25"/>
      <c r="I11" s="17" t="str">
        <f t="shared" si="0"/>
        <v>* type 0..1 CodeableConcept ##34#relapse | progression##34# ##334#The type of event should be reported
1 =&gt; Relapse
2 =&gt; Progression 
-9922= NK##334#</v>
      </c>
    </row>
    <row r="12" spans="1:11" ht="44.25" x14ac:dyDescent="0.75">
      <c r="A12" s="8">
        <v>5</v>
      </c>
      <c r="B12" s="20" t="s">
        <v>1495</v>
      </c>
      <c r="C12" s="20" t="s">
        <v>829</v>
      </c>
      <c r="D12" s="17" t="s">
        <v>1496</v>
      </c>
      <c r="E12" s="8">
        <v>0</v>
      </c>
      <c r="F12" s="8">
        <v>1</v>
      </c>
      <c r="G12" s="8" t="s">
        <v>1</v>
      </c>
      <c r="H12" s="25"/>
      <c r="I12" s="17" t="str">
        <f t="shared" si="0"/>
        <v>* qualifier 0..1 CodeableConcept ##34#local | distant | combined##34# ##334#Please state if the relapse or progression was local, distant,  combined or unk##334#</v>
      </c>
    </row>
    <row r="13" spans="1:11" ht="29.5" x14ac:dyDescent="0.75">
      <c r="A13" s="8">
        <v>6</v>
      </c>
      <c r="B13" s="20" t="s">
        <v>71</v>
      </c>
      <c r="C13" s="20" t="s">
        <v>697</v>
      </c>
      <c r="D13" s="17" t="s">
        <v>1497</v>
      </c>
      <c r="E13" s="8">
        <v>0</v>
      </c>
      <c r="F13" s="8">
        <v>1</v>
      </c>
      <c r="G13" s="8" t="s">
        <v>2</v>
      </c>
      <c r="H13" s="25"/>
      <c r="I13" s="17" t="str">
        <f t="shared" si="0"/>
        <v>* site 0..1 string ##34#If distant, site of metastases##34# ##334#If distant or comobined, specify site  (text)##334#</v>
      </c>
    </row>
    <row r="14" spans="1:11" x14ac:dyDescent="0.75">
      <c r="A14" s="8">
        <v>7</v>
      </c>
      <c r="B14" s="17"/>
      <c r="C14" s="17"/>
      <c r="D14" s="17"/>
      <c r="E14" s="8"/>
      <c r="F14" s="8"/>
      <c r="G14" s="8"/>
      <c r="H14" s="25"/>
      <c r="I14" s="17" t="str">
        <f t="shared" si="0"/>
        <v>*  ..  ##34###34# ##334###334#</v>
      </c>
    </row>
    <row r="15" spans="1:11" x14ac:dyDescent="0.75">
      <c r="A15" s="8">
        <v>8</v>
      </c>
      <c r="B15" s="17"/>
      <c r="C15" s="17"/>
      <c r="D15" s="17"/>
      <c r="E15" s="8"/>
      <c r="F15" s="8"/>
      <c r="G15" s="8"/>
      <c r="H15" s="25"/>
      <c r="I15" s="17" t="str">
        <f t="shared" si="0"/>
        <v>*  ..  ##34###34# ##334###334#</v>
      </c>
      <c r="J15" s="21"/>
      <c r="K15" s="8"/>
    </row>
    <row r="16" spans="1:11" x14ac:dyDescent="0.75">
      <c r="A16" s="8">
        <v>9</v>
      </c>
      <c r="B16" s="17"/>
      <c r="C16" s="17"/>
      <c r="D16" s="17"/>
      <c r="E16" s="8"/>
      <c r="F16" s="8"/>
      <c r="G16" s="8"/>
      <c r="I16" s="17" t="str">
        <f t="shared" si="0"/>
        <v>*  ..  ##34###34# ##334###334#</v>
      </c>
    </row>
    <row r="17" spans="1:9" x14ac:dyDescent="0.75">
      <c r="A17" s="8">
        <v>10</v>
      </c>
      <c r="B17" s="17"/>
      <c r="C17" s="17"/>
      <c r="D17" s="17"/>
      <c r="E17" s="8"/>
      <c r="F17" s="8"/>
      <c r="G17" s="8"/>
      <c r="I17" s="17" t="str">
        <f t="shared" si="0"/>
        <v>*  ..  ##34###34# ##334###334#</v>
      </c>
    </row>
    <row r="18" spans="1:9" x14ac:dyDescent="0.75">
      <c r="A18" s="8">
        <v>11</v>
      </c>
      <c r="B18" s="17"/>
      <c r="C18" s="17"/>
      <c r="D18" s="17"/>
      <c r="E18" s="8"/>
      <c r="F18" s="8"/>
      <c r="G18" s="8"/>
      <c r="I18" s="17" t="str">
        <f t="shared" si="0"/>
        <v>*  ..  ##34###34# ##334###334#</v>
      </c>
    </row>
    <row r="19" spans="1:9" x14ac:dyDescent="0.75">
      <c r="A19" s="8">
        <v>12</v>
      </c>
      <c r="B19" s="17"/>
      <c r="C19" s="17"/>
      <c r="D19" s="17"/>
      <c r="E19" s="8"/>
      <c r="F19" s="8"/>
      <c r="G19" s="8"/>
      <c r="I19" s="17" t="str">
        <f t="shared" si="0"/>
        <v>*  ..  ##34###34# ##334###334#</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F934C-E0C4-4FE3-8D82-8B26A15479C0}">
  <sheetPr codeName="Foglio51"/>
  <dimension ref="A1:O26"/>
  <sheetViews>
    <sheetView topLeftCell="A2" workbookViewId="0">
      <selection activeCell="C4" sqref="C4"/>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14.6796875" bestFit="1" customWidth="1"/>
    <col min="9" max="9" width="46.36328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tr">
        <f>C7&amp;"2Fhir"</f>
        <v>RelapseDuringFLT2Fhir</v>
      </c>
      <c r="E4" s="30" t="str">
        <f>CONCATENATE("Mapping: ",C4)</f>
        <v>Mapping: RelapseDuringFLT2Fhir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RelapseDuringFLT model to PCSP HL7 FHIR R4 Profiles</v>
      </c>
      <c r="E6" s="31" t="str">
        <f>CONCATENATE("Title: ##34#",C6,"##34#")</f>
        <v>Title: ##34#RelapseDuringFLT model to PCSP HL7 FHIR R4 Profiles##34#</v>
      </c>
      <c r="G6" s="1"/>
      <c r="H6" s="9"/>
      <c r="I6" s="9"/>
      <c r="J6" s="9"/>
      <c r="K6" s="9"/>
      <c r="L6" s="9"/>
      <c r="M6" s="9"/>
      <c r="N6" s="9"/>
      <c r="O6" s="9"/>
    </row>
    <row r="7" spans="1:15" ht="15.5" thickBot="1" x14ac:dyDescent="0.9">
      <c r="B7" s="94" t="s">
        <v>78</v>
      </c>
      <c r="C7" s="91" t="str">
        <f>B9</f>
        <v>RelapseDuringFLT</v>
      </c>
      <c r="E7" s="31" t="str">
        <f>CONCATENATE("Source: ",C7)</f>
        <v>Source: RelapseDuringFLT</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88.5" x14ac:dyDescent="0.75">
      <c r="A9" s="8"/>
      <c r="B9" s="4" t="str">
        <f>RelFlt!B5</f>
        <v>RelapseDuringFLT</v>
      </c>
      <c r="C9" s="4" t="s">
        <v>1498</v>
      </c>
      <c r="E9" s="4" t="str">
        <f>CONCATENATE("* . -&gt; ##34#",C9,"##34#")</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H9" s="9"/>
      <c r="I9" s="9"/>
      <c r="J9" s="9"/>
      <c r="K9" s="9"/>
      <c r="L9" s="9"/>
      <c r="M9" s="9"/>
      <c r="N9" s="9"/>
      <c r="O9" s="9"/>
    </row>
    <row r="10" spans="1:15" x14ac:dyDescent="0.75">
      <c r="A10" s="8"/>
      <c r="B10" s="17" t="str">
        <f>RelFlt!B8</f>
        <v>identifier</v>
      </c>
      <c r="C10" s="11" t="s">
        <v>74</v>
      </c>
      <c r="E10" s="17" t="str">
        <f>CONCATENATE("* ",B10," -&gt; ##34#",C10,"##34#")</f>
        <v>* identifier -&gt; ##34#.identifier##34#</v>
      </c>
      <c r="G10" t="b">
        <f>IF(B10=H10,TRUE, FALSE)</f>
        <v>1</v>
      </c>
      <c r="H10" s="8" t="s">
        <v>12</v>
      </c>
      <c r="I10" s="11" t="s">
        <v>74</v>
      </c>
      <c r="J10" s="9"/>
      <c r="K10" s="9"/>
      <c r="L10" s="9"/>
      <c r="M10" s="9"/>
      <c r="N10" s="9"/>
      <c r="O10" s="9"/>
    </row>
    <row r="11" spans="1:15" ht="44.25" x14ac:dyDescent="0.75">
      <c r="A11" s="8"/>
      <c r="B11" s="17" t="str">
        <f>RelFlt!B9</f>
        <v>relatedDiagnosis</v>
      </c>
      <c r="C11" s="20" t="s">
        <v>831</v>
      </c>
      <c r="E11" s="17" t="str">
        <f t="shared" ref="E11:E26" si="0">CONCATENATE("* ",B11," -&gt; ##34#",C11,"##34#")</f>
        <v>* relatedDiagnosis -&gt; ##34#.extension('http://hl7.org/fhir/StructureDefinition/condition-occurredFollowing')##34#</v>
      </c>
      <c r="G11" t="b">
        <f t="shared" ref="G11:G15" si="1">IF(B11=H11,TRUE, FALSE)</f>
        <v>1</v>
      </c>
      <c r="H11" s="8" t="s">
        <v>72</v>
      </c>
      <c r="I11" s="20" t="s">
        <v>831</v>
      </c>
      <c r="J11" s="9"/>
      <c r="K11" s="9"/>
      <c r="L11" s="9"/>
      <c r="M11" s="9"/>
      <c r="N11" s="9"/>
      <c r="O11" s="9"/>
    </row>
    <row r="12" spans="1:15" ht="29.5" x14ac:dyDescent="0.75">
      <c r="A12" s="8"/>
      <c r="B12" s="17" t="str">
        <f>RelFlt!B10</f>
        <v>date</v>
      </c>
      <c r="C12" s="8" t="s">
        <v>832</v>
      </c>
      <c r="E12" s="17" t="str">
        <f t="shared" si="0"/>
        <v>* date -&gt; ##34#.extension('http://hl7.org/fhir/StructureDefinition/condition-assertedDate')##34#</v>
      </c>
      <c r="G12" t="b">
        <f t="shared" si="1"/>
        <v>1</v>
      </c>
      <c r="H12" s="8" t="s">
        <v>3</v>
      </c>
      <c r="I12" s="8" t="s">
        <v>832</v>
      </c>
      <c r="J12" s="9"/>
      <c r="K12" s="9"/>
      <c r="L12" s="9"/>
      <c r="M12" s="9"/>
      <c r="N12" s="9"/>
      <c r="O12" s="9"/>
    </row>
    <row r="13" spans="1:15" ht="88.5" x14ac:dyDescent="0.75">
      <c r="A13" s="8"/>
      <c r="B13" s="17" t="str">
        <f>RelFlt!B11</f>
        <v>type</v>
      </c>
      <c r="C13" s="17" t="s">
        <v>1499</v>
      </c>
      <c r="E13" s="17" t="str">
        <f t="shared" si="0"/>
        <v>* type -&gt; ##34#.extension('http://hl7.eu/fhir/ig/pcsp/StructureDefinition/condition-previousStatus').where(Condition.clinicalStatus &lt;&lt; #inactive).valueCodeableConcept OR Condition.where( clinicalStatus = #relapse OR clinicalStatus = #recurrence).clinicalStatus##34#</v>
      </c>
      <c r="G13" t="b">
        <f t="shared" si="1"/>
        <v>1</v>
      </c>
      <c r="H13" s="8" t="s">
        <v>16</v>
      </c>
      <c r="I13" s="17" t="s">
        <v>1499</v>
      </c>
      <c r="J13" s="9"/>
      <c r="K13" s="9"/>
      <c r="L13" s="9"/>
      <c r="M13" s="9"/>
      <c r="N13" s="9"/>
      <c r="O13" s="9"/>
    </row>
    <row r="14" spans="1:15" ht="103.25" x14ac:dyDescent="0.75">
      <c r="A14" s="8"/>
      <c r="B14" s="17" t="str">
        <f>RelFlt!B12</f>
        <v>qualifier</v>
      </c>
      <c r="C14" s="17" t="s">
        <v>1500</v>
      </c>
      <c r="E14" s="17" t="str">
        <f t="shared" si="0"/>
        <v>* qualifier -&gt; ##34#.extension('http://hl7.eu/fhir/ig/pcsp/StructureDefinition/condition-previousStatus').where(Condition.clinicalStatus = #inactive or #relapse or #recurrence).valueCodeableConcept OR Condition.where( clinicalStatus = #relapse OR clinicalStatus = #recurrence).clinicalStatus##34#</v>
      </c>
      <c r="G14" t="b">
        <f t="shared" si="1"/>
        <v>1</v>
      </c>
      <c r="H14" s="8" t="s">
        <v>1495</v>
      </c>
      <c r="I14" s="17" t="s">
        <v>1500</v>
      </c>
      <c r="J14" s="9"/>
      <c r="K14" s="9"/>
      <c r="L14" s="9"/>
      <c r="M14" s="9"/>
      <c r="N14" s="9"/>
      <c r="O14" s="9"/>
    </row>
    <row r="15" spans="1:15" ht="44.25" x14ac:dyDescent="0.75">
      <c r="A15" s="8"/>
      <c r="B15" s="17" t="str">
        <f>RelFlt!B13</f>
        <v>site</v>
      </c>
      <c r="C15" s="17" t="s">
        <v>1501</v>
      </c>
      <c r="E15" s="17" t="str">
        <f t="shared" si="0"/>
        <v>* site -&gt; ##34#Condition.conformsTo('http://hl7.eu/fhir/ig/pcsp/StructureDefinition/Condition-secondaryCancer-eu-pcsp').bodySite##34#</v>
      </c>
      <c r="G15" t="b">
        <f t="shared" si="1"/>
        <v>1</v>
      </c>
      <c r="H15" s="8" t="s">
        <v>71</v>
      </c>
      <c r="I15" s="17" t="s">
        <v>1501</v>
      </c>
      <c r="J15" s="9"/>
      <c r="K15" s="9"/>
      <c r="L15" s="9"/>
      <c r="M15" s="9"/>
      <c r="N15" s="9"/>
      <c r="O15" s="9"/>
    </row>
    <row r="16" spans="1:15" x14ac:dyDescent="0.75">
      <c r="A16" s="8"/>
      <c r="B16" s="17"/>
      <c r="C16" s="9"/>
      <c r="E16" s="17" t="str">
        <f t="shared" si="0"/>
        <v>*  -&gt; ##34###34#</v>
      </c>
      <c r="G16" s="1"/>
      <c r="H16" s="9"/>
      <c r="I16" s="9"/>
      <c r="J16" s="9"/>
      <c r="K16" s="9"/>
      <c r="L16" s="9"/>
      <c r="M16" s="9"/>
      <c r="N16" s="9"/>
      <c r="O16" s="9"/>
    </row>
    <row r="17" spans="1:15" x14ac:dyDescent="0.75">
      <c r="A17" s="8"/>
      <c r="B17" s="17"/>
      <c r="C17" s="9"/>
      <c r="E17" s="17" t="str">
        <f t="shared" si="0"/>
        <v>*  -&gt; ##34###34#</v>
      </c>
      <c r="G17" s="1"/>
      <c r="H17" s="9"/>
      <c r="I17" s="9"/>
      <c r="J17" s="9"/>
      <c r="K17" s="9"/>
      <c r="L17" s="9"/>
      <c r="M17" s="9"/>
      <c r="N17" s="9"/>
      <c r="O17" s="9"/>
    </row>
    <row r="18" spans="1:15" x14ac:dyDescent="0.75">
      <c r="A18" s="8"/>
      <c r="B18" s="17"/>
      <c r="C18" s="9"/>
      <c r="E18" s="17" t="str">
        <f t="shared" si="0"/>
        <v>*  -&gt; ##34###34#</v>
      </c>
      <c r="G18" s="1"/>
      <c r="H18" s="9"/>
      <c r="I18" s="9"/>
      <c r="J18" s="9"/>
      <c r="K18" s="9"/>
      <c r="L18" s="9"/>
      <c r="M18" s="9"/>
      <c r="N18" s="9"/>
      <c r="O18" s="9"/>
    </row>
    <row r="19" spans="1:15" x14ac:dyDescent="0.75">
      <c r="A19" s="8"/>
      <c r="B19" s="17"/>
      <c r="C19" s="17"/>
      <c r="E19" s="17" t="str">
        <f t="shared" si="0"/>
        <v>*  -&gt; ##34###34#</v>
      </c>
      <c r="G19" s="1"/>
    </row>
    <row r="20" spans="1:15" x14ac:dyDescent="0.75">
      <c r="A20" s="8"/>
      <c r="B20" s="17"/>
      <c r="C20" s="17"/>
      <c r="E20" s="17" t="str">
        <f t="shared" si="0"/>
        <v>*  -&gt; ##34###34#</v>
      </c>
      <c r="G20" s="1"/>
    </row>
    <row r="21" spans="1:15" x14ac:dyDescent="0.75">
      <c r="A21" s="8"/>
      <c r="B21" s="17"/>
      <c r="C21" s="17"/>
      <c r="E21" s="17" t="str">
        <f t="shared" si="0"/>
        <v>*  -&gt; ##34###34#</v>
      </c>
      <c r="G21" s="1"/>
    </row>
    <row r="22" spans="1:15" x14ac:dyDescent="0.75">
      <c r="A22" s="8"/>
      <c r="B22" s="17"/>
      <c r="C22" s="17"/>
      <c r="E22" s="17" t="str">
        <f t="shared" si="0"/>
        <v>*  -&gt; ##34###34#</v>
      </c>
      <c r="G22" s="1"/>
    </row>
    <row r="23" spans="1:15" x14ac:dyDescent="0.75">
      <c r="A23" s="8"/>
      <c r="B23" s="17"/>
      <c r="C23" s="17"/>
      <c r="E23" s="17" t="str">
        <f t="shared" si="0"/>
        <v>*  -&gt; ##34###34#</v>
      </c>
      <c r="G23" s="1"/>
    </row>
    <row r="24" spans="1:15" x14ac:dyDescent="0.75">
      <c r="A24" s="8"/>
      <c r="B24" s="17"/>
      <c r="C24" s="17"/>
      <c r="E24" s="17" t="str">
        <f t="shared" si="0"/>
        <v>*  -&gt; ##34###34#</v>
      </c>
      <c r="G24" s="1"/>
    </row>
    <row r="25" spans="1:15" x14ac:dyDescent="0.75">
      <c r="A25" s="8"/>
      <c r="B25" s="17"/>
      <c r="C25" s="17"/>
      <c r="E25" s="17" t="str">
        <f t="shared" si="0"/>
        <v>*  -&gt; ##34###34#</v>
      </c>
      <c r="G25" s="1"/>
    </row>
    <row r="26" spans="1:15" x14ac:dyDescent="0.75">
      <c r="A26" s="8"/>
      <c r="B26" s="17"/>
      <c r="C26" s="17"/>
      <c r="E26" s="17" t="str">
        <f t="shared" si="0"/>
        <v>*  -&gt; ##34###34#</v>
      </c>
      <c r="G26" s="1"/>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00265-19E4-44B0-AE7A-CBDC0338850B}">
  <sheetPr codeName="Foglio20">
    <tabColor theme="9" tint="0.39997558519241921"/>
  </sheetPr>
  <dimension ref="C1:G38"/>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RelFlt!I1</f>
        <v>// -------------------------------------------------------------------------------</v>
      </c>
    </row>
    <row r="2" spans="3:7" ht="16.75" thickBot="1" x14ac:dyDescent="0.9">
      <c r="C2" s="35" t="str">
        <f>RelFlt!I2</f>
        <v>//  Logical Model</v>
      </c>
      <c r="G2" s="92" t="str">
        <f>"pcsp-"&amp;'RelFlt-Map'!C7&amp;".fsh"</f>
        <v>pcsp-RelapseDuringFLT.fsh</v>
      </c>
    </row>
    <row r="3" spans="3:7" x14ac:dyDescent="0.75">
      <c r="C3" s="35" t="str">
        <f>RelFlt!I3</f>
        <v>// -------------------------------------------------------------------------------</v>
      </c>
    </row>
    <row r="4" spans="3:7" x14ac:dyDescent="0.75">
      <c r="C4" s="27" t="str">
        <f>RelFlt!I4</f>
        <v>Logical: RelapseDuringFLT</v>
      </c>
    </row>
    <row r="5" spans="3:7" x14ac:dyDescent="0.75">
      <c r="C5" s="27" t="str">
        <f>RelFlt!I5</f>
        <v>Id: RelapseDuringFLT</v>
      </c>
    </row>
    <row r="6" spans="3:7" x14ac:dyDescent="0.75">
      <c r="C6" s="27" t="str">
        <f>RelFlt!I6</f>
        <v>Title: ##34#Progression-Relapse during FLT##34#</v>
      </c>
    </row>
    <row r="7" spans="3:7" ht="29.5" x14ac:dyDescent="0.75">
      <c r="C7" s="27" t="str">
        <f>RelFlt!I7</f>
        <v>Description:  ##334#Progression-Relapse during FLT
Maturity Level: 2 - Ready for Review##334#</v>
      </c>
    </row>
    <row r="8" spans="3:7" ht="29.5" x14ac:dyDescent="0.75">
      <c r="C8" s="17" t="str">
        <f>IF(RelFlt!I8="*  ..  ##34###34# ##334###334#","//--- END",RelFlt!I8)</f>
        <v>* identifier 0..1 Identifier ##34#Progression-Relapse during FLT identifier##34# ##334#Progression-Relapse during FLT identifier##334#</v>
      </c>
    </row>
    <row r="9" spans="3:7" ht="29.5" x14ac:dyDescent="0.75">
      <c r="C9" s="17" t="str">
        <f>IF(RelFlt!I9="*  ..  ##34###34# ##334###334#","//--- END",RelFlt!I9)</f>
        <v>* relatedDiagnosis 0..1 Identifier ##34#Related diagnosis identifier##34# ##334#Related diagnosis identifier##334#</v>
      </c>
    </row>
    <row r="10" spans="3:7" ht="29.5" x14ac:dyDescent="0.75">
      <c r="C10" s="17" t="str">
        <f>IF(RelFlt!I10="*  ..  ##34###34# ##334###334#","//--- END",RelFlt!I10)</f>
        <v>* date 0..1 dateTime ##34#Date##34# ##334#Report the date of the event in DD/MM/YYYY format. If the date is unkown or partially missed insert the year at the best of your knowledge.##334#</v>
      </c>
    </row>
    <row r="11" spans="3:7" ht="29.5" x14ac:dyDescent="0.75">
      <c r="C11" s="17" t="str">
        <f>IF(RelFlt!I11="*  ..  ##34###34# ##334###334#","//--- END",RelFlt!I11)</f>
        <v>* type 0..1 CodeableConcept ##34#relapse | progression##34# ##334#The type of event should be reported
1 =&gt; Relapse
2 =&gt; Progression 
-9922= NK##334#</v>
      </c>
    </row>
    <row r="12" spans="3:7" ht="29.5" x14ac:dyDescent="0.75">
      <c r="C12" s="17" t="str">
        <f>IF(RelFlt!I12="*  ..  ##34###34# ##334###334#","//--- END",RelFlt!I12)</f>
        <v>* qualifier 0..1 CodeableConcept ##34#local | distant | combined##34# ##334#Please state if the relapse or progression was local, distant,  combined or unk##334#</v>
      </c>
    </row>
    <row r="13" spans="3:7" x14ac:dyDescent="0.75">
      <c r="C13" s="17" t="str">
        <f>IF(RelFlt!I13="*  ..  ##34###34# ##334###334#","//--- END",RelFlt!I13)</f>
        <v>* site 0..1 string ##34#If distant, site of metastases##34# ##334#If distant or comobined, specify site  (text)##334#</v>
      </c>
    </row>
    <row r="14" spans="3:7" x14ac:dyDescent="0.75">
      <c r="C14" s="17" t="str">
        <f>IF(RelFlt!I14="*  ..  ##34###34# ##334###334#","//--- END",RelFlt!I14)</f>
        <v>//--- END</v>
      </c>
    </row>
    <row r="15" spans="3:7" x14ac:dyDescent="0.75">
      <c r="C15" s="17" t="str">
        <f>IF(RelFlt!I15="*  ..  ##34###34# ##334###334#","//--- END",RelFlt!I15)</f>
        <v>//--- END</v>
      </c>
    </row>
    <row r="16" spans="3:7" x14ac:dyDescent="0.75">
      <c r="C16" s="17" t="str">
        <f>IF(RelFlt!I16="*  ..  ##34###34# ##334###334#","//--- END",RelFlt!I16)</f>
        <v>//--- END</v>
      </c>
    </row>
    <row r="20" spans="3:3" x14ac:dyDescent="0.75">
      <c r="C20" s="34" t="str">
        <f>'RelFlt-Map'!E1</f>
        <v>// -------------------------------------------------------------------------------</v>
      </c>
    </row>
    <row r="21" spans="3:3" x14ac:dyDescent="0.75">
      <c r="C21" s="35" t="str">
        <f>'RelFlt-Map'!E2</f>
        <v>//  Map to FHIR R4</v>
      </c>
    </row>
    <row r="22" spans="3:3" x14ac:dyDescent="0.75">
      <c r="C22" s="35" t="str">
        <f>'RelFlt-Map'!E3</f>
        <v>// -------------------------------------------------------------------------------</v>
      </c>
    </row>
    <row r="23" spans="3:3" x14ac:dyDescent="0.75">
      <c r="C23" s="17" t="str">
        <f>'RelFlt-Map'!E4</f>
        <v>Mapping: RelapseDuringFLT2Fhir</v>
      </c>
    </row>
    <row r="24" spans="3:3" x14ac:dyDescent="0.75">
      <c r="C24" s="17" t="str">
        <f>'RelFlt-Map'!E5</f>
        <v>Id: fhir</v>
      </c>
    </row>
    <row r="25" spans="3:3" x14ac:dyDescent="0.75">
      <c r="C25" s="17" t="str">
        <f>'RelFlt-Map'!E6</f>
        <v>Title: ##34#RelapseDuringFLT model to PCSP HL7 FHIR R4 Profiles##34#</v>
      </c>
    </row>
    <row r="26" spans="3:3" x14ac:dyDescent="0.75">
      <c r="C26" s="17" t="str">
        <f>'RelFlt-Map'!E7</f>
        <v>Source: RelapseDuringFLT</v>
      </c>
    </row>
    <row r="27" spans="3:3" x14ac:dyDescent="0.75">
      <c r="C27" s="17" t="str">
        <f>'RelFlt-Map'!E8</f>
        <v>Target: ##34#hl7.org/fhir/r4##34#</v>
      </c>
    </row>
    <row r="29" spans="3:3" ht="59" x14ac:dyDescent="0.75">
      <c r="C29" s="17" t="str">
        <f>IF('RelFlt-Map'!E9="*  -&gt; ##34###34#","// --END",'RelFlt-Map'!E9)</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30" spans="3:3" x14ac:dyDescent="0.75">
      <c r="C30" s="17" t="str">
        <f>IF('RelFlt-Map'!E10="*  -&gt; ##34###34#","// --END",'RelFlt-Map'!E10)</f>
        <v>* identifier -&gt; ##34#.identifier##34#</v>
      </c>
    </row>
    <row r="31" spans="3:3" x14ac:dyDescent="0.75">
      <c r="C31" s="17" t="str">
        <f>IF('RelFlt-Map'!E11="*  -&gt; ##34###34#","// --END",'RelFlt-Map'!E11)</f>
        <v>* relatedDiagnosis -&gt; ##34#.extension('http://hl7.org/fhir/StructureDefinition/condition-occurredFollowing')##34#</v>
      </c>
    </row>
    <row r="32" spans="3:3" x14ac:dyDescent="0.75">
      <c r="C32" s="17" t="str">
        <f>IF('RelFlt-Map'!E12="*  -&gt; ##34###34#","// --END",'RelFlt-Map'!E12)</f>
        <v>* date -&gt; ##34#.extension('http://hl7.org/fhir/StructureDefinition/condition-assertedDate')##34#</v>
      </c>
    </row>
    <row r="33" spans="3:3" ht="44.25" x14ac:dyDescent="0.75">
      <c r="C33" s="17" t="str">
        <f>IF('RelFlt-Map'!E13="*  -&gt; ##34###34#","// --END",'RelFlt-Map'!E13)</f>
        <v>* type -&gt; ##34#.extension('http://hl7.eu/fhir/ig/pcsp/StructureDefinition/condition-previousStatus').where(Condition.clinicalStatus &lt;&lt; #inactive).valueCodeableConcept OR Condition.where( clinicalStatus = #relapse OR clinicalStatus = #recurrence).clinicalStatus##34#</v>
      </c>
    </row>
    <row r="34" spans="3:3" ht="44.25" x14ac:dyDescent="0.75">
      <c r="C34" s="17" t="str">
        <f>IF('RelFlt-Map'!E14="*  -&gt; ##34###34#","// --END",'RelFlt-Map'!E14)</f>
        <v>* qualifier -&gt; ##34#.extension('http://hl7.eu/fhir/ig/pcsp/StructureDefinition/condition-previousStatus').where(Condition.clinicalStatus = #inactive or #relapse or #recurrence).valueCodeableConcept OR Condition.where( clinicalStatus = #relapse OR clinicalStatus = #recurrence).clinicalStatus##34#</v>
      </c>
    </row>
    <row r="35" spans="3:3" ht="29.5" x14ac:dyDescent="0.75">
      <c r="C35" s="17" t="str">
        <f>IF('RelFlt-Map'!E15="*  -&gt; ##34###34#","// --END",'RelFlt-Map'!E15)</f>
        <v>* site -&gt; ##34#Condition.conformsTo('http://hl7.eu/fhir/ig/pcsp/StructureDefinition/Condition-secondaryCancer-eu-pcsp').bodySite##34#</v>
      </c>
    </row>
    <row r="36" spans="3:3" x14ac:dyDescent="0.75">
      <c r="C36" s="17" t="str">
        <f>IF('RelFlt-Map'!E16="*  -&gt; ##34###34#","// --END",'RelFlt-Map'!E16)</f>
        <v>// --END</v>
      </c>
    </row>
    <row r="37" spans="3:3" x14ac:dyDescent="0.75">
      <c r="C37" s="17" t="str">
        <f>IF('RelFlt-Map'!E17="*  -&gt; ##34###34#","// --END",'RelFlt-Map'!E17)</f>
        <v>// --END</v>
      </c>
    </row>
    <row r="38" spans="3:3" x14ac:dyDescent="0.75">
      <c r="C38" s="17" t="str">
        <f>IF('RelFlt-Map'!E18="*  -&gt; ##34###34#","// --END",'RelFlt-Map'!E18)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892A1-5DCA-4B49-B62F-A6FF2F59B69C}">
  <sheetPr codeName="Foglio52">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DocMetadataFSE</v>
      </c>
      <c r="I4" s="27" t="str">
        <f>CONCATENATE("Logical: ",B4)</f>
        <v>Logical: DocMetadataFSE</v>
      </c>
    </row>
    <row r="5" spans="1:11" ht="15.5" thickBot="1" x14ac:dyDescent="0.9">
      <c r="A5" s="22" t="s">
        <v>76</v>
      </c>
      <c r="B5" s="87" t="s">
        <v>1506</v>
      </c>
      <c r="I5" s="27" t="str">
        <f>CONCATENATE("Id: ",B5)</f>
        <v>Id: DocMetadataFSE</v>
      </c>
    </row>
    <row r="6" spans="1:11" ht="15.5" thickBot="1" x14ac:dyDescent="0.9">
      <c r="A6" s="22" t="s">
        <v>11</v>
      </c>
      <c r="B6" t="s">
        <v>1504</v>
      </c>
      <c r="C6" s="87"/>
      <c r="I6" s="28" t="str">
        <f>CONCATENATE("Title: ##34#",B6,"##34#")</f>
        <v>Title: ##34#Metadata FSE Italy##34#</v>
      </c>
    </row>
    <row r="7" spans="1:11" ht="30.25" thickBot="1" x14ac:dyDescent="0.9">
      <c r="A7" s="23" t="s">
        <v>4</v>
      </c>
      <c r="B7" s="1" t="s">
        <v>1505</v>
      </c>
      <c r="C7" s="12" t="s">
        <v>5</v>
      </c>
      <c r="D7" s="2" t="s">
        <v>6</v>
      </c>
      <c r="E7" s="3" t="s">
        <v>7</v>
      </c>
      <c r="F7" s="3" t="s">
        <v>8</v>
      </c>
      <c r="G7" s="3" t="s">
        <v>9</v>
      </c>
      <c r="I7" s="28" t="str">
        <f>CONCATENATE("Description: "," ##334#",B7,"##334#",)</f>
        <v>Description:  ##334#Metadata FSE Italy.
Maturity Level: 0##334#</v>
      </c>
    </row>
    <row r="8" spans="1:11" ht="59" x14ac:dyDescent="0.75">
      <c r="A8" s="8">
        <v>1</v>
      </c>
      <c r="B8" s="8" t="s">
        <v>12</v>
      </c>
      <c r="C8" s="8" t="s">
        <v>1507</v>
      </c>
      <c r="D8" s="104" t="s">
        <v>1508</v>
      </c>
      <c r="E8" s="8">
        <v>0</v>
      </c>
      <c r="F8" s="8">
        <v>1</v>
      </c>
      <c r="G8" s="8" t="s">
        <v>0</v>
      </c>
      <c r="H8" s="25"/>
      <c r="I8" s="17" t="str">
        <f>CONCATENATE("* ",B8, " ",E8,"..",F8," ",G8," ##34#",C8,"##34# ##334#",D8,"##334#")</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1:11" ht="44.25" x14ac:dyDescent="0.75">
      <c r="A9" s="8">
        <v>2</v>
      </c>
      <c r="B9" s="8" t="s">
        <v>1509</v>
      </c>
      <c r="C9" s="8" t="s">
        <v>1510</v>
      </c>
      <c r="D9" s="104" t="s">
        <v>1511</v>
      </c>
      <c r="E9" s="8">
        <v>0</v>
      </c>
      <c r="F9" s="8">
        <v>1</v>
      </c>
      <c r="G9" s="8" t="s">
        <v>1512</v>
      </c>
      <c r="H9" s="25"/>
      <c r="I9" s="17" t="str">
        <f t="shared" ref="I9:I34" si="0">CONCATENATE("* ",B9, " ",E9,"..",F9," ",G9," ##34#",C9,"##34# ##334#",D9,"##334#")</f>
        <v>* mimeType 0..1 code ##34#MIME type##34# ##334#Tipo mime del documento##334#</v>
      </c>
    </row>
    <row r="10" spans="1:11" ht="44.25" x14ac:dyDescent="0.75">
      <c r="A10" s="8">
        <v>3</v>
      </c>
      <c r="B10" s="8" t="s">
        <v>1513</v>
      </c>
      <c r="C10" s="8" t="s">
        <v>1513</v>
      </c>
      <c r="D10" s="104" t="s">
        <v>1514</v>
      </c>
      <c r="E10" s="8">
        <v>0</v>
      </c>
      <c r="F10" s="8">
        <v>1</v>
      </c>
      <c r="G10" s="8" t="s">
        <v>1515</v>
      </c>
      <c r="H10" s="25"/>
      <c r="I10" s="17" t="str">
        <f t="shared" si="0"/>
        <v>* size 0..1 unsignedInt ##34#size##34# ##334#Size del documento##334#</v>
      </c>
    </row>
    <row r="11" spans="1:11" x14ac:dyDescent="0.75">
      <c r="A11" s="8">
        <v>4</v>
      </c>
      <c r="B11" s="8" t="s">
        <v>1516</v>
      </c>
      <c r="C11" s="8" t="s">
        <v>1516</v>
      </c>
      <c r="D11" s="104" t="s">
        <v>1517</v>
      </c>
      <c r="E11" s="8">
        <v>0</v>
      </c>
      <c r="F11" s="8">
        <v>1</v>
      </c>
      <c r="G11" s="8" t="s">
        <v>1518</v>
      </c>
      <c r="H11" s="25"/>
      <c r="I11" s="17" t="str">
        <f t="shared" si="0"/>
        <v>* hash 0..1 base64Binary ##34#hash##34# ##334#Hash del documento##334#</v>
      </c>
    </row>
    <row r="12" spans="1:11" ht="29.5" x14ac:dyDescent="0.75">
      <c r="A12" s="8">
        <v>5</v>
      </c>
      <c r="B12" s="8" t="s">
        <v>1512</v>
      </c>
      <c r="C12" s="8" t="s">
        <v>1519</v>
      </c>
      <c r="D12" s="104" t="s">
        <v>1520</v>
      </c>
      <c r="E12" s="8">
        <v>0</v>
      </c>
      <c r="F12" s="8">
        <v>1</v>
      </c>
      <c r="G12" s="8" t="s">
        <v>1</v>
      </c>
      <c r="H12" s="25"/>
      <c r="I12" s="17" t="str">
        <f t="shared" si="0"/>
        <v>* code 0..1 CodeableConcept ##34#document code##34# ##334#Codice loinc del documento (parliamone)##334#</v>
      </c>
    </row>
    <row r="13" spans="1:11" ht="29.5" x14ac:dyDescent="0.75">
      <c r="A13" s="8">
        <v>6</v>
      </c>
      <c r="B13" s="8" t="s">
        <v>1521</v>
      </c>
      <c r="C13" s="8" t="s">
        <v>1522</v>
      </c>
      <c r="D13" s="104" t="s">
        <v>1523</v>
      </c>
      <c r="E13" s="8">
        <v>0</v>
      </c>
      <c r="F13" s="8">
        <v>1</v>
      </c>
      <c r="G13" s="8" t="s">
        <v>1</v>
      </c>
      <c r="H13" s="25"/>
      <c r="I13" s="17" t="str">
        <f t="shared" si="0"/>
        <v>* classCode 0..1 CodeableConcept ##34#Type of document##34# ##334#Tipo documento (REF)##334#</v>
      </c>
    </row>
    <row r="14" spans="1:11" ht="29.5" x14ac:dyDescent="0.75">
      <c r="A14" s="8">
        <v>7</v>
      </c>
      <c r="B14" s="8" t="s">
        <v>1524</v>
      </c>
      <c r="C14" s="8" t="s">
        <v>1525</v>
      </c>
      <c r="D14" s="104" t="s">
        <v>1526</v>
      </c>
      <c r="E14" s="8">
        <v>0</v>
      </c>
      <c r="F14" s="8">
        <v>1</v>
      </c>
      <c r="G14" s="8" t="s">
        <v>1</v>
      </c>
      <c r="H14" s="25"/>
      <c r="I14" s="17" t="str">
        <f t="shared" si="0"/>
        <v>* contentType 0..1 CodeableConcept ##34#Content Type##34# ##334#Content type code (da decidere se consulto o dimissione)##334#</v>
      </c>
    </row>
    <row r="15" spans="1:11" ht="29.5" x14ac:dyDescent="0.75">
      <c r="A15" s="8">
        <v>8</v>
      </c>
      <c r="B15" s="8" t="s">
        <v>1527</v>
      </c>
      <c r="C15" s="8" t="s">
        <v>1528</v>
      </c>
      <c r="D15" s="104" t="s">
        <v>1529</v>
      </c>
      <c r="E15" s="8">
        <v>0</v>
      </c>
      <c r="F15" s="8">
        <v>1</v>
      </c>
      <c r="G15" s="8" t="s">
        <v>906</v>
      </c>
      <c r="H15" s="25"/>
      <c r="I15" s="17" t="str">
        <f t="shared" si="0"/>
        <v>* creationDate 0..1 dateTime ##34#creation date##34# ##334#Data creazione del documento##334#</v>
      </c>
      <c r="J15" s="21"/>
      <c r="K15" s="8"/>
    </row>
    <row r="16" spans="1:11" ht="29.5" x14ac:dyDescent="0.75">
      <c r="A16" s="8">
        <v>9</v>
      </c>
      <c r="B16" s="8" t="s">
        <v>1530</v>
      </c>
      <c r="C16" s="8" t="s">
        <v>1530</v>
      </c>
      <c r="D16" s="104" t="s">
        <v>1531</v>
      </c>
      <c r="E16" s="8">
        <v>0</v>
      </c>
      <c r="F16" s="8">
        <v>1</v>
      </c>
      <c r="G16" s="8" t="s">
        <v>1</v>
      </c>
      <c r="I16" s="17" t="str">
        <f t="shared" si="0"/>
        <v>* confidentiality 0..1 CodeableConcept ##34#confidentiality##34# ##334#Confidentiality (propendo per V, sarebbe un default))##334#</v>
      </c>
    </row>
    <row r="17" spans="1:9" ht="44.25" x14ac:dyDescent="0.75">
      <c r="A17" s="8">
        <v>10</v>
      </c>
      <c r="B17" s="8" t="s">
        <v>1532</v>
      </c>
      <c r="C17" s="8" t="s">
        <v>1533</v>
      </c>
      <c r="D17" s="104" t="s">
        <v>1534</v>
      </c>
      <c r="E17" s="8">
        <v>0</v>
      </c>
      <c r="F17" s="8">
        <v>1</v>
      </c>
      <c r="G17" s="8" t="s">
        <v>1</v>
      </c>
      <c r="I17" s="17" t="str">
        <f t="shared" si="0"/>
        <v>* mask 0..1 CodeableConcept ##34#mask (oscuramento)##34# ##334#Oscuramento (propendo per l'invio come oscurato, sarebbe un default)##334#</v>
      </c>
    </row>
    <row r="18" spans="1:9" ht="29.5" x14ac:dyDescent="0.75">
      <c r="A18" s="8">
        <v>11</v>
      </c>
      <c r="B18" s="8" t="s">
        <v>1535</v>
      </c>
      <c r="C18" s="8" t="s">
        <v>1536</v>
      </c>
      <c r="D18" s="104" t="s">
        <v>1537</v>
      </c>
      <c r="E18" s="8">
        <v>0</v>
      </c>
      <c r="F18" s="8">
        <v>1</v>
      </c>
      <c r="G18" s="8" t="s">
        <v>0</v>
      </c>
      <c r="I18" s="17" t="str">
        <f t="shared" si="0"/>
        <v>* replace 0..1 Identifier ##34#replaced document##34# ##334#Eventuale documento sostituito (oid + extension)##334#</v>
      </c>
    </row>
    <row r="19" spans="1:9" ht="29.5" x14ac:dyDescent="0.75">
      <c r="A19" s="8">
        <v>12</v>
      </c>
      <c r="B19" s="8" t="s">
        <v>1538</v>
      </c>
      <c r="C19" s="17" t="s">
        <v>1539</v>
      </c>
      <c r="D19" s="104" t="s">
        <v>1540</v>
      </c>
      <c r="E19" s="8">
        <v>0</v>
      </c>
      <c r="F19" s="8">
        <v>1</v>
      </c>
      <c r="G19" s="8" t="s">
        <v>1</v>
      </c>
      <c r="I19" s="17" t="str">
        <f t="shared" si="0"/>
        <v>* formatCode 0..1 CodeableConcept ##34#Format of document##34# ##334#Formato documento (PDF)##334#</v>
      </c>
    </row>
    <row r="20" spans="1:9" ht="29.5" x14ac:dyDescent="0.75">
      <c r="A20" s="8">
        <v>13</v>
      </c>
      <c r="B20" s="8" t="s">
        <v>1541</v>
      </c>
      <c r="C20" s="8" t="s">
        <v>1542</v>
      </c>
      <c r="D20" s="104" t="s">
        <v>1543</v>
      </c>
      <c r="E20" s="8">
        <v>0</v>
      </c>
      <c r="F20" s="8">
        <v>1</v>
      </c>
      <c r="G20" s="8" t="s">
        <v>0</v>
      </c>
      <c r="I20" s="17" t="str">
        <f t="shared" si="0"/>
        <v>* repositoryId 0..1 Identifier ##34#Repository Id##34# ##334#Id repository (Gaslini ne ha uno)##334#</v>
      </c>
    </row>
    <row r="21" spans="1:9" ht="29.5" x14ac:dyDescent="0.75">
      <c r="A21" s="8">
        <v>14</v>
      </c>
      <c r="B21" s="8" t="s">
        <v>1544</v>
      </c>
      <c r="C21" s="8" t="s">
        <v>1545</v>
      </c>
      <c r="D21" s="104" t="s">
        <v>1546</v>
      </c>
      <c r="E21" s="8">
        <v>0</v>
      </c>
      <c r="F21" s="8">
        <v>1</v>
      </c>
      <c r="G21" s="8" t="s">
        <v>906</v>
      </c>
      <c r="I21" s="17" t="str">
        <f t="shared" si="0"/>
        <v>* indexDate 0..1 dateTime ##34#Index Date##34# ##334#Data indicizzazione (la aggiunge chi indicizza)##334#</v>
      </c>
    </row>
    <row r="22" spans="1:9" ht="29.5" x14ac:dyDescent="0.75">
      <c r="A22" s="8">
        <v>15</v>
      </c>
      <c r="B22" s="8" t="s">
        <v>1547</v>
      </c>
      <c r="C22" s="104" t="s">
        <v>1548</v>
      </c>
      <c r="D22" s="104" t="s">
        <v>1549</v>
      </c>
      <c r="E22" s="8">
        <v>0</v>
      </c>
      <c r="F22" s="8">
        <v>1</v>
      </c>
      <c r="G22" s="8" t="s">
        <v>1</v>
      </c>
      <c r="I22" s="17" t="str">
        <f t="shared" si="0"/>
        <v>* practiceSettingCode 0..1 CodeableConcept ##34#Practice setting code##34# ##334#Practice setting code (da stabilire con Gaslini)##334#</v>
      </c>
    </row>
    <row r="23" spans="1:9" ht="29.5" x14ac:dyDescent="0.75">
      <c r="A23" s="8">
        <v>16</v>
      </c>
      <c r="B23" s="8" t="s">
        <v>1550</v>
      </c>
      <c r="C23" s="8" t="s">
        <v>1551</v>
      </c>
      <c r="D23" s="104" t="s">
        <v>1552</v>
      </c>
      <c r="E23" s="8">
        <v>0</v>
      </c>
      <c r="F23" s="8">
        <v>1</v>
      </c>
      <c r="G23" s="8" t="s">
        <v>0</v>
      </c>
      <c r="I23" s="17" t="str">
        <f t="shared" si="0"/>
        <v>* patientFiscalCode 0..1 Identifier ##34#Patient Fiscal Code##34# ##334#Codice fiscale paziente soggetto del documento##334#</v>
      </c>
    </row>
    <row r="24" spans="1:9" x14ac:dyDescent="0.75">
      <c r="A24" s="8">
        <v>17</v>
      </c>
      <c r="B24" s="8" t="s">
        <v>1553</v>
      </c>
      <c r="C24" s="8" t="s">
        <v>1554</v>
      </c>
      <c r="D24" s="17" t="s">
        <v>1554</v>
      </c>
      <c r="E24" s="8">
        <v>0</v>
      </c>
      <c r="F24" s="8">
        <v>1</v>
      </c>
      <c r="G24" s="8" t="s">
        <v>841</v>
      </c>
      <c r="I24" s="17" t="str">
        <f t="shared" si="0"/>
        <v>* author 0..1 BackboneElement ##34#Author##34# ##334#Author##334#</v>
      </c>
    </row>
    <row r="25" spans="1:9" ht="29.5" x14ac:dyDescent="0.75">
      <c r="A25" s="8">
        <v>18</v>
      </c>
      <c r="B25" s="8" t="s">
        <v>1555</v>
      </c>
      <c r="C25" s="8" t="s">
        <v>1556</v>
      </c>
      <c r="D25" s="104" t="s">
        <v>1557</v>
      </c>
      <c r="E25" s="8">
        <v>0</v>
      </c>
      <c r="F25" s="8">
        <v>1</v>
      </c>
      <c r="G25" s="8" t="s">
        <v>0</v>
      </c>
      <c r="I25" s="17" t="str">
        <f t="shared" si="0"/>
        <v>* author.fiscalCode 0..1 Identifier ##34#Author Fiscal Code##34# ##334#Codice fiscale autore del documento##334#</v>
      </c>
    </row>
    <row r="26" spans="1:9" ht="29.5" x14ac:dyDescent="0.75">
      <c r="A26" s="8">
        <v>19</v>
      </c>
      <c r="B26" s="8" t="s">
        <v>1558</v>
      </c>
      <c r="C26" s="8" t="s">
        <v>1559</v>
      </c>
      <c r="D26" s="104" t="s">
        <v>1560</v>
      </c>
      <c r="E26" s="8">
        <v>0</v>
      </c>
      <c r="F26" s="8">
        <v>1</v>
      </c>
      <c r="G26" s="8" t="s">
        <v>1</v>
      </c>
      <c r="I26" s="17" t="str">
        <f t="shared" si="0"/>
        <v>* author.orgCode 0..1 CodeableConcept ##34#Author Organization (code)##34# ##334#Struttura dell'autore (codifica come sopra)##334#</v>
      </c>
    </row>
    <row r="27" spans="1:9" ht="29.5" x14ac:dyDescent="0.75">
      <c r="A27" s="8">
        <v>20</v>
      </c>
      <c r="B27" s="8" t="s">
        <v>1561</v>
      </c>
      <c r="C27" s="8" t="s">
        <v>1562</v>
      </c>
      <c r="D27" s="104" t="s">
        <v>1563</v>
      </c>
      <c r="E27" s="8">
        <v>0</v>
      </c>
      <c r="F27" s="8">
        <v>1</v>
      </c>
      <c r="G27" s="8" t="s">
        <v>1</v>
      </c>
      <c r="I27" s="17" t="str">
        <f t="shared" si="0"/>
        <v>* author.role 0..1 CodeableConcept ##34#Author Role (code)##34# ##334#Ruolo autore (codifica come sopra)##334#</v>
      </c>
    </row>
    <row r="28" spans="1:9" ht="29.5" x14ac:dyDescent="0.75">
      <c r="A28" s="8">
        <v>21</v>
      </c>
      <c r="B28" s="8" t="s">
        <v>1564</v>
      </c>
      <c r="C28" s="8" t="s">
        <v>1565</v>
      </c>
      <c r="D28" s="104" t="s">
        <v>1566</v>
      </c>
      <c r="E28" s="8">
        <v>0</v>
      </c>
      <c r="F28" s="8">
        <v>1</v>
      </c>
      <c r="G28" s="8" t="s">
        <v>0</v>
      </c>
      <c r="I28" s="17" t="str">
        <f t="shared" si="0"/>
        <v>* attesterFiscalCode 0..1 Identifier ##34#Attester Fiscal Code##34# ##334#Firmatario del documento (codice fiscale)##334#</v>
      </c>
    </row>
    <row r="29" spans="1:9" ht="29.5" x14ac:dyDescent="0.75">
      <c r="A29" s="8">
        <v>22</v>
      </c>
      <c r="B29" s="8" t="s">
        <v>1567</v>
      </c>
      <c r="C29" s="8" t="s">
        <v>1568</v>
      </c>
      <c r="D29" s="104" t="s">
        <v>1569</v>
      </c>
      <c r="E29" s="8">
        <v>0</v>
      </c>
      <c r="F29" s="8">
        <v>1</v>
      </c>
      <c r="G29" s="8" t="s">
        <v>1</v>
      </c>
      <c r="I29" s="17" t="str">
        <f t="shared" si="0"/>
        <v>* custiodian 0..1 CodeableConcept ##34#Custodian##34# ##334#Codice azienda custode del documento (070940)##334#</v>
      </c>
    </row>
    <row r="30" spans="1:9" x14ac:dyDescent="0.75">
      <c r="A30" s="8">
        <v>23</v>
      </c>
      <c r="B30" s="8"/>
      <c r="C30" s="17"/>
      <c r="D30" s="17"/>
      <c r="E30" s="8"/>
      <c r="F30" s="8"/>
      <c r="G30" s="8"/>
      <c r="I30" s="17" t="str">
        <f t="shared" si="0"/>
        <v>*  ..  ##34###34# ##334###334#</v>
      </c>
    </row>
    <row r="31" spans="1:9" x14ac:dyDescent="0.75">
      <c r="A31" s="8">
        <v>24</v>
      </c>
      <c r="B31" s="8"/>
      <c r="C31" s="17"/>
      <c r="D31" s="17"/>
      <c r="E31" s="8"/>
      <c r="F31" s="8"/>
      <c r="G31" s="8"/>
      <c r="I31" s="17" t="str">
        <f t="shared" si="0"/>
        <v>*  ..  ##34###34# ##334###334#</v>
      </c>
    </row>
    <row r="32" spans="1:9" x14ac:dyDescent="0.75">
      <c r="A32" s="8">
        <v>25</v>
      </c>
      <c r="B32" s="8"/>
      <c r="C32" s="17"/>
      <c r="D32" s="17"/>
      <c r="E32" s="8"/>
      <c r="F32" s="8"/>
      <c r="G32" s="8"/>
      <c r="I32" s="17" t="str">
        <f t="shared" si="0"/>
        <v>*  ..  ##34###34# ##334###334#</v>
      </c>
    </row>
    <row r="33" spans="1:9" x14ac:dyDescent="0.75">
      <c r="A33" s="8">
        <v>26</v>
      </c>
      <c r="B33" s="8"/>
      <c r="C33" s="17"/>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row>
    <row r="36" spans="1:9" x14ac:dyDescent="0.75">
      <c r="A36" s="8">
        <v>29</v>
      </c>
      <c r="B36" s="8"/>
      <c r="C36" s="8"/>
      <c r="D36" s="17"/>
      <c r="E36" s="8"/>
      <c r="F36" s="8"/>
      <c r="G36" s="8"/>
      <c r="I36" s="17"/>
    </row>
    <row r="37" spans="1:9" x14ac:dyDescent="0.75">
      <c r="A37" s="8">
        <v>30</v>
      </c>
      <c r="B37" s="8"/>
      <c r="C37" s="89"/>
      <c r="D37" s="89"/>
      <c r="E37" s="8"/>
      <c r="F37" s="8"/>
      <c r="G37" s="8"/>
      <c r="I37" s="17"/>
    </row>
    <row r="38" spans="1:9" x14ac:dyDescent="0.75">
      <c r="B38" s="8"/>
      <c r="C38" s="89"/>
      <c r="D38" s="89"/>
      <c r="E38" s="8"/>
      <c r="F38" s="8"/>
      <c r="G38" s="8"/>
      <c r="I38" s="17"/>
    </row>
    <row r="39" spans="1:9" x14ac:dyDescent="0.75">
      <c r="I39" s="17"/>
    </row>
    <row r="40" spans="1:9" x14ac:dyDescent="0.75">
      <c r="I40" s="17"/>
    </row>
    <row r="41" spans="1:9" x14ac:dyDescent="0.75">
      <c r="I41" s="17"/>
    </row>
  </sheetData>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D27C-4B22-4267-9BC8-FE172E30D00A}">
  <sheetPr codeName="Foglio53"/>
  <dimension ref="A1:O58"/>
  <sheetViews>
    <sheetView workbookViewId="0">
      <selection activeCell="G10" sqref="G10"/>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15.76953125" bestFit="1" customWidth="1"/>
    <col min="9" max="9" width="38.1328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tr">
        <f>C7&amp;"2Fhir"</f>
        <v>DocMetadataFSE2Fhir</v>
      </c>
      <c r="E4" s="30" t="str">
        <f>CONCATENATE("Mapping: ",C4)</f>
        <v>Mapping: DocMetadataFSE2Fhir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DocMetadataFSE model to PCSP HL7 FHIR R4 Profiles</v>
      </c>
      <c r="E6" s="31" t="str">
        <f>CONCATENATE("Title: ##34#",C6,"##34#")</f>
        <v>Title: ##34#DocMetadataFSE model to PCSP HL7 FHIR R4 Profiles##34#</v>
      </c>
      <c r="G6" s="1"/>
      <c r="H6" s="9"/>
      <c r="I6" s="9"/>
      <c r="J6" s="9"/>
      <c r="K6" s="9"/>
      <c r="L6" s="9"/>
      <c r="M6" s="9"/>
      <c r="N6" s="9"/>
      <c r="O6" s="9"/>
    </row>
    <row r="7" spans="1:15" ht="15.5" thickBot="1" x14ac:dyDescent="0.9">
      <c r="B7" s="94" t="s">
        <v>78</v>
      </c>
      <c r="C7" s="91" t="str">
        <f>B9</f>
        <v>DocMetadataFSE</v>
      </c>
      <c r="E7" s="31" t="str">
        <f>CONCATENATE("Source: ",C7)</f>
        <v>Source: DocMetadataFSE</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44.25" x14ac:dyDescent="0.75">
      <c r="A9" s="8"/>
      <c r="B9" s="4" t="str">
        <f>Meta!B5</f>
        <v>DocMetadataFSE</v>
      </c>
      <c r="C9" s="4" t="s">
        <v>1091</v>
      </c>
      <c r="E9" s="4" t="str">
        <f>CONCATENATE("* . -&gt; ##34#",C9,"##34#")</f>
        <v>* . -&gt; ##34#MedicationAdministration.conformsTo('http://hl7.eu/fhir/ig/pcsp/StructureDefinition/MedicationAdministration-eu-pcsp')##34#</v>
      </c>
      <c r="H9" s="9"/>
      <c r="I9" s="9"/>
      <c r="J9" s="9"/>
      <c r="K9" s="9"/>
      <c r="L9" s="9"/>
      <c r="M9" s="9"/>
      <c r="N9" s="9"/>
      <c r="O9" s="9"/>
    </row>
    <row r="10" spans="1:15" x14ac:dyDescent="0.75">
      <c r="A10" s="8"/>
      <c r="B10" s="17" t="str">
        <f>Meta!B8</f>
        <v>identifier</v>
      </c>
      <c r="C10" s="20" t="s">
        <v>1570</v>
      </c>
      <c r="E10" s="17" t="str">
        <f>CONCATENATE("* ",B10," -&gt; ##34#",C10,"##34#")</f>
        <v>* identifier -&gt; ##34# DocumentReference.masterIdentifier##34#</v>
      </c>
      <c r="G10" t="b">
        <f>IF(B10=H10,TRUE, FALSE)</f>
        <v>1</v>
      </c>
      <c r="H10" s="8" t="s">
        <v>12</v>
      </c>
      <c r="I10" s="20" t="s">
        <v>1570</v>
      </c>
      <c r="J10" s="9"/>
      <c r="K10" s="9"/>
      <c r="L10" s="9"/>
      <c r="M10" s="9"/>
      <c r="N10" s="9"/>
      <c r="O10" s="9"/>
    </row>
    <row r="11" spans="1:15" ht="29.5" x14ac:dyDescent="0.75">
      <c r="A11" s="8"/>
      <c r="B11" s="17" t="str">
        <f>Meta!B9</f>
        <v>mimeType</v>
      </c>
      <c r="C11" s="20" t="s">
        <v>1571</v>
      </c>
      <c r="E11" s="17" t="str">
        <f t="shared" ref="E11:E58" si="0">CONCATENATE("* ",B11," -&gt; ##34#",C11,"##34#")</f>
        <v>* mimeType -&gt; ##34#DocumentReference.content.attachment.contentType##34#</v>
      </c>
      <c r="G11" t="b">
        <f t="shared" ref="G11:G31" si="1">IF(B11=H11,TRUE, FALSE)</f>
        <v>1</v>
      </c>
      <c r="H11" s="8" t="s">
        <v>1509</v>
      </c>
      <c r="I11" s="20" t="s">
        <v>1571</v>
      </c>
      <c r="J11" s="9"/>
      <c r="K11" s="9"/>
      <c r="L11" s="9"/>
      <c r="M11" s="9"/>
      <c r="N11" s="9"/>
      <c r="O11" s="9"/>
    </row>
    <row r="12" spans="1:15" ht="29.5" x14ac:dyDescent="0.75">
      <c r="A12" s="8"/>
      <c r="B12" s="17" t="str">
        <f>Meta!B10</f>
        <v>size</v>
      </c>
      <c r="C12" s="20" t="s">
        <v>1572</v>
      </c>
      <c r="E12" s="17" t="str">
        <f t="shared" si="0"/>
        <v>* size -&gt; ##34#DocumentReference.content.attachment.size##34#</v>
      </c>
      <c r="G12" t="b">
        <f t="shared" si="1"/>
        <v>1</v>
      </c>
      <c r="H12" s="8" t="s">
        <v>1513</v>
      </c>
      <c r="I12" s="20" t="s">
        <v>1572</v>
      </c>
      <c r="J12" s="9"/>
      <c r="K12" s="9"/>
      <c r="L12" s="9"/>
      <c r="M12" s="9"/>
      <c r="N12" s="9"/>
      <c r="O12" s="9"/>
    </row>
    <row r="13" spans="1:15" ht="59" x14ac:dyDescent="0.75">
      <c r="A13" s="8"/>
      <c r="B13" s="17" t="str">
        <f>Meta!B11</f>
        <v>hash</v>
      </c>
      <c r="C13" s="17" t="s">
        <v>1573</v>
      </c>
      <c r="E13" s="17" t="str">
        <f t="shared" si="0"/>
        <v>* hash -&gt; ##34#DocumentReference.content.attachment.hash##34#</v>
      </c>
      <c r="G13" t="b">
        <f t="shared" si="1"/>
        <v>1</v>
      </c>
      <c r="H13" s="8" t="s">
        <v>1516</v>
      </c>
      <c r="I13" s="17" t="s">
        <v>1573</v>
      </c>
      <c r="J13" s="9"/>
      <c r="K13" s="9"/>
      <c r="L13" s="9"/>
      <c r="M13" s="9"/>
      <c r="N13" s="9"/>
      <c r="O13" s="9"/>
    </row>
    <row r="14" spans="1:15" x14ac:dyDescent="0.75">
      <c r="A14" s="8"/>
      <c r="B14" s="17" t="str">
        <f>Meta!B12</f>
        <v>code</v>
      </c>
      <c r="C14" s="20" t="s">
        <v>1574</v>
      </c>
      <c r="E14" s="17" t="str">
        <f t="shared" si="0"/>
        <v>* code -&gt; ##34#DocumentReference.type##34#</v>
      </c>
      <c r="G14" t="b">
        <f t="shared" si="1"/>
        <v>1</v>
      </c>
      <c r="H14" s="8" t="s">
        <v>1512</v>
      </c>
      <c r="I14" s="20" t="s">
        <v>1574</v>
      </c>
      <c r="J14" s="9"/>
      <c r="K14" s="9"/>
      <c r="L14" s="9"/>
      <c r="M14" s="9"/>
      <c r="N14" s="9"/>
      <c r="O14" s="9"/>
    </row>
    <row r="15" spans="1:15" x14ac:dyDescent="0.75">
      <c r="A15" s="8"/>
      <c r="B15" s="17" t="str">
        <f>Meta!B13</f>
        <v>classCode</v>
      </c>
      <c r="C15" s="20" t="s">
        <v>1575</v>
      </c>
      <c r="E15" s="17" t="str">
        <f t="shared" si="0"/>
        <v>* classCode -&gt; ##34#DocumentReference.category##34#</v>
      </c>
      <c r="G15" t="b">
        <f t="shared" si="1"/>
        <v>1</v>
      </c>
      <c r="H15" s="8" t="s">
        <v>1521</v>
      </c>
      <c r="I15" s="20" t="s">
        <v>1575</v>
      </c>
      <c r="J15" s="9"/>
      <c r="K15" s="9"/>
      <c r="L15" s="9"/>
      <c r="M15" s="9"/>
      <c r="N15" s="9"/>
      <c r="O15" s="9"/>
    </row>
    <row r="16" spans="1:15" x14ac:dyDescent="0.75">
      <c r="A16" s="8"/>
      <c r="B16" s="17" t="str">
        <f>Meta!B14</f>
        <v>contentType</v>
      </c>
      <c r="C16" s="20" t="s">
        <v>1576</v>
      </c>
      <c r="E16" s="17" t="str">
        <f t="shared" si="0"/>
        <v>* contentType -&gt; ##34#DocumentReference.category (TBC)##34#</v>
      </c>
      <c r="G16" t="b">
        <f t="shared" si="1"/>
        <v>1</v>
      </c>
      <c r="H16" s="8" t="s">
        <v>1524</v>
      </c>
      <c r="I16" s="20" t="s">
        <v>1576</v>
      </c>
      <c r="J16" s="9"/>
      <c r="K16" s="9"/>
      <c r="L16" s="9"/>
      <c r="M16" s="9"/>
      <c r="N16" s="9"/>
      <c r="O16" s="9"/>
    </row>
    <row r="17" spans="1:15" ht="29.5" x14ac:dyDescent="0.75">
      <c r="A17" s="8"/>
      <c r="B17" s="17" t="str">
        <f>Meta!B15</f>
        <v>creationDate</v>
      </c>
      <c r="C17" s="20" t="s">
        <v>1577</v>
      </c>
      <c r="E17" s="17" t="str">
        <f t="shared" si="0"/>
        <v>* creationDate -&gt; ##34#DocumentReference.content.attachment.creation##34#</v>
      </c>
      <c r="G17" t="b">
        <f t="shared" si="1"/>
        <v>1</v>
      </c>
      <c r="H17" s="8" t="s">
        <v>1527</v>
      </c>
      <c r="I17" s="20" t="s">
        <v>1577</v>
      </c>
      <c r="J17" s="9"/>
      <c r="K17" s="9"/>
      <c r="L17" s="9"/>
      <c r="M17" s="9"/>
      <c r="N17" s="9"/>
      <c r="O17" s="9"/>
    </row>
    <row r="18" spans="1:15" x14ac:dyDescent="0.75">
      <c r="A18" s="8"/>
      <c r="B18" s="17" t="str">
        <f>Meta!B16</f>
        <v>confidentiality</v>
      </c>
      <c r="C18" s="17" t="s">
        <v>1578</v>
      </c>
      <c r="E18" s="17" t="str">
        <f t="shared" si="0"/>
        <v>* confidentiality -&gt; ##34#DocumentReference.securityLabel##34#</v>
      </c>
      <c r="G18" t="b">
        <f t="shared" si="1"/>
        <v>1</v>
      </c>
      <c r="H18" s="8" t="s">
        <v>1530</v>
      </c>
      <c r="I18" s="17" t="s">
        <v>1578</v>
      </c>
      <c r="J18" s="9"/>
      <c r="K18" s="9"/>
      <c r="L18" s="9"/>
      <c r="M18" s="9"/>
      <c r="N18" s="9"/>
      <c r="O18" s="9"/>
    </row>
    <row r="19" spans="1:15" x14ac:dyDescent="0.75">
      <c r="A19" s="8"/>
      <c r="B19" s="17" t="str">
        <f>Meta!B17</f>
        <v>mask</v>
      </c>
      <c r="C19" s="17" t="s">
        <v>1578</v>
      </c>
      <c r="E19" s="17" t="str">
        <f t="shared" si="0"/>
        <v>* mask -&gt; ##34#DocumentReference.securityLabel##34#</v>
      </c>
      <c r="G19" t="b">
        <f t="shared" si="1"/>
        <v>1</v>
      </c>
      <c r="H19" s="8" t="s">
        <v>1532</v>
      </c>
      <c r="I19" s="17" t="s">
        <v>1578</v>
      </c>
    </row>
    <row r="20" spans="1:15" ht="29.5" x14ac:dyDescent="0.75">
      <c r="A20" s="8"/>
      <c r="B20" s="17" t="str">
        <f>Meta!B18</f>
        <v>replace</v>
      </c>
      <c r="C20" s="17" t="s">
        <v>1579</v>
      </c>
      <c r="E20" s="17" t="str">
        <f t="shared" si="0"/>
        <v>* replace -&gt; ##34#DocumentReference.relatesTo.where(code = 'replaces').target##34#</v>
      </c>
      <c r="G20" t="b">
        <f t="shared" si="1"/>
        <v>1</v>
      </c>
      <c r="H20" s="8" t="s">
        <v>1535</v>
      </c>
      <c r="I20" s="17" t="s">
        <v>1579</v>
      </c>
    </row>
    <row r="21" spans="1:15" x14ac:dyDescent="0.75">
      <c r="A21" s="8"/>
      <c r="B21" s="17" t="str">
        <f>Meta!B19</f>
        <v>formatCode</v>
      </c>
      <c r="C21" s="17" t="s">
        <v>1580</v>
      </c>
      <c r="E21" s="17" t="str">
        <f t="shared" si="0"/>
        <v>* formatCode -&gt; ##34#DocumentReference.content.format##34#</v>
      </c>
      <c r="G21" t="b">
        <f t="shared" si="1"/>
        <v>1</v>
      </c>
      <c r="H21" s="8" t="s">
        <v>1538</v>
      </c>
      <c r="I21" s="17" t="s">
        <v>1580</v>
      </c>
    </row>
    <row r="22" spans="1:15" x14ac:dyDescent="0.75">
      <c r="A22" s="8"/>
      <c r="B22" s="17" t="str">
        <f>Meta!B20</f>
        <v>repositoryId</v>
      </c>
      <c r="C22" s="17" t="s">
        <v>1581</v>
      </c>
      <c r="E22" s="17" t="str">
        <f t="shared" si="0"/>
        <v>* repositoryId -&gt; ##34#DocumentReference.content.attachment.url##34#</v>
      </c>
      <c r="G22" t="b">
        <f t="shared" si="1"/>
        <v>1</v>
      </c>
      <c r="H22" s="8" t="s">
        <v>1541</v>
      </c>
      <c r="I22" s="17" t="s">
        <v>1581</v>
      </c>
    </row>
    <row r="23" spans="1:15" x14ac:dyDescent="0.75">
      <c r="A23" s="8"/>
      <c r="B23" s="17" t="str">
        <f>Meta!B21</f>
        <v>indexDate</v>
      </c>
      <c r="C23" s="20" t="s">
        <v>1582</v>
      </c>
      <c r="E23" s="17" t="str">
        <f t="shared" si="0"/>
        <v>* indexDate -&gt; ##34#DocumentReference.date (TBC)##34#</v>
      </c>
      <c r="G23" t="b">
        <f t="shared" si="1"/>
        <v>1</v>
      </c>
      <c r="H23" s="8" t="s">
        <v>1544</v>
      </c>
      <c r="I23" s="20" t="s">
        <v>1582</v>
      </c>
    </row>
    <row r="24" spans="1:15" x14ac:dyDescent="0.75">
      <c r="A24" s="8"/>
      <c r="B24" s="17" t="str">
        <f>Meta!B22</f>
        <v>practiceSettingCode</v>
      </c>
      <c r="C24" s="17" t="s">
        <v>1583</v>
      </c>
      <c r="E24" s="17" t="str">
        <f t="shared" si="0"/>
        <v>* practiceSettingCode -&gt; ##34#DocumentReference.context.practiceSetting##34#</v>
      </c>
      <c r="G24" t="b">
        <f t="shared" si="1"/>
        <v>1</v>
      </c>
      <c r="H24" s="8" t="s">
        <v>1547</v>
      </c>
      <c r="I24" s="17" t="s">
        <v>1583</v>
      </c>
    </row>
    <row r="25" spans="1:15" ht="29.5" x14ac:dyDescent="0.75">
      <c r="A25" s="8"/>
      <c r="B25" s="17" t="str">
        <f>Meta!B23</f>
        <v>patientFiscalCode</v>
      </c>
      <c r="C25" s="20" t="s">
        <v>1584</v>
      </c>
      <c r="E25" s="17" t="str">
        <f t="shared" si="0"/>
        <v>* patientFiscalCode -&gt; ##34#DocumentReference.subject.resolve().ofType(Patient).identifier##34#</v>
      </c>
      <c r="G25" t="b">
        <f t="shared" si="1"/>
        <v>1</v>
      </c>
      <c r="H25" s="8" t="s">
        <v>1550</v>
      </c>
      <c r="I25" s="20" t="s">
        <v>1584</v>
      </c>
    </row>
    <row r="26" spans="1:15" x14ac:dyDescent="0.75">
      <c r="A26" s="8"/>
      <c r="B26" s="17" t="str">
        <f>Meta!B24</f>
        <v>author</v>
      </c>
      <c r="C26" s="20" t="s">
        <v>1585</v>
      </c>
      <c r="E26" s="17" t="str">
        <f t="shared" si="0"/>
        <v>* author -&gt; ##34#DocumentReference.author##34#</v>
      </c>
      <c r="G26" t="b">
        <f t="shared" si="1"/>
        <v>1</v>
      </c>
      <c r="H26" s="8" t="s">
        <v>1553</v>
      </c>
      <c r="I26" s="20" t="s">
        <v>1585</v>
      </c>
    </row>
    <row r="27" spans="1:15" ht="44.25" x14ac:dyDescent="0.75">
      <c r="A27" s="8"/>
      <c r="B27" s="17" t="str">
        <f>Meta!B25</f>
        <v>author.fiscalCode</v>
      </c>
      <c r="C27" s="20" t="s">
        <v>1586</v>
      </c>
      <c r="E27" s="17" t="str">
        <f t="shared" si="0"/>
        <v>* author.fiscalCode -&gt; ##34#DocumentReference.author.resolve().ofType(PractitionerRole).organization.resolve().identifier##34#</v>
      </c>
      <c r="G27" t="b">
        <f t="shared" si="1"/>
        <v>1</v>
      </c>
      <c r="H27" s="8" t="s">
        <v>1555</v>
      </c>
      <c r="I27" s="20" t="s">
        <v>1586</v>
      </c>
    </row>
    <row r="28" spans="1:15" ht="44.25" x14ac:dyDescent="0.75">
      <c r="A28" s="8"/>
      <c r="B28" s="17" t="str">
        <f>Meta!B26</f>
        <v>author.orgCode</v>
      </c>
      <c r="C28" s="20" t="s">
        <v>1587</v>
      </c>
      <c r="E28" s="17" t="str">
        <f t="shared" si="0"/>
        <v>* author.orgCode -&gt; ##34#DocumentReference.author.resolve().ofType(PractitionerRole).practitioner.resolve().ofType(Practitioner).identifier##34#</v>
      </c>
      <c r="G28" t="b">
        <f t="shared" si="1"/>
        <v>1</v>
      </c>
      <c r="H28" s="8" t="s">
        <v>1558</v>
      </c>
      <c r="I28" s="20" t="s">
        <v>1587</v>
      </c>
    </row>
    <row r="29" spans="1:15" ht="44.25" x14ac:dyDescent="0.75">
      <c r="A29" s="8"/>
      <c r="B29" s="17" t="str">
        <f>Meta!B27</f>
        <v>author.role</v>
      </c>
      <c r="C29" s="20" t="s">
        <v>1588</v>
      </c>
      <c r="E29" s="17" t="str">
        <f t="shared" si="0"/>
        <v>* author.role -&gt; ##34#DocumentReference.author.resolve().ofType(PractitionerRole).organization.resolve().code##34#</v>
      </c>
      <c r="G29" t="b">
        <f t="shared" si="1"/>
        <v>1</v>
      </c>
      <c r="H29" s="8" t="s">
        <v>1561</v>
      </c>
      <c r="I29" s="20" t="s">
        <v>1588</v>
      </c>
    </row>
    <row r="30" spans="1:15" ht="29.5" x14ac:dyDescent="0.75">
      <c r="A30" s="8"/>
      <c r="B30" s="17" t="str">
        <f>Meta!B28</f>
        <v>attesterFiscalCode</v>
      </c>
      <c r="C30" s="20" t="s">
        <v>1589</v>
      </c>
      <c r="E30" s="17" t="str">
        <f t="shared" si="0"/>
        <v>* attesterFiscalCode -&gt; ##34#DocumentReference.author.resolve().ofType(Practitioner).identifier##34#</v>
      </c>
      <c r="G30" t="b">
        <f t="shared" si="1"/>
        <v>1</v>
      </c>
      <c r="H30" s="8" t="s">
        <v>1564</v>
      </c>
      <c r="I30" s="20" t="s">
        <v>1589</v>
      </c>
    </row>
    <row r="31" spans="1:15" ht="29.5" x14ac:dyDescent="0.75">
      <c r="A31" s="8"/>
      <c r="B31" s="17" t="str">
        <f>Meta!B29</f>
        <v>custiodian</v>
      </c>
      <c r="C31" s="20" t="s">
        <v>1590</v>
      </c>
      <c r="E31" s="17" t="str">
        <f t="shared" si="0"/>
        <v>* custiodian -&gt; ##34#DocumentReference.custodian.resolve().identifier##34#</v>
      </c>
      <c r="G31" t="b">
        <f t="shared" si="1"/>
        <v>1</v>
      </c>
      <c r="H31" s="8" t="s">
        <v>1567</v>
      </c>
      <c r="I31" s="20" t="s">
        <v>1590</v>
      </c>
    </row>
    <row r="32" spans="1:15" x14ac:dyDescent="0.75">
      <c r="A32" s="8"/>
      <c r="B32" s="17"/>
      <c r="C32" s="17"/>
      <c r="E32" s="17" t="str">
        <f t="shared" si="0"/>
        <v>*  -&gt; ##34###34#</v>
      </c>
    </row>
    <row r="33" spans="1:5" x14ac:dyDescent="0.75">
      <c r="A33" s="8"/>
      <c r="B33" s="17"/>
      <c r="C33" s="17"/>
      <c r="E33" s="17" t="str">
        <f t="shared" si="0"/>
        <v>*  -&gt; ##34###34#</v>
      </c>
    </row>
    <row r="34" spans="1:5" x14ac:dyDescent="0.75">
      <c r="B34" s="17"/>
      <c r="C34" s="17"/>
      <c r="E34" s="17" t="str">
        <f t="shared" si="0"/>
        <v>*  -&gt; ##34###34#</v>
      </c>
    </row>
    <row r="35" spans="1:5" x14ac:dyDescent="0.75">
      <c r="B35" s="17"/>
      <c r="C35" s="20"/>
      <c r="E35" s="17" t="str">
        <f t="shared" si="0"/>
        <v>*  -&gt; ##34###34#</v>
      </c>
    </row>
    <row r="36" spans="1:5" x14ac:dyDescent="0.75">
      <c r="B36" s="17"/>
      <c r="C36" s="20"/>
      <c r="E36" s="17" t="str">
        <f t="shared" si="0"/>
        <v>*  -&gt; ##34###34#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si="0"/>
        <v>*  -&gt; ##34###34#</v>
      </c>
    </row>
    <row r="44" spans="1:5" x14ac:dyDescent="0.75">
      <c r="B44" s="17"/>
      <c r="C44" s="17"/>
      <c r="E44" s="17" t="str">
        <f t="shared" si="0"/>
        <v>*  -&gt; ##34###34#</v>
      </c>
    </row>
    <row r="45" spans="1:5" x14ac:dyDescent="0.75">
      <c r="B45" s="17"/>
      <c r="C45" s="17"/>
      <c r="E45" s="17" t="str">
        <f t="shared" si="0"/>
        <v>*  -&gt; ##34###34#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D7FE6-1DCB-4EC9-A45D-E1D6CFB7EA4E}">
  <sheetPr codeName="Foglio21">
    <tabColor theme="9" tint="0.39997558519241921"/>
  </sheetPr>
  <dimension ref="C1:G73"/>
  <sheetViews>
    <sheetView workbookViewId="0">
      <selection activeCell="C82" sqref="C74:C82"/>
    </sheetView>
  </sheetViews>
  <sheetFormatPr defaultRowHeight="14.75" x14ac:dyDescent="0.75"/>
  <cols>
    <col min="3" max="3" width="108.2265625" style="17" customWidth="1"/>
    <col min="7" max="7" width="33.26953125" customWidth="1"/>
  </cols>
  <sheetData>
    <row r="1" spans="3:7" ht="15.5" thickBot="1" x14ac:dyDescent="0.9">
      <c r="C1" s="34" t="str">
        <f>Meta!I1</f>
        <v>// -------------------------------------------------------------------------------</v>
      </c>
    </row>
    <row r="2" spans="3:7" ht="16.75" thickBot="1" x14ac:dyDescent="0.9">
      <c r="C2" s="35" t="str">
        <f>Meta!I2</f>
        <v>//  Logical Model</v>
      </c>
      <c r="G2" s="92" t="str">
        <f>"pcsp-"&amp;'Meta-Map'!C7&amp;".fsh"</f>
        <v>pcsp-DocMetadataFSE.fsh</v>
      </c>
    </row>
    <row r="3" spans="3:7" x14ac:dyDescent="0.75">
      <c r="C3" s="35" t="str">
        <f>Meta!I3</f>
        <v>// -------------------------------------------------------------------------------</v>
      </c>
    </row>
    <row r="4" spans="3:7" x14ac:dyDescent="0.75">
      <c r="C4" s="27" t="str">
        <f>Meta!I4</f>
        <v>Logical: DocMetadataFSE</v>
      </c>
    </row>
    <row r="5" spans="3:7" x14ac:dyDescent="0.75">
      <c r="C5" s="27" t="str">
        <f>Meta!I5</f>
        <v>Id: DocMetadataFSE</v>
      </c>
    </row>
    <row r="6" spans="3:7" x14ac:dyDescent="0.75">
      <c r="C6" s="27" t="str">
        <f>Meta!I6</f>
        <v>Title: ##34#Metadata FSE Italy##34#</v>
      </c>
    </row>
    <row r="7" spans="3:7" ht="29.5" x14ac:dyDescent="0.75">
      <c r="C7" s="27" t="str">
        <f>Meta!I7</f>
        <v>Description:  ##334#Metadata FSE Italy.
Maturity Level: 0##334#</v>
      </c>
    </row>
    <row r="8" spans="3:7" ht="44.25" x14ac:dyDescent="0.75">
      <c r="C8" s="17" t="str">
        <f>IF(Meta!I8="*  ..  ##34###34# ##334###334#","//--- END",Meta!I8)</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3:7" ht="29.5" x14ac:dyDescent="0.75">
      <c r="C9" s="17" t="str">
        <f>IF(Meta!I9="*  ..  ##34###34# ##334###334#","//--- END",Meta!I9)</f>
        <v>* mimeType 0..1 code ##34#MIME type##34# ##334#Tipo mime del documento##334#</v>
      </c>
    </row>
    <row r="10" spans="3:7" ht="29.5" x14ac:dyDescent="0.75">
      <c r="C10" s="17" t="str">
        <f>IF(Meta!I10="*  ..  ##34###34# ##334###334#","//--- END",Meta!I10)</f>
        <v>* size 0..1 unsignedInt ##34#size##34# ##334#Size del documento##334#</v>
      </c>
    </row>
    <row r="11" spans="3:7" ht="29.5" x14ac:dyDescent="0.75">
      <c r="C11" s="17" t="str">
        <f>IF(Meta!I11="*  ..  ##34###34# ##334###334#","//--- END",Meta!I11)</f>
        <v>* hash 0..1 base64Binary ##34#hash##34# ##334#Hash del documento##334#</v>
      </c>
    </row>
    <row r="12" spans="3:7" ht="29.5" x14ac:dyDescent="0.75">
      <c r="C12" s="17" t="str">
        <f>IF(Meta!I12="*  ..  ##34###34# ##334###334#","//--- END",Meta!I12)</f>
        <v>* code 0..1 CodeableConcept ##34#document code##34# ##334#Codice loinc del documento (parliamone)##334#</v>
      </c>
    </row>
    <row r="13" spans="3:7" x14ac:dyDescent="0.75">
      <c r="C13" s="17" t="str">
        <f>IF(Meta!I13="*  ..  ##34###34# ##334###334#","//--- END",Meta!I13)</f>
        <v>* classCode 0..1 CodeableConcept ##34#Type of document##34# ##334#Tipo documento (REF)##334#</v>
      </c>
    </row>
    <row r="14" spans="3:7" ht="29.5" x14ac:dyDescent="0.75">
      <c r="C14" s="17" t="str">
        <f>IF(Meta!I14="*  ..  ##34###34# ##334###334#","//--- END",Meta!I14)</f>
        <v>* contentType 0..1 CodeableConcept ##34#Content Type##34# ##334#Content type code (da decidere se consulto o dimissione)##334#</v>
      </c>
    </row>
    <row r="15" spans="3:7" x14ac:dyDescent="0.75">
      <c r="C15" s="17" t="str">
        <f>IF(Meta!I15="*  ..  ##34###34# ##334###334#","//--- END",Meta!I15)</f>
        <v>* creationDate 0..1 dateTime ##34#creation date##34# ##334#Data creazione del documento##334#</v>
      </c>
    </row>
    <row r="16" spans="3:7" ht="29.5" x14ac:dyDescent="0.75">
      <c r="C16" s="17" t="str">
        <f>IF(Meta!I16="*  ..  ##34###34# ##334###334#","//--- END",Meta!I16)</f>
        <v>* confidentiality 0..1 CodeableConcept ##34#confidentiality##34# ##334#Confidentiality (propendo per V, sarebbe un default))##334#</v>
      </c>
    </row>
    <row r="17" spans="3:3" ht="29.5" x14ac:dyDescent="0.75">
      <c r="C17" s="17" t="str">
        <f>IF(Meta!I17="*  ..  ##34###34# ##334###334#","//--- END",Meta!I17)</f>
        <v>* mask 0..1 CodeableConcept ##34#mask (oscuramento)##34# ##334#Oscuramento (propendo per l'invio come oscurato, sarebbe un default)##334#</v>
      </c>
    </row>
    <row r="18" spans="3:3" x14ac:dyDescent="0.75">
      <c r="C18" s="17" t="str">
        <f>IF(Meta!I18="*  ..  ##34###34# ##334###334#","//--- END",Meta!I18)</f>
        <v>* replace 0..1 Identifier ##34#replaced document##34# ##334#Eventuale documento sostituito (oid + extension)##334#</v>
      </c>
    </row>
    <row r="19" spans="3:3" x14ac:dyDescent="0.75">
      <c r="C19" s="17" t="str">
        <f>IF(Meta!I19="*  ..  ##34###34# ##334###334#","//--- END",Meta!I19)</f>
        <v>* formatCode 0..1 CodeableConcept ##34#Format of document##34# ##334#Formato documento (PDF)##334#</v>
      </c>
    </row>
    <row r="20" spans="3:3" x14ac:dyDescent="0.75">
      <c r="C20" s="17" t="str">
        <f>IF(Meta!I20="*  ..  ##34###34# ##334###334#","//--- END",Meta!I20)</f>
        <v>* repositoryId 0..1 Identifier ##34#Repository Id##34# ##334#Id repository (Gaslini ne ha uno)##334#</v>
      </c>
    </row>
    <row r="21" spans="3:3" x14ac:dyDescent="0.75">
      <c r="C21" s="17" t="str">
        <f>IF(Meta!I21="*  ..  ##34###34# ##334###334#","//--- END",Meta!I21)</f>
        <v>* indexDate 0..1 dateTime ##34#Index Date##34# ##334#Data indicizzazione (la aggiunge chi indicizza)##334#</v>
      </c>
    </row>
    <row r="22" spans="3:3" ht="29.5" x14ac:dyDescent="0.75">
      <c r="C22" s="17" t="str">
        <f>IF(Meta!I22="*  ..  ##34###34# ##334###334#","//--- END",Meta!I22)</f>
        <v>* practiceSettingCode 0..1 CodeableConcept ##34#Practice setting code##34# ##334#Practice setting code (da stabilire con Gaslini)##334#</v>
      </c>
    </row>
    <row r="23" spans="3:3" ht="29.5" x14ac:dyDescent="0.75">
      <c r="C23" s="17" t="str">
        <f>IF(Meta!I23="*  ..  ##34###34# ##334###334#","//--- END",Meta!I23)</f>
        <v>* patientFiscalCode 0..1 Identifier ##34#Patient Fiscal Code##34# ##334#Codice fiscale paziente soggetto del documento##334#</v>
      </c>
    </row>
    <row r="24" spans="3:3" x14ac:dyDescent="0.75">
      <c r="C24" s="17" t="str">
        <f>IF(Meta!I24="*  ..  ##34###34# ##334###334#","//--- END",Meta!I24)</f>
        <v>* author 0..1 BackboneElement ##34#Author##34# ##334#Author##334#</v>
      </c>
    </row>
    <row r="25" spans="3:3" x14ac:dyDescent="0.75">
      <c r="C25" s="17" t="str">
        <f>IF(Meta!I25="*  ..  ##34###34# ##334###334#","//--- END",Meta!I25)</f>
        <v>* author.fiscalCode 0..1 Identifier ##34#Author Fiscal Code##34# ##334#Codice fiscale autore del documento##334#</v>
      </c>
    </row>
    <row r="26" spans="3:3" ht="29.5" x14ac:dyDescent="0.75">
      <c r="C26" s="17" t="str">
        <f>IF(Meta!I26="*  ..  ##34###34# ##334###334#","//--- END",Meta!I26)</f>
        <v>* author.orgCode 0..1 CodeableConcept ##34#Author Organization (code)##34# ##334#Struttura dell'autore (codifica come sopra)##334#</v>
      </c>
    </row>
    <row r="27" spans="3:3" x14ac:dyDescent="0.75">
      <c r="C27" s="17" t="str">
        <f>IF(Meta!I27="*  ..  ##34###34# ##334###334#","//--- END",Meta!I27)</f>
        <v>* author.role 0..1 CodeableConcept ##34#Author Role (code)##34# ##334#Ruolo autore (codifica come sopra)##334#</v>
      </c>
    </row>
    <row r="28" spans="3:3" x14ac:dyDescent="0.75">
      <c r="C28" s="17" t="str">
        <f>IF(Meta!I28="*  ..  ##34###34# ##334###334#","//--- END",Meta!I28)</f>
        <v>* attesterFiscalCode 0..1 Identifier ##34#Attester Fiscal Code##34# ##334#Firmatario del documento (codice fiscale)##334#</v>
      </c>
    </row>
    <row r="29" spans="3:3" x14ac:dyDescent="0.75">
      <c r="C29" s="17" t="str">
        <f>IF(Meta!I29="*  ..  ##34###34# ##334###334#","//--- END",Meta!I29)</f>
        <v>* custiodian 0..1 CodeableConcept ##34#Custodian##34# ##334#Codice azienda custode del documento (070940)##334#</v>
      </c>
    </row>
    <row r="30" spans="3:3" x14ac:dyDescent="0.75">
      <c r="C30" s="17" t="str">
        <f>IF(Meta!I30="*  ..  ##34###34# ##334###334#","//--- END",Meta!I30)</f>
        <v>//--- END</v>
      </c>
    </row>
    <row r="31" spans="3:3" x14ac:dyDescent="0.75">
      <c r="C31" s="17" t="str">
        <f>IF(Meta!I31="*  ..  ##34###34# ##334###334#","//--- END",Meta!I31)</f>
        <v>//--- END</v>
      </c>
    </row>
    <row r="32" spans="3:3" x14ac:dyDescent="0.75">
      <c r="C32" s="17" t="str">
        <f>IF(Meta!I32="*  ..  ##34###34# ##334###334#","//--- END",Meta!I32)</f>
        <v>//--- END</v>
      </c>
    </row>
    <row r="39" spans="3:3" x14ac:dyDescent="0.75">
      <c r="C39" s="34" t="str">
        <f>'Meta-Map'!E1</f>
        <v>// -------------------------------------------------------------------------------</v>
      </c>
    </row>
    <row r="40" spans="3:3" x14ac:dyDescent="0.75">
      <c r="C40" s="35" t="str">
        <f>'Meta-Map'!E2</f>
        <v>//  Map to FHIR R4</v>
      </c>
    </row>
    <row r="41" spans="3:3" x14ac:dyDescent="0.75">
      <c r="C41" s="35" t="str">
        <f>'Meta-Map'!E3</f>
        <v>// -------------------------------------------------------------------------------</v>
      </c>
    </row>
    <row r="42" spans="3:3" x14ac:dyDescent="0.75">
      <c r="C42" s="17" t="str">
        <f>'Meta-Map'!E4</f>
        <v>Mapping: DocMetadataFSE2Fhir</v>
      </c>
    </row>
    <row r="43" spans="3:3" x14ac:dyDescent="0.75">
      <c r="C43" s="17" t="str">
        <f>'Meta-Map'!E5</f>
        <v>Id: fhir</v>
      </c>
    </row>
    <row r="44" spans="3:3" x14ac:dyDescent="0.75">
      <c r="C44" s="17" t="str">
        <f>'Meta-Map'!E6</f>
        <v>Title: ##34#DocMetadataFSE model to PCSP HL7 FHIR R4 Profiles##34#</v>
      </c>
    </row>
    <row r="45" spans="3:3" x14ac:dyDescent="0.75">
      <c r="C45" s="17" t="str">
        <f>'Meta-Map'!E7</f>
        <v>Source: DocMetadataFSE</v>
      </c>
    </row>
    <row r="46" spans="3:3" x14ac:dyDescent="0.75">
      <c r="C46" s="17" t="str">
        <f>'Meta-Map'!E8</f>
        <v>Target: ##34#hl7.org/fhir/r4##34#</v>
      </c>
    </row>
    <row r="48" spans="3:3" ht="29.5" x14ac:dyDescent="0.75">
      <c r="C48" s="17" t="str">
        <f>IF('Meta-Map'!E9="*  -&gt; ##34###34#","// --END",'Meta-Map'!E9)</f>
        <v>* . -&gt; ##34#MedicationAdministration.conformsTo('http://hl7.eu/fhir/ig/pcsp/StructureDefinition/MedicationAdministration-eu-pcsp')##34#</v>
      </c>
    </row>
    <row r="49" spans="3:3" x14ac:dyDescent="0.75">
      <c r="C49" s="17" t="str">
        <f>IF('Meta-Map'!E10="*  -&gt; ##34###34#","// --END",'Meta-Map'!E10)</f>
        <v>* identifier -&gt; ##34# DocumentReference.masterIdentifier##34#</v>
      </c>
    </row>
    <row r="50" spans="3:3" x14ac:dyDescent="0.75">
      <c r="C50" s="17" t="str">
        <f>IF('Meta-Map'!E11="*  -&gt; ##34###34#","// --END",'Meta-Map'!E11)</f>
        <v>* mimeType -&gt; ##34#DocumentReference.content.attachment.contentType##34#</v>
      </c>
    </row>
    <row r="51" spans="3:3" x14ac:dyDescent="0.75">
      <c r="C51" s="17" t="str">
        <f>IF('Meta-Map'!E12="*  -&gt; ##34###34#","// --END",'Meta-Map'!E12)</f>
        <v>* size -&gt; ##34#DocumentReference.content.attachment.size##34#</v>
      </c>
    </row>
    <row r="52" spans="3:3" x14ac:dyDescent="0.75">
      <c r="C52" s="17" t="str">
        <f>IF('Meta-Map'!E13="*  -&gt; ##34###34#","// --END",'Meta-Map'!E13)</f>
        <v>* hash -&gt; ##34#DocumentReference.content.attachment.hash##34#</v>
      </c>
    </row>
    <row r="53" spans="3:3" x14ac:dyDescent="0.75">
      <c r="C53" s="17" t="str">
        <f>IF('Meta-Map'!E14="*  -&gt; ##34###34#","// --END",'Meta-Map'!E14)</f>
        <v>* code -&gt; ##34#DocumentReference.type##34#</v>
      </c>
    </row>
    <row r="54" spans="3:3" x14ac:dyDescent="0.75">
      <c r="C54" s="17" t="str">
        <f>IF('Meta-Map'!E15="*  -&gt; ##34###34#","// --END",'Meta-Map'!E15)</f>
        <v>* classCode -&gt; ##34#DocumentReference.category##34#</v>
      </c>
    </row>
    <row r="55" spans="3:3" x14ac:dyDescent="0.75">
      <c r="C55" s="17" t="str">
        <f>IF('Meta-Map'!E16="*  -&gt; ##34###34#","// --END",'Meta-Map'!E16)</f>
        <v>* contentType -&gt; ##34#DocumentReference.category (TBC)##34#</v>
      </c>
    </row>
    <row r="56" spans="3:3" x14ac:dyDescent="0.75">
      <c r="C56" s="17" t="str">
        <f>IF('Meta-Map'!E17="*  -&gt; ##34###34#","// --END",'Meta-Map'!E17)</f>
        <v>* creationDate -&gt; ##34#DocumentReference.content.attachment.creation##34#</v>
      </c>
    </row>
    <row r="57" spans="3:3" x14ac:dyDescent="0.75">
      <c r="C57" s="17" t="str">
        <f>IF('Meta-Map'!E18="*  -&gt; ##34###34#","// --END",'Meta-Map'!E18)</f>
        <v>* confidentiality -&gt; ##34#DocumentReference.securityLabel##34#</v>
      </c>
    </row>
    <row r="58" spans="3:3" x14ac:dyDescent="0.75">
      <c r="C58" s="17" t="str">
        <f>IF('Meta-Map'!E19="*  -&gt; ##34###34#","// --END",'Meta-Map'!E19)</f>
        <v>* mask -&gt; ##34#DocumentReference.securityLabel##34#</v>
      </c>
    </row>
    <row r="59" spans="3:3" x14ac:dyDescent="0.75">
      <c r="C59" s="17" t="str">
        <f>IF('Meta-Map'!E20="*  -&gt; ##34###34#","// --END",'Meta-Map'!E20)</f>
        <v>* replace -&gt; ##34#DocumentReference.relatesTo.where(code = 'replaces').target##34#</v>
      </c>
    </row>
    <row r="60" spans="3:3" x14ac:dyDescent="0.75">
      <c r="C60" s="17" t="str">
        <f>IF('Meta-Map'!E21="*  -&gt; ##34###34#","// --END",'Meta-Map'!E21)</f>
        <v>* formatCode -&gt; ##34#DocumentReference.content.format##34#</v>
      </c>
    </row>
    <row r="61" spans="3:3" x14ac:dyDescent="0.75">
      <c r="C61" s="17" t="str">
        <f>IF('Meta-Map'!E22="*  -&gt; ##34###34#","// --END",'Meta-Map'!E22)</f>
        <v>* repositoryId -&gt; ##34#DocumentReference.content.attachment.url##34#</v>
      </c>
    </row>
    <row r="62" spans="3:3" x14ac:dyDescent="0.75">
      <c r="C62" s="17" t="str">
        <f>IF('Meta-Map'!E23="*  -&gt; ##34###34#","// --END",'Meta-Map'!E23)</f>
        <v>* indexDate -&gt; ##34#DocumentReference.date (TBC)##34#</v>
      </c>
    </row>
    <row r="63" spans="3:3" x14ac:dyDescent="0.75">
      <c r="C63" s="17" t="str">
        <f>IF('Meta-Map'!E24="*  -&gt; ##34###34#","// --END",'Meta-Map'!E24)</f>
        <v>* practiceSettingCode -&gt; ##34#DocumentReference.context.practiceSetting##34#</v>
      </c>
    </row>
    <row r="64" spans="3:3" x14ac:dyDescent="0.75">
      <c r="C64" s="17" t="str">
        <f>IF('Meta-Map'!E25="*  -&gt; ##34###34#","// --END",'Meta-Map'!E25)</f>
        <v>* patientFiscalCode -&gt; ##34#DocumentReference.subject.resolve().ofType(Patient).identifier##34#</v>
      </c>
    </row>
    <row r="65" spans="3:3" x14ac:dyDescent="0.75">
      <c r="C65" s="17" t="str">
        <f>IF('Meta-Map'!E26="*  -&gt; ##34###34#","// --END",'Meta-Map'!E26)</f>
        <v>* author -&gt; ##34#DocumentReference.author##34#</v>
      </c>
    </row>
    <row r="66" spans="3:3" ht="29.5" x14ac:dyDescent="0.75">
      <c r="C66" s="17" t="str">
        <f>IF('Meta-Map'!E27="*  -&gt; ##34###34#","// --END",'Meta-Map'!E27)</f>
        <v>* author.fiscalCode -&gt; ##34#DocumentReference.author.resolve().ofType(PractitionerRole).organization.resolve().identifier##34#</v>
      </c>
    </row>
    <row r="67" spans="3:3" ht="29.5" x14ac:dyDescent="0.75">
      <c r="C67" s="17" t="str">
        <f>IF('Meta-Map'!E28="*  -&gt; ##34###34#","// --END",'Meta-Map'!E28)</f>
        <v>* author.orgCode -&gt; ##34#DocumentReference.author.resolve().ofType(PractitionerRole).practitioner.resolve().ofType(Practitioner).identifier##34#</v>
      </c>
    </row>
    <row r="68" spans="3:3" x14ac:dyDescent="0.75">
      <c r="C68" s="17" t="str">
        <f>IF('Meta-Map'!E29="*  -&gt; ##34###34#","// --END",'Meta-Map'!E29)</f>
        <v>* author.role -&gt; ##34#DocumentReference.author.resolve().ofType(PractitionerRole).organization.resolve().code##34#</v>
      </c>
    </row>
    <row r="69" spans="3:3" x14ac:dyDescent="0.75">
      <c r="C69" s="17" t="str">
        <f>IF('Meta-Map'!E30="*  -&gt; ##34###34#","// --END",'Meta-Map'!E30)</f>
        <v>* attesterFiscalCode -&gt; ##34#DocumentReference.author.resolve().ofType(Practitioner).identifier##34#</v>
      </c>
    </row>
    <row r="70" spans="3:3" x14ac:dyDescent="0.75">
      <c r="C70" s="17" t="str">
        <f>IF('Meta-Map'!E31="*  -&gt; ##34###34#","// --END",'Meta-Map'!E31)</f>
        <v>* custiodian -&gt; ##34#DocumentReference.custodian.resolve().identifier##34#</v>
      </c>
    </row>
    <row r="71" spans="3:3" x14ac:dyDescent="0.75">
      <c r="C71" s="17" t="str">
        <f>IF('Meta-Map'!E32="*  -&gt; ##34###34#","// --END",'Meta-Map'!E32)</f>
        <v>// --END</v>
      </c>
    </row>
    <row r="72" spans="3:3" x14ac:dyDescent="0.75">
      <c r="C72" s="17" t="str">
        <f>IF('Meta-Map'!E33="*  -&gt; ##34###34#","// --END",'Meta-Map'!E33)</f>
        <v>// --END</v>
      </c>
    </row>
    <row r="73" spans="3:3" x14ac:dyDescent="0.75">
      <c r="C73" s="17" t="str">
        <f>IF('Meta-Map'!E34="*  -&gt; ##34###34#","// --END",'Meta-Map'!E34)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362ED-22C0-4B4B-B92B-16CFFD0AC77D}">
  <sheetPr codeName="Foglio39">
    <tabColor theme="4" tint="0.59999389629810485"/>
  </sheetPr>
  <dimension ref="A1:L25"/>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PlanOfCare</v>
      </c>
      <c r="I4" s="27" t="str">
        <f>CONCATENATE("Logical: ",B4)</f>
        <v>Logical: PlanOfCare</v>
      </c>
    </row>
    <row r="5" spans="1:11" ht="15.5" thickBot="1" x14ac:dyDescent="0.9">
      <c r="A5" s="22" t="s">
        <v>76</v>
      </c>
      <c r="B5" s="87" t="s">
        <v>1593</v>
      </c>
      <c r="I5" s="27" t="str">
        <f>CONCATENATE("Id: ",B5)</f>
        <v>Id: PlanOfCare</v>
      </c>
    </row>
    <row r="6" spans="1:11" x14ac:dyDescent="0.75">
      <c r="A6" s="22" t="s">
        <v>11</v>
      </c>
      <c r="B6" t="s">
        <v>1591</v>
      </c>
      <c r="C6" t="s">
        <v>1592</v>
      </c>
      <c r="I6" s="28" t="str">
        <f>CONCATENATE("Title: ##34#",B6,"##34#")</f>
        <v>Title: ##34#Care Plan##34#</v>
      </c>
    </row>
    <row r="7" spans="1:11" ht="15.5" thickBot="1" x14ac:dyDescent="0.9">
      <c r="A7" s="23" t="s">
        <v>4</v>
      </c>
      <c r="B7" t="s">
        <v>1592</v>
      </c>
      <c r="C7" s="12" t="s">
        <v>5</v>
      </c>
      <c r="D7" s="2" t="s">
        <v>6</v>
      </c>
      <c r="E7" s="3" t="s">
        <v>7</v>
      </c>
      <c r="F7" s="3" t="s">
        <v>8</v>
      </c>
      <c r="G7" s="3" t="s">
        <v>9</v>
      </c>
      <c r="I7" s="28" t="str">
        <f>CONCATENATE("Description: "," ##334#",B7,"##334#",)</f>
        <v>Description:  ##334#Care Plan
Maturity Level: 0 - Draft##334#</v>
      </c>
    </row>
    <row r="8" spans="1:11" ht="44.25" x14ac:dyDescent="0.75">
      <c r="A8" s="8">
        <v>1</v>
      </c>
      <c r="B8" s="8" t="s">
        <v>12</v>
      </c>
      <c r="C8" s="8" t="s">
        <v>1594</v>
      </c>
      <c r="D8" s="8" t="s">
        <v>1595</v>
      </c>
      <c r="E8" s="8">
        <v>1</v>
      </c>
      <c r="F8" s="8" t="s">
        <v>851</v>
      </c>
      <c r="G8" s="8" t="s">
        <v>0</v>
      </c>
      <c r="H8" s="25"/>
      <c r="I8" s="17" t="str">
        <f>CONCATENATE("* ",B8, " ",E8,"..",F8," ",G8," ##34#",C8,"##34# ##334#",D8,"##334#")</f>
        <v>* identifier 1..* Identifier ##34#Care plan Identifier##34# ##334#Care plan business identifier##334#</v>
      </c>
    </row>
    <row r="9" spans="1:11" ht="44.25" x14ac:dyDescent="0.75">
      <c r="A9" s="8">
        <v>2</v>
      </c>
      <c r="B9" s="8" t="s">
        <v>1596</v>
      </c>
      <c r="C9" s="8" t="s">
        <v>1597</v>
      </c>
      <c r="D9" s="8" t="s">
        <v>1598</v>
      </c>
      <c r="E9" s="8">
        <v>0</v>
      </c>
      <c r="F9" s="8" t="s">
        <v>851</v>
      </c>
      <c r="G9" s="8" t="s">
        <v>0</v>
      </c>
      <c r="H9" s="25"/>
      <c r="I9" s="17" t="str">
        <f t="shared" ref="I9:I21" si="0">CONCATENATE("* ",B9, " ",E9,"..",F9," ",G9," ##34#",C9,"##34# ##334#",D9,"##334#")</f>
        <v>* addressedProblem 0..* Identifier ##34#Problems addressed by this plan##34# ##334#Problems (e.g. primary cancer) addressed by this plan##334#</v>
      </c>
    </row>
    <row r="10" spans="1:11" ht="44.25" x14ac:dyDescent="0.75">
      <c r="A10" s="8">
        <v>3</v>
      </c>
      <c r="B10" s="17" t="s">
        <v>1553</v>
      </c>
      <c r="C10" s="17" t="s">
        <v>1554</v>
      </c>
      <c r="D10" s="17" t="s">
        <v>1554</v>
      </c>
      <c r="E10" s="8">
        <v>0</v>
      </c>
      <c r="F10" s="8">
        <v>1</v>
      </c>
      <c r="G10" s="8" t="s">
        <v>841</v>
      </c>
      <c r="H10" s="25"/>
      <c r="I10" s="17" t="str">
        <f t="shared" si="0"/>
        <v>* author 0..1 BackboneElement ##34#Author##34# ##334#Author##334#</v>
      </c>
    </row>
    <row r="11" spans="1:11" ht="44.25" x14ac:dyDescent="0.75">
      <c r="A11" s="8">
        <v>4</v>
      </c>
      <c r="B11" s="17" t="s">
        <v>1599</v>
      </c>
      <c r="C11" s="17" t="s">
        <v>1600</v>
      </c>
      <c r="D11" s="17" t="s">
        <v>1600</v>
      </c>
      <c r="E11" s="8">
        <v>0</v>
      </c>
      <c r="F11" s="8">
        <v>1</v>
      </c>
      <c r="G11" s="8" t="s">
        <v>906</v>
      </c>
      <c r="H11" s="25"/>
      <c r="I11" s="17" t="str">
        <f t="shared" si="0"/>
        <v>* creationTime 0..1 dateTime ##34#Date the plan was created##34# ##334#Date the plan was created##334#</v>
      </c>
    </row>
    <row r="12" spans="1:11" x14ac:dyDescent="0.75">
      <c r="A12" s="8">
        <v>5</v>
      </c>
      <c r="B12" s="17" t="s">
        <v>881</v>
      </c>
      <c r="C12" s="17" t="s">
        <v>1601</v>
      </c>
      <c r="D12" s="17" t="s">
        <v>1601</v>
      </c>
      <c r="E12" s="8">
        <v>0</v>
      </c>
      <c r="F12" s="8">
        <v>1</v>
      </c>
      <c r="G12" s="8" t="s">
        <v>2</v>
      </c>
      <c r="H12" s="25"/>
      <c r="I12" s="17" t="str">
        <f t="shared" si="0"/>
        <v>* note 0..1 string ##34#Plan note##34# ##334#Plan note##334#</v>
      </c>
    </row>
    <row r="13" spans="1:11" ht="29.5" x14ac:dyDescent="0.75">
      <c r="A13" s="8">
        <v>6</v>
      </c>
      <c r="B13" s="17" t="s">
        <v>1602</v>
      </c>
      <c r="C13" s="17" t="s">
        <v>1603</v>
      </c>
      <c r="D13" s="17" t="s">
        <v>1603</v>
      </c>
      <c r="E13" s="8">
        <v>0</v>
      </c>
      <c r="F13" s="8">
        <v>1</v>
      </c>
      <c r="G13" s="8" t="s">
        <v>2</v>
      </c>
      <c r="H13" s="25"/>
      <c r="I13" s="17" t="str">
        <f t="shared" si="0"/>
        <v>* chronicConditions 0..1 string ##34#Chronic condition##34# ##334#Chronic condition##334#</v>
      </c>
    </row>
    <row r="14" spans="1:11" ht="29.5" x14ac:dyDescent="0.75">
      <c r="A14" s="8">
        <v>7</v>
      </c>
      <c r="B14" s="17" t="s">
        <v>1604</v>
      </c>
      <c r="C14" s="17" t="s">
        <v>1605</v>
      </c>
      <c r="D14" s="17" t="s">
        <v>1605</v>
      </c>
      <c r="E14" s="8">
        <v>1</v>
      </c>
      <c r="F14" s="8" t="s">
        <v>851</v>
      </c>
      <c r="G14" s="8" t="s">
        <v>841</v>
      </c>
      <c r="H14" s="25"/>
      <c r="I14" s="17" t="str">
        <f t="shared" si="0"/>
        <v>* reccomandation 1..* BackboneElement ##34#Reccomandation##34# ##334#Reccomandation##334#</v>
      </c>
    </row>
    <row r="15" spans="1:11" ht="29.5" x14ac:dyDescent="0.75">
      <c r="A15" s="8">
        <v>8</v>
      </c>
      <c r="B15" s="17" t="s">
        <v>1606</v>
      </c>
      <c r="C15" s="17" t="s">
        <v>1607</v>
      </c>
      <c r="D15" s="17" t="s">
        <v>1608</v>
      </c>
      <c r="E15" s="8">
        <v>0</v>
      </c>
      <c r="F15" s="8" t="s">
        <v>851</v>
      </c>
      <c r="G15" s="8" t="s">
        <v>1</v>
      </c>
      <c r="H15" s="25"/>
      <c r="I15" s="17" t="str">
        <f t="shared" si="0"/>
        <v>* reccomandation.riskFactor 0..* CodeableConcept ##34#Risk factors##34# ##334#Risk factors considered for generating this care plan##334#</v>
      </c>
      <c r="J15" s="21"/>
      <c r="K15" s="8"/>
    </row>
    <row r="16" spans="1:11" ht="29.5" x14ac:dyDescent="0.75">
      <c r="A16" s="8">
        <v>9</v>
      </c>
      <c r="B16" s="17" t="s">
        <v>1609</v>
      </c>
      <c r="C16" s="17" t="s">
        <v>1610</v>
      </c>
      <c r="D16" s="17" t="s">
        <v>1610</v>
      </c>
      <c r="E16" s="8">
        <v>0</v>
      </c>
      <c r="F16" s="8" t="s">
        <v>851</v>
      </c>
      <c r="G16" s="8" t="s">
        <v>1</v>
      </c>
      <c r="I16" s="17" t="str">
        <f t="shared" si="0"/>
        <v>* reccomandation.conditionAtRisk 0..* CodeableConcept ##34#Conditions at risk##34# ##334#Conditions at risk##334#</v>
      </c>
    </row>
    <row r="17" spans="1:9" ht="44.25" x14ac:dyDescent="0.75">
      <c r="A17" s="8">
        <v>10</v>
      </c>
      <c r="B17" s="17" t="s">
        <v>1611</v>
      </c>
      <c r="C17" s="17" t="s">
        <v>1612</v>
      </c>
      <c r="D17" s="17" t="s">
        <v>1613</v>
      </c>
      <c r="E17" s="8">
        <v>0</v>
      </c>
      <c r="F17" s="8">
        <v>1</v>
      </c>
      <c r="G17" s="8" t="s">
        <v>1</v>
      </c>
      <c r="I17" s="17" t="str">
        <f t="shared" si="0"/>
        <v>* reccomandation.reccomandation 0..1 CodeableConcept ##34#Suggested reccomandation##34# ##334#Reccomandation suggested by the algorithm##334#</v>
      </c>
    </row>
    <row r="18" spans="1:9" x14ac:dyDescent="0.75">
      <c r="A18" s="8">
        <v>11</v>
      </c>
      <c r="B18" s="17" t="s">
        <v>1614</v>
      </c>
      <c r="C18" s="17" t="s">
        <v>1615</v>
      </c>
      <c r="D18" s="17" t="s">
        <v>1615</v>
      </c>
      <c r="E18" s="8">
        <v>0</v>
      </c>
      <c r="F18" s="8">
        <v>1</v>
      </c>
      <c r="G18" s="8" t="s">
        <v>2</v>
      </c>
      <c r="I18" s="17" t="str">
        <f t="shared" si="0"/>
        <v>* reccomandation.note 0..1 string ##34#Note##34# ##334#Note##334#</v>
      </c>
    </row>
    <row r="19" spans="1:9" x14ac:dyDescent="0.75">
      <c r="A19" s="8">
        <v>12</v>
      </c>
      <c r="B19" s="17"/>
      <c r="C19" s="17"/>
      <c r="D19" s="17"/>
      <c r="E19" s="8"/>
      <c r="F19" s="8"/>
      <c r="G19" s="8"/>
      <c r="I19" s="17" t="str">
        <f t="shared" si="0"/>
        <v>*  ..  ##34###34# ##334###334#</v>
      </c>
    </row>
    <row r="20" spans="1:9" x14ac:dyDescent="0.75">
      <c r="A20" s="8">
        <v>13</v>
      </c>
      <c r="B20" s="17"/>
      <c r="C20" s="17"/>
      <c r="D20" s="17"/>
      <c r="E20" s="8"/>
      <c r="F20" s="8"/>
      <c r="G20" s="8"/>
      <c r="I20" s="17" t="str">
        <f t="shared" si="0"/>
        <v>*  ..  ##34###34# ##334###334#</v>
      </c>
    </row>
    <row r="21" spans="1:9" x14ac:dyDescent="0.75">
      <c r="A21" s="8">
        <v>14</v>
      </c>
      <c r="B21" s="17"/>
      <c r="C21" s="17"/>
      <c r="D21" s="8"/>
      <c r="E21" s="8"/>
      <c r="F21" s="8"/>
      <c r="G21" s="8"/>
      <c r="I21" s="17" t="str">
        <f t="shared" si="0"/>
        <v>*  ..  ##34###34# ##334###334#</v>
      </c>
    </row>
    <row r="22" spans="1:9" x14ac:dyDescent="0.75">
      <c r="A22" s="8">
        <v>15</v>
      </c>
      <c r="B22" s="17"/>
      <c r="C22" s="17"/>
      <c r="D22" s="17"/>
      <c r="E22" s="8"/>
      <c r="F22" s="8"/>
      <c r="G22" s="8"/>
      <c r="I22" s="17"/>
    </row>
    <row r="23" spans="1:9" x14ac:dyDescent="0.75">
      <c r="A23" s="8">
        <v>16</v>
      </c>
      <c r="B23" s="17"/>
      <c r="C23" s="17"/>
      <c r="D23" s="17"/>
      <c r="E23" s="8"/>
      <c r="F23" s="8"/>
      <c r="G23" s="8"/>
      <c r="I23" s="17"/>
    </row>
    <row r="24" spans="1:9" x14ac:dyDescent="0.75">
      <c r="A24" s="8">
        <v>17</v>
      </c>
      <c r="B24" s="17"/>
      <c r="C24" s="17"/>
      <c r="D24" s="17"/>
      <c r="E24" s="8"/>
      <c r="F24" s="8"/>
      <c r="G24" s="8"/>
      <c r="I24" s="17"/>
    </row>
    <row r="25" spans="1:9" x14ac:dyDescent="0.75">
      <c r="I25" s="17"/>
    </row>
  </sheetData>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9A574-F52C-4AE5-8566-CA1090CC50FE}">
  <sheetPr codeName="Foglio41"/>
  <dimension ref="A1:O28"/>
  <sheetViews>
    <sheetView workbookViewId="0">
      <selection activeCell="C26" sqref="C26"/>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22.7265625" customWidth="1"/>
    <col min="9" max="9" width="45.36328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tr">
        <f>C7&amp;"2Fhir"</f>
        <v>PlanOfCare2Fhir</v>
      </c>
      <c r="E4" s="30" t="str">
        <f>CONCATENATE("Mapping: ",C4)</f>
        <v>Mapping: PlanOfCare2Fhir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PlanOfCare model to PCSP HL7 FHIR R4 Profiles</v>
      </c>
      <c r="E6" s="31" t="str">
        <f>CONCATENATE("Title: ##34#",C6,"##34#")</f>
        <v>Title: ##34#PlanOfCare model to PCSP HL7 FHIR R4 Profiles##34#</v>
      </c>
      <c r="G6" s="1"/>
      <c r="H6" s="9"/>
      <c r="I6" s="9"/>
      <c r="J6" s="9"/>
      <c r="K6" s="9"/>
      <c r="L6" s="9"/>
      <c r="M6" s="9"/>
      <c r="N6" s="9"/>
      <c r="O6" s="9"/>
    </row>
    <row r="7" spans="1:15" ht="15.5" thickBot="1" x14ac:dyDescent="0.9">
      <c r="B7" s="94" t="s">
        <v>78</v>
      </c>
      <c r="C7" s="91" t="str">
        <f>B9</f>
        <v>PlanOfCare</v>
      </c>
      <c r="E7" s="31" t="str">
        <f>CONCATENATE("Source: ",C7)</f>
        <v>Source: PlanOfCare</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44.25" x14ac:dyDescent="0.75">
      <c r="A9" s="8"/>
      <c r="B9" s="4" t="str">
        <f>Plan!B5</f>
        <v>PlanOfCare</v>
      </c>
      <c r="C9" s="4" t="s">
        <v>1616</v>
      </c>
      <c r="E9" s="4" t="str">
        <f>CONCATENATE("* . -&gt; ##34#",C9,"##34#")</f>
        <v>* . -&gt; ##34#CarePlan.conformsTo('http://hl7.eu/fhir/ig/pcsp/StructureDefinition/CarePlan-eu-pcsp')##34#</v>
      </c>
      <c r="H9" s="8" t="s">
        <v>1593</v>
      </c>
      <c r="I9" s="4" t="s">
        <v>1616</v>
      </c>
      <c r="J9" s="9"/>
      <c r="K9" s="9"/>
      <c r="L9" s="9"/>
      <c r="M9" s="9"/>
      <c r="N9" s="9"/>
      <c r="O9" s="9"/>
    </row>
    <row r="10" spans="1:15" x14ac:dyDescent="0.75">
      <c r="A10" s="8"/>
      <c r="B10" s="17" t="str">
        <f>Plan!B8</f>
        <v>identifier</v>
      </c>
      <c r="C10" s="20" t="s">
        <v>74</v>
      </c>
      <c r="E10" s="17" t="str">
        <f>CONCATENATE("* ",B10," -&gt; ##34#",C10,"##34#")</f>
        <v>* identifier -&gt; ##34#.identifier##34#</v>
      </c>
      <c r="G10" t="b">
        <f>IF(B10=H10,TRUE, FALSE)</f>
        <v>1</v>
      </c>
      <c r="H10" s="8" t="s">
        <v>12</v>
      </c>
      <c r="I10" s="20" t="s">
        <v>74</v>
      </c>
      <c r="J10" s="9"/>
      <c r="K10" s="9"/>
      <c r="L10" s="9"/>
      <c r="M10" s="9"/>
      <c r="N10" s="9"/>
      <c r="O10" s="9"/>
    </row>
    <row r="11" spans="1:15" x14ac:dyDescent="0.75">
      <c r="A11" s="8"/>
      <c r="B11" s="17" t="str">
        <f>Plan!B9</f>
        <v>addressedProblem</v>
      </c>
      <c r="C11" s="20" t="s">
        <v>1617</v>
      </c>
      <c r="E11" s="17" t="str">
        <f t="shared" ref="E11:E23" si="0">CONCATENATE("* ",B11," -&gt; ##34#",C11,"##34#")</f>
        <v>* addressedProblem -&gt; ##34#.addresses##34#</v>
      </c>
      <c r="G11" t="b">
        <f t="shared" ref="G11:G20" si="1">IF(B11=H11,TRUE, FALSE)</f>
        <v>1</v>
      </c>
      <c r="H11" s="8" t="s">
        <v>1596</v>
      </c>
      <c r="I11" s="20" t="s">
        <v>1617</v>
      </c>
      <c r="J11" s="9"/>
      <c r="K11" s="9"/>
      <c r="L11" s="9"/>
      <c r="M11" s="9"/>
      <c r="N11" s="9"/>
      <c r="O11" s="9"/>
    </row>
    <row r="12" spans="1:15" x14ac:dyDescent="0.75">
      <c r="A12" s="8"/>
      <c r="B12" s="17" t="str">
        <f>Plan!B10</f>
        <v>author</v>
      </c>
      <c r="C12" s="20" t="s">
        <v>1618</v>
      </c>
      <c r="E12" s="17" t="str">
        <f t="shared" si="0"/>
        <v>* author -&gt; ##34#.author##34#</v>
      </c>
      <c r="G12" t="b">
        <f t="shared" si="1"/>
        <v>1</v>
      </c>
      <c r="H12" s="8" t="s">
        <v>1553</v>
      </c>
      <c r="I12" s="20" t="s">
        <v>1618</v>
      </c>
      <c r="J12" s="9"/>
      <c r="K12" s="9"/>
      <c r="L12" s="9"/>
      <c r="M12" s="9"/>
      <c r="N12" s="9"/>
      <c r="O12" s="9"/>
    </row>
    <row r="13" spans="1:15" ht="59" x14ac:dyDescent="0.75">
      <c r="A13" s="8"/>
      <c r="B13" s="17" t="str">
        <f>Plan!B11</f>
        <v>creationTime</v>
      </c>
      <c r="C13" s="17" t="s">
        <v>1619</v>
      </c>
      <c r="E13" s="17" t="str">
        <f t="shared" si="0"/>
        <v>* creationTime -&gt; ##34#.created##34#</v>
      </c>
      <c r="G13" t="b">
        <f t="shared" si="1"/>
        <v>1</v>
      </c>
      <c r="H13" s="8" t="s">
        <v>1599</v>
      </c>
      <c r="I13" s="17" t="s">
        <v>1619</v>
      </c>
      <c r="J13" s="9"/>
      <c r="K13" s="9"/>
      <c r="L13" s="9"/>
      <c r="M13" s="9"/>
      <c r="N13" s="9"/>
      <c r="O13" s="9"/>
    </row>
    <row r="14" spans="1:15" ht="73.75" x14ac:dyDescent="0.75">
      <c r="A14" s="8"/>
      <c r="B14" s="17" t="str">
        <f>Plan!B12</f>
        <v>note</v>
      </c>
      <c r="C14" s="17" t="s">
        <v>1620</v>
      </c>
      <c r="E14" s="17" t="str">
        <f t="shared" si="0"/>
        <v>* note -&gt; ##34#.note.where(extension(' http://hl7.eu/fhir/ig/pcsp/StructureDefinition/annotation-type').valueCodeableConcept=CsGenericPcsp#nar-planNotes)##34#</v>
      </c>
      <c r="G14" t="b">
        <f t="shared" si="1"/>
        <v>1</v>
      </c>
      <c r="H14" s="8" t="s">
        <v>881</v>
      </c>
      <c r="I14" s="17" t="s">
        <v>1620</v>
      </c>
      <c r="J14" s="9"/>
      <c r="K14" s="9"/>
      <c r="L14" s="9"/>
      <c r="M14" s="9"/>
      <c r="N14" s="9"/>
      <c r="O14" s="9"/>
    </row>
    <row r="15" spans="1:15" ht="73.75" x14ac:dyDescent="0.75">
      <c r="A15" s="8"/>
      <c r="B15" s="17" t="str">
        <f>Plan!B13</f>
        <v>chronicConditions</v>
      </c>
      <c r="C15" s="17" t="s">
        <v>1621</v>
      </c>
      <c r="E15" s="17" t="str">
        <f t="shared" si="0"/>
        <v>* chronicConditions -&gt; ##34#.note.where(extension(' http://hl7.eu/fhir/ig/pcsp/StructureDefinition/annotation-type').valueCodeableConcept=CsGenericPcsp#nar-chronicCond)##34#</v>
      </c>
      <c r="G15" t="b">
        <f t="shared" si="1"/>
        <v>1</v>
      </c>
      <c r="H15" s="8" t="s">
        <v>1602</v>
      </c>
      <c r="I15" s="17" t="s">
        <v>1621</v>
      </c>
      <c r="J15" s="9"/>
      <c r="K15" s="9"/>
      <c r="L15" s="9"/>
      <c r="M15" s="9"/>
      <c r="N15" s="9"/>
      <c r="O15" s="9"/>
    </row>
    <row r="16" spans="1:15" x14ac:dyDescent="0.75">
      <c r="A16" s="8"/>
      <c r="B16" s="17" t="str">
        <f>Plan!B14</f>
        <v>reccomandation</v>
      </c>
      <c r="C16" s="17" t="s">
        <v>1622</v>
      </c>
      <c r="E16" s="17" t="str">
        <f t="shared" si="0"/>
        <v>* reccomandation -&gt; ##34#.activity.detail##34#</v>
      </c>
      <c r="G16" t="b">
        <f t="shared" si="1"/>
        <v>1</v>
      </c>
      <c r="H16" s="8" t="s">
        <v>1604</v>
      </c>
      <c r="I16" s="17" t="s">
        <v>1622</v>
      </c>
      <c r="J16" s="9"/>
      <c r="K16" s="9"/>
      <c r="L16" s="9"/>
      <c r="M16" s="9"/>
      <c r="N16" s="9"/>
      <c r="O16" s="9"/>
    </row>
    <row r="17" spans="1:15" x14ac:dyDescent="0.75">
      <c r="A17" s="8"/>
      <c r="B17" s="17" t="str">
        <f>Plan!B15</f>
        <v>reccomandation.riskFactor</v>
      </c>
      <c r="C17" s="17" t="s">
        <v>1623</v>
      </c>
      <c r="E17" s="17" t="str">
        <f t="shared" si="0"/>
        <v>* reccomandation.riskFactor -&gt; ##34#.activity.detail.reasonReference##34#</v>
      </c>
      <c r="G17" t="b">
        <f t="shared" si="1"/>
        <v>1</v>
      </c>
      <c r="H17" s="8" t="s">
        <v>1606</v>
      </c>
      <c r="I17" s="17" t="s">
        <v>1623</v>
      </c>
      <c r="J17" s="9"/>
      <c r="K17" s="9"/>
      <c r="L17" s="9"/>
      <c r="M17" s="9"/>
      <c r="N17" s="9"/>
      <c r="O17" s="9"/>
    </row>
    <row r="18" spans="1:15" x14ac:dyDescent="0.75">
      <c r="A18" s="8"/>
      <c r="B18" s="17" t="str">
        <f>Plan!B16</f>
        <v>reccomandation.conditionAtRisk</v>
      </c>
      <c r="C18" s="17" t="s">
        <v>1624</v>
      </c>
      <c r="E18" s="17" t="str">
        <f t="shared" si="0"/>
        <v>* reccomandation.conditionAtRisk -&gt; ##34#activity.detail.reasonCode##34#</v>
      </c>
      <c r="G18" t="b">
        <f t="shared" si="1"/>
        <v>1</v>
      </c>
      <c r="H18" s="8" t="s">
        <v>1609</v>
      </c>
      <c r="I18" s="17" t="s">
        <v>1624</v>
      </c>
      <c r="J18" s="9"/>
      <c r="K18" s="9"/>
      <c r="L18" s="9"/>
      <c r="M18" s="9"/>
      <c r="N18" s="9"/>
      <c r="O18" s="9"/>
    </row>
    <row r="19" spans="1:15" x14ac:dyDescent="0.75">
      <c r="A19" s="8"/>
      <c r="B19" s="17" t="str">
        <f>Plan!B17</f>
        <v>reccomandation.reccomandation</v>
      </c>
      <c r="C19" s="17" t="s">
        <v>1625</v>
      </c>
      <c r="E19" s="17" t="str">
        <f t="shared" si="0"/>
        <v>* reccomandation.reccomandation -&gt; ##34#activity.detail.code##34#</v>
      </c>
      <c r="G19" t="b">
        <f t="shared" si="1"/>
        <v>1</v>
      </c>
      <c r="H19" s="8" t="s">
        <v>1611</v>
      </c>
      <c r="I19" s="17" t="s">
        <v>1625</v>
      </c>
    </row>
    <row r="20" spans="1:15" x14ac:dyDescent="0.75">
      <c r="A20" s="8"/>
      <c r="B20" s="17" t="str">
        <f>Plan!B18</f>
        <v>reccomandation.note</v>
      </c>
      <c r="C20" s="17" t="s">
        <v>1626</v>
      </c>
      <c r="E20" s="17" t="str">
        <f t="shared" si="0"/>
        <v>* reccomandation.note -&gt; ##34#activity.detail.description##34#</v>
      </c>
      <c r="G20" t="b">
        <f t="shared" si="1"/>
        <v>1</v>
      </c>
      <c r="H20" s="8" t="s">
        <v>1614</v>
      </c>
      <c r="I20" s="17" t="s">
        <v>1626</v>
      </c>
    </row>
    <row r="21" spans="1:15" x14ac:dyDescent="0.75">
      <c r="B21" s="17"/>
      <c r="C21" s="17"/>
      <c r="E21" s="17" t="str">
        <f t="shared" si="0"/>
        <v>*  -&gt; ##34###34#</v>
      </c>
    </row>
    <row r="22" spans="1:15" x14ac:dyDescent="0.75">
      <c r="B22" s="17"/>
      <c r="C22" s="17"/>
      <c r="E22" s="17" t="str">
        <f t="shared" si="0"/>
        <v>*  -&gt; ##34###34#</v>
      </c>
    </row>
    <row r="23" spans="1:15" x14ac:dyDescent="0.75">
      <c r="B23" s="17"/>
      <c r="C23" s="17"/>
      <c r="E23" s="17" t="str">
        <f t="shared" si="0"/>
        <v>*  -&gt; ##34###34#</v>
      </c>
    </row>
    <row r="24" spans="1:15" x14ac:dyDescent="0.75">
      <c r="B24" s="17"/>
      <c r="C24" s="17"/>
      <c r="E24" s="17"/>
    </row>
    <row r="25" spans="1:15" x14ac:dyDescent="0.75">
      <c r="E25" s="17"/>
    </row>
    <row r="26" spans="1:15" x14ac:dyDescent="0.75">
      <c r="E26" s="17"/>
    </row>
    <row r="27" spans="1:15" x14ac:dyDescent="0.75">
      <c r="E27" s="17"/>
    </row>
    <row r="28" spans="1:15" x14ac:dyDescent="0.75">
      <c r="E28" s="17"/>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6E7D-2A7D-4347-9676-515DEA98C4A6}">
  <sheetPr codeName="Foglio15">
    <tabColor theme="9" tint="0.39997558519241921"/>
  </sheetPr>
  <dimension ref="C1:G47"/>
  <sheetViews>
    <sheetView workbookViewId="0">
      <selection activeCell="A48" sqref="A48:XFD71"/>
    </sheetView>
  </sheetViews>
  <sheetFormatPr defaultRowHeight="14.75" x14ac:dyDescent="0.75"/>
  <cols>
    <col min="3" max="3" width="108.2265625" style="17" customWidth="1"/>
    <col min="7" max="7" width="33.26953125" customWidth="1"/>
  </cols>
  <sheetData>
    <row r="1" spans="3:7" ht="15.5" thickBot="1" x14ac:dyDescent="0.9">
      <c r="C1" s="34" t="str">
        <f>Plan!I1</f>
        <v>// -------------------------------------------------------------------------------</v>
      </c>
    </row>
    <row r="2" spans="3:7" ht="16.75" thickBot="1" x14ac:dyDescent="0.9">
      <c r="C2" s="35" t="str">
        <f>Plan!I2</f>
        <v>//  Logical Model</v>
      </c>
      <c r="G2" s="92" t="str">
        <f>"pcsp-"&amp;Plan!B5&amp;".fsh"</f>
        <v>pcsp-PlanOfCare.fsh</v>
      </c>
    </row>
    <row r="3" spans="3:7" x14ac:dyDescent="0.75">
      <c r="C3" s="35" t="str">
        <f>Plan!I3</f>
        <v>// -------------------------------------------------------------------------------</v>
      </c>
    </row>
    <row r="4" spans="3:7" x14ac:dyDescent="0.75">
      <c r="C4" s="27" t="str">
        <f>Plan!I4</f>
        <v>Logical: PlanOfCare</v>
      </c>
    </row>
    <row r="5" spans="3:7" x14ac:dyDescent="0.75">
      <c r="C5" s="27" t="str">
        <f>Plan!I5</f>
        <v>Id: PlanOfCare</v>
      </c>
    </row>
    <row r="6" spans="3:7" x14ac:dyDescent="0.75">
      <c r="C6" s="27" t="str">
        <f>Plan!I6</f>
        <v>Title: ##34#Care Plan##34#</v>
      </c>
    </row>
    <row r="7" spans="3:7" ht="29.5" x14ac:dyDescent="0.75">
      <c r="C7" s="27" t="str">
        <f>Plan!I7</f>
        <v>Description:  ##334#Care Plan
Maturity Level: 0 - Draft##334#</v>
      </c>
    </row>
    <row r="8" spans="3:7" ht="29.5" x14ac:dyDescent="0.75">
      <c r="C8" s="17" t="str">
        <f>IF(Plan!I8="*  ..  ##34###34# ##334###334#","//--- END",Plan!I8)</f>
        <v>* identifier 1..* Identifier ##34#Care plan Identifier##34# ##334#Care plan business identifier##334#</v>
      </c>
    </row>
    <row r="9" spans="3:7" ht="29.5" x14ac:dyDescent="0.75">
      <c r="C9" s="17" t="str">
        <f>IF(Plan!I9="*  ..  ##34###34# ##334###334#","//--- END",Plan!I9)</f>
        <v>* addressedProblem 0..* Identifier ##34#Problems addressed by this plan##34# ##334#Problems (e.g. primary cancer) addressed by this plan##334#</v>
      </c>
    </row>
    <row r="10" spans="3:7" ht="29.5" x14ac:dyDescent="0.75">
      <c r="C10" s="17" t="str">
        <f>IF(Plan!I10="*  ..  ##34###34# ##334###334#","//--- END",Plan!I10)</f>
        <v>* author 0..1 BackboneElement ##34#Author##34# ##334#Author##334#</v>
      </c>
    </row>
    <row r="11" spans="3:7" ht="29.5" x14ac:dyDescent="0.75">
      <c r="C11" s="17" t="str">
        <f>IF(Plan!I11="*  ..  ##34###34# ##334###334#","//--- END",Plan!I11)</f>
        <v>* creationTime 0..1 dateTime ##34#Date the plan was created##34# ##334#Date the plan was created##334#</v>
      </c>
    </row>
    <row r="12" spans="3:7" ht="29.5" x14ac:dyDescent="0.75">
      <c r="C12" s="17" t="str">
        <f>IF(Plan!I12="*  ..  ##34###34# ##334###334#","//--- END",Plan!I12)</f>
        <v>* note 0..1 string ##34#Plan note##34# ##334#Plan note##334#</v>
      </c>
    </row>
    <row r="13" spans="3:7" x14ac:dyDescent="0.75">
      <c r="C13" s="17" t="str">
        <f>IF(Plan!I13="*  ..  ##34###34# ##334###334#","//--- END",Plan!I13)</f>
        <v>* chronicConditions 0..1 string ##34#Chronic condition##34# ##334#Chronic condition##334#</v>
      </c>
    </row>
    <row r="14" spans="3:7" x14ac:dyDescent="0.75">
      <c r="C14" s="17" t="str">
        <f>IF(Plan!I14="*  ..  ##34###34# ##334###334#","//--- END",Plan!I14)</f>
        <v>* reccomandation 1..* BackboneElement ##34#Reccomandation##34# ##334#Reccomandation##334#</v>
      </c>
    </row>
    <row r="15" spans="3:7" ht="29.5" x14ac:dyDescent="0.75">
      <c r="C15" s="17" t="str">
        <f>IF(Plan!I15="*  ..  ##34###34# ##334###334#","//--- END",Plan!I15)</f>
        <v>* reccomandation.riskFactor 0..* CodeableConcept ##34#Risk factors##34# ##334#Risk factors considered for generating this care plan##334#</v>
      </c>
    </row>
    <row r="16" spans="3:7" x14ac:dyDescent="0.75">
      <c r="C16" s="17" t="str">
        <f>IF(Plan!I16="*  ..  ##34###34# ##334###334#","//--- END",Plan!I16)</f>
        <v>* reccomandation.conditionAtRisk 0..* CodeableConcept ##34#Conditions at risk##34# ##334#Conditions at risk##334#</v>
      </c>
    </row>
    <row r="17" spans="3:3" ht="29.5" x14ac:dyDescent="0.75">
      <c r="C17" s="17" t="str">
        <f>IF(Plan!I17="*  ..  ##34###34# ##334###334#","//--- END",Plan!I17)</f>
        <v>* reccomandation.reccomandation 0..1 CodeableConcept ##34#Suggested reccomandation##34# ##334#Reccomandation suggested by the algorithm##334#</v>
      </c>
    </row>
    <row r="18" spans="3:3" x14ac:dyDescent="0.75">
      <c r="C18" s="17" t="str">
        <f>IF(Plan!I18="*  ..  ##34###34# ##334###334#","//--- END",Plan!I18)</f>
        <v>* reccomandation.note 0..1 string ##34#Note##34# ##334#Note##334#</v>
      </c>
    </row>
    <row r="19" spans="3:3" x14ac:dyDescent="0.75">
      <c r="C19" s="17" t="str">
        <f>IF(Plan!I19="*  ..  ##34###34# ##334###334#","//--- END",Plan!I19)</f>
        <v>//--- END</v>
      </c>
    </row>
    <row r="20" spans="3:3" x14ac:dyDescent="0.75">
      <c r="C20" s="17" t="str">
        <f>IF(Plan!I20="*  ..  ##34###34# ##334###334#","//--- END",Plan!I20)</f>
        <v>//--- END</v>
      </c>
    </row>
    <row r="21" spans="3:3" x14ac:dyDescent="0.75">
      <c r="C21" s="17" t="str">
        <f>IF(Plan!I21="*  ..  ##34###34# ##334###334#","//--- END",Plan!I21)</f>
        <v>//--- END</v>
      </c>
    </row>
    <row r="24" spans="3:3" x14ac:dyDescent="0.75">
      <c r="C24" s="34" t="str">
        <f>'Plan-Map'!E1</f>
        <v>// -------------------------------------------------------------------------------</v>
      </c>
    </row>
    <row r="25" spans="3:3" x14ac:dyDescent="0.75">
      <c r="C25" s="35" t="str">
        <f>'Plan-Map'!E2</f>
        <v>//  Map to FHIR R4</v>
      </c>
    </row>
    <row r="26" spans="3:3" x14ac:dyDescent="0.75">
      <c r="C26" s="35" t="str">
        <f>'Plan-Map'!E3</f>
        <v>// -------------------------------------------------------------------------------</v>
      </c>
    </row>
    <row r="27" spans="3:3" x14ac:dyDescent="0.75">
      <c r="C27" s="17" t="str">
        <f>'Plan-Map'!E4</f>
        <v>Mapping: PlanOfCare2Fhir</v>
      </c>
    </row>
    <row r="28" spans="3:3" x14ac:dyDescent="0.75">
      <c r="C28" s="17" t="str">
        <f>'Plan-Map'!E5</f>
        <v>Id: fhir</v>
      </c>
    </row>
    <row r="29" spans="3:3" x14ac:dyDescent="0.75">
      <c r="C29" s="17" t="str">
        <f>'Plan-Map'!E6</f>
        <v>Title: ##34#PlanOfCare model to PCSP HL7 FHIR R4 Profiles##34#</v>
      </c>
    </row>
    <row r="30" spans="3:3" x14ac:dyDescent="0.75">
      <c r="C30" s="17" t="str">
        <f>'Plan-Map'!E7</f>
        <v>Source: PlanOfCare</v>
      </c>
    </row>
    <row r="31" spans="3:3" x14ac:dyDescent="0.75">
      <c r="C31" s="17" t="str">
        <f>'Plan-Map'!E8</f>
        <v>Target: ##34#hl7.org/fhir/r4##34#</v>
      </c>
    </row>
    <row r="33" spans="3:3" x14ac:dyDescent="0.75">
      <c r="C33" s="17" t="str">
        <f>IF('Plan-Map'!E9="*  -&gt; ##34###34#","// --END",'Plan-Map'!E9)</f>
        <v>* . -&gt; ##34#CarePlan.conformsTo('http://hl7.eu/fhir/ig/pcsp/StructureDefinition/CarePlan-eu-pcsp')##34#</v>
      </c>
    </row>
    <row r="34" spans="3:3" x14ac:dyDescent="0.75">
      <c r="C34" s="17" t="str">
        <f>IF('Plan-Map'!E10="*  -&gt; ##34###34#","// --END",'Plan-Map'!E10)</f>
        <v>* identifier -&gt; ##34#.identifier##34#</v>
      </c>
    </row>
    <row r="35" spans="3:3" x14ac:dyDescent="0.75">
      <c r="C35" s="17" t="str">
        <f>IF('Plan-Map'!E11="*  -&gt; ##34###34#","// --END",'Plan-Map'!E11)</f>
        <v>* addressedProblem -&gt; ##34#.addresses##34#</v>
      </c>
    </row>
    <row r="36" spans="3:3" x14ac:dyDescent="0.75">
      <c r="C36" s="17" t="str">
        <f>IF('Plan-Map'!E12="*  -&gt; ##34###34#","// --END",'Plan-Map'!E12)</f>
        <v>* author -&gt; ##34#.author##34#</v>
      </c>
    </row>
    <row r="37" spans="3:3" x14ac:dyDescent="0.75">
      <c r="C37" s="17" t="str">
        <f>IF('Plan-Map'!E13="*  -&gt; ##34###34#","// --END",'Plan-Map'!E13)</f>
        <v>* creationTime -&gt; ##34#.created##34#</v>
      </c>
    </row>
    <row r="38" spans="3:3" ht="29.5" x14ac:dyDescent="0.75">
      <c r="C38" s="17" t="str">
        <f>IF('Plan-Map'!E14="*  -&gt; ##34###34#","// --END",'Plan-Map'!E14)</f>
        <v>* note -&gt; ##34#.note.where(extension(' http://hl7.eu/fhir/ig/pcsp/StructureDefinition/annotation-type').valueCodeableConcept=CsGenericPcsp#nar-planNotes)##34#</v>
      </c>
    </row>
    <row r="39" spans="3:3" ht="29.5" x14ac:dyDescent="0.75">
      <c r="C39" s="17" t="str">
        <f>IF('Plan-Map'!E15="*  -&gt; ##34###34#","// --END",'Plan-Map'!E15)</f>
        <v>* chronicConditions -&gt; ##34#.note.where(extension(' http://hl7.eu/fhir/ig/pcsp/StructureDefinition/annotation-type').valueCodeableConcept=CsGenericPcsp#nar-chronicCond)##34#</v>
      </c>
    </row>
    <row r="40" spans="3:3" x14ac:dyDescent="0.75">
      <c r="C40" s="17" t="str">
        <f>IF('Plan-Map'!E16="*  -&gt; ##34###34#","// --END",'Plan-Map'!E16)</f>
        <v>* reccomandation -&gt; ##34#.activity.detail##34#</v>
      </c>
    </row>
    <row r="41" spans="3:3" x14ac:dyDescent="0.75">
      <c r="C41" s="17" t="str">
        <f>IF('Plan-Map'!E17="*  -&gt; ##34###34#","// --END",'Plan-Map'!E17)</f>
        <v>* reccomandation.riskFactor -&gt; ##34#.activity.detail.reasonReference##34#</v>
      </c>
    </row>
    <row r="42" spans="3:3" x14ac:dyDescent="0.75">
      <c r="C42" s="17" t="str">
        <f>IF('Plan-Map'!E18="*  -&gt; ##34###34#","// --END",'Plan-Map'!E18)</f>
        <v>* reccomandation.conditionAtRisk -&gt; ##34#activity.detail.reasonCode##34#</v>
      </c>
    </row>
    <row r="43" spans="3:3" x14ac:dyDescent="0.75">
      <c r="C43" s="17" t="str">
        <f>IF('Plan-Map'!E19="*  -&gt; ##34###34#","// --END",'Plan-Map'!E19)</f>
        <v>* reccomandation.reccomandation -&gt; ##34#activity.detail.code##34#</v>
      </c>
    </row>
    <row r="44" spans="3:3" x14ac:dyDescent="0.75">
      <c r="C44" s="17" t="str">
        <f>IF('Plan-Map'!E20="*  -&gt; ##34###34#","// --END",'Plan-Map'!E20)</f>
        <v>* reccomandation.note -&gt; ##34#activity.detail.description##34#</v>
      </c>
    </row>
    <row r="45" spans="3:3" x14ac:dyDescent="0.75">
      <c r="C45" s="17" t="str">
        <f>IF('Plan-Map'!E21="*  -&gt; ##34###34#","// --END",'Plan-Map'!E21)</f>
        <v>// --END</v>
      </c>
    </row>
    <row r="46" spans="3:3" x14ac:dyDescent="0.75">
      <c r="C46" s="17" t="str">
        <f>IF('Plan-Map'!E22="*  -&gt; ##34###34#","// --END",'Plan-Map'!E22)</f>
        <v>// --END</v>
      </c>
    </row>
    <row r="47" spans="3:3" x14ac:dyDescent="0.75">
      <c r="C47" s="17" t="str">
        <f>IF('Plan-Map'!E23="*  -&gt; ##34###34#","// --END",'Plan-Map'!E23)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FA52E-7030-4A60-836B-85DD2A1F5D3B}">
  <sheetPr codeName="Foglio58">
    <tabColor theme="4" tint="0.59999389629810485"/>
  </sheetPr>
  <dimension ref="A1:L41"/>
  <sheetViews>
    <sheetView workbookViewId="0">
      <selection activeCell="G21" sqref="G21"/>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7.6796875" style="1" customWidth="1"/>
    <col min="8"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TreatmentSummary</v>
      </c>
      <c r="I4" s="27" t="str">
        <f>CONCATENATE("Logical: ",B4)</f>
        <v>Logical: TreatmentSummary</v>
      </c>
    </row>
    <row r="5" spans="1:11" ht="15.5" thickBot="1" x14ac:dyDescent="0.9">
      <c r="A5" s="22" t="s">
        <v>76</v>
      </c>
      <c r="B5" s="87" t="s">
        <v>837</v>
      </c>
      <c r="I5" s="27" t="str">
        <f>CONCATENATE("Id: ",B5)</f>
        <v>Id: TreatmentSummary</v>
      </c>
    </row>
    <row r="6" spans="1:11" x14ac:dyDescent="0.75">
      <c r="A6" s="22" t="s">
        <v>11</v>
      </c>
      <c r="B6" t="s">
        <v>836</v>
      </c>
      <c r="I6" s="28" t="str">
        <f>CONCATENATE("Title: ##34#",B6,"##34#")</f>
        <v>Title: ##34#Treatment Summary##34#</v>
      </c>
    </row>
    <row r="7" spans="1:11" ht="30.25" thickBot="1" x14ac:dyDescent="0.9">
      <c r="A7" s="23" t="s">
        <v>4</v>
      </c>
      <c r="B7" s="1" t="s">
        <v>1636</v>
      </c>
      <c r="C7" s="12" t="s">
        <v>5</v>
      </c>
      <c r="D7" s="2" t="s">
        <v>6</v>
      </c>
      <c r="E7" s="3" t="s">
        <v>7</v>
      </c>
      <c r="F7" s="3" t="s">
        <v>8</v>
      </c>
      <c r="G7" s="105" t="s">
        <v>9</v>
      </c>
      <c r="I7" s="28" t="str">
        <f>CONCATENATE("Description: "," ##334#",B7,"##334#",)</f>
        <v>Description:  ##334#Treatment Summary data model
Maturity Level: 2 - Ready for Review##334#</v>
      </c>
    </row>
    <row r="8" spans="1:11" ht="29.5" x14ac:dyDescent="0.75">
      <c r="A8" s="8">
        <v>1</v>
      </c>
      <c r="B8" s="17" t="s">
        <v>838</v>
      </c>
      <c r="C8" s="8" t="s">
        <v>839</v>
      </c>
      <c r="D8" s="8" t="s">
        <v>839</v>
      </c>
      <c r="E8" s="8">
        <v>1</v>
      </c>
      <c r="F8" s="8">
        <v>1</v>
      </c>
      <c r="G8" s="17" t="str">
        <f>Subj!B4</f>
        <v>Subject</v>
      </c>
      <c r="H8" s="25"/>
      <c r="I8" s="17" t="str">
        <f>CONCATENATE("* ",B8, " ",E8,"..",F8," ",G8," ##34#",C8,"##34# ##334#",D8,"##334#")</f>
        <v>* subject 1..1 Subject ##34#Subject##34# ##334#Subject##334#</v>
      </c>
    </row>
    <row r="9" spans="1:11" ht="29.5" x14ac:dyDescent="0.75">
      <c r="A9" s="8">
        <v>2</v>
      </c>
      <c r="B9" s="17" t="s">
        <v>840</v>
      </c>
      <c r="C9" s="8" t="s">
        <v>18</v>
      </c>
      <c r="D9" s="8" t="s">
        <v>18</v>
      </c>
      <c r="E9" s="8">
        <v>0</v>
      </c>
      <c r="F9" s="8">
        <v>5</v>
      </c>
      <c r="G9" s="17" t="s">
        <v>841</v>
      </c>
      <c r="H9" s="25"/>
      <c r="I9" s="17" t="str">
        <f t="shared" ref="I9:I41" si="0">CONCATENATE("* ",B9, " ",E9,"..",F9," ",G9," ##34#",C9,"##34# ##334#",D9,"##334#")</f>
        <v>* diagnosis 0..5 BackboneElement ##34#Diagnosis##34# ##334#Diagnosis##334#</v>
      </c>
    </row>
    <row r="10" spans="1:11" ht="44.25" x14ac:dyDescent="0.75">
      <c r="A10" s="8">
        <v>3</v>
      </c>
      <c r="B10" s="17" t="s">
        <v>842</v>
      </c>
      <c r="C10" s="8" t="s">
        <v>843</v>
      </c>
      <c r="D10" s="8" t="s">
        <v>843</v>
      </c>
      <c r="E10" s="8">
        <v>0</v>
      </c>
      <c r="F10" s="8">
        <v>1</v>
      </c>
      <c r="G10" s="1" t="str">
        <f>Diag!B4</f>
        <v>Diagnosis</v>
      </c>
      <c r="H10" s="25"/>
      <c r="I10" s="17" t="str">
        <f t="shared" si="0"/>
        <v>* diagnosis.details 0..1 Diagnosis ##34#Details about this diagnosis##34# ##334#Details about this diagnosis##334#</v>
      </c>
    </row>
    <row r="11" spans="1:11" ht="44.25" x14ac:dyDescent="0.75">
      <c r="A11" s="8">
        <v>4</v>
      </c>
      <c r="B11" s="17" t="s">
        <v>844</v>
      </c>
      <c r="C11" s="8" t="s">
        <v>19</v>
      </c>
      <c r="D11" s="8" t="s">
        <v>19</v>
      </c>
      <c r="E11" s="8">
        <v>0</v>
      </c>
      <c r="F11" s="8">
        <v>1</v>
      </c>
      <c r="G11" s="1" t="str">
        <f>Flt!B5</f>
        <v>FrontLineTreatment</v>
      </c>
      <c r="H11" s="25"/>
      <c r="I11" s="17" t="str">
        <f t="shared" si="0"/>
        <v>* diagnosis.frontLineTreatment 0..1 FrontLineTreatment ##34#Front line treatment##34# ##334#Front line treatment##334#</v>
      </c>
    </row>
    <row r="12" spans="1:11" ht="29.5" x14ac:dyDescent="0.75">
      <c r="A12" s="8">
        <v>5</v>
      </c>
      <c r="B12" s="17" t="s">
        <v>846</v>
      </c>
      <c r="C12" s="8" t="s">
        <v>847</v>
      </c>
      <c r="D12" s="8" t="s">
        <v>847</v>
      </c>
      <c r="E12" s="8">
        <v>0</v>
      </c>
      <c r="F12" s="8">
        <v>1</v>
      </c>
      <c r="G12" s="17" t="str">
        <f>Chemo!B4</f>
        <v>Chemotherapy</v>
      </c>
      <c r="H12" s="25"/>
      <c r="I12" s="17" t="str">
        <f t="shared" si="0"/>
        <v>* diagnosis.chemotherapy 0..1 Chemotherapy ##34#Chemotherapy##34# ##334#Chemotherapy##334#</v>
      </c>
    </row>
    <row r="13" spans="1:11" ht="44.25" x14ac:dyDescent="0.75">
      <c r="A13" s="8">
        <v>6</v>
      </c>
      <c r="B13" s="17" t="s">
        <v>849</v>
      </c>
      <c r="C13" s="17" t="s">
        <v>850</v>
      </c>
      <c r="D13" s="8" t="s">
        <v>850</v>
      </c>
      <c r="E13" s="8">
        <v>0</v>
      </c>
      <c r="F13" s="8" t="s">
        <v>851</v>
      </c>
      <c r="G13" s="1" t="s">
        <v>852</v>
      </c>
      <c r="H13" s="25"/>
      <c r="I13" s="17" t="str">
        <f t="shared" si="0"/>
        <v>* diagnosis.stemCellTransplantation 0..* http://hl7.eu/fhir/ig/pcsp/StructureDefinition/StemCellTransplantation ##34#Stem Cell transplantation##34# ##334#Stem Cell transplantation##334#</v>
      </c>
    </row>
    <row r="14" spans="1:11" ht="44.25" x14ac:dyDescent="0.75">
      <c r="A14" s="8">
        <v>7</v>
      </c>
      <c r="B14" s="17" t="s">
        <v>853</v>
      </c>
      <c r="C14" s="8" t="s">
        <v>854</v>
      </c>
      <c r="D14" s="8" t="s">
        <v>854</v>
      </c>
      <c r="E14" s="8">
        <v>0</v>
      </c>
      <c r="F14" s="8" t="s">
        <v>851</v>
      </c>
      <c r="G14" s="1" t="s">
        <v>855</v>
      </c>
      <c r="H14" s="25"/>
      <c r="I14" s="17" t="str">
        <f t="shared" si="0"/>
        <v>* diagnosis.radiotherapy 0..* http://hl7.eu/fhir/ig/pcsp/StructureDefinition/Radiotherapy ##34#Radiotherapy##34# ##334#Radiotherapy##334#</v>
      </c>
    </row>
    <row r="15" spans="1:11" ht="44.25" x14ac:dyDescent="0.75">
      <c r="A15" s="8">
        <v>8</v>
      </c>
      <c r="B15" s="17" t="s">
        <v>856</v>
      </c>
      <c r="C15" s="8" t="s">
        <v>857</v>
      </c>
      <c r="D15" s="8" t="s">
        <v>857</v>
      </c>
      <c r="E15" s="8">
        <v>0</v>
      </c>
      <c r="F15" s="8" t="s">
        <v>851</v>
      </c>
      <c r="G15" s="1" t="s">
        <v>858</v>
      </c>
      <c r="H15" s="25"/>
      <c r="I15" s="17" t="str">
        <f t="shared" si="0"/>
        <v>* diagnosis.majorSurgery 0..* http://hl7.eu/fhir/ig/pcsp/StructureDefinition/MajorSurgery ##34#Major Surgery##34# ##334#Major Surgery##334#</v>
      </c>
      <c r="J15" s="21"/>
      <c r="K15" s="8"/>
    </row>
    <row r="16" spans="1:11" ht="44.25" x14ac:dyDescent="0.75">
      <c r="A16" s="8">
        <v>9</v>
      </c>
      <c r="B16" s="17" t="s">
        <v>859</v>
      </c>
      <c r="C16" s="8" t="s">
        <v>21</v>
      </c>
      <c r="D16" s="8" t="s">
        <v>21</v>
      </c>
      <c r="E16" s="8">
        <v>0</v>
      </c>
      <c r="F16" s="8" t="s">
        <v>851</v>
      </c>
      <c r="G16" s="1" t="s">
        <v>860</v>
      </c>
      <c r="I16" s="17" t="str">
        <f t="shared" si="0"/>
        <v>* diagnosis.otherInfos 0..* http://hl7.eu/fhir/ig/pcsp/StructureDefinition/OtherInfos ##34#Other info and relevant events##34# ##334#Other info and relevant events##334#</v>
      </c>
    </row>
    <row r="17" spans="1:9" ht="29.5" x14ac:dyDescent="0.75">
      <c r="A17" s="8">
        <v>10</v>
      </c>
      <c r="B17" s="17" t="s">
        <v>861</v>
      </c>
      <c r="C17" s="8" t="s">
        <v>22</v>
      </c>
      <c r="D17" s="8" t="s">
        <v>22</v>
      </c>
      <c r="E17" s="8">
        <v>0</v>
      </c>
      <c r="F17" s="8">
        <v>1</v>
      </c>
      <c r="G17" s="1" t="s">
        <v>2</v>
      </c>
      <c r="I17" s="17" t="str">
        <f t="shared" si="0"/>
        <v>* diagnosis.medicalSuggestion 0..1 string ##34#Medical suggestion##34# ##334#Medical suggestion##334#</v>
      </c>
    </row>
    <row r="18" spans="1:9" ht="59" x14ac:dyDescent="0.75">
      <c r="A18" s="8">
        <v>11</v>
      </c>
      <c r="B18" s="17" t="s">
        <v>862</v>
      </c>
      <c r="C18" s="8" t="s">
        <v>20</v>
      </c>
      <c r="D18" s="8" t="s">
        <v>863</v>
      </c>
      <c r="E18" s="8">
        <v>0</v>
      </c>
      <c r="F18" s="8" t="s">
        <v>851</v>
      </c>
      <c r="G18" s="1" t="s">
        <v>864</v>
      </c>
      <c r="I18" s="17" t="str">
        <f t="shared" si="0"/>
        <v>* diagnosis.relapseDuringFLT 0..* http://hl7.eu/fhir/ig/pcsp/StructureDefinition/RelapseDuringFLT ##34#Progression-Relapse during FLT##34# ##334#Progression-Relapse during Front line treatment##334#</v>
      </c>
    </row>
    <row r="19" spans="1:9" ht="44.25" x14ac:dyDescent="0.75">
      <c r="A19" s="8">
        <v>12</v>
      </c>
      <c r="B19" s="17" t="s">
        <v>865</v>
      </c>
      <c r="C19" s="8" t="s">
        <v>23</v>
      </c>
      <c r="D19" s="8" t="s">
        <v>23</v>
      </c>
      <c r="E19" s="8">
        <v>0</v>
      </c>
      <c r="F19" s="8" t="s">
        <v>851</v>
      </c>
      <c r="G19" s="17" t="s">
        <v>841</v>
      </c>
      <c r="I19" s="17" t="str">
        <f t="shared" si="0"/>
        <v>* diagnosis.relapseAfterEOT 0..* BackboneElement ##34#Progression-relapse after the End of Treatment##34# ##334#Progression-relapse after the End of Treatment##334#</v>
      </c>
    </row>
    <row r="20" spans="1:9" ht="44.25" x14ac:dyDescent="0.75">
      <c r="A20" s="8">
        <v>13</v>
      </c>
      <c r="B20" s="17" t="s">
        <v>866</v>
      </c>
      <c r="C20" s="8" t="s">
        <v>867</v>
      </c>
      <c r="D20" s="8" t="s">
        <v>867</v>
      </c>
      <c r="E20" s="8">
        <v>0</v>
      </c>
      <c r="F20" s="8">
        <v>1</v>
      </c>
      <c r="G20" s="1" t="str">
        <f>RelAftFlt!B4</f>
        <v>RelapseAfterFLT</v>
      </c>
      <c r="I20" s="17" t="str">
        <f t="shared" si="0"/>
        <v>* diagnosis.relapseAfterEOT.details 0..1 RelapseAfterFLT ##34#Details  about this relapse-progression##34# ##334#Details  about this relapse-progression##334#</v>
      </c>
    </row>
    <row r="21" spans="1:9" ht="59" x14ac:dyDescent="0.75">
      <c r="A21" s="8">
        <v>14</v>
      </c>
      <c r="B21" s="17" t="s">
        <v>868</v>
      </c>
      <c r="C21" s="17" t="s">
        <v>869</v>
      </c>
      <c r="D21" s="17" t="s">
        <v>870</v>
      </c>
      <c r="E21" s="8">
        <v>0</v>
      </c>
      <c r="F21" s="8">
        <v>1</v>
      </c>
      <c r="G21" s="1" t="s">
        <v>845</v>
      </c>
      <c r="I21" s="17" t="str">
        <f t="shared" si="0"/>
        <v>* diagnosis.relapseAfterEOT.frontLineTreatment 0..1 http://hl7.eu/fhir/ig/pcsp/StructureDefinition/FrontLineTreatment ##34#Salvage treatment##34# ##334#The salvage treatment has been executed following##334#</v>
      </c>
    </row>
    <row r="22" spans="1:9" ht="44.25" x14ac:dyDescent="0.75">
      <c r="A22" s="8">
        <v>15</v>
      </c>
      <c r="B22" s="82" t="s">
        <v>871</v>
      </c>
      <c r="C22" s="82" t="s">
        <v>872</v>
      </c>
      <c r="D22" s="82" t="s">
        <v>872</v>
      </c>
      <c r="E22" s="8">
        <v>0</v>
      </c>
      <c r="F22" s="8">
        <v>0</v>
      </c>
      <c r="G22" s="17" t="s">
        <v>841</v>
      </c>
      <c r="I22" s="17" t="str">
        <f t="shared" si="0"/>
        <v>* diagnosis.relapseAfterEOT.frontLineTreatment.notForRelapse 0..0 BackboneElement ##34#Details not provided for relapses after EOT##34# ##334#Details not provided for relapses after EOT##334#</v>
      </c>
    </row>
    <row r="23" spans="1:9" ht="44.25" x14ac:dyDescent="0.75">
      <c r="A23" s="8">
        <v>16</v>
      </c>
      <c r="B23" s="17" t="s">
        <v>873</v>
      </c>
      <c r="C23" s="8" t="s">
        <v>847</v>
      </c>
      <c r="D23" s="8" t="s">
        <v>847</v>
      </c>
      <c r="E23" s="8">
        <v>0</v>
      </c>
      <c r="F23" s="8">
        <v>1</v>
      </c>
      <c r="G23" s="17" t="s">
        <v>848</v>
      </c>
      <c r="I23" s="17" t="str">
        <f t="shared" si="0"/>
        <v>* diagnosis.relapseAfterEOT.chemotherapy 0..1 http://hl7.eu/fhir/ig/pcsp/StructureDefinition/Chemotherapy ##34#Chemotherapy##34# ##334#Chemotherapy##334#</v>
      </c>
    </row>
    <row r="24" spans="1:9" ht="44.25" x14ac:dyDescent="0.75">
      <c r="A24" s="8">
        <v>17</v>
      </c>
      <c r="B24" s="17" t="s">
        <v>874</v>
      </c>
      <c r="C24" s="17" t="s">
        <v>850</v>
      </c>
      <c r="D24" s="8" t="s">
        <v>850</v>
      </c>
      <c r="E24" s="8">
        <v>0</v>
      </c>
      <c r="F24" s="8" t="s">
        <v>851</v>
      </c>
      <c r="G24" s="1" t="s">
        <v>852</v>
      </c>
      <c r="I24" s="17" t="str">
        <f t="shared" si="0"/>
        <v>* diagnosis.relapseAfterEOT.stemCellTransplantation 0..* http://hl7.eu/fhir/ig/pcsp/StructureDefinition/StemCellTransplantation ##34#Stem Cell transplantation##34# ##334#Stem Cell transplantation##334#</v>
      </c>
    </row>
    <row r="25" spans="1:9" ht="44.25" x14ac:dyDescent="0.75">
      <c r="A25" s="8">
        <v>18</v>
      </c>
      <c r="B25" s="17" t="s">
        <v>875</v>
      </c>
      <c r="C25" s="8" t="s">
        <v>854</v>
      </c>
      <c r="D25" s="8" t="s">
        <v>854</v>
      </c>
      <c r="E25" s="8">
        <v>0</v>
      </c>
      <c r="F25" s="8" t="s">
        <v>851</v>
      </c>
      <c r="G25" s="1" t="s">
        <v>855</v>
      </c>
      <c r="I25" s="17" t="str">
        <f t="shared" si="0"/>
        <v>* diagnosis.relapseAfterEOT.radiotherapy 0..* http://hl7.eu/fhir/ig/pcsp/StructureDefinition/Radiotherapy ##34#Radiotherapy##34# ##334#Radiotherapy##334#</v>
      </c>
    </row>
    <row r="26" spans="1:9" ht="44.25" x14ac:dyDescent="0.75">
      <c r="A26" s="8">
        <v>19</v>
      </c>
      <c r="B26" s="17" t="s">
        <v>876</v>
      </c>
      <c r="C26" s="8" t="s">
        <v>857</v>
      </c>
      <c r="D26" s="8" t="s">
        <v>857</v>
      </c>
      <c r="E26" s="8">
        <v>0</v>
      </c>
      <c r="F26" s="8" t="s">
        <v>851</v>
      </c>
      <c r="G26" s="1" t="s">
        <v>858</v>
      </c>
      <c r="I26" s="17" t="str">
        <f t="shared" si="0"/>
        <v>* diagnosis.relapseAfterEOT.majorSurgery 0..* http://hl7.eu/fhir/ig/pcsp/StructureDefinition/MajorSurgery ##34#Major Surgery##34# ##334#Major Surgery##334#</v>
      </c>
    </row>
    <row r="27" spans="1:9" ht="44.25" x14ac:dyDescent="0.75">
      <c r="A27" s="8">
        <v>20</v>
      </c>
      <c r="B27" s="17" t="s">
        <v>877</v>
      </c>
      <c r="C27" s="8" t="s">
        <v>21</v>
      </c>
      <c r="D27" s="8" t="s">
        <v>21</v>
      </c>
      <c r="E27" s="8">
        <v>0</v>
      </c>
      <c r="F27" s="8" t="s">
        <v>851</v>
      </c>
      <c r="G27" s="1" t="s">
        <v>860</v>
      </c>
      <c r="I27" s="17" t="str">
        <f t="shared" si="0"/>
        <v>* diagnosis.relapseAfterEOT.otherInfos 0..* http://hl7.eu/fhir/ig/pcsp/StructureDefinition/OtherInfos ##34#Other info and relevant events##34# ##334#Other info and relevant events##334#</v>
      </c>
    </row>
    <row r="28" spans="1:9" ht="29.5" x14ac:dyDescent="0.75">
      <c r="A28" s="8">
        <v>21</v>
      </c>
      <c r="B28" s="17" t="s">
        <v>878</v>
      </c>
      <c r="C28" s="8" t="s">
        <v>22</v>
      </c>
      <c r="D28" s="8" t="s">
        <v>22</v>
      </c>
      <c r="E28" s="8">
        <v>0</v>
      </c>
      <c r="F28" s="8">
        <v>1</v>
      </c>
      <c r="G28" s="1" t="s">
        <v>2</v>
      </c>
      <c r="I28" s="17" t="str">
        <f t="shared" si="0"/>
        <v>* diagnosis.relapseAfterEOT.medicalSuggestion 0..1 string ##34#Medical suggestion##34# ##334#Medical suggestion##334#</v>
      </c>
    </row>
    <row r="29" spans="1:9" ht="59" x14ac:dyDescent="0.75">
      <c r="A29" s="8">
        <v>22</v>
      </c>
      <c r="B29" s="83" t="s">
        <v>879</v>
      </c>
      <c r="C29" s="81" t="s">
        <v>880</v>
      </c>
      <c r="D29" s="84" t="s">
        <v>34</v>
      </c>
      <c r="E29" s="8">
        <v>0</v>
      </c>
      <c r="F29" s="8" t="s">
        <v>851</v>
      </c>
      <c r="G29" s="17" t="s">
        <v>2</v>
      </c>
      <c r="I29" s="17" t="str">
        <f t="shared" si="0"/>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1:9" x14ac:dyDescent="0.75">
      <c r="A30" s="8">
        <v>23</v>
      </c>
      <c r="B30" s="8"/>
      <c r="C30" s="17"/>
      <c r="D30" s="17"/>
      <c r="E30" s="8"/>
      <c r="F30" s="8"/>
      <c r="G30" s="17"/>
      <c r="I30" s="17" t="str">
        <f t="shared" si="0"/>
        <v>*  ..  ##34###34# ##334###334#</v>
      </c>
    </row>
    <row r="31" spans="1:9" x14ac:dyDescent="0.75">
      <c r="A31" s="8">
        <v>24</v>
      </c>
      <c r="B31" s="8"/>
      <c r="C31" s="17"/>
      <c r="D31" s="17"/>
      <c r="E31" s="8"/>
      <c r="F31" s="8"/>
      <c r="G31" s="17"/>
      <c r="I31" s="17" t="str">
        <f t="shared" si="0"/>
        <v>*  ..  ##34###34# ##334###334#</v>
      </c>
    </row>
    <row r="32" spans="1:9" x14ac:dyDescent="0.75">
      <c r="A32" s="8">
        <v>25</v>
      </c>
      <c r="B32" s="8"/>
      <c r="C32" s="17"/>
      <c r="D32" s="17"/>
      <c r="E32" s="8"/>
      <c r="F32" s="8"/>
      <c r="G32" s="17"/>
      <c r="I32" s="17" t="str">
        <f t="shared" si="0"/>
        <v>*  ..  ##34###34# ##334###334#</v>
      </c>
    </row>
    <row r="33" spans="1:9" x14ac:dyDescent="0.75">
      <c r="A33" s="8">
        <v>26</v>
      </c>
      <c r="B33" s="8"/>
      <c r="C33" s="17"/>
      <c r="D33" s="17"/>
      <c r="E33" s="8"/>
      <c r="F33" s="8"/>
      <c r="G33" s="17"/>
      <c r="I33" s="17" t="str">
        <f t="shared" si="0"/>
        <v>*  ..  ##34###34# ##334###334#</v>
      </c>
    </row>
    <row r="34" spans="1:9" x14ac:dyDescent="0.75">
      <c r="A34" s="8">
        <v>27</v>
      </c>
      <c r="B34" s="8"/>
      <c r="C34" s="8"/>
      <c r="D34" s="17"/>
      <c r="E34" s="8"/>
      <c r="F34" s="8"/>
      <c r="G34" s="17"/>
      <c r="I34" s="17" t="str">
        <f t="shared" si="0"/>
        <v>*  ..  ##34###34# ##334###334#</v>
      </c>
    </row>
    <row r="35" spans="1:9" x14ac:dyDescent="0.75">
      <c r="A35" s="8">
        <v>28</v>
      </c>
      <c r="B35" s="8"/>
      <c r="C35" s="8"/>
      <c r="D35" s="17"/>
      <c r="E35" s="8"/>
      <c r="F35" s="8"/>
      <c r="G35" s="17"/>
      <c r="I35" s="17" t="str">
        <f t="shared" si="0"/>
        <v>*  ..  ##34###34# ##334###334#</v>
      </c>
    </row>
    <row r="36" spans="1:9" x14ac:dyDescent="0.75">
      <c r="A36" s="8">
        <v>29</v>
      </c>
      <c r="B36" s="8"/>
      <c r="C36" s="8"/>
      <c r="D36" s="17"/>
      <c r="E36" s="8"/>
      <c r="F36" s="8"/>
      <c r="G36" s="17"/>
      <c r="I36" s="17" t="str">
        <f t="shared" si="0"/>
        <v>*  ..  ##34###34# ##334###334#</v>
      </c>
    </row>
    <row r="37" spans="1:9" x14ac:dyDescent="0.75">
      <c r="A37" s="8">
        <v>30</v>
      </c>
      <c r="B37" s="8"/>
      <c r="C37" s="89"/>
      <c r="D37" s="89"/>
      <c r="E37" s="8"/>
      <c r="F37" s="8"/>
      <c r="G37" s="17"/>
      <c r="I37" s="17" t="str">
        <f t="shared" si="0"/>
        <v>*  ..  ##34###34# ##334###334#</v>
      </c>
    </row>
    <row r="38" spans="1:9" x14ac:dyDescent="0.75">
      <c r="B38" s="8"/>
      <c r="C38" s="89"/>
      <c r="D38" s="89"/>
      <c r="E38" s="8"/>
      <c r="F38" s="8"/>
      <c r="G38" s="17"/>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00329-7575-46F0-B821-7D63377301D3}">
  <sheetPr codeName="Foglio59"/>
  <dimension ref="A1:O58"/>
  <sheetViews>
    <sheetView workbookViewId="0">
      <selection activeCell="C11" sqref="C11"/>
    </sheetView>
  </sheetViews>
  <sheetFormatPr defaultRowHeight="14.75" x14ac:dyDescent="0.75"/>
  <cols>
    <col min="2" max="2" width="52.953125" style="1" bestFit="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tr">
        <f>C7&amp;"2Fhir"</f>
        <v>TreatmentSummary2Fhir</v>
      </c>
      <c r="E4" s="30" t="str">
        <f>CONCATENATE("Mapping: ",C4)</f>
        <v>Mapping: TreatmentSummary2Fhir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TreatmentSummary model to PCSP HL7 FHIR R4 Profiles</v>
      </c>
      <c r="E6" s="31" t="str">
        <f>CONCATENATE("Title: ##34#",C6,"##34#")</f>
        <v>Title: ##34#TreatmentSummary model to PCSP HL7 FHIR R4 Profiles##34#</v>
      </c>
      <c r="G6" s="1"/>
      <c r="H6" s="9"/>
      <c r="I6" s="9"/>
      <c r="J6" s="9"/>
      <c r="K6" s="9"/>
      <c r="L6" s="9"/>
      <c r="M6" s="9"/>
      <c r="N6" s="9"/>
      <c r="O6" s="9"/>
    </row>
    <row r="7" spans="1:15" ht="15.5" thickBot="1" x14ac:dyDescent="0.9">
      <c r="B7" s="94" t="s">
        <v>78</v>
      </c>
      <c r="C7" s="91" t="str">
        <f>B9</f>
        <v>TreatmentSummary</v>
      </c>
      <c r="E7" s="31" t="str">
        <f>CONCATENATE("Source: ",C7)</f>
        <v>Source: TreatmentSummary</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x14ac:dyDescent="0.75">
      <c r="A9" s="8"/>
      <c r="B9" s="4" t="str">
        <f>TreatSum!B5</f>
        <v>TreatmentSummary</v>
      </c>
      <c r="C9" s="4"/>
      <c r="E9" s="4" t="s">
        <v>1639</v>
      </c>
      <c r="H9" s="9" t="s">
        <v>1628</v>
      </c>
      <c r="I9" s="9" t="s">
        <v>1634</v>
      </c>
      <c r="J9" s="9"/>
      <c r="K9" s="9"/>
      <c r="L9" s="9"/>
      <c r="M9" s="9"/>
      <c r="N9" s="9"/>
      <c r="O9" s="9"/>
    </row>
    <row r="10" spans="1:15" ht="44.25" x14ac:dyDescent="0.75">
      <c r="A10" s="8"/>
      <c r="B10" s="17" t="str">
        <f>TreatSum!B8</f>
        <v>subject</v>
      </c>
      <c r="C10" s="20" t="str">
        <f>'Subj-Map'!C9</f>
        <v>Patient</v>
      </c>
      <c r="E10" s="17" t="str">
        <f>CONCATENATE("* ",B10," -&gt; ##34#",C10,"##34#")</f>
        <v>* subject -&gt; ##34#Patient##34#</v>
      </c>
      <c r="G10" s="1"/>
      <c r="H10" s="9" t="s">
        <v>1629</v>
      </c>
      <c r="I10" s="9" t="s">
        <v>1634</v>
      </c>
      <c r="J10" s="9"/>
      <c r="K10" s="9"/>
      <c r="L10" s="9"/>
      <c r="M10" s="9"/>
      <c r="N10" s="9"/>
      <c r="O10" s="9"/>
    </row>
    <row r="11" spans="1:15" x14ac:dyDescent="0.75">
      <c r="A11" s="8"/>
      <c r="B11" s="17" t="str">
        <f>TreatSum!B9</f>
        <v>diagnosis</v>
      </c>
      <c r="C11" s="20"/>
      <c r="E11" s="4" t="s">
        <v>1639</v>
      </c>
      <c r="G11" s="1"/>
      <c r="H11" s="9" t="s">
        <v>1631</v>
      </c>
      <c r="I11" s="9" t="s">
        <v>1616</v>
      </c>
      <c r="J11" s="9"/>
      <c r="K11" s="9"/>
      <c r="L11" s="9"/>
      <c r="M11" s="9"/>
      <c r="N11" s="9"/>
      <c r="O11" s="9"/>
    </row>
    <row r="12" spans="1:15" ht="44.25" x14ac:dyDescent="0.75">
      <c r="A12" s="8"/>
      <c r="B12" s="17" t="str">
        <f>TreatSum!B10</f>
        <v>diagnosis.details</v>
      </c>
      <c r="C12" s="20" t="str">
        <f>'Diag-Map'!C9</f>
        <v>Condition.conformsTo('http://hl7.eu/fhir/ig/pcsp/StructureDefinition/Condition-primaryCancer-eu-pcsp')</v>
      </c>
      <c r="E12" s="17" t="str">
        <f t="shared" ref="E11:E40" si="0">CONCATENATE("* ",B12," -&gt; ##34#",C12,"##34#")</f>
        <v>* diagnosis.details -&gt; ##34#Condition.conformsTo('http://hl7.eu/fhir/ig/pcsp/StructureDefinition/Condition-primaryCancer-eu-pcsp')##34#</v>
      </c>
      <c r="G12" s="1"/>
      <c r="H12" s="9"/>
      <c r="I12" s="9"/>
      <c r="J12" s="9"/>
      <c r="K12" s="9"/>
      <c r="L12" s="9"/>
      <c r="M12" s="9"/>
      <c r="N12" s="9"/>
      <c r="O12" s="9"/>
    </row>
    <row r="13" spans="1:15" ht="44.25" x14ac:dyDescent="0.75">
      <c r="A13" s="8"/>
      <c r="B13" s="17" t="str">
        <f>TreatSum!B11</f>
        <v>diagnosis.frontLineTreatment</v>
      </c>
      <c r="C13" s="20" t="str">
        <f>'Flt-Map'!C9</f>
        <v>Procedure.conformsTo('http://hl7.eu/fhir/ig/pcsp/StructureDefinition/Procedure-flt-eu-pcsp')</v>
      </c>
      <c r="E13" s="17" t="str">
        <f t="shared" si="0"/>
        <v>* diagnosis.frontLineTreatment -&gt; ##34#Procedure.conformsTo('http://hl7.eu/fhir/ig/pcsp/StructureDefinition/Procedure-flt-eu-pcsp')##34#</v>
      </c>
      <c r="G13" s="1"/>
      <c r="H13" s="9"/>
      <c r="I13" s="9"/>
      <c r="J13" s="9"/>
      <c r="K13" s="9"/>
      <c r="L13" s="9"/>
      <c r="M13" s="9"/>
      <c r="N13" s="9"/>
      <c r="O13" s="9"/>
    </row>
    <row r="14" spans="1:15" ht="44.25" x14ac:dyDescent="0.75">
      <c r="A14" s="8"/>
      <c r="B14" s="17" t="str">
        <f>TreatSum!B12</f>
        <v>diagnosis.chemotherapy</v>
      </c>
      <c r="C14" s="20" t="str">
        <f>'Chemo-Map'!C9</f>
        <v>MedicationAdministration.conformsTo('http://hl7.eu/fhir/ig/pcsp/StructureDefinition/MedicationAdministration-eu-pcsp')</v>
      </c>
      <c r="E14" s="17" t="str">
        <f t="shared" si="0"/>
        <v>* diagnosis.chemotherapy -&gt; ##34#MedicationAdministration.conformsTo('http://hl7.eu/fhir/ig/pcsp/StructureDefinition/MedicationAdministration-eu-pcsp')##34#</v>
      </c>
      <c r="G14" s="1"/>
      <c r="H14" s="9"/>
      <c r="I14" s="9"/>
      <c r="J14" s="9"/>
      <c r="K14" s="9"/>
      <c r="L14" s="9"/>
      <c r="M14" s="9"/>
      <c r="N14" s="9"/>
      <c r="O14" s="9"/>
    </row>
    <row r="15" spans="1:15" ht="44.25" x14ac:dyDescent="0.75">
      <c r="A15" s="8"/>
      <c r="B15" s="17" t="str">
        <f>TreatSum!B13</f>
        <v>diagnosis.stemCellTransplantation</v>
      </c>
      <c r="C15" s="20" t="str">
        <f>'Sct-Map'!C9</f>
        <v>Procedure.conformsTo('http://hl7.eu/fhir/ig/pcsp/StructureDefinition/Procedure-sct-eu-pcsp')</v>
      </c>
      <c r="E15" s="17" t="str">
        <f t="shared" si="0"/>
        <v>* diagnosis.stemCellTransplantation -&gt; ##34#Procedure.conformsTo('http://hl7.eu/fhir/ig/pcsp/StructureDefinition/Procedure-sct-eu-pcsp')##34#</v>
      </c>
      <c r="G15" s="1"/>
      <c r="H15" s="9"/>
      <c r="I15" s="9"/>
      <c r="J15" s="9"/>
      <c r="K15" s="9"/>
      <c r="L15" s="9"/>
      <c r="M15" s="9"/>
      <c r="N15" s="9"/>
      <c r="O15" s="9"/>
    </row>
    <row r="16" spans="1:15" ht="44.25" x14ac:dyDescent="0.75">
      <c r="A16" s="8"/>
      <c r="B16" s="17" t="str">
        <f>TreatSum!B14</f>
        <v>diagnosis.radiotherapy</v>
      </c>
      <c r="C16" s="20" t="str">
        <f>'Radio-Map'!C9</f>
        <v>Procedure.conformsTo('http://hl7.eu/fhir/ig/pcsp/StructureDefinition/Procedure-radiotheraphy-eu-pcsp')</v>
      </c>
      <c r="E16" s="17" t="str">
        <f t="shared" si="0"/>
        <v>* diagnosis.radiotherapy -&gt; ##34#Procedure.conformsTo('http://hl7.eu/fhir/ig/pcsp/StructureDefinition/Procedure-radiotheraphy-eu-pcsp')##34#</v>
      </c>
      <c r="G16" s="1"/>
      <c r="H16" s="9"/>
      <c r="I16" s="9"/>
      <c r="J16" s="9"/>
      <c r="K16" s="9"/>
      <c r="L16" s="9"/>
      <c r="M16" s="9"/>
      <c r="N16" s="9"/>
      <c r="O16" s="9"/>
    </row>
    <row r="17" spans="1:15" ht="44.25" x14ac:dyDescent="0.75">
      <c r="A17" s="8"/>
      <c r="B17" s="17" t="str">
        <f>TreatSum!B15</f>
        <v>diagnosis.majorSurgery</v>
      </c>
      <c r="C17" s="20" t="str">
        <f>'Surg-Map'!C9</f>
        <v>Procedure.conformsTo('http://hl7.eu/fhir/ig/pcsp/StructureDefinition/Procedure-surgery-eu-pcsp')</v>
      </c>
      <c r="E17" s="17" t="str">
        <f t="shared" si="0"/>
        <v>* diagnosis.majorSurgery -&gt; ##34#Procedure.conformsTo('http://hl7.eu/fhir/ig/pcsp/StructureDefinition/Procedure-surgery-eu-pcsp')##34#</v>
      </c>
      <c r="G17" s="1"/>
      <c r="H17" s="9"/>
      <c r="I17" s="9"/>
      <c r="J17" s="9"/>
      <c r="K17" s="9"/>
      <c r="L17" s="9"/>
      <c r="M17" s="9"/>
      <c r="N17" s="9"/>
      <c r="O17" s="9"/>
    </row>
    <row r="18" spans="1:15" x14ac:dyDescent="0.75">
      <c r="A18" s="8"/>
      <c r="B18" s="17" t="str">
        <f>TreatSum!B16</f>
        <v>diagnosis.otherInfos</v>
      </c>
      <c r="C18" s="17" t="str">
        <f>'Other-Map'!C9</f>
        <v>Procedure</v>
      </c>
      <c r="E18" s="17" t="str">
        <f t="shared" si="0"/>
        <v>* diagnosis.otherInfos -&gt; ##34#Procedure##34#</v>
      </c>
      <c r="G18" s="1"/>
      <c r="H18" s="9"/>
      <c r="I18" s="9"/>
      <c r="J18" s="9"/>
      <c r="K18" s="9"/>
      <c r="L18" s="9"/>
      <c r="M18" s="9"/>
      <c r="N18" s="9"/>
      <c r="O18" s="9"/>
    </row>
    <row r="19" spans="1:15" x14ac:dyDescent="0.75">
      <c r="A19" s="8"/>
      <c r="B19" s="17" t="str">
        <f>TreatSum!B16</f>
        <v>diagnosis.otherInfos</v>
      </c>
      <c r="C19" s="17" t="str">
        <f>'Other-Map'!C10</f>
        <v>Condition</v>
      </c>
      <c r="E19" s="17" t="str">
        <f t="shared" si="0"/>
        <v>* diagnosis.otherInfos -&gt; ##34#Condition##34#</v>
      </c>
      <c r="G19" s="1"/>
    </row>
    <row r="20" spans="1:15" x14ac:dyDescent="0.75">
      <c r="A20" s="8"/>
      <c r="B20" s="17" t="str">
        <f>TreatSum!B17</f>
        <v>diagnosis.medicalSuggestion</v>
      </c>
      <c r="C20" s="17"/>
      <c r="E20" s="4" t="s">
        <v>1640</v>
      </c>
      <c r="G20" s="1"/>
    </row>
    <row r="21" spans="1:15" ht="103.25" x14ac:dyDescent="0.75">
      <c r="A21" s="8"/>
      <c r="B21" s="17" t="str">
        <f>TreatSum!B18</f>
        <v>diagnosis.relapseDuringFLT</v>
      </c>
      <c r="C21" s="17" t="str">
        <f>'RelFlt-Map'!C9</f>
        <v>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E21" s="17" t="str">
        <f t="shared" si="0"/>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G21" s="1"/>
    </row>
    <row r="22" spans="1:15" x14ac:dyDescent="0.75">
      <c r="A22" s="8"/>
      <c r="B22" s="17" t="str">
        <f>TreatSum!B19</f>
        <v>diagnosis.relapseAfterEOT</v>
      </c>
      <c r="C22" s="17"/>
      <c r="E22" s="4" t="s">
        <v>1639</v>
      </c>
      <c r="G22" s="1"/>
    </row>
    <row r="23" spans="1:15" ht="103.25" x14ac:dyDescent="0.75">
      <c r="A23" s="8"/>
      <c r="B23" s="17" t="str">
        <f>TreatSum!B20</f>
        <v>diagnosis.relapseAfterEOT.details</v>
      </c>
      <c r="C23" s="17" t="str">
        <f>'RelAftFlt-Map'!C9</f>
        <v>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E23" s="17" t="str">
        <f t="shared" si="0"/>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G23" s="1"/>
    </row>
    <row r="24" spans="1:15" ht="44.25" x14ac:dyDescent="0.75">
      <c r="A24" s="8"/>
      <c r="B24" s="17" t="str">
        <f>TreatSum!B21</f>
        <v>diagnosis.relapseAfterEOT.frontLineTreatment</v>
      </c>
      <c r="C24" s="17" t="str">
        <f>'Flt-Map'!C9</f>
        <v>Procedure.conformsTo('http://hl7.eu/fhir/ig/pcsp/StructureDefinition/Procedure-flt-eu-pcsp')</v>
      </c>
      <c r="E24" s="17" t="str">
        <f t="shared" si="0"/>
        <v>* diagnosis.relapseAfterEOT.frontLineTreatment -&gt; ##34#Procedure.conformsTo('http://hl7.eu/fhir/ig/pcsp/StructureDefinition/Procedure-flt-eu-pcsp')##34#</v>
      </c>
      <c r="G24" s="1"/>
    </row>
    <row r="25" spans="1:15" x14ac:dyDescent="0.75">
      <c r="A25" s="8"/>
      <c r="B25" s="17" t="str">
        <f>TreatSum!B22</f>
        <v>diagnosis.relapseAfterEOT.frontLineTreatment.notForRelapse</v>
      </c>
      <c r="C25" s="17"/>
      <c r="E25" s="4" t="s">
        <v>1639</v>
      </c>
      <c r="G25" s="1"/>
    </row>
    <row r="26" spans="1:15" ht="44.25" x14ac:dyDescent="0.75">
      <c r="A26" s="8"/>
      <c r="B26" s="17" t="str">
        <f>TreatSum!B23</f>
        <v>diagnosis.relapseAfterEOT.chemotherapy</v>
      </c>
      <c r="C26" s="17" t="s">
        <v>1091</v>
      </c>
      <c r="E26" s="17" t="str">
        <f t="shared" si="0"/>
        <v>* diagnosis.relapseAfterEOT.chemotherapy -&gt; ##34#MedicationAdministration.conformsTo('http://hl7.eu/fhir/ig/pcsp/StructureDefinition/MedicationAdministration-eu-pcsp')##34#</v>
      </c>
      <c r="G26" s="1"/>
    </row>
    <row r="27" spans="1:15" ht="44.25" x14ac:dyDescent="0.75">
      <c r="A27" s="8"/>
      <c r="B27" s="17" t="str">
        <f>TreatSum!B24</f>
        <v>diagnosis.relapseAfterEOT.stemCellTransplantation</v>
      </c>
      <c r="C27" s="17" t="s">
        <v>1417</v>
      </c>
      <c r="E27" s="17" t="str">
        <f t="shared" si="0"/>
        <v>* diagnosis.relapseAfterEOT.stemCellTransplantation -&gt; ##34#Procedure.conformsTo('http://hl7.eu/fhir/ig/pcsp/StructureDefinition/Procedure-sct-eu-pcsp')##34#</v>
      </c>
      <c r="G27" s="1"/>
    </row>
    <row r="28" spans="1:15" ht="44.25" x14ac:dyDescent="0.75">
      <c r="A28" s="8"/>
      <c r="B28" s="17" t="str">
        <f>TreatSum!B25</f>
        <v>diagnosis.relapseAfterEOT.radiotherapy</v>
      </c>
      <c r="C28" s="17" t="s">
        <v>1213</v>
      </c>
      <c r="E28" s="17" t="str">
        <f t="shared" si="0"/>
        <v>* diagnosis.relapseAfterEOT.radiotherapy -&gt; ##34#Procedure.conformsTo('http://hl7.eu/fhir/ig/pcsp/StructureDefinition/Procedure-radiotheraphy-eu-pcsp')##34#</v>
      </c>
      <c r="G28" s="1"/>
    </row>
    <row r="29" spans="1:15" ht="44.25" x14ac:dyDescent="0.75">
      <c r="A29" s="8"/>
      <c r="B29" s="17" t="str">
        <f>TreatSum!B26</f>
        <v>diagnosis.relapseAfterEOT.majorSurgery</v>
      </c>
      <c r="C29" s="17" t="s">
        <v>1341</v>
      </c>
      <c r="E29" s="17" t="str">
        <f t="shared" si="0"/>
        <v>* diagnosis.relapseAfterEOT.majorSurgery -&gt; ##34#Procedure.conformsTo('http://hl7.eu/fhir/ig/pcsp/StructureDefinition/Procedure-surgery-eu-pcsp')##34#</v>
      </c>
      <c r="G29" s="1"/>
    </row>
    <row r="30" spans="1:15" x14ac:dyDescent="0.75">
      <c r="A30" s="8"/>
      <c r="B30" s="17" t="str">
        <f>TreatSum!B27</f>
        <v>diagnosis.relapseAfterEOT.otherInfos</v>
      </c>
      <c r="C30" s="17" t="s">
        <v>1279</v>
      </c>
      <c r="E30" s="17" t="str">
        <f t="shared" si="0"/>
        <v>* diagnosis.relapseAfterEOT.otherInfos -&gt; ##34#Procedure##34#</v>
      </c>
      <c r="G30" s="1"/>
    </row>
    <row r="31" spans="1:15" x14ac:dyDescent="0.75">
      <c r="A31" s="8"/>
      <c r="B31" s="17" t="str">
        <f>TreatSum!B27</f>
        <v>diagnosis.relapseAfterEOT.otherInfos</v>
      </c>
      <c r="C31" s="17" t="s">
        <v>1280</v>
      </c>
      <c r="E31" s="17" t="str">
        <f t="shared" si="0"/>
        <v>* diagnosis.relapseAfterEOT.otherInfos -&gt; ##34#Condition##34#</v>
      </c>
    </row>
    <row r="32" spans="1:15" x14ac:dyDescent="0.75">
      <c r="A32" s="8"/>
      <c r="B32" s="17" t="str">
        <f>TreatSum!B28</f>
        <v>diagnosis.relapseAfterEOT.medicalSuggestion</v>
      </c>
      <c r="C32" s="17"/>
      <c r="E32" s="4" t="s">
        <v>1640</v>
      </c>
    </row>
    <row r="33" spans="1:5" x14ac:dyDescent="0.75">
      <c r="A33" s="8"/>
      <c r="B33" s="17" t="str">
        <f>TreatSum!B29</f>
        <v>diagnosis.otherConditions</v>
      </c>
      <c r="C33" s="17"/>
      <c r="E33" s="4" t="s">
        <v>1640</v>
      </c>
    </row>
    <row r="34" spans="1:5" x14ac:dyDescent="0.75">
      <c r="B34" s="17"/>
      <c r="C34" s="17"/>
      <c r="E34" s="17" t="str">
        <f t="shared" si="0"/>
        <v>*  -&gt; ##34###34#</v>
      </c>
    </row>
    <row r="35" spans="1:5" x14ac:dyDescent="0.75">
      <c r="B35" s="17"/>
      <c r="C35" s="20"/>
      <c r="E35" s="17" t="str">
        <f t="shared" si="0"/>
        <v>*  -&gt; ##34###34#</v>
      </c>
    </row>
    <row r="36" spans="1:5" x14ac:dyDescent="0.75">
      <c r="B36" s="17"/>
      <c r="C36" s="20"/>
      <c r="E36" s="17" t="str">
        <f t="shared" si="0"/>
        <v>*  -&gt; ##34###34#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row>
    <row r="42" spans="1:5" x14ac:dyDescent="0.75">
      <c r="B42" s="17"/>
      <c r="C42" s="17"/>
      <c r="E42" s="17"/>
    </row>
    <row r="43" spans="1:5" x14ac:dyDescent="0.75">
      <c r="B43" s="17"/>
      <c r="C43" s="17"/>
      <c r="E43" s="17"/>
    </row>
    <row r="44" spans="1:5" x14ac:dyDescent="0.75">
      <c r="B44" s="17"/>
      <c r="C44" s="17"/>
      <c r="E44" s="17"/>
    </row>
    <row r="45" spans="1:5" x14ac:dyDescent="0.75">
      <c r="B45" s="17"/>
      <c r="C45" s="17"/>
      <c r="E45" s="17"/>
    </row>
    <row r="46" spans="1:5" x14ac:dyDescent="0.75">
      <c r="B46" s="17"/>
      <c r="C46" s="17"/>
      <c r="E46" s="17"/>
    </row>
    <row r="47" spans="1:5" x14ac:dyDescent="0.75">
      <c r="B47" s="17"/>
      <c r="C47" s="17"/>
      <c r="E47" s="17"/>
    </row>
    <row r="48" spans="1:5" x14ac:dyDescent="0.75">
      <c r="B48" s="17"/>
      <c r="C48" s="17"/>
      <c r="E48" s="17"/>
    </row>
    <row r="49" spans="2:5" x14ac:dyDescent="0.75">
      <c r="B49" s="17"/>
      <c r="C49" s="17"/>
      <c r="E49" s="17"/>
    </row>
    <row r="50" spans="2:5" x14ac:dyDescent="0.75">
      <c r="B50" s="17"/>
      <c r="C50" s="17"/>
      <c r="E50" s="17"/>
    </row>
    <row r="51" spans="2:5" x14ac:dyDescent="0.75">
      <c r="B51" s="17"/>
      <c r="C51" s="17"/>
      <c r="E51" s="17"/>
    </row>
    <row r="52" spans="2:5" x14ac:dyDescent="0.75">
      <c r="B52" s="17"/>
      <c r="C52" s="17"/>
      <c r="E52" s="17"/>
    </row>
    <row r="53" spans="2:5" x14ac:dyDescent="0.75">
      <c r="B53" s="17"/>
      <c r="C53" s="17"/>
      <c r="E53" s="17"/>
    </row>
    <row r="54" spans="2:5" x14ac:dyDescent="0.75">
      <c r="B54" s="17"/>
      <c r="C54" s="17"/>
      <c r="E54" s="17"/>
    </row>
    <row r="55" spans="2:5" x14ac:dyDescent="0.75">
      <c r="E55" s="17"/>
    </row>
    <row r="56" spans="2:5" x14ac:dyDescent="0.75">
      <c r="E56" s="17"/>
    </row>
    <row r="57" spans="2:5" x14ac:dyDescent="0.75">
      <c r="E57" s="17"/>
    </row>
    <row r="58" spans="2:5" x14ac:dyDescent="0.75">
      <c r="E58" s="17"/>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C83A6-D0A0-409A-98AE-1B6EE6403BC3}">
  <sheetPr codeName="Foglio23">
    <tabColor theme="9" tint="0.39997558519241921"/>
  </sheetPr>
  <dimension ref="C1:G72"/>
  <sheetViews>
    <sheetView workbookViewId="0">
      <selection activeCell="G21" sqref="G21"/>
    </sheetView>
  </sheetViews>
  <sheetFormatPr defaultRowHeight="14.75" x14ac:dyDescent="0.75"/>
  <cols>
    <col min="3" max="3" width="108.2265625" style="17" customWidth="1"/>
    <col min="7" max="7" width="33.26953125" customWidth="1"/>
  </cols>
  <sheetData>
    <row r="1" spans="3:7" ht="15.5" thickBot="1" x14ac:dyDescent="0.9">
      <c r="C1" s="34" t="str">
        <f>TreatSum!I1</f>
        <v>// -------------------------------------------------------------------------------</v>
      </c>
    </row>
    <row r="2" spans="3:7" ht="16.75" thickBot="1" x14ac:dyDescent="0.9">
      <c r="C2" s="35" t="str">
        <f>TreatSum!I2</f>
        <v>//  Logical Model</v>
      </c>
      <c r="G2" s="92" t="str">
        <f>"pcsp-"&amp;TreatSum!B5&amp;".fsh"</f>
        <v>pcsp-TreatmentSummary.fsh</v>
      </c>
    </row>
    <row r="3" spans="3:7" x14ac:dyDescent="0.75">
      <c r="C3" s="35" t="str">
        <f>TreatSum!I3</f>
        <v>// -------------------------------------------------------------------------------</v>
      </c>
    </row>
    <row r="4" spans="3:7" x14ac:dyDescent="0.75">
      <c r="C4" s="27" t="str">
        <f>TreatSum!I4</f>
        <v>Logical: TreatmentSummary</v>
      </c>
    </row>
    <row r="5" spans="3:7" x14ac:dyDescent="0.75">
      <c r="C5" s="27" t="str">
        <f>TreatSum!I5</f>
        <v>Id: TreatmentSummary</v>
      </c>
    </row>
    <row r="6" spans="3:7" x14ac:dyDescent="0.75">
      <c r="C6" s="27" t="str">
        <f>TreatSum!I6</f>
        <v>Title: ##34#Treatment Summary##34#</v>
      </c>
    </row>
    <row r="7" spans="3:7" ht="29.5" x14ac:dyDescent="0.75">
      <c r="C7" s="27" t="str">
        <f>TreatSum!I7</f>
        <v>Description:  ##334#Treatment Summary data model
Maturity Level: 2 - Ready for Review##334#</v>
      </c>
    </row>
    <row r="8" spans="3:7" ht="29.5" x14ac:dyDescent="0.75">
      <c r="C8" s="17" t="str">
        <f>IF(TreatSum!I8="*  ..  ##34###34# ##334###334#","//--- END",TreatSum!I8)</f>
        <v>* subject 1..1 Subject ##34#Subject##34# ##334#Subject##334#</v>
      </c>
    </row>
    <row r="9" spans="3:7" x14ac:dyDescent="0.75">
      <c r="C9" s="17" t="str">
        <f>IF(TreatSum!I9="*  ..  ##34###34# ##334###334#","//--- END",TreatSum!I9)</f>
        <v>* diagnosis 0..5 BackboneElement ##34#Diagnosis##34# ##334#Diagnosis##334#</v>
      </c>
    </row>
    <row r="10" spans="3:7" x14ac:dyDescent="0.75">
      <c r="C10" s="17" t="str">
        <f>IF(TreatSum!I10="*  ..  ##34###34# ##334###334#","//--- END",TreatSum!I10)</f>
        <v>* diagnosis.details 0..1 Diagnosis ##34#Details about this diagnosis##34# ##334#Details about this diagnosis##334#</v>
      </c>
    </row>
    <row r="11" spans="3:7" x14ac:dyDescent="0.75">
      <c r="C11" s="17" t="str">
        <f>IF(TreatSum!I11="*  ..  ##34###34# ##334###334#","//--- END",TreatSum!I11)</f>
        <v>* diagnosis.frontLineTreatment 0..1 FrontLineTreatment ##34#Front line treatment##34# ##334#Front line treatment##334#</v>
      </c>
    </row>
    <row r="12" spans="3:7" ht="29.5" x14ac:dyDescent="0.75">
      <c r="C12" s="17" t="str">
        <f>IF(TreatSum!I12="*  ..  ##34###34# ##334###334#","//--- END",TreatSum!I12)</f>
        <v>* diagnosis.chemotherapy 0..1 Chemotherapy ##34#Chemotherapy##34# ##334#Chemotherapy##334#</v>
      </c>
    </row>
    <row r="13" spans="3:7" ht="29.5" x14ac:dyDescent="0.75">
      <c r="C13" s="17" t="str">
        <f>IF(TreatSum!I13="*  ..  ##34###34# ##334###334#","//--- END",TreatSum!I13)</f>
        <v>* diagnosis.stemCellTransplantation 0..* http://hl7.eu/fhir/ig/pcsp/StructureDefinition/StemCellTransplantation ##34#Stem Cell transplantation##34# ##334#Stem Cell transplantation##334#</v>
      </c>
    </row>
    <row r="14" spans="3:7" ht="29.5" x14ac:dyDescent="0.75">
      <c r="C14" s="17" t="str">
        <f>IF(TreatSum!I14="*  ..  ##34###34# ##334###334#","//--- END",TreatSum!I14)</f>
        <v>* diagnosis.radiotherapy 0..* http://hl7.eu/fhir/ig/pcsp/StructureDefinition/Radiotherapy ##34#Radiotherapy##34# ##334#Radiotherapy##334#</v>
      </c>
    </row>
    <row r="15" spans="3:7" ht="29.5" x14ac:dyDescent="0.75">
      <c r="C15" s="17" t="str">
        <f>IF(TreatSum!I15="*  ..  ##34###34# ##334###334#","//--- END",TreatSum!I15)</f>
        <v>* diagnosis.majorSurgery 0..* http://hl7.eu/fhir/ig/pcsp/StructureDefinition/MajorSurgery ##34#Major Surgery##34# ##334#Major Surgery##334#</v>
      </c>
    </row>
    <row r="16" spans="3:7" ht="29.5" x14ac:dyDescent="0.75">
      <c r="C16" s="17" t="str">
        <f>IF(TreatSum!I16="*  ..  ##34###34# ##334###334#","//--- END",TreatSum!I16)</f>
        <v>* diagnosis.otherInfos 0..* http://hl7.eu/fhir/ig/pcsp/StructureDefinition/OtherInfos ##34#Other info and relevant events##34# ##334#Other info and relevant events##334#</v>
      </c>
    </row>
    <row r="17" spans="3:3" x14ac:dyDescent="0.75">
      <c r="C17" s="17" t="str">
        <f>IF(TreatSum!I17="*  ..  ##34###34# ##334###334#","//--- END",TreatSum!I17)</f>
        <v>* diagnosis.medicalSuggestion 0..1 string ##34#Medical suggestion##34# ##334#Medical suggestion##334#</v>
      </c>
    </row>
    <row r="18" spans="3:3" ht="29.5" x14ac:dyDescent="0.75">
      <c r="C18" s="17" t="str">
        <f>IF(TreatSum!I18="*  ..  ##34###34# ##334###334#","//--- END",TreatSum!I18)</f>
        <v>* diagnosis.relapseDuringFLT 0..* http://hl7.eu/fhir/ig/pcsp/StructureDefinition/RelapseDuringFLT ##34#Progression-Relapse during FLT##34# ##334#Progression-Relapse during Front line treatment##334#</v>
      </c>
    </row>
    <row r="19" spans="3:3" ht="29.5" x14ac:dyDescent="0.75">
      <c r="C19" s="17" t="str">
        <f>IF(TreatSum!I19="*  ..  ##34###34# ##334###334#","//--- END",TreatSum!I19)</f>
        <v>* diagnosis.relapseAfterEOT 0..* BackboneElement ##34#Progression-relapse after the End of Treatment##34# ##334#Progression-relapse after the End of Treatment##334#</v>
      </c>
    </row>
    <row r="20" spans="3:3" ht="29.5" x14ac:dyDescent="0.75">
      <c r="C20" s="17" t="str">
        <f>IF(TreatSum!I20="*  ..  ##34###34# ##334###334#","//--- END",TreatSum!I20)</f>
        <v>* diagnosis.relapseAfterEOT.details 0..1 RelapseAfterFLT ##34#Details  about this relapse-progression##34# ##334#Details  about this relapse-progression##334#</v>
      </c>
    </row>
    <row r="21" spans="3:3" ht="29.5" x14ac:dyDescent="0.75">
      <c r="C21" s="17" t="str">
        <f>IF(TreatSum!I21="*  ..  ##34###34# ##334###334#","//--- END",TreatSum!I21)</f>
        <v>* diagnosis.relapseAfterEOT.frontLineTreatment 0..1 http://hl7.eu/fhir/ig/pcsp/StructureDefinition/FrontLineTreatment ##34#Salvage treatment##34# ##334#The salvage treatment has been executed following##334#</v>
      </c>
    </row>
    <row r="22" spans="3:3" ht="29.5" x14ac:dyDescent="0.75">
      <c r="C22" s="17" t="str">
        <f>IF(TreatSum!I22="*  ..  ##34###34# ##334###334#","//--- END",TreatSum!I22)</f>
        <v>* diagnosis.relapseAfterEOT.frontLineTreatment.notForRelapse 0..0 BackboneElement ##34#Details not provided for relapses after EOT##34# ##334#Details not provided for relapses after EOT##334#</v>
      </c>
    </row>
    <row r="23" spans="3:3" ht="29.5" x14ac:dyDescent="0.75">
      <c r="C23" s="17" t="str">
        <f>IF(TreatSum!I23="*  ..  ##34###34# ##334###334#","//--- END",TreatSum!I23)</f>
        <v>* diagnosis.relapseAfterEOT.chemotherapy 0..1 http://hl7.eu/fhir/ig/pcsp/StructureDefinition/Chemotherapy ##34#Chemotherapy##34# ##334#Chemotherapy##334#</v>
      </c>
    </row>
    <row r="24" spans="3:3" ht="44.25" x14ac:dyDescent="0.75">
      <c r="C24" s="17" t="str">
        <f>IF(TreatSum!I24="*  ..  ##34###34# ##334###334#","//--- END",TreatSum!I24)</f>
        <v>* diagnosis.relapseAfterEOT.stemCellTransplantation 0..* http://hl7.eu/fhir/ig/pcsp/StructureDefinition/StemCellTransplantation ##34#Stem Cell transplantation##34# ##334#Stem Cell transplantation##334#</v>
      </c>
    </row>
    <row r="25" spans="3:3" ht="29.5" x14ac:dyDescent="0.75">
      <c r="C25" s="17" t="str">
        <f>IF(TreatSum!I25="*  ..  ##34###34# ##334###334#","//--- END",TreatSum!I25)</f>
        <v>* diagnosis.relapseAfterEOT.radiotherapy 0..* http://hl7.eu/fhir/ig/pcsp/StructureDefinition/Radiotherapy ##34#Radiotherapy##34# ##334#Radiotherapy##334#</v>
      </c>
    </row>
    <row r="26" spans="3:3" ht="29.5" x14ac:dyDescent="0.75">
      <c r="C26" s="17" t="str">
        <f>IF(TreatSum!I26="*  ..  ##34###34# ##334###334#","//--- END",TreatSum!I26)</f>
        <v>* diagnosis.relapseAfterEOT.majorSurgery 0..* http://hl7.eu/fhir/ig/pcsp/StructureDefinition/MajorSurgery ##34#Major Surgery##34# ##334#Major Surgery##334#</v>
      </c>
    </row>
    <row r="27" spans="3:3" ht="29.5" x14ac:dyDescent="0.75">
      <c r="C27" s="17" t="str">
        <f>IF(TreatSum!I27="*  ..  ##34###34# ##334###334#","//--- END",TreatSum!I27)</f>
        <v>* diagnosis.relapseAfterEOT.otherInfos 0..* http://hl7.eu/fhir/ig/pcsp/StructureDefinition/OtherInfos ##34#Other info and relevant events##34# ##334#Other info and relevant events##334#</v>
      </c>
    </row>
    <row r="28" spans="3:3" x14ac:dyDescent="0.75">
      <c r="C28" s="17" t="str">
        <f>IF(TreatSum!I28="*  ..  ##34###34# ##334###334#","//--- END",TreatSum!I28)</f>
        <v>* diagnosis.relapseAfterEOT.medicalSuggestion 0..1 string ##34#Medical suggestion##34# ##334#Medical suggestion##334#</v>
      </c>
    </row>
    <row r="29" spans="3:3" ht="44.25" x14ac:dyDescent="0.75">
      <c r="C29" s="17" t="str">
        <f>IF(TreatSum!I29="*  ..  ##34###34# ##334###334#","//--- END",TreatSum!I29)</f>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3:3" x14ac:dyDescent="0.75">
      <c r="C30" s="17" t="str">
        <f>IF(TreatSum!I30="*  ..  ##34###34# ##334###334#","//--- END",TreatSum!I30)</f>
        <v>//--- END</v>
      </c>
    </row>
    <row r="31" spans="3:3" x14ac:dyDescent="0.75">
      <c r="C31" s="17" t="str">
        <f>IF(TreatSum!I31="*  ..  ##34###34# ##334###334#","//--- END",TreatSum!I31)</f>
        <v>//--- END</v>
      </c>
    </row>
    <row r="32" spans="3:3" x14ac:dyDescent="0.75">
      <c r="C32" s="17" t="str">
        <f>IF(TreatSum!I32="*  ..  ##34###34# ##334###334#","//--- END",TreatSum!I32)</f>
        <v>//--- END</v>
      </c>
    </row>
    <row r="36" spans="3:3" x14ac:dyDescent="0.75">
      <c r="C36" s="34" t="str">
        <f>'TreatSum-Map'!E1</f>
        <v>// -------------------------------------------------------------------------------</v>
      </c>
    </row>
    <row r="37" spans="3:3" x14ac:dyDescent="0.75">
      <c r="C37" s="35" t="str">
        <f>'TreatSum-Map'!E2</f>
        <v>//  Map to FHIR R4</v>
      </c>
    </row>
    <row r="38" spans="3:3" x14ac:dyDescent="0.75">
      <c r="C38" s="35" t="str">
        <f>'TreatSum-Map'!E3</f>
        <v>// -------------------------------------------------------------------------------</v>
      </c>
    </row>
    <row r="39" spans="3:3" x14ac:dyDescent="0.75">
      <c r="C39" s="17" t="str">
        <f>'TreatSum-Map'!E4</f>
        <v>Mapping: TreatmentSummary2Fhir</v>
      </c>
    </row>
    <row r="40" spans="3:3" x14ac:dyDescent="0.75">
      <c r="C40" s="17" t="str">
        <f>'TreatSum-Map'!E5</f>
        <v>Id: fhir</v>
      </c>
    </row>
    <row r="41" spans="3:3" x14ac:dyDescent="0.75">
      <c r="C41" s="17" t="str">
        <f>'TreatSum-Map'!E6</f>
        <v>Title: ##34#TreatmentSummary model to PCSP HL7 FHIR R4 Profiles##34#</v>
      </c>
    </row>
    <row r="42" spans="3:3" x14ac:dyDescent="0.75">
      <c r="C42" s="17" t="str">
        <f>'TreatSum-Map'!E7</f>
        <v>Source: TreatmentSummary</v>
      </c>
    </row>
    <row r="43" spans="3:3" x14ac:dyDescent="0.75">
      <c r="C43" s="17" t="str">
        <f>'TreatSum-Map'!E8</f>
        <v>Target: ##34#hl7.org/fhir/r4##34#</v>
      </c>
    </row>
    <row r="45" spans="3:3" x14ac:dyDescent="0.75">
      <c r="C45" s="17" t="str">
        <f>IF('TreatSum-Map'!E9="*  -&gt; ##34###34#","// --END",'TreatSum-Map'!E9)</f>
        <v>// no map</v>
      </c>
    </row>
    <row r="46" spans="3:3" x14ac:dyDescent="0.75">
      <c r="C46" s="17" t="str">
        <f>IF('TreatSum-Map'!E10="*  -&gt; ##34###34#","// --END",'TreatSum-Map'!E10)</f>
        <v>* subject -&gt; ##34#Patient##34#</v>
      </c>
    </row>
    <row r="47" spans="3:3" ht="29.5" x14ac:dyDescent="0.75">
      <c r="C47" s="17" t="str">
        <f>IF('TreatSum-Map'!E11="*  -&gt; ##34###34#","// --END",'TreatSum-Map'!E11)</f>
        <v>// no map</v>
      </c>
    </row>
    <row r="48" spans="3:3" x14ac:dyDescent="0.75">
      <c r="C48" s="17" t="str">
        <f>IF('TreatSum-Map'!E12="*  -&gt; ##34###34#","// --END",'TreatSum-Map'!E12)</f>
        <v>* diagnosis.details -&gt; ##34#Condition.conformsTo('http://hl7.eu/fhir/ig/pcsp/StructureDefinition/Condition-primaryCancer-eu-pcsp')##34#</v>
      </c>
    </row>
    <row r="49" spans="3:3" ht="29.5" x14ac:dyDescent="0.75">
      <c r="C49" s="17" t="str">
        <f>IF('TreatSum-Map'!E13="*  -&gt; ##34###34#","// --END",'TreatSum-Map'!E13)</f>
        <v>* diagnosis.frontLineTreatment -&gt; ##34#Procedure.conformsTo('http://hl7.eu/fhir/ig/pcsp/StructureDefinition/Procedure-flt-eu-pcsp')##34#</v>
      </c>
    </row>
    <row r="50" spans="3:3" ht="44.25" x14ac:dyDescent="0.75">
      <c r="C50" s="17" t="str">
        <f>IF('TreatSum-Map'!E14="*  -&gt; ##34###34#","// --END",'TreatSum-Map'!E14)</f>
        <v>* diagnosis.chemotherapy -&gt; ##34#MedicationAdministration.conformsTo('http://hl7.eu/fhir/ig/pcsp/StructureDefinition/MedicationAdministration-eu-pcsp')##34#</v>
      </c>
    </row>
    <row r="51" spans="3:3" ht="29.5" x14ac:dyDescent="0.75">
      <c r="C51" s="17" t="str">
        <f>IF('TreatSum-Map'!E15="*  -&gt; ##34###34#","// --END",'TreatSum-Map'!E15)</f>
        <v>* diagnosis.stemCellTransplantation -&gt; ##34#Procedure.conformsTo('http://hl7.eu/fhir/ig/pcsp/StructureDefinition/Procedure-sct-eu-pcsp')##34#</v>
      </c>
    </row>
    <row r="52" spans="3:3" ht="29.5" x14ac:dyDescent="0.75">
      <c r="C52" s="17" t="str">
        <f>IF('TreatSum-Map'!E16="*  -&gt; ##34###34#","// --END",'TreatSum-Map'!E16)</f>
        <v>* diagnosis.radiotherapy -&gt; ##34#Procedure.conformsTo('http://hl7.eu/fhir/ig/pcsp/StructureDefinition/Procedure-radiotheraphy-eu-pcsp')##34#</v>
      </c>
    </row>
    <row r="53" spans="3:3" ht="29.5" x14ac:dyDescent="0.75">
      <c r="C53" s="17" t="str">
        <f>IF('TreatSum-Map'!E17="*  -&gt; ##34###34#","// --END",'TreatSum-Map'!E17)</f>
        <v>* diagnosis.majorSurgery -&gt; ##34#Procedure.conformsTo('http://hl7.eu/fhir/ig/pcsp/StructureDefinition/Procedure-surgery-eu-pcsp')##34#</v>
      </c>
    </row>
    <row r="54" spans="3:3" x14ac:dyDescent="0.75">
      <c r="C54" s="17" t="str">
        <f>IF('TreatSum-Map'!E18="*  -&gt; ##34###34#","// --END",'TreatSum-Map'!E18)</f>
        <v>* diagnosis.otherInfos -&gt; ##34#Procedure##34#</v>
      </c>
    </row>
    <row r="55" spans="3:3" x14ac:dyDescent="0.75">
      <c r="C55" s="17" t="str">
        <f>IF('TreatSum-Map'!E19="*  -&gt; ##34###34#","// --END",'TreatSum-Map'!E19)</f>
        <v>* diagnosis.otherInfos -&gt; ##34#Condition##34#</v>
      </c>
    </row>
    <row r="56" spans="3:3" x14ac:dyDescent="0.75">
      <c r="C56" s="17" t="str">
        <f>IF('TreatSum-Map'!E20="*  -&gt; ##34###34#","// --END",'TreatSum-Map'!E20)</f>
        <v>// tbd</v>
      </c>
    </row>
    <row r="57" spans="3:3" ht="59" x14ac:dyDescent="0.75">
      <c r="C57" s="17" t="str">
        <f>IF('TreatSum-Map'!E21="*  -&gt; ##34###34#","// --END",'TreatSum-Map'!E21)</f>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58" spans="3:3" x14ac:dyDescent="0.75">
      <c r="C58" s="17" t="str">
        <f>IF('TreatSum-Map'!E22="*  -&gt; ##34###34#","// --END",'TreatSum-Map'!E22)</f>
        <v>// no map</v>
      </c>
    </row>
    <row r="59" spans="3:3" ht="59" x14ac:dyDescent="0.75">
      <c r="C59" s="17" t="str">
        <f>IF('TreatSum-Map'!E23="*  -&gt; ##34###34#","// --END",'TreatSum-Map'!E23)</f>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60" spans="3:3" ht="29.5" x14ac:dyDescent="0.75">
      <c r="C60" s="17" t="str">
        <f>IF('TreatSum-Map'!E24="*  -&gt; ##34###34#","// --END",'TreatSum-Map'!E24)</f>
        <v>* diagnosis.relapseAfterEOT.frontLineTreatment -&gt; ##34#Procedure.conformsTo('http://hl7.eu/fhir/ig/pcsp/StructureDefinition/Procedure-flt-eu-pcsp')##34#</v>
      </c>
    </row>
    <row r="61" spans="3:3" x14ac:dyDescent="0.75">
      <c r="C61" s="17" t="str">
        <f>IF('TreatSum-Map'!E25="*  -&gt; ##34###34#","// --END",'TreatSum-Map'!E25)</f>
        <v>// no map</v>
      </c>
    </row>
    <row r="62" spans="3:3" ht="44.25" x14ac:dyDescent="0.75">
      <c r="C62" s="17" t="str">
        <f>IF('TreatSum-Map'!E26="*  -&gt; ##34###34#","// --END",'TreatSum-Map'!E26)</f>
        <v>* diagnosis.relapseAfterEOT.chemotherapy -&gt; ##34#MedicationAdministration.conformsTo('http://hl7.eu/fhir/ig/pcsp/StructureDefinition/MedicationAdministration-eu-pcsp')##34#</v>
      </c>
    </row>
    <row r="63" spans="3:3" ht="29.5" x14ac:dyDescent="0.75">
      <c r="C63" s="17" t="str">
        <f>IF('TreatSum-Map'!E27="*  -&gt; ##34###34#","// --END",'TreatSum-Map'!E27)</f>
        <v>* diagnosis.relapseAfterEOT.stemCellTransplantation -&gt; ##34#Procedure.conformsTo('http://hl7.eu/fhir/ig/pcsp/StructureDefinition/Procedure-sct-eu-pcsp')##34#</v>
      </c>
    </row>
    <row r="64" spans="3:3" ht="29.5" x14ac:dyDescent="0.75">
      <c r="C64" s="17" t="str">
        <f>IF('TreatSum-Map'!E28="*  -&gt; ##34###34#","// --END",'TreatSum-Map'!E28)</f>
        <v>* diagnosis.relapseAfterEOT.radiotherapy -&gt; ##34#Procedure.conformsTo('http://hl7.eu/fhir/ig/pcsp/StructureDefinition/Procedure-radiotheraphy-eu-pcsp')##34#</v>
      </c>
    </row>
    <row r="65" spans="3:3" ht="29.5" x14ac:dyDescent="0.75">
      <c r="C65" s="17" t="str">
        <f>IF('TreatSum-Map'!E29="*  -&gt; ##34###34#","// --END",'TreatSum-Map'!E29)</f>
        <v>* diagnosis.relapseAfterEOT.majorSurgery -&gt; ##34#Procedure.conformsTo('http://hl7.eu/fhir/ig/pcsp/StructureDefinition/Procedure-surgery-eu-pcsp')##34#</v>
      </c>
    </row>
    <row r="66" spans="3:3" x14ac:dyDescent="0.75">
      <c r="C66" s="17" t="str">
        <f>IF('TreatSum-Map'!E30="*  -&gt; ##34###34#","// --END",'TreatSum-Map'!E30)</f>
        <v>* diagnosis.relapseAfterEOT.otherInfos -&gt; ##34#Procedure##34#</v>
      </c>
    </row>
    <row r="67" spans="3:3" x14ac:dyDescent="0.75">
      <c r="C67" s="17" t="str">
        <f>IF('TreatSum-Map'!E31="*  -&gt; ##34###34#","// --END",'TreatSum-Map'!E31)</f>
        <v>* diagnosis.relapseAfterEOT.otherInfos -&gt; ##34#Condition##34#</v>
      </c>
    </row>
    <row r="68" spans="3:3" x14ac:dyDescent="0.75">
      <c r="C68" s="17" t="str">
        <f>IF('TreatSum-Map'!E32="*  -&gt; ##34###34#","// --END",'TreatSum-Map'!E32)</f>
        <v>// tbd</v>
      </c>
    </row>
    <row r="69" spans="3:3" x14ac:dyDescent="0.75">
      <c r="C69" s="17" t="str">
        <f>IF('TreatSum-Map'!E33="*  -&gt; ##34###34#","// --END",'TreatSum-Map'!E33)</f>
        <v>// tbd</v>
      </c>
    </row>
    <row r="70" spans="3:3" x14ac:dyDescent="0.75">
      <c r="C70" s="17" t="str">
        <f>IF('TreatSum-Map'!E34="*  -&gt; ##34###34#","// --END",'TreatSum-Map'!E34)</f>
        <v>// --END</v>
      </c>
    </row>
    <row r="71" spans="3:3" x14ac:dyDescent="0.75">
      <c r="C71" s="17" t="str">
        <f>IF('TreatSum-Map'!E35="*  -&gt; ##34###34#","// --END",'TreatSum-Map'!E35)</f>
        <v>// --END</v>
      </c>
    </row>
    <row r="72" spans="3:3" x14ac:dyDescent="0.75">
      <c r="C72" s="17" t="str">
        <f>IF('TreatSum-Map'!E36="*  -&gt; ##34###34#","// --END",'TreatSum-Map'!E36)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016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83AF-BF05-4FD4-90FD-FDC83D755FC9}">
  <sheetPr codeName="Foglio56">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SurPass</v>
      </c>
      <c r="I4" s="27" t="str">
        <f>CONCATENATE("Logical: ",B4)</f>
        <v>Logical: SurPass</v>
      </c>
    </row>
    <row r="5" spans="1:11" ht="15.5" thickBot="1" x14ac:dyDescent="0.9">
      <c r="A5" s="22" t="s">
        <v>76</v>
      </c>
      <c r="B5" s="87" t="s">
        <v>1628</v>
      </c>
      <c r="I5" s="27" t="str">
        <f>CONCATENATE("Id: ",B5)</f>
        <v>Id: SurPass</v>
      </c>
    </row>
    <row r="6" spans="1:11" x14ac:dyDescent="0.75">
      <c r="A6" s="22" t="s">
        <v>11</v>
      </c>
      <c r="B6" t="s">
        <v>1627</v>
      </c>
      <c r="C6" t="s">
        <v>1635</v>
      </c>
      <c r="I6" s="28" t="str">
        <f>CONCATENATE("Title: ##34#",B6,"##34#")</f>
        <v>Title: ##34#SurPass V2.0##34#</v>
      </c>
    </row>
    <row r="7" spans="1:11" ht="15.5" thickBot="1" x14ac:dyDescent="0.9">
      <c r="A7" s="23" t="s">
        <v>4</v>
      </c>
      <c r="B7" t="s">
        <v>1635</v>
      </c>
      <c r="C7" s="12" t="s">
        <v>5</v>
      </c>
      <c r="D7" s="2" t="s">
        <v>6</v>
      </c>
      <c r="E7" s="3" t="s">
        <v>7</v>
      </c>
      <c r="F7" s="3" t="s">
        <v>8</v>
      </c>
      <c r="G7" s="3" t="s">
        <v>9</v>
      </c>
      <c r="I7" s="28" t="str">
        <f>CONCATENATE("Description: "," ##334#",B7,"##334#",)</f>
        <v>Description:  ##334#Survivorship Passport V2.0
Maturity Level: 2 - Ready for Review##334#</v>
      </c>
    </row>
    <row r="8" spans="1:11" ht="44.25" x14ac:dyDescent="0.75">
      <c r="A8" s="8">
        <v>1</v>
      </c>
      <c r="B8" s="17" t="s">
        <v>1629</v>
      </c>
      <c r="C8" s="8" t="s">
        <v>836</v>
      </c>
      <c r="D8" s="8" t="s">
        <v>836</v>
      </c>
      <c r="E8" s="8">
        <v>1</v>
      </c>
      <c r="F8" s="8">
        <v>1</v>
      </c>
      <c r="G8" s="81" t="s">
        <v>1630</v>
      </c>
      <c r="H8" s="25"/>
      <c r="I8" s="17" t="str">
        <f>CONCATENATE("* ",B8, " ",E8,"..",F8," ",G8," ##34#",C8,"##34# ##334#",D8,"##334#")</f>
        <v>* treatmentSummary 1..1 http://hl7.eu/fhir/ig/pcsp/StructureDefinition/TreatmentSummary ##34#Treatment Summary##34# ##334#Treatment Summary##334#</v>
      </c>
    </row>
    <row r="9" spans="1:11" x14ac:dyDescent="0.75">
      <c r="A9" s="8">
        <v>2</v>
      </c>
      <c r="B9" s="17" t="s">
        <v>1631</v>
      </c>
      <c r="C9" s="8" t="s">
        <v>1632</v>
      </c>
      <c r="D9" s="8" t="s">
        <v>1633</v>
      </c>
      <c r="E9" s="8">
        <v>0</v>
      </c>
      <c r="F9" s="8" t="s">
        <v>851</v>
      </c>
      <c r="G9" s="8" t="str">
        <f>Plan!B4</f>
        <v>PlanOfCare</v>
      </c>
      <c r="H9" s="25"/>
      <c r="I9" s="17" t="str">
        <f t="shared" ref="I9:I41" si="0">CONCATENATE("* ",B9, " ",E9,"..",F9," ",G9," ##34#",C9,"##34# ##334#",D9,"##334#")</f>
        <v>* carePlan 0..* PlanOfCare ##34#Care plan##34# ##334#Reccomandation for follow up##334#</v>
      </c>
    </row>
    <row r="10" spans="1:11" ht="29.5" x14ac:dyDescent="0.75">
      <c r="A10" s="8">
        <v>3</v>
      </c>
      <c r="B10" s="8"/>
      <c r="C10" s="17"/>
      <c r="D10" s="17"/>
      <c r="E10" s="8"/>
      <c r="F10" s="8"/>
      <c r="G10" s="8"/>
      <c r="H10" s="25"/>
      <c r="I10" s="17" t="str">
        <f t="shared" si="0"/>
        <v>*  ..  ##34###34# ##334###334#</v>
      </c>
    </row>
    <row r="11" spans="1:11" ht="44.25" x14ac:dyDescent="0.75">
      <c r="A11" s="8">
        <v>4</v>
      </c>
      <c r="B11" s="17"/>
      <c r="C11" s="17"/>
      <c r="D11" s="17"/>
      <c r="E11" s="8"/>
      <c r="F11" s="8"/>
      <c r="G11" s="8"/>
      <c r="H11" s="25"/>
      <c r="I11" s="17" t="str">
        <f t="shared" si="0"/>
        <v>*  ..  ##34###34# ##334###334#</v>
      </c>
    </row>
    <row r="12" spans="1:11" ht="44.25" x14ac:dyDescent="0.75">
      <c r="A12" s="8">
        <v>5</v>
      </c>
      <c r="B12" s="17"/>
      <c r="C12" s="17"/>
      <c r="D12" s="17"/>
      <c r="E12" s="8"/>
      <c r="F12" s="8"/>
      <c r="G12" s="8"/>
      <c r="H12" s="25"/>
      <c r="I12" s="17" t="str">
        <f t="shared" si="0"/>
        <v>*  ..  ##34###34# ##334###334#</v>
      </c>
    </row>
    <row r="13" spans="1:11" x14ac:dyDescent="0.75">
      <c r="A13" s="8">
        <v>6</v>
      </c>
      <c r="B13" s="17"/>
      <c r="C13" s="17"/>
      <c r="D13" s="17"/>
      <c r="E13" s="8"/>
      <c r="F13" s="8"/>
      <c r="G13" s="8"/>
      <c r="H13" s="25"/>
      <c r="I13" s="17" t="str">
        <f t="shared" si="0"/>
        <v>*  ..  ##34###34# ##334###334#</v>
      </c>
    </row>
    <row r="14" spans="1:11" x14ac:dyDescent="0.75">
      <c r="A14" s="8">
        <v>7</v>
      </c>
      <c r="B14" s="17"/>
      <c r="C14" s="17"/>
      <c r="D14" s="17"/>
      <c r="E14" s="8"/>
      <c r="F14" s="8"/>
      <c r="G14" s="8"/>
      <c r="H14" s="25"/>
      <c r="I14" s="17" t="str">
        <f t="shared" si="0"/>
        <v>*  ..  ##34###34# ##334###334#</v>
      </c>
    </row>
    <row r="15" spans="1:11" x14ac:dyDescent="0.75">
      <c r="A15" s="8">
        <v>8</v>
      </c>
      <c r="B15" s="17"/>
      <c r="C15" s="17"/>
      <c r="D15" s="17"/>
      <c r="E15" s="8"/>
      <c r="F15" s="8"/>
      <c r="G15" s="8"/>
      <c r="H15" s="25"/>
      <c r="I15" s="17" t="str">
        <f t="shared" si="0"/>
        <v>*  ..  ##34###34# ##334###334#</v>
      </c>
      <c r="J15" s="21"/>
      <c r="K15" s="8"/>
    </row>
    <row r="16" spans="1:11" x14ac:dyDescent="0.75">
      <c r="A16" s="8">
        <v>9</v>
      </c>
      <c r="B16" s="17"/>
      <c r="C16" s="17"/>
      <c r="D16" s="17"/>
      <c r="E16" s="8"/>
      <c r="F16" s="8"/>
      <c r="G16" s="8"/>
      <c r="I16" s="17" t="str">
        <f t="shared" si="0"/>
        <v>*  ..  ##34###34# ##334###334#</v>
      </c>
    </row>
    <row r="17" spans="1:9" x14ac:dyDescent="0.75">
      <c r="A17" s="8">
        <v>10</v>
      </c>
      <c r="B17" s="17"/>
      <c r="C17" s="17"/>
      <c r="D17" s="17"/>
      <c r="E17" s="8"/>
      <c r="F17" s="8"/>
      <c r="G17" s="8"/>
      <c r="I17" s="17" t="str">
        <f t="shared" si="0"/>
        <v>*  ..  ##34###34# ##334###334#</v>
      </c>
    </row>
    <row r="18" spans="1:9" x14ac:dyDescent="0.75">
      <c r="A18" s="8">
        <v>11</v>
      </c>
      <c r="B18" s="17"/>
      <c r="C18" s="17"/>
      <c r="D18" s="17"/>
      <c r="E18" s="8"/>
      <c r="F18" s="8"/>
      <c r="G18" s="8"/>
      <c r="I18" s="17" t="str">
        <f t="shared" si="0"/>
        <v>*  ..  ##34###34# ##334###334#</v>
      </c>
    </row>
    <row r="19" spans="1:9" x14ac:dyDescent="0.75">
      <c r="A19" s="8">
        <v>12</v>
      </c>
      <c r="B19" s="17"/>
      <c r="C19" s="17"/>
      <c r="D19" s="17"/>
      <c r="E19" s="8"/>
      <c r="F19" s="8"/>
      <c r="G19" s="8"/>
      <c r="I19" s="17" t="str">
        <f t="shared" si="0"/>
        <v>*  ..  ##34###34# ##334###334#</v>
      </c>
    </row>
    <row r="20" spans="1:9" x14ac:dyDescent="0.75">
      <c r="A20" s="8">
        <v>13</v>
      </c>
      <c r="B20" s="17"/>
      <c r="C20" s="17"/>
      <c r="D20" s="17"/>
      <c r="E20" s="8"/>
      <c r="F20" s="8"/>
      <c r="G20" s="8"/>
      <c r="I20" s="17" t="str">
        <f t="shared" si="0"/>
        <v>*  ..  ##34###34# ##334###334#</v>
      </c>
    </row>
    <row r="21" spans="1:9" x14ac:dyDescent="0.75">
      <c r="A21" s="8">
        <v>14</v>
      </c>
      <c r="B21" s="17"/>
      <c r="C21" s="17"/>
      <c r="D21" s="8"/>
      <c r="E21" s="8"/>
      <c r="F21" s="8"/>
      <c r="G21" s="8"/>
      <c r="I21" s="17" t="str">
        <f t="shared" si="0"/>
        <v>*  ..  ##34###34# ##334###334#</v>
      </c>
    </row>
    <row r="22" spans="1:9" x14ac:dyDescent="0.75">
      <c r="A22" s="8">
        <v>15</v>
      </c>
      <c r="B22" s="17"/>
      <c r="C22" s="17"/>
      <c r="D22" s="17"/>
      <c r="E22" s="8"/>
      <c r="F22" s="8"/>
      <c r="G22" s="8"/>
      <c r="I22" s="17" t="str">
        <f t="shared" si="0"/>
        <v>*  ..  ##34###34# ##334###334#</v>
      </c>
    </row>
    <row r="23" spans="1:9" x14ac:dyDescent="0.75">
      <c r="A23" s="8">
        <v>16</v>
      </c>
      <c r="B23" s="17"/>
      <c r="C23" s="17"/>
      <c r="D23" s="17"/>
      <c r="E23" s="8"/>
      <c r="F23" s="8"/>
      <c r="G23" s="8"/>
      <c r="I23" s="17" t="str">
        <f t="shared" si="0"/>
        <v>*  ..  ##34###34# ##334###334#</v>
      </c>
    </row>
    <row r="24" spans="1:9" x14ac:dyDescent="0.75">
      <c r="A24" s="8">
        <v>17</v>
      </c>
      <c r="B24" s="17"/>
      <c r="C24" s="17"/>
      <c r="D24" s="17"/>
      <c r="E24" s="8"/>
      <c r="F24" s="8"/>
      <c r="G24" s="8"/>
      <c r="I24" s="17" t="str">
        <f t="shared" si="0"/>
        <v>*  ..  ##34###34# ##334###334#</v>
      </c>
    </row>
    <row r="25" spans="1:9" x14ac:dyDescent="0.75">
      <c r="A25" s="8">
        <v>18</v>
      </c>
      <c r="B25" s="17"/>
      <c r="C25" s="17"/>
      <c r="D25" s="17"/>
      <c r="E25" s="8"/>
      <c r="F25" s="8"/>
      <c r="G25" s="8"/>
      <c r="I25" s="17" t="str">
        <f t="shared" si="0"/>
        <v>*  ..  ##34###34# ##334###334#</v>
      </c>
    </row>
    <row r="26" spans="1:9" x14ac:dyDescent="0.75">
      <c r="A26" s="8">
        <v>19</v>
      </c>
      <c r="B26" s="17"/>
      <c r="C26" s="17"/>
      <c r="D26" s="17"/>
      <c r="E26" s="8"/>
      <c r="F26" s="8"/>
      <c r="G26" s="8"/>
      <c r="I26" s="17" t="str">
        <f t="shared" si="0"/>
        <v>*  ..  ##34###34# ##334###334#</v>
      </c>
    </row>
    <row r="27" spans="1:9" x14ac:dyDescent="0.75">
      <c r="A27" s="8">
        <v>20</v>
      </c>
      <c r="B27" s="17"/>
      <c r="C27" s="17"/>
      <c r="D27" s="17"/>
      <c r="E27" s="8"/>
      <c r="F27" s="8"/>
      <c r="G27" s="8"/>
      <c r="I27" s="17" t="str">
        <f t="shared" si="0"/>
        <v>*  ..  ##34###34# ##334###334#</v>
      </c>
    </row>
    <row r="28" spans="1:9" x14ac:dyDescent="0.75">
      <c r="A28" s="8">
        <v>21</v>
      </c>
      <c r="B28" s="4"/>
      <c r="C28" s="17"/>
      <c r="D28" s="17"/>
      <c r="E28" s="8"/>
      <c r="F28" s="8"/>
      <c r="G28" s="8"/>
      <c r="I28" s="17" t="str">
        <f t="shared" si="0"/>
        <v>*  ..  ##34###34# ##334###334#</v>
      </c>
    </row>
    <row r="29" spans="1:9" x14ac:dyDescent="0.75">
      <c r="A29" s="8">
        <v>22</v>
      </c>
      <c r="B29" s="8"/>
      <c r="C29" s="17"/>
      <c r="D29" s="17"/>
      <c r="E29" s="8"/>
      <c r="F29" s="8"/>
      <c r="G29" s="8"/>
      <c r="I29" s="17" t="str">
        <f t="shared" si="0"/>
        <v>*  ..  ##34###34# ##334###334#</v>
      </c>
    </row>
    <row r="30" spans="1:9" x14ac:dyDescent="0.75">
      <c r="A30" s="8">
        <v>23</v>
      </c>
      <c r="B30" s="8"/>
      <c r="C30" s="17"/>
      <c r="D30" s="17"/>
      <c r="E30" s="8"/>
      <c r="F30" s="8"/>
      <c r="G30" s="8"/>
      <c r="I30" s="17" t="str">
        <f t="shared" si="0"/>
        <v>*  ..  ##34###34# ##334###334#</v>
      </c>
    </row>
    <row r="31" spans="1:9" x14ac:dyDescent="0.75">
      <c r="A31" s="8">
        <v>24</v>
      </c>
      <c r="B31" s="8"/>
      <c r="C31" s="17"/>
      <c r="D31" s="17"/>
      <c r="E31" s="8"/>
      <c r="F31" s="8"/>
      <c r="G31" s="8"/>
      <c r="I31" s="17" t="str">
        <f t="shared" si="0"/>
        <v>*  ..  ##34###34# ##334###334#</v>
      </c>
    </row>
    <row r="32" spans="1:9" x14ac:dyDescent="0.75">
      <c r="A32" s="8">
        <v>25</v>
      </c>
      <c r="B32" s="8"/>
      <c r="C32" s="17"/>
      <c r="D32" s="17"/>
      <c r="E32" s="8"/>
      <c r="F32" s="8"/>
      <c r="G32" s="8"/>
      <c r="I32" s="17" t="str">
        <f t="shared" si="0"/>
        <v>*  ..  ##34###34# ##334###334#</v>
      </c>
    </row>
    <row r="33" spans="1:9" x14ac:dyDescent="0.75">
      <c r="A33" s="8">
        <v>26</v>
      </c>
      <c r="B33" s="8"/>
      <c r="C33" s="17"/>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9"/>
      <c r="D37" s="89"/>
      <c r="E37" s="8"/>
      <c r="F37" s="8"/>
      <c r="G37" s="8"/>
      <c r="I37" s="17" t="str">
        <f t="shared" si="0"/>
        <v>*  ..  ##34###34# ##334###334#</v>
      </c>
    </row>
    <row r="38" spans="1:9" x14ac:dyDescent="0.75">
      <c r="B38" s="8"/>
      <c r="C38" s="89"/>
      <c r="D38" s="89"/>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F7FAE-0D0F-4EBA-8721-E6A13673DF97}">
  <sheetPr codeName="Foglio57"/>
  <dimension ref="A1:O58"/>
  <sheetViews>
    <sheetView workbookViewId="0">
      <selection activeCell="A30" sqref="A30:XFD56"/>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4" t="s">
        <v>77</v>
      </c>
      <c r="C4" s="90" t="str">
        <f>C7&amp;"2Fhir"</f>
        <v>SurPass2Fhir</v>
      </c>
      <c r="E4" s="30" t="str">
        <f>CONCATENATE("Mapping: ",C4)</f>
        <v>Mapping: SurPass2Fhir</v>
      </c>
      <c r="H4" s="9"/>
      <c r="I4" s="9"/>
      <c r="J4" s="9"/>
      <c r="K4" s="9"/>
      <c r="L4" s="9"/>
      <c r="M4" s="9"/>
      <c r="N4" s="9"/>
      <c r="O4" s="9"/>
    </row>
    <row r="5" spans="1:15" ht="15.5" thickBot="1" x14ac:dyDescent="0.9">
      <c r="B5" s="94" t="s">
        <v>76</v>
      </c>
      <c r="C5" s="93" t="s">
        <v>15</v>
      </c>
      <c r="E5" s="31" t="str">
        <f>CONCATENATE("Id: ",C5)</f>
        <v>Id: fhir</v>
      </c>
      <c r="G5" s="1"/>
      <c r="H5" s="9"/>
      <c r="I5" s="9"/>
      <c r="J5" s="9"/>
      <c r="K5" s="9"/>
      <c r="L5" s="9"/>
      <c r="M5" s="9"/>
      <c r="N5" s="9"/>
      <c r="O5" s="9"/>
    </row>
    <row r="6" spans="1:15" ht="15.5" thickBot="1" x14ac:dyDescent="0.9">
      <c r="B6" s="94" t="s">
        <v>11</v>
      </c>
      <c r="C6" s="1" t="str">
        <f>C7 &amp;  " model to PCSP HL7 FHIR R4 Profiles"</f>
        <v>SurPass model to PCSP HL7 FHIR R4 Profiles</v>
      </c>
      <c r="E6" s="31" t="str">
        <f>CONCATENATE("Title: ##34#",C6,"##34#")</f>
        <v>Title: ##34#SurPass model to PCSP HL7 FHIR R4 Profiles##34#</v>
      </c>
      <c r="G6" s="1"/>
      <c r="H6" s="9"/>
      <c r="I6" s="9"/>
      <c r="J6" s="9"/>
      <c r="K6" s="9"/>
      <c r="L6" s="9"/>
      <c r="M6" s="9"/>
      <c r="N6" s="9"/>
      <c r="O6" s="9"/>
    </row>
    <row r="7" spans="1:15" ht="15.5" thickBot="1" x14ac:dyDescent="0.9">
      <c r="B7" s="94" t="s">
        <v>78</v>
      </c>
      <c r="C7" s="91" t="str">
        <f>B9</f>
        <v>SurPass</v>
      </c>
      <c r="E7" s="31" t="str">
        <f>CONCATENATE("Source: ",C7)</f>
        <v>Source: SurPass</v>
      </c>
      <c r="G7" s="1"/>
      <c r="H7" s="9"/>
      <c r="I7" s="9"/>
      <c r="J7" s="9"/>
      <c r="K7" s="9"/>
      <c r="L7" s="9"/>
      <c r="M7" s="9"/>
      <c r="N7" s="9"/>
      <c r="O7" s="9"/>
    </row>
    <row r="8" spans="1:15" ht="15.5" thickBot="1" x14ac:dyDescent="0.9">
      <c r="B8" s="98" t="s">
        <v>73</v>
      </c>
      <c r="C8" s="1" t="s">
        <v>14</v>
      </c>
      <c r="E8" s="32" t="str">
        <f>CONCATENATE("Target: ##34#",C8,"##34#")</f>
        <v>Target: ##34#hl7.org/fhir/r4##34#</v>
      </c>
      <c r="G8" s="1"/>
      <c r="H8" s="9"/>
      <c r="I8" s="9"/>
      <c r="J8" s="9"/>
      <c r="K8" s="9"/>
      <c r="L8" s="9"/>
      <c r="M8" s="9"/>
      <c r="N8" s="9"/>
      <c r="O8" s="9"/>
    </row>
    <row r="9" spans="1:15" ht="44.25" x14ac:dyDescent="0.75">
      <c r="A9" s="8"/>
      <c r="B9" s="4" t="str">
        <f>SurPass!B5</f>
        <v>SurPass</v>
      </c>
      <c r="C9" s="4" t="s">
        <v>1634</v>
      </c>
      <c r="E9" s="4" t="str">
        <f>CONCATENATE("* . -&gt; ##34#",C9,"##34#")</f>
        <v>* . -&gt; ##34#Bundle.conformsTo('http://hl7.eu/fhir/ig/pcsp/StructureDefinition/Bundle-eu-pcsp')##34#</v>
      </c>
      <c r="H9" s="9" t="s">
        <v>1628</v>
      </c>
      <c r="I9" s="9" t="s">
        <v>1634</v>
      </c>
      <c r="J9" s="9"/>
      <c r="K9" s="9"/>
      <c r="L9" s="9"/>
      <c r="M9" s="9"/>
      <c r="N9" s="9"/>
      <c r="O9" s="9"/>
    </row>
    <row r="10" spans="1:15" x14ac:dyDescent="0.75">
      <c r="A10" s="8"/>
      <c r="B10" s="17" t="str">
        <f>SurPass!B8</f>
        <v>treatmentSummary</v>
      </c>
      <c r="C10" s="20" t="s">
        <v>1634</v>
      </c>
      <c r="E10" s="17" t="str">
        <f>CONCATENATE("* ",B10," -&gt; ##34#",C10,"##34#")</f>
        <v>* treatmentSummary -&gt; ##34#Bundle.conformsTo('http://hl7.eu/fhir/ig/pcsp/StructureDefinition/Bundle-eu-pcsp')##34#</v>
      </c>
      <c r="G10" s="1"/>
      <c r="H10" s="9" t="s">
        <v>1629</v>
      </c>
      <c r="I10" s="9" t="s">
        <v>1634</v>
      </c>
      <c r="J10" s="9"/>
      <c r="K10" s="9"/>
      <c r="L10" s="9"/>
      <c r="M10" s="9"/>
      <c r="N10" s="9"/>
      <c r="O10" s="9"/>
    </row>
    <row r="11" spans="1:15" x14ac:dyDescent="0.75">
      <c r="A11" s="8"/>
      <c r="B11" s="17" t="str">
        <f>SurPass!B9</f>
        <v>carePlan</v>
      </c>
      <c r="C11" s="20" t="s">
        <v>1616</v>
      </c>
      <c r="E11" s="17" t="str">
        <f t="shared" ref="E11:E58" si="0">CONCATENATE("* ",B11," -&gt; ##34#",C11,"##34#")</f>
        <v>* carePlan -&gt; ##34#CarePlan.conformsTo('http://hl7.eu/fhir/ig/pcsp/StructureDefinition/CarePlan-eu-pcsp')##34#</v>
      </c>
      <c r="G11" s="1"/>
      <c r="H11" s="9" t="s">
        <v>1631</v>
      </c>
      <c r="I11" s="9" t="s">
        <v>1616</v>
      </c>
      <c r="J11" s="9"/>
      <c r="K11" s="9"/>
      <c r="L11" s="9"/>
      <c r="M11" s="9"/>
      <c r="N11" s="9"/>
      <c r="O11" s="9"/>
    </row>
    <row r="12" spans="1:15" x14ac:dyDescent="0.75">
      <c r="A12" s="8"/>
      <c r="B12" s="17"/>
      <c r="C12" s="20"/>
      <c r="E12" s="17" t="str">
        <f t="shared" si="0"/>
        <v>*  -&gt; ##34###34#</v>
      </c>
      <c r="G12" s="1"/>
      <c r="H12" s="9"/>
      <c r="I12" s="9"/>
      <c r="J12" s="9"/>
      <c r="K12" s="9"/>
      <c r="L12" s="9"/>
      <c r="M12" s="9"/>
      <c r="N12" s="9"/>
      <c r="O12" s="9"/>
    </row>
    <row r="13" spans="1:15" ht="44.25" x14ac:dyDescent="0.75">
      <c r="A13" s="8"/>
      <c r="B13" s="17"/>
      <c r="C13" s="20"/>
      <c r="E13" s="17" t="str">
        <f t="shared" si="0"/>
        <v>*  -&gt; ##34###34#</v>
      </c>
      <c r="G13" s="1"/>
      <c r="H13" s="9"/>
      <c r="I13" s="9"/>
      <c r="J13" s="9"/>
      <c r="K13" s="9"/>
      <c r="L13" s="9"/>
      <c r="M13" s="9"/>
      <c r="N13" s="9"/>
      <c r="O13" s="9"/>
    </row>
    <row r="14" spans="1:15" x14ac:dyDescent="0.75">
      <c r="A14" s="8"/>
      <c r="B14" s="17"/>
      <c r="C14" s="20"/>
      <c r="E14" s="17" t="str">
        <f t="shared" si="0"/>
        <v>*  -&gt; ##34###34#</v>
      </c>
      <c r="G14" s="1"/>
      <c r="H14" s="9"/>
      <c r="I14" s="9"/>
      <c r="J14" s="9"/>
      <c r="K14" s="9"/>
      <c r="L14" s="9"/>
      <c r="M14" s="9"/>
      <c r="N14" s="9"/>
      <c r="O14" s="9"/>
    </row>
    <row r="15" spans="1:15" x14ac:dyDescent="0.75">
      <c r="A15" s="8"/>
      <c r="B15" s="17"/>
      <c r="C15" s="20"/>
      <c r="E15" s="17" t="str">
        <f t="shared" si="0"/>
        <v>*  -&gt; ##34###34#</v>
      </c>
      <c r="G15" s="1"/>
      <c r="H15" s="9"/>
      <c r="I15" s="9"/>
      <c r="J15" s="9"/>
      <c r="K15" s="9"/>
      <c r="L15" s="9"/>
      <c r="M15" s="9"/>
      <c r="N15" s="9"/>
      <c r="O15" s="9"/>
    </row>
    <row r="16" spans="1:15" x14ac:dyDescent="0.75">
      <c r="A16" s="8"/>
      <c r="B16" s="17"/>
      <c r="C16" s="20"/>
      <c r="E16" s="17" t="str">
        <f t="shared" si="0"/>
        <v>*  -&gt; ##34###34#</v>
      </c>
      <c r="G16" s="1"/>
      <c r="H16" s="9"/>
      <c r="I16" s="9"/>
      <c r="J16" s="9"/>
      <c r="K16" s="9"/>
      <c r="L16" s="9"/>
      <c r="M16" s="9"/>
      <c r="N16" s="9"/>
      <c r="O16" s="9"/>
    </row>
    <row r="17" spans="1:15" x14ac:dyDescent="0.75">
      <c r="A17" s="8"/>
      <c r="B17" s="17"/>
      <c r="C17" s="20"/>
      <c r="E17" s="17" t="str">
        <f t="shared" si="0"/>
        <v>*  -&gt; ##34###34#</v>
      </c>
      <c r="G17" s="1"/>
      <c r="H17" s="9"/>
      <c r="I17" s="9"/>
      <c r="J17" s="9"/>
      <c r="K17" s="9"/>
      <c r="L17" s="9"/>
      <c r="M17" s="9"/>
      <c r="N17" s="9"/>
      <c r="O17" s="9"/>
    </row>
    <row r="18" spans="1:15" x14ac:dyDescent="0.75">
      <c r="A18" s="8"/>
      <c r="B18" s="17"/>
      <c r="C18" s="17"/>
      <c r="E18" s="17" t="str">
        <f t="shared" si="0"/>
        <v>*  -&gt; ##34###34#</v>
      </c>
      <c r="G18" s="1"/>
      <c r="H18" s="9"/>
      <c r="I18" s="9"/>
      <c r="J18" s="9"/>
      <c r="K18" s="9"/>
      <c r="L18" s="9"/>
      <c r="M18" s="9"/>
      <c r="N18" s="9"/>
      <c r="O18" s="9"/>
    </row>
    <row r="19" spans="1:15" x14ac:dyDescent="0.75">
      <c r="A19" s="8"/>
      <c r="B19" s="17"/>
      <c r="C19" s="17"/>
      <c r="E19" s="17" t="str">
        <f t="shared" si="0"/>
        <v>*  -&gt; ##34###34#</v>
      </c>
      <c r="G19" s="1"/>
    </row>
    <row r="20" spans="1:15" x14ac:dyDescent="0.75">
      <c r="A20" s="8"/>
      <c r="B20" s="17"/>
      <c r="C20" s="17"/>
      <c r="E20" s="17" t="str">
        <f t="shared" si="0"/>
        <v>*  -&gt; ##34###34#</v>
      </c>
      <c r="G20" s="1"/>
    </row>
    <row r="21" spans="1:15" x14ac:dyDescent="0.75">
      <c r="A21" s="8"/>
      <c r="B21" s="17"/>
      <c r="C21" s="17"/>
      <c r="E21" s="17" t="str">
        <f t="shared" si="0"/>
        <v>*  -&gt; ##34###34#</v>
      </c>
      <c r="G21" s="1"/>
    </row>
    <row r="22" spans="1:15" x14ac:dyDescent="0.75">
      <c r="A22" s="8"/>
      <c r="B22" s="17"/>
      <c r="C22" s="17"/>
      <c r="E22" s="17" t="str">
        <f t="shared" si="0"/>
        <v>*  -&gt; ##34###34#</v>
      </c>
      <c r="G22" s="1"/>
    </row>
    <row r="23" spans="1:15" x14ac:dyDescent="0.75">
      <c r="A23" s="8"/>
      <c r="B23" s="17"/>
      <c r="C23" s="17"/>
      <c r="E23" s="17" t="str">
        <f t="shared" si="0"/>
        <v>*  -&gt; ##34###34#</v>
      </c>
      <c r="G23" s="1"/>
    </row>
    <row r="24" spans="1:15" x14ac:dyDescent="0.75">
      <c r="A24" s="8"/>
      <c r="B24" s="17"/>
      <c r="C24" s="17"/>
      <c r="E24" s="17" t="str">
        <f t="shared" si="0"/>
        <v>*  -&gt; ##34###34#</v>
      </c>
      <c r="G24" s="1"/>
    </row>
    <row r="25" spans="1:15" x14ac:dyDescent="0.75">
      <c r="A25" s="8"/>
      <c r="B25" s="17"/>
      <c r="C25" s="17"/>
      <c r="E25" s="17" t="str">
        <f t="shared" si="0"/>
        <v>*  -&gt; ##34###34#</v>
      </c>
      <c r="G25" s="1"/>
    </row>
    <row r="26" spans="1:15" x14ac:dyDescent="0.75">
      <c r="A26" s="8"/>
      <c r="B26" s="17"/>
      <c r="C26" s="17"/>
      <c r="E26" s="17" t="str">
        <f t="shared" si="0"/>
        <v>*  -&gt; ##34###34#</v>
      </c>
      <c r="G26" s="1"/>
    </row>
    <row r="27" spans="1:15" x14ac:dyDescent="0.75">
      <c r="A27" s="8"/>
      <c r="B27" s="17"/>
      <c r="C27" s="17"/>
      <c r="E27" s="17" t="str">
        <f t="shared" si="0"/>
        <v>*  -&gt; ##34###34#</v>
      </c>
      <c r="G27" s="1"/>
    </row>
    <row r="28" spans="1:15" x14ac:dyDescent="0.75">
      <c r="A28" s="8"/>
      <c r="B28" s="17"/>
      <c r="C28" s="17"/>
      <c r="E28" s="17" t="str">
        <f t="shared" si="0"/>
        <v>*  -&gt; ##34###34#</v>
      </c>
      <c r="G28" s="1"/>
    </row>
    <row r="29" spans="1:15" x14ac:dyDescent="0.75">
      <c r="A29" s="8"/>
      <c r="B29" s="17"/>
      <c r="C29" s="17"/>
      <c r="E29" s="17" t="str">
        <f t="shared" si="0"/>
        <v>*  -&gt; ##34###34#</v>
      </c>
      <c r="G29" s="1"/>
    </row>
    <row r="30" spans="1:15" x14ac:dyDescent="0.75">
      <c r="A30" s="8"/>
      <c r="B30" s="17"/>
      <c r="C30" s="17"/>
      <c r="E30" s="17" t="str">
        <f t="shared" si="0"/>
        <v>*  -&gt; ##34###34#</v>
      </c>
      <c r="G30" s="1"/>
    </row>
    <row r="31" spans="1:15" x14ac:dyDescent="0.75">
      <c r="A31" s="8"/>
      <c r="B31" s="17"/>
      <c r="C31" s="17"/>
      <c r="E31" s="17" t="str">
        <f t="shared" si="0"/>
        <v>*  -&gt; ##34###34#</v>
      </c>
    </row>
    <row r="32" spans="1:15" x14ac:dyDescent="0.75">
      <c r="A32" s="8"/>
      <c r="B32" s="17"/>
      <c r="C32" s="17"/>
      <c r="E32" s="17" t="str">
        <f t="shared" si="0"/>
        <v>*  -&gt; ##34###34#</v>
      </c>
    </row>
    <row r="33" spans="1:5" x14ac:dyDescent="0.75">
      <c r="A33" s="8"/>
      <c r="B33" s="17"/>
      <c r="C33" s="17"/>
      <c r="E33" s="17" t="str">
        <f t="shared" si="0"/>
        <v>*  -&gt; ##34###34#</v>
      </c>
    </row>
    <row r="34" spans="1:5" x14ac:dyDescent="0.75">
      <c r="B34" s="17"/>
      <c r="C34" s="17"/>
      <c r="E34" s="17" t="str">
        <f t="shared" si="0"/>
        <v>*  -&gt; ##34###34#</v>
      </c>
    </row>
    <row r="35" spans="1:5" x14ac:dyDescent="0.75">
      <c r="B35" s="17"/>
      <c r="C35" s="20"/>
      <c r="E35" s="17" t="str">
        <f t="shared" si="0"/>
        <v>*  -&gt; ##34###34#</v>
      </c>
    </row>
    <row r="36" spans="1:5" x14ac:dyDescent="0.75">
      <c r="B36" s="17"/>
      <c r="C36" s="20"/>
      <c r="E36" s="17" t="str">
        <f t="shared" si="0"/>
        <v>*  -&gt; ##34###34#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si="0"/>
        <v>*  -&gt; ##34###34#</v>
      </c>
    </row>
    <row r="44" spans="1:5" x14ac:dyDescent="0.75">
      <c r="B44" s="17"/>
      <c r="C44" s="17"/>
      <c r="E44" s="17" t="str">
        <f t="shared" si="0"/>
        <v>*  -&gt; ##34###34#</v>
      </c>
    </row>
    <row r="45" spans="1:5" x14ac:dyDescent="0.75">
      <c r="B45" s="17"/>
      <c r="C45" s="17"/>
      <c r="E45" s="17" t="str">
        <f t="shared" si="0"/>
        <v>*  -&gt; ##34###34#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1A19-AA70-46AF-B07A-EDE1524D577A}">
  <sheetPr codeName="Foglio22">
    <tabColor theme="9" tint="0.39997558519241921"/>
  </sheetPr>
  <dimension ref="C1:G29"/>
  <sheetViews>
    <sheetView workbookViewId="0">
      <selection activeCell="A30" sqref="A30:XFD56"/>
    </sheetView>
  </sheetViews>
  <sheetFormatPr defaultRowHeight="14.75" x14ac:dyDescent="0.75"/>
  <cols>
    <col min="3" max="3" width="108.2265625" style="17" customWidth="1"/>
    <col min="7" max="7" width="33.26953125" customWidth="1"/>
  </cols>
  <sheetData>
    <row r="1" spans="3:7" ht="15.5" thickBot="1" x14ac:dyDescent="0.9">
      <c r="C1" s="34" t="str">
        <f>SurPass!I1</f>
        <v>// -------------------------------------------------------------------------------</v>
      </c>
    </row>
    <row r="2" spans="3:7" ht="16.75" thickBot="1" x14ac:dyDescent="0.9">
      <c r="C2" s="35" t="str">
        <f>SurPass!I2</f>
        <v>//  Logical Model</v>
      </c>
      <c r="G2" s="92" t="str">
        <f>"pcsp-"&amp;SurPass!B5&amp;".fsh"</f>
        <v>pcsp-SurPass.fsh</v>
      </c>
    </row>
    <row r="3" spans="3:7" x14ac:dyDescent="0.75">
      <c r="C3" s="35" t="str">
        <f>SurPass!I3</f>
        <v>// -------------------------------------------------------------------------------</v>
      </c>
    </row>
    <row r="4" spans="3:7" x14ac:dyDescent="0.75">
      <c r="C4" s="27" t="str">
        <f>SurPass!I4</f>
        <v>Logical: SurPass</v>
      </c>
    </row>
    <row r="5" spans="3:7" x14ac:dyDescent="0.75">
      <c r="C5" s="27" t="str">
        <f>SurPass!I5</f>
        <v>Id: SurPass</v>
      </c>
    </row>
    <row r="6" spans="3:7" x14ac:dyDescent="0.75">
      <c r="C6" s="27" t="str">
        <f>SurPass!I6</f>
        <v>Title: ##34#SurPass V2.0##34#</v>
      </c>
    </row>
    <row r="7" spans="3:7" x14ac:dyDescent="0.75">
      <c r="C7" s="27" t="str">
        <f>SurPass!I7</f>
        <v>Description:  ##334#Survivorship Passport V2.0
Maturity Level: 2 - Ready for Review##334#</v>
      </c>
    </row>
    <row r="8" spans="3:7" ht="29.5" x14ac:dyDescent="0.75">
      <c r="C8" s="17" t="str">
        <f>IF(SurPass!I8="*  ..  ##34###34# ##334###334#","//--- END",SurPass!I8)</f>
        <v>* treatmentSummary 1..1 http://hl7.eu/fhir/ig/pcsp/StructureDefinition/TreatmentSummary ##34#Treatment Summary##34# ##334#Treatment Summary##334#</v>
      </c>
    </row>
    <row r="9" spans="3:7" ht="29.5" x14ac:dyDescent="0.75">
      <c r="C9" s="17" t="str">
        <f>IF(SurPass!I9="*  ..  ##34###34# ##334###334#","//--- END",SurPass!I9)</f>
        <v>* carePlan 0..* PlanOfCare ##34#Care plan##34# ##334#Reccomandation for follow up##334#</v>
      </c>
    </row>
    <row r="10" spans="3:7" ht="29.5" x14ac:dyDescent="0.75">
      <c r="C10" s="17" t="str">
        <f>IF(SurPass!I10="*  ..  ##34###34# ##334###334#","//--- END",SurPass!I10)</f>
        <v>//--- END</v>
      </c>
    </row>
    <row r="11" spans="3:7" ht="29.5" x14ac:dyDescent="0.75">
      <c r="C11" s="17" t="str">
        <f>IF(SurPass!I11="*  ..  ##34###34# ##334###334#","//--- END",SurPass!I11)</f>
        <v>//--- END</v>
      </c>
    </row>
    <row r="12" spans="3:7" x14ac:dyDescent="0.75">
      <c r="C12" s="17" t="str">
        <f>IF(SurPass!I12="*  ..  ##34###34# ##334###334#","//--- END",SurPass!I12)</f>
        <v>//--- END</v>
      </c>
    </row>
    <row r="15" spans="3:7" x14ac:dyDescent="0.75">
      <c r="C15" s="34" t="str">
        <f>'SurPass-Map'!E1</f>
        <v>// -------------------------------------------------------------------------------</v>
      </c>
    </row>
    <row r="16" spans="3:7" x14ac:dyDescent="0.75">
      <c r="C16" s="35" t="str">
        <f>'SurPass-Map'!E2</f>
        <v>//  Map to FHIR R4</v>
      </c>
    </row>
    <row r="17" spans="3:3" x14ac:dyDescent="0.75">
      <c r="C17" s="35" t="str">
        <f>'SurPass-Map'!E3</f>
        <v>// -------------------------------------------------------------------------------</v>
      </c>
    </row>
    <row r="18" spans="3:3" x14ac:dyDescent="0.75">
      <c r="C18" s="17" t="str">
        <f>'SurPass-Map'!E4</f>
        <v>Mapping: SurPass2Fhir</v>
      </c>
    </row>
    <row r="19" spans="3:3" x14ac:dyDescent="0.75">
      <c r="C19" s="17" t="str">
        <f>'SurPass-Map'!E5</f>
        <v>Id: fhir</v>
      </c>
    </row>
    <row r="20" spans="3:3" x14ac:dyDescent="0.75">
      <c r="C20" s="17" t="str">
        <f>'SurPass-Map'!E6</f>
        <v>Title: ##34#SurPass model to PCSP HL7 FHIR R4 Profiles##34#</v>
      </c>
    </row>
    <row r="21" spans="3:3" x14ac:dyDescent="0.75">
      <c r="C21" s="17" t="str">
        <f>'SurPass-Map'!E7</f>
        <v>Source: SurPass</v>
      </c>
    </row>
    <row r="22" spans="3:3" x14ac:dyDescent="0.75">
      <c r="C22" s="17" t="str">
        <f>'SurPass-Map'!E8</f>
        <v>Target: ##34#hl7.org/fhir/r4##34#</v>
      </c>
    </row>
    <row r="24" spans="3:3" x14ac:dyDescent="0.75">
      <c r="C24" s="17" t="str">
        <f>IF('SurPass-Map'!E9="*  -&gt; ##34###34#","// --END",'SurPass-Map'!E9)</f>
        <v>* . -&gt; ##34#Bundle.conformsTo('http://hl7.eu/fhir/ig/pcsp/StructureDefinition/Bundle-eu-pcsp')##34#</v>
      </c>
    </row>
    <row r="25" spans="3:3" x14ac:dyDescent="0.75">
      <c r="C25" s="17" t="str">
        <f>IF('SurPass-Map'!E10="*  -&gt; ##34###34#","// --END",'SurPass-Map'!E10)</f>
        <v>* treatmentSummary -&gt; ##34#Bundle.conformsTo('http://hl7.eu/fhir/ig/pcsp/StructureDefinition/Bundle-eu-pcsp')##34#</v>
      </c>
    </row>
    <row r="26" spans="3:3" x14ac:dyDescent="0.75">
      <c r="C26" s="17" t="str">
        <f>IF('SurPass-Map'!E11="*  -&gt; ##34###34#","// --END",'SurPass-Map'!E11)</f>
        <v>* carePlan -&gt; ##34#CarePlan.conformsTo('http://hl7.eu/fhir/ig/pcsp/StructureDefinition/CarePlan-eu-pcsp')##34#</v>
      </c>
    </row>
    <row r="27" spans="3:3" x14ac:dyDescent="0.75">
      <c r="C27" s="17" t="str">
        <f>IF('SurPass-Map'!E12="*  -&gt; ##34###34#","// --END",'SurPass-Map'!E12)</f>
        <v>// --END</v>
      </c>
    </row>
    <row r="28" spans="3:3" x14ac:dyDescent="0.75">
      <c r="C28" s="17" t="str">
        <f>IF('SurPass-Map'!E13="*  -&gt; ##34###34#","// --END",'SurPass-Map'!E13)</f>
        <v>// --END</v>
      </c>
    </row>
    <row r="29" spans="3:3" x14ac:dyDescent="0.75">
      <c r="C29" s="17" t="str">
        <f>IF('SurPass-Map'!E14="*  -&gt; ##34###34#","// --END",'SurPass-Map'!E14)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811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44</vt:i4>
      </vt:variant>
      <vt:variant>
        <vt:lpstr>Intervalli denominati</vt:lpstr>
      </vt:variant>
      <vt:variant>
        <vt:i4>1</vt:i4>
      </vt:variant>
    </vt:vector>
  </HeadingPairs>
  <TitlesOfParts>
    <vt:vector size="45" baseType="lpstr">
      <vt:lpstr>VariablesList</vt:lpstr>
      <vt:lpstr>Common</vt:lpstr>
      <vt:lpstr>Diag</vt:lpstr>
      <vt:lpstr>Diag-Map</vt:lpstr>
      <vt:lpstr>Diag-fsh</vt:lpstr>
      <vt:lpstr>Subj</vt:lpstr>
      <vt:lpstr>Subj-Map</vt:lpstr>
      <vt:lpstr>Subj-fsh</vt:lpstr>
      <vt:lpstr>Chemo</vt:lpstr>
      <vt:lpstr>Chemo-Map</vt:lpstr>
      <vt:lpstr>Chemo-fsh</vt:lpstr>
      <vt:lpstr>RelAftFlt</vt:lpstr>
      <vt:lpstr>RelAftFlt-Map</vt:lpstr>
      <vt:lpstr>RelAftFlt-fsh</vt:lpstr>
      <vt:lpstr>Radio</vt:lpstr>
      <vt:lpstr>Radio-Map</vt:lpstr>
      <vt:lpstr>Radio-fsh</vt:lpstr>
      <vt:lpstr>Surg</vt:lpstr>
      <vt:lpstr>Surg-Map</vt:lpstr>
      <vt:lpstr>Surg-fsh</vt:lpstr>
      <vt:lpstr>Other</vt:lpstr>
      <vt:lpstr>Other-Map</vt:lpstr>
      <vt:lpstr>Other-fsh</vt:lpstr>
      <vt:lpstr>Sct</vt:lpstr>
      <vt:lpstr>Sct-Map</vt:lpstr>
      <vt:lpstr>Sct-fsh</vt:lpstr>
      <vt:lpstr>Flt</vt:lpstr>
      <vt:lpstr>Flt-Map</vt:lpstr>
      <vt:lpstr>Flt-fsh</vt:lpstr>
      <vt:lpstr>RelFlt</vt:lpstr>
      <vt:lpstr>RelFlt-Map</vt:lpstr>
      <vt:lpstr>RelFlt-fsh</vt:lpstr>
      <vt:lpstr>Meta</vt:lpstr>
      <vt:lpstr>Meta-Map</vt:lpstr>
      <vt:lpstr>Meta-fsh</vt:lpstr>
      <vt:lpstr>Plan</vt:lpstr>
      <vt:lpstr>Plan-Map</vt:lpstr>
      <vt:lpstr>Plan-fsh</vt:lpstr>
      <vt:lpstr>TreatSum</vt:lpstr>
      <vt:lpstr>TreatSum-Map</vt:lpstr>
      <vt:lpstr>TreatSum-fsh</vt:lpstr>
      <vt:lpstr>SurPass</vt:lpstr>
      <vt:lpstr>SurPass-Map</vt:lpstr>
      <vt:lpstr>SurPass-fsh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2022-12-15T10:42:58Z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