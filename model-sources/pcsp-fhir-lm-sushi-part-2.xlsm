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2BAC1462-F39E-4037-ABA6-5574835DD5CF}"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 i="59" l="1"/>
  <c r="E2" i="59"/>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D4" i="106" a="1"/>
  <c r="D4" i="106" s="1"/>
  <c r="D4" i="109" s="1"/>
  <c r="D5" i="106" a="1"/>
  <c r="D5" i="106" s="1"/>
  <c r="D5"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s="1"/>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s="1"/>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s="1"/>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s="1"/>
  <c r="D71" i="109" s="1"/>
  <c r="D74" i="106" a="1"/>
  <c r="D74" i="106" s="1"/>
  <c r="D74" i="109" s="1"/>
  <c r="D75" i="106" a="1"/>
  <c r="D75" i="106" s="1"/>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5" i="106" a="1"/>
  <c r="D95" i="106" s="1"/>
  <c r="D95"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s="1"/>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s="1"/>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D93" i="106" s="1" a="1"/>
  <c r="D93" i="106" s="1"/>
  <c r="D93" i="109" s="1"/>
  <c r="K37" i="105"/>
  <c r="H38" i="105"/>
  <c r="J38" i="105" s="1"/>
  <c r="D97" i="106" s="1" a="1"/>
  <c r="D97" i="106" s="1"/>
  <c r="D97" i="109" s="1"/>
  <c r="I38" i="105"/>
  <c r="D96" i="106" s="1" a="1"/>
  <c r="D96" i="106" s="1"/>
  <c r="D96" i="109" s="1"/>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D6" i="106" s="1" a="1"/>
  <c r="D6" i="106" s="1"/>
  <c r="D6" i="109" s="1"/>
  <c r="K8" i="105"/>
  <c r="D8" i="106" s="1" a="1"/>
  <c r="D8" i="106" s="1"/>
  <c r="D8" i="109" s="1"/>
  <c r="B38" i="105"/>
  <c r="C38" i="105"/>
  <c r="B36" i="105"/>
  <c r="C36" i="105"/>
  <c r="B20" i="105"/>
  <c r="C20" i="105"/>
  <c r="B16" i="105"/>
  <c r="C16" i="105"/>
  <c r="B13" i="105"/>
  <c r="C13" i="105"/>
  <c r="C8" i="105"/>
  <c r="B11" i="105"/>
  <c r="C11" i="105"/>
  <c r="J24" i="105" l="1"/>
  <c r="D55" i="106" s="1" a="1"/>
  <c r="D55" i="106" s="1"/>
  <c r="D55" i="109" s="1"/>
  <c r="J26" i="105"/>
  <c r="D61" i="106" s="1" a="1"/>
  <c r="D61" i="106" s="1"/>
  <c r="D61" i="109" s="1"/>
  <c r="J22" i="105"/>
  <c r="D49" i="106" s="1" a="1"/>
  <c r="D49" i="106" s="1"/>
  <c r="D49" i="109" s="1"/>
  <c r="J45" i="105"/>
  <c r="J43" i="105"/>
  <c r="J41" i="105"/>
  <c r="J39" i="105"/>
  <c r="J37" i="105"/>
  <c r="D94" i="106" s="1" a="1"/>
  <c r="D94" i="106" s="1"/>
  <c r="D94" i="109" s="1"/>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D7" i="106" s="1" a="1"/>
  <c r="D7" i="106" s="1"/>
  <c r="D7" i="109" s="1"/>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14" i="14" s="1" a="1"/>
  <c r="D214" i="14" s="1"/>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D143" i="14" s="1" a="1"/>
  <c r="D143" i="14" s="1"/>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D164" i="14" s="1" a="1"/>
  <c r="D164" i="14" s="1"/>
  <c r="C20" i="13"/>
  <c r="D165" i="14" s="1" a="1"/>
  <c r="D165" i="14" s="1"/>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193" i="14" s="1" a="1"/>
  <c r="D193" i="14" s="1"/>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D124" i="14" s="1" a="1"/>
  <c r="D124" i="14" s="1"/>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<sst xmlns="http://schemas.openxmlformats.org/spreadsheetml/2006/main" count="2756" uniqueCount="1166">
  <si>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</si>
  <si>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</si>
  <si>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</si>
  <si>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</si>
  <si>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</si>
  <si>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</si>
  <si>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</si>
  <si>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</si>
  <si>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</si>
  <si>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</si>
  <si>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</si>
  <si>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</si>
  <si>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</si>
  <si>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</si>
  <si>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</si>
  <si>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</si>
  <si>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</si>
  <si>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</si>
  <si>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</si>
  <si>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</si>
  <si>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</si>
  <si>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</si>
  <si>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</si>
  <si>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</si>
  <si>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</si>
  <si>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</si>
  <si>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</si>
  <si>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</si>
  <si>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</si>
  <si>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</si>
  <si>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</si>
  <si>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</si>
  <si>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</si>
  <si>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</si>
  <si>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</si>
  <si>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</si>
  <si>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</si>
  <si>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</si>
  <si>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</si>
  <si>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</si>
  <si>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</si>
  <si>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</si>
  <si>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</si>
  <si>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</si>
  <si>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</si>
  <si>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</si>
  <si>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</si>
  <si>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</si>
  <si>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</si>
  <si>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</si>
  <si>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</si>
  <si>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</si>
  <si>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</si>
  <si>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</si>
  <si>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</si>
  <si>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</si>
  <si>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</si>
  <si>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</si>
  <si>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</si>
  <si>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</si>
  <si>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</si>
  <si>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</si>
  <si>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</si>
  <si>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</si>
  <si>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</si>
  <si>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</si>
  <si>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</si>
  <si>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</si>
  <si>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</si>
  <si>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</si>
  <si>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</si>
  <si>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</si>
  <si>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</si>
  <si>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</si>
  <si>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</si>
  <si>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</si>
  <si>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</si>
  <si>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</si>
  <si>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</si>
  <si>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</si>
  <si>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</si>
  <si>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</si>
  <si>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</si>
  <si>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</si>
  <si>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</si>
  <si>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</si>
  <si>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</si>
  <si>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</si>
  <si>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</si>
  <si>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</si>
  <si>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</si>
  <si>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</si>
  <si>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</si>
  <si>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</si>
  <si>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</si>
  <si>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</si>
  <si>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</si>
  <si>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</si>
  <si>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</si>
  <si>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</si>
  <si>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</si>
  <si>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</si>
  <si>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</si>
  <si>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</si>
  <si>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</si>
  <si>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</si>
  <si>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</si>
  <si>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</si>
  <si>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</si>
  <si>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</si>
  <si>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</si>
  <si>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</si>
  <si>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</si>
  <si>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</si>
  <si>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</si>
  <si>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</si>
  <si>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</si>
  <si>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</si>
  <si>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</si>
  <si>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</si>
  <si>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</si>
  <si>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</si>
  <si>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</si>
  <si>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</si>
  <si>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</si>
  <si>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</si>
  <si>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</si>
  <si>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</si>
  <si>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</si>
  <si>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</si>
  <si>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</si>
  <si>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</si>
  <si>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</si>
  <si>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</si>
  <si>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</si>
  <si>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</si>
  <si>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</si>
  <si>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</si>
  <si>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</si>
  <si>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</si>
  <si>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</si>
  <si>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</si>
  <si>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</si>
  <si>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</si>
  <si>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</si>
  <si>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</si>
  <si>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</si>
  <si>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</si>
  <si>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</si>
  <si>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</si>
  <si>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</si>
  <si>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</si>
  <si>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</si>
  <si>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</si>
  <si>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</si>
  <si>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</si>
  <si>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</si>
  <si>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</si>
  <si>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</si>
  <si>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</si>
  <si>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</si>
  <si>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</si>
  <si>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</si>
  <si>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</si>
  <si>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</si>
  <si>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</si>
  <si>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</si>
  <si>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</si>
  <si>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</si>
  <si>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</si>
  <si>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</si>
  <si>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</si>
  <si>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</si>
  <si>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</si>
  <si>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</si>
  <si>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</si>
  <si>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</si>
  <si>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</si>
  <si>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</si>
  <si>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</si>
  <si>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</si>
  <si>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</si>
  <si>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</si>
  <si>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</si>
  <si>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</si>
  <si>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</si>
  <si>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</si>
  <si>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</si>
  <si>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</si>
  <si>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</si>
  <si>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</si>
  <si>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</si>
  <si>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</si>
  <si>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</si>
  <si>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</si>
  <si>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</si>
  <si>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</si>
  <si>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</si>
  <si>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</si>
  <si>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</si>
  <si>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</si>
  <si>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</si>
  <si>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</si>
  <si>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</si>
  <si>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</si>
  <si>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</si>
  <si>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</si>
  <si>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</si>
  <si>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</si>
  <si>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</si>
  <si>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</si>
  <si>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</si>
  <si>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</si>
  <si>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</si>
  <si>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</si>
  <si>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</si>
  <si>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</si>
  <si>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</si>
  <si>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</si>
  <si>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</si>
  <si>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</si>
  <si>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</si>
  <si>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</si>
  <si>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</si>
  <si>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</si>
  <si>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</si>
  <si>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</si>
  <si>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</si>
  <si>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</si>
  <si>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</si>
  <si>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</si>
  <si>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</si>
  <si>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</si>
  <si>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</si>
  <si>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</si>
  <si>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</si>
  <si>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</si>
  <si>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</si>
  <si>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</si>
  <si>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</si>
  <si>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</si>
  <si>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</si>
  <si>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</si>
  <si>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</si>
  <si>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</si>
  <si>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</si>
  <si>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</si>
  <si>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</si>
  <si>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</si>
  <si>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</si>
  <si>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</si>
  <si>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</si>
  <si>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</si>
  <si>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</si>
  <si>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</si>
  <si>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</si>
  <si>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</si>
  <si>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</si>
  <si>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</si>
  <si>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</si>
  <si>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</si>
  <si>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</si>
  <si>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</si>
  <si>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</si>
  <si>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</si>
  <si>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</si>
  <si>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</si>
  <si>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</si>
  <si>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</si>
  <si>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</si>
  <si>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</si>
  <si>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</si>
  <si>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</si>
  <si>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</si>
  <si>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</si>
  <si>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</si>
  <si>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</si>
  <si>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</si>
  <si>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</si>
  <si>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</si>
  <si>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</si>
  <si>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</si>
  <si>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</si>
  <si>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</si>
  <si>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</si>
  <si>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</si>
  <si>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</si>
  <si>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</si>
  <si>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</si>
  <si>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</si>
  <si>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</si>
  <si>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</si>
  <si>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</si>
  <si>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</si>
  <si>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</si>
  <si>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</si>
  <si>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</si>
  <si>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</si>
  <si>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</si>
  <si>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</si>
  <si>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</si>
  <si>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</si>
  <si>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</si>
  <si>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</si>
  <si>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</si>
  <si>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</si>
  <si>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</si>
  <si>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</si>
  <si>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</si>
  <si>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</si>
  <si>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</si>
  <si>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</si>
  <si>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</si>
  <si>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</si>
  <si>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</si>
  <si>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</si>
  <si>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</si>
  <si>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</si>
  <si>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</si>
  <si>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</si>
  <si>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</si>
  <si>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</si>
  <si>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</si>
  <si>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</si>
  <si>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</si>
  <si>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</si>
  <si>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</si>
  <si>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</si>
  <si>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</si>
  <si>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</si>
  <si>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</si>
  <si>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</si>
  <si>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</si>
  <si>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</si>
  <si>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</si>
  <si>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</si>
  <si>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</si>
  <si>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</si>
  <si>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</si>
  <si>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</si>
  <si>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</si>
  <si>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</si>
  <si>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</si>
  <si>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</si>
  <si>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</si>
  <si>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</si>
  <si>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</si>
  <si>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</si>
  <si>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</si>
  <si>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</si>
  <si>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</si>
  <si>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</si>
  <si>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</si>
  <si>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</si>
  <si>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</si>
  <si>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</si>
  <si>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</si>
  <si>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</si>
  <si>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</si>
  <si>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</si>
  <si>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</si>
  <si>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</si>
  <si>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</si>
  <si>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</si>
  <si>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</si>
  <si>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</si>
  <si>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</si>
  <si>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</si>
  <si>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</si>
  <si>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</si>
  <si>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</si>
  <si>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</si>
  <si>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</si>
  <si>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</si>
  <si>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</si>
  <si>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</si>
  <si>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</si>
  <si>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</si>
  <si>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</si>
  <si>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</si>
  <si>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</si>
  <si>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</si>
  <si>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</si>
  <si>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</si>
  <si>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</si>
  <si>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</si>
  <si>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</si>
  <si>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</si>
  <si>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</si>
  <si>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</si>
  <si>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</si>
  <si>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</si>
  <si>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</si>
  <si>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</si>
  <si>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</si>
  <si>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</si>
  <si>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</si>
  <si>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</si>
  <si>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</si>
  <si>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</si>
  <si>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</si>
  <si>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</si>
  <si>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</si>
  <si>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</si>
  <si>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</si>
  <si>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</si>
  <si>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</si>
  <si>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</si>
  <si>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</si>
  <si>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</si>
  <si>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</si>
  <si>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</si>
  <si>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</si>
  <si>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</si>
  <si>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</si>
  <si>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</si>
  <si>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</si>
  <si>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</si>
  <si>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</si>
  <si>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</si>
  <si>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</si>
  <si>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</si>
  <si>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</si>
  <si>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</si>
  <si>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</si>
  <si>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</si>
  <si>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</si>
  <si>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</si>
  <si>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</si>
  <si>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</si>
  <si>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</si>
  <si>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</si>
  <si>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</si>
  <si>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</si>
  <si>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</si>
  <si>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</si>
  <si>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</si>
  <si>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</si>
  <si>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</si>
  <si>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</si>
  <si>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</si>
  <si>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</si>
  <si>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</si>
  <si>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</si>
  <si>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</si>
  <si>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</si>
  <si>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</si>
  <si>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</si>
  <si>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</si>
  <si>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</si>
  <si>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</si>
  <si>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</si>
  <si>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</si>
  <si>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</si>
  <si>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</si>
  <si>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</si>
  <si>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</si>
  <si>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</si>
  <si>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</si>
  <si>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</si>
  <si>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</si>
  <si>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</si>
  <si>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</si>
  <si>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</si>
  <si>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</si>
  <si>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</si>
  <si>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</si>
  <si>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</si>
  <si>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</si>
  <si>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</si>
  <si>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</si>
  <si>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</si>
  <si>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</si>
  <si>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</si>
  <si>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</si>
  <si>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</si>
  <si>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</si>
  <si>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</si>
  <si>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</si>
  <si>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</si>
  <si>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</si>
  <si>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</si>
  <si>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</si>
  <si>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</si>
  <si>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</si>
  <si>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</si>
  <si>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</si>
  <si>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</si>
  <si>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</si>
  <si>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</si>
  <si>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</si>
  <si>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</si>
  <si>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</si>
  <si>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</si>
  <si>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</si>
  <si>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</si>
  <si>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</si>
  <si>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</si>
  <si>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</si>
  <si>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</si>
  <si>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</si>
  <si>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</si>
  <si>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</si>
  <si>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</si>
  <si>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</si>
  <si>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</si>
  <si>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</si>
  <si>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</si>
  <si>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</si>
  <si>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</si>
  <si>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</si>
  <si>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</si>
  <si>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</si>
  <si>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</si>
  <si>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</si>
  <si>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</si>
  <si>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</si>
  <si>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</si>
  <si>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</si>
  <si>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</si>
  <si>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</si>
  <si>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</si>
  <si>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</si>
  <si>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</si>
  <si>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</si>
  <si>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</si>
  <si>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</si>
  <si>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</si>
  <si>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</si>
  <si>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</si>
  <si>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</si>
  <si>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</si>
  <si>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</si>
  <si>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</si>
  <si>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</si>
  <si>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</si>
  <si>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</si>
  <si>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</si>
  <si>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</si>
  <si>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</si>
  <si>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</si>
  <si>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</si>
  <si>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</si>
  <si>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</si>
  <si>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</si>
  <si>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</si>
  <si>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</si>
  <si>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</si>
  <si>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</si>
  <si>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</si>
  <si>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</si>
  <si>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</si>
  <si>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</si>
  <si>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</si>
  <si>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</si>
  <si>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</si>
  <si>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</si>
  <si>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</si>
  <si>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</si>
  <si>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</si>
  <si>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</si>
  <si>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</si>
  <si>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</si>
  <si>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</si>
  <si>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</si>
  <si>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</si>
  <si>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</si>
  <si>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</si>
  <si>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</si>
  <si>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</si>
  <si>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</si>
  <si>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</si>
  <si>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</si>
  <si>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</si>
  <si>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</si>
  <si>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</si>
  <si>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</si>
  <si>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</si>
  <si>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</si>
  <si>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</si>
  <si>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</si>
  <si>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</si>
  <si>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</si>
  <si>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</si>
  <si>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</si>
  <si>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</si>
  <si>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</si>
  <si>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</si>
  <si>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</si>
  <si>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</si>
  <si>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</si>
  <si>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</si>
  <si>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</si>
  <si>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</si>
  <si>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</si>
  <si>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</si>
  <si>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</si>
  <si>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</si>
  <si>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</si>
  <si>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</si>
  <si>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</si>
  <si>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</si>
  <si>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</si>
  <si>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</si>
  <si>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</si>
  <si>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</si>
  <si>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</si>
  <si>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</si>
  <si>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</si>
  <si>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</si>
  <si>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</si>
  <si>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</si>
  <si>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</si>
  <si>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</si>
  <si>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</si>
  <si>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</si>
  <si>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</si>
  <si>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</si>
  <si>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</si>
  <si>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</si>
  <si>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</si>
  <si>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</si>
  <si>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</si>
  <si>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</si>
  <si>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</si>
  <si>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</si>
  <si>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</si>
  <si>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</si>
  <si>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</si>
  <si>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</si>
  <si>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</si>
  <si>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</si>
  <si>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</si>
  <si>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</si>
  <si>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</si>
  <si>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</si>
  <si>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</si>
  <si>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</si>
  <si>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</si>
  <si>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</si>
  <si>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</si>
  <si>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</si>
  <si>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</si>
  <si>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</si>
  <si>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</si>
  <si>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</si>
  <si>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</si>
  <si>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</si>
  <si>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</si>
  <si>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</si>
  <si>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</si>
  <si>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</si>
  <si>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</si>
  <si>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</si>
  <si>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</si>
  <si>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</si>
  <si>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</si>
  <si>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</si>
  <si>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</si>
  <si>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</si>
  <si>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</si>
  <si>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</si>
  <si>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</si>
  <si>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</si>
  <si>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</si>
  <si>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</si>
  <si>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</si>
  <si>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</si>
  <si>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</si>
  <si>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</si>
  <si>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</si>
  <si>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</si>
  <si>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</si>
  <si>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</si>
  <si>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</si>
  <si>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</si>
  <si>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</si>
  <si>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</si>
  <si>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</si>
  <si>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</si>
  <si>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</si>
  <si>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</si>
  <si>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</si>
  <si>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</si>
  <si>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</si>
  <si>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</si>
  <si>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</si>
  <si>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</si>
  <si>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</si>
  <si>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</si>
  <si>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</si>
  <si>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</si>
  <si>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</si>
  <si>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</si>
  <si>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</si>
  <si>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</si>
  <si>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</si>
  <si>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</si>
  <si>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</si>
  <si>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</si>
  <si>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</si>
  <si>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</si>
  <si>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</si>
  <si>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</si>
  <si>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</si>
  <si>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</si>
  <si>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</si>
  <si>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</si>
  <si>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</si>
  <si>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</si>
  <si>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</si>
  <si>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</si>
  <si>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</si>
  <si>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</si>
  <si>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</si>
  <si>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</si>
  <si>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</si>
  <si>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</si>
  <si>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</si>
  <si>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</si>
  <si>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</si>
  <si>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</si>
  <si>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</si>
  <si>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</si>
  <si>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</si>
  <si>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</si>
  <si>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</si>
  <si>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</si>
  <si>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</si>
  <si>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</si>
  <si>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</si>
  <si>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</si>
  <si>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</si>
  <si>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</si>
  <si>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</si>
  <si>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</si>
  <si>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</si>
  <si>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</si>
  <si>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</si>
  <si>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</si>
  <si>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</si>
  <si>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</si>
  <si>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</si>
  <si>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</si>
  <si>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</si>
  <si>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</si>
  <si>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</si>
  <si>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</si>
  <si>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</si>
  <si>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</si>
  <si>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</si>
  <si>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</si>
  <si>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</si>
  <si>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</si>
  <si>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</si>
  <si>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</si>
  <si>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</si>
  <si>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</si>
  <si>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</si>
  <si>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</si>
  <si>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</si>
  <si>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</si>
  <si>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</si>
  <si>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</si>
  <si>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</si>
  <si>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</si>
  <si>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</si>
  <si>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</si>
  <si>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</si>
  <si>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</si>
  <si>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</si>
  <si>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</si>
  <si>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</si>
  <si>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</si>
  <si>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</si>
  <si>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</si>
  <si>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</si>
  <si>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</si>
  <si>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</si>
  <si>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</si>
  <si>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</si>
  <si>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</si>
  <si>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</si>
  <si>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</si>
  <si>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</si>
  <si>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</si>
  <si>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</si>
  <si>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</si>
  <si>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</si>
  <si>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</si>
  <si>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</si>
  <si>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</si>
  <si>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</si>
  <si>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</si>
  <si>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</si>
  <si>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</si>
  <si>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</si>
  <si>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</si>
  <si>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</si>
  <si>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</si>
  <si>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</si>
  <si>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</si>
  <si>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</si>
  <si>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</si>
  <si>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</si>
  <si>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</si>
  <si>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</si>
  <si>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</si>
  <si>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</si>
  <si>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</si>
  <si>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</si>
  <si>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</si>
  <si>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</si>
  <si>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</si>
  <si>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</si>
  <si>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</si>
  <si>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</si>
  <si>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</si>
  <si>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</si>
  <si>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</si>
  <si>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</si>
  <si>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</si>
  <si>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</si>
  <si>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</si>
  <si>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</si>
  <si>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</si>
  <si>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</si>
  <si>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</si>
  <si>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</si>
  <si>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</si>
  <si>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</si>
  <si>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</si>
  <si>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</si>
  <si>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</si>
  <si>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</si>
  <si>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</si>
  <si>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</si>
  <si>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</si>
  <si>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</si>
  <si>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</si>
  <si>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</si>
  <si>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</si>
  <si>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</si>
  <si>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</si>
  <si>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</si>
  <si>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</si>
  <si>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</si>
  <si>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</si>
  <si>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</si>
  <si>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</si>
  <si>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</si>
  <si>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</si>
  <si>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</si>
  <si>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</si>
  <si>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</si>
  <si>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</si>
  <si>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</si>
  <si>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</si>
  <si>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</si>
  <si>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</si>
  <si>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</si>
  <si>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</si>
  <si>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</si>
  <si>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</si>
  <si>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</si>
  <si>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</si>
  <si>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</si>
  <si>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</si>
  <si>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</si>
  <si>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</si>
  <si>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</si>
  <si>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</si>
  <si>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</si>
  <si>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</si>
  <si>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</si>
  <si>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</si>
  <si>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</si>
  <si>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</si>
  <si>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</si>
  <si>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</si>
  <si>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</si>
  <si>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</si>
  <si>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</si>
  <si>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</si>
  <si>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</si>
  <si>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</si>
  <si>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</si>
  <si>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</si>
  <si>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</si>
  <si>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</si>
  <si>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</si>
  <si>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</si>
  <si>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</si>
  <si>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</si>
  <si>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</si>
  <si>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</si>
  <si>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</si>
  <si>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</si>
  <si>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</si>
  <si>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</si>
  <si>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</si>
  <si>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</si>
  <si>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</si>
  <si>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</si>
  <si>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</si>
  <si>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</si>
  <si>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</si>
  <si>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</si>
  <si>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</si>
  <si>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</si>
  <si>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</si>
  <si>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</si>
  <si>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</si>
  <si>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</si>
  <si>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</si>
  <si>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</si>
  <si>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</si>
  <si>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</si>
  <si>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</si>
  <si>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</si>
  <si>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</si>
  <si>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</si>
  <si>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</si>
  <si>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</si>
  <si>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</si>
  <si>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</si>
  <si>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</si>
  <si>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</si>
  <si>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</si>
  <si>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</si>
  <si>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</si>
  <si>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</si>
  <si>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</si>
  <si>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</si>
  <si>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</si>
  <si>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</si>
  <si>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</si>
  <si>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</si>
  <si>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</si>
  <si>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</si>
  <si>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</si>
  <si>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</si>
  <si>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</si>
  <si>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</si>
  <si>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</si>
  <si>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</si>
  <si>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</si>
  <si>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</si>
  <si>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</si>
  <si>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</si>
  <si>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</si>
  <si>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</si>
  <si>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</si>
  <si>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</si>
  <si>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</si>
  <si>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</si>
  <si>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</si>
  <si>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</si>
  <si>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</si>
  <si>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</si>
  <si>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</si>
  <si>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</si>
  <si>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</si>
  <si>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</si>
  <si>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</si>
  <si>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</si>
  <si>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</si>
  <si>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</si>
  <si>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</si>
  <si>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</si>
  <si>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</si>
  <si>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</si>
  <si>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</si>
  <si>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</si>
  <si>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</si>
  <si>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</si>
  <si>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</si>
  <si>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</si>
  <si>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</si>
  <si>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</si>
  <si>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</si>
  <si>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</si>
  <si>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</si>
  <si>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</si>
  <si>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</si>
  <si>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</si>
  <si>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</si>
  <si>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</si>
  <si>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</si>
  <si>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</si>
  <si>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</si>
  <si>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</si>
  <si>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</si>
  <si>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</si>
  <si>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</si>
  <si>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</si>
  <si>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</si>
  <si>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</si>
  <si>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</si>
  <si>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</si>
  <si>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</si>
  <si>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</si>
  <si>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</si>
  <si>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</si>
  <si>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</si>
  <si>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</si>
  <si>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</si>
  <si>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</si>
  <si>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</si>
  <si>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</si>
  <si>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</si>
  <si>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</si>
  <si>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</si>
  <si>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</si>
  <si>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</si>
  <si>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</si>
  <si>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</si>
  <si>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</si>
  <si>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</si>
  <si>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</si>
  <si>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</si>
  <si>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</si>
  <si>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</si>
  <si>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</si>
  <si>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</si>
  <si>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</si>
  <si>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</si>
  <si>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</si>
  <si>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</si>
  <si>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</si>
  <si>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</si>
  <si>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</si>
  <si>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</si>
  <si>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</si>
  <si>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</si>
  <si>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</si>
  <si>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</si>
  <si>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</si>
  <si>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</si>
  <si>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</si>
  <si>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</si>
  <si>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</si>
  <si>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</si>
  <si>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</si>
  <si>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</si>
  <si>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</si>
  <si>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</si>
  <si>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</si>
  <si>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</si>
  <si>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</si>
  <si>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</si>
  <si>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</si>
  <si>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</si>
  <si>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</si>
  <si>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</si>
  <si>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</si>
  <si>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</si>
  <si>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</si>
  <si>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</si>
  <si>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</si>
  <si>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</si>
  <si>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</si>
  <si>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</si>
  <si>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</si>
  <si>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</si>
  <si>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</si>
  <si>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</si>
  <si>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</si>
  <si>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</si>
  <si>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</si>
  <si>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</si>
  <si>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</si>
  <si>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</si>
  <si>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</si>
  <si>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</si>
  <si>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</si>
  <si>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</si>
  <si>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</si>
  <si>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</si>
  <si>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</si>
  <si>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</si>
  <si>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</si>
  <si>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</si>
  <si>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</si>
  <si>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</si>
  <si>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</si>
  <si>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</si>
  <si>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</si>
  <si>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</si>
  <si>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</si>
  <si>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</si>
  <si>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</si>
  <si>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</si>
  <si>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</si>
  <si>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</si>
  <si>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</si>
  <si>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</si>
  <si>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</si>
  <si>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</si>
  <si>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</si>
  <si>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</si>
  <si>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</si>
  <si>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</si>
  <si>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</si>
  <si>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</si>
  <si>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</si>
  <si>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</si>
  <si>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</si>
  <si>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</si>
  <si>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</si>
  <si>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</si>
  <si>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</si>
  <si>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</si>
  <si>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</si>
  <si>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</si>
  <si>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</si>
  <si>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</si>
  <si>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</si>
  <si>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</si>
  <si>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</si>
  <si>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</si>
  <si>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</si>
  <si>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</si>
  <si>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</si>
  <si>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</si>
  <si>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</si>
  <si>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</si>
  <si>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</si>
  <si>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</si>
  <si>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</si>
  <si>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</si>
  <si>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</si>
  <si>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</si>
  <si>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</si>
  <si>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</si>
  <si>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</si>
  <si>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</si>
  <si>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</si>
  <si>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</si>
  <si>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</si>
  <si>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</si>
  <si>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</si>
  <si>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</si>
  <si>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</si>
  <si>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</si>
  <si>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</si>
  <si>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</si>
  <si>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</si>
  <si>
    <t>.performedDateTime</t>
  </si>
  <si>
    <t>Source of cells</t>
  </si>
  <si>
    <t>gvhd</t>
  </si>
  <si>
    <t>gvhd.prophylaxis</t>
  </si>
  <si>
    <t>gvhd.acute</t>
  </si>
  <si>
    <t>gvhd.acute.status</t>
  </si>
  <si>
    <t>gvhd.acute.grade</t>
  </si>
  <si>
    <t>gvhd.acute.startDate</t>
  </si>
  <si>
    <t>gvhd.acute.endDate</t>
  </si>
  <si>
    <t>gvhd.chronic</t>
  </si>
  <si>
    <t>gvhd.chronic.status</t>
  </si>
  <si>
    <t>gvhd.chronic.grade</t>
  </si>
  <si>
    <t>gvhd.chronic.startDate</t>
  </si>
  <si>
    <t>gvhd.chronic.endDate</t>
  </si>
  <si>
    <t>gvhd.organAffected</t>
  </si>
  <si>
    <t xml:space="preserve">.abatementDateTime	</t>
  </si>
  <si>
    <t>iif(.extension(''http://hl7.eu/fhir/ig/pcsp/StructureDefinition/procedure-performedTiming').valueTiming.repeat.count &gt; 10; true)</t>
  </si>
  <si>
    <t>iif(.extension(''http://hl7.eu/fhir/ig/pcsp/StructureDefinition/procedure-performedTiming').valueTiming.repeat..boundsRange.low &gt; 10; true)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</si>
</sst>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1110</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12"/>
  <sheetViews>
    <sheetView tabSelected="1" topLeftCell="E1" workbookViewId="0">
      <selection activeCell="E1" sqref="E1:E599"/>
    </sheetView>
  </sheetViews>
  <sheetFormatPr defaultRowHeight="14.75" x14ac:dyDescent="0.75"/>
  <cols>
    <col min="5" max="5" width="100.6796875" customWidth="1"/>
  </cols>
  <sheetData>
    <row r="1" spans="5:5" x14ac:dyDescent="0.75">
      <c r="E1" s="109" t="str">
        <f>'Oth-Map-all'!D3</f>
        <v>* differential.element[0].mapping[0].identity = "fhir"</v>
      </c>
    </row>
    <row r="2" spans="5:5" x14ac:dyDescent="0.75">
      <c r="E2" s="109" t="str">
        <f>'Oth-Map-all'!D4</f>
        <v>* differential.element[0].mapping[0].map = "Procedure"</v>
      </c>
    </row>
    <row r="3" spans="5:5" x14ac:dyDescent="0.75">
      <c r="E3" s="109" t="str">
        <f>'Oth-Map-all'!D5</f>
        <v/>
      </c>
    </row>
    <row r="4" spans="5:5" x14ac:dyDescent="0.75">
      <c r="E4" s="109" t="str">
        <f>'Oth-Map-all'!D6</f>
        <v>* differential.element[0].mapping[1].identity = "fhir"</v>
      </c>
    </row>
    <row r="5" spans="5:5" x14ac:dyDescent="0.75">
      <c r="E5" s="109" t="str">
        <f>'Oth-Map-all'!D7</f>
        <v>* differential.element[0].mapping[1].map = "Condition"</v>
      </c>
    </row>
    <row r="6" spans="5:5" x14ac:dyDescent="0.75">
      <c r="E6" s="109" t="str">
        <f>'Oth-Map-all'!D8</f>
        <v/>
      </c>
    </row>
    <row r="7" spans="5:5" x14ac:dyDescent="0.75">
      <c r="E7" s="109" t="str">
        <f>'Oth-Map-all'!D9</f>
        <v>* differential.element[1].mapping[0].identity = "fhir"</v>
      </c>
    </row>
    <row r="8" spans="5:5" x14ac:dyDescent="0.75">
      <c r="E8" s="109" t="str">
        <f>'Oth-Map-all'!D10</f>
        <v>* differential.element[1].mapping[0].map = ".identifier"</v>
      </c>
    </row>
    <row r="9" spans="5:5" x14ac:dyDescent="0.75">
      <c r="E9" s="109" t="str">
        <f>'Oth-Map-all'!D11</f>
        <v/>
      </c>
    </row>
    <row r="10" spans="5:5" x14ac:dyDescent="0.75">
      <c r="E10" s="109" t="str">
        <f>'Oth-Map-all'!D12</f>
        <v>* differential.element[2].mapping[0].identity = "fhir"</v>
      </c>
    </row>
    <row r="11" spans="5:5" x14ac:dyDescent="0.75">
      <c r="E11" s="109" t="str">
        <f>'Oth-Map-all'!D13</f>
        <v>* differential.element[2].mapping[0].map = "Procedure.reasonReference"</v>
      </c>
    </row>
    <row r="12" spans="5:5" x14ac:dyDescent="0.75">
      <c r="E12" s="109" t="str">
        <f>'Oth-Map-all'!D14</f>
        <v/>
      </c>
    </row>
    <row r="13" spans="5:5" x14ac:dyDescent="0.75">
      <c r="E13" s="109" t="str">
        <f>'Oth-Map-all'!D15</f>
        <v>* differential.element[2].mapping[1].identity = "fhir"</v>
      </c>
    </row>
    <row r="14" spans="5:5" x14ac:dyDescent="0.75">
      <c r="E14" s="109" t="str">
        <f>'Oth-Map-all'!D16</f>
        <v>* differential.element[2].mapping[1].map = "extension('http://hl7.org/fhir/StructureDefinition/condition-related').valueReference"</v>
      </c>
    </row>
    <row r="15" spans="5:5" x14ac:dyDescent="0.75">
      <c r="E15" s="109" t="str">
        <f>'Oth-Map-all'!D17</f>
        <v/>
      </c>
    </row>
    <row r="16" spans="5:5" x14ac:dyDescent="0.75">
      <c r="E16" s="109" t="str">
        <f>'Oth-Map-all'!D18</f>
        <v>* differential.element[3].mapping[0].identity = "fhir"</v>
      </c>
    </row>
    <row r="17" spans="5:5" x14ac:dyDescent="0.75">
      <c r="E17" s="109" t="str">
        <f>'Oth-Map-all'!D19</f>
        <v>* differential.element[3].mapping[0].map = "Procedure.reasonReference"</v>
      </c>
    </row>
    <row r="18" spans="5:5" x14ac:dyDescent="0.75">
      <c r="E18" s="109" t="str">
        <f>'Oth-Map-all'!D20</f>
        <v/>
      </c>
    </row>
    <row r="19" spans="5:5" x14ac:dyDescent="0.75">
      <c r="E19" s="109" t="str">
        <f>'Oth-Map-all'!D21</f>
        <v>* differential.element[3].mapping[1].identity = "fhir"</v>
      </c>
    </row>
    <row r="20" spans="5:5" x14ac:dyDescent="0.75">
      <c r="E20" s="109" t="str">
        <f>'Oth-Map-all'!D22</f>
        <v>* differential.element[3].mapping[1].map = "extension('http://hl7.org/fhir/StructureDefinition/condition-related').valueReference"</v>
      </c>
    </row>
    <row r="21" spans="5:5" x14ac:dyDescent="0.75">
      <c r="E21" s="109" t="str">
        <f>'Oth-Map-all'!D23</f>
        <v/>
      </c>
    </row>
    <row r="22" spans="5:5" x14ac:dyDescent="0.75">
      <c r="E22" s="109" t="str">
        <f>'Oth-Map-all'!D24</f>
        <v>* differential.element[4].mapping[0].identity = "fhir"</v>
      </c>
    </row>
    <row r="23" spans="5:5" x14ac:dyDescent="0.75">
      <c r="E23" s="109" t="str">
        <f>'Oth-Map-all'!D25</f>
        <v>* differential.element[4].mapping[0].map = "Condition.conformsTo('http://hl7.eu/fhir/ig/pcsp/StructureDefinition/Condition-toxicity-eu-pcsp')"</v>
      </c>
    </row>
    <row r="24" spans="5:5" x14ac:dyDescent="0.75">
      <c r="E24" s="109" t="str">
        <f>'Oth-Map-all'!D26</f>
        <v/>
      </c>
    </row>
    <row r="25" spans="5:5" x14ac:dyDescent="0.75">
      <c r="E25" s="109" t="str">
        <f>'Oth-Map-all'!D27</f>
        <v>* differential.element[5].mapping[0].identity = "fhir"</v>
      </c>
    </row>
    <row r="26" spans="5:5" x14ac:dyDescent="0.75">
      <c r="E26" s="109" t="str">
        <f>'Oth-Map-all'!D28</f>
        <v>* differential.element[5].mapping[0].map = ".exists()"</v>
      </c>
    </row>
    <row r="27" spans="5:5" x14ac:dyDescent="0.75">
      <c r="E27" s="109" t="str">
        <f>'Oth-Map-all'!D29</f>
        <v/>
      </c>
    </row>
    <row r="28" spans="5:5" x14ac:dyDescent="0.75">
      <c r="E28" s="109" t="str">
        <f>'Oth-Map-all'!D30</f>
        <v>* differential.element[5].mapping[1].identity = "fhir"</v>
      </c>
    </row>
    <row r="29" spans="5:5" x14ac:dyDescent="0.75">
      <c r="E29" s="109" t="str">
        <f>'Oth-Map-all'!D31</f>
        <v>* differential.element[5].mapping[1].map = ".verificationStatus"</v>
      </c>
    </row>
    <row r="30" spans="5:5" x14ac:dyDescent="0.75">
      <c r="E30" s="109" t="str">
        <f>'Oth-Map-all'!D32</f>
        <v/>
      </c>
    </row>
    <row r="31" spans="5:5" x14ac:dyDescent="0.75">
      <c r="E31" s="109" t="str">
        <f>'Oth-Map-all'!D33</f>
        <v>* differential.element[6].mapping[0].identity = "fhir"</v>
      </c>
    </row>
    <row r="32" spans="5:5" x14ac:dyDescent="0.75">
      <c r="E32" s="109" t="str">
        <f>'Oth-Map-all'!D34</f>
        <v>* differential.element[6].mapping[0].map = ".identifier"</v>
      </c>
    </row>
    <row r="33" spans="5:5" x14ac:dyDescent="0.75">
      <c r="E33" s="109" t="str">
        <f>'Oth-Map-all'!D35</f>
        <v/>
      </c>
    </row>
    <row r="34" spans="5:5" x14ac:dyDescent="0.75">
      <c r="E34" s="109" t="str">
        <f>'Oth-Map-all'!D36</f>
        <v>* differential.element[7].mapping[0].identity = "fhir"</v>
      </c>
    </row>
    <row r="35" spans="5:5" x14ac:dyDescent="0.75">
      <c r="E35" s="109" t="str">
        <f>'Oth-Map-all'!D37</f>
        <v>* differential.element[7].mapping[0].map = ".onsetDateTime"</v>
      </c>
    </row>
    <row r="36" spans="5:5" x14ac:dyDescent="0.75">
      <c r="E36" s="109" t="str">
        <f>'Oth-Map-all'!D38</f>
        <v/>
      </c>
    </row>
    <row r="37" spans="5:5" x14ac:dyDescent="0.75">
      <c r="E37" s="109" t="str">
        <f>'Oth-Map-all'!D39</f>
        <v>* differential.element[8].mapping[0].identity = "fhir"</v>
      </c>
    </row>
    <row r="38" spans="5:5" x14ac:dyDescent="0.75">
      <c r="E38" s="109" t="str">
        <f>'Oth-Map-all'!D40</f>
        <v>* differential.element[8].mapping[0].map = ".text"</v>
      </c>
    </row>
    <row r="39" spans="5:5" x14ac:dyDescent="0.75">
      <c r="E39" s="109" t="str">
        <f>'Oth-Map-all'!D41</f>
        <v/>
      </c>
    </row>
    <row r="40" spans="5:5" x14ac:dyDescent="0.75">
      <c r="E40" s="109" t="str">
        <f>'Oth-Map-all'!D42</f>
        <v>* differential.element[8].mapping[1].identity = "fhir"</v>
      </c>
    </row>
    <row r="41" spans="5:5" x14ac:dyDescent="0.75">
      <c r="E41" s="109" t="str">
        <f>'Oth-Map-all'!D43</f>
        <v>* differential.element[8].mapping[1].map = ".note"</v>
      </c>
    </row>
    <row r="42" spans="5:5" x14ac:dyDescent="0.75">
      <c r="E42" s="109" t="str">
        <f>'Oth-Map-all'!D44</f>
        <v/>
      </c>
    </row>
    <row r="43" spans="5:5" x14ac:dyDescent="0.75">
      <c r="E43" s="109" t="str">
        <f>'Oth-Map-all'!D45</f>
        <v>* differential.element[9].mapping[0].identity = "fhir"</v>
      </c>
    </row>
    <row r="44" spans="5:5" x14ac:dyDescent="0.75">
      <c r="E44" s="109" t="str">
        <f>'Oth-Map-all'!D46</f>
        <v>* differential.element[9].mapping[0].map = ".clinicalStatus"</v>
      </c>
    </row>
    <row r="45" spans="5:5" x14ac:dyDescent="0.75">
      <c r="E45" s="109" t="str">
        <f>'Oth-Map-all'!D47</f>
        <v/>
      </c>
    </row>
    <row r="46" spans="5:5" x14ac:dyDescent="0.75">
      <c r="E46" s="109" t="str">
        <f>'Oth-Map-all'!D48</f>
        <v>* differential.element[10].mapping[0].identity = "fhir"</v>
      </c>
    </row>
    <row r="47" spans="5:5" x14ac:dyDescent="0.75">
      <c r="E47" s="109" t="str">
        <f>'Oth-Map-all'!D49</f>
        <v>* differential.element[10].mapping[0].map = "Condition.conformsTo('http://hl7.eu/fhir/ig/pcsp/StructureDefinition/Condition-otherinfos-eu-pcsp').where(code = http://snomed.info/sct#48130008 'Hypogonadism').exists()"</v>
      </c>
    </row>
    <row r="48" spans="5:5" x14ac:dyDescent="0.75">
      <c r="E48" s="109" t="str">
        <f>'Oth-Map-all'!D50</f>
        <v/>
      </c>
    </row>
    <row r="49" spans="5:5" x14ac:dyDescent="0.75">
      <c r="E49" s="109" t="str">
        <f>'Oth-Map-all'!D51</f>
        <v>* differential.element[11].mapping[0].identity = "fhir"</v>
      </c>
    </row>
    <row r="50" spans="5:5" x14ac:dyDescent="0.75">
      <c r="E50" s="109" t="str">
        <f>'Oth-Map-all'!D52</f>
        <v>* differential.element[11].mapping[0].map = "Condition.conformsTo('http://hl7.eu/fhir/ig/pcsp/StructureDefinition/Condition-otherinfos-eu-pcsp').where(code = http://snomed.info/sct#397827003 'Growth hormone deficiency').exists()"</v>
      </c>
    </row>
    <row r="51" spans="5:5" x14ac:dyDescent="0.75">
      <c r="E51" s="109" t="str">
        <f>'Oth-Map-all'!D53</f>
        <v/>
      </c>
    </row>
    <row r="52" spans="5:5" x14ac:dyDescent="0.75">
      <c r="E52" s="109" t="str">
        <f>'Oth-Map-all'!D54</f>
        <v>* differential.element[12].mapping[0].identity = "fhir"</v>
      </c>
    </row>
    <row r="53" spans="5:5" x14ac:dyDescent="0.75">
      <c r="E53" s="109" t="str">
        <f>'Oth-Map-all'!D55</f>
        <v>* differential.element[12].mapping[0].map = "Condition.conformsTo('http://hl7.eu/fhir/ig/pcsp/StructureDefinition/Condition-otherinfos-eu-pcsp').where(code = http://snomed.info/sct#230745008 'Hydrocephalus').exists()"</v>
      </c>
    </row>
    <row r="54" spans="5:5" x14ac:dyDescent="0.75">
      <c r="E54" s="109" t="str">
        <f>'Oth-Map-all'!D56</f>
        <v/>
      </c>
    </row>
    <row r="55" spans="5:5" x14ac:dyDescent="0.75">
      <c r="E55" s="109" t="str">
        <f>'Oth-Map-all'!D57</f>
        <v>* differential.element[13].mapping[0].identity = "fhir"</v>
      </c>
    </row>
    <row r="56" spans="5:5" x14ac:dyDescent="0.75">
      <c r="E56" s="109" t="str">
        <f>'Oth-Map-all'!D58</f>
        <v>* differential.element[13].mapping[0].map = "Condition.conformsTo('http://hl7.eu/fhir/ig/pcsp/StructureDefinition/Condition-otherinfos-eu-pcsp').where(code = http://snomed.info/sct#10295004 'Chronic viral hepatitis').exists()"</v>
      </c>
    </row>
    <row r="57" spans="5:5" x14ac:dyDescent="0.75">
      <c r="E57" s="109" t="str">
        <f>'Oth-Map-all'!D59</f>
        <v/>
      </c>
    </row>
    <row r="58" spans="5:5" x14ac:dyDescent="0.75">
      <c r="E58" s="109" t="str">
        <f>'Oth-Map-all'!D60</f>
        <v>* differential.element[14].mapping[0].identity = "fhir"</v>
      </c>
    </row>
    <row r="59" spans="5:5" x14ac:dyDescent="0.75">
      <c r="E59" s="109" t="str">
        <f>'Oth-Map-all'!D61</f>
        <v>* differential.element[14].mapping[0].map = "Condition.conformsTo('http://hl7.eu/fhir/ig/pcsp/StructureDefinition/Condition-otherinfos-eu-pcsp').where(code = http://snomed.info/sct#65617004 'Veno-occlusive disease of the liver').exists()"</v>
      </c>
    </row>
    <row r="60" spans="5:5" x14ac:dyDescent="0.75">
      <c r="E60" s="109" t="str">
        <f>'Oth-Map-all'!D62</f>
        <v/>
      </c>
    </row>
    <row r="61" spans="5:5" x14ac:dyDescent="0.75">
      <c r="E61" s="109" t="str">
        <f>'Oth-Map-all'!D63</f>
        <v>* differential.element[15].mapping[0].identity = "fhir"</v>
      </c>
    </row>
    <row r="62" spans="5:5" x14ac:dyDescent="0.75">
      <c r="E62" s="109" t="str">
        <f>'Oth-Map-all'!D64</f>
        <v>* differential.element[15].mapping[0].map = "Procedure.conformsTo('http://hl7.eu/fhir/ig/pcsp/StructureDefinition/Procedure-cvc-otherinfos-eu-pcsp')"</v>
      </c>
    </row>
    <row r="63" spans="5:5" x14ac:dyDescent="0.75">
      <c r="E63" s="109" t="str">
        <f>'Oth-Map-all'!D65</f>
        <v/>
      </c>
    </row>
    <row r="64" spans="5:5" x14ac:dyDescent="0.75">
      <c r="E64" s="109" t="str">
        <f>'Oth-Map-all'!D66</f>
        <v>* differential.element[16].mapping[0].identity = "fhir"</v>
      </c>
    </row>
    <row r="65" spans="5:5" x14ac:dyDescent="0.75">
      <c r="E65" s="109" t="str">
        <f>'Oth-Map-all'!D67</f>
        <v>* differential.element[16].mapping[0].map = ".focalDevice.action"</v>
      </c>
    </row>
    <row r="66" spans="5:5" x14ac:dyDescent="0.75">
      <c r="E66" s="109" t="str">
        <f>'Oth-Map-all'!D68</f>
        <v/>
      </c>
    </row>
    <row r="67" spans="5:5" x14ac:dyDescent="0.75">
      <c r="E67" s="109" t="str">
        <f>'Oth-Map-all'!D69</f>
        <v>* differential.element[17].mapping[0].identity = "fhir"</v>
      </c>
    </row>
    <row r="68" spans="5:5" x14ac:dyDescent="0.75">
      <c r="E68" s="109" t="str">
        <f>'Oth-Map-all'!D70</f>
        <v>* differential.element[17].mapping[0].map = ".bodySite"</v>
      </c>
    </row>
    <row r="69" spans="5:5" x14ac:dyDescent="0.75">
      <c r="E69" s="109" t="str">
        <f>'Oth-Map-all'!D71</f>
        <v/>
      </c>
    </row>
    <row r="70" spans="5:5" x14ac:dyDescent="0.75">
      <c r="E70" s="109" t="str">
        <f>'Oth-Map-all'!D72</f>
        <v>* differential.element[18].mapping[0].identity = "fhir"</v>
      </c>
    </row>
    <row r="71" spans="5:5" x14ac:dyDescent="0.75">
      <c r="E71" s="109" t="str">
        <f>'Oth-Map-all'!D73</f>
        <v>* differential.element[18].mapping[0].map = "Condition.conformsTo('http://hl7.eu/fhir/ig/pcsp/StructureDefinition/Condition-otherinfos-eu-pcsp').where(code = http://snomed.info/sct#439127006 'Thrombosis')"</v>
      </c>
    </row>
    <row r="72" spans="5:5" x14ac:dyDescent="0.75">
      <c r="E72" s="109" t="str">
        <f>'Oth-Map-all'!D74</f>
        <v/>
      </c>
    </row>
    <row r="73" spans="5:5" x14ac:dyDescent="0.75">
      <c r="E73" s="109" t="str">
        <f>'Oth-Map-all'!D75</f>
        <v>* differential.element[19].mapping[0].identity = "fhir"</v>
      </c>
    </row>
    <row r="74" spans="5:5" x14ac:dyDescent="0.75">
      <c r="E74" s="109" t="str">
        <f>'Oth-Map-all'!D76</f>
        <v>* differential.element[19].mapping[0].map = ".exists()"</v>
      </c>
    </row>
    <row r="75" spans="5:5" x14ac:dyDescent="0.75">
      <c r="E75" s="109" t="str">
        <f>'Oth-Map-all'!D77</f>
        <v/>
      </c>
    </row>
    <row r="76" spans="5:5" x14ac:dyDescent="0.75">
      <c r="E76" s="109" t="str">
        <f>'Oth-Map-all'!D78</f>
        <v>* differential.element[20].mapping[0].identity = "fhir"</v>
      </c>
    </row>
    <row r="77" spans="5:5" x14ac:dyDescent="0.75">
      <c r="E77" s="109" t="str">
        <f>'Oth-Map-all'!D79</f>
        <v>* differential.element[20].mapping[0].map = ".text"</v>
      </c>
    </row>
    <row r="78" spans="5:5" x14ac:dyDescent="0.75">
      <c r="E78" s="109" t="str">
        <f>'Oth-Map-all'!D80</f>
        <v/>
      </c>
    </row>
    <row r="79" spans="5:5" x14ac:dyDescent="0.75">
      <c r="E79" s="109" t="str">
        <f>'Oth-Map-all'!D81</f>
        <v>* differential.element[21].mapping[0].identity = "fhir"</v>
      </c>
    </row>
    <row r="80" spans="5:5" x14ac:dyDescent="0.75">
      <c r="E80" s="109" t="str">
        <f>'Oth-Map-all'!D82</f>
        <v>* differential.element[21].mapping[0].map = "Procedure.conformsTo('http://hl7.eu/fhir/ig/pcsp/StructureDefinition/Procedure-transfusion-otherinfos-eu-pcsp')"</v>
      </c>
    </row>
    <row r="81" spans="5:5" x14ac:dyDescent="0.75">
      <c r="E81" s="109" t="str">
        <f>'Oth-Map-all'!D83</f>
        <v/>
      </c>
    </row>
    <row r="82" spans="5:5" x14ac:dyDescent="0.75">
      <c r="E82" s="109" t="str">
        <f>'Oth-Map-all'!D84</f>
        <v>* differential.element[22].mapping[0].identity = "fhir"</v>
      </c>
    </row>
    <row r="83" spans="5:5" x14ac:dyDescent="0.75">
      <c r="E83" s="109" t="str">
        <f>'Oth-Map-all'!D85</f>
        <v>* differential.element[22].mapping[0].map = ".exists()"</v>
      </c>
    </row>
    <row r="84" spans="5:5" x14ac:dyDescent="0.75">
      <c r="E84" s="109" t="str">
        <f>'Oth-Map-all'!D86</f>
        <v/>
      </c>
    </row>
    <row r="85" spans="5:5" x14ac:dyDescent="0.75">
      <c r="E85" s="109" t="str">
        <f>'Oth-Map-all'!D87</f>
        <v>* differential.element[23].mapping[0].identity = "fhir"</v>
      </c>
    </row>
    <row r="86" spans="5:5" x14ac:dyDescent="0.75">
      <c r="E86" s="109" t="str">
        <f>'Oth-Map-all'!D88</f>
        <v>* differential.element[23].mapping[0].map = "extension(''http://hl7.eu/fhir/ig/pcsp/StructureDefinition/procedure-performedTiming').valueTiming.event.value.aggregate(iif($total.empty(), $this, iif($this &gt; $total, $this, $total)))"</v>
      </c>
    </row>
    <row r="87" spans="5:5" x14ac:dyDescent="0.75">
      <c r="E87" s="109" t="str">
        <f>'Oth-Map-all'!D89</f>
        <v/>
      </c>
    </row>
    <row r="88" spans="5:5" x14ac:dyDescent="0.75">
      <c r="E88" s="109" t="str">
        <f>'Oth-Map-all'!D90</f>
        <v>* differential.element[23].mapping[1].identity = "fhir"</v>
      </c>
    </row>
    <row r="89" spans="5:5" x14ac:dyDescent="0.75">
      <c r="E89" s="109" t="str">
        <f>'Oth-Map-all'!D91</f>
        <v>* differential.element[23].mapping[1].map = "performedDateTime"</v>
      </c>
    </row>
    <row r="90" spans="5:5" x14ac:dyDescent="0.75">
      <c r="E90" s="109" t="str">
        <f>'Oth-Map-all'!D92</f>
        <v/>
      </c>
    </row>
    <row r="91" spans="5:5" x14ac:dyDescent="0.75">
      <c r="E91" s="109" t="str">
        <f>'Oth-Map-all'!D93</f>
        <v>* differential.element[24].mapping[0].identity = "fhir"</v>
      </c>
    </row>
    <row r="92" spans="5:5" x14ac:dyDescent="0.75">
      <c r="E92" s="109" t="str">
        <f>'Oth-Map-all'!D94</f>
        <v>* differential.element[24].mapping[0].map = "iif(.extension(''http://hl7.eu/fhir/ig/pcsp/StructureDefinition/procedure-performedTiming').valueTiming.repeat.count &gt; 10; true)"</v>
      </c>
    </row>
    <row r="93" spans="5:5" x14ac:dyDescent="0.75">
      <c r="E93" s="109" t="str">
        <f>'Oth-Map-all'!D95</f>
        <v/>
      </c>
    </row>
    <row r="94" spans="5:5" x14ac:dyDescent="0.75">
      <c r="E94" s="109" t="str">
        <f>'Oth-Map-all'!D96</f>
        <v>* differential.element[24].mapping[1].identity = "fhir"</v>
      </c>
    </row>
    <row r="95" spans="5:5" x14ac:dyDescent="0.75">
      <c r="E95" s="109" t="str">
        <f>'Oth-Map-all'!D97</f>
        <v>* differential.element[24].mapping[1].map = "iif(.extension(''http://hl7.eu/fhir/ig/pcsp/StructureDefinition/procedure-performedTiming').valueTiming.repeat..boundsRange.low &gt; 10; true)"</v>
      </c>
    </row>
    <row r="96" spans="5:5" x14ac:dyDescent="0.75">
      <c r="E96" s="109" t="str">
        <f>'Oth-Map-all'!D98</f>
        <v/>
      </c>
    </row>
    <row r="97" spans="5:5" x14ac:dyDescent="0.75">
      <c r="E97" s="109" t="str">
        <f>'Oth-Map-all'!D99</f>
        <v>* differential.element[25].mapping[0].identity = "fhir"</v>
      </c>
    </row>
    <row r="98" spans="5:5" x14ac:dyDescent="0.75">
      <c r="E98" s="109" t="str">
        <f>'Oth-Map-all'!D100</f>
        <v>* differential.element[25].mapping[0].map = "Procedure.conformsTo('http://hl7.eu/fhir/ig/pcsp/StructureDefinition/Procedure-cryopreservation-otherinfos-eu-pcsp')"</v>
      </c>
    </row>
    <row r="99" spans="5:5" x14ac:dyDescent="0.75">
      <c r="E99" s="109" t="str">
        <f>'Oth-Map-all'!D101</f>
        <v/>
      </c>
    </row>
    <row r="100" spans="5:5" x14ac:dyDescent="0.75">
      <c r="E100" s="109" t="str">
        <f>'Oth-Map-all'!D102</f>
        <v>* differential.element[26].mapping[0].identity = "fhir"</v>
      </c>
    </row>
    <row r="101" spans="5:5" x14ac:dyDescent="0.75">
      <c r="E101" s="109" t="str">
        <f>'Oth-Map-all'!D103</f>
        <v>* differential.element[26].mapping[0].map = ".text"</v>
      </c>
    </row>
    <row r="102" spans="5:5" x14ac:dyDescent="0.75">
      <c r="E102" s="109" t="str">
        <f>'Oth-Map-all'!D104</f>
        <v/>
      </c>
    </row>
    <row r="103" spans="5:5" x14ac:dyDescent="0.75">
      <c r="E103" s="109" t="str">
        <f>'Oth-Map-all'!D105</f>
        <v>* differential.element[27].mapping[0].identity = "fhir"</v>
      </c>
    </row>
    <row r="104" spans="5:5" x14ac:dyDescent="0.75">
      <c r="E104" s="109" t="str">
        <f>'Oth-Map-all'!D106</f>
        <v>* differential.element[27].mapping[0].map = ".location"</v>
      </c>
    </row>
    <row r="105" spans="5:5" x14ac:dyDescent="0.75">
      <c r="E105" s="109" t="str">
        <f>'Oth-Map-all'!D107</f>
        <v/>
      </c>
    </row>
    <row r="106" spans="5:5" x14ac:dyDescent="0.75">
      <c r="E106" s="109" t="str">
        <f>'Oth-Map-all'!D108</f>
        <v>* differential.element[28].mapping[0].identity = "fhir"</v>
      </c>
    </row>
    <row r="107" spans="5:5" x14ac:dyDescent="0.75">
      <c r="E107" s="109" t="str">
        <f>'Oth-Map-all'!D109</f>
        <v>* differential.element[28].mapping[0].map = "Procedure.conformsTo('http://hl7.eu/fhir/ig/pcsp/StructureDefinition/Procedure-treatment-otherinfos-eu-pcsp')"</v>
      </c>
    </row>
    <row r="108" spans="5:5" x14ac:dyDescent="0.75">
      <c r="E108" s="109" t="str">
        <f>'Oth-Map-all'!D110</f>
        <v/>
      </c>
    </row>
    <row r="109" spans="5:5" x14ac:dyDescent="0.75">
      <c r="E109" s="109" t="str">
        <f>'Oth-Map-all'!D111</f>
        <v>* differential.element[29].mapping[0].identity = "fhir"</v>
      </c>
    </row>
    <row r="110" spans="5:5" x14ac:dyDescent="0.75">
      <c r="E110" s="109" t="str">
        <f>'Oth-Map-all'!D112</f>
        <v>* differential.element[29].mapping[0].map = "DocumentReference.conformsTo('http://hl7.eu/fhir/ig/pcsp/StructureDefinition/DocumentReference-eu-pcsp')"</v>
      </c>
    </row>
    <row r="111" spans="5:5" x14ac:dyDescent="0.75">
      <c r="E111" s="109" t="str">
        <f>'Oth-Map-all'!D113</f>
        <v/>
      </c>
    </row>
    <row r="112" spans="5:5" x14ac:dyDescent="0.75">
      <c r="E112" s="109" t="str">
        <f>'Oth-Map-all'!D114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1" zoomScale="145" zoomScaleNormal="145" workbookViewId="0">
      <selection activeCell="D3" sqref="D3"/>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1140</v>
      </c>
      <c r="E2" s="25"/>
      <c r="F2" s="25"/>
      <c r="G2" s="25"/>
    </row>
    <row r="3" spans="1:9" x14ac:dyDescent="0.75">
      <c r="B3" s="118" t="s">
        <v>34</v>
      </c>
      <c r="C3" s="107" t="s">
        <v>36</v>
      </c>
      <c r="D3" s="56"/>
      <c r="E3" s="25"/>
      <c r="F3" s="25"/>
      <c r="G3" s="25"/>
    </row>
    <row r="4" spans="1:9" ht="15.5" thickBot="1" x14ac:dyDescent="0.9">
      <c r="B4" s="119" t="s">
        <v>52</v>
      </c>
      <c r="C4" s="16" t="s">
        <v>1059</v>
      </c>
      <c r="D4" s="57"/>
      <c r="E4" s="25"/>
      <c r="F4" s="25"/>
      <c r="G4" s="25"/>
    </row>
    <row r="5" spans="1:9" x14ac:dyDescent="0.75">
      <c r="C5" s="3" t="s">
        <v>7</v>
      </c>
      <c r="D5" s="4" t="s">
        <v>8</v>
      </c>
      <c r="E5" s="11" t="s">
        <v>17</v>
      </c>
      <c r="F5" s="11" t="s">
        <v>18</v>
      </c>
      <c r="G5" s="11" t="s">
        <v>19</v>
      </c>
    </row>
    <row r="6" spans="1:9" x14ac:dyDescent="0.75">
      <c r="A6">
        <v>0</v>
      </c>
      <c r="B6" s="16" t="s">
        <v>1059</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1060</v>
      </c>
      <c r="C10" s="111" t="s">
        <v>1080</v>
      </c>
      <c r="D10" s="111" t="s">
        <v>729</v>
      </c>
      <c r="E10" s="111">
        <v>0</v>
      </c>
      <c r="F10" s="111">
        <v>10</v>
      </c>
      <c r="G10" s="111" t="s">
        <v>5</v>
      </c>
    </row>
    <row r="11" spans="1:9" ht="103.25" x14ac:dyDescent="0.75">
      <c r="A11" s="109">
        <v>5</v>
      </c>
      <c r="B11" s="110" t="s">
        <v>1062</v>
      </c>
      <c r="C11" s="111" t="s">
        <v>1080</v>
      </c>
      <c r="D11" s="112" t="s">
        <v>1074</v>
      </c>
      <c r="E11" s="111">
        <v>0</v>
      </c>
      <c r="F11" s="111" t="s">
        <v>20</v>
      </c>
      <c r="G11" s="111" t="s">
        <v>1</v>
      </c>
      <c r="H11" s="2"/>
      <c r="I11" s="25"/>
    </row>
    <row r="12" spans="1:9" s="25" customFormat="1" x14ac:dyDescent="0.75">
      <c r="A12" s="109">
        <v>6</v>
      </c>
      <c r="B12" s="125" t="s">
        <v>1063</v>
      </c>
      <c r="C12" s="113" t="s">
        <v>732</v>
      </c>
      <c r="D12" s="113" t="s">
        <v>732</v>
      </c>
      <c r="E12" s="111">
        <v>0</v>
      </c>
      <c r="F12" s="111">
        <v>1</v>
      </c>
      <c r="G12" s="111" t="s">
        <v>1061</v>
      </c>
      <c r="H12" s="21"/>
    </row>
    <row r="13" spans="1:9" s="109" customFormat="1" ht="29.5" x14ac:dyDescent="0.75">
      <c r="A13" s="109">
        <v>7</v>
      </c>
      <c r="B13" s="125" t="s">
        <v>1090</v>
      </c>
      <c r="C13" s="113" t="s">
        <v>1081</v>
      </c>
      <c r="D13" s="112" t="s">
        <v>739</v>
      </c>
      <c r="E13" s="111">
        <v>1</v>
      </c>
      <c r="F13" s="111">
        <v>1</v>
      </c>
      <c r="G13" s="113" t="s">
        <v>2</v>
      </c>
      <c r="H13" s="114"/>
    </row>
    <row r="14" spans="1:9" s="25" customFormat="1" ht="44.25" x14ac:dyDescent="0.75">
      <c r="A14" s="109">
        <v>8</v>
      </c>
      <c r="B14" s="125" t="s">
        <v>1091</v>
      </c>
      <c r="C14" s="113" t="s">
        <v>740</v>
      </c>
      <c r="D14" s="112" t="s">
        <v>742</v>
      </c>
      <c r="E14" s="111">
        <v>1</v>
      </c>
      <c r="F14" s="111">
        <v>1</v>
      </c>
      <c r="G14" s="113" t="s">
        <v>3</v>
      </c>
      <c r="H14" s="21"/>
    </row>
    <row r="15" spans="1:9" s="109" customFormat="1" x14ac:dyDescent="0.75">
      <c r="A15" s="109">
        <v>9</v>
      </c>
      <c r="B15" s="125" t="s">
        <v>1092</v>
      </c>
      <c r="C15" s="115" t="s">
        <v>743</v>
      </c>
      <c r="D15" s="112" t="s">
        <v>746</v>
      </c>
      <c r="E15" s="111">
        <v>0</v>
      </c>
      <c r="F15" s="111">
        <v>1</v>
      </c>
      <c r="G15" s="113" t="s">
        <v>1</v>
      </c>
      <c r="H15" s="114"/>
    </row>
    <row r="16" spans="1:9" s="109" customFormat="1" x14ac:dyDescent="0.75">
      <c r="A16" s="109">
        <v>10</v>
      </c>
      <c r="B16" s="111" t="s">
        <v>1065</v>
      </c>
      <c r="C16" s="111" t="s">
        <v>747</v>
      </c>
      <c r="D16" s="112" t="s">
        <v>749</v>
      </c>
      <c r="E16" s="111">
        <v>0</v>
      </c>
      <c r="F16" s="111">
        <v>1</v>
      </c>
      <c r="G16" s="113" t="s">
        <v>1</v>
      </c>
      <c r="H16" s="114"/>
    </row>
    <row r="17" spans="1:8" s="109" customFormat="1" x14ac:dyDescent="0.75">
      <c r="A17" s="109">
        <v>11</v>
      </c>
      <c r="B17" s="112" t="s">
        <v>1064</v>
      </c>
      <c r="C17" s="112" t="s">
        <v>750</v>
      </c>
      <c r="D17" s="112" t="s">
        <v>752</v>
      </c>
      <c r="E17" s="111">
        <v>0</v>
      </c>
      <c r="F17" s="111">
        <v>1</v>
      </c>
      <c r="G17" s="113" t="s">
        <v>1</v>
      </c>
      <c r="H17" s="114"/>
    </row>
    <row r="18" spans="1:8" s="109" customFormat="1" x14ac:dyDescent="0.75">
      <c r="A18" s="109">
        <v>12</v>
      </c>
      <c r="B18" s="112" t="s">
        <v>1066</v>
      </c>
      <c r="C18" s="112" t="s">
        <v>753</v>
      </c>
      <c r="D18" s="112" t="s">
        <v>755</v>
      </c>
      <c r="E18" s="111">
        <v>0</v>
      </c>
      <c r="F18" s="111">
        <v>1</v>
      </c>
      <c r="G18" s="113" t="s">
        <v>1</v>
      </c>
      <c r="H18" s="114"/>
    </row>
    <row r="19" spans="1:8" s="109" customFormat="1" x14ac:dyDescent="0.75">
      <c r="A19" s="109">
        <v>13</v>
      </c>
      <c r="B19" s="112" t="s">
        <v>1067</v>
      </c>
      <c r="C19" s="112" t="s">
        <v>756</v>
      </c>
      <c r="D19" s="112" t="s">
        <v>758</v>
      </c>
      <c r="E19" s="111">
        <v>0</v>
      </c>
      <c r="F19" s="111">
        <v>1</v>
      </c>
      <c r="G19" s="113" t="s">
        <v>1</v>
      </c>
      <c r="H19" s="114"/>
    </row>
    <row r="20" spans="1:8" s="109" customFormat="1" x14ac:dyDescent="0.75">
      <c r="A20" s="109">
        <v>14</v>
      </c>
      <c r="B20" s="115" t="s">
        <v>1068</v>
      </c>
      <c r="C20" s="115" t="s">
        <v>759</v>
      </c>
      <c r="D20" s="108" t="s">
        <v>761</v>
      </c>
      <c r="E20" s="111">
        <v>0</v>
      </c>
      <c r="F20" s="111">
        <v>1</v>
      </c>
      <c r="G20" s="113" t="s">
        <v>1</v>
      </c>
      <c r="H20" s="114"/>
    </row>
    <row r="21" spans="1:8" s="109" customFormat="1" x14ac:dyDescent="0.75">
      <c r="A21" s="109">
        <v>15</v>
      </c>
      <c r="B21" s="115" t="s">
        <v>1104</v>
      </c>
      <c r="C21" s="115" t="s">
        <v>1082</v>
      </c>
      <c r="D21" s="108" t="s">
        <v>765</v>
      </c>
      <c r="E21" s="111">
        <v>0</v>
      </c>
      <c r="F21" s="111">
        <v>1</v>
      </c>
      <c r="G21" s="113" t="s">
        <v>5</v>
      </c>
      <c r="H21" s="114"/>
    </row>
    <row r="22" spans="1:8" s="109" customFormat="1" x14ac:dyDescent="0.75">
      <c r="A22" s="109">
        <v>16</v>
      </c>
      <c r="B22" s="115" t="s">
        <v>1105</v>
      </c>
      <c r="C22" s="115" t="s">
        <v>1083</v>
      </c>
      <c r="D22" s="108" t="s">
        <v>770</v>
      </c>
      <c r="E22" s="111">
        <v>0</v>
      </c>
      <c r="F22" s="111">
        <v>1</v>
      </c>
      <c r="G22" s="113" t="s">
        <v>1</v>
      </c>
      <c r="H22" s="114"/>
    </row>
    <row r="23" spans="1:8" s="109" customFormat="1" x14ac:dyDescent="0.75">
      <c r="A23" s="109">
        <v>17</v>
      </c>
      <c r="B23" s="115" t="s">
        <v>1106</v>
      </c>
      <c r="C23" s="115" t="s">
        <v>771</v>
      </c>
      <c r="D23" s="108" t="s">
        <v>773</v>
      </c>
      <c r="E23" s="111">
        <v>0</v>
      </c>
      <c r="F23" s="111">
        <v>1</v>
      </c>
      <c r="G23" s="113" t="s">
        <v>3</v>
      </c>
      <c r="H23" s="114"/>
    </row>
    <row r="24" spans="1:8" s="109" customFormat="1" x14ac:dyDescent="0.75">
      <c r="A24" s="109">
        <v>18</v>
      </c>
      <c r="B24" s="111" t="s">
        <v>1107</v>
      </c>
      <c r="C24" s="111" t="s">
        <v>774</v>
      </c>
      <c r="D24" s="111" t="s">
        <v>774</v>
      </c>
      <c r="E24" s="111">
        <v>0</v>
      </c>
      <c r="F24" s="111">
        <v>1</v>
      </c>
      <c r="G24" s="113" t="s">
        <v>5</v>
      </c>
      <c r="H24" s="114"/>
    </row>
    <row r="25" spans="1:8" s="109" customFormat="1" x14ac:dyDescent="0.75">
      <c r="A25" s="109">
        <v>19</v>
      </c>
      <c r="B25" s="111" t="s">
        <v>1108</v>
      </c>
      <c r="C25" s="111" t="s">
        <v>1121</v>
      </c>
      <c r="D25" s="112" t="s">
        <v>776</v>
      </c>
      <c r="E25" s="111">
        <v>0</v>
      </c>
      <c r="F25" s="111">
        <v>1</v>
      </c>
      <c r="G25" s="113" t="s">
        <v>1</v>
      </c>
      <c r="H25" s="114"/>
    </row>
    <row r="26" spans="1:8" s="109" customFormat="1" ht="29.5" x14ac:dyDescent="0.75">
      <c r="A26" s="109">
        <v>20</v>
      </c>
      <c r="B26" s="111" t="s">
        <v>1109</v>
      </c>
      <c r="C26" s="112" t="s">
        <v>777</v>
      </c>
      <c r="D26" s="112" t="s">
        <v>780</v>
      </c>
      <c r="E26" s="111">
        <v>0</v>
      </c>
      <c r="F26" s="111">
        <v>1</v>
      </c>
      <c r="G26" s="113" t="s">
        <v>3</v>
      </c>
      <c r="H26" s="114"/>
    </row>
    <row r="27" spans="1:8" x14ac:dyDescent="0.75">
      <c r="A27" s="109">
        <v>21</v>
      </c>
      <c r="B27" s="111" t="s">
        <v>1075</v>
      </c>
      <c r="C27" s="111" t="s">
        <v>1084</v>
      </c>
      <c r="D27" s="111" t="s">
        <v>781</v>
      </c>
      <c r="E27" s="111">
        <v>0</v>
      </c>
      <c r="F27" s="111">
        <v>1</v>
      </c>
      <c r="G27" s="113" t="s">
        <v>5</v>
      </c>
    </row>
    <row r="28" spans="1:8" s="109" customFormat="1" x14ac:dyDescent="0.75">
      <c r="A28" s="109">
        <v>22</v>
      </c>
      <c r="B28" s="111" t="s">
        <v>1076</v>
      </c>
      <c r="C28" s="111" t="s">
        <v>1121</v>
      </c>
      <c r="D28" s="112" t="s">
        <v>784</v>
      </c>
      <c r="E28" s="111">
        <v>0</v>
      </c>
      <c r="F28" s="111">
        <v>1</v>
      </c>
      <c r="G28" s="113" t="s">
        <v>1</v>
      </c>
    </row>
    <row r="29" spans="1:8" s="25" customFormat="1" ht="29.5" x14ac:dyDescent="0.75">
      <c r="A29" s="109">
        <v>23</v>
      </c>
      <c r="B29" s="111" t="s">
        <v>1069</v>
      </c>
      <c r="C29" s="112" t="s">
        <v>1085</v>
      </c>
      <c r="D29" s="112" t="s">
        <v>788</v>
      </c>
      <c r="E29" s="111">
        <v>0</v>
      </c>
      <c r="F29" s="111">
        <v>1</v>
      </c>
      <c r="G29" s="113" t="s">
        <v>3</v>
      </c>
    </row>
    <row r="30" spans="1:8" x14ac:dyDescent="0.75">
      <c r="A30" s="109">
        <v>24</v>
      </c>
      <c r="B30" s="111" t="s">
        <v>1070</v>
      </c>
      <c r="C30" s="111" t="s">
        <v>789</v>
      </c>
      <c r="D30" s="112" t="s">
        <v>791</v>
      </c>
      <c r="E30" s="111">
        <v>0</v>
      </c>
      <c r="F30" s="111">
        <v>1</v>
      </c>
      <c r="G30" s="113" t="s">
        <v>1</v>
      </c>
      <c r="H30" s="136"/>
    </row>
    <row r="31" spans="1:8" x14ac:dyDescent="0.75">
      <c r="A31" s="109">
        <v>25</v>
      </c>
      <c r="B31" s="112" t="s">
        <v>1087</v>
      </c>
      <c r="C31" s="111" t="s">
        <v>1086</v>
      </c>
      <c r="D31" s="112" t="s">
        <v>794</v>
      </c>
      <c r="E31" s="111">
        <v>0</v>
      </c>
      <c r="F31" s="111">
        <v>1</v>
      </c>
      <c r="G31" s="113" t="s">
        <v>5</v>
      </c>
    </row>
    <row r="32" spans="1:8" x14ac:dyDescent="0.75">
      <c r="A32" s="109">
        <v>26</v>
      </c>
      <c r="B32" s="112" t="s">
        <v>1122</v>
      </c>
      <c r="C32" s="111" t="s">
        <v>740</v>
      </c>
      <c r="D32" s="112" t="s">
        <v>798</v>
      </c>
      <c r="E32" s="111">
        <v>0</v>
      </c>
      <c r="F32" s="111">
        <v>1</v>
      </c>
      <c r="G32" s="113" t="s">
        <v>1</v>
      </c>
    </row>
    <row r="33" spans="1:9" ht="29.5" x14ac:dyDescent="0.75">
      <c r="A33" s="109">
        <v>27</v>
      </c>
      <c r="B33" s="112" t="s">
        <v>1088</v>
      </c>
      <c r="C33" s="111" t="s">
        <v>799</v>
      </c>
      <c r="D33" s="112" t="s">
        <v>801</v>
      </c>
      <c r="E33" s="111">
        <v>0</v>
      </c>
      <c r="F33" s="111">
        <v>1</v>
      </c>
      <c r="G33" s="113" t="s">
        <v>3</v>
      </c>
    </row>
    <row r="34" spans="1:9" s="25" customFormat="1" ht="29.5" x14ac:dyDescent="0.75">
      <c r="A34" s="109">
        <v>28</v>
      </c>
      <c r="B34" s="112" t="s">
        <v>1072</v>
      </c>
      <c r="C34" s="111" t="s">
        <v>802</v>
      </c>
      <c r="D34" s="112" t="s">
        <v>804</v>
      </c>
      <c r="E34" s="111">
        <v>0</v>
      </c>
      <c r="F34" s="111">
        <v>1</v>
      </c>
      <c r="G34" s="113" t="s">
        <v>3</v>
      </c>
    </row>
    <row r="35" spans="1:9" s="25" customFormat="1" x14ac:dyDescent="0.75">
      <c r="A35" s="109">
        <v>29</v>
      </c>
      <c r="B35" s="112" t="s">
        <v>1071</v>
      </c>
      <c r="C35" s="111" t="s">
        <v>805</v>
      </c>
      <c r="D35" s="111" t="s">
        <v>805</v>
      </c>
      <c r="E35" s="111">
        <v>0</v>
      </c>
      <c r="F35" s="111">
        <v>1</v>
      </c>
      <c r="G35" s="111" t="s">
        <v>1077</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 "</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 "</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topLeftCell="A33" zoomScale="130" zoomScaleNormal="130" workbookViewId="0">
      <selection activeCell="D39" sqref="D39"/>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1125</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1</v>
      </c>
      <c r="B8" s="111">
        <v>0</v>
      </c>
      <c r="C8" s="111" t="str">
        <f>'Oth-1'!B6</f>
        <v>OtherInfos</v>
      </c>
      <c r="D8" s="138" t="s">
        <v>1126</v>
      </c>
      <c r="H8" s="109" t="b">
        <f t="shared" ref="H8" si="0">IF(D8&gt;"",TRUE,FALSE)</f>
        <v>1</v>
      </c>
      <c r="I8" s="110" t="str">
        <f t="shared" ref="I8" si="1">IF(H8,CONCATENATE("* differential.element[",$B8,"].mapping[",$A8,"].identity = """,$G$1,""""),"")</f>
        <v>* differential.element[0].mapping[1].identity = "fhir"</v>
      </c>
      <c r="J8" s="110" t="str">
        <f t="shared" ref="J8" si="2">IF(H8,CONCATENATE("* differential.element[",$B8,"].mapping[",$A8,"].map = """,D8,""""),"")</f>
        <v>* differential.element[0].mapping[1].map = "Condition"</v>
      </c>
      <c r="K8" s="110" t="str">
        <f t="shared" ref="K8" si="3">IF(E8&gt;"",CONCATENATE("* differential.element[",$B8,"].mapping[",$A8,"].comment = """,E8,""""),"")</f>
        <v/>
      </c>
    </row>
    <row r="9" spans="1:14" ht="29.5" x14ac:dyDescent="0.75">
      <c r="A9" s="111">
        <v>0</v>
      </c>
      <c r="B9" s="111">
        <f>'Oth-1'!A7</f>
        <v>1</v>
      </c>
      <c r="C9" s="111" t="str">
        <f>'Oth-1'!B7</f>
        <v>identifier</v>
      </c>
      <c r="D9" s="138" t="s">
        <v>904</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1123</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44.25" x14ac:dyDescent="0.75">
      <c r="A11" s="111">
        <v>1</v>
      </c>
      <c r="B11" s="111">
        <f>'Oth-1'!A8</f>
        <v>2</v>
      </c>
      <c r="C11" s="111" t="str">
        <f>'Oth-1'!B8</f>
        <v>relatedDiagnosis</v>
      </c>
      <c r="D11" s="138" t="s">
        <v>1124</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1123</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44.25" x14ac:dyDescent="0.75">
      <c r="A13" s="111">
        <v>1</v>
      </c>
      <c r="B13" s="111">
        <f>'Oth-1'!A9</f>
        <v>3</v>
      </c>
      <c r="C13" s="111" t="str">
        <f>'Oth-1'!B9</f>
        <v>relatedRelapse</v>
      </c>
      <c r="D13" s="138" t="s">
        <v>1124</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59" x14ac:dyDescent="0.75">
      <c r="A14" s="111">
        <v>0</v>
      </c>
      <c r="B14" s="111">
        <f>'Oth-1'!A10</f>
        <v>4</v>
      </c>
      <c r="C14" s="111" t="str">
        <f>'Oth-1'!B10</f>
        <v>severeToxicity</v>
      </c>
      <c r="D14" s="138" t="s">
        <v>1127</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898</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1128</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904</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1129</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940</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1130</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1131</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1141</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88.5" x14ac:dyDescent="0.75">
      <c r="A23" s="111">
        <v>0</v>
      </c>
      <c r="B23" s="111">
        <f>'Oth-1'!A17</f>
        <v>11</v>
      </c>
      <c r="C23" s="111" t="str">
        <f>'Oth-1'!B17</f>
        <v>growthHormoneDeficiency</v>
      </c>
      <c r="D23" s="138" t="s">
        <v>1142</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88.5" x14ac:dyDescent="0.75">
      <c r="A24" s="111">
        <v>0</v>
      </c>
      <c r="B24" s="111">
        <f>'Oth-1'!A18</f>
        <v>12</v>
      </c>
      <c r="C24" s="111" t="str">
        <f>'Oth-1'!B18</f>
        <v>hydrocephalus</v>
      </c>
      <c r="D24" s="138" t="s">
        <v>1143</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88.5" x14ac:dyDescent="0.75">
      <c r="A25" s="111">
        <v>0</v>
      </c>
      <c r="B25" s="111">
        <f>'Oth-1'!A19</f>
        <v>13</v>
      </c>
      <c r="C25" s="111" t="str">
        <f>'Oth-1'!B19</f>
        <v>chronicViralHepatitis</v>
      </c>
      <c r="D25" s="138" t="s">
        <v>1144</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88.5" x14ac:dyDescent="0.75">
      <c r="A26" s="111">
        <v>0</v>
      </c>
      <c r="B26" s="111">
        <f>'Oth-1'!A20</f>
        <v>14</v>
      </c>
      <c r="C26" s="111" t="str">
        <f>'Oth-1'!B20</f>
        <v>sinusoidalObstructionSyndrome</v>
      </c>
      <c r="D26" s="138" t="s">
        <v>1145</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59" x14ac:dyDescent="0.75">
      <c r="A27" s="111">
        <v>0</v>
      </c>
      <c r="B27" s="111">
        <f>'Oth-1'!A21</f>
        <v>15</v>
      </c>
      <c r="C27" s="111" t="str">
        <f>'Oth-1'!B21</f>
        <v>catheter</v>
      </c>
      <c r="D27" s="138" t="s">
        <v>1132</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1000</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906</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88.5" x14ac:dyDescent="0.75">
      <c r="A30" s="111">
        <v>0</v>
      </c>
      <c r="B30" s="111">
        <f>'Oth-1'!A24</f>
        <v>18</v>
      </c>
      <c r="C30" s="111" t="str">
        <f>'Oth-1'!B24</f>
        <v>catheter.relatedThrombosis</v>
      </c>
      <c r="D30" s="138" t="s">
        <v>1146</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898</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940</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59" x14ac:dyDescent="0.75">
      <c r="A33" s="111">
        <v>0</v>
      </c>
      <c r="B33" s="111">
        <f>'Oth-1'!A27</f>
        <v>21</v>
      </c>
      <c r="C33" s="111" t="str">
        <f>'Oth-1'!B27</f>
        <v>transfusion</v>
      </c>
      <c r="D33" s="138" t="s">
        <v>1133</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898</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88.5" x14ac:dyDescent="0.75">
      <c r="A35" s="111">
        <v>0</v>
      </c>
      <c r="B35" s="111">
        <f>'Oth-1'!A29</f>
        <v>23</v>
      </c>
      <c r="C35" s="111" t="str">
        <f>'Oth-1'!B29</f>
        <v>transfusion.last</v>
      </c>
      <c r="D35" s="138" t="s">
        <v>1134</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10; true)"</v>
      </c>
    </row>
    <row r="36" spans="1:14" ht="29.5" x14ac:dyDescent="0.75">
      <c r="A36" s="111">
        <v>1</v>
      </c>
      <c r="B36" s="111">
        <f>'Oth-1'!A29</f>
        <v>23</v>
      </c>
      <c r="C36" s="111" t="str">
        <f>'Oth-1'!B29</f>
        <v>transfusion.last</v>
      </c>
      <c r="D36" s="138" t="s">
        <v>1135</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1164</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10; true)"</v>
      </c>
      <c r="K37" s="110" t="str">
        <f t="shared" si="20"/>
        <v/>
      </c>
      <c r="N37" s="109" t="e">
        <f>CONCATENATE("* ",C37," -&gt; """,#REF!,"""")</f>
        <v>#REF!</v>
      </c>
    </row>
    <row r="38" spans="1:14" ht="73.75" x14ac:dyDescent="0.75">
      <c r="A38" s="111">
        <v>1</v>
      </c>
      <c r="B38" s="111">
        <f>'Oth-1'!A30</f>
        <v>24</v>
      </c>
      <c r="C38" s="111" t="str">
        <f>'Oth-1'!B30</f>
        <v>transfusion.moreThan10</v>
      </c>
      <c r="D38" s="138" t="s">
        <v>1165</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10; true)"</v>
      </c>
      <c r="K38" s="110" t="str">
        <f t="shared" si="20"/>
        <v/>
      </c>
    </row>
    <row r="39" spans="1:14" ht="59" x14ac:dyDescent="0.75">
      <c r="A39" s="111">
        <v>0</v>
      </c>
      <c r="B39" s="111">
        <f>'Oth-1'!A31</f>
        <v>25</v>
      </c>
      <c r="C39" s="111" t="str">
        <f>'Oth-1'!B31</f>
        <v>fertilityPreservation</v>
      </c>
      <c r="D39" s="138" t="s">
        <v>1136</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940</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1138</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1137</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1139</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differential.element[0].mapping[1].identity = "fhir"</v>
      </c>
    </row>
    <row r="7" spans="1:5" x14ac:dyDescent="0.75">
      <c r="A7" s="111">
        <v>5</v>
      </c>
      <c r="B7" s="111">
        <f t="shared" si="0"/>
        <v>1</v>
      </c>
      <c r="C7" s="111">
        <f t="shared" si="1"/>
        <v>2</v>
      </c>
      <c r="D7" s="109" t="str" cm="1">
        <f t="array" ref="D7">INDEX('Oth-Map-1'!$I$7:$K$109,1+B7,C7)</f>
        <v>* differential.element[0].mapping[1].map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10;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10;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differential.element[0].mapping[1].identity = "fhir"</v>
      </c>
    </row>
    <row r="7" spans="4:4" x14ac:dyDescent="0.75">
      <c r="D7" s="111" t="str">
        <f>'Oth-Map-2'!D7</f>
        <v>* differential.element[0].mapping[1].map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10;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10;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topLeftCell="A27"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1002</v>
      </c>
    </row>
    <row r="3" spans="1:9" x14ac:dyDescent="0.75">
      <c r="B3" s="20" t="s">
        <v>34</v>
      </c>
      <c r="D3" s="134"/>
    </row>
    <row r="4" spans="1:9" ht="15.5" thickBot="1" x14ac:dyDescent="0.9">
      <c r="B4" s="22" t="s">
        <v>52</v>
      </c>
      <c r="C4" s="23" t="s">
        <v>911</v>
      </c>
      <c r="D4" s="135"/>
    </row>
    <row r="5" spans="1:9" x14ac:dyDescent="0.75">
      <c r="C5" s="51" t="s">
        <v>7</v>
      </c>
      <c r="D5" s="4" t="s">
        <v>8</v>
      </c>
      <c r="E5" s="11" t="s">
        <v>17</v>
      </c>
      <c r="F5" s="11" t="s">
        <v>18</v>
      </c>
      <c r="G5" s="11" t="s">
        <v>19</v>
      </c>
    </row>
    <row r="6" spans="1:9" ht="15.5" thickBot="1" x14ac:dyDescent="0.9">
      <c r="A6" s="109">
        <v>0</v>
      </c>
      <c r="B6" s="23" t="s">
        <v>911</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936</v>
      </c>
      <c r="D16" s="112" t="s">
        <v>617</v>
      </c>
      <c r="E16" s="111">
        <v>0</v>
      </c>
      <c r="F16" s="111">
        <v>1</v>
      </c>
      <c r="G16" s="111" t="s">
        <v>2</v>
      </c>
      <c r="H16" s="111"/>
      <c r="I16" s="111" t="str">
        <f t="shared" si="0"/>
        <v>Date of surgery</v>
      </c>
    </row>
    <row r="17" spans="1:9" ht="29.5" x14ac:dyDescent="0.75">
      <c r="A17" s="111">
        <v>11</v>
      </c>
      <c r="B17" s="111" t="s">
        <v>891</v>
      </c>
      <c r="C17" s="111" t="s">
        <v>937</v>
      </c>
      <c r="D17" s="112" t="s">
        <v>620</v>
      </c>
      <c r="E17" s="111">
        <v>0</v>
      </c>
      <c r="F17" s="111">
        <v>1</v>
      </c>
      <c r="G17" s="111" t="s">
        <v>3</v>
      </c>
      <c r="H17" s="111"/>
      <c r="I17" s="111" t="str">
        <f t="shared" si="0"/>
        <v>Surgery description</v>
      </c>
    </row>
    <row r="18" spans="1:9" ht="44.25" x14ac:dyDescent="0.75">
      <c r="A18" s="111">
        <v>12</v>
      </c>
      <c r="B18" s="112" t="s">
        <v>932</v>
      </c>
      <c r="C18" s="112" t="s">
        <v>933</v>
      </c>
      <c r="D18" s="112" t="s">
        <v>912</v>
      </c>
      <c r="E18" s="111">
        <v>0</v>
      </c>
      <c r="F18" s="111" t="s">
        <v>20</v>
      </c>
      <c r="G18" s="111" t="s">
        <v>1</v>
      </c>
      <c r="H18" s="111"/>
      <c r="I18" s="111" t="str">
        <f>TRIM(C18)</f>
        <v>Affected Organs</v>
      </c>
    </row>
    <row r="19" spans="1:9" ht="162.25" x14ac:dyDescent="0.75">
      <c r="A19" s="111">
        <v>13</v>
      </c>
      <c r="B19" s="24" t="s">
        <v>942</v>
      </c>
      <c r="C19" s="111" t="s">
        <v>651</v>
      </c>
      <c r="D19" s="112" t="s">
        <v>926</v>
      </c>
      <c r="E19" s="111">
        <v>0</v>
      </c>
      <c r="F19" s="111" t="s">
        <v>20</v>
      </c>
      <c r="G19" s="111" t="s">
        <v>1</v>
      </c>
      <c r="H19" s="111"/>
      <c r="I19" s="111" t="str">
        <f t="shared" si="0"/>
        <v>Sacrified Organs</v>
      </c>
    </row>
    <row r="20" spans="1:9" x14ac:dyDescent="0.75">
      <c r="A20" s="111">
        <v>14</v>
      </c>
      <c r="B20" s="111" t="s">
        <v>931</v>
      </c>
      <c r="C20" s="111" t="s">
        <v>921</v>
      </c>
      <c r="D20" s="112" t="s">
        <v>666</v>
      </c>
      <c r="E20" s="111">
        <v>0</v>
      </c>
      <c r="F20" s="111" t="s">
        <v>20</v>
      </c>
      <c r="G20" s="111" t="s">
        <v>5</v>
      </c>
      <c r="H20" s="114"/>
      <c r="I20" s="111" t="str">
        <f t="shared" si="0"/>
        <v>Shunt application</v>
      </c>
    </row>
    <row r="21" spans="1:9" ht="118" x14ac:dyDescent="0.75">
      <c r="A21" s="111">
        <v>15</v>
      </c>
      <c r="B21" s="112" t="s">
        <v>934</v>
      </c>
      <c r="C21" s="111" t="s">
        <v>991</v>
      </c>
      <c r="D21" s="112" t="s">
        <v>915</v>
      </c>
      <c r="E21" s="111">
        <v>0</v>
      </c>
      <c r="F21" s="111">
        <v>1</v>
      </c>
      <c r="G21" s="111" t="s">
        <v>1</v>
      </c>
      <c r="I21" s="111" t="str">
        <f t="shared" si="0"/>
        <v>Type of shunt</v>
      </c>
    </row>
    <row r="22" spans="1:9" ht="88.5" x14ac:dyDescent="0.75">
      <c r="A22" s="111">
        <v>16</v>
      </c>
      <c r="B22" s="112" t="s">
        <v>935</v>
      </c>
      <c r="C22" s="112" t="s">
        <v>992</v>
      </c>
      <c r="D22" s="112" t="s">
        <v>916</v>
      </c>
      <c r="E22" s="111">
        <v>0</v>
      </c>
      <c r="F22" s="111">
        <v>1</v>
      </c>
      <c r="G22" s="111" t="s">
        <v>1</v>
      </c>
      <c r="I22" s="111" t="str">
        <f t="shared" si="0"/>
        <v>Laterality of shunt</v>
      </c>
    </row>
    <row r="23" spans="1:9" ht="73.75" x14ac:dyDescent="0.75">
      <c r="A23" s="111">
        <v>17</v>
      </c>
      <c r="B23" s="111" t="s">
        <v>913</v>
      </c>
      <c r="C23" s="111" t="s">
        <v>914</v>
      </c>
      <c r="D23" s="112" t="s">
        <v>917</v>
      </c>
      <c r="E23" s="111">
        <v>0</v>
      </c>
      <c r="F23" s="111">
        <v>1</v>
      </c>
      <c r="G23" s="111" t="s">
        <v>1</v>
      </c>
      <c r="I23" s="111" t="str">
        <f t="shared" si="0"/>
        <v>In place or removed ?</v>
      </c>
    </row>
    <row r="24" spans="1:9" ht="88.5" x14ac:dyDescent="0.75">
      <c r="A24" s="111">
        <v>18</v>
      </c>
      <c r="B24" s="111" t="s">
        <v>930</v>
      </c>
      <c r="C24" s="111" t="s">
        <v>922</v>
      </c>
      <c r="D24" s="112" t="s">
        <v>920</v>
      </c>
      <c r="E24" s="111">
        <v>0</v>
      </c>
      <c r="F24" s="111">
        <v>1</v>
      </c>
      <c r="G24" s="111" t="s">
        <v>1</v>
      </c>
      <c r="I24" s="111" t="str">
        <f t="shared" si="0"/>
        <v>Amputation</v>
      </c>
    </row>
    <row r="25" spans="1:9" x14ac:dyDescent="0.75">
      <c r="A25" s="111">
        <v>19</v>
      </c>
      <c r="B25" s="111" t="s">
        <v>929</v>
      </c>
      <c r="C25" s="111" t="s">
        <v>923</v>
      </c>
      <c r="D25" s="111" t="s">
        <v>923</v>
      </c>
      <c r="E25" s="111">
        <v>0</v>
      </c>
      <c r="F25" s="111">
        <v>1</v>
      </c>
      <c r="G25" s="111" t="s">
        <v>5</v>
      </c>
      <c r="I25" s="111" t="str">
        <f t="shared" si="0"/>
        <v>Prothesis</v>
      </c>
    </row>
    <row r="26" spans="1:9" ht="29.5" x14ac:dyDescent="0.75">
      <c r="A26" s="111">
        <v>20</v>
      </c>
      <c r="B26" s="111" t="s">
        <v>996</v>
      </c>
      <c r="C26" s="111" t="s">
        <v>995</v>
      </c>
      <c r="D26" s="112" t="s">
        <v>688</v>
      </c>
      <c r="E26" s="111">
        <v>0</v>
      </c>
      <c r="F26" s="111">
        <v>1</v>
      </c>
      <c r="G26" s="111" t="s">
        <v>1</v>
      </c>
      <c r="I26" s="111"/>
    </row>
    <row r="27" spans="1:9" ht="73.75" x14ac:dyDescent="0.75">
      <c r="A27" s="111">
        <v>21</v>
      </c>
      <c r="B27" s="111" t="s">
        <v>997</v>
      </c>
      <c r="C27" s="111" t="s">
        <v>999</v>
      </c>
      <c r="D27" s="112" t="s">
        <v>998</v>
      </c>
      <c r="E27" s="111">
        <v>0</v>
      </c>
      <c r="F27" s="111">
        <v>1</v>
      </c>
      <c r="G27" s="111" t="s">
        <v>1</v>
      </c>
      <c r="I27" s="111"/>
    </row>
    <row r="28" spans="1:9" x14ac:dyDescent="0.75">
      <c r="A28" s="111">
        <v>22</v>
      </c>
      <c r="B28" s="111" t="s">
        <v>928</v>
      </c>
      <c r="C28" s="111" t="s">
        <v>924</v>
      </c>
      <c r="D28" s="111" t="s">
        <v>924</v>
      </c>
      <c r="E28" s="111">
        <v>0</v>
      </c>
      <c r="F28" s="111">
        <v>1</v>
      </c>
      <c r="G28" s="111" t="s">
        <v>5</v>
      </c>
      <c r="I28" s="111" t="str">
        <f t="shared" si="0"/>
        <v>Colostomy</v>
      </c>
    </row>
    <row r="29" spans="1:9" x14ac:dyDescent="0.75">
      <c r="A29" s="111">
        <v>23</v>
      </c>
      <c r="B29" s="111" t="s">
        <v>994</v>
      </c>
      <c r="C29" s="111" t="s">
        <v>995</v>
      </c>
      <c r="D29" s="112" t="s">
        <v>697</v>
      </c>
      <c r="E29" s="111">
        <v>0</v>
      </c>
      <c r="F29" s="111">
        <v>1</v>
      </c>
      <c r="G29" s="111" t="s">
        <v>1</v>
      </c>
      <c r="I29" s="111" t="str">
        <f t="shared" si="0"/>
        <v>status</v>
      </c>
    </row>
    <row r="30" spans="1:9" ht="59" x14ac:dyDescent="0.75">
      <c r="A30" s="111">
        <v>24</v>
      </c>
      <c r="B30" s="111" t="s">
        <v>993</v>
      </c>
      <c r="C30" s="111" t="s">
        <v>914</v>
      </c>
      <c r="D30" s="112" t="s">
        <v>918</v>
      </c>
      <c r="E30" s="111">
        <v>0</v>
      </c>
      <c r="F30" s="111">
        <v>1</v>
      </c>
      <c r="G30" s="111" t="s">
        <v>1</v>
      </c>
      <c r="I30" s="111"/>
    </row>
    <row r="31" spans="1:9" ht="67.5" x14ac:dyDescent="0.75">
      <c r="A31" s="111">
        <v>25</v>
      </c>
      <c r="B31" s="111" t="s">
        <v>927</v>
      </c>
      <c r="C31" s="111" t="s">
        <v>925</v>
      </c>
      <c r="D31" s="28" t="s">
        <v>919</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6" zoomScale="130" zoomScaleNormal="130" workbookViewId="0">
      <selection activeCell="D26" sqref="D2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938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903</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903</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904</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1120</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899</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900</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901</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902</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939</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940</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906</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905</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941</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905</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1111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905</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1016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1000</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1013</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1112</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898</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1001</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1014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898</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1000</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1015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topLeftCell="A19" zoomScaleNormal="100" workbookViewId="0">
      <selection activeCell="B21" sqref="B21"/>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943</v>
      </c>
      <c r="D2" s="152" t="s">
        <v>1022</v>
      </c>
      <c r="E2" s="25"/>
      <c r="F2" s="25"/>
      <c r="G2" s="25"/>
    </row>
    <row r="3" spans="1:9" x14ac:dyDescent="0.75">
      <c r="B3" s="20" t="s">
        <v>34</v>
      </c>
      <c r="C3" s="25"/>
      <c r="D3" s="56"/>
      <c r="E3" s="25"/>
      <c r="F3" s="25"/>
      <c r="G3" s="25"/>
    </row>
    <row r="4" spans="1:9" ht="15.5" thickBot="1" x14ac:dyDescent="0.9">
      <c r="B4" s="22" t="s">
        <v>52</v>
      </c>
      <c r="C4" s="148" t="s">
        <v>944</v>
      </c>
      <c r="D4" s="57"/>
      <c r="E4" s="25"/>
      <c r="F4" s="25"/>
      <c r="G4" s="25"/>
    </row>
    <row r="5" spans="1:9" x14ac:dyDescent="0.75">
      <c r="B5" s="25"/>
      <c r="C5" s="51" t="s">
        <v>7</v>
      </c>
      <c r="D5" s="4" t="s">
        <v>8</v>
      </c>
      <c r="E5" s="11" t="s">
        <v>17</v>
      </c>
      <c r="F5" s="11" t="s">
        <v>18</v>
      </c>
      <c r="G5" s="11" t="s">
        <v>19</v>
      </c>
    </row>
    <row r="6" spans="1:9" ht="15.5" thickBot="1" x14ac:dyDescent="0.9">
      <c r="A6">
        <v>0</v>
      </c>
      <c r="B6" s="33" t="s">
        <v>944</v>
      </c>
      <c r="C6" s="148" t="s">
        <v>943</v>
      </c>
      <c r="D6" s="148" t="s">
        <v>943</v>
      </c>
      <c r="E6" s="34">
        <v>1</v>
      </c>
      <c r="F6" s="34">
        <v>1</v>
      </c>
      <c r="G6" s="34" t="s">
        <v>21</v>
      </c>
    </row>
    <row r="7" spans="1:9" x14ac:dyDescent="0.75">
      <c r="A7" s="2">
        <v>1</v>
      </c>
      <c r="B7" s="26" t="s">
        <v>35</v>
      </c>
      <c r="C7" s="111" t="s">
        <v>945</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946</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965</v>
      </c>
      <c r="D16" s="67" t="s">
        <v>351</v>
      </c>
      <c r="E16" s="26">
        <v>0</v>
      </c>
      <c r="F16" s="26" t="s">
        <v>20</v>
      </c>
      <c r="G16" s="26" t="s">
        <v>2</v>
      </c>
      <c r="H16" s="2"/>
      <c r="I16" s="2"/>
    </row>
    <row r="17" spans="1:11" ht="74" x14ac:dyDescent="0.75">
      <c r="A17" s="111">
        <v>11</v>
      </c>
      <c r="B17" s="149" t="s">
        <v>949</v>
      </c>
      <c r="C17" s="26" t="s">
        <v>966</v>
      </c>
      <c r="D17" s="67" t="s">
        <v>948</v>
      </c>
      <c r="E17" s="26">
        <v>0</v>
      </c>
      <c r="F17" s="26">
        <v>1</v>
      </c>
      <c r="G17" s="111" t="s">
        <v>1</v>
      </c>
      <c r="H17" s="67"/>
      <c r="I17" s="2"/>
    </row>
    <row r="18" spans="1:11" ht="240.5" x14ac:dyDescent="0.75">
      <c r="A18" s="109">
        <v>12</v>
      </c>
      <c r="B18" s="149" t="s">
        <v>950</v>
      </c>
      <c r="C18" s="26" t="s">
        <v>952</v>
      </c>
      <c r="D18" s="95" t="s">
        <v>951</v>
      </c>
      <c r="E18" s="26">
        <v>0</v>
      </c>
      <c r="F18" s="26">
        <v>1</v>
      </c>
      <c r="G18" s="111" t="s">
        <v>1</v>
      </c>
      <c r="H18" s="67"/>
      <c r="I18" s="2"/>
    </row>
    <row r="19" spans="1:11" ht="92.5" x14ac:dyDescent="0.75">
      <c r="A19" s="109">
        <v>13</v>
      </c>
      <c r="B19" s="149" t="s">
        <v>953</v>
      </c>
      <c r="C19" s="26" t="s">
        <v>1149</v>
      </c>
      <c r="D19" s="67" t="s">
        <v>947</v>
      </c>
      <c r="E19" s="32">
        <v>0</v>
      </c>
      <c r="F19" s="2">
        <v>1</v>
      </c>
      <c r="G19" s="111" t="s">
        <v>1</v>
      </c>
      <c r="H19" s="67"/>
    </row>
    <row r="20" spans="1:11" ht="129.5" x14ac:dyDescent="0.75">
      <c r="A20" s="111">
        <v>14</v>
      </c>
      <c r="B20" s="151" t="s">
        <v>962</v>
      </c>
      <c r="C20" s="24" t="s">
        <v>967</v>
      </c>
      <c r="D20" s="71" t="s">
        <v>373</v>
      </c>
      <c r="E20" s="32">
        <v>0</v>
      </c>
      <c r="F20" s="2">
        <v>1</v>
      </c>
      <c r="G20" s="2" t="s">
        <v>3</v>
      </c>
      <c r="H20" s="67"/>
    </row>
    <row r="21" spans="1:11" s="109" customFormat="1" ht="18.5" x14ac:dyDescent="0.75">
      <c r="A21" s="109">
        <v>15</v>
      </c>
      <c r="B21" s="149" t="s">
        <v>1150</v>
      </c>
      <c r="C21" s="111" t="s">
        <v>978</v>
      </c>
      <c r="D21" s="95" t="s">
        <v>978</v>
      </c>
      <c r="E21" s="113">
        <v>0</v>
      </c>
      <c r="F21" s="111">
        <v>1</v>
      </c>
      <c r="G21" s="111" t="s">
        <v>5</v>
      </c>
      <c r="H21" s="67"/>
    </row>
    <row r="22" spans="1:11" ht="111" x14ac:dyDescent="0.75">
      <c r="A22" s="111">
        <v>16</v>
      </c>
      <c r="B22" s="26" t="s">
        <v>1151</v>
      </c>
      <c r="C22" s="26" t="s">
        <v>968</v>
      </c>
      <c r="D22" s="95" t="s">
        <v>963</v>
      </c>
      <c r="E22" s="32">
        <v>0</v>
      </c>
      <c r="F22" s="2">
        <v>1</v>
      </c>
      <c r="G22" s="111" t="s">
        <v>1</v>
      </c>
      <c r="H22" s="67"/>
    </row>
    <row r="23" spans="1:11" ht="18.5" x14ac:dyDescent="0.75">
      <c r="A23" s="109">
        <v>17</v>
      </c>
      <c r="B23" s="111" t="s">
        <v>1152</v>
      </c>
      <c r="C23" s="26" t="s">
        <v>969</v>
      </c>
      <c r="D23" s="67" t="s">
        <v>979</v>
      </c>
      <c r="E23" s="113">
        <v>0</v>
      </c>
      <c r="F23" s="113">
        <v>1</v>
      </c>
      <c r="G23" s="111" t="s">
        <v>5</v>
      </c>
      <c r="H23" s="67"/>
      <c r="K23">
        <f>800*20</f>
        <v>16000</v>
      </c>
    </row>
    <row r="24" spans="1:11" s="109" customFormat="1" ht="74" x14ac:dyDescent="0.75">
      <c r="A24" s="111">
        <v>18</v>
      </c>
      <c r="B24" s="111" t="s">
        <v>1153</v>
      </c>
      <c r="C24" s="111" t="s">
        <v>970</v>
      </c>
      <c r="D24" s="67" t="s">
        <v>980</v>
      </c>
      <c r="E24" s="113">
        <v>1</v>
      </c>
      <c r="F24" s="113">
        <v>1</v>
      </c>
      <c r="G24" s="111" t="s">
        <v>1</v>
      </c>
      <c r="H24" s="67"/>
    </row>
    <row r="25" spans="1:11" ht="129.5" x14ac:dyDescent="0.75">
      <c r="A25" s="109">
        <v>19</v>
      </c>
      <c r="B25" s="111" t="s">
        <v>1154</v>
      </c>
      <c r="C25" s="26" t="s">
        <v>382</v>
      </c>
      <c r="D25" s="67" t="s">
        <v>981</v>
      </c>
      <c r="E25" s="113">
        <v>1</v>
      </c>
      <c r="F25" s="113">
        <v>1</v>
      </c>
      <c r="G25" s="111" t="s">
        <v>1</v>
      </c>
      <c r="H25" s="67"/>
    </row>
    <row r="26" spans="1:11" ht="37" x14ac:dyDescent="0.75">
      <c r="A26" s="111">
        <v>20</v>
      </c>
      <c r="B26" s="111" t="s">
        <v>1155</v>
      </c>
      <c r="C26" s="26" t="s">
        <v>885</v>
      </c>
      <c r="D26" s="67" t="s">
        <v>389</v>
      </c>
      <c r="E26" s="32">
        <v>0</v>
      </c>
      <c r="F26" s="2">
        <v>1</v>
      </c>
      <c r="G26" s="2" t="s">
        <v>4</v>
      </c>
      <c r="H26" s="67" t="s">
        <v>109</v>
      </c>
    </row>
    <row r="27" spans="1:11" ht="37" x14ac:dyDescent="0.75">
      <c r="A27" s="109">
        <v>21</v>
      </c>
      <c r="B27" s="111" t="s">
        <v>1156</v>
      </c>
      <c r="C27" s="26" t="s">
        <v>886</v>
      </c>
      <c r="D27" s="67" t="s">
        <v>392</v>
      </c>
      <c r="E27" s="113">
        <v>0</v>
      </c>
      <c r="F27" s="111">
        <v>1</v>
      </c>
      <c r="G27" s="111" t="s">
        <v>4</v>
      </c>
      <c r="H27" s="67" t="s">
        <v>109</v>
      </c>
    </row>
    <row r="28" spans="1:11" ht="18.5" x14ac:dyDescent="0.75">
      <c r="A28" s="111">
        <v>22</v>
      </c>
      <c r="B28" s="111" t="s">
        <v>1157</v>
      </c>
      <c r="C28" s="111" t="s">
        <v>971</v>
      </c>
      <c r="D28" s="111" t="s">
        <v>982</v>
      </c>
      <c r="E28" s="113">
        <v>0</v>
      </c>
      <c r="F28" s="113">
        <v>1</v>
      </c>
      <c r="G28" s="111" t="s">
        <v>5</v>
      </c>
      <c r="H28" s="67"/>
    </row>
    <row r="29" spans="1:11" s="109" customFormat="1" ht="74" x14ac:dyDescent="0.75">
      <c r="A29" s="109">
        <v>23</v>
      </c>
      <c r="B29" s="111" t="s">
        <v>1158</v>
      </c>
      <c r="C29" s="111" t="s">
        <v>972</v>
      </c>
      <c r="D29" s="95" t="s">
        <v>983</v>
      </c>
      <c r="E29" s="113">
        <v>1</v>
      </c>
      <c r="F29" s="113">
        <v>1</v>
      </c>
      <c r="G29" s="111" t="s">
        <v>1</v>
      </c>
      <c r="H29" s="67"/>
    </row>
    <row r="30" spans="1:11" ht="74" x14ac:dyDescent="0.75">
      <c r="A30" s="111">
        <v>24</v>
      </c>
      <c r="B30" s="111" t="s">
        <v>1159</v>
      </c>
      <c r="C30" s="111" t="s">
        <v>382</v>
      </c>
      <c r="D30" s="67" t="s">
        <v>984</v>
      </c>
      <c r="E30" s="113">
        <v>1</v>
      </c>
      <c r="F30" s="113">
        <v>1</v>
      </c>
      <c r="G30" s="111" t="s">
        <v>1</v>
      </c>
      <c r="H30" s="67"/>
    </row>
    <row r="31" spans="1:11" ht="37" x14ac:dyDescent="0.75">
      <c r="A31" s="109">
        <v>25</v>
      </c>
      <c r="B31" s="111" t="s">
        <v>1160</v>
      </c>
      <c r="C31" s="111" t="s">
        <v>885</v>
      </c>
      <c r="D31" s="67" t="s">
        <v>401</v>
      </c>
      <c r="E31" s="10">
        <v>0</v>
      </c>
      <c r="F31" s="10">
        <v>1</v>
      </c>
      <c r="G31" s="2" t="s">
        <v>4</v>
      </c>
      <c r="H31" s="67" t="s">
        <v>109</v>
      </c>
    </row>
    <row r="32" spans="1:11" ht="37" x14ac:dyDescent="0.75">
      <c r="A32" s="109">
        <v>26</v>
      </c>
      <c r="B32" s="111" t="s">
        <v>1161</v>
      </c>
      <c r="C32" s="111" t="s">
        <v>886</v>
      </c>
      <c r="D32" s="67" t="s">
        <v>403</v>
      </c>
      <c r="E32" s="10">
        <v>0</v>
      </c>
      <c r="F32" s="10">
        <v>1</v>
      </c>
      <c r="G32" s="2" t="s">
        <v>4</v>
      </c>
      <c r="H32" s="67" t="s">
        <v>109</v>
      </c>
    </row>
    <row r="33" spans="1:8" ht="18.5" x14ac:dyDescent="0.75">
      <c r="A33" s="111">
        <v>27</v>
      </c>
      <c r="B33" s="26" t="s">
        <v>1162</v>
      </c>
      <c r="C33" s="111" t="s">
        <v>973</v>
      </c>
      <c r="D33" s="67" t="s">
        <v>407</v>
      </c>
      <c r="E33" s="10">
        <v>0</v>
      </c>
      <c r="F33" s="10" t="s">
        <v>20</v>
      </c>
      <c r="G33" s="2" t="s">
        <v>3</v>
      </c>
      <c r="H33" s="67"/>
    </row>
    <row r="34" spans="1:8" s="109" customFormat="1" ht="18.5" x14ac:dyDescent="0.75">
      <c r="A34" s="109">
        <v>28</v>
      </c>
      <c r="B34" s="111" t="s">
        <v>954</v>
      </c>
      <c r="C34" s="111" t="s">
        <v>974</v>
      </c>
      <c r="D34" s="111" t="s">
        <v>985</v>
      </c>
      <c r="E34" s="113">
        <v>0</v>
      </c>
      <c r="F34" s="113">
        <v>1</v>
      </c>
      <c r="G34" s="111" t="s">
        <v>5</v>
      </c>
      <c r="H34" s="67"/>
    </row>
    <row r="35" spans="1:8" ht="111" x14ac:dyDescent="0.75">
      <c r="A35" s="111">
        <v>29</v>
      </c>
      <c r="B35" s="111" t="s">
        <v>956</v>
      </c>
      <c r="C35" s="111" t="s">
        <v>955</v>
      </c>
      <c r="D35" s="67" t="s">
        <v>986</v>
      </c>
      <c r="E35" s="10">
        <v>1</v>
      </c>
      <c r="F35" s="10">
        <v>1</v>
      </c>
      <c r="G35" s="111" t="s">
        <v>1</v>
      </c>
      <c r="H35" s="70"/>
    </row>
    <row r="36" spans="1:8" ht="74" x14ac:dyDescent="0.75">
      <c r="A36" s="109">
        <v>30</v>
      </c>
      <c r="B36" s="111" t="s">
        <v>957</v>
      </c>
      <c r="C36" s="111" t="s">
        <v>975</v>
      </c>
      <c r="D36" s="67" t="s">
        <v>987</v>
      </c>
      <c r="E36" s="10">
        <v>1</v>
      </c>
      <c r="F36" s="10">
        <v>1</v>
      </c>
      <c r="G36" s="111" t="s">
        <v>1</v>
      </c>
      <c r="H36" s="67"/>
    </row>
    <row r="37" spans="1:8" s="109" customFormat="1" ht="18.5" x14ac:dyDescent="0.75">
      <c r="A37" s="111">
        <v>31</v>
      </c>
      <c r="B37" s="111" t="s">
        <v>958</v>
      </c>
      <c r="C37" s="111" t="s">
        <v>976</v>
      </c>
      <c r="D37" s="111" t="s">
        <v>988</v>
      </c>
      <c r="E37" s="113">
        <v>0</v>
      </c>
      <c r="F37" s="113">
        <v>1</v>
      </c>
      <c r="G37" s="111" t="s">
        <v>5</v>
      </c>
      <c r="H37" s="67"/>
    </row>
    <row r="38" spans="1:8" ht="111" x14ac:dyDescent="0.75">
      <c r="A38" s="109">
        <v>32</v>
      </c>
      <c r="B38" s="111" t="s">
        <v>959</v>
      </c>
      <c r="C38" s="111" t="s">
        <v>955</v>
      </c>
      <c r="D38" s="67" t="s">
        <v>989</v>
      </c>
      <c r="E38" s="113">
        <v>1</v>
      </c>
      <c r="F38" s="113">
        <v>1</v>
      </c>
      <c r="G38" s="111" t="s">
        <v>1</v>
      </c>
      <c r="H38" s="70"/>
    </row>
    <row r="39" spans="1:8" ht="74" x14ac:dyDescent="0.75">
      <c r="A39" s="111">
        <v>33</v>
      </c>
      <c r="B39" s="111" t="s">
        <v>960</v>
      </c>
      <c r="C39" s="111" t="s">
        <v>975</v>
      </c>
      <c r="D39" s="67" t="s">
        <v>990</v>
      </c>
      <c r="E39" s="113">
        <v>1</v>
      </c>
      <c r="F39" s="113">
        <v>1</v>
      </c>
      <c r="G39" s="111" t="s">
        <v>1</v>
      </c>
      <c r="H39" s="67"/>
    </row>
    <row r="40" spans="1:8" ht="55.5" x14ac:dyDescent="0.75">
      <c r="A40" s="109">
        <v>34</v>
      </c>
      <c r="B40" s="150" t="s">
        <v>961</v>
      </c>
      <c r="C40" s="111" t="s">
        <v>977</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"StemCellTransplantation.gvhd"</v>
      </c>
      <c r="C16" s="112" t="str">
        <f>CONCATENATE("* differential.element[",'Sct-1'!$A21,"].path = """,'Sct-1'!$B$6,".",'Sct-1'!B21,"""")</f>
        <v>* differential.element[15].path = "StemCellTransplantation.gvhd"</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"StemCellTransplantation.gvhd.prophylaxis"</v>
      </c>
      <c r="C17" s="112" t="str">
        <f>CONCATENATE("* differential.element[",'Sct-1'!$A22,"].path = """,'Sct-1'!$B$6,".",'Sct-1'!B22,"""")</f>
        <v>* differential.element[16].path = "StemCellTransplantation.gvhd.prophylaxis"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"StemCellTransplantation.gvhd.acute"</v>
      </c>
      <c r="C18" s="112" t="str">
        <f>CONCATENATE("* differential.element[",'Sct-1'!$A23,"].path = """,'Sct-1'!$B$6,".",'Sct-1'!B23,"""")</f>
        <v>* differential.element[17].path = "StemCellTransplantation.gvhd.acute"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"StemCellTransplantation.gvhd.acute.status"</v>
      </c>
      <c r="C19" s="112" t="str">
        <f>CONCATENATE("* differential.element[",'Sct-1'!$A24,"].path = """,'Sct-1'!$B$6,".",'Sct-1'!B24,"""")</f>
        <v>* differential.element[18].path = "StemCellTransplantation.gvhd.acute.status"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"StemCellTransplantation.gvhd.acute.grade"</v>
      </c>
      <c r="C20" s="112" t="str">
        <f>CONCATENATE("* differential.element[",'Sct-1'!$A25,"].path = """,'Sct-1'!$B$6,".",'Sct-1'!B25,"""")</f>
        <v>* differential.element[19].path = "StemCellTransplantation.gvhd.acute.grade"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"StemCellTransplantation.gvhd.acute.startDate"</v>
      </c>
      <c r="C21" s="112" t="str">
        <f>CONCATENATE("* differential.element[",'Sct-1'!$A26,"].path = """,'Sct-1'!$B$6,".",'Sct-1'!B26,"""")</f>
        <v>* differential.element[20].path = "StemCellTransplantation.gvhd.acute.startDate"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"StemCellTransplantation.gvhd.acute.endDate"</v>
      </c>
      <c r="C22" s="112" t="str">
        <f>CONCATENATE("* differential.element[",'Sct-1'!$A27,"].path = """,'Sct-1'!$B$6,".",'Sct-1'!B27,"""")</f>
        <v>* differential.element[21].path = "StemCellTransplantation.gvhd.acute.endDate"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"StemCellTransplantation.gvhd.chronic"</v>
      </c>
      <c r="C23" s="112" t="str">
        <f>CONCATENATE("* differential.element[",'Sct-1'!$A28,"].path = """,'Sct-1'!$B$6,".",'Sct-1'!B28,"""")</f>
        <v>* differential.element[22].path = "StemCellTransplantation.gvhd.chronic"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"StemCellTransplantation.gvhd.chronic.status"</v>
      </c>
      <c r="C24" s="112" t="str">
        <f>CONCATENATE("* differential.element[",'Sct-1'!$A29,"].path = """,'Sct-1'!$B$6,".",'Sct-1'!B29,"""")</f>
        <v>* differential.element[23].path = "StemCellTransplantation.gvhd.chronic.status"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"StemCellTransplantation.gvhd.chronic.grade"</v>
      </c>
      <c r="C25" s="112" t="str">
        <f>CONCATENATE("* differential.element[",'Sct-1'!$A30,"].path = """,'Sct-1'!$B$6,".",'Sct-1'!B30,"""")</f>
        <v>* differential.element[24].path = "StemCellTransplantation.gvhd.chronic.grade"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"StemCellTransplantation.gvhd.chronic.startDate"</v>
      </c>
      <c r="C26" s="112" t="str">
        <f>CONCATENATE("* differential.element[",'Sct-1'!$A31,"].path = """,'Sct-1'!$B$6,".",'Sct-1'!B31,"""")</f>
        <v>* differential.element[25].path = "StemCellTransplantation.gvhd.chronic.startDate"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"StemCellTransplantation.gvhd.chronic.endDate"</v>
      </c>
      <c r="C27" s="112" t="str">
        <f>CONCATENATE("* differential.element[",'Sct-1'!$A32,"].path = """,'Sct-1'!$B$6,".",'Sct-1'!B32,"""")</f>
        <v>* differential.element[26].path = "StemCellTransplantation.gvhd.chronic.endDate"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"StemCellTransplantation.gvhd.organAffected"</v>
      </c>
      <c r="C28" s="112" t="str">
        <f>CONCATENATE("* differential.element[",'Sct-1'!$A33,"].path = """,'Sct-1'!$B$6,".",'Sct-1'!B33,"""")</f>
        <v>* differential.element[27].path = "StemCellTransplantation.gvhd.organAffected"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x14ac:dyDescent="0.75">
      <c r="A124" s="2">
        <v>87</v>
      </c>
      <c r="B124" s="2">
        <f t="shared" si="2"/>
        <v>12</v>
      </c>
      <c r="C124" s="2">
        <f t="shared" si="3"/>
        <v>3</v>
      </c>
      <c r="D124" s="112" t="str" cm="1">
        <f t="array" ref="D124">INDEX('Sct-2'!$B$2:$H$41,1+B124,C124)</f>
        <v>* differential.element[13].short = "Source of cells"</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"StemCellTransplantation.gvhd"</v>
      </c>
    </row>
    <row r="137" spans="1:4" x14ac:dyDescent="0.75">
      <c r="A137" s="2">
        <v>100</v>
      </c>
      <c r="B137" s="2">
        <f t="shared" si="2"/>
        <v>14</v>
      </c>
      <c r="C137" s="2">
        <f t="shared" si="3"/>
        <v>2</v>
      </c>
      <c r="D137" s="112" t="str" cm="1">
        <f t="array" ref="D137">INDEX('Sct-2'!$B$2:$H$41,1+B137,C137)</f>
        <v>* differential.element[15].path = "StemCellTransplantation.gvhd"</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"StemCellTransplantation.gvhd.prophylaxis"</v>
      </c>
    </row>
    <row r="144" spans="1:4" x14ac:dyDescent="0.75">
      <c r="A144" s="2">
        <v>107</v>
      </c>
      <c r="B144" s="2">
        <f t="shared" si="2"/>
        <v>15</v>
      </c>
      <c r="C144" s="2">
        <f t="shared" si="3"/>
        <v>2</v>
      </c>
      <c r="D144" s="112" t="str" cm="1">
        <f t="array" ref="D144">INDEX('Sct-2'!$B$2:$H$41,1+B144,C144)</f>
        <v>* differential.element[16].path = "StemCellTransplantation.gvhd.prophylaxis"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"StemCellTransplantation.gvhd.acute"</v>
      </c>
    </row>
    <row r="151" spans="1:5" x14ac:dyDescent="0.75">
      <c r="A151" s="2">
        <v>114</v>
      </c>
      <c r="B151" s="2">
        <f t="shared" si="4"/>
        <v>16</v>
      </c>
      <c r="C151" s="2">
        <f t="shared" si="5"/>
        <v>2</v>
      </c>
      <c r="D151" s="112" t="str" cm="1">
        <f t="array" ref="D151">INDEX('Sct-2'!$B$2:$H$41,1+B151,C151)</f>
        <v>* differential.element[17].path = "StemCellTransplantation.gvhd.acute"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"StemCellTransplantation.gvhd.acute.status"</v>
      </c>
    </row>
    <row r="158" spans="1:5" x14ac:dyDescent="0.75">
      <c r="A158" s="2">
        <v>121</v>
      </c>
      <c r="B158" s="2">
        <f t="shared" si="4"/>
        <v>17</v>
      </c>
      <c r="C158" s="2">
        <f t="shared" si="5"/>
        <v>2</v>
      </c>
      <c r="D158" s="112" t="str" cm="1">
        <f t="array" ref="D158">INDEX('Sct-2'!$B$2:$H$41,1+B158,C158)</f>
        <v>* differential.element[18].path = "StemCellTransplantation.gvhd.acute.status"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"StemCellTransplantation.gvhd.acute.grade"</v>
      </c>
    </row>
    <row r="165" spans="1:4" x14ac:dyDescent="0.75">
      <c r="A165" s="2">
        <v>128</v>
      </c>
      <c r="B165" s="2">
        <f t="shared" si="6"/>
        <v>18</v>
      </c>
      <c r="C165" s="2">
        <f t="shared" si="7"/>
        <v>2</v>
      </c>
      <c r="D165" s="112" t="str" cm="1">
        <f t="array" ref="D165">INDEX('Sct-2'!$B$2:$H$41,1+B165,C165)</f>
        <v>* differential.element[19].path = "StemCellTransplantation.gvhd.acute.grade"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"StemCellTransplantation.gvhd.acute.startDate"</v>
      </c>
    </row>
    <row r="172" spans="1:4" x14ac:dyDescent="0.75">
      <c r="A172" s="2">
        <v>135</v>
      </c>
      <c r="B172" s="2">
        <f t="shared" si="6"/>
        <v>19</v>
      </c>
      <c r="C172" s="2">
        <f t="shared" si="7"/>
        <v>2</v>
      </c>
      <c r="D172" s="112" t="str" cm="1">
        <f t="array" ref="D172">INDEX('Sct-2'!$B$2:$H$41,1+B172,C172)</f>
        <v>* differential.element[20].path = "StemCellTransplantation.gvhd.acute.startDate"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"StemCellTransplantation.gvhd.acute.endDate"</v>
      </c>
    </row>
    <row r="179" spans="1:4" x14ac:dyDescent="0.75">
      <c r="A179" s="2">
        <v>142</v>
      </c>
      <c r="B179" s="2">
        <f t="shared" si="6"/>
        <v>20</v>
      </c>
      <c r="C179" s="2">
        <f t="shared" si="7"/>
        <v>2</v>
      </c>
      <c r="D179" s="112" t="str" cm="1">
        <f t="array" ref="D179">INDEX('Sct-2'!$B$2:$H$41,1+B179,C179)</f>
        <v>* differential.element[21].path = "StemCellTransplantation.gvhd.acute.endDate"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"StemCellTransplantation.gvhd.chronic"</v>
      </c>
    </row>
    <row r="186" spans="1:4" x14ac:dyDescent="0.75">
      <c r="A186" s="2">
        <v>149</v>
      </c>
      <c r="B186" s="2">
        <f t="shared" si="6"/>
        <v>21</v>
      </c>
      <c r="C186" s="2">
        <f t="shared" si="7"/>
        <v>2</v>
      </c>
      <c r="D186" s="112" t="str" cm="1">
        <f t="array" ref="D186">INDEX('Sct-2'!$B$2:$H$41,1+B186,C186)</f>
        <v>* differential.element[22].path = "StemCellTransplantation.gvhd.chronic"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"StemCellTransplantation.gvhd.chronic.status"</v>
      </c>
    </row>
    <row r="193" spans="1:4" x14ac:dyDescent="0.75">
      <c r="A193" s="2">
        <v>156</v>
      </c>
      <c r="B193" s="2">
        <f t="shared" si="8"/>
        <v>22</v>
      </c>
      <c r="C193" s="2">
        <f t="shared" si="9"/>
        <v>2</v>
      </c>
      <c r="D193" s="112" t="str" cm="1">
        <f t="array" ref="D193">INDEX('Sct-2'!$B$2:$H$41,1+B193,C193)</f>
        <v>* differential.element[23].path = "StemCellTransplantation.gvhd.chronic.status"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"StemCellTransplantation.gvhd.chronic.grade"</v>
      </c>
    </row>
    <row r="200" spans="1:4" x14ac:dyDescent="0.75">
      <c r="A200" s="2">
        <v>163</v>
      </c>
      <c r="B200" s="2">
        <f t="shared" si="8"/>
        <v>23</v>
      </c>
      <c r="C200" s="2">
        <f t="shared" si="9"/>
        <v>2</v>
      </c>
      <c r="D200" s="112" t="str" cm="1">
        <f t="array" ref="D200">INDEX('Sct-2'!$B$2:$H$41,1+B200,C200)</f>
        <v>* differential.element[24].path = "StemCellTransplantation.gvhd.chronic.grade"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"StemCellTransplantation.gvhd.chronic.startDate"</v>
      </c>
    </row>
    <row r="207" spans="1:4" x14ac:dyDescent="0.75">
      <c r="A207" s="2">
        <v>170</v>
      </c>
      <c r="B207" s="2">
        <f t="shared" si="8"/>
        <v>24</v>
      </c>
      <c r="C207" s="2">
        <f t="shared" si="9"/>
        <v>2</v>
      </c>
      <c r="D207" s="112" t="str" cm="1">
        <f t="array" ref="D207">INDEX('Sct-2'!$B$2:$H$41,1+B207,C207)</f>
        <v>* differential.element[25].path = "StemCellTransplantation.gvhd.chronic.startDate"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"StemCellTransplantation.gvhd.chronic.endDate"</v>
      </c>
    </row>
    <row r="214" spans="1:4" x14ac:dyDescent="0.75">
      <c r="A214" s="2">
        <v>177</v>
      </c>
      <c r="B214" s="2">
        <f t="shared" si="8"/>
        <v>25</v>
      </c>
      <c r="C214" s="2">
        <f t="shared" si="9"/>
        <v>2</v>
      </c>
      <c r="D214" s="112" t="str" cm="1">
        <f t="array" ref="D214">INDEX('Sct-2'!$B$2:$H$41,1+B214,C214)</f>
        <v>* differential.element[26].path = "StemCellTransplantation.gvhd.chronic.endDate"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"StemCellTransplantation.gvhd.organAffected"</v>
      </c>
    </row>
    <row r="221" spans="1:4" x14ac:dyDescent="0.75">
      <c r="A221" s="2">
        <v>184</v>
      </c>
      <c r="B221" s="2">
        <f t="shared" si="8"/>
        <v>26</v>
      </c>
      <c r="C221" s="2">
        <f t="shared" si="9"/>
        <v>2</v>
      </c>
      <c r="D221" s="112" t="str" cm="1">
        <f t="array" ref="D221">INDEX('Sct-2'!$B$2:$H$41,1+B221,C221)</f>
        <v>* differential.element[27].path = "StemCellTransplantation.gvhd.organAffected"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topLeftCell="A31" zoomScale="130" zoomScaleNormal="130" workbookViewId="0">
      <selection activeCell="D24" sqref="D2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1073</v>
      </c>
      <c r="E2" s="35"/>
      <c r="G2" s="25" t="s">
        <v>38</v>
      </c>
      <c r="M2" s="44"/>
      <c r="N2" s="25" t="str">
        <f>CONCATENATE("Mapping: ",E2)</f>
        <v xml:space="preserve">Mapping: </v>
      </c>
    </row>
    <row r="3" spans="1:14" x14ac:dyDescent="0.75">
      <c r="C3" s="104" t="str">
        <f>'Sct-1'!B3</f>
        <v>Publisher</v>
      </c>
      <c r="D3" s="40"/>
      <c r="E3" s="36"/>
      <c r="G3" s="25" t="s">
        <v>1073</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964</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904</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903</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903</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1120</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899</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900</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901</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902</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1148</v>
      </c>
      <c r="H17" s="25" t="b">
        <f t="shared" si="1"/>
        <v>1</v>
      </c>
      <c r="I17" s="1" t="str">
        <f t="shared" si="2"/>
        <v>* differential.element[10].mapping[0].identity = "fhir"</v>
      </c>
      <c r="J17" s="1" t="str">
        <f t="shared" si="3"/>
        <v>* differential.element[10].mapping[0].map = ".performedDateTime"</v>
      </c>
      <c r="K17" s="1" t="str">
        <f t="shared" si="4"/>
        <v/>
      </c>
      <c r="N17" s="25" t="str">
        <f t="shared" si="0"/>
        <v>* date -&gt; ".performedDateTime"</v>
      </c>
    </row>
    <row r="18" spans="1:14" ht="29.5" x14ac:dyDescent="0.75">
      <c r="A18" s="26">
        <v>0</v>
      </c>
      <c r="B18" s="111">
        <f>'Sct-1'!A17</f>
        <v>11</v>
      </c>
      <c r="C18" s="111" t="str">
        <f>'Sct-1'!B17</f>
        <v>transplantType</v>
      </c>
      <c r="D18" s="138" t="s">
        <v>905</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1017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1018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1019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gvhd</v>
      </c>
      <c r="D22" s="138" t="s">
        <v>1003</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gvhd -&gt; "Condition.conformsTo('http://hl7.eu/fhir/ig/pcsp/StructureDefinition/Condition-gvdh-eu-pcsp')"</v>
      </c>
    </row>
    <row r="23" spans="1:14" ht="88.5" x14ac:dyDescent="0.75">
      <c r="A23" s="26">
        <v>0</v>
      </c>
      <c r="B23" s="111">
        <f>'Sct-1'!A22</f>
        <v>16</v>
      </c>
      <c r="C23" s="111" t="str">
        <f>'Sct-1'!B22</f>
        <v>gvhd.prophylaxis</v>
      </c>
      <c r="D23" s="138" t="s">
        <v>1020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gvhd.prophylaxis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gvhd.acute</v>
      </c>
      <c r="D24" s="138" t="s">
        <v>1007</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gvhd.acute -&gt; ".where(code = http://snomed.info/sct#402355000 'Acute graft-versus-host disease')"</v>
      </c>
    </row>
    <row r="25" spans="1:14" ht="59" x14ac:dyDescent="0.75">
      <c r="A25" s="26">
        <v>0</v>
      </c>
      <c r="B25" s="111">
        <f>'Sct-1'!A24</f>
        <v>18</v>
      </c>
      <c r="C25" s="111" t="str">
        <f>'Sct-1'!B24</f>
        <v>gvhd.acute.status</v>
      </c>
      <c r="D25" s="138" t="s">
        <v>1008</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gvhd.acute.status -&gt; ".where(code = http://snomed.info/sct#402355000 'Acute graft-versus-host disease').exists()"</v>
      </c>
    </row>
    <row r="26" spans="1:14" ht="29.5" x14ac:dyDescent="0.75">
      <c r="A26" s="26">
        <v>0</v>
      </c>
      <c r="B26" s="111">
        <f>'Sct-1'!A25</f>
        <v>19</v>
      </c>
      <c r="C26" s="111" t="str">
        <f>'Sct-1'!B25</f>
        <v>gvhd.acute.grade</v>
      </c>
      <c r="D26" s="138" t="s">
        <v>1004</v>
      </c>
      <c r="H26" s="25" t="b">
        <f t="shared" si="1"/>
        <v>1</v>
      </c>
      <c r="I26" s="1" t="str">
        <f t="shared" si="2"/>
        <v>* differential.element[19].mapping[0].identity = "fhir"</v>
      </c>
      <c r="J26" s="1" t="str">
        <f t="shared" si="3"/>
        <v>* differential.element[19].mapping[0].map = ".stage.summary"</v>
      </c>
      <c r="K26" s="1" t="str">
        <f t="shared" si="4"/>
        <v/>
      </c>
      <c r="N26" s="25" t="str">
        <f t="shared" si="0"/>
        <v>* gvhd.acute.grade -&gt; ".stage.summary"</v>
      </c>
    </row>
    <row r="27" spans="1:14" ht="29.5" x14ac:dyDescent="0.75">
      <c r="A27" s="26">
        <v>0</v>
      </c>
      <c r="B27" s="111">
        <f>'Sct-1'!A26</f>
        <v>20</v>
      </c>
      <c r="C27" s="111" t="str">
        <f>'Sct-1'!B26</f>
        <v>gvhd.acute.startDate</v>
      </c>
      <c r="D27" s="138" t="s">
        <v>1129</v>
      </c>
      <c r="H27" s="25" t="b">
        <f t="shared" si="1"/>
        <v>1</v>
      </c>
      <c r="I27" s="1" t="str">
        <f t="shared" si="2"/>
        <v>* differential.element[20].mapping[0].identity = "fhir"</v>
      </c>
      <c r="J27" s="1" t="str">
        <f t="shared" si="3"/>
        <v>* differential.element[20].mapping[0].map = ".onsetDateTime"</v>
      </c>
      <c r="K27" s="1" t="str">
        <f t="shared" si="4"/>
        <v/>
      </c>
      <c r="N27" s="25" t="str">
        <f t="shared" si="0"/>
        <v>* gvhd.acute.startDate -&gt; ".onsetDateTime"</v>
      </c>
    </row>
    <row r="28" spans="1:14" ht="29.5" x14ac:dyDescent="0.75">
      <c r="A28" s="26">
        <v>0</v>
      </c>
      <c r="B28" s="111">
        <f>'Sct-1'!A27</f>
        <v>21</v>
      </c>
      <c r="C28" s="111" t="str">
        <f>'Sct-1'!B27</f>
        <v>gvhd.acute.endDate</v>
      </c>
      <c r="D28" s="138" t="s">
        <v>1163</v>
      </c>
      <c r="H28" s="25" t="b">
        <f t="shared" si="1"/>
        <v>1</v>
      </c>
      <c r="I28" s="1" t="str">
        <f t="shared" si="2"/>
        <v>* differential.element[21].mapping[0].identity = "fhir"</v>
      </c>
      <c r="J28" s="1" t="str">
        <f t="shared" si="3"/>
        <v>* differential.element[21].mapping[0].map = ".abatementDateTime	"</v>
      </c>
      <c r="K28" s="1" t="str">
        <f t="shared" si="4"/>
        <v/>
      </c>
      <c r="N28" s="25" t="str">
        <f t="shared" si="0"/>
        <v>* gvhd.acute.endDate -&gt; ".abatementDateTime	"</v>
      </c>
    </row>
    <row r="29" spans="1:14" ht="59" x14ac:dyDescent="0.75">
      <c r="A29" s="26">
        <v>0</v>
      </c>
      <c r="B29" s="111">
        <f>'Sct-1'!A28</f>
        <v>22</v>
      </c>
      <c r="C29" s="111" t="str">
        <f>'Sct-1'!B28</f>
        <v>gvhd.chronic</v>
      </c>
      <c r="D29" s="138" t="s">
        <v>1009</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gvhd.chronic -&gt; ".where(code = http://snomed.info/sct#402356004 'Chronic graft-versus-host disease')"</v>
      </c>
    </row>
    <row r="30" spans="1:14" ht="59" x14ac:dyDescent="0.75">
      <c r="A30" s="26">
        <v>0</v>
      </c>
      <c r="B30" s="111">
        <f>'Sct-1'!A29</f>
        <v>23</v>
      </c>
      <c r="C30" s="111" t="str">
        <f>'Sct-1'!B29</f>
        <v>gvhd.chronic.status</v>
      </c>
      <c r="D30" s="138" t="s">
        <v>1010</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gvhd.chronic.status -&gt; ".where(code = http://snomed.info/sct#402356004 'Chronic graft-versus-host disease').exists()"</v>
      </c>
    </row>
    <row r="31" spans="1:14" ht="29.5" x14ac:dyDescent="0.75">
      <c r="A31" s="26">
        <v>0</v>
      </c>
      <c r="B31" s="111">
        <f>'Sct-1'!A30</f>
        <v>24</v>
      </c>
      <c r="C31" s="111" t="str">
        <f>'Sct-1'!B30</f>
        <v>gvhd.chronic.grade</v>
      </c>
      <c r="D31" s="138" t="s">
        <v>1004</v>
      </c>
      <c r="H31" s="25" t="b">
        <f t="shared" si="1"/>
        <v>1</v>
      </c>
      <c r="I31" s="1" t="str">
        <f t="shared" si="2"/>
        <v>* differential.element[24].mapping[0].identity = "fhir"</v>
      </c>
      <c r="J31" s="1" t="str">
        <f t="shared" si="3"/>
        <v>* differential.element[24].mapping[0].map = ".stage.summary"</v>
      </c>
      <c r="K31" s="1" t="str">
        <f t="shared" si="4"/>
        <v/>
      </c>
      <c r="N31" s="25" t="str">
        <f t="shared" si="0"/>
        <v>* gvhd.chronic.grade -&gt; ".stage.summary"</v>
      </c>
    </row>
    <row r="32" spans="1:14" ht="29.5" x14ac:dyDescent="0.75">
      <c r="A32" s="26">
        <v>0</v>
      </c>
      <c r="B32" s="111">
        <f>'Sct-1'!A31</f>
        <v>25</v>
      </c>
      <c r="C32" s="111" t="str">
        <f>'Sct-1'!B31</f>
        <v>gvhd.chronic.startDate</v>
      </c>
      <c r="D32" s="138" t="s">
        <v>1129</v>
      </c>
      <c r="H32" s="25" t="b">
        <f t="shared" si="1"/>
        <v>1</v>
      </c>
      <c r="I32" s="1" t="str">
        <f t="shared" si="2"/>
        <v>* differential.element[25].mapping[0].identity = "fhir"</v>
      </c>
      <c r="J32" s="1" t="str">
        <f t="shared" si="3"/>
        <v>* differential.element[25].mapping[0].map = ".onsetDateTime"</v>
      </c>
      <c r="K32" s="1" t="str">
        <f t="shared" si="4"/>
        <v/>
      </c>
      <c r="N32" s="25" t="str">
        <f t="shared" si="0"/>
        <v>* gvhd.chronic.startDate -&gt; ".onsetDateTime"</v>
      </c>
    </row>
    <row r="33" spans="1:14" ht="29.5" x14ac:dyDescent="0.75">
      <c r="A33" s="26">
        <v>0</v>
      </c>
      <c r="B33" s="111">
        <f>'Sct-1'!A32</f>
        <v>26</v>
      </c>
      <c r="C33" s="111" t="str">
        <f>'Sct-1'!B32</f>
        <v>gvhd.chronic.endDate</v>
      </c>
      <c r="D33" s="138" t="s">
        <v>1163</v>
      </c>
      <c r="H33" s="25" t="b">
        <f t="shared" si="1"/>
        <v>1</v>
      </c>
      <c r="I33" s="1" t="str">
        <f t="shared" si="2"/>
        <v>* differential.element[26].mapping[0].identity = "fhir"</v>
      </c>
      <c r="J33" s="1" t="str">
        <f t="shared" si="3"/>
        <v>* differential.element[26].mapping[0].map = ".abatementDateTime	"</v>
      </c>
      <c r="K33" s="1" t="str">
        <f t="shared" si="4"/>
        <v/>
      </c>
      <c r="N33" s="25" t="str">
        <f t="shared" si="0"/>
        <v>* gvhd.chronic.endDate -&gt; ".abatementDateTime	"</v>
      </c>
    </row>
    <row r="34" spans="1:14" ht="29.5" x14ac:dyDescent="0.75">
      <c r="A34" s="26">
        <v>0</v>
      </c>
      <c r="B34" s="111">
        <f>'Sct-1'!A33</f>
        <v>27</v>
      </c>
      <c r="C34" s="111" t="str">
        <f>'Sct-1'!B33</f>
        <v>gvhd.organAffected</v>
      </c>
      <c r="D34" s="138" t="s">
        <v>906</v>
      </c>
      <c r="H34" s="25" t="b">
        <f t="shared" si="1"/>
        <v>1</v>
      </c>
      <c r="I34" s="1" t="str">
        <f t="shared" si="2"/>
        <v>* differential.element[27].mapping[0].identity = "fhir"</v>
      </c>
      <c r="J34" s="1" t="str">
        <f t="shared" si="3"/>
        <v>* differential.element[27].mapping[0].map = ".bodySite"</v>
      </c>
      <c r="K34" s="1" t="str">
        <f t="shared" si="4"/>
        <v/>
      </c>
      <c r="N34" s="25" t="str">
        <f t="shared" si="0"/>
        <v>* gvhd.organAffected -&gt; ".bodySite"</v>
      </c>
    </row>
    <row r="35" spans="1:14" ht="73.75" x14ac:dyDescent="0.75">
      <c r="A35" s="26">
        <v>0</v>
      </c>
      <c r="B35" s="111">
        <f>'Sct-1'!A34</f>
        <v>28</v>
      </c>
      <c r="C35" s="111" t="str">
        <f>'Sct-1'!B34</f>
        <v>bloodBeforeTransplant</v>
      </c>
      <c r="D35" s="138" t="s">
        <v>1005</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1011</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1012</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1006</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1011</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1012</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1021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".onsetDateTime"</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".abatementDateTime	"</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".onsetDateTime"</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".abatementDateTime	"</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gvhd.prophylaxis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gvhd.prophylaxis -&gt; ".patient.name.family"</v>
      </c>
    </row>
    <row r="14" spans="1:14" ht="29.5" x14ac:dyDescent="0.75">
      <c r="A14" s="111">
        <v>1</v>
      </c>
      <c r="B14" s="111">
        <f>'Sct-1'!A13</f>
        <v>7</v>
      </c>
      <c r="C14" s="111" t="str">
        <f>'Sct-1'!B23</f>
        <v>gvhd.acute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gvhd.acute -&gt; ".patient.administrativeGenderCode"</v>
      </c>
    </row>
    <row r="15" spans="1:14" ht="29.5" x14ac:dyDescent="0.75">
      <c r="A15" s="111">
        <v>1</v>
      </c>
      <c r="B15" s="111">
        <f>'Sct-1'!A14</f>
        <v>8</v>
      </c>
      <c r="C15" s="111" t="str">
        <f>'Sct-1'!B25</f>
        <v>gvhd.acute.grade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gvhd.acute.grade -&gt; ".patient.birthTime"</v>
      </c>
    </row>
    <row r="16" spans="1:14" ht="29.5" x14ac:dyDescent="0.75">
      <c r="A16" s="111">
        <v>1</v>
      </c>
      <c r="B16" s="111">
        <f>'Sct-1'!A15</f>
        <v>9</v>
      </c>
      <c r="C16" s="111" t="str">
        <f>'Sct-1'!B26</f>
        <v>gvhd.acute.startDate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gvhd.acute.startDate -&gt; ".patient.birthplace"</v>
      </c>
    </row>
    <row r="17" spans="1:14" ht="29.5" x14ac:dyDescent="0.75">
      <c r="A17" s="111">
        <v>1</v>
      </c>
      <c r="B17" s="111">
        <f>'Sct-1'!A16</f>
        <v>10</v>
      </c>
      <c r="C17" s="111" t="str">
        <f>'Sct-1'!B27</f>
        <v>gvhd.acute.endDate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gvhd.acute.endDate -&gt; "ClinicalDocument.participant"</v>
      </c>
    </row>
    <row r="18" spans="1:14" ht="29.5" x14ac:dyDescent="0.75">
      <c r="A18" s="111">
        <v>1</v>
      </c>
      <c r="B18" s="111">
        <f>'Sct-1'!A17</f>
        <v>11</v>
      </c>
      <c r="C18" s="111" t="str">
        <f>'Sct-1'!B28</f>
        <v>gvhd.chronic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gvhd.chronic -&gt; ".associatedEntity.telecom"</v>
      </c>
    </row>
    <row r="19" spans="1:14" ht="29.5" x14ac:dyDescent="0.75">
      <c r="A19" s="111">
        <v>1</v>
      </c>
      <c r="B19" s="111">
        <f>'Sct-1'!A18</f>
        <v>12</v>
      </c>
      <c r="C19" s="111" t="str">
        <f>'Sct-1'!B30</f>
        <v>gvhd.chronic.grade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gvhd.chronic.grade -&gt; ".associatedEntity.telecom"</v>
      </c>
    </row>
    <row r="20" spans="1:14" x14ac:dyDescent="0.75">
      <c r="A20" s="111">
        <v>1</v>
      </c>
      <c r="B20" s="111" t="e">
        <f>'Sct-1'!#REF!</f>
        <v>#REF!</v>
      </c>
      <c r="C20" s="111" t="str">
        <f>'Sct-1'!B31</f>
        <v>gvhd.chronic.startDate</v>
      </c>
      <c r="D20" s="26"/>
      <c r="H20" s="25" t="b">
        <f t="shared" si="1"/>
        <v>0</v>
      </c>
      <c r="I20" s="1" t="str">
        <f t="shared" si="2"/>
        <v/>
      </c>
      <c r="J20" s="1" t="str">
        <f t="shared" si="3"/>
        <v/>
      </c>
      <c r="K20" s="1" t="str">
        <f t="shared" si="4"/>
        <v/>
      </c>
      <c r="N20" s="25" t="str">
        <f t="shared" si="0"/>
        <v>* gvhd.chronic.startDate -&gt; ""</v>
      </c>
    </row>
    <row r="21" spans="1:14" x14ac:dyDescent="0.75">
      <c r="A21" s="111">
        <v>1</v>
      </c>
      <c r="B21" s="111">
        <f>'Sct-1'!A19</f>
        <v>13</v>
      </c>
      <c r="C21" s="111" t="str">
        <f>'Sct-1'!B32</f>
        <v>gvhd.chronic.endDate</v>
      </c>
      <c r="D21" s="26"/>
      <c r="H21" s="25" t="b">
        <f t="shared" si="1"/>
        <v>0</v>
      </c>
      <c r="I21" s="1" t="str">
        <f t="shared" si="2"/>
        <v/>
      </c>
      <c r="J21" s="1" t="str">
        <f t="shared" si="3"/>
        <v/>
      </c>
      <c r="K21" s="1" t="str">
        <f t="shared" si="4"/>
        <v/>
      </c>
      <c r="N21" s="25" t="str">
        <f t="shared" si="0"/>
        <v>* gvhd.chronic.endDate -&gt; ""</v>
      </c>
    </row>
    <row r="22" spans="1:14" x14ac:dyDescent="0.75">
      <c r="A22" s="111">
        <v>1</v>
      </c>
      <c r="B22" s="111">
        <f>'Sct-1'!A20</f>
        <v>14</v>
      </c>
      <c r="C22" s="111" t="str">
        <f>'Sct-1'!B33</f>
        <v>gvhd.organAffected</v>
      </c>
      <c r="D22" s="111"/>
      <c r="H22" s="25" t="b">
        <f t="shared" si="1"/>
        <v>0</v>
      </c>
      <c r="I22" s="1" t="str">
        <f t="shared" si="2"/>
        <v/>
      </c>
      <c r="J22" s="1" t="str">
        <f t="shared" si="3"/>
        <v/>
      </c>
      <c r="K22" s="1" t="str">
        <f t="shared" si="4"/>
        <v/>
      </c>
      <c r="N22" s="25" t="str">
        <f t="shared" si="0"/>
        <v>* gvhd.organAffected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".onsetDateTime"</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".abatementDateTime	"</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".onsetDateTime"</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".abatementDateTime	"</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C11" sqref="C1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1078</v>
      </c>
      <c r="D2" s="112" t="s">
        <v>1118</v>
      </c>
    </row>
    <row r="3" spans="1:9" x14ac:dyDescent="0.75">
      <c r="B3" s="118" t="s">
        <v>34</v>
      </c>
      <c r="C3" s="123" t="s">
        <v>36</v>
      </c>
      <c r="D3" s="56"/>
    </row>
    <row r="4" spans="1:9" ht="15.5" thickBot="1" x14ac:dyDescent="0.9">
      <c r="B4" s="119" t="s">
        <v>52</v>
      </c>
      <c r="C4" s="112" t="s">
        <v>1023</v>
      </c>
      <c r="D4" s="57"/>
    </row>
    <row r="5" spans="1:9" x14ac:dyDescent="0.75">
      <c r="B5" s="110"/>
      <c r="C5" s="3" t="s">
        <v>7</v>
      </c>
      <c r="D5" s="4" t="s">
        <v>8</v>
      </c>
      <c r="E5" s="11" t="s">
        <v>17</v>
      </c>
      <c r="F5" s="11" t="s">
        <v>18</v>
      </c>
      <c r="G5" s="11" t="s">
        <v>19</v>
      </c>
    </row>
    <row r="6" spans="1:9" x14ac:dyDescent="0.75">
      <c r="A6" s="109">
        <v>0</v>
      </c>
      <c r="B6" s="112" t="s">
        <v>1023</v>
      </c>
      <c r="C6" s="111" t="s">
        <v>63</v>
      </c>
      <c r="D6" s="111" t="s">
        <v>63</v>
      </c>
      <c r="E6" s="34">
        <v>1</v>
      </c>
      <c r="F6" s="34">
        <v>1</v>
      </c>
      <c r="G6" s="34"/>
    </row>
    <row r="7" spans="1:9" x14ac:dyDescent="0.75">
      <c r="A7" s="109">
        <v>1</v>
      </c>
      <c r="B7" s="112" t="s">
        <v>1031</v>
      </c>
      <c r="C7" s="111" t="s">
        <v>858</v>
      </c>
      <c r="D7" s="111" t="s">
        <v>858</v>
      </c>
      <c r="E7" s="111">
        <v>0</v>
      </c>
      <c r="F7" s="111" t="s">
        <v>20</v>
      </c>
      <c r="G7" s="111" t="s">
        <v>5</v>
      </c>
      <c r="H7" s="111"/>
      <c r="I7" s="111"/>
    </row>
    <row r="8" spans="1:9" ht="59" x14ac:dyDescent="0.75">
      <c r="A8" s="109">
        <v>2</v>
      </c>
      <c r="B8" s="112" t="s">
        <v>1024</v>
      </c>
      <c r="C8" s="111" t="s">
        <v>862</v>
      </c>
      <c r="D8" s="112" t="s">
        <v>861</v>
      </c>
      <c r="E8" s="111">
        <v>0</v>
      </c>
      <c r="F8" s="111">
        <v>1</v>
      </c>
      <c r="G8" s="111" t="s">
        <v>1</v>
      </c>
      <c r="H8" s="111"/>
      <c r="I8" s="111"/>
    </row>
    <row r="9" spans="1:9" x14ac:dyDescent="0.75">
      <c r="A9" s="109">
        <v>3</v>
      </c>
      <c r="B9" s="112" t="s">
        <v>1042</v>
      </c>
      <c r="C9" s="111" t="s">
        <v>1043</v>
      </c>
      <c r="D9" s="111" t="s">
        <v>1043</v>
      </c>
      <c r="E9" s="111">
        <v>0</v>
      </c>
      <c r="F9" s="111">
        <v>1</v>
      </c>
      <c r="G9" s="111" t="s">
        <v>3</v>
      </c>
      <c r="H9" s="111"/>
      <c r="I9" s="111"/>
    </row>
    <row r="10" spans="1:9" ht="59" x14ac:dyDescent="0.75">
      <c r="A10" s="109">
        <v>4</v>
      </c>
      <c r="B10" s="112" t="s">
        <v>1025</v>
      </c>
      <c r="C10" s="111" t="s">
        <v>859</v>
      </c>
      <c r="D10" s="112" t="s">
        <v>860</v>
      </c>
      <c r="E10" s="111">
        <v>0</v>
      </c>
      <c r="F10" s="111">
        <v>1</v>
      </c>
      <c r="G10" s="111" t="s">
        <v>3</v>
      </c>
      <c r="H10" s="111"/>
      <c r="I10" s="111"/>
    </row>
    <row r="11" spans="1:9" x14ac:dyDescent="0.75">
      <c r="A11" s="109">
        <v>5</v>
      </c>
      <c r="B11" s="112" t="s">
        <v>1026</v>
      </c>
      <c r="C11" s="115" t="s">
        <v>870</v>
      </c>
      <c r="D11" s="111" t="s">
        <v>250</v>
      </c>
      <c r="E11" s="111">
        <v>0</v>
      </c>
      <c r="F11" s="111">
        <v>1</v>
      </c>
      <c r="G11" s="111" t="s">
        <v>3</v>
      </c>
      <c r="H11" s="111"/>
      <c r="I11" s="111"/>
    </row>
    <row r="12" spans="1:9" ht="44.25" x14ac:dyDescent="0.75">
      <c r="A12" s="109">
        <v>6</v>
      </c>
      <c r="B12" s="112" t="s">
        <v>1103</v>
      </c>
      <c r="C12" s="111" t="s">
        <v>1098</v>
      </c>
      <c r="D12" s="112" t="s">
        <v>1099</v>
      </c>
      <c r="E12" s="111">
        <v>0</v>
      </c>
      <c r="F12" s="111">
        <v>1</v>
      </c>
      <c r="G12" s="111" t="s">
        <v>2</v>
      </c>
      <c r="H12" s="111"/>
      <c r="I12" s="111"/>
    </row>
    <row r="13" spans="1:9" x14ac:dyDescent="0.75">
      <c r="A13" s="109">
        <v>7</v>
      </c>
      <c r="B13" s="112" t="s">
        <v>1027</v>
      </c>
      <c r="C13" s="115" t="s">
        <v>863</v>
      </c>
      <c r="D13" s="115" t="s">
        <v>863</v>
      </c>
      <c r="E13" s="111">
        <v>0</v>
      </c>
      <c r="F13" s="111">
        <v>1</v>
      </c>
      <c r="G13" s="111" t="s">
        <v>1</v>
      </c>
      <c r="H13" s="111"/>
      <c r="I13" s="111"/>
    </row>
    <row r="14" spans="1:9" x14ac:dyDescent="0.75">
      <c r="A14" s="109">
        <v>8</v>
      </c>
      <c r="B14" s="112" t="s">
        <v>1028</v>
      </c>
      <c r="C14" s="115" t="s">
        <v>864</v>
      </c>
      <c r="D14" s="115" t="s">
        <v>864</v>
      </c>
      <c r="E14" s="111">
        <v>0</v>
      </c>
      <c r="F14" s="111">
        <v>1</v>
      </c>
      <c r="G14" s="111" t="s">
        <v>1</v>
      </c>
      <c r="H14" s="111"/>
      <c r="I14" s="111"/>
    </row>
    <row r="15" spans="1:9" x14ac:dyDescent="0.75">
      <c r="A15" s="109">
        <v>9</v>
      </c>
      <c r="B15" s="112" t="s">
        <v>1029</v>
      </c>
      <c r="C15" s="115" t="s">
        <v>871</v>
      </c>
      <c r="D15" s="115" t="s">
        <v>871</v>
      </c>
      <c r="E15" s="111">
        <v>0</v>
      </c>
      <c r="F15" s="111">
        <v>1</v>
      </c>
      <c r="G15" s="111" t="s">
        <v>1</v>
      </c>
      <c r="H15" s="111"/>
      <c r="I15" s="111"/>
    </row>
    <row r="16" spans="1:9" x14ac:dyDescent="0.75">
      <c r="A16" s="109">
        <v>10</v>
      </c>
      <c r="B16" s="112" t="s">
        <v>1030</v>
      </c>
      <c r="C16" s="115" t="s">
        <v>865</v>
      </c>
      <c r="D16" s="115" t="s">
        <v>865</v>
      </c>
      <c r="E16" s="111">
        <v>0</v>
      </c>
      <c r="F16" s="111">
        <v>1</v>
      </c>
      <c r="G16" s="111" t="s">
        <v>1</v>
      </c>
      <c r="H16" s="111"/>
      <c r="I16" s="111"/>
    </row>
    <row r="17" spans="1:9" x14ac:dyDescent="0.75">
      <c r="A17" s="109">
        <v>11</v>
      </c>
      <c r="B17" s="112" t="s">
        <v>1093</v>
      </c>
      <c r="C17" s="115" t="s">
        <v>1094</v>
      </c>
      <c r="D17" s="115" t="s">
        <v>1094</v>
      </c>
      <c r="E17" s="111">
        <v>0</v>
      </c>
      <c r="F17" s="111">
        <v>1</v>
      </c>
      <c r="G17" s="111" t="s">
        <v>5</v>
      </c>
      <c r="H17" s="111"/>
      <c r="I17" s="111"/>
    </row>
    <row r="18" spans="1:9" x14ac:dyDescent="0.75">
      <c r="A18" s="109">
        <v>12</v>
      </c>
      <c r="B18" s="112" t="s">
        <v>1100</v>
      </c>
      <c r="C18" s="112" t="s">
        <v>866</v>
      </c>
      <c r="D18" s="112" t="s">
        <v>866</v>
      </c>
      <c r="E18" s="111">
        <v>0</v>
      </c>
      <c r="F18" s="111">
        <v>1</v>
      </c>
      <c r="G18" s="111" t="s">
        <v>5</v>
      </c>
      <c r="H18" s="111"/>
      <c r="I18" s="111"/>
    </row>
    <row r="19" spans="1:9" x14ac:dyDescent="0.75">
      <c r="A19" s="109">
        <v>13</v>
      </c>
      <c r="B19" s="112" t="s">
        <v>1101</v>
      </c>
      <c r="C19" s="112" t="s">
        <v>867</v>
      </c>
      <c r="D19" s="112" t="s">
        <v>867</v>
      </c>
      <c r="E19" s="111">
        <v>1</v>
      </c>
      <c r="F19" s="111">
        <v>1</v>
      </c>
      <c r="G19" s="111" t="s">
        <v>2</v>
      </c>
      <c r="I19" s="111"/>
    </row>
    <row r="20" spans="1:9" x14ac:dyDescent="0.75">
      <c r="A20" s="109">
        <v>14</v>
      </c>
      <c r="B20" s="112" t="s">
        <v>1102</v>
      </c>
      <c r="C20" s="112" t="s">
        <v>868</v>
      </c>
      <c r="D20" s="112" t="s">
        <v>868</v>
      </c>
      <c r="E20" s="111">
        <v>1</v>
      </c>
      <c r="F20" s="111">
        <v>1</v>
      </c>
      <c r="G20" s="111" t="s">
        <v>1</v>
      </c>
      <c r="H20" s="111"/>
      <c r="I20" s="111"/>
    </row>
    <row r="21" spans="1:9" x14ac:dyDescent="0.75">
      <c r="A21" s="109">
        <v>15</v>
      </c>
      <c r="B21" s="112" t="s">
        <v>1095</v>
      </c>
      <c r="C21" s="111" t="s">
        <v>872</v>
      </c>
      <c r="D21" s="111" t="s">
        <v>872</v>
      </c>
      <c r="E21" s="111">
        <v>0</v>
      </c>
      <c r="F21" s="111">
        <v>1</v>
      </c>
      <c r="G21" s="111" t="s">
        <v>1</v>
      </c>
      <c r="H21" s="111"/>
      <c r="I21" s="111"/>
    </row>
    <row r="22" spans="1:9" ht="29.5" x14ac:dyDescent="0.75">
      <c r="A22" s="109">
        <v>16</v>
      </c>
      <c r="B22" s="112" t="s">
        <v>1096</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1073</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1041</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1032</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1097</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1044</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1045</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1046</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44.25" x14ac:dyDescent="0.75">
      <c r="A13" s="111">
        <v>0</v>
      </c>
      <c r="B13" s="111">
        <f>'Flt-1'!A11</f>
        <v>5</v>
      </c>
      <c r="C13" s="112" t="str">
        <f>'Flt-1'!B11</f>
        <v>followedProtocol.arm</v>
      </c>
      <c r="D13" s="112" t="s">
        <v>1147</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1033</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1037</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1038</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1039</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1040</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1034</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1035</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1036</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1114</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1115</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1119</v>
      </c>
    </row>
    <row r="3" spans="1:9" x14ac:dyDescent="0.75">
      <c r="B3" s="118" t="s">
        <v>34</v>
      </c>
      <c r="C3" s="123" t="s">
        <v>36</v>
      </c>
      <c r="D3" s="56"/>
    </row>
    <row r="4" spans="1:9" ht="15.5" thickBot="1" x14ac:dyDescent="0.9">
      <c r="B4" s="119" t="s">
        <v>52</v>
      </c>
      <c r="C4" s="124" t="s">
        <v>1049</v>
      </c>
      <c r="D4" s="57"/>
    </row>
    <row r="5" spans="1:9" x14ac:dyDescent="0.75">
      <c r="C5" s="3" t="s">
        <v>7</v>
      </c>
      <c r="D5" s="4" t="s">
        <v>8</v>
      </c>
      <c r="E5" s="11" t="s">
        <v>17</v>
      </c>
      <c r="F5" s="11" t="s">
        <v>18</v>
      </c>
      <c r="G5" s="11" t="s">
        <v>19</v>
      </c>
      <c r="H5" s="177" t="s">
        <v>888</v>
      </c>
      <c r="I5" s="177"/>
    </row>
    <row r="6" spans="1:9" ht="15.5" thickBot="1" x14ac:dyDescent="0.9">
      <c r="A6" s="109">
        <v>0</v>
      </c>
      <c r="B6" s="124" t="s">
        <v>1049</v>
      </c>
      <c r="C6" s="16" t="s">
        <v>66</v>
      </c>
      <c r="D6" s="16" t="s">
        <v>66</v>
      </c>
      <c r="E6" s="34">
        <v>1</v>
      </c>
      <c r="F6" s="34">
        <v>1</v>
      </c>
      <c r="G6" s="34"/>
    </row>
    <row r="7" spans="1:9" x14ac:dyDescent="0.75">
      <c r="A7" s="109">
        <v>1</v>
      </c>
      <c r="B7" s="111" t="s">
        <v>35</v>
      </c>
      <c r="C7" s="112" t="s">
        <v>1058</v>
      </c>
      <c r="D7" s="112" t="s">
        <v>1058</v>
      </c>
      <c r="E7" s="111">
        <v>0</v>
      </c>
      <c r="F7" s="111">
        <v>1</v>
      </c>
      <c r="G7" s="111" t="s">
        <v>0</v>
      </c>
      <c r="H7" s="111"/>
      <c r="I7" s="111"/>
    </row>
    <row r="8" spans="1:9" x14ac:dyDescent="0.75">
      <c r="A8" s="109">
        <v>2</v>
      </c>
      <c r="B8" s="48" t="s">
        <v>896</v>
      </c>
      <c r="C8" s="138" t="s">
        <v>1050</v>
      </c>
      <c r="D8" s="112" t="s">
        <v>1050</v>
      </c>
      <c r="E8" s="111">
        <v>0</v>
      </c>
      <c r="F8" s="111">
        <v>1</v>
      </c>
      <c r="G8" s="111" t="s">
        <v>0</v>
      </c>
      <c r="H8" s="111"/>
      <c r="I8" s="111"/>
    </row>
    <row r="9" spans="1:9" ht="29.5" x14ac:dyDescent="0.75">
      <c r="A9" s="109">
        <v>4</v>
      </c>
      <c r="B9" s="48" t="s">
        <v>4</v>
      </c>
      <c r="C9" s="138" t="s">
        <v>1079</v>
      </c>
      <c r="D9" s="112" t="s">
        <v>715</v>
      </c>
      <c r="E9" s="111">
        <v>0</v>
      </c>
      <c r="F9" s="111">
        <v>1</v>
      </c>
      <c r="G9" s="111" t="s">
        <v>2</v>
      </c>
      <c r="H9" s="111"/>
      <c r="I9" s="111"/>
    </row>
    <row r="10" spans="1:9" ht="59" x14ac:dyDescent="0.75">
      <c r="A10" s="109">
        <v>3</v>
      </c>
      <c r="B10" s="48" t="s">
        <v>47</v>
      </c>
      <c r="C10" s="138" t="s">
        <v>1053</v>
      </c>
      <c r="D10" s="112" t="s">
        <v>1047</v>
      </c>
      <c r="E10" s="111">
        <v>0</v>
      </c>
      <c r="F10" s="111">
        <v>1</v>
      </c>
      <c r="G10" s="111" t="s">
        <v>1</v>
      </c>
      <c r="H10" s="111"/>
      <c r="I10" s="111"/>
    </row>
    <row r="11" spans="1:9" x14ac:dyDescent="0.75">
      <c r="A11" s="109">
        <v>5</v>
      </c>
      <c r="B11" s="138" t="s">
        <v>1052</v>
      </c>
      <c r="C11" s="138" t="s">
        <v>1051</v>
      </c>
      <c r="D11" s="112" t="s">
        <v>1048</v>
      </c>
      <c r="E11" s="111">
        <v>0</v>
      </c>
      <c r="F11" s="111">
        <v>1</v>
      </c>
      <c r="G11" s="111" t="s">
        <v>1</v>
      </c>
      <c r="H11" s="111"/>
      <c r="I11" s="111"/>
    </row>
    <row r="12" spans="1:9" x14ac:dyDescent="0.75">
      <c r="A12" s="109">
        <v>6</v>
      </c>
      <c r="B12" s="138" t="s">
        <v>1054</v>
      </c>
      <c r="C12" s="138" t="s">
        <v>721</v>
      </c>
      <c r="D12" s="112" t="s">
        <v>1089</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1116</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904</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1055</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1056</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1057</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1117</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1113</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909</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905</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910</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906</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908</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907</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2022-10-23T09:54:58Z</dcterms:modified>
</cp:coreProperties>
</file>