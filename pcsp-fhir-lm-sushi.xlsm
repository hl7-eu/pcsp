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1" documentId="13_ncr:1_{2B58E75B-B927-4D6E-9555-1614D6767EFB}" xr6:coauthVersionLast="47" xr6:coauthVersionMax="47" xr10:uidLastSave="{FA2CFF91-BF84-41A0-BFF5-FEDE2B57DE15}"/>
  <bookViews>
    <workbookView xWindow="8100" yWindow="-17388" windowWidth="30936" windowHeight="16776" tabRatio="819" firstSheet="23" activeTab="26"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6" i="78" a="1"/>
  <c r="D6" i="78" s="1"/>
  <c r="D7" i="78" a="1"/>
  <c r="D7" i="78"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3" i="78" a="1"/>
  <c r="D33" i="78" s="1"/>
  <c r="D34" i="78" a="1"/>
  <c r="D34" i="78" s="1"/>
  <c r="D35" i="78" a="1"/>
  <c r="D35" i="78" s="1"/>
  <c r="D35" i="81" s="1"/>
  <c r="D36" i="78" a="1"/>
  <c r="D36" i="78" s="1"/>
  <c r="D37" i="78" a="1"/>
  <c r="D37" i="78" s="1"/>
  <c r="D38" i="78" a="1"/>
  <c r="D38" i="78" s="1"/>
  <c r="D38" i="81" s="1"/>
  <c r="D41" i="78" a="1"/>
  <c r="D41" i="78" s="1"/>
  <c r="D41" i="81" s="1"/>
  <c r="D42" i="78" a="1"/>
  <c r="D42" i="78" s="1"/>
  <c r="D43" i="78" a="1"/>
  <c r="D43" i="78"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J9" i="77"/>
  <c r="J10" i="77"/>
  <c r="J12" i="77"/>
  <c r="D19" i="78" s="1" a="1"/>
  <c r="D19" i="78" s="1"/>
  <c r="J17" i="77"/>
  <c r="J18" i="77"/>
  <c r="J20" i="77"/>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I9" i="77"/>
  <c r="I10" i="77"/>
  <c r="I17" i="77"/>
  <c r="I18" i="77"/>
  <c r="I2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H18" i="77"/>
  <c r="H19" i="77"/>
  <c r="I19" i="77" s="1"/>
  <c r="D39" i="78" s="1" a="1"/>
  <c r="D39" i="78" s="1"/>
  <c r="H20" i="77"/>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J26" i="77" l="1"/>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22" i="92" l="1"/>
  <c r="I13" i="92"/>
  <c r="H43" i="92"/>
  <c r="H36" i="92"/>
  <c r="I38" i="92"/>
  <c r="H41" i="92"/>
  <c r="H21" i="92"/>
  <c r="I29" i="92"/>
  <c r="I34" i="92"/>
  <c r="H17" i="92"/>
  <c r="H37" i="92"/>
  <c r="H9" i="92"/>
  <c r="I40" i="92"/>
  <c r="I33" i="92"/>
  <c r="H20" i="92"/>
  <c r="I27" i="92"/>
  <c r="H25" i="92"/>
  <c r="I30" i="92"/>
  <c r="I18" i="92"/>
  <c r="I14" i="92"/>
  <c r="H12" i="92"/>
  <c r="I10" i="92"/>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<sst xmlns="http://schemas.openxmlformats.org/spreadsheetml/2006/main" count="2915" uniqueCount="1243">
  <si>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</si>
  <si>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</si>
  <si>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</si>
  <si>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</si>
  <si>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</si>
  <si>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</si>
  <si>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</si>
  <si>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</si>
  <si>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</si>
  <si>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</si>
  <si>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</si>
  <si>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</si>
  <si>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</si>
  <si>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</si>
  <si>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</si>
  <si>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</si>
  <si>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</si>
  <si>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</si>
  <si>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</si>
  <si>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</si>
  <si>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</si>
  <si>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</si>
  <si>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</si>
  <si>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</si>
  <si>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</si>
  <si>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</si>
  <si>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</si>
  <si>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</si>
  <si>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</si>
  <si>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</si>
  <si>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</si>
  <si>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</si>
  <si>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</si>
  <si>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</si>
  <si>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</si>
  <si>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</si>
  <si>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</si>
  <si>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</si>
  <si>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</si>
  <si>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</si>
  <si>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</si>
  <si>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</si>
  <si>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</si>
  <si>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</si>
  <si>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</si>
  <si>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</si>
  <si>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</si>
  <si>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</si>
  <si>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</si>
  <si>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</si>
  <si>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</si>
  <si>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</si>
  <si>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</si>
  <si>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</si>
  <si>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</si>
  <si>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</si>
  <si>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</si>
  <si>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</si>
  <si>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</si>
  <si>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</si>
  <si>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</si>
  <si>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</si>
  <si>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</si>
  <si>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</si>
  <si>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</si>
  <si>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</si>
  <si>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</si>
  <si>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</si>
  <si>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</si>
  <si>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</si>
  <si>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</si>
  <si>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</si>
  <si>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</si>
  <si>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</si>
  <si>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</si>
  <si>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</si>
  <si>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</si>
  <si>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</si>
  <si>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</si>
  <si>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</si>
  <si>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</si>
  <si>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</si>
  <si>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</si>
  <si>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</si>
  <si>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</si>
  <si>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</si>
  <si>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</si>
  <si>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</si>
  <si>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</si>
  <si>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</si>
  <si>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</si>
  <si>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</si>
  <si>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</si>
  <si>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</si>
  <si>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</si>
  <si>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</si>
  <si>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</si>
  <si>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</si>
  <si>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</si>
  <si>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</si>
  <si>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</si>
  <si>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</si>
  <si>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</si>
  <si>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</si>
  <si>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</si>
  <si>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</si>
  <si>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</si>
  <si>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</si>
  <si>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</si>
  <si>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</si>
  <si>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</si>
  <si>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</si>
  <si>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</si>
  <si>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</si>
  <si>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</si>
  <si>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</si>
  <si>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</si>
  <si>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</si>
  <si>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</si>
  <si>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</si>
  <si>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</si>
  <si>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</si>
  <si>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</si>
  <si>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</si>
  <si>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</si>
  <si>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</si>
  <si>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</si>
  <si>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</si>
  <si>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</si>
  <si>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</si>
  <si>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</si>
  <si>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</si>
  <si>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</si>
  <si>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</si>
  <si>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</si>
  <si>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</si>
  <si>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</si>
  <si>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</si>
  <si>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</si>
  <si>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</si>
  <si>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</si>
  <si>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</si>
  <si>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</si>
  <si>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</si>
  <si>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</si>
  <si>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</si>
  <si>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</si>
  <si>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</si>
  <si>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</si>
  <si>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</si>
  <si>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</si>
  <si>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</si>
  <si>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</si>
  <si>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</si>
  <si>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</si>
  <si>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</si>
  <si>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</si>
  <si>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</si>
  <si>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</si>
  <si>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</si>
  <si>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</si>
  <si>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</si>
  <si>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</si>
  <si>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</si>
  <si>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</si>
  <si>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</si>
  <si>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</si>
  <si>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</si>
  <si>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</si>
  <si>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</si>
  <si>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</si>
  <si>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</si>
  <si>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</si>
  <si>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</si>
  <si>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</si>
  <si>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</si>
  <si>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</si>
  <si>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</si>
  <si>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</si>
  <si>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</si>
  <si>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</si>
  <si>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</si>
  <si>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</si>
  <si>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</si>
  <si>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</si>
  <si>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</si>
  <si>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</si>
  <si>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</si>
  <si>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</si>
  <si>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</si>
  <si>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</si>
  <si>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</si>
  <si>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</si>
  <si>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</si>
  <si>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</si>
  <si>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</si>
  <si>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</si>
  <si>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</si>
  <si>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</si>
  <si>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</si>
  <si>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</si>
  <si>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</si>
  <si>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</si>
  <si>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</si>
  <si>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</si>
  <si>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</si>
  <si>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</si>
  <si>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</si>
  <si>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</si>
  <si>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</si>
  <si>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</si>
  <si>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</si>
  <si>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</si>
  <si>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</si>
  <si>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</si>
  <si>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</si>
  <si>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</si>
  <si>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</si>
  <si>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</si>
  <si>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</si>
  <si>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</si>
  <si>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</si>
  <si>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</si>
  <si>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</si>
  <si>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</si>
  <si>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</si>
  <si>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</si>
  <si>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</si>
  <si>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</si>
  <si>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</si>
  <si>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</si>
  <si>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</si>
  <si>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</si>
  <si>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</si>
  <si>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</si>
  <si>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</si>
  <si>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</si>
  <si>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</si>
  <si>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</si>
  <si>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</si>
  <si>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</si>
  <si>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</si>
  <si>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</si>
  <si>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</si>
  <si>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</si>
  <si>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</si>
  <si>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</si>
  <si>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</si>
  <si>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</si>
  <si>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</si>
  <si>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</si>
  <si>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</si>
  <si>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</si>
  <si>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</si>
  <si>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</si>
  <si>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</si>
  <si>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</si>
  <si>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</si>
  <si>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</si>
  <si>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</si>
  <si>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</si>
  <si>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</si>
  <si>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</si>
  <si>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</si>
  <si>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</si>
  <si>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</si>
  <si>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</si>
  <si>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</si>
  <si>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</si>
  <si>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</si>
  <si>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</si>
  <si>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</si>
  <si>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</si>
  <si>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</si>
  <si>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</si>
  <si>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</si>
  <si>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</si>
  <si>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</si>
  <si>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</si>
  <si>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</si>
  <si>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</si>
  <si>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</si>
  <si>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</si>
  <si>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</si>
  <si>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</si>
  <si>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</si>
  <si>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</si>
  <si>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</si>
  <si>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</si>
  <si>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</si>
  <si>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</si>
  <si>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</si>
  <si>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</si>
  <si>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</si>
  <si>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</si>
  <si>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</si>
  <si>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</si>
  <si>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</si>
  <si>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</si>
  <si>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</si>
  <si>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</si>
  <si>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</si>
  <si>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</si>
  <si>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</si>
  <si>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</si>
  <si>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</si>
  <si>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</si>
  <si>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</si>
  <si>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</si>
  <si>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</si>
  <si>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</si>
  <si>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</si>
  <si>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</si>
  <si>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</si>
  <si>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</si>
  <si>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</si>
  <si>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</si>
  <si>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</si>
  <si>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</si>
  <si>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</si>
  <si>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</si>
  <si>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</si>
  <si>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</si>
  <si>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</si>
  <si>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</si>
  <si>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</si>
  <si>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</si>
  <si>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</si>
  <si>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</si>
  <si>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</si>
  <si>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</si>
  <si>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</si>
  <si>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</si>
  <si>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</si>
  <si>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</si>
  <si>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</si>
  <si>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</si>
  <si>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</si>
  <si>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</si>
  <si>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</si>
  <si>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</si>
  <si>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</si>
  <si>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</si>
  <si>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</si>
  <si>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</si>
  <si>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</si>
  <si>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</si>
  <si>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</si>
  <si>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</si>
  <si>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</si>
  <si>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</si>
  <si>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</si>
  <si>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</si>
  <si>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</si>
  <si>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</si>
  <si>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</si>
  <si>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</si>
  <si>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</si>
  <si>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</si>
  <si>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</si>
  <si>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</si>
  <si>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</si>
  <si>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</si>
  <si>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</si>
  <si>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</si>
  <si>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</si>
  <si>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</si>
  <si>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</si>
  <si>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</si>
  <si>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</si>
  <si>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</si>
  <si>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</si>
  <si>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</si>
  <si>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</si>
  <si>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</si>
  <si>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</si>
  <si>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</si>
  <si>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</si>
  <si>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</si>
  <si>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</si>
  <si>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</si>
  <si>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</si>
  <si>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</si>
  <si>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</si>
  <si>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</si>
  <si>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</si>
  <si>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</si>
  <si>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</si>
  <si>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</si>
  <si>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</si>
  <si>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</si>
  <si>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</si>
  <si>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</si>
  <si>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</si>
  <si>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</si>
  <si>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</si>
  <si>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</si>
  <si>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</si>
  <si>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</si>
  <si>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</si>
  <si>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</si>
  <si>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</si>
  <si>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</si>
  <si>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</si>
  <si>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</si>
  <si>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</si>
  <si>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</si>
  <si>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</si>
  <si>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</si>
  <si>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</si>
  <si>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</si>
  <si>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</si>
  <si>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</si>
  <si>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</si>
  <si>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</si>
  <si>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</si>
  <si>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</si>
  <si>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</si>
  <si>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</si>
  <si>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</si>
  <si>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</si>
  <si>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</si>
  <si>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</si>
  <si>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</si>
  <si>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</si>
  <si>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</si>
  <si>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</si>
  <si>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</si>
  <si>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</si>
  <si>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</si>
  <si>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</si>
  <si>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</si>
  <si>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</si>
  <si>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</si>
  <si>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</si>
  <si>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</si>
  <si>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</si>
  <si>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</si>
  <si>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</si>
  <si>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</si>
  <si>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</si>
  <si>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</si>
  <si>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</si>
  <si>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</si>
  <si>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</si>
  <si>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</si>
  <si>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</si>
  <si>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</si>
  <si>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</si>
  <si>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</si>
  <si>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</si>
  <si>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</si>
  <si>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</si>
  <si>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</si>
  <si>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</si>
  <si>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</si>
  <si>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</si>
  <si>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</si>
  <si>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</si>
  <si>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</si>
  <si>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</si>
  <si>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</si>
  <si>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</si>
  <si>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</si>
  <si>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</si>
  <si>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</si>
  <si>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</si>
  <si>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</si>
  <si>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</si>
  <si>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</si>
  <si>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</si>
  <si>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</si>
  <si>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</si>
  <si>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</si>
  <si>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</si>
  <si>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</si>
  <si>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</si>
  <si>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</si>
  <si>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</si>
  <si>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</si>
  <si>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</si>
  <si>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</si>
  <si>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</si>
  <si>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</si>
  <si>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</si>
  <si>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</si>
  <si>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</si>
  <si>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</si>
  <si>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</si>
  <si>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</si>
  <si>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</si>
  <si>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</si>
  <si>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</si>
  <si>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</si>
  <si>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</si>
  <si>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</si>
  <si>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</si>
  <si>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</si>
  <si>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</si>
  <si>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</si>
  <si>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</si>
  <si>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</si>
  <si>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</si>
  <si>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</si>
  <si>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</si>
  <si>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</si>
  <si>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</si>
  <si>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</si>
  <si>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</si>
  <si>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</si>
  <si>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</si>
  <si>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</si>
  <si>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</si>
  <si>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</si>
  <si>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</si>
  <si>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</si>
  <si>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</si>
  <si>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</si>
  <si>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</si>
  <si>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</si>
  <si>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</si>
  <si>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</si>
  <si>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</si>
  <si>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</si>
  <si>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</si>
  <si>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</si>
  <si>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</si>
  <si>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</si>
  <si>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</si>
  <si>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</si>
  <si>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</si>
  <si>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</si>
  <si>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</si>
  <si>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</si>
  <si>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</si>
  <si>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</si>
  <si>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</si>
  <si>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</si>
  <si>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</si>
  <si>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</si>
  <si>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</si>
  <si>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</si>
  <si>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</si>
  <si>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</si>
  <si>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</si>
  <si>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</si>
  <si>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</si>
  <si>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</si>
  <si>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</si>
  <si>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</si>
  <si>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</si>
  <si>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</si>
  <si>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</si>
  <si>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</si>
  <si>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</si>
  <si>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</si>
  <si>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</si>
  <si>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</si>
  <si>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</si>
  <si>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</si>
  <si>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</si>
  <si>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</si>
  <si>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</si>
  <si>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</si>
  <si>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</si>
  <si>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</si>
  <si>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</si>
  <si>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</si>
  <si>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</si>
  <si>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</si>
  <si>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</si>
  <si>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</si>
  <si>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</si>
  <si>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</si>
  <si>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</si>
  <si>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</si>
  <si>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</si>
  <si>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</si>
  <si>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</si>
  <si>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</si>
  <si>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</si>
  <si>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</si>
  <si>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</si>
  <si>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</si>
  <si>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</si>
  <si>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</si>
  <si>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</si>
  <si>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</si>
  <si>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</si>
  <si>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</si>
  <si>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</si>
  <si>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</si>
  <si>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</si>
  <si>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</si>
  <si>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</si>
  <si>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</si>
  <si>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</si>
  <si>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</si>
  <si>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</si>
  <si>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</si>
  <si>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</si>
  <si>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</si>
  <si>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</si>
  <si>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</si>
  <si>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</si>
  <si>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</si>
  <si>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</si>
  <si>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</si>
  <si>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</si>
  <si>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</si>
  <si>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</si>
  <si>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</si>
  <si>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</si>
  <si>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</si>
  <si>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</si>
  <si>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</si>
  <si>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</si>
  <si>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</si>
  <si>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</si>
  <si>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</si>
  <si>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</si>
  <si>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</si>
  <si>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</si>
  <si>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</si>
  <si>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</si>
  <si>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</si>
  <si>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</si>
  <si>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</si>
  <si>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</si>
  <si>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</si>
  <si>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</si>
  <si>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</si>
  <si>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</si>
  <si>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</si>
  <si>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</si>
  <si>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</si>
  <si>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</si>
  <si>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</si>
  <si>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</si>
  <si>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</si>
  <si>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</si>
  <si>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</si>
  <si>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</si>
  <si>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</si>
  <si>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</si>
  <si>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</si>
  <si>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</si>
  <si>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</si>
  <si>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</si>
  <si>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</si>
  <si>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</si>
  <si>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</si>
  <si>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</si>
  <si>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</si>
  <si>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</si>
  <si>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</si>
  <si>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</si>
  <si>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</si>
  <si>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</si>
  <si>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</si>
  <si>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</si>
  <si>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</si>
  <si>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</si>
  <si>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</si>
  <si>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</si>
  <si>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</si>
  <si>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</si>
  <si>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</si>
  <si>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</si>
  <si>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</si>
  <si>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</si>
  <si>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</si>
  <si>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</si>
  <si>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</si>
  <si>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</si>
  <si>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</si>
  <si>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</si>
  <si>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</si>
  <si>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</si>
  <si>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</si>
  <si>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</si>
  <si>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</si>
  <si>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</si>
  <si>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</si>
  <si>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</si>
  <si>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</si>
  <si>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</si>
  <si>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</si>
  <si>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</si>
  <si>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</si>
  <si>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</si>
  <si>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</si>
  <si>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</si>
  <si>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</si>
  <si>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</si>
  <si>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</si>
  <si>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</si>
  <si>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</si>
  <si>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</si>
  <si>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</si>
  <si>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</si>
  <si>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</si>
  <si>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</si>
  <si>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</si>
  <si>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</si>
  <si>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</si>
  <si>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</si>
  <si>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</si>
  <si>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</si>
  <si>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</si>
  <si>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</si>
  <si>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</si>
  <si>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</si>
  <si>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</si>
  <si>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</si>
  <si>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</si>
  <si>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</si>
  <si>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</si>
  <si>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</si>
  <si>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</si>
  <si>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</si>
  <si>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</si>
  <si>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</si>
  <si>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</si>
  <si>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</si>
  <si>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</si>
  <si>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</si>
  <si>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</si>
  <si>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</si>
  <si>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</si>
  <si>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</si>
  <si>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</si>
  <si>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</si>
  <si>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</si>
  <si>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</si>
  <si>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</si>
  <si>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</si>
  <si>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</si>
  <si>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</si>
  <si>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</si>
  <si>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</si>
  <si>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</si>
  <si>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</si>
  <si>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</si>
  <si>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</si>
  <si>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</si>
  <si>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</si>
  <si>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</si>
  <si>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</si>
  <si>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</si>
  <si>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</si>
  <si>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</si>
  <si>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</si>
  <si>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</si>
  <si>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</si>
  <si>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</si>
  <si>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</si>
  <si>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</si>
  <si>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</si>
  <si>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</si>
  <si>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</si>
  <si>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</si>
  <si>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</si>
  <si>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</si>
  <si>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</si>
  <si>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</si>
  <si>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</si>
  <si>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</si>
  <si>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</si>
  <si>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</si>
  <si>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</si>
  <si>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</si>
  <si>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</si>
  <si>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</si>
  <si>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</si>
  <si>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</si>
  <si>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</si>
  <si>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</si>
  <si>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</si>
  <si>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</si>
  <si>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</si>
  <si>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</si>
  <si>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</si>
  <si>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</si>
  <si>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</si>
  <si>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</si>
  <si>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</si>
  <si>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</si>
  <si>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</si>
  <si>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</si>
  <si>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</si>
  <si>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</si>
  <si>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</si>
  <si>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</si>
  <si>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</si>
  <si>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</si>
  <si>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</si>
  <si>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</si>
  <si>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</si>
  <si>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</si>
  <si>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</si>
  <si>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</si>
  <si>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</si>
  <si>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</si>
  <si>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</si>
  <si>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</si>
  <si>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</si>
  <si>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</si>
  <si>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</si>
  <si>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</si>
  <si>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</si>
  <si>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</si>
  <si>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</si>
  <si>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</si>
  <si>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</si>
  <si>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</si>
  <si>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</si>
  <si>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</si>
  <si>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</si>
  <si>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</si>
  <si>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</si>
  <si>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</si>
  <si>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</si>
  <si>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</si>
  <si>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</si>
  <si>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</si>
  <si>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</si>
  <si>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</si>
  <si>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</si>
  <si>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</si>
  <si>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</si>
  <si>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</si>
  <si>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</si>
  <si>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</si>
  <si>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</si>
  <si>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</si>
  <si>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</si>
  <si>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</si>
  <si>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</si>
  <si>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</si>
  <si>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</si>
  <si>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</si>
  <si>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</si>
  <si>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</si>
  <si>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</si>
  <si>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</si>
  <si>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</si>
  <si>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</si>
  <si>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</si>
  <si>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</si>
  <si>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</si>
  <si>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</si>
  <si>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</si>
  <si>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</si>
  <si>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</si>
  <si>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</si>
  <si>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</si>
  <si>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</si>
  <si>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</si>
  <si>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</si>
  <si>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</si>
  <si>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</si>
  <si>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</si>
  <si>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</si>
  <si>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</si>
  <si>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</si>
  <si>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</si>
  <si>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</si>
  <si>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</si>
  <si>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</si>
  <si>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</si>
  <si>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</si>
  <si>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</si>
  <si>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</si>
  <si>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</si>
  <si>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</si>
  <si>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</si>
  <si>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</si>
  <si>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</si>
  <si>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</si>
  <si>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</si>
  <si>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</si>
  <si>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</si>
  <si>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</si>
  <si>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</si>
  <si>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</si>
  <si>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</si>
  <si>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</si>
  <si>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</si>
  <si>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</si>
  <si>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</si>
  <si>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</si>
  <si>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</si>
  <si>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</si>
  <si>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</si>
  <si>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</si>
  <si>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</si>
  <si>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</si>
  <si>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</si>
  <si>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</si>
  <si>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</si>
  <si>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</si>
  <si>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</si>
  <si>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</si>
  <si>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</si>
  <si>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</si>
  <si>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</si>
  <si>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</si>
  <si>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</si>
  <si>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</si>
  <si>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</si>
  <si>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</si>
  <si>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</si>
  <si>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</si>
  <si>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</si>
  <si>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</si>
  <si>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</si>
  <si>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</si>
  <si>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</si>
  <si>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</si>
  <si>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</si>
  <si>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</si>
  <si>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</si>
  <si>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</si>
  <si>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</si>
  <si>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</si>
  <si>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</si>
  <si>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</si>
  <si>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</si>
  <si>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</si>
  <si>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</si>
  <si>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</si>
  <si>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</si>
  <si>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</si>
  <si>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</si>
  <si>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</si>
  <si>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</si>
  <si>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</si>
  <si>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</si>
  <si>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</si>
  <si>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</si>
  <si>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</si>
  <si>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</si>
  <si>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</si>
  <si>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</si>
  <si>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</si>
  <si>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</si>
  <si>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</si>
  <si>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</si>
  <si>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</si>
  <si>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</si>
  <si>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</si>
  <si>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</si>
  <si>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</si>
  <si>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</si>
  <si>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</si>
  <si>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</si>
  <si>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</si>
  <si>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</si>
  <si>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</si>
  <si>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</si>
  <si>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</si>
  <si>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</si>
  <si>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</si>
  <si>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</si>
  <si>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</si>
  <si>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</si>
  <si>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</si>
  <si>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</si>
  <si>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</si>
  <si>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</si>
  <si>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</si>
  <si>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</si>
  <si>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</si>
  <si>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</si>
  <si>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</si>
  <si>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</si>
  <si>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</si>
  <si>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</si>
  <si>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</si>
  <si>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</si>
  <si>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</si>
  <si>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</si>
  <si>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</si>
  <si>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</si>
  <si>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</si>
  <si>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</si>
  <si>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</si>
  <si>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</si>
  <si>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</si>
  <si>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</si>
  <si>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</si>
  <si>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</si>
  <si>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</si>
  <si>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</si>
  <si>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</si>
  <si>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</si>
  <si>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</si>
  <si>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</si>
  <si>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</si>
  <si>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</si>
  <si>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</si>
  <si>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</si>
  <si>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</si>
  <si>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</si>
  <si>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</si>
  <si>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</si>
  <si>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</si>
  <si>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</si>
  <si>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</si>
  <si>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</si>
  <si>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</si>
  <si>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</si>
  <si>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</si>
  <si>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</si>
  <si>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</si>
  <si>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</si>
  <si>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</si>
  <si>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</si>
  <si>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</si>
  <si>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</si>
  <si>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</si>
  <si>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</si>
  <si>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</si>
  <si>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</si>
  <si>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</si>
  <si>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</si>
  <si>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</si>
  <si>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</si>
  <si>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</si>
  <si>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</si>
  <si>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</si>
  <si>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</si>
  <si>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</si>
  <si>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</si>
  <si>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</si>
  <si>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</si>
  <si>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</si>
  <si>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</si>
  <si>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</si>
  <si>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</si>
  <si>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</si>
  <si>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</si>
  <si>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</si>
  <si>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</si>
  <si>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</si>
  <si>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</si>
  <si>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</si>
  <si>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</si>
  <si>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</si>
  <si>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</si>
  <si>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</si>
  <si>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</si>
  <si>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</si>
  <si>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</si>
  <si>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</si>
  <si>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</si>
  <si>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</si>
  <si>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</si>
  <si>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</si>
  <si>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</si>
  <si>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</si>
  <si>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</si>
  <si>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</si>
  <si>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</si>
  <si>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</si>
  <si>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</si>
  <si>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</si>
  <si>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</si>
  <si>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</si>
  <si>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</si>
  <si>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</si>
  <si>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</si>
  <si>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</si>
  <si>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</si>
  <si>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</si>
  <si>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</si>
  <si>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</si>
  <si>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</si>
  <si>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</si>
  <si>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</si>
  <si>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</si>
  <si>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</si>
  <si>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</si>
  <si>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</si>
  <si>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</si>
  <si>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</si>
  <si>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</si>
  <si>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</si>
  <si>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</si>
  <si>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</si>
  <si>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</si>
  <si>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</si>
  <si>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</si>
  <si>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</si>
  <si>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</si>
  <si>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</si>
  <si>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</si>
  <si>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</si>
  <si>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</si>
  <si>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</si>
  <si>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</si>
  <si>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</si>
  <si>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</si>
  <si>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</si>
  <si>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</si>
  <si>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</si>
  <si>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</si>
  <si>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</si>
  <si>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</si>
  <si>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</si>
  <si>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</si>
  <si>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</si>
  <si>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</si>
  <si>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</si>
  <si>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</si>
  <si>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</si>
  <si>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</si>
  <si>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</si>
  <si>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</si>
  <si>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</si>
  <si>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</si>
  <si>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</si>
  <si>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</si>
  <si>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</si>
  <si>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</si>
  <si>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</si>
  <si>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</si>
  <si>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</si>
  <si>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</si>
  <si>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</si>
  <si>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</si>
  <si>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</si>
  <si>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</si>
  <si>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</si>
  <si>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</si>
  <si>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</si>
  <si>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</si>
  <si>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</si>
  <si>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</si>
  <si>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</si>
  <si>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</si>
  <si>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</si>
  <si>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</si>
  <si>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</si>
  <si>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</si>
  <si>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</si>
  <si>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</si>
  <si>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</si>
  <si>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</si>
  <si>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</si>
  <si>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</si>
  <si>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</si>
  <si>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</si>
  <si>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</si>
  <si>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</si>
  <si>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</si>
  <si>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</si>
  <si>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</si>
  <si>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</si>
  <si>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</si>
  <si>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</si>
  <si>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</si>
  <si>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</si>
  <si>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</si>
  <si>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</si>
  <si>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</si>
  <si>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</si>
  <si>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</si>
  <si>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</si>
  <si>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</si>
  <si>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</si>
  <si>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</si>
  <si>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</si>
  <si>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</si>
  <si>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</si>
  <si>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</si>
  <si>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</si>
  <si>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</si>
  <si>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</si>
  <si>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</si>
  <si>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</si>
  <si>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</si>
  <si>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</si>
  <si>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</si>
  <si>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</si>
  <si>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</si>
  <si>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</si>
  <si>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</si>
  <si>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</si>
  <si>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</si>
  <si>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</si>
  <si>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</si>
  <si>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</si>
  <si>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</si>
  <si>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</si>
  <si>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</si>
  <si>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</si>
  <si>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</si>
  <si>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</si>
  <si>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</si>
  <si>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</si>
  <si>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</si>
  <si>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</si>
  <si>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</si>
  <si>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</si>
  <si>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</si>
  <si>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</si>
  <si>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</si>
  <si>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 xml:space="preserve"> .reasonReference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</si>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</sst>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98425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98425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358775</xdr:colOff>
          <xdr:row>1</xdr:row>
          <xdr:rowOff>98425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92075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98425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92075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206375</xdr:colOff>
          <xdr:row>1</xdr:row>
          <xdr:rowOff>98425</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396875</xdr:colOff>
          <xdr:row>1</xdr:row>
          <xdr:rowOff>92075</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358775</xdr:colOff>
          <xdr:row>1</xdr:row>
          <xdr:rowOff>98425</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358775</xdr:colOff>
          <xdr:row>1</xdr:row>
          <xdr:rowOff>98425</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15875</xdr:colOff>
      <xdr:row>19</xdr:row>
      <xdr:rowOff>14534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14534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106" zoomScale="85" zoomScaleNormal="85" workbookViewId="0">
      <selection activeCell="H114" sqref="H114"/>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1036</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workbookViewId="0">
      <selection activeCell="E1" sqref="E1:E599"/>
    </sheetView>
  </sheetViews>
  <sheetFormatPr defaultRowHeight="14.75" x14ac:dyDescent="0.75"/>
  <cols>
    <col min="5" max="5" width="96.86328125" customWidth="1"/>
  </cols>
  <sheetData>
    <row r="1" spans="5:5" x14ac:dyDescent="0.75">
      <c r="E1" s="113" t="str">
        <f>'Radio-Map-all'!D3</f>
        <v>* differential.element[0].mapping[0].identity = "fhir"</v>
      </c>
    </row>
    <row r="2" spans="5:5" x14ac:dyDescent="0.75">
      <c r="E2" s="113" t="str">
        <f>'Radio-Map-all'!D4</f>
        <v>* differential.element[0].mapping[0].map = "Procedure.conformsTo('http://hl7.eu/fhir/ig/pcsp/StructureDefinition/Procedure-radiotheraphy-eu-pcsp')"</v>
      </c>
    </row>
    <row r="3" spans="5:5" x14ac:dyDescent="0.75">
      <c r="E3" s="113" t="str">
        <f>'Radio-Map-all'!D5</f>
        <v/>
      </c>
    </row>
    <row r="4" spans="5:5" x14ac:dyDescent="0.75">
      <c r="E4" s="113" t="str">
        <f>'Radio-Map-all'!D6</f>
        <v>* differential.element[1].mapping[0].identity = "fhir"</v>
      </c>
    </row>
    <row r="5" spans="5:5" x14ac:dyDescent="0.75">
      <c r="E5" s="113" t="str">
        <f>'Radio-Map-all'!D7</f>
        <v>* differential.element[1].mapping[0].map = ".reasonReference"</v>
      </c>
    </row>
    <row r="6" spans="5:5" x14ac:dyDescent="0.75">
      <c r="E6" s="113" t="str">
        <f>'Radio-Map-all'!D8</f>
        <v>* differential.element[1].mapping[0].comment = "note"</v>
      </c>
    </row>
    <row r="7" spans="5:5" x14ac:dyDescent="0.75">
      <c r="E7" s="113" t="str">
        <f>'Radio-Map-all'!D9</f>
        <v>* differential.element[2].mapping[0].identity = "fhir"</v>
      </c>
    </row>
    <row r="8" spans="5:5" x14ac:dyDescent="0.75">
      <c r="E8" s="113" t="str">
        <f>'Radio-Map-all'!D10</f>
        <v>* differential.element[2].mapping[0].map = ".reasonReference"</v>
      </c>
    </row>
    <row r="9" spans="5:5" x14ac:dyDescent="0.75">
      <c r="E9" s="113" t="str">
        <f>'Radio-Map-all'!D11</f>
        <v/>
      </c>
    </row>
    <row r="10" spans="5:5" x14ac:dyDescent="0.75">
      <c r="E10" s="113" t="str">
        <f>'Radio-Map-all'!D12</f>
        <v>* differential.element[3].mapping[0].identity = "fhir"</v>
      </c>
    </row>
    <row r="11" spans="5:5" x14ac:dyDescent="0.75">
      <c r="E11" s="113" t="str">
        <f>'Radio-Map-all'!D13</f>
        <v>* differential.element[3].mapping[0].map = ".identifier"</v>
      </c>
    </row>
    <row r="12" spans="5:5" x14ac:dyDescent="0.75">
      <c r="E12" s="113" t="str">
        <f>'Radio-Map-all'!D14</f>
        <v/>
      </c>
    </row>
    <row r="13" spans="5:5" x14ac:dyDescent="0.75">
      <c r="E13" s="113" t="str">
        <f>'Radio-Map-all'!D15</f>
        <v>* differential.element[4].mapping[0].identity = "fhir"</v>
      </c>
    </row>
    <row r="14" spans="5:5" x14ac:dyDescent="0.75">
      <c r="E14" s="113" t="str">
        <f>'Radio-Map-all'!D16</f>
        <v>* differential.element[4].mapping[0].map = ".location.resolve().conformsTo(http://hl7.eu/fhir/ig/pcsp/StructureDefinition/Location-eu-pcsp)"</v>
      </c>
    </row>
    <row r="15" spans="5:5" x14ac:dyDescent="0.75">
      <c r="E15" s="113" t="str">
        <f>'Radio-Map-all'!D17</f>
        <v/>
      </c>
    </row>
    <row r="16" spans="5:5" x14ac:dyDescent="0.75">
      <c r="E16" s="113" t="str">
        <f>'Radio-Map-all'!D18</f>
        <v>* differential.element[5].mapping[0].identity = "fhir"</v>
      </c>
    </row>
    <row r="17" spans="5:5" x14ac:dyDescent="0.75">
      <c r="E17" s="113" t="str">
        <f>'Radio-Map-all'!D19</f>
        <v>* differential.element[5].mapping[0].map = "Location.description"</v>
      </c>
    </row>
    <row r="18" spans="5:5" x14ac:dyDescent="0.75">
      <c r="E18" s="113" t="str">
        <f>'Radio-Map-all'!D20</f>
        <v/>
      </c>
    </row>
    <row r="19" spans="5:5" x14ac:dyDescent="0.75">
      <c r="E19" s="113" t="str">
        <f>'Radio-Map-all'!D21</f>
        <v>* differential.element[6].mapping[0].identity = "fhir"</v>
      </c>
    </row>
    <row r="20" spans="5:5" x14ac:dyDescent="0.75">
      <c r="E20" s="113" t="str">
        <f>'Radio-Map-all'!D22</f>
        <v>* differential.element[6].mapping[0].map = "Location.name"</v>
      </c>
    </row>
    <row r="21" spans="5:5" x14ac:dyDescent="0.75">
      <c r="E21" s="113" t="str">
        <f>'Radio-Map-all'!D23</f>
        <v/>
      </c>
    </row>
    <row r="22" spans="5:5" x14ac:dyDescent="0.75">
      <c r="E22" s="113" t="str">
        <f>'Radio-Map-all'!D24</f>
        <v>* differential.element[7].mapping[0].identity = "fhir"</v>
      </c>
    </row>
    <row r="23" spans="5:5" x14ac:dyDescent="0.75">
      <c r="E23" s="113" t="str">
        <f>'Radio-Map-all'!D25</f>
        <v>* differential.element[7].mapping[0].map = "Location.address.city"</v>
      </c>
    </row>
    <row r="24" spans="5:5" x14ac:dyDescent="0.75">
      <c r="E24" s="113" t="str">
        <f>'Radio-Map-all'!D26</f>
        <v/>
      </c>
    </row>
    <row r="25" spans="5:5" x14ac:dyDescent="0.75">
      <c r="E25" s="113" t="str">
        <f>'Radio-Map-all'!D27</f>
        <v/>
      </c>
    </row>
    <row r="26" spans="5:5" x14ac:dyDescent="0.75">
      <c r="E26" s="113" t="str">
        <f>'Radio-Map-all'!D28</f>
        <v/>
      </c>
    </row>
    <row r="27" spans="5:5" x14ac:dyDescent="0.75">
      <c r="E27" s="113" t="str">
        <f>'Radio-Map-all'!D29</f>
        <v/>
      </c>
    </row>
    <row r="28" spans="5:5" x14ac:dyDescent="0.75">
      <c r="E28" s="113" t="str">
        <f>'Radio-Map-all'!D30</f>
        <v>* differential.element[9].mapping[0].identity = "fhir"</v>
      </c>
    </row>
    <row r="29" spans="5:5" x14ac:dyDescent="0.75">
      <c r="E29" s="113" t="str">
        <f>'Radio-Map-all'!D31</f>
        <v>* differential.element[9].mapping[0].map = "Location.address.country"</v>
      </c>
    </row>
    <row r="30" spans="5:5" x14ac:dyDescent="0.75">
      <c r="E30" s="113" t="str">
        <f>'Radio-Map-all'!D32</f>
        <v/>
      </c>
    </row>
    <row r="31" spans="5:5" x14ac:dyDescent="0.75">
      <c r="E31" s="113" t="str">
        <f>'Radio-Map-all'!D33</f>
        <v>* differential.element[10].mapping[0].identity = "fhir"</v>
      </c>
    </row>
    <row r="32" spans="5:5" x14ac:dyDescent="0.75">
      <c r="E32" s="113" t="str">
        <f>'Radio-Map-all'!D34</f>
        <v>* differential.element[10].mapping[0].map = ".performedPeriod.start"</v>
      </c>
    </row>
    <row r="33" spans="5:5" x14ac:dyDescent="0.75">
      <c r="E33" s="113" t="str">
        <f>'Radio-Map-all'!D35</f>
        <v/>
      </c>
    </row>
    <row r="34" spans="5:5" x14ac:dyDescent="0.75">
      <c r="E34" s="113" t="str">
        <f>'Radio-Map-all'!D36</f>
        <v>* differential.element[11].mapping[0].identity = "fhir"</v>
      </c>
    </row>
    <row r="35" spans="5:5" x14ac:dyDescent="0.75">
      <c r="E35" s="113" t="str">
        <f>'Radio-Map-all'!D37</f>
        <v>* differential.element[11].mapping[0].map = ".performedPeriod.end"</v>
      </c>
    </row>
    <row r="36" spans="5:5" x14ac:dyDescent="0.75">
      <c r="E36" s="113" t="str">
        <f>'Radio-Map-all'!D38</f>
        <v/>
      </c>
    </row>
    <row r="37" spans="5:5" x14ac:dyDescent="0.75">
      <c r="E37" s="113" t="str">
        <f>'Radio-Map-all'!D39</f>
        <v>* differential.element[12].mapping[0].identity = "fhir"</v>
      </c>
    </row>
    <row r="38" spans="5:5" x14ac:dyDescent="0.75">
      <c r="E38" s="113" t="str">
        <f>'Radio-Map-all'!D40</f>
        <v>* differential.element[12].mapping[0].map = ".code"</v>
      </c>
    </row>
    <row r="39" spans="5:5" x14ac:dyDescent="0.75">
      <c r="E39" s="113" t="str">
        <f>'Radio-Map-all'!D41</f>
        <v/>
      </c>
    </row>
    <row r="40" spans="5:5" x14ac:dyDescent="0.75">
      <c r="E40" s="113" t="str">
        <f>'Radio-Map-all'!D42</f>
        <v>* differential.element[13].mapping[0].identity = "fhir"</v>
      </c>
    </row>
    <row r="41" spans="5:5" x14ac:dyDescent="0.75">
      <c r="E41" s="113" t="str">
        <f>'Radio-Map-all'!D43</f>
        <v>* differential.element[13].mapping[0].map = ".usedCode"</v>
      </c>
    </row>
    <row r="42" spans="5:5" x14ac:dyDescent="0.75">
      <c r="E42" s="113" t="str">
        <f>'Radio-Map-all'!D44</f>
        <v/>
      </c>
    </row>
    <row r="43" spans="5:5" x14ac:dyDescent="0.75">
      <c r="E43" s="113" t="str">
        <f>'Radio-Map-all'!D45</f>
        <v>* differential.element[14].mapping[0].identity = "fhir"</v>
      </c>
    </row>
    <row r="44" spans="5:5" x14ac:dyDescent="0.75">
      <c r="E44" s="113" t="str">
        <f>'Radio-Map-all'!D46</f>
        <v>* differential.element[14].mapping[0].map = ".extension(http://hl7.org/fhir/StructureDefinition/procedure-method).valueCodeableConcept"</v>
      </c>
    </row>
    <row r="45" spans="5:5" x14ac:dyDescent="0.75">
      <c r="E45" s="113" t="str">
        <f>'Radio-Map-all'!D47</f>
        <v/>
      </c>
    </row>
    <row r="46" spans="5:5" x14ac:dyDescent="0.75">
      <c r="E46" s="113" t="str">
        <f>'Radio-Map-all'!D48</f>
        <v>* differential.element[15].mapping[0].identity = "fhir"</v>
      </c>
    </row>
    <row r="47" spans="5:5" x14ac:dyDescent="0.75">
      <c r="E47" s="113" t="str">
        <f>'Radio-Map-all'!D49</f>
        <v>* differential.element[15].mapping[0].map = ".location.resolve().conformsTo(http://hl7.eu/fhir/ig/pcsp/StructureDefinition/radiotherapy-energy-or-isotope).valueCodeableConcept"</v>
      </c>
    </row>
    <row r="48" spans="5:5" x14ac:dyDescent="0.75">
      <c r="E48" s="113" t="str">
        <f>'Radio-Map-all'!D50</f>
        <v/>
      </c>
    </row>
    <row r="49" spans="5:5" x14ac:dyDescent="0.75">
      <c r="E49" s="113" t="str">
        <f>'Radio-Map-all'!D51</f>
        <v>* differential.element[16].mapping[0].identity = "fhir"</v>
      </c>
    </row>
    <row r="50" spans="5:5" x14ac:dyDescent="0.75">
      <c r="E50" s="113" t="str">
        <f>'Radio-Map-all'!D52</f>
        <v>* differential.element[16].mapping[0].map = ".location.resolve().conformsTo(http://hl7.eu/fhir/ig/pcsp/StructureDefinition/radiotherapy-energy-or-isotope).valueCodeableConcept"</v>
      </c>
    </row>
    <row r="51" spans="5:5" x14ac:dyDescent="0.75">
      <c r="E51" s="113" t="str">
        <f>'Radio-Map-all'!D53</f>
        <v/>
      </c>
    </row>
    <row r="52" spans="5:5" x14ac:dyDescent="0.75">
      <c r="E52" s="113" t="str">
        <f>'Radio-Map-all'!D54</f>
        <v/>
      </c>
    </row>
    <row r="53" spans="5:5" x14ac:dyDescent="0.75">
      <c r="E53" s="113" t="str">
        <f>'Radio-Map-all'!D55</f>
        <v/>
      </c>
    </row>
    <row r="54" spans="5:5" x14ac:dyDescent="0.75">
      <c r="E54" s="113" t="str">
        <f>'Radio-Map-all'!D56</f>
        <v/>
      </c>
    </row>
    <row r="55" spans="5:5" x14ac:dyDescent="0.75">
      <c r="E55" s="113" t="str">
        <f>'Radio-Map-all'!D57</f>
        <v>* differential.element[18].mapping[0].identity = "fhir"</v>
      </c>
    </row>
    <row r="56" spans="5:5" x14ac:dyDescent="0.75">
      <c r="E56" s="113" t="str">
        <f>'Radio-Map-all'!D58</f>
        <v>* differential.element[18].mapping[0].map = ".bodySite"</v>
      </c>
    </row>
    <row r="57" spans="5:5" x14ac:dyDescent="0.75">
      <c r="E57" s="113" t="str">
        <f>'Radio-Map-all'!D59</f>
        <v/>
      </c>
    </row>
    <row r="58" spans="5:5" x14ac:dyDescent="0.75">
      <c r="E58" s="113" t="str">
        <f>'Radio-Map-all'!D60</f>
        <v>* differential.element[18].mapping[1].identity = "fhir"</v>
      </c>
    </row>
    <row r="59" spans="5:5" x14ac:dyDescent="0.75">
      <c r="E59" s="113" t="str">
        <f>'Radio-Map-all'!D61</f>
        <v>* differential.element[18].mapping[1].map = ".extension(http://hl7.eu/fhir/ig/pcsp/StructureDefinition/ResourceRelatedInfo-eu-pcsp).resolve().conformsTo(http://hl7.eu/fhir/ig/pcsp/StructureDefinition/Observation-cumulativeDoseRad-eu-pcsp).bodySite"</v>
      </c>
    </row>
    <row r="60" spans="5:5" x14ac:dyDescent="0.75">
      <c r="E60" s="113" t="str">
        <f>'Radio-Map-all'!D62</f>
        <v/>
      </c>
    </row>
    <row r="61" spans="5:5" x14ac:dyDescent="0.75">
      <c r="E61" s="113" t="str">
        <f>'Radio-Map-all'!D63</f>
        <v/>
      </c>
    </row>
    <row r="62" spans="5:5" x14ac:dyDescent="0.75">
      <c r="E62" s="113" t="str">
        <f>'Radio-Map-all'!D64</f>
        <v/>
      </c>
    </row>
    <row r="63" spans="5:5" x14ac:dyDescent="0.75">
      <c r="E63" s="113" t="str">
        <f>'Radio-Map-all'!D65</f>
        <v/>
      </c>
    </row>
    <row r="64" spans="5:5" x14ac:dyDescent="0.75">
      <c r="E64" s="113" t="str">
        <f>'Radio-Map-all'!D66</f>
        <v/>
      </c>
    </row>
    <row r="65" spans="5:5" x14ac:dyDescent="0.75">
      <c r="E65" s="113" t="str">
        <f>'Radio-Map-all'!D67</f>
        <v/>
      </c>
    </row>
    <row r="66" spans="5:5" x14ac:dyDescent="0.75">
      <c r="E66" s="113" t="str">
        <f>'Radio-Map-all'!D68</f>
        <v/>
      </c>
    </row>
    <row r="67" spans="5:5" x14ac:dyDescent="0.75">
      <c r="E67" s="113" t="str">
        <f>'Radio-Map-all'!D69</f>
        <v/>
      </c>
    </row>
    <row r="68" spans="5:5" x14ac:dyDescent="0.75">
      <c r="E68" s="113" t="str">
        <f>'Radio-Map-all'!D70</f>
        <v/>
      </c>
    </row>
    <row r="69" spans="5:5" x14ac:dyDescent="0.75">
      <c r="E69" s="113" t="str">
        <f>'Radio-Map-all'!D71</f>
        <v/>
      </c>
    </row>
    <row r="70" spans="5:5" x14ac:dyDescent="0.75">
      <c r="E70" s="113" t="str">
        <f>'Radio-Map-all'!D72</f>
        <v/>
      </c>
    </row>
    <row r="71" spans="5:5" x14ac:dyDescent="0.75">
      <c r="E71" s="113" t="str">
        <f>'Radio-Map-all'!D73</f>
        <v/>
      </c>
    </row>
    <row r="72" spans="5:5" x14ac:dyDescent="0.75">
      <c r="E72" s="113" t="str">
        <f>'Radio-Map-all'!D74</f>
        <v/>
      </c>
    </row>
    <row r="73" spans="5:5" x14ac:dyDescent="0.75">
      <c r="E73" s="113" t="str">
        <f>'Radio-Map-all'!D75</f>
        <v/>
      </c>
    </row>
    <row r="74" spans="5:5" x14ac:dyDescent="0.75">
      <c r="E74" s="113" t="str">
        <f>'Radio-Map-all'!D76</f>
        <v/>
      </c>
    </row>
    <row r="75" spans="5:5" x14ac:dyDescent="0.75">
      <c r="E75" s="113" t="str">
        <f>'Radio-Map-all'!D77</f>
        <v/>
      </c>
    </row>
    <row r="76" spans="5:5" x14ac:dyDescent="0.75">
      <c r="E76" s="113" t="str">
        <f>'Radio-Map-all'!D78</f>
        <v/>
      </c>
    </row>
    <row r="77" spans="5:5" x14ac:dyDescent="0.75">
      <c r="E77" s="113" t="str">
        <f>'Radio-Map-all'!D79</f>
        <v/>
      </c>
    </row>
    <row r="78" spans="5:5" x14ac:dyDescent="0.75">
      <c r="E78" s="113" t="str">
        <f>'Radio-Map-all'!D80</f>
        <v/>
      </c>
    </row>
    <row r="79" spans="5:5" x14ac:dyDescent="0.75">
      <c r="E79" s="113" t="str">
        <f>'Radio-Map-all'!D81</f>
        <v>* differential.element[25].mapping[0].identity = "fhir"</v>
      </c>
    </row>
    <row r="80" spans="5:5" x14ac:dyDescent="0.75">
      <c r="E80" s="113" t="str">
        <f>'Radio-Map-all'!D82</f>
        <v>* differential.element[25].mapping[0].map = ".extension(http://hl7.eu/fhir/ig/pcsp/StructureDefinition/ResourceRelatedInfo-eu-pcsp).conformsTo(http://hl7.eu/fhir/ig/pcsp/StructureDefinition/Observation-cumulativeDoseRad-eu-pcsp)"</v>
      </c>
    </row>
    <row r="81" spans="5:5" x14ac:dyDescent="0.75">
      <c r="E81" s="113" t="str">
        <f>'Radio-Map-all'!D83</f>
        <v/>
      </c>
    </row>
    <row r="82" spans="5:5" x14ac:dyDescent="0.75">
      <c r="E82" s="113" t="str">
        <f>'Radio-Map-all'!D84</f>
        <v/>
      </c>
    </row>
    <row r="83" spans="5:5" x14ac:dyDescent="0.75">
      <c r="E83" s="113" t="str">
        <f>'Radio-Map-all'!D85</f>
        <v/>
      </c>
    </row>
    <row r="84" spans="5:5" x14ac:dyDescent="0.75">
      <c r="E84" s="113" t="str">
        <f>'Radio-Map-all'!D86</f>
        <v/>
      </c>
    </row>
    <row r="85" spans="5:5" x14ac:dyDescent="0.75">
      <c r="E85" s="113" t="str">
        <f>'Radio-Map-all'!D87</f>
        <v/>
      </c>
    </row>
    <row r="86" spans="5:5" x14ac:dyDescent="0.75">
      <c r="E86" s="113" t="str">
        <f>'Radio-Map-all'!D88</f>
        <v/>
      </c>
    </row>
    <row r="87" spans="5:5" x14ac:dyDescent="0.75">
      <c r="E87" s="113" t="str">
        <f>'Radio-Map-all'!D89</f>
        <v/>
      </c>
    </row>
    <row r="88" spans="5:5" x14ac:dyDescent="0.75">
      <c r="E88" s="113" t="str">
        <f>'Radio-Map-all'!D90</f>
        <v/>
      </c>
    </row>
    <row r="89" spans="5:5" x14ac:dyDescent="0.75">
      <c r="E89" s="113" t="str">
        <f>'Radio-Map-all'!D91</f>
        <v/>
      </c>
    </row>
    <row r="90" spans="5:5" x14ac:dyDescent="0.75">
      <c r="E90" s="113" t="str">
        <f>'Radio-Map-all'!D92</f>
        <v/>
      </c>
    </row>
    <row r="91" spans="5:5" x14ac:dyDescent="0.75">
      <c r="E91" s="113" t="str">
        <f>'Radio-Map-all'!D93</f>
        <v/>
      </c>
    </row>
    <row r="92" spans="5:5" x14ac:dyDescent="0.75">
      <c r="E92" s="113" t="str">
        <f>'Radio-Map-all'!D94</f>
        <v/>
      </c>
    </row>
    <row r="93" spans="5:5" x14ac:dyDescent="0.75">
      <c r="E93" s="113" t="str">
        <f>'Radio-Map-all'!D95</f>
        <v/>
      </c>
    </row>
    <row r="94" spans="5:5" x14ac:dyDescent="0.75">
      <c r="E94" s="113" t="str">
        <f>'Radio-Map-all'!D96</f>
        <v/>
      </c>
    </row>
    <row r="95" spans="5:5" x14ac:dyDescent="0.75">
      <c r="E95" s="113" t="str">
        <f>'Radio-Map-all'!D97</f>
        <v/>
      </c>
    </row>
    <row r="96" spans="5:5" x14ac:dyDescent="0.75">
      <c r="E96" s="113" t="str">
        <f>'Radio-Map-all'!D98</f>
        <v/>
      </c>
    </row>
    <row r="97" spans="5:5" x14ac:dyDescent="0.75">
      <c r="E97" s="113" t="str">
        <f>'Radio-Map-all'!D99</f>
        <v/>
      </c>
    </row>
    <row r="98" spans="5:5" x14ac:dyDescent="0.75">
      <c r="E98" s="113" t="str">
        <f>'Radio-Map-all'!D100</f>
        <v/>
      </c>
    </row>
    <row r="99" spans="5:5" x14ac:dyDescent="0.75">
      <c r="E99" s="113" t="str">
        <f>'Radio-Map-all'!D101</f>
        <v/>
      </c>
    </row>
    <row r="100" spans="5:5" x14ac:dyDescent="0.75">
      <c r="E100" s="113" t="str">
        <f>'Radio-Map-all'!D102</f>
        <v>* differential.element[32].mapping[0].identity = "fhir"</v>
      </c>
    </row>
    <row r="101" spans="5:5" x14ac:dyDescent="0.75">
      <c r="E101" s="113" t="str">
        <f>'Radio-Map-all'!D103</f>
        <v>* differential.element[32].mapping[0].map = "Procedure.conformsTo('http://hl7.eu/fhir/ig/pcsp/StructureDefinition/Procedure-radiotheraphyBoost-eu-pcsp')"</v>
      </c>
    </row>
    <row r="102" spans="5:5" x14ac:dyDescent="0.75">
      <c r="E102" s="113" t="str">
        <f>'Radio-Map-all'!D104</f>
        <v/>
      </c>
    </row>
    <row r="103" spans="5:5" x14ac:dyDescent="0.75">
      <c r="E103" s="113" t="str">
        <f>'Radio-Map-all'!D105</f>
        <v>* differential.element[33].mapping[0].identity = "fhir"</v>
      </c>
    </row>
    <row r="104" spans="5:5" x14ac:dyDescent="0.75">
      <c r="E104" s="113" t="str">
        <f>'Radio-Map-all'!D106</f>
        <v>* differential.element[33].mapping[0].map = ".code"</v>
      </c>
    </row>
    <row r="105" spans="5:5" x14ac:dyDescent="0.75">
      <c r="E105" s="113" t="str">
        <f>'Radio-Map-all'!D107</f>
        <v/>
      </c>
    </row>
    <row r="106" spans="5:5" x14ac:dyDescent="0.75">
      <c r="E106" s="113" t="str">
        <f>'Radio-Map-all'!D108</f>
        <v>* differential.element[34].mapping[0].identity = "fhir"</v>
      </c>
    </row>
    <row r="107" spans="5:5" x14ac:dyDescent="0.75">
      <c r="E107" s="113" t="str">
        <f>'Radio-Map-all'!D109</f>
        <v>* differential.element[34].mapping[0].map = ".status"</v>
      </c>
    </row>
    <row r="108" spans="5:5" x14ac:dyDescent="0.75">
      <c r="E108" s="113" t="str">
        <f>'Radio-Map-all'!D110</f>
        <v/>
      </c>
    </row>
    <row r="109" spans="5:5" x14ac:dyDescent="0.75">
      <c r="E109" s="113" t="str">
        <f>'Radio-Map-all'!D111</f>
        <v>* differential.element[35].mapping[0].identity = "fhir"</v>
      </c>
    </row>
    <row r="110" spans="5:5" x14ac:dyDescent="0.75">
      <c r="E110" s="113" t="str">
        <f>'Radio-Map-all'!D112</f>
        <v>* differential.element[35].mapping[0].map = ".bodySite"</v>
      </c>
    </row>
    <row r="111" spans="5:5" x14ac:dyDescent="0.75">
      <c r="E111" s="113" t="str">
        <f>'Radio-Map-all'!D113</f>
        <v/>
      </c>
    </row>
    <row r="112" spans="5:5" x14ac:dyDescent="0.75">
      <c r="E112" s="113" t="str">
        <f>'Radio-Map-all'!D114</f>
        <v>* differential.element[35].mapping[1].identity = "fhir"</v>
      </c>
    </row>
    <row r="113" spans="5:5" x14ac:dyDescent="0.75">
      <c r="E113" s="113" t="str">
        <f>'Radio-Map-all'!D115</f>
        <v>* differential.element[35].mapping[1].map = ".extension(http://hl7.eu/fhir/ig/pcsp/StructureDefinition/ResourceRelatedInfo-eu-pcsp).resolve().conformsTo(http://hl7.eu/fhir/ig/pcsp/StructureDefinition/Observation-cumulativeDoseRad-eu-pcsp).bodySite"</v>
      </c>
    </row>
    <row r="114" spans="5:5" x14ac:dyDescent="0.75">
      <c r="E114" s="113" t="str">
        <f>'Radio-Map-all'!D116</f>
        <v/>
      </c>
    </row>
    <row r="115" spans="5:5" x14ac:dyDescent="0.75">
      <c r="E115" s="113" t="str">
        <f>'Radio-Map-all'!D117</f>
        <v/>
      </c>
    </row>
    <row r="116" spans="5:5" x14ac:dyDescent="0.75">
      <c r="E116" s="113" t="str">
        <f>'Radio-Map-all'!D118</f>
        <v/>
      </c>
    </row>
    <row r="117" spans="5:5" x14ac:dyDescent="0.75">
      <c r="E117" s="113" t="str">
        <f>'Radio-Map-all'!D119</f>
        <v/>
      </c>
    </row>
    <row r="118" spans="5:5" x14ac:dyDescent="0.75">
      <c r="E118" s="113" t="str">
        <f>'Radio-Map-all'!D120</f>
        <v/>
      </c>
    </row>
    <row r="119" spans="5:5" x14ac:dyDescent="0.75">
      <c r="E119" s="113" t="str">
        <f>'Radio-Map-all'!D121</f>
        <v/>
      </c>
    </row>
    <row r="120" spans="5:5" x14ac:dyDescent="0.75">
      <c r="E120" s="113" t="str">
        <f>'Radio-Map-all'!D122</f>
        <v/>
      </c>
    </row>
    <row r="121" spans="5:5" x14ac:dyDescent="0.75">
      <c r="E121" s="113" t="str">
        <f>'Radio-Map-all'!D123</f>
        <v/>
      </c>
    </row>
    <row r="122" spans="5:5" x14ac:dyDescent="0.75">
      <c r="E122" s="113" t="str">
        <f>'Radio-Map-all'!D124</f>
        <v/>
      </c>
    </row>
    <row r="123" spans="5:5" x14ac:dyDescent="0.75">
      <c r="E123" s="113" t="str">
        <f>'Radio-Map-all'!D125</f>
        <v/>
      </c>
    </row>
    <row r="124" spans="5:5" x14ac:dyDescent="0.75">
      <c r="E124" s="113" t="str">
        <f>'Radio-Map-all'!D126</f>
        <v/>
      </c>
    </row>
    <row r="125" spans="5:5" x14ac:dyDescent="0.75">
      <c r="E125" s="113" t="str">
        <f>'Radio-Map-all'!D127</f>
        <v/>
      </c>
    </row>
    <row r="126" spans="5:5" x14ac:dyDescent="0.75">
      <c r="E126" s="113" t="str">
        <f>'Radio-Map-all'!D128</f>
        <v/>
      </c>
    </row>
    <row r="127" spans="5:5" x14ac:dyDescent="0.75">
      <c r="E127" s="113" t="str">
        <f>'Radio-Map-all'!D129</f>
        <v/>
      </c>
    </row>
    <row r="128" spans="5:5" x14ac:dyDescent="0.75">
      <c r="E128" s="113" t="str">
        <f>'Radio-Map-all'!D130</f>
        <v/>
      </c>
    </row>
    <row r="129" spans="5:5" x14ac:dyDescent="0.75">
      <c r="E129" s="113" t="str">
        <f>'Radio-Map-all'!D131</f>
        <v/>
      </c>
    </row>
    <row r="130" spans="5:5" x14ac:dyDescent="0.75">
      <c r="E130" s="113" t="str">
        <f>'Radio-Map-all'!D132</f>
        <v>* differential.element[41].mapping[0].identity = "fhir"</v>
      </c>
    </row>
    <row r="131" spans="5:5" x14ac:dyDescent="0.75">
      <c r="E131" s="113" t="str">
        <f>'Radio-Map-all'!D133</f>
        <v>* differential.element[41].mapping[0].map = ".extension(http://hl7.eu/fhir/ig/pcsp/StructureDefinition/ResourceRelatedInfo-eu-pcsp).conformsTo(http://hl7.eu/fhir/ig/pcsp/StructureDefinition/Observation-cumulativeDoseRad-eu-pcsp)"</v>
      </c>
    </row>
    <row r="132" spans="5:5" x14ac:dyDescent="0.75">
      <c r="E132" s="113" t="str">
        <f>'Radio-Map-all'!D134</f>
        <v/>
      </c>
    </row>
    <row r="133" spans="5:5" x14ac:dyDescent="0.75">
      <c r="E133" s="113" t="str">
        <f>'Radio-Map-all'!D135</f>
        <v/>
      </c>
    </row>
    <row r="134" spans="5:5" x14ac:dyDescent="0.75">
      <c r="E134" s="113" t="str">
        <f>'Radio-Map-all'!D136</f>
        <v/>
      </c>
    </row>
    <row r="135" spans="5:5" x14ac:dyDescent="0.75">
      <c r="E135" s="113" t="str">
        <f>'Radio-Map-all'!D137</f>
        <v/>
      </c>
    </row>
    <row r="136" spans="5:5" x14ac:dyDescent="0.75">
      <c r="E136" s="113" t="str">
        <f>'Radio-Map-all'!D138</f>
        <v/>
      </c>
    </row>
    <row r="137" spans="5:5" x14ac:dyDescent="0.75">
      <c r="E137" s="113" t="str">
        <f>'Radio-Map-all'!D139</f>
        <v/>
      </c>
    </row>
    <row r="138" spans="5:5" x14ac:dyDescent="0.75">
      <c r="E138" s="113" t="str">
        <f>'Radio-Map-all'!D140</f>
        <v/>
      </c>
    </row>
    <row r="139" spans="5:5" x14ac:dyDescent="0.75">
      <c r="E139" s="113" t="str">
        <f>'Radio-Map-all'!D141</f>
        <v/>
      </c>
    </row>
    <row r="140" spans="5:5" x14ac:dyDescent="0.75">
      <c r="E140" s="113" t="str">
        <f>'Radio-Map-all'!D142</f>
        <v/>
      </c>
    </row>
    <row r="141" spans="5:5" x14ac:dyDescent="0.75">
      <c r="E141" s="113" t="str">
        <f>'Radio-Map-all'!D143</f>
        <v/>
      </c>
    </row>
    <row r="142" spans="5:5" x14ac:dyDescent="0.75">
      <c r="E142" s="113" t="str">
        <f>'Radio-Map-all'!D144</f>
        <v/>
      </c>
    </row>
    <row r="143" spans="5:5" x14ac:dyDescent="0.75">
      <c r="E143" s="113" t="str">
        <f>'Radio-Map-all'!D145</f>
        <v/>
      </c>
    </row>
    <row r="144" spans="5:5" x14ac:dyDescent="0.75">
      <c r="E144" s="113" t="str">
        <f>'Radio-Map-all'!D146</f>
        <v/>
      </c>
    </row>
    <row r="145" spans="5:5" x14ac:dyDescent="0.75">
      <c r="E145" s="113" t="str">
        <f>'Radio-Map-all'!D147</f>
        <v/>
      </c>
    </row>
    <row r="146" spans="5:5" x14ac:dyDescent="0.75">
      <c r="E146" s="113" t="str">
        <f>'Radio-Map-all'!D148</f>
        <v/>
      </c>
    </row>
    <row r="147" spans="5:5" x14ac:dyDescent="0.75">
      <c r="E147" s="113" t="str">
        <f>'Radio-Map-all'!D149</f>
        <v/>
      </c>
    </row>
    <row r="148" spans="5:5" x14ac:dyDescent="0.75">
      <c r="E148" s="113" t="str">
        <f>'Radio-Map-all'!D150</f>
        <v/>
      </c>
    </row>
    <row r="149" spans="5:5" x14ac:dyDescent="0.75">
      <c r="E149" s="113" t="str">
        <f>'Radio-Map-all'!D151</f>
        <v/>
      </c>
    </row>
    <row r="150" spans="5:5" x14ac:dyDescent="0.75">
      <c r="E150" s="113" t="str">
        <f>'Radio-Map-all'!D152</f>
        <v/>
      </c>
    </row>
    <row r="151" spans="5:5" x14ac:dyDescent="0.75">
      <c r="E151" s="113" t="str">
        <f>'Radio-Map-all'!D153</f>
        <v/>
      </c>
    </row>
    <row r="152" spans="5:5" x14ac:dyDescent="0.75">
      <c r="E152" s="113" t="str">
        <f>'Radio-Map-all'!D154</f>
        <v/>
      </c>
    </row>
    <row r="153" spans="5:5" x14ac:dyDescent="0.75">
      <c r="E153" s="113" t="str">
        <f>'Radio-Map-all'!D155</f>
        <v/>
      </c>
    </row>
    <row r="154" spans="5:5" x14ac:dyDescent="0.75">
      <c r="E154" s="113" t="str">
        <f>'Radio-Map-all'!D156</f>
        <v/>
      </c>
    </row>
    <row r="155" spans="5:5" x14ac:dyDescent="0.75">
      <c r="E155" s="113" t="str">
        <f>'Radio-Map-all'!D157</f>
        <v/>
      </c>
    </row>
    <row r="156" spans="5:5" x14ac:dyDescent="0.75">
      <c r="E156" s="113" t="str">
        <f>'Radio-Map-all'!D158</f>
        <v/>
      </c>
    </row>
    <row r="157" spans="5:5" x14ac:dyDescent="0.75">
      <c r="E157" s="113" t="str">
        <f>'Radio-Map-all'!D159</f>
        <v/>
      </c>
    </row>
    <row r="158" spans="5:5" x14ac:dyDescent="0.75">
      <c r="E158" s="113" t="str">
        <f>'Radio-Map-all'!D160</f>
        <v/>
      </c>
    </row>
    <row r="159" spans="5:5" x14ac:dyDescent="0.75">
      <c r="E159" s="113" t="str">
        <f>'Radio-Map-all'!D161</f>
        <v/>
      </c>
    </row>
    <row r="160" spans="5:5" x14ac:dyDescent="0.75">
      <c r="E160" s="113" t="str">
        <f>'Radio-Map-all'!D162</f>
        <v/>
      </c>
    </row>
    <row r="161" spans="5:5" x14ac:dyDescent="0.75">
      <c r="E161" s="113" t="str">
        <f>'Radio-Map-all'!D163</f>
        <v/>
      </c>
    </row>
    <row r="162" spans="5:5" x14ac:dyDescent="0.75">
      <c r="E162" s="113" t="str">
        <f>'Radio-Map-all'!D164</f>
        <v/>
      </c>
    </row>
    <row r="163" spans="5:5" x14ac:dyDescent="0.75">
      <c r="E163" s="113" t="str">
        <f>'Radio-Map-all'!D165</f>
        <v/>
      </c>
    </row>
    <row r="164" spans="5:5" x14ac:dyDescent="0.75">
      <c r="E164" s="113" t="str">
        <f>'Radio-Map-all'!D166</f>
        <v/>
      </c>
    </row>
    <row r="165" spans="5:5" x14ac:dyDescent="0.75">
      <c r="E165" s="113" t="str">
        <f>'Radio-Map-all'!D167</f>
        <v/>
      </c>
    </row>
    <row r="166" spans="5:5" x14ac:dyDescent="0.75">
      <c r="E166" s="113" t="str">
        <f>'Radio-Map-all'!D168</f>
        <v/>
      </c>
    </row>
    <row r="167" spans="5:5" x14ac:dyDescent="0.75">
      <c r="E167" s="113" t="str">
        <f>'Radio-Map-all'!D169</f>
        <v/>
      </c>
    </row>
    <row r="168" spans="5:5" x14ac:dyDescent="0.75">
      <c r="E168" s="113" t="str">
        <f>'Radio-Map-all'!D171</f>
        <v/>
      </c>
    </row>
    <row r="169" spans="5:5" x14ac:dyDescent="0.75">
      <c r="E169" s="113" t="str">
        <f>'Radio-Map-all'!D172</f>
        <v/>
      </c>
    </row>
    <row r="170" spans="5:5" x14ac:dyDescent="0.75">
      <c r="E170" s="113" t="str">
        <f>'Radio-Map-all'!D174</f>
        <v/>
      </c>
    </row>
    <row r="171" spans="5:5" x14ac:dyDescent="0.75">
      <c r="E171" s="113" t="str">
        <f>'Radio-Map-all'!D175</f>
        <v/>
      </c>
    </row>
    <row r="172" spans="5:5" x14ac:dyDescent="0.75">
      <c r="E172" s="113" t="str">
        <f>'Radio-Map-all'!D177</f>
        <v/>
      </c>
    </row>
    <row r="173" spans="5:5" x14ac:dyDescent="0.75">
      <c r="E173" s="113" t="str">
        <f>'Radio-Map-all'!D178</f>
        <v/>
      </c>
    </row>
    <row r="174" spans="5:5" x14ac:dyDescent="0.75">
      <c r="E174" s="113" t="str">
        <f>'Radio-Map-all'!D180</f>
        <v/>
      </c>
    </row>
    <row r="175" spans="5:5" x14ac:dyDescent="0.75">
      <c r="E175" s="113" t="str">
        <f>'Radio-Map-all'!D181</f>
        <v/>
      </c>
    </row>
    <row r="176" spans="5:5" x14ac:dyDescent="0.75">
      <c r="E176" s="113" t="str">
        <f>'Radio-Map-all'!D183</f>
        <v/>
      </c>
    </row>
    <row r="177" spans="5:5" x14ac:dyDescent="0.75">
      <c r="E177" s="113" t="str">
        <f>'Radio-Map-all'!D184</f>
        <v/>
      </c>
    </row>
    <row r="178" spans="5:5" x14ac:dyDescent="0.75">
      <c r="E178" s="113" t="str">
        <f>'Radio-Map-all'!D186</f>
        <v/>
      </c>
    </row>
    <row r="179" spans="5:5" x14ac:dyDescent="0.75">
      <c r="E179" s="113" t="str">
        <f>'Radio-Map-all'!D187</f>
        <v/>
      </c>
    </row>
    <row r="180" spans="5:5" x14ac:dyDescent="0.75">
      <c r="E180" s="113" t="str">
        <f>'Radio-Map-all'!D189</f>
        <v/>
      </c>
    </row>
    <row r="181" spans="5:5" x14ac:dyDescent="0.75">
      <c r="E181" s="113" t="str">
        <f>'Radio-Map-all'!D190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98425</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98425</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358775</xdr:colOff>
                    <xdr:row>1</xdr:row>
                    <xdr:rowOff>98425</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92075</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98425</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92075</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206375</xdr:colOff>
                    <xdr:row>1</xdr:row>
                    <xdr:rowOff>98425</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396875</xdr:colOff>
                    <xdr:row>1</xdr:row>
                    <xdr:rowOff>92075</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358775</xdr:colOff>
                    <xdr:row>1</xdr:row>
                    <xdr:rowOff>98425</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358775</xdr:colOff>
                    <xdr:row>1</xdr:row>
                    <xdr:rowOff>98425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topLeftCell="A13" workbookViewId="0">
      <selection activeCell="H27" sqref="H27"/>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x14ac:dyDescent="0.75">
      <c r="B2" s="121" t="s">
        <v>69</v>
      </c>
      <c r="C2" s="17" t="s">
        <v>925</v>
      </c>
      <c r="D2" s="17" t="s">
        <v>923</v>
      </c>
      <c r="E2" s="26"/>
      <c r="F2" s="26"/>
      <c r="G2" s="26"/>
    </row>
    <row r="3" spans="1:9" x14ac:dyDescent="0.75">
      <c r="B3" s="122" t="s">
        <v>35</v>
      </c>
      <c r="C3" s="111" t="s">
        <v>46</v>
      </c>
      <c r="D3" s="59"/>
      <c r="E3" s="26"/>
      <c r="F3" s="26"/>
      <c r="G3" s="26"/>
    </row>
    <row r="4" spans="1:9" ht="15.5" thickBot="1" x14ac:dyDescent="0.9">
      <c r="B4" s="123" t="s">
        <v>70</v>
      </c>
      <c r="C4" s="17" t="s">
        <v>924</v>
      </c>
      <c r="D4" s="60"/>
      <c r="E4" s="26"/>
      <c r="F4" s="26"/>
      <c r="G4" s="26"/>
    </row>
    <row r="5" spans="1:9" x14ac:dyDescent="0.75">
      <c r="C5" s="3" t="s">
        <v>7</v>
      </c>
      <c r="D5" s="4" t="s">
        <v>8</v>
      </c>
      <c r="E5" s="12" t="s">
        <v>17</v>
      </c>
      <c r="F5" s="12" t="s">
        <v>18</v>
      </c>
      <c r="G5" s="12" t="s">
        <v>19</v>
      </c>
    </row>
    <row r="6" spans="1:9" x14ac:dyDescent="0.75">
      <c r="A6">
        <v>0</v>
      </c>
      <c r="B6" s="17" t="s">
        <v>924</v>
      </c>
      <c r="C6" s="25" t="s">
        <v>925</v>
      </c>
      <c r="D6" s="25" t="s">
        <v>926</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1081</v>
      </c>
      <c r="C9" s="115" t="s">
        <v>1082</v>
      </c>
      <c r="D9" s="115" t="s">
        <v>1082</v>
      </c>
      <c r="E9" s="115">
        <v>0</v>
      </c>
      <c r="F9" s="115">
        <v>1</v>
      </c>
      <c r="G9" s="130" t="s">
        <v>1083</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931</v>
      </c>
      <c r="D14" s="115" t="s">
        <v>281</v>
      </c>
      <c r="E14" s="115">
        <v>0</v>
      </c>
      <c r="F14" s="115">
        <v>1</v>
      </c>
      <c r="G14" s="117" t="s">
        <v>3</v>
      </c>
      <c r="H14" s="118"/>
    </row>
    <row r="15" spans="1:9" s="113" customFormat="1" x14ac:dyDescent="0.75">
      <c r="A15" s="113">
        <v>9</v>
      </c>
      <c r="B15" s="116" t="s">
        <v>918</v>
      </c>
      <c r="C15" s="115" t="s">
        <v>932</v>
      </c>
      <c r="D15" s="115" t="s">
        <v>932</v>
      </c>
      <c r="E15" s="115">
        <v>0</v>
      </c>
      <c r="F15" s="115">
        <v>1</v>
      </c>
      <c r="G15" s="117" t="s">
        <v>2</v>
      </c>
      <c r="H15" s="118"/>
    </row>
    <row r="16" spans="1:9" s="113" customFormat="1" x14ac:dyDescent="0.75">
      <c r="A16" s="113">
        <v>10</v>
      </c>
      <c r="B16" s="116" t="s">
        <v>919</v>
      </c>
      <c r="C16" s="116" t="s">
        <v>927</v>
      </c>
      <c r="D16" s="116" t="s">
        <v>927</v>
      </c>
      <c r="E16" s="115">
        <v>1</v>
      </c>
      <c r="F16" s="115">
        <v>1</v>
      </c>
      <c r="G16" s="115" t="s">
        <v>5</v>
      </c>
      <c r="H16" s="118"/>
    </row>
    <row r="17" spans="1:8" s="113" customFormat="1" ht="29.5" x14ac:dyDescent="0.75">
      <c r="A17" s="113">
        <v>11</v>
      </c>
      <c r="B17" s="116" t="s">
        <v>920</v>
      </c>
      <c r="C17" s="116" t="s">
        <v>928</v>
      </c>
      <c r="D17" s="116" t="s">
        <v>928</v>
      </c>
      <c r="E17" s="115">
        <v>1</v>
      </c>
      <c r="F17" s="115">
        <v>1</v>
      </c>
      <c r="G17" s="117" t="s">
        <v>1</v>
      </c>
      <c r="H17" s="118"/>
    </row>
    <row r="18" spans="1:8" s="113" customFormat="1" ht="29.5" x14ac:dyDescent="0.75">
      <c r="A18" s="113">
        <v>12</v>
      </c>
      <c r="B18" s="116" t="s">
        <v>921</v>
      </c>
      <c r="C18" s="116" t="s">
        <v>929</v>
      </c>
      <c r="D18" s="116" t="s">
        <v>929</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933</v>
      </c>
      <c r="D21" s="119" t="s">
        <v>933</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934</v>
      </c>
      <c r="D23" s="115" t="s">
        <v>934</v>
      </c>
      <c r="E23" s="115">
        <v>0</v>
      </c>
      <c r="F23" s="115">
        <v>1</v>
      </c>
      <c r="G23" s="117" t="s">
        <v>1</v>
      </c>
      <c r="H23" s="118"/>
    </row>
    <row r="24" spans="1:8" s="113" customFormat="1" ht="29.5" x14ac:dyDescent="0.75">
      <c r="A24" s="113">
        <v>18</v>
      </c>
      <c r="B24" s="116" t="s">
        <v>922</v>
      </c>
      <c r="C24" s="116" t="s">
        <v>930</v>
      </c>
      <c r="D24" s="116" t="s">
        <v>930</v>
      </c>
      <c r="E24" s="115">
        <v>0</v>
      </c>
      <c r="F24" s="115">
        <v>1</v>
      </c>
      <c r="G24" s="117" t="s">
        <v>1</v>
      </c>
      <c r="H24" s="118"/>
    </row>
    <row r="25" spans="1:8" x14ac:dyDescent="0.75">
      <c r="A25" s="113">
        <v>19</v>
      </c>
      <c r="B25" s="116" t="s">
        <v>891</v>
      </c>
      <c r="C25" s="115" t="s">
        <v>93</v>
      </c>
      <c r="D25" s="115" t="s">
        <v>93</v>
      </c>
      <c r="E25" s="115">
        <v>0</v>
      </c>
      <c r="F25" s="115" t="s">
        <v>20</v>
      </c>
      <c r="G25" s="115" t="s">
        <v>965</v>
      </c>
    </row>
    <row r="26" spans="1:8" s="26" customFormat="1" x14ac:dyDescent="0.75">
      <c r="A26" s="113">
        <v>20</v>
      </c>
      <c r="B26" s="116" t="s">
        <v>893</v>
      </c>
      <c r="C26" s="116" t="s">
        <v>894</v>
      </c>
      <c r="D26" s="115" t="s">
        <v>894</v>
      </c>
      <c r="E26" s="115">
        <v>0</v>
      </c>
      <c r="F26" s="115" t="s">
        <v>20</v>
      </c>
      <c r="G26" s="115" t="s">
        <v>5</v>
      </c>
    </row>
    <row r="27" spans="1:8" x14ac:dyDescent="0.75">
      <c r="A27" s="113">
        <v>21</v>
      </c>
      <c r="B27" s="116" t="s">
        <v>892</v>
      </c>
      <c r="C27" s="115" t="s">
        <v>95</v>
      </c>
      <c r="D27" s="115" t="s">
        <v>95</v>
      </c>
      <c r="E27" s="115">
        <v>0</v>
      </c>
      <c r="F27" s="115" t="s">
        <v>20</v>
      </c>
      <c r="G27" s="115" t="s">
        <v>1192</v>
      </c>
      <c r="H27" s="144"/>
    </row>
    <row r="28" spans="1:8" x14ac:dyDescent="0.75">
      <c r="A28" s="113">
        <v>22</v>
      </c>
      <c r="B28" s="116" t="s">
        <v>895</v>
      </c>
      <c r="C28" s="115" t="s">
        <v>96</v>
      </c>
      <c r="D28" s="115" t="s">
        <v>96</v>
      </c>
      <c r="E28" s="115">
        <v>0</v>
      </c>
      <c r="F28" s="115" t="s">
        <v>20</v>
      </c>
      <c r="G28" s="115" t="s">
        <v>5</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1084</v>
      </c>
      <c r="C33" s="115" t="s">
        <v>1105</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#BackboneElement</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#BackboneElement</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#BackboneElement</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#BackboneElement</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1110</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9" sqref="D9"/>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x14ac:dyDescent="0.75">
      <c r="B2" s="58" t="s">
        <v>69</v>
      </c>
      <c r="C2" s="34" t="s">
        <v>91</v>
      </c>
      <c r="D2" s="141" t="s">
        <v>91</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1037</v>
      </c>
      <c r="E7" s="115">
        <v>1</v>
      </c>
      <c r="F7" s="115" t="s">
        <v>20</v>
      </c>
      <c r="G7" s="115" t="s">
        <v>0</v>
      </c>
      <c r="H7" s="115"/>
      <c r="I7" s="115" t="str">
        <f>TRIM(C7)</f>
        <v>ID</v>
      </c>
    </row>
    <row r="8" spans="1:9" ht="103.25" x14ac:dyDescent="0.75">
      <c r="A8" s="113">
        <v>2</v>
      </c>
      <c r="B8" s="115" t="s">
        <v>1073</v>
      </c>
      <c r="C8" s="115" t="s">
        <v>1085</v>
      </c>
      <c r="D8" s="116" t="s">
        <v>1077</v>
      </c>
      <c r="E8" s="115">
        <v>0</v>
      </c>
      <c r="F8" s="115" t="s">
        <v>20</v>
      </c>
      <c r="G8" s="115" t="s">
        <v>5</v>
      </c>
      <c r="H8" s="115"/>
      <c r="I8" s="115" t="str">
        <f t="shared" ref="I8:I36" si="0">TRIM(C8)</f>
        <v>Date of diagnosis</v>
      </c>
    </row>
    <row r="9" spans="1:9" x14ac:dyDescent="0.75">
      <c r="A9" s="113">
        <v>3</v>
      </c>
      <c r="B9" s="115" t="s">
        <v>1042</v>
      </c>
      <c r="C9" s="116" t="s">
        <v>1205</v>
      </c>
      <c r="D9" s="116" t="s">
        <v>1056</v>
      </c>
      <c r="E9" s="115">
        <v>0</v>
      </c>
      <c r="F9" s="115" t="s">
        <v>20</v>
      </c>
      <c r="G9" s="115" t="s">
        <v>5</v>
      </c>
      <c r="H9" s="115"/>
      <c r="I9" s="115" t="str">
        <f t="shared" si="0"/>
        <v>Center of diagnosis</v>
      </c>
    </row>
    <row r="10" spans="1:9" ht="29.5" x14ac:dyDescent="0.75">
      <c r="A10" s="115">
        <v>4</v>
      </c>
      <c r="B10" s="115" t="s">
        <v>1096</v>
      </c>
      <c r="C10" s="115" t="s">
        <v>1055</v>
      </c>
      <c r="D10" s="116" t="s">
        <v>169</v>
      </c>
      <c r="E10" s="115">
        <v>0</v>
      </c>
      <c r="F10" s="115">
        <v>1</v>
      </c>
      <c r="G10" s="115" t="s">
        <v>0</v>
      </c>
      <c r="H10" s="115"/>
      <c r="I10" s="115" t="str">
        <f t="shared" si="0"/>
        <v>Center code</v>
      </c>
    </row>
    <row r="11" spans="1:9" x14ac:dyDescent="0.75">
      <c r="A11" s="113">
        <v>5</v>
      </c>
      <c r="B11" s="115" t="s">
        <v>1043</v>
      </c>
      <c r="C11" s="115" t="s">
        <v>1044</v>
      </c>
      <c r="D11" s="116" t="s">
        <v>1044</v>
      </c>
      <c r="E11" s="115">
        <v>0</v>
      </c>
      <c r="F11" s="115">
        <v>1</v>
      </c>
      <c r="G11" s="36" t="s">
        <v>3</v>
      </c>
      <c r="H11" s="115"/>
      <c r="I11" s="115" t="str">
        <f t="shared" si="0"/>
        <v>Center name</v>
      </c>
    </row>
    <row r="12" spans="1:9" x14ac:dyDescent="0.75">
      <c r="A12" s="113">
        <v>6</v>
      </c>
      <c r="B12" s="115" t="s">
        <v>1045</v>
      </c>
      <c r="C12" s="115" t="s">
        <v>1047</v>
      </c>
      <c r="D12" s="116" t="s">
        <v>1047</v>
      </c>
      <c r="E12" s="115">
        <v>0</v>
      </c>
      <c r="F12" s="115">
        <v>1</v>
      </c>
      <c r="G12" s="115" t="s">
        <v>3</v>
      </c>
      <c r="H12" s="115"/>
      <c r="I12" s="115" t="str">
        <f t="shared" si="0"/>
        <v>Center city</v>
      </c>
    </row>
    <row r="13" spans="1:9" x14ac:dyDescent="0.75">
      <c r="A13" s="115">
        <v>7</v>
      </c>
      <c r="B13" s="115" t="s">
        <v>1046</v>
      </c>
      <c r="C13" s="115" t="s">
        <v>1086</v>
      </c>
      <c r="D13" s="116" t="s">
        <v>1086</v>
      </c>
      <c r="E13" s="115">
        <v>1</v>
      </c>
      <c r="F13" s="115">
        <v>1</v>
      </c>
      <c r="G13" s="115" t="s">
        <v>3</v>
      </c>
      <c r="H13" s="115"/>
      <c r="I13" s="115" t="str">
        <f t="shared" si="0"/>
        <v>Center country</v>
      </c>
    </row>
    <row r="14" spans="1:9" x14ac:dyDescent="0.75">
      <c r="A14" s="113">
        <v>8</v>
      </c>
      <c r="B14" s="115" t="s">
        <v>1074</v>
      </c>
      <c r="C14" s="115" t="s">
        <v>1087</v>
      </c>
      <c r="D14" s="116" t="s">
        <v>177</v>
      </c>
      <c r="E14" s="115">
        <v>0</v>
      </c>
      <c r="F14" s="115">
        <v>1</v>
      </c>
      <c r="G14" s="115" t="s">
        <v>5</v>
      </c>
      <c r="H14" s="115"/>
      <c r="I14" s="115" t="str">
        <f t="shared" si="0"/>
        <v>Primary treatment center</v>
      </c>
    </row>
    <row r="15" spans="1:9" x14ac:dyDescent="0.75">
      <c r="A15" s="113">
        <v>9</v>
      </c>
      <c r="B15" s="115" t="s">
        <v>1048</v>
      </c>
      <c r="C15" s="115" t="s">
        <v>1052</v>
      </c>
      <c r="D15" s="116" t="s">
        <v>1052</v>
      </c>
      <c r="E15" s="36">
        <v>0</v>
      </c>
      <c r="F15" s="115">
        <v>1</v>
      </c>
      <c r="G15" s="115" t="s">
        <v>3</v>
      </c>
      <c r="H15" s="115"/>
      <c r="I15" s="115" t="str">
        <f t="shared" si="0"/>
        <v>Primary treatment center name</v>
      </c>
    </row>
    <row r="16" spans="1:9" x14ac:dyDescent="0.75">
      <c r="A16" s="115">
        <v>10</v>
      </c>
      <c r="B16" s="115" t="s">
        <v>1049</v>
      </c>
      <c r="C16" s="115" t="s">
        <v>1051</v>
      </c>
      <c r="D16" s="116" t="s">
        <v>1051</v>
      </c>
      <c r="E16" s="115">
        <v>0</v>
      </c>
      <c r="F16" s="115">
        <v>1</v>
      </c>
      <c r="G16" s="115" t="s">
        <v>3</v>
      </c>
      <c r="H16" s="115"/>
      <c r="I16" s="115" t="str">
        <f t="shared" si="0"/>
        <v>Primary treatment center city</v>
      </c>
    </row>
    <row r="17" spans="1:9" x14ac:dyDescent="0.75">
      <c r="A17" s="113">
        <v>11</v>
      </c>
      <c r="B17" s="115" t="s">
        <v>1050</v>
      </c>
      <c r="C17" s="115" t="s">
        <v>1088</v>
      </c>
      <c r="D17" s="116" t="s">
        <v>1088</v>
      </c>
      <c r="E17" s="115">
        <v>0</v>
      </c>
      <c r="F17" s="115">
        <v>1</v>
      </c>
      <c r="G17" s="115" t="s">
        <v>3</v>
      </c>
      <c r="H17" s="115"/>
      <c r="I17" s="115" t="str">
        <f t="shared" si="0"/>
        <v>Primary treatment center country</v>
      </c>
    </row>
    <row r="18" spans="1:9" x14ac:dyDescent="0.75">
      <c r="A18" s="113">
        <v>12</v>
      </c>
      <c r="B18" s="115" t="s">
        <v>1053</v>
      </c>
      <c r="C18" s="115" t="s">
        <v>182</v>
      </c>
      <c r="D18" s="116" t="s">
        <v>182</v>
      </c>
      <c r="E18" s="115">
        <v>1</v>
      </c>
      <c r="F18" s="115" t="s">
        <v>20</v>
      </c>
      <c r="G18" s="115" t="s">
        <v>2</v>
      </c>
      <c r="H18" s="115"/>
      <c r="I18" s="115" t="str">
        <f t="shared" si="0"/>
        <v>Date of arrival to our institution</v>
      </c>
    </row>
    <row r="19" spans="1:9" x14ac:dyDescent="0.75">
      <c r="A19" s="115">
        <v>13</v>
      </c>
      <c r="B19" s="115" t="s">
        <v>1054</v>
      </c>
      <c r="C19" s="115" t="s">
        <v>186</v>
      </c>
      <c r="D19" s="116" t="s">
        <v>1057</v>
      </c>
      <c r="E19" s="115">
        <v>0</v>
      </c>
      <c r="F19" s="115" t="s">
        <v>20</v>
      </c>
      <c r="G19" s="115" t="s">
        <v>1</v>
      </c>
      <c r="H19" s="115"/>
      <c r="I19" s="115" t="str">
        <f t="shared" si="0"/>
        <v>Diagnostic Group</v>
      </c>
    </row>
    <row r="20" spans="1:9" ht="88.5" x14ac:dyDescent="0.75">
      <c r="A20" s="113">
        <v>14</v>
      </c>
      <c r="B20" s="115" t="s">
        <v>1058</v>
      </c>
      <c r="C20" s="115" t="s">
        <v>91</v>
      </c>
      <c r="D20" s="116" t="s">
        <v>1078</v>
      </c>
      <c r="E20" s="115">
        <v>0</v>
      </c>
      <c r="F20" s="115" t="s">
        <v>20</v>
      </c>
      <c r="G20" s="115" t="s">
        <v>1</v>
      </c>
      <c r="H20" s="115"/>
      <c r="I20" s="115" t="str">
        <f t="shared" si="0"/>
        <v>Diagnosis</v>
      </c>
    </row>
    <row r="21" spans="1:9" x14ac:dyDescent="0.75">
      <c r="A21" s="113">
        <v>15</v>
      </c>
      <c r="B21" s="115" t="s">
        <v>1059</v>
      </c>
      <c r="C21" s="115" t="s">
        <v>1063</v>
      </c>
      <c r="D21" s="116" t="s">
        <v>1060</v>
      </c>
      <c r="E21" s="115">
        <v>0</v>
      </c>
      <c r="F21" s="115" t="s">
        <v>20</v>
      </c>
      <c r="G21" s="115" t="s">
        <v>1</v>
      </c>
      <c r="H21" s="115"/>
      <c r="I21" s="115" t="str">
        <f t="shared" si="0"/>
        <v>Tumour behaviour (ICD-O-3 type)</v>
      </c>
    </row>
    <row r="22" spans="1:9" x14ac:dyDescent="0.75">
      <c r="A22" s="115">
        <v>16</v>
      </c>
      <c r="B22" s="115" t="s">
        <v>1061</v>
      </c>
      <c r="C22" s="115" t="s">
        <v>1089</v>
      </c>
      <c r="D22" s="116" t="s">
        <v>1089</v>
      </c>
      <c r="E22" s="115">
        <v>0</v>
      </c>
      <c r="F22" s="115">
        <v>1</v>
      </c>
      <c r="G22" s="115" t="s">
        <v>3</v>
      </c>
      <c r="H22" s="115"/>
      <c r="I22" s="115" t="str">
        <f t="shared" si="0"/>
        <v>Diagnosis description</v>
      </c>
    </row>
    <row r="23" spans="1:9" x14ac:dyDescent="0.75">
      <c r="A23" s="113">
        <v>17</v>
      </c>
      <c r="B23" s="115" t="s">
        <v>1062</v>
      </c>
      <c r="C23" s="115" t="s">
        <v>1038</v>
      </c>
      <c r="D23" s="116" t="s">
        <v>1065</v>
      </c>
      <c r="E23" s="115">
        <v>0</v>
      </c>
      <c r="F23" s="115" t="s">
        <v>20</v>
      </c>
      <c r="G23" s="115" t="s">
        <v>5</v>
      </c>
      <c r="H23" s="115"/>
      <c r="I23" s="115" t="str">
        <f t="shared" si="0"/>
        <v>Site</v>
      </c>
    </row>
    <row r="24" spans="1:9" ht="59" x14ac:dyDescent="0.75">
      <c r="A24" s="113">
        <v>18</v>
      </c>
      <c r="B24" s="115" t="s">
        <v>1066</v>
      </c>
      <c r="C24" s="115" t="s">
        <v>1090</v>
      </c>
      <c r="D24" s="116" t="s">
        <v>1075</v>
      </c>
      <c r="E24" s="115">
        <v>0</v>
      </c>
      <c r="F24" s="115" t="s">
        <v>20</v>
      </c>
      <c r="G24" s="115" t="s">
        <v>1</v>
      </c>
      <c r="H24" s="115"/>
      <c r="I24" s="115" t="str">
        <f t="shared" si="0"/>
        <v>Site(ICD-O-3 topography)</v>
      </c>
    </row>
    <row r="25" spans="1:9" x14ac:dyDescent="0.75">
      <c r="A25" s="115">
        <v>19</v>
      </c>
      <c r="B25" s="115" t="s">
        <v>1067</v>
      </c>
      <c r="C25" s="115" t="s">
        <v>1091</v>
      </c>
      <c r="D25" s="116" t="s">
        <v>1076</v>
      </c>
      <c r="E25" s="115">
        <v>0</v>
      </c>
      <c r="F25" s="115" t="s">
        <v>20</v>
      </c>
      <c r="G25" s="115" t="s">
        <v>3</v>
      </c>
      <c r="H25" s="115"/>
      <c r="I25" s="115" t="str">
        <f t="shared" si="0"/>
        <v>Site description</v>
      </c>
    </row>
    <row r="26" spans="1:9" x14ac:dyDescent="0.75">
      <c r="A26" s="113">
        <v>20</v>
      </c>
      <c r="B26" s="115" t="s">
        <v>1064</v>
      </c>
      <c r="C26" s="115" t="s">
        <v>1092</v>
      </c>
      <c r="D26" s="116" t="s">
        <v>1092</v>
      </c>
      <c r="E26" s="115">
        <v>0</v>
      </c>
      <c r="F26" s="115" t="s">
        <v>20</v>
      </c>
      <c r="G26" s="115" t="s">
        <v>1</v>
      </c>
      <c r="H26" s="115"/>
      <c r="I26" s="115" t="str">
        <f t="shared" si="0"/>
        <v>Laterality</v>
      </c>
    </row>
    <row r="27" spans="1:9" ht="29.5" x14ac:dyDescent="0.75">
      <c r="A27" s="113">
        <v>21</v>
      </c>
      <c r="B27" s="115" t="s">
        <v>1097</v>
      </c>
      <c r="C27" s="115" t="s">
        <v>210</v>
      </c>
      <c r="D27" s="116" t="s">
        <v>213</v>
      </c>
      <c r="E27" s="115">
        <v>0</v>
      </c>
      <c r="F27" s="115" t="s">
        <v>20</v>
      </c>
      <c r="G27" s="115" t="s">
        <v>5</v>
      </c>
      <c r="H27" s="118"/>
      <c r="I27" s="115" t="str">
        <f t="shared" si="0"/>
        <v>Metastatic</v>
      </c>
    </row>
    <row r="28" spans="1:9" x14ac:dyDescent="0.75">
      <c r="A28" s="115">
        <v>22</v>
      </c>
      <c r="B28" s="115" t="s">
        <v>1098</v>
      </c>
      <c r="C28" s="115" t="s">
        <v>1104</v>
      </c>
      <c r="D28" s="116" t="s">
        <v>214</v>
      </c>
      <c r="E28" s="115">
        <v>0</v>
      </c>
      <c r="F28" s="115" t="s">
        <v>20</v>
      </c>
      <c r="G28" s="115" t="s">
        <v>984</v>
      </c>
      <c r="I28" s="115" t="str">
        <f t="shared" si="0"/>
        <v>Metastasis id</v>
      </c>
    </row>
    <row r="29" spans="1:9" x14ac:dyDescent="0.75">
      <c r="A29" s="113">
        <v>23</v>
      </c>
      <c r="B29" s="115" t="s">
        <v>1099</v>
      </c>
      <c r="C29" s="115" t="s">
        <v>1102</v>
      </c>
      <c r="D29" s="116" t="s">
        <v>1068</v>
      </c>
      <c r="E29" s="115">
        <v>0</v>
      </c>
      <c r="F29" s="115" t="s">
        <v>20</v>
      </c>
      <c r="G29" s="115" t="s">
        <v>5</v>
      </c>
      <c r="I29" s="115" t="str">
        <f t="shared" si="0"/>
        <v>Metastasis site</v>
      </c>
    </row>
    <row r="30" spans="1:9" ht="29.5" x14ac:dyDescent="0.75">
      <c r="A30" s="113">
        <v>24</v>
      </c>
      <c r="B30" s="115" t="s">
        <v>1100</v>
      </c>
      <c r="C30" s="115" t="s">
        <v>1103</v>
      </c>
      <c r="D30" s="116" t="s">
        <v>1069</v>
      </c>
      <c r="E30" s="115">
        <v>0</v>
      </c>
      <c r="F30" s="115" t="s">
        <v>20</v>
      </c>
      <c r="G30" s="115" t="s">
        <v>1</v>
      </c>
      <c r="I30" s="115" t="str">
        <f t="shared" si="0"/>
        <v>Metastasis site code</v>
      </c>
    </row>
    <row r="31" spans="1:9" x14ac:dyDescent="0.75">
      <c r="A31" s="115">
        <v>25</v>
      </c>
      <c r="B31" s="115" t="s">
        <v>1101</v>
      </c>
      <c r="C31" s="115" t="s">
        <v>222</v>
      </c>
      <c r="D31" s="116" t="s">
        <v>222</v>
      </c>
      <c r="E31" s="115">
        <v>0</v>
      </c>
      <c r="F31" s="115" t="s">
        <v>20</v>
      </c>
      <c r="G31" s="115" t="s">
        <v>3</v>
      </c>
      <c r="I31" s="115" t="str">
        <f t="shared" si="0"/>
        <v>Additional description of sites of metastatis</v>
      </c>
    </row>
    <row r="32" spans="1:9" ht="44.25" x14ac:dyDescent="0.75">
      <c r="A32" s="113">
        <v>26</v>
      </c>
      <c r="B32" s="115" t="s">
        <v>1070</v>
      </c>
      <c r="C32" s="115" t="s">
        <v>1093</v>
      </c>
      <c r="D32" s="116" t="s">
        <v>228</v>
      </c>
      <c r="E32" s="115">
        <v>0</v>
      </c>
      <c r="F32" s="115">
        <v>1</v>
      </c>
      <c r="G32" s="115" t="s">
        <v>3</v>
      </c>
      <c r="I32" s="115" t="str">
        <f t="shared" si="0"/>
        <v>Genetic markers(text)</v>
      </c>
    </row>
    <row r="33" spans="1:9" ht="73.75" x14ac:dyDescent="0.75">
      <c r="A33" s="113">
        <v>27</v>
      </c>
      <c r="B33" s="115" t="s">
        <v>1039</v>
      </c>
      <c r="C33" s="115" t="s">
        <v>229</v>
      </c>
      <c r="D33" s="116" t="s">
        <v>1079</v>
      </c>
      <c r="E33" s="115">
        <v>0</v>
      </c>
      <c r="F33" s="115">
        <v>1</v>
      </c>
      <c r="G33" s="115" t="s">
        <v>3</v>
      </c>
      <c r="I33" s="115" t="str">
        <f t="shared" si="0"/>
        <v>Stage/Risk</v>
      </c>
    </row>
    <row r="34" spans="1:9" ht="44.25" x14ac:dyDescent="0.75">
      <c r="A34" s="115">
        <v>28</v>
      </c>
      <c r="B34" s="115" t="s">
        <v>1040</v>
      </c>
      <c r="C34" s="115" t="s">
        <v>1094</v>
      </c>
      <c r="D34" s="116" t="s">
        <v>1080</v>
      </c>
      <c r="E34" s="115">
        <v>0</v>
      </c>
      <c r="F34" s="115" t="s">
        <v>20</v>
      </c>
      <c r="G34" s="115" t="s">
        <v>1</v>
      </c>
      <c r="I34" s="115" t="str">
        <f t="shared" si="0"/>
        <v>Immunology</v>
      </c>
    </row>
    <row r="35" spans="1:9" ht="103.25" x14ac:dyDescent="0.75">
      <c r="A35" s="113">
        <v>29</v>
      </c>
      <c r="B35" s="115" t="s">
        <v>1072</v>
      </c>
      <c r="C35" s="115" t="s">
        <v>1071</v>
      </c>
      <c r="D35" s="116" t="s">
        <v>1095</v>
      </c>
      <c r="E35" s="115">
        <v>0</v>
      </c>
      <c r="F35" s="115" t="s">
        <v>20</v>
      </c>
      <c r="G35" s="115" t="s">
        <v>1</v>
      </c>
      <c r="I35" s="115" t="str">
        <f t="shared" si="0"/>
        <v>Hereditary Cancer Predisposition</v>
      </c>
    </row>
    <row r="36" spans="1:9" x14ac:dyDescent="0.75">
      <c r="A36" s="113">
        <v>30</v>
      </c>
      <c r="B36" s="115" t="s">
        <v>1041</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1116</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1117</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1118</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1119</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1122</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1123</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1120</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1121</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1124</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1125</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1126</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1127</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1128</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1131</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ht="59" x14ac:dyDescent="0.75">
      <c r="A21" s="115">
        <v>0</v>
      </c>
      <c r="B21" s="115">
        <f>'Diag-1'!A20</f>
        <v>14</v>
      </c>
      <c r="C21" s="115" t="str">
        <f>'Diag-1'!B20</f>
        <v>morphologyCode</v>
      </c>
      <c r="D21" s="50" t="s">
        <v>1129</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1129</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1130</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1132</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1133</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1134</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1135</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1136</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1137</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1138</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1139</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1140</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1141</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1142</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1143</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1144</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1145</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16" sqref="A16:XFD16"/>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x14ac:dyDescent="0.75">
      <c r="B2" s="58" t="s">
        <v>69</v>
      </c>
      <c r="C2" s="34" t="s">
        <v>36</v>
      </c>
      <c r="D2" s="34" t="s">
        <v>36</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936</v>
      </c>
      <c r="D10" s="27" t="s">
        <v>936</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937</v>
      </c>
      <c r="D12" s="27" t="s">
        <v>937</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938</v>
      </c>
      <c r="D14" s="27" t="s">
        <v>938</v>
      </c>
      <c r="E14" s="27">
        <v>0</v>
      </c>
      <c r="F14" s="27" t="s">
        <v>20</v>
      </c>
      <c r="G14" s="27" t="s">
        <v>2</v>
      </c>
      <c r="H14" s="2"/>
      <c r="I14" s="2"/>
    </row>
    <row r="15" spans="1:9" x14ac:dyDescent="0.75">
      <c r="A15" s="27">
        <v>9</v>
      </c>
      <c r="B15" s="27" t="s">
        <v>80</v>
      </c>
      <c r="C15" s="27" t="s">
        <v>935</v>
      </c>
      <c r="D15" s="27" t="s">
        <v>935</v>
      </c>
      <c r="E15" s="27">
        <v>0</v>
      </c>
      <c r="F15" s="27" t="s">
        <v>20</v>
      </c>
      <c r="G15" s="27" t="s">
        <v>82</v>
      </c>
      <c r="H15" s="2"/>
      <c r="I15" s="2"/>
    </row>
    <row r="16" spans="1:9" x14ac:dyDescent="0.75">
      <c r="A16" s="26">
        <v>10</v>
      </c>
      <c r="B16" s="27" t="s">
        <v>83</v>
      </c>
      <c r="C16" s="27" t="s">
        <v>1106</v>
      </c>
      <c r="D16" s="115" t="s">
        <v>1106</v>
      </c>
      <c r="E16" s="27">
        <v>0</v>
      </c>
      <c r="F16" s="27" t="s">
        <v>20</v>
      </c>
      <c r="G16" s="27" t="s">
        <v>5</v>
      </c>
      <c r="H16" s="2"/>
      <c r="I16" s="2"/>
    </row>
    <row r="17" spans="1:9" x14ac:dyDescent="0.75">
      <c r="A17" s="27">
        <v>11</v>
      </c>
      <c r="B17" s="27" t="s">
        <v>84</v>
      </c>
      <c r="C17" s="27" t="s">
        <v>939</v>
      </c>
      <c r="D17" s="27" t="s">
        <v>939</v>
      </c>
      <c r="E17" s="27">
        <v>0</v>
      </c>
      <c r="F17" s="27" t="s">
        <v>20</v>
      </c>
      <c r="G17" s="27" t="s">
        <v>86</v>
      </c>
      <c r="H17" s="2"/>
      <c r="I17" s="2"/>
    </row>
    <row r="18" spans="1:9" x14ac:dyDescent="0.75">
      <c r="A18" s="26">
        <v>12</v>
      </c>
      <c r="B18" s="27" t="s">
        <v>87</v>
      </c>
      <c r="C18" s="27" t="s">
        <v>940</v>
      </c>
      <c r="D18" s="27" t="s">
        <v>940</v>
      </c>
      <c r="E18" s="27">
        <v>0</v>
      </c>
      <c r="F18" s="27" t="s">
        <v>20</v>
      </c>
      <c r="G18" s="27" t="s">
        <v>86</v>
      </c>
      <c r="H18" s="2"/>
      <c r="I18" s="2"/>
    </row>
    <row r="19" spans="1:9" x14ac:dyDescent="0.75">
      <c r="A19" s="115">
        <v>13</v>
      </c>
      <c r="B19" s="115" t="s">
        <v>1107</v>
      </c>
      <c r="C19" s="27" t="s">
        <v>1108</v>
      </c>
      <c r="D19" s="115" t="s">
        <v>1108</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1113</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1114</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1114</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1115</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1110</v>
      </c>
      <c r="M2" s="46"/>
      <c r="N2" s="26" t="str">
        <f>CONCATENATE("Mapping: ",E2)</f>
        <v xml:space="preserve">Mapping: </v>
      </c>
    </row>
    <row r="3" spans="1:14" x14ac:dyDescent="0.75">
      <c r="C3" s="107" t="str">
        <f>'Subj-1'!B3</f>
        <v>Publisher</v>
      </c>
      <c r="D3" s="42"/>
      <c r="E3" s="38"/>
      <c r="G3" s="26" t="s">
        <v>1111</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1109</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1112</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1112</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A25" workbookViewId="0">
      <selection activeCell="C25" sqref="C25"/>
    </sheetView>
  </sheetViews>
  <sheetFormatPr defaultRowHeight="14.75" x14ac:dyDescent="0.75"/>
  <cols>
    <col min="1" max="1" width="8.7265625" style="113"/>
    <col min="2" max="2" width="44.36328125"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93</v>
      </c>
      <c r="D2" s="126" t="s">
        <v>93</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1148</v>
      </c>
      <c r="C7" s="116" t="s">
        <v>1150</v>
      </c>
      <c r="D7" s="116" t="s">
        <v>1149</v>
      </c>
      <c r="E7" s="115">
        <v>1</v>
      </c>
      <c r="F7" s="115">
        <v>1</v>
      </c>
      <c r="G7" s="115" t="s">
        <v>0</v>
      </c>
      <c r="H7" s="115"/>
      <c r="I7" s="115"/>
    </row>
    <row r="8" spans="1:9" ht="29.5" x14ac:dyDescent="0.75">
      <c r="A8" s="113">
        <v>2</v>
      </c>
      <c r="B8" s="115" t="s">
        <v>977</v>
      </c>
      <c r="C8" s="116" t="s">
        <v>988</v>
      </c>
      <c r="D8" s="116" t="s">
        <v>322</v>
      </c>
      <c r="E8" s="115">
        <v>1</v>
      </c>
      <c r="F8" s="115">
        <v>1</v>
      </c>
      <c r="G8" s="115" t="s">
        <v>2</v>
      </c>
      <c r="H8" s="115"/>
      <c r="I8" s="115"/>
    </row>
    <row r="9" spans="1:9" ht="29.5" x14ac:dyDescent="0.75">
      <c r="A9" s="113">
        <v>3</v>
      </c>
      <c r="B9" s="115" t="s">
        <v>978</v>
      </c>
      <c r="C9" s="116" t="s">
        <v>989</v>
      </c>
      <c r="D9" s="116" t="s">
        <v>325</v>
      </c>
      <c r="E9" s="115">
        <v>1</v>
      </c>
      <c r="F9" s="115">
        <v>1</v>
      </c>
      <c r="G9" s="115" t="s">
        <v>2</v>
      </c>
      <c r="H9" s="115"/>
      <c r="I9" s="115"/>
    </row>
    <row r="10" spans="1:9" ht="29.5" x14ac:dyDescent="0.75">
      <c r="A10" s="113">
        <v>4</v>
      </c>
      <c r="B10" s="116" t="s">
        <v>966</v>
      </c>
      <c r="C10" s="116" t="s">
        <v>990</v>
      </c>
      <c r="D10" s="116" t="s">
        <v>317</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x14ac:dyDescent="0.75">
      <c r="A16" s="113">
        <v>10</v>
      </c>
      <c r="B16" s="116" t="s">
        <v>941</v>
      </c>
      <c r="C16" s="116" t="s">
        <v>942</v>
      </c>
      <c r="D16" s="116" t="s">
        <v>943</v>
      </c>
      <c r="E16" s="115">
        <v>1</v>
      </c>
      <c r="F16" s="115">
        <v>20</v>
      </c>
      <c r="G16" s="115" t="s">
        <v>5</v>
      </c>
      <c r="H16" s="115"/>
      <c r="I16" s="115"/>
    </row>
    <row r="17" spans="1:9" ht="103.25" x14ac:dyDescent="0.75">
      <c r="A17" s="113">
        <v>11</v>
      </c>
      <c r="B17" s="116" t="s">
        <v>944</v>
      </c>
      <c r="C17" s="116" t="s">
        <v>945</v>
      </c>
      <c r="D17" s="116" t="s">
        <v>946</v>
      </c>
      <c r="E17" s="115">
        <v>1</v>
      </c>
      <c r="F17" s="115">
        <v>1</v>
      </c>
      <c r="G17" s="115" t="s">
        <v>1</v>
      </c>
      <c r="H17" s="115"/>
      <c r="I17" s="115"/>
    </row>
    <row r="18" spans="1:9" x14ac:dyDescent="0.75">
      <c r="A18" s="113">
        <v>12</v>
      </c>
      <c r="B18" s="116" t="s">
        <v>947</v>
      </c>
      <c r="C18" s="116" t="s">
        <v>948</v>
      </c>
      <c r="D18" s="116" t="s">
        <v>949</v>
      </c>
      <c r="E18" s="115">
        <v>1</v>
      </c>
      <c r="F18" s="115">
        <v>1</v>
      </c>
      <c r="G18" s="115" t="s">
        <v>5</v>
      </c>
      <c r="H18" s="115"/>
      <c r="I18" s="115"/>
    </row>
    <row r="19" spans="1:9" ht="29.5" x14ac:dyDescent="0.75">
      <c r="A19" s="113">
        <v>13</v>
      </c>
      <c r="B19" s="116" t="s">
        <v>950</v>
      </c>
      <c r="C19" s="116" t="s">
        <v>951</v>
      </c>
      <c r="D19" s="115" t="s">
        <v>952</v>
      </c>
      <c r="E19" s="115">
        <v>0</v>
      </c>
      <c r="F19" s="115">
        <v>1</v>
      </c>
      <c r="G19" s="115" t="s">
        <v>1</v>
      </c>
      <c r="H19" s="115"/>
      <c r="I19" s="115"/>
    </row>
    <row r="20" spans="1:9" ht="44.25" x14ac:dyDescent="0.75">
      <c r="A20" s="113">
        <v>14</v>
      </c>
      <c r="B20" s="116" t="s">
        <v>979</v>
      </c>
      <c r="C20" s="116" t="s">
        <v>980</v>
      </c>
      <c r="D20" s="116" t="s">
        <v>993</v>
      </c>
      <c r="E20" s="115">
        <v>0</v>
      </c>
      <c r="F20" s="115">
        <v>1</v>
      </c>
      <c r="G20" s="115" t="s">
        <v>1</v>
      </c>
      <c r="H20" s="115"/>
      <c r="I20" s="115"/>
    </row>
    <row r="21" spans="1:9" ht="29.5" x14ac:dyDescent="0.75">
      <c r="A21" s="113">
        <v>15</v>
      </c>
      <c r="B21" s="116" t="s">
        <v>1180</v>
      </c>
      <c r="C21" s="116" t="s">
        <v>343</v>
      </c>
      <c r="D21" s="116" t="s">
        <v>347</v>
      </c>
      <c r="E21" s="115">
        <v>0</v>
      </c>
      <c r="F21" s="115">
        <v>1</v>
      </c>
      <c r="G21" s="115" t="s">
        <v>1</v>
      </c>
    </row>
    <row r="22" spans="1:9" ht="29.5" x14ac:dyDescent="0.75">
      <c r="A22" s="113">
        <v>16</v>
      </c>
      <c r="B22" s="116" t="s">
        <v>981</v>
      </c>
      <c r="C22" s="116" t="s">
        <v>348</v>
      </c>
      <c r="D22" s="116" t="s">
        <v>351</v>
      </c>
      <c r="E22" s="115">
        <v>0</v>
      </c>
      <c r="F22" s="115">
        <v>1</v>
      </c>
      <c r="G22" s="115" t="s">
        <v>3</v>
      </c>
    </row>
    <row r="23" spans="1:9" x14ac:dyDescent="0.75">
      <c r="A23" s="113">
        <v>17</v>
      </c>
      <c r="B23" s="116" t="s">
        <v>953</v>
      </c>
      <c r="C23" s="116" t="s">
        <v>954</v>
      </c>
      <c r="D23" s="116" t="s">
        <v>955</v>
      </c>
      <c r="E23" s="115">
        <v>0</v>
      </c>
      <c r="F23" s="115">
        <v>1</v>
      </c>
      <c r="G23" s="115" t="s">
        <v>956</v>
      </c>
      <c r="H23" s="115"/>
      <c r="I23" s="115"/>
    </row>
    <row r="24" spans="1:9" ht="88.5" x14ac:dyDescent="0.75">
      <c r="A24" s="113">
        <v>18</v>
      </c>
      <c r="B24" s="116" t="s">
        <v>957</v>
      </c>
      <c r="C24" s="116" t="s">
        <v>549</v>
      </c>
      <c r="D24" s="116" t="s">
        <v>958</v>
      </c>
      <c r="E24" s="115">
        <v>0</v>
      </c>
      <c r="F24" s="115">
        <v>1</v>
      </c>
      <c r="G24" s="115" t="s">
        <v>1</v>
      </c>
      <c r="H24" s="115"/>
      <c r="I24" s="115"/>
    </row>
    <row r="25" spans="1:9" ht="73.75" x14ac:dyDescent="0.75">
      <c r="A25" s="113">
        <v>19</v>
      </c>
      <c r="B25" s="116" t="s">
        <v>959</v>
      </c>
      <c r="C25" s="116" t="s">
        <v>340</v>
      </c>
      <c r="D25" s="116" t="s">
        <v>960</v>
      </c>
      <c r="E25" s="115">
        <v>0</v>
      </c>
      <c r="F25" s="115">
        <v>1</v>
      </c>
      <c r="G25" s="115" t="s">
        <v>1</v>
      </c>
      <c r="H25" s="115"/>
      <c r="I25" s="115"/>
    </row>
    <row r="26" spans="1:9" x14ac:dyDescent="0.75">
      <c r="A26" s="113">
        <v>20</v>
      </c>
      <c r="B26" s="14" t="s">
        <v>961</v>
      </c>
      <c r="C26" s="129" t="s">
        <v>962</v>
      </c>
      <c r="D26" s="129" t="s">
        <v>962</v>
      </c>
      <c r="E26" s="115">
        <v>0</v>
      </c>
      <c r="F26" s="115">
        <v>1</v>
      </c>
      <c r="G26" s="115" t="s">
        <v>5</v>
      </c>
      <c r="H26" s="115"/>
      <c r="I26" s="115"/>
    </row>
    <row r="27" spans="1:9" ht="59" x14ac:dyDescent="0.75">
      <c r="A27" s="113">
        <v>21</v>
      </c>
      <c r="B27" s="115" t="s">
        <v>985</v>
      </c>
      <c r="C27" s="116" t="s">
        <v>1146</v>
      </c>
      <c r="D27" s="116" t="s">
        <v>963</v>
      </c>
      <c r="E27" s="117">
        <v>0</v>
      </c>
      <c r="F27" s="117">
        <v>1</v>
      </c>
      <c r="G27" s="115" t="s">
        <v>1</v>
      </c>
    </row>
    <row r="28" spans="1:9" x14ac:dyDescent="0.75">
      <c r="A28" s="113">
        <v>22</v>
      </c>
      <c r="B28" s="115" t="s">
        <v>982</v>
      </c>
      <c r="C28" s="116" t="s">
        <v>992</v>
      </c>
      <c r="D28" s="116" t="s">
        <v>358</v>
      </c>
      <c r="E28" s="117">
        <v>0</v>
      </c>
      <c r="F28" s="117">
        <v>1</v>
      </c>
      <c r="G28" s="115" t="s">
        <v>984</v>
      </c>
    </row>
    <row r="29" spans="1:9" x14ac:dyDescent="0.75">
      <c r="A29" s="113">
        <v>23</v>
      </c>
      <c r="B29" s="115" t="s">
        <v>983</v>
      </c>
      <c r="C29" s="116" t="s">
        <v>1147</v>
      </c>
      <c r="D29" s="116" t="s">
        <v>362</v>
      </c>
      <c r="E29" s="117">
        <v>0</v>
      </c>
      <c r="F29" s="117" t="s">
        <v>20</v>
      </c>
      <c r="G29" s="115" t="s">
        <v>3</v>
      </c>
    </row>
    <row r="30" spans="1:9" x14ac:dyDescent="0.75">
      <c r="A30" s="113">
        <v>24</v>
      </c>
      <c r="B30" s="115" t="s">
        <v>986</v>
      </c>
      <c r="C30" s="116" t="s">
        <v>987</v>
      </c>
      <c r="D30" s="116" t="s">
        <v>366</v>
      </c>
      <c r="E30" s="115">
        <v>0</v>
      </c>
      <c r="F30" s="115">
        <v>1</v>
      </c>
      <c r="G30" s="115" t="s">
        <v>5</v>
      </c>
    </row>
    <row r="31" spans="1:9" x14ac:dyDescent="0.75">
      <c r="A31" s="113">
        <v>25</v>
      </c>
      <c r="B31" s="115" t="s">
        <v>994</v>
      </c>
      <c r="C31" s="116" t="s">
        <v>367</v>
      </c>
      <c r="D31" s="116" t="s">
        <v>370</v>
      </c>
      <c r="E31" s="117">
        <v>1</v>
      </c>
      <c r="F31" s="117" t="s">
        <v>20</v>
      </c>
      <c r="G31" s="115" t="s">
        <v>3</v>
      </c>
    </row>
    <row r="32" spans="1:9" x14ac:dyDescent="0.75">
      <c r="A32" s="115"/>
      <c r="B32" s="115"/>
      <c r="E32" s="117"/>
      <c r="F32" s="117"/>
      <c r="G32" s="115"/>
    </row>
    <row r="33" spans="1:7" x14ac:dyDescent="0.75">
      <c r="A33" s="115"/>
      <c r="B33" s="115"/>
      <c r="C33" s="30"/>
      <c r="D33" s="29"/>
      <c r="E33" s="117"/>
      <c r="F33" s="117"/>
      <c r="G33" s="115"/>
    </row>
    <row r="34" spans="1:7" x14ac:dyDescent="0.75">
      <c r="A34" s="115"/>
      <c r="B34" s="115"/>
      <c r="C34" s="30"/>
      <c r="D34" s="30"/>
      <c r="E34" s="117"/>
      <c r="F34" s="117"/>
      <c r="G34" s="115"/>
    </row>
    <row r="35" spans="1:7" x14ac:dyDescent="0.75">
      <c r="A35" s="115"/>
      <c r="B35" s="115"/>
      <c r="C35" s="30"/>
      <c r="D35" s="30"/>
      <c r="E35" s="117"/>
      <c r="F35" s="117"/>
      <c r="G35" s="115"/>
    </row>
    <row r="36" spans="1:7" x14ac:dyDescent="0.75">
      <c r="A36" s="115"/>
      <c r="B36" s="115"/>
      <c r="C36" s="28"/>
      <c r="D36" s="29"/>
      <c r="E36" s="117"/>
      <c r="F36" s="117"/>
      <c r="G36" s="115"/>
    </row>
    <row r="37" spans="1:7" x14ac:dyDescent="0.75">
      <c r="A37" s="115"/>
      <c r="B37" s="115"/>
      <c r="C37" s="29"/>
      <c r="D37" s="29"/>
      <c r="E37" s="117"/>
      <c r="F37" s="117"/>
      <c r="G37" s="115"/>
    </row>
    <row r="38" spans="1:7" x14ac:dyDescent="0.75">
      <c r="A38" s="115"/>
      <c r="B38" s="115"/>
      <c r="C38" s="30"/>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"Chemotherapy.productAdministration.cumulativeDose"</v>
      </c>
      <c r="C13" s="116" t="str">
        <f>CONCATENATE("* differential.element[",'Chemo-1'!$A18,"].path = """,'Chemo-1'!$B$6,".",'Chemo-1'!$B18,"""")</f>
        <v>* differential.element[12].path = "Chemotherapy.productAdministration.cumulativeDose"</v>
      </c>
      <c r="D13" s="116" t="str">
        <f>CONCATENATE("* differential.element[",'Chemo-1'!$A18,"].short = """,'Chemo-1'!C18,"""")</f>
        <v>* differential.element[12].short = "Cumulative Dose"</v>
      </c>
      <c r="E13" s="116" t="str">
        <f>CONCATENATE("* differential.element[",'Chemo-1'!$A18,"].definition = """,'Chemo-1'!D18,"""")</f>
        <v>* differential.element[12].definition = "Report the total cumulative dose received of each drug. "</v>
      </c>
      <c r="F13" s="116" t="str">
        <f>CONCATENATE("* differential.element[",'Chemo-1'!$A18,"].min = ",'Chemo-1'!E18,"")</f>
        <v>* differential.element[12].min = 1</v>
      </c>
      <c r="G13" s="116" t="str">
        <f>CONCATENATE("* differential.element[",'Chemo-1'!$A18,"].max = """,'Chemo-1'!F18,"""")</f>
        <v>* differential.element[12].max = "1"</v>
      </c>
      <c r="H13" s="116" t="str">
        <f>CONCATENATE("* differential.element[",'Chemo-1'!$A18,"].type.code = #",'Chemo-1'!G18,"")</f>
        <v>* differential.element[12].type.code = #BackboneElement</v>
      </c>
      <c r="I13" s="10"/>
    </row>
    <row r="14" spans="2:10" ht="44.25" x14ac:dyDescent="0.75">
      <c r="B14" s="116" t="str">
        <f>CONCATENATE("* differential.element[",'Chemo-1'!$A19,"].id = """,'Chemo-1'!$B$6,".",'Chemo-1'!B19,"""")</f>
        <v>* differential.element[13].id = "Chemotherapy.productAdministration.cumulativeDose.notAvailable"</v>
      </c>
      <c r="C14" s="116" t="str">
        <f>CONCATENATE("* differential.element[",'Chemo-1'!$A19,"].path = """,'Chemo-1'!$B$6,".",'Chemo-1'!$B19,"""")</f>
        <v>* differential.element[13].path = "Chemotherapy.productAdministration.cumulativeDose.notAvailable"</v>
      </c>
      <c r="D14" s="116" t="str">
        <f>CONCATENATE("* differential.element[",'Chemo-1'!$A19,"].short = """,'Chemo-1'!C19,"""")</f>
        <v>* differential.element[13].short = "Not calculated or not known dose"</v>
      </c>
      <c r="E14" s="116" t="str">
        <f>CONCATENATE("* differential.element[",'Chemo-1'!$A19,"].definition = """,'Chemo-1'!D19,"""")</f>
        <v>* differential.element[13].definition = "Flag indicating if the dose was not calculated or it was not known"</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#CodeableConcept</v>
      </c>
      <c r="I14" s="10"/>
    </row>
    <row r="15" spans="2:10" ht="88.5" x14ac:dyDescent="0.75">
      <c r="B15" s="116" t="str">
        <f>CONCATENATE("* differential.element[",'Chemo-1'!$A20,"].id = """,'Chemo-1'!$B$6,".",'Chemo-1'!B20,"""")</f>
        <v>* differential.element[14].id = "Chemotherapy.productAdministration.cumulativeDose.measureType"</v>
      </c>
      <c r="C15" s="116" t="str">
        <f>CONCATENATE("* differential.element[",'Chemo-1'!$A20,"].path = """,'Chemo-1'!$B$6,".",'Chemo-1'!$B20,"""")</f>
        <v>* differential.element[14].path = "Chemotherapy.productAdministration.cumulativeDose.measureType"</v>
      </c>
      <c r="D15" s="116" t="str">
        <f>CONCATENATE("* differential.element[",'Chemo-1'!$A20,"].short = """,'Chemo-1'!C20,"""")</f>
        <v>* differential.element[14].short = "How the dose was determined (estimation or calculation)"</v>
      </c>
      <c r="E15" s="116"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"Chemotherapy.productAdministration.cumulativeDose.completionStatus"</v>
      </c>
      <c r="C16" s="116" t="str">
        <f>CONCATENATE("* differential.element[",'Chemo-1'!$A21,"].path = """,'Chemo-1'!$B$6,".",'Chemo-1'!$B21,"""")</f>
        <v>* differential.element[15].path = "Chemotherapy.productAdministration.cumulativeDose.completionStatus"</v>
      </c>
      <c r="D16" s="116" t="str">
        <f>CONCATENATE("* differential.element[",'Chemo-1'!$A21,"].short = """,'Chemo-1'!C21,"""")</f>
        <v>* differential.element[15].short = "The reported doses are incomplete (either under- or over-estimated)"</v>
      </c>
      <c r="E16" s="116" t="str">
        <f>CONCATENATE("* differential.element[",'Chemo-1'!$A21,"].definition = """,'Chemo-1'!D21,"""")</f>
        <v>* differential.element[15].definition = "Check in case of incomplete doses"</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"Chemotherapy.productAdministration.cumulativeDose.statusReason"</v>
      </c>
      <c r="C17" s="116" t="str">
        <f>CONCATENATE("* differential.element[",'Chemo-1'!$A22,"].path = """,'Chemo-1'!$B$6,".",'Chemo-1'!$B22,"""")</f>
        <v>* differential.element[16].path = "Chemotherapy.productAdministration.cumulativeDose.statusReason"</v>
      </c>
      <c r="D17" s="116" t="str">
        <f>CONCATENATE("* differential.element[",'Chemo-1'!$A22,"].short = """,'Chemo-1'!C22,"""")</f>
        <v>* differential.element[16].short = "Specify reasons why"</v>
      </c>
      <c r="E17" s="116" t="str">
        <f>CONCATENATE("* differential.element[",'Chemo-1'!$A22,"].definition = """,'Chemo-1'!D22,"""")</f>
        <v>* differential.element[16].definition = "Specify reasons of incomplete estimated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#string</v>
      </c>
      <c r="I17" s="10"/>
    </row>
    <row r="18" spans="2:9" ht="44.25" x14ac:dyDescent="0.75">
      <c r="B18" s="116" t="str">
        <f>CONCATENATE("* differential.element[",'Chemo-1'!$A23,"].id = """,'Chemo-1'!$B$6,".",'Chemo-1'!B23,"""")</f>
        <v>* differential.element[17].id = "Chemotherapy.productAdministration.cumulativeDose.value"</v>
      </c>
      <c r="C18" s="116" t="str">
        <f>CONCATENATE("* differential.element[",'Chemo-1'!$A23,"].path = """,'Chemo-1'!$B$6,".",'Chemo-1'!$B23,"""")</f>
        <v>* differential.element[17].path = "Chemotherapy.productAdministration.cumulativeDose.value"</v>
      </c>
      <c r="D18" s="116" t="str">
        <f>CONCATENATE("* differential.element[",'Chemo-1'!$A23,"].short = """,'Chemo-1'!C23,"""")</f>
        <v>* differential.element[17].short = "Total cumulative dose"</v>
      </c>
      <c r="E18" s="116" t="str">
        <f>CONCATENATE("* differential.element[",'Chemo-1'!$A23,"].definition = """,'Chemo-1'!D23,"""")</f>
        <v>* differential.element[17].definition = "Report the total cumulative dose received of each drug."</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#decimal</v>
      </c>
      <c r="I18" s="10"/>
    </row>
    <row r="19" spans="2:9" ht="118" x14ac:dyDescent="0.75">
      <c r="B19" s="116" t="str">
        <f>CONCATENATE("* differential.element[",'Chemo-1'!$A24,"].id = """,'Chemo-1'!$B$6,".",'Chemo-1'!B24,"""")</f>
        <v>* differential.element[18].id = "Chemotherapy.productAdministration.cumulativeDose.unit"</v>
      </c>
      <c r="C19" s="116" t="str">
        <f>CONCATENATE("* differential.element[",'Chemo-1'!$A24,"].path = """,'Chemo-1'!$B$6,".",'Chemo-1'!$B24,"""")</f>
        <v>* differential.element[18].path = "Chemotherapy.productAdministration.cumulativeDose.unit"</v>
      </c>
      <c r="D19" s="116" t="str">
        <f>CONCATENATE("* differential.element[",'Chemo-1'!$A24,"].short = """,'Chemo-1'!C24,"""")</f>
        <v>* differential.element[18].short = "Measure unit"</v>
      </c>
      <c r="E19" s="116" t="str">
        <f>CONCATENATE("* differential.element[",'Chemo-1'!$A24,"].definition = """,'Chemo-1'!D24,"""")</f>
        <v>* differential.element[18].definition = "If the dose was calculated, please report the measure unit of the calculation
1 =&gt; mg/m2
2 =&gt; gr/m2
3 =&gt; UI/m2
4 =&gt; NK
5 =&gt; NC (not calculated)"</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#CodeableConcept</v>
      </c>
      <c r="I19" s="10"/>
    </row>
    <row r="20" spans="2:9" ht="88.5" x14ac:dyDescent="0.75">
      <c r="B20" s="116" t="str">
        <f>CONCATENATE("* differential.element[",'Chemo-1'!$A25,"].id = """,'Chemo-1'!$B$6,".",'Chemo-1'!B25,"""")</f>
        <v>* differential.element[19].id = "Chemotherapy.corticosteroids"</v>
      </c>
      <c r="C20" s="116" t="str">
        <f>CONCATENATE("* differential.element[",'Chemo-1'!$A25,"].path = """,'Chemo-1'!$B$6,".",'Chemo-1'!$B25,"""")</f>
        <v>* differential.element[19].path = "Chemotherapy.corticosteroids"</v>
      </c>
      <c r="D20" s="116" t="str">
        <f>CONCATENATE("* differential.element[",'Chemo-1'!$A25,"].short = """,'Chemo-1'!C25,"""")</f>
        <v>* differential.element[19].short = "Prolonged corticosteroids as anti-cancer treatment at least 4 weeks continuously"</v>
      </c>
      <c r="E20" s="116" t="str">
        <f>CONCATENATE("* differential.element[",'Chemo-1'!$A25,"].definition = """,'Chemo-1'!D25,"""")</f>
        <v>* differential.element[19].definition = "Report 'yes' if the survivor was treated with steroids for at least 4 weeks continuously
1 =&gt; Yes
2 =&gt; No
-9922 =&gt; NK"</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"Chemotherapy.intrathecalInjections"</v>
      </c>
      <c r="C21" s="116" t="str">
        <f>CONCATENATE("* differential.element[",'Chemo-1'!$A26,"].path = """,'Chemo-1'!$B$6,".",'Chemo-1'!$B26,"""")</f>
        <v>* differential.element[20].path = "Chemotherapy.intrathecalInjections"</v>
      </c>
      <c r="D21" s="116" t="str">
        <f>CONCATENATE("* differential.element[",'Chemo-1'!$A26,"].short = """,'Chemo-1'!C26,"""")</f>
        <v>* differential.element[20].short = "Intrathecal injections"</v>
      </c>
      <c r="E21" s="116" t="str">
        <f>CONCATENATE("* differential.element[",'Chemo-1'!$A26,"].definition = """,'Chemo-1'!D26,"""")</f>
        <v>* differential.element[20].definition = "Intrathecal injections"</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#BackboneElement</v>
      </c>
      <c r="I21" s="10"/>
    </row>
    <row r="22" spans="2:9" ht="88.5" x14ac:dyDescent="0.75">
      <c r="B22" s="116" t="str">
        <f>CONCATENATE("* differential.element[",'Chemo-1'!$A27,"].id = """,'Chemo-1'!$B$6,".",'Chemo-1'!B27,"""")</f>
        <v>* differential.element[21].id = "Chemotherapy.intrathecalInjections.status"</v>
      </c>
      <c r="C22" s="116" t="str">
        <f>CONCATENATE("* differential.element[",'Chemo-1'!$A27,"].path = """,'Chemo-1'!$B$6,".",'Chemo-1'!$B27,"""")</f>
        <v>* differential.element[21].path = "Chemotherapy.intrathecalInjections.status"</v>
      </c>
      <c r="D22" s="116" t="str">
        <f>CONCATENATE("* differential.element[",'Chemo-1'!$A27,"].short = """,'Chemo-1'!C27,"""")</f>
        <v>* differential.element[21].short = "Did the survivor receive therapeutic intrathecal injections ?"</v>
      </c>
      <c r="E22" s="116" t="str">
        <f>CONCATENATE("* differential.element[",'Chemo-1'!$A27,"].definition = """,'Chemo-1'!D27,"""")</f>
        <v>* differential.element[21].definition = "Please state if the survivor received any therapeutic intrathecal injections
1 =&gt; Yes
2 =&gt; No
-9922 =&gt; NK"</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#CodeableConcept</v>
      </c>
      <c r="I22" s="10"/>
    </row>
    <row r="23" spans="2:9" ht="44.25" x14ac:dyDescent="0.75">
      <c r="B23" s="116" t="str">
        <f>CONCATENATE("* differential.element[",'Chemo-1'!$A28,"].id = """,'Chemo-1'!$B$6,".",'Chemo-1'!B28,"""")</f>
        <v>* differential.element[22].id = "Chemotherapy.intrathecalInjections.number"</v>
      </c>
      <c r="C23" s="116" t="str">
        <f>CONCATENATE("* differential.element[",'Chemo-1'!$A28,"].path = """,'Chemo-1'!$B$6,".",'Chemo-1'!$B28,"""")</f>
        <v>* differential.element[22].path = "Chemotherapy.intrathecalInjections.number"</v>
      </c>
      <c r="D23" s="116" t="str">
        <f>CONCATENATE("* differential.element[",'Chemo-1'!$A28,"].short = """,'Chemo-1'!C28,"""")</f>
        <v>* differential.element[22].short = "Total number"</v>
      </c>
      <c r="E23" s="116" t="str">
        <f>CONCATENATE("* differential.element[",'Chemo-1'!$A28,"].definition = """,'Chemo-1'!D28,"""")</f>
        <v>* differential.element[22].definition = "Report the total number of injections"</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#integer</v>
      </c>
      <c r="I23" s="10"/>
    </row>
    <row r="24" spans="2:9" ht="44.25" x14ac:dyDescent="0.75">
      <c r="B24" s="116" t="str">
        <f>CONCATENATE("* differential.element[",'Chemo-1'!$A29,"].id = """,'Chemo-1'!$B$6,".",'Chemo-1'!B29,"""")</f>
        <v>* differential.element[23].id = "Chemotherapy.intrathecalInjections.productName"</v>
      </c>
      <c r="C24" s="116" t="str">
        <f>CONCATENATE("* differential.element[",'Chemo-1'!$A29,"].path = """,'Chemo-1'!$B$6,".",'Chemo-1'!$B29,"""")</f>
        <v>* differential.element[23].path = "Chemotherapy.intrathecalInjections.productName"</v>
      </c>
      <c r="D24" s="116" t="str">
        <f>CONCATENATE("* differential.element[",'Chemo-1'!$A29,"].short = """,'Chemo-1'!C29,"""")</f>
        <v>* differential.element[23].short = "Drug(s) administered"</v>
      </c>
      <c r="E24" s="116" t="str">
        <f>CONCATENATE("* differential.element[",'Chemo-1'!$A29,"].definition = """,'Chemo-1'!D29,"""")</f>
        <v>* differential.element[23].definition = "Please report the names of drugs injected intrathecal"</v>
      </c>
      <c r="F24" s="116" t="str">
        <f>CONCATENATE("* differential.element[",'Chemo-1'!$A29,"].min = ",'Chemo-1'!E29,"")</f>
        <v>* differential.element[23].min = 0</v>
      </c>
      <c r="G24" s="116" t="str">
        <f>CONCATENATE("* differential.element[",'Chemo-1'!$A29,"].max = """,'Chemo-1'!F29,"""")</f>
        <v>* differential.element[23].max = "*"</v>
      </c>
      <c r="H24" s="116" t="str">
        <f>CONCATENATE("* differential.element[",'Chemo-1'!$A29,"].type.code = #",'Chemo-1'!G29,"")</f>
        <v>* differential.element[23].type.code = #string</v>
      </c>
      <c r="I24" s="10"/>
    </row>
    <row r="25" spans="2:9" ht="44.25" x14ac:dyDescent="0.75">
      <c r="B25" s="116" t="str">
        <f>CONCATENATE("* differential.element[",'Chemo-1'!$A30,"].id = """,'Chemo-1'!$B$6,".",'Chemo-1'!B30,"""")</f>
        <v>* differential.element[24].id = "Chemotherapy.otherTreatments"</v>
      </c>
      <c r="C25" s="116" t="str">
        <f>CONCATENATE("* differential.element[",'Chemo-1'!$A30,"].path = """,'Chemo-1'!$B$6,".",'Chemo-1'!$B30,"""")</f>
        <v>* differential.element[24].path = "Chemotherapy.otherTreatments"</v>
      </c>
      <c r="D25" s="116" t="str">
        <f>CONCATENATE("* differential.element[",'Chemo-1'!$A30,"].short = """,'Chemo-1'!C30,"""")</f>
        <v>* differential.element[24].short = "Other chemothrapeutic treatments"</v>
      </c>
      <c r="E25" s="116" t="str">
        <f>CONCATENATE("* differential.element[",'Chemo-1'!$A30,"].definition = """,'Chemo-1'!D30,"""")</f>
        <v>* differential.element[24].definition = "Report any other chemothrapeutic treatments that are not included in the ATC code"</v>
      </c>
      <c r="F25" s="116" t="str">
        <f>CONCATENATE("* differential.element[",'Chemo-1'!$A30,"].min = ",'Chemo-1'!E30,"")</f>
        <v>* differential.element[24].min = 0</v>
      </c>
      <c r="G25" s="116" t="str">
        <f>CONCATENATE("* differential.element[",'Chemo-1'!$A30,"].max = """,'Chemo-1'!F30,"""")</f>
        <v>* differential.element[24].max = "1"</v>
      </c>
      <c r="H25" s="116" t="str">
        <f>CONCATENATE("* differential.element[",'Chemo-1'!$A30,"].type.code = #",'Chemo-1'!G30,"")</f>
        <v>* differential.element[24].type.code = #BackboneElement</v>
      </c>
      <c r="I25" s="10"/>
    </row>
    <row r="26" spans="2:9" ht="44.25" x14ac:dyDescent="0.75">
      <c r="B26" s="116" t="str">
        <f>CONCATENATE("* differential.element[",'Chemo-1'!$A31,"].id = """,'Chemo-1'!$B$6,".",'Chemo-1'!B31,"""")</f>
        <v>* differential.element[25].id = "Chemotherapy.otherTreatments.productName"</v>
      </c>
      <c r="C26" s="116" t="str">
        <f>CONCATENATE("* differential.element[",'Chemo-1'!$A31,"].path = """,'Chemo-1'!$B$6,".",'Chemo-1'!$B31,"""")</f>
        <v>* differential.element[25].path = "Chemotherapy.otherTreatments.productName"</v>
      </c>
      <c r="D26" s="116" t="str">
        <f>CONCATENATE("* differential.element[",'Chemo-1'!$A31,"].short = """,'Chemo-1'!C31,"""")</f>
        <v>* differential.element[25].short = "Drugs name"</v>
      </c>
      <c r="E26" s="116" t="str">
        <f>CONCATENATE("* differential.element[",'Chemo-1'!$A31,"].definition = """,'Chemo-1'!D31,"""")</f>
        <v>* differential.element[25].definition = "If yes, describe treatments"</v>
      </c>
      <c r="F26" s="116" t="str">
        <f>CONCATENATE("* differential.element[",'Chemo-1'!$A31,"].min = ",'Chemo-1'!E31,"")</f>
        <v>* differential.element[25].min = 1</v>
      </c>
      <c r="G26" s="116" t="str">
        <f>CONCATENATE("* differential.element[",'Chemo-1'!$A31,"].max = """,'Chemo-1'!F31,"""")</f>
        <v>* differential.element[25].max = "*"</v>
      </c>
      <c r="H26" s="116" t="str">
        <f>CONCATENATE("* differential.element[",'Chemo-1'!$A31,"].type.code = #",'Chemo-1'!G31,"")</f>
        <v>* differential.element[25].type.code = #string</v>
      </c>
    </row>
    <row r="27" spans="2:9" x14ac:dyDescent="0.75">
      <c r="B27" s="116"/>
      <c r="C27" s="116"/>
      <c r="D27" s="116"/>
      <c r="E27" s="116"/>
      <c r="F27" s="116"/>
      <c r="G27" s="116"/>
      <c r="H27" s="116"/>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964</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"Chemotherapy.productAdministration.cumulativeDose"</v>
      </c>
    </row>
    <row r="113" spans="1:4" x14ac:dyDescent="0.75">
      <c r="A113" s="115">
        <v>79</v>
      </c>
      <c r="B113" s="115">
        <f t="shared" si="2"/>
        <v>11</v>
      </c>
      <c r="C113" s="115">
        <f t="shared" si="3"/>
        <v>2</v>
      </c>
      <c r="D113" s="116" t="str" cm="1">
        <f t="array" ref="D113">INDEX('Chemo-2'!$B$2:$H$30,1+B113,C113)</f>
        <v>* differential.element[12].path = "Chemotherapy.productAdministration.cumulativeDose"</v>
      </c>
    </row>
    <row r="114" spans="1:4" x14ac:dyDescent="0.75">
      <c r="A114" s="115">
        <v>80</v>
      </c>
      <c r="B114" s="115">
        <f t="shared" si="2"/>
        <v>11</v>
      </c>
      <c r="C114" s="115">
        <f t="shared" si="3"/>
        <v>3</v>
      </c>
      <c r="D114" s="116" t="str" cm="1">
        <f t="array" ref="D114">INDEX('Chemo-2'!$B$2:$H$30,1+B114,C114)</f>
        <v>* differential.element[12].short = "Cumulative Dose"</v>
      </c>
    </row>
    <row r="115" spans="1:4" x14ac:dyDescent="0.75">
      <c r="A115" s="115">
        <v>81</v>
      </c>
      <c r="B115" s="115">
        <f t="shared" si="2"/>
        <v>11</v>
      </c>
      <c r="C115" s="115">
        <f t="shared" si="3"/>
        <v>4</v>
      </c>
      <c r="D115" s="116" t="str" cm="1">
        <f t="array" ref="D115">INDEX('Chemo-2'!$B$2:$H$30,1+B115,C115)</f>
        <v>* differential.element[12].definition = "Report the total cumulative dose received of each drug. "</v>
      </c>
    </row>
    <row r="116" spans="1:4" x14ac:dyDescent="0.75">
      <c r="A116" s="115">
        <v>82</v>
      </c>
      <c r="B116" s="115">
        <f t="shared" si="2"/>
        <v>11</v>
      </c>
      <c r="C116" s="115">
        <f t="shared" si="3"/>
        <v>5</v>
      </c>
      <c r="D116" s="116" t="str" cm="1">
        <f t="array" ref="D116">INDEX('Chemo-2'!$B$2:$H$30,1+B116,C116)</f>
        <v>* differential.element[12].min = 1</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#BackboneElement</v>
      </c>
    </row>
    <row r="119" spans="1:4" x14ac:dyDescent="0.75">
      <c r="A119" s="115">
        <v>85</v>
      </c>
      <c r="B119" s="115">
        <f t="shared" si="2"/>
        <v>12</v>
      </c>
      <c r="C119" s="115">
        <f t="shared" si="3"/>
        <v>1</v>
      </c>
      <c r="D119" s="116" t="str" cm="1">
        <f t="array" ref="D119">INDEX('Chemo-2'!$B$2:$H$30,1+B119,C119)</f>
        <v>* differential.element[13].id = "Chemotherapy.productAdministration.cumulativeDose.notAvailable"</v>
      </c>
    </row>
    <row r="120" spans="1:4" x14ac:dyDescent="0.75">
      <c r="A120" s="115">
        <v>86</v>
      </c>
      <c r="B120" s="115">
        <f t="shared" si="2"/>
        <v>12</v>
      </c>
      <c r="C120" s="115">
        <f t="shared" si="3"/>
        <v>2</v>
      </c>
      <c r="D120" s="116" t="str" cm="1">
        <f t="array" ref="D120">INDEX('Chemo-2'!$B$2:$H$30,1+B120,C120)</f>
        <v>* differential.element[13].path = "Chemotherapy.productAdministration.cumulativeDose.notAvailable"</v>
      </c>
    </row>
    <row r="121" spans="1:4" x14ac:dyDescent="0.75">
      <c r="A121" s="115">
        <v>87</v>
      </c>
      <c r="B121" s="115">
        <f t="shared" si="2"/>
        <v>12</v>
      </c>
      <c r="C121" s="115">
        <f t="shared" si="3"/>
        <v>3</v>
      </c>
      <c r="D121" s="116" t="str" cm="1">
        <f t="array" ref="D121">INDEX('Chemo-2'!$B$2:$H$30,1+B121,C121)</f>
        <v>* differential.element[13].short = "Not calculated or not known dose"</v>
      </c>
    </row>
    <row r="122" spans="1:4" x14ac:dyDescent="0.75">
      <c r="A122" s="115">
        <v>88</v>
      </c>
      <c r="B122" s="115">
        <f t="shared" si="2"/>
        <v>12</v>
      </c>
      <c r="C122" s="115">
        <f t="shared" si="3"/>
        <v>4</v>
      </c>
      <c r="D122" s="116" t="str" cm="1">
        <f t="array" ref="D122">INDEX('Chemo-2'!$B$2:$H$30,1+B122,C122)</f>
        <v>* differential.element[13].definition = "Flag indicating if the dose was not calculated or it was not known"</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#CodeableConcept</v>
      </c>
    </row>
    <row r="126" spans="1:4" x14ac:dyDescent="0.75">
      <c r="A126" s="115">
        <v>92</v>
      </c>
      <c r="B126" s="115">
        <f t="shared" si="2"/>
        <v>13</v>
      </c>
      <c r="C126" s="115">
        <f t="shared" si="3"/>
        <v>1</v>
      </c>
      <c r="D126" s="116" t="str" cm="1">
        <f t="array" ref="D126">INDEX('Chemo-2'!$B$2:$H$30,1+B126,C126)</f>
        <v>* differential.element[14].id = "Chemotherapy.productAdministration.cumulativeDose.measureType"</v>
      </c>
    </row>
    <row r="127" spans="1:4" x14ac:dyDescent="0.75">
      <c r="A127" s="115">
        <v>93</v>
      </c>
      <c r="B127" s="115">
        <f t="shared" si="2"/>
        <v>13</v>
      </c>
      <c r="C127" s="115">
        <f t="shared" si="3"/>
        <v>2</v>
      </c>
      <c r="D127" s="116" t="str" cm="1">
        <f t="array" ref="D127">INDEX('Chemo-2'!$B$2:$H$30,1+B127,C127)</f>
        <v>* differential.element[14].path = "Chemotherapy.productAdministration.cumulativeDose.measureType"</v>
      </c>
    </row>
    <row r="128" spans="1:4" x14ac:dyDescent="0.75">
      <c r="A128" s="115">
        <v>94</v>
      </c>
      <c r="B128" s="115">
        <f t="shared" si="2"/>
        <v>13</v>
      </c>
      <c r="C128" s="115">
        <f t="shared" si="3"/>
        <v>3</v>
      </c>
      <c r="D128" s="116" t="str" cm="1">
        <f t="array" ref="D128">INDEX('Chemo-2'!$B$2:$H$30,1+B128,C128)</f>
        <v>* differential.element[14].short = "How the dose was determined (estimation or calculation)"</v>
      </c>
    </row>
    <row r="129" spans="1:4" x14ac:dyDescent="0.75">
      <c r="A129" s="115">
        <v>95</v>
      </c>
      <c r="B129" s="115">
        <f t="shared" si="2"/>
        <v>13</v>
      </c>
      <c r="C129" s="115">
        <f t="shared" si="3"/>
        <v>4</v>
      </c>
      <c r="D129" s="116"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"Chemotherapy.productAdministration.cumulativeDose.completionStatus"</v>
      </c>
    </row>
    <row r="134" spans="1:4" x14ac:dyDescent="0.75">
      <c r="A134" s="115">
        <v>100</v>
      </c>
      <c r="B134" s="115">
        <f t="shared" si="2"/>
        <v>14</v>
      </c>
      <c r="C134" s="115">
        <f t="shared" si="3"/>
        <v>2</v>
      </c>
      <c r="D134" s="116" t="str" cm="1">
        <f t="array" ref="D134">INDEX('Chemo-2'!$B$2:$H$30,1+B134,C134)</f>
        <v>* differential.element[15].path = "Chemotherapy.productAdministration.cumulativeDose.completionStatus"</v>
      </c>
    </row>
    <row r="135" spans="1:4" x14ac:dyDescent="0.75">
      <c r="A135" s="115">
        <v>101</v>
      </c>
      <c r="B135" s="115">
        <f t="shared" si="2"/>
        <v>14</v>
      </c>
      <c r="C135" s="115">
        <f t="shared" si="3"/>
        <v>3</v>
      </c>
      <c r="D135" s="116" t="str" cm="1">
        <f t="array" ref="D135">INDEX('Chemo-2'!$B$2:$H$30,1+B135,C135)</f>
        <v>* differential.element[15].short = "The reported doses are incomplete (either under- or over-estimated)"</v>
      </c>
    </row>
    <row r="136" spans="1:4" x14ac:dyDescent="0.75">
      <c r="A136" s="115">
        <v>102</v>
      </c>
      <c r="B136" s="115">
        <f t="shared" si="2"/>
        <v>14</v>
      </c>
      <c r="C136" s="115">
        <f t="shared" si="3"/>
        <v>4</v>
      </c>
      <c r="D136" s="116" t="str" cm="1">
        <f t="array" ref="D136">INDEX('Chemo-2'!$B$2:$H$30,1+B136,C136)</f>
        <v>* differential.element[15].definition = "Check in case of incomplete doses"</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"Chemotherapy.productAdministration.cumulativeDose.statusReason"</v>
      </c>
    </row>
    <row r="141" spans="1:4" x14ac:dyDescent="0.75">
      <c r="A141" s="115">
        <v>107</v>
      </c>
      <c r="B141" s="115">
        <f t="shared" si="2"/>
        <v>15</v>
      </c>
      <c r="C141" s="115">
        <f t="shared" si="3"/>
        <v>2</v>
      </c>
      <c r="D141" s="116" t="str" cm="1">
        <f t="array" ref="D141">INDEX('Chemo-2'!$B$2:$H$30,1+B141,C141)</f>
        <v>* differential.element[16].path = "Chemotherapy.productAdministration.cumulativeDose.statusReason"</v>
      </c>
    </row>
    <row r="142" spans="1:4" x14ac:dyDescent="0.75">
      <c r="A142" s="115">
        <v>108</v>
      </c>
      <c r="B142" s="115">
        <f t="shared" si="2"/>
        <v>15</v>
      </c>
      <c r="C142" s="115">
        <f t="shared" si="3"/>
        <v>3</v>
      </c>
      <c r="D142" s="116" t="str" cm="1">
        <f t="array" ref="D142">INDEX('Chemo-2'!$B$2:$H$30,1+B142,C142)</f>
        <v>* differential.element[16].short = "Specify reasons why"</v>
      </c>
    </row>
    <row r="143" spans="1:4" x14ac:dyDescent="0.75">
      <c r="A143" s="115">
        <v>109</v>
      </c>
      <c r="B143" s="115">
        <f t="shared" si="2"/>
        <v>15</v>
      </c>
      <c r="C143" s="115">
        <f t="shared" si="3"/>
        <v>4</v>
      </c>
      <c r="D143" s="116" t="str" cm="1">
        <f t="array" ref="D143">INDEX('Chemo-2'!$B$2:$H$30,1+B143,C143)</f>
        <v>* differential.element[16].definition = "Specify reasons of incomplete estimated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#string</v>
      </c>
    </row>
    <row r="147" spans="1:5" x14ac:dyDescent="0.75">
      <c r="A147" s="115">
        <v>113</v>
      </c>
      <c r="B147" s="115">
        <f t="shared" si="2"/>
        <v>16</v>
      </c>
      <c r="C147" s="115">
        <f t="shared" si="3"/>
        <v>1</v>
      </c>
      <c r="D147" s="116" t="str" cm="1">
        <f t="array" ref="D147">INDEX('Chemo-2'!$B$2:$H$30,1+B147,C147)</f>
        <v>* differential.element[17].id = "Chemotherapy.productAdministration.cumulativeDose.value"</v>
      </c>
    </row>
    <row r="148" spans="1:5" x14ac:dyDescent="0.75">
      <c r="A148" s="115">
        <v>114</v>
      </c>
      <c r="B148" s="115">
        <f t="shared" si="2"/>
        <v>16</v>
      </c>
      <c r="C148" s="115">
        <f t="shared" si="3"/>
        <v>2</v>
      </c>
      <c r="D148" s="116" t="str" cm="1">
        <f t="array" ref="D148">INDEX('Chemo-2'!$B$2:$H$30,1+B148,C148)</f>
        <v>* differential.element[17].path = "Chemotherapy.productAdministration.cumulativeDose.value"</v>
      </c>
    </row>
    <row r="149" spans="1:5" x14ac:dyDescent="0.75">
      <c r="A149" s="115">
        <v>115</v>
      </c>
      <c r="B149" s="115">
        <f t="shared" si="2"/>
        <v>16</v>
      </c>
      <c r="C149" s="115">
        <f t="shared" si="3"/>
        <v>3</v>
      </c>
      <c r="D149" s="116" t="str" cm="1">
        <f t="array" ref="D149">INDEX('Chemo-2'!$B$2:$H$30,1+B149,C149)</f>
        <v>* differential.element[17].short = "Total cumulative dose"</v>
      </c>
      <c r="E149" s="43"/>
    </row>
    <row r="150" spans="1:5" x14ac:dyDescent="0.75">
      <c r="A150" s="115">
        <v>116</v>
      </c>
      <c r="B150" s="115">
        <f t="shared" si="2"/>
        <v>16</v>
      </c>
      <c r="C150" s="115">
        <f t="shared" si="3"/>
        <v>4</v>
      </c>
      <c r="D150" s="116" t="str" cm="1">
        <f t="array" ref="D150">INDEX('Chemo-2'!$B$2:$H$30,1+B150,C150)</f>
        <v>* differential.element[17].definition = "Report the total cumulative dose received of each drug."</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#decimal</v>
      </c>
    </row>
    <row r="154" spans="1:5" x14ac:dyDescent="0.75">
      <c r="A154" s="115">
        <v>120</v>
      </c>
      <c r="B154" s="115">
        <f t="shared" si="2"/>
        <v>17</v>
      </c>
      <c r="C154" s="115">
        <f t="shared" si="3"/>
        <v>1</v>
      </c>
      <c r="D154" s="116" t="str" cm="1">
        <f t="array" ref="D154">INDEX('Chemo-2'!$B$2:$H$30,1+B154,C154)</f>
        <v>* differential.element[18].id = "Chemotherapy.productAdministration.cumulativeDose.unit"</v>
      </c>
    </row>
    <row r="155" spans="1:5" x14ac:dyDescent="0.75">
      <c r="A155" s="115">
        <v>121</v>
      </c>
      <c r="B155" s="115">
        <f t="shared" si="2"/>
        <v>17</v>
      </c>
      <c r="C155" s="115">
        <f t="shared" si="3"/>
        <v>2</v>
      </c>
      <c r="D155" s="116" t="str" cm="1">
        <f t="array" ref="D155">INDEX('Chemo-2'!$B$2:$H$30,1+B155,C155)</f>
        <v>* differential.element[18].path = "Chemotherapy.productAdministration.cumulativeDose.unit"</v>
      </c>
    </row>
    <row r="156" spans="1:5" x14ac:dyDescent="0.75">
      <c r="A156" s="115">
        <v>122</v>
      </c>
      <c r="B156" s="115">
        <f t="shared" si="2"/>
        <v>17</v>
      </c>
      <c r="C156" s="115">
        <f t="shared" si="3"/>
        <v>3</v>
      </c>
      <c r="D156" s="116" t="str" cm="1">
        <f t="array" ref="D156">INDEX('Chemo-2'!$B$2:$H$30,1+B156,C156)</f>
        <v>* differential.element[18].short = "Measure unit"</v>
      </c>
    </row>
    <row r="157" spans="1:5" x14ac:dyDescent="0.75">
      <c r="A157" s="115">
        <v>123</v>
      </c>
      <c r="B157" s="115">
        <f t="shared" si="2"/>
        <v>17</v>
      </c>
      <c r="C157" s="115">
        <f t="shared" si="3"/>
        <v>4</v>
      </c>
      <c r="D157" s="116" t="str" cm="1">
        <f t="array" ref="D157">INDEX('Chemo-2'!$B$2:$H$30,1+B157,C157)</f>
        <v>* differential.element[18].definition = "If the dose was calculated, please report the measure unit of the calculation
1 =&gt; mg/m2
2 =&gt; gr/m2
3 =&gt; UI/m2
4 =&gt; NK
5 =&gt; NC (not calculated)"</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#CodeableConcept</v>
      </c>
    </row>
    <row r="161" spans="1:4" x14ac:dyDescent="0.75">
      <c r="A161" s="115">
        <v>127</v>
      </c>
      <c r="B161" s="115">
        <f t="shared" si="2"/>
        <v>18</v>
      </c>
      <c r="C161" s="115">
        <f t="shared" si="3"/>
        <v>1</v>
      </c>
      <c r="D161" s="116" t="str" cm="1">
        <f t="array" ref="D161">INDEX('Chemo-2'!$B$2:$H$30,1+B161,C161)</f>
        <v>* differential.element[19].id = "Chemotherapy.corticosteroids"</v>
      </c>
    </row>
    <row r="162" spans="1:4" x14ac:dyDescent="0.75">
      <c r="A162" s="115">
        <v>128</v>
      </c>
      <c r="B162" s="115">
        <f t="shared" si="2"/>
        <v>18</v>
      </c>
      <c r="C162" s="115">
        <f t="shared" si="3"/>
        <v>2</v>
      </c>
      <c r="D162" s="116" t="str" cm="1">
        <f t="array" ref="D162">INDEX('Chemo-2'!$B$2:$H$30,1+B162,C162)</f>
        <v>* differential.element[19].path = "Chemotherapy.corticosteroids"</v>
      </c>
    </row>
    <row r="163" spans="1:4" x14ac:dyDescent="0.75">
      <c r="A163" s="115">
        <v>129</v>
      </c>
      <c r="B163" s="115">
        <f t="shared" si="2"/>
        <v>18</v>
      </c>
      <c r="C163" s="115">
        <f t="shared" si="3"/>
        <v>3</v>
      </c>
      <c r="D163" s="116" t="str" cm="1">
        <f t="array" ref="D163">INDEX('Chemo-2'!$B$2:$H$30,1+B163,C163)</f>
        <v>* differential.element[19].short = "Prolonged corticosteroids as anti-cancer treatment at least 4 weeks continuously"</v>
      </c>
    </row>
    <row r="164" spans="1:4" x14ac:dyDescent="0.75">
      <c r="A164" s="115">
        <v>130</v>
      </c>
      <c r="B164" s="115">
        <f t="shared" ref="B164:B227" si="4">IF(MOD(A164,7)=0,A164/7-1,INT(A164/7))</f>
        <v>18</v>
      </c>
      <c r="C164" s="115">
        <f t="shared" ref="C164:C227" si="5">IF(MOD(A164,7)=0,7,MOD(A164,7))</f>
        <v>4</v>
      </c>
      <c r="D164" s="116" t="str" cm="1">
        <f t="array" ref="D164">INDEX('Chemo-2'!$B$2:$H$30,1+B164,C164)</f>
        <v>* differential.element[19].definition = "Report 'yes' if the survivor was treated with steroids for at least 4 weeks continuously
1 =&gt; Yes
2 =&gt; No
-9922 =&gt; NK"</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"Chemotherapy.intrathecalInjections"</v>
      </c>
    </row>
    <row r="169" spans="1:4" x14ac:dyDescent="0.75">
      <c r="A169" s="115">
        <v>135</v>
      </c>
      <c r="B169" s="115">
        <f t="shared" si="4"/>
        <v>19</v>
      </c>
      <c r="C169" s="115">
        <f t="shared" si="5"/>
        <v>2</v>
      </c>
      <c r="D169" s="116" t="str" cm="1">
        <f t="array" ref="D169">INDEX('Chemo-2'!$B$2:$H$30,1+B169,C169)</f>
        <v>* differential.element[20].path = "Chemotherapy.intrathecalInjections"</v>
      </c>
    </row>
    <row r="170" spans="1:4" x14ac:dyDescent="0.75">
      <c r="A170" s="115">
        <v>136</v>
      </c>
      <c r="B170" s="115">
        <f t="shared" si="4"/>
        <v>19</v>
      </c>
      <c r="C170" s="115">
        <f t="shared" si="5"/>
        <v>3</v>
      </c>
      <c r="D170" s="116" t="str" cm="1">
        <f t="array" ref="D170">INDEX('Chemo-2'!$B$2:$H$30,1+B170,C170)</f>
        <v>* differential.element[20].short = "Intrathecal injections"</v>
      </c>
    </row>
    <row r="171" spans="1:4" x14ac:dyDescent="0.75">
      <c r="A171" s="115">
        <v>137</v>
      </c>
      <c r="B171" s="115">
        <f t="shared" si="4"/>
        <v>19</v>
      </c>
      <c r="C171" s="115">
        <f t="shared" si="5"/>
        <v>4</v>
      </c>
      <c r="D171" s="116" t="str" cm="1">
        <f t="array" ref="D171">INDEX('Chemo-2'!$B$2:$H$30,1+B171,C171)</f>
        <v>* differential.element[20].definition = "Intrathecal injections"</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#BackboneElement</v>
      </c>
    </row>
    <row r="175" spans="1:4" x14ac:dyDescent="0.75">
      <c r="A175" s="115">
        <v>141</v>
      </c>
      <c r="B175" s="115">
        <f t="shared" si="4"/>
        <v>20</v>
      </c>
      <c r="C175" s="115">
        <f t="shared" si="5"/>
        <v>1</v>
      </c>
      <c r="D175" s="116" t="str" cm="1">
        <f t="array" ref="D175">INDEX('Chemo-2'!$B$2:$H$30,1+B175,C175)</f>
        <v>* differential.element[21].id = "Chemotherapy.intrathecalInjections.status"</v>
      </c>
    </row>
    <row r="176" spans="1:4" x14ac:dyDescent="0.75">
      <c r="A176" s="115">
        <v>142</v>
      </c>
      <c r="B176" s="115">
        <f t="shared" si="4"/>
        <v>20</v>
      </c>
      <c r="C176" s="115">
        <f t="shared" si="5"/>
        <v>2</v>
      </c>
      <c r="D176" s="116" t="str" cm="1">
        <f t="array" ref="D176">INDEX('Chemo-2'!$B$2:$H$30,1+B176,C176)</f>
        <v>* differential.element[21].path = "Chemotherapy.intrathecalInjections.status"</v>
      </c>
    </row>
    <row r="177" spans="1:4" x14ac:dyDescent="0.75">
      <c r="A177" s="115">
        <v>143</v>
      </c>
      <c r="B177" s="115">
        <f t="shared" si="4"/>
        <v>20</v>
      </c>
      <c r="C177" s="115">
        <f t="shared" si="5"/>
        <v>3</v>
      </c>
      <c r="D177" s="116" t="str" cm="1">
        <f t="array" ref="D177">INDEX('Chemo-2'!$B$2:$H$30,1+B177,C177)</f>
        <v>* differential.element[21].short = "Did the survivor receive therapeutic intrathecal injections ?"</v>
      </c>
    </row>
    <row r="178" spans="1:4" x14ac:dyDescent="0.75">
      <c r="A178" s="115">
        <v>144</v>
      </c>
      <c r="B178" s="115">
        <f t="shared" si="4"/>
        <v>20</v>
      </c>
      <c r="C178" s="115">
        <f t="shared" si="5"/>
        <v>4</v>
      </c>
      <c r="D178" s="116" t="str" cm="1">
        <f t="array" ref="D178">INDEX('Chemo-2'!$B$2:$H$30,1+B178,C178)</f>
        <v>* differential.element[21].definition = "Please state if the survivor received any therapeutic intrathecal injections
1 =&gt; Yes
2 =&gt; No
-9922 =&gt; NK"</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#CodeableConcept</v>
      </c>
    </row>
    <row r="182" spans="1:4" x14ac:dyDescent="0.75">
      <c r="A182" s="115">
        <v>148</v>
      </c>
      <c r="B182" s="115">
        <f t="shared" si="4"/>
        <v>21</v>
      </c>
      <c r="C182" s="115">
        <f t="shared" si="5"/>
        <v>1</v>
      </c>
      <c r="D182" s="116" t="str" cm="1">
        <f t="array" ref="D182">INDEX('Chemo-2'!$B$2:$H$30,1+B182,C182)</f>
        <v>* differential.element[22].id = "Chemotherapy.intrathecalInjections.number"</v>
      </c>
    </row>
    <row r="183" spans="1:4" x14ac:dyDescent="0.75">
      <c r="A183" s="115">
        <v>149</v>
      </c>
      <c r="B183" s="115">
        <f t="shared" si="4"/>
        <v>21</v>
      </c>
      <c r="C183" s="115">
        <f t="shared" si="5"/>
        <v>2</v>
      </c>
      <c r="D183" s="116" t="str" cm="1">
        <f t="array" ref="D183">INDEX('Chemo-2'!$B$2:$H$30,1+B183,C183)</f>
        <v>* differential.element[22].path = "Chemotherapy.intrathecalInjections.number"</v>
      </c>
    </row>
    <row r="184" spans="1:4" x14ac:dyDescent="0.75">
      <c r="A184" s="115">
        <v>150</v>
      </c>
      <c r="B184" s="115">
        <f t="shared" si="4"/>
        <v>21</v>
      </c>
      <c r="C184" s="115">
        <f t="shared" si="5"/>
        <v>3</v>
      </c>
      <c r="D184" s="116" t="str" cm="1">
        <f t="array" ref="D184">INDEX('Chemo-2'!$B$2:$H$30,1+B184,C184)</f>
        <v>* differential.element[22].short = "Total number"</v>
      </c>
    </row>
    <row r="185" spans="1:4" x14ac:dyDescent="0.75">
      <c r="A185" s="115">
        <v>151</v>
      </c>
      <c r="B185" s="115">
        <f t="shared" si="4"/>
        <v>21</v>
      </c>
      <c r="C185" s="115">
        <f t="shared" si="5"/>
        <v>4</v>
      </c>
      <c r="D185" s="116" t="str" cm="1">
        <f t="array" ref="D185">INDEX('Chemo-2'!$B$2:$H$30,1+B185,C185)</f>
        <v>* differential.element[22].definition = "Report the total number of injections"</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#integer</v>
      </c>
    </row>
    <row r="189" spans="1:4" x14ac:dyDescent="0.75">
      <c r="A189" s="115">
        <v>155</v>
      </c>
      <c r="B189" s="115">
        <f t="shared" si="4"/>
        <v>22</v>
      </c>
      <c r="C189" s="115">
        <f t="shared" si="5"/>
        <v>1</v>
      </c>
      <c r="D189" s="116" t="str" cm="1">
        <f t="array" ref="D189">INDEX('Chemo-2'!$B$2:$H$30,1+B189,C189)</f>
        <v>* differential.element[23].id = "Chemotherapy.intrathecalInjections.productName"</v>
      </c>
    </row>
    <row r="190" spans="1:4" x14ac:dyDescent="0.75">
      <c r="A190" s="115">
        <v>156</v>
      </c>
      <c r="B190" s="115">
        <f t="shared" si="4"/>
        <v>22</v>
      </c>
      <c r="C190" s="115">
        <f t="shared" si="5"/>
        <v>2</v>
      </c>
      <c r="D190" s="116" t="str" cm="1">
        <f t="array" ref="D190">INDEX('Chemo-2'!$B$2:$H$30,1+B190,C190)</f>
        <v>* differential.element[23].path = "Chemotherapy.intrathecalInjections.productName"</v>
      </c>
    </row>
    <row r="191" spans="1:4" x14ac:dyDescent="0.75">
      <c r="A191" s="115">
        <v>157</v>
      </c>
      <c r="B191" s="115">
        <f t="shared" si="4"/>
        <v>22</v>
      </c>
      <c r="C191" s="115">
        <f t="shared" si="5"/>
        <v>3</v>
      </c>
      <c r="D191" s="116" t="str" cm="1">
        <f t="array" ref="D191">INDEX('Chemo-2'!$B$2:$H$30,1+B191,C191)</f>
        <v>* differential.element[23].short = "Drug(s) administered"</v>
      </c>
    </row>
    <row r="192" spans="1:4" x14ac:dyDescent="0.75">
      <c r="A192" s="115">
        <v>158</v>
      </c>
      <c r="B192" s="115">
        <f t="shared" si="4"/>
        <v>22</v>
      </c>
      <c r="C192" s="115">
        <f t="shared" si="5"/>
        <v>4</v>
      </c>
      <c r="D192" s="116" t="str" cm="1">
        <f t="array" ref="D192">INDEX('Chemo-2'!$B$2:$H$30,1+B192,C192)</f>
        <v>* differential.element[23].definition = "Please report the names of drugs injected intrathecal"</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v>
      </c>
    </row>
    <row r="195" spans="1:4" x14ac:dyDescent="0.75">
      <c r="A195" s="115">
        <v>161</v>
      </c>
      <c r="B195" s="115">
        <f t="shared" si="4"/>
        <v>22</v>
      </c>
      <c r="C195" s="115">
        <f t="shared" si="5"/>
        <v>7</v>
      </c>
      <c r="D195" s="116" t="str" cm="1">
        <f t="array" ref="D195">INDEX('Chemo-2'!$B$2:$H$30,1+B195,C195)</f>
        <v>* differential.element[23].type.code = #string</v>
      </c>
    </row>
    <row r="196" spans="1:4" x14ac:dyDescent="0.75">
      <c r="A196" s="115">
        <v>162</v>
      </c>
      <c r="B196" s="115">
        <f t="shared" si="4"/>
        <v>23</v>
      </c>
      <c r="C196" s="115">
        <f t="shared" si="5"/>
        <v>1</v>
      </c>
      <c r="D196" s="116" t="str" cm="1">
        <f t="array" ref="D196">INDEX('Chemo-2'!$B$2:$H$30,1+B196,C196)</f>
        <v>* differential.element[24].id = "Chemotherapy.otherTreatments"</v>
      </c>
    </row>
    <row r="197" spans="1:4" x14ac:dyDescent="0.75">
      <c r="A197" s="115">
        <v>163</v>
      </c>
      <c r="B197" s="115">
        <f t="shared" si="4"/>
        <v>23</v>
      </c>
      <c r="C197" s="115">
        <f t="shared" si="5"/>
        <v>2</v>
      </c>
      <c r="D197" s="116" t="str" cm="1">
        <f t="array" ref="D197">INDEX('Chemo-2'!$B$2:$H$30,1+B197,C197)</f>
        <v>* differential.element[24].path = "Chemotherapy.otherTreatments"</v>
      </c>
    </row>
    <row r="198" spans="1:4" x14ac:dyDescent="0.75">
      <c r="A198" s="115">
        <v>164</v>
      </c>
      <c r="B198" s="115">
        <f t="shared" si="4"/>
        <v>23</v>
      </c>
      <c r="C198" s="115">
        <f t="shared" si="5"/>
        <v>3</v>
      </c>
      <c r="D198" s="116" t="str" cm="1">
        <f t="array" ref="D198">INDEX('Chemo-2'!$B$2:$H$30,1+B198,C198)</f>
        <v>* differential.element[24].short = "Other chemothrapeutic treatments"</v>
      </c>
    </row>
    <row r="199" spans="1:4" x14ac:dyDescent="0.75">
      <c r="A199" s="115">
        <v>165</v>
      </c>
      <c r="B199" s="115">
        <f t="shared" si="4"/>
        <v>23</v>
      </c>
      <c r="C199" s="115">
        <f t="shared" si="5"/>
        <v>4</v>
      </c>
      <c r="D199" s="116" t="str" cm="1">
        <f t="array" ref="D199">INDEX('Chemo-2'!$B$2:$H$30,1+B199,C199)</f>
        <v>* differential.element[24].definition = "Report any other chemothrapeutic treatments that are not included in the ATC code"</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"1"</v>
      </c>
    </row>
    <row r="202" spans="1:4" x14ac:dyDescent="0.75">
      <c r="A202" s="115">
        <v>168</v>
      </c>
      <c r="B202" s="115">
        <f t="shared" si="4"/>
        <v>23</v>
      </c>
      <c r="C202" s="115">
        <f t="shared" si="5"/>
        <v>7</v>
      </c>
      <c r="D202" s="116" t="str" cm="1">
        <f t="array" ref="D202">INDEX('Chemo-2'!$B$2:$H$30,1+B202,C202)</f>
        <v>* differential.element[24].type.code = #BackboneElement</v>
      </c>
    </row>
    <row r="203" spans="1:4" x14ac:dyDescent="0.75">
      <c r="A203" s="115">
        <v>169</v>
      </c>
      <c r="B203" s="115">
        <f t="shared" si="4"/>
        <v>24</v>
      </c>
      <c r="C203" s="115">
        <f t="shared" si="5"/>
        <v>1</v>
      </c>
      <c r="D203" s="116" t="str" cm="1">
        <f t="array" ref="D203">INDEX('Chemo-2'!$B$2:$H$30,1+B203,C203)</f>
        <v>* differential.element[25].id = "Chemotherapy.otherTreatments.productName"</v>
      </c>
    </row>
    <row r="204" spans="1:4" x14ac:dyDescent="0.75">
      <c r="A204" s="115">
        <v>170</v>
      </c>
      <c r="B204" s="115">
        <f t="shared" si="4"/>
        <v>24</v>
      </c>
      <c r="C204" s="115">
        <f t="shared" si="5"/>
        <v>2</v>
      </c>
      <c r="D204" s="116" t="str" cm="1">
        <f t="array" ref="D204">INDEX('Chemo-2'!$B$2:$H$30,1+B204,C204)</f>
        <v>* differential.element[25].path = "Chemotherapy.otherTreatments.productName"</v>
      </c>
    </row>
    <row r="205" spans="1:4" x14ac:dyDescent="0.75">
      <c r="A205" s="115">
        <v>171</v>
      </c>
      <c r="B205" s="115">
        <f t="shared" si="4"/>
        <v>24</v>
      </c>
      <c r="C205" s="115">
        <f t="shared" si="5"/>
        <v>3</v>
      </c>
      <c r="D205" s="116" t="str" cm="1">
        <f t="array" ref="D205">INDEX('Chemo-2'!$B$2:$H$30,1+B205,C205)</f>
        <v>* differential.element[25].short = "Drugs name"</v>
      </c>
    </row>
    <row r="206" spans="1:4" x14ac:dyDescent="0.75">
      <c r="A206" s="115">
        <v>172</v>
      </c>
      <c r="B206" s="115">
        <f t="shared" si="4"/>
        <v>24</v>
      </c>
      <c r="C206" s="115">
        <f t="shared" si="5"/>
        <v>4</v>
      </c>
      <c r="D206" s="116" t="str" cm="1">
        <f t="array" ref="D206">INDEX('Chemo-2'!$B$2:$H$30,1+B206,C206)</f>
        <v>* differential.element[25].definition = "If yes, describe treatments"</v>
      </c>
    </row>
    <row r="207" spans="1:4" x14ac:dyDescent="0.75">
      <c r="A207" s="115">
        <v>173</v>
      </c>
      <c r="B207" s="115">
        <f t="shared" si="4"/>
        <v>24</v>
      </c>
      <c r="C207" s="115">
        <f t="shared" si="5"/>
        <v>5</v>
      </c>
      <c r="D207" s="116" t="str" cm="1">
        <f t="array" ref="D207">INDEX('Chemo-2'!$B$2:$H$30,1+B207,C207)</f>
        <v>* differential.element[25].min = 1</v>
      </c>
    </row>
    <row r="208" spans="1:4" x14ac:dyDescent="0.75">
      <c r="A208" s="115">
        <v>174</v>
      </c>
      <c r="B208" s="115">
        <f t="shared" si="4"/>
        <v>24</v>
      </c>
      <c r="C208" s="115">
        <f t="shared" si="5"/>
        <v>6</v>
      </c>
      <c r="D208" s="116" t="str" cm="1">
        <f t="array" ref="D208">INDEX('Chemo-2'!$B$2:$H$30,1+B208,C208)</f>
        <v>* differential.element[25].max = "*"</v>
      </c>
    </row>
    <row r="209" spans="1:4" x14ac:dyDescent="0.75">
      <c r="A209" s="115">
        <v>175</v>
      </c>
      <c r="B209" s="115">
        <f t="shared" si="4"/>
        <v>24</v>
      </c>
      <c r="C209" s="115">
        <f t="shared" si="5"/>
        <v>7</v>
      </c>
      <c r="D209" s="116" t="str" cm="1">
        <f t="array" ref="D209">INDEX('Chemo-2'!$B$2:$H$30,1+B209,C209)</f>
        <v>* differential.element[25].type.code = #string</v>
      </c>
    </row>
    <row r="210" spans="1:4" x14ac:dyDescent="0.75">
      <c r="A210" s="115">
        <v>176</v>
      </c>
      <c r="B210" s="115">
        <f t="shared" si="4"/>
        <v>25</v>
      </c>
      <c r="C210" s="115">
        <f t="shared" si="5"/>
        <v>1</v>
      </c>
      <c r="D210" s="116"/>
    </row>
    <row r="211" spans="1:4" x14ac:dyDescent="0.75">
      <c r="A211" s="115">
        <v>177</v>
      </c>
      <c r="B211" s="115">
        <f t="shared" si="4"/>
        <v>25</v>
      </c>
      <c r="C211" s="115">
        <f t="shared" si="5"/>
        <v>2</v>
      </c>
      <c r="D211" s="116"/>
    </row>
    <row r="212" spans="1:4" x14ac:dyDescent="0.75">
      <c r="A212" s="115">
        <v>178</v>
      </c>
      <c r="B212" s="115">
        <f t="shared" si="4"/>
        <v>25</v>
      </c>
      <c r="C212" s="115">
        <f t="shared" si="5"/>
        <v>3</v>
      </c>
      <c r="D212" s="116"/>
    </row>
    <row r="213" spans="1:4" x14ac:dyDescent="0.75">
      <c r="A213" s="115">
        <v>179</v>
      </c>
      <c r="B213" s="115">
        <f t="shared" si="4"/>
        <v>25</v>
      </c>
      <c r="C213" s="115">
        <f t="shared" si="5"/>
        <v>4</v>
      </c>
      <c r="D213" s="116"/>
    </row>
    <row r="214" spans="1:4" x14ac:dyDescent="0.75">
      <c r="A214" s="115">
        <v>180</v>
      </c>
      <c r="B214" s="115">
        <f t="shared" si="4"/>
        <v>25</v>
      </c>
      <c r="C214" s="115">
        <f t="shared" si="5"/>
        <v>5</v>
      </c>
      <c r="D214" s="116"/>
    </row>
    <row r="215" spans="1:4" x14ac:dyDescent="0.75">
      <c r="A215" s="115">
        <v>181</v>
      </c>
      <c r="B215" s="115">
        <f t="shared" si="4"/>
        <v>25</v>
      </c>
      <c r="C215" s="115">
        <f t="shared" si="5"/>
        <v>6</v>
      </c>
      <c r="D215" s="116"/>
    </row>
    <row r="216" spans="1:4" x14ac:dyDescent="0.75">
      <c r="A216" s="115">
        <v>182</v>
      </c>
      <c r="B216" s="115">
        <f t="shared" si="4"/>
        <v>25</v>
      </c>
      <c r="C216" s="115">
        <f t="shared" si="5"/>
        <v>7</v>
      </c>
      <c r="D216" s="116"/>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tabSelected="1" topLeftCell="A16" workbookViewId="0">
      <selection activeCell="D26" sqref="D26"/>
    </sheetView>
  </sheetViews>
  <sheetFormatPr defaultRowHeight="14.75" x14ac:dyDescent="0.75"/>
  <cols>
    <col min="1" max="2" width="8.7265625" style="113"/>
    <col min="3" max="3" width="37.2265625" style="114" customWidth="1"/>
    <col min="4" max="4" width="80.5429687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1212</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1209</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 .reasonReference"</v>
      </c>
      <c r="K8" s="114" t="str">
        <f t="shared" ref="K8:K50" si="3">IF(E8&gt;"",CONCATENATE("* differential.element[",$B8,"].mapping[",$A8,"].comment = """,E8,""""),"")</f>
        <v/>
      </c>
      <c r="M8" s="46"/>
      <c r="N8" s="113" t="str">
        <f t="shared" ref="N8:N41" si="4">CONCATENATE("* ",C8," -&gt; """,D8,"""")</f>
        <v>* relatedDiagnosis -&gt; " .reasonReference"</v>
      </c>
    </row>
    <row r="9" spans="1:14" ht="29.5" x14ac:dyDescent="0.75">
      <c r="A9" s="115">
        <v>0</v>
      </c>
      <c r="B9" s="115">
        <f>'Chemo-1'!A8</f>
        <v>2</v>
      </c>
      <c r="C9" s="116" t="str">
        <f>'Chemo-1'!B8</f>
        <v>startDate</v>
      </c>
      <c r="D9" s="50" t="s">
        <v>1210</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1211</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73.75" x14ac:dyDescent="0.75">
      <c r="A11" s="115">
        <v>0</v>
      </c>
      <c r="B11" s="115">
        <f>'Chemo-1'!A10</f>
        <v>4</v>
      </c>
      <c r="C11" s="116" t="str">
        <f>'Chemo-1'!B10</f>
        <v>istitutionOfTreatment</v>
      </c>
      <c r="D11" s="115" t="s">
        <v>1219</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50" t="s">
        <v>1220</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50" t="s">
        <v>1221</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50" t="s">
        <v>1222</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50" t="s">
        <v>1223</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1213</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1214</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88.5" x14ac:dyDescent="0.75">
      <c r="A19" s="115">
        <v>0</v>
      </c>
      <c r="B19" s="115">
        <f>'Chemo-1'!A18</f>
        <v>12</v>
      </c>
      <c r="C19" s="116" t="str">
        <f>'Chemo-1'!B18</f>
        <v>productAdministration.cumulativeDose</v>
      </c>
      <c r="D19" s="115" t="s">
        <v>1224</v>
      </c>
      <c r="H19" s="113" t="b">
        <f t="shared" si="0"/>
        <v>1</v>
      </c>
      <c r="I19" s="114" t="str">
        <f t="shared" si="1"/>
        <v>* differential.element[12].mapping[0].identity = "fhir"</v>
      </c>
      <c r="J19" s="114" t="str">
        <f t="shared" si="2"/>
        <v>* differential.element[12].mapping[0].map = ".extension(http://hl7.eu/fhir/ig/pcsp/StructureDefinition/ResourceRelatedInfo-eu-pcsp).conformsTo(http://hl7.eu/fhir/ig/pcsp/StructureDefinition/Observation-cumulativeDoseChemo-eu-pcsp)"</v>
      </c>
      <c r="K19" s="114" t="str">
        <f t="shared" si="3"/>
        <v/>
      </c>
      <c r="N19" s="113" t="str">
        <f t="shared" si="4"/>
        <v>* productAdministration.cumulativeDose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productAdministration.cumulativeDose.notAvailable</v>
      </c>
      <c r="D20" s="115"/>
      <c r="H20" s="113" t="b">
        <f t="shared" si="0"/>
        <v>0</v>
      </c>
      <c r="I20" s="114" t="str">
        <f t="shared" si="1"/>
        <v/>
      </c>
      <c r="J20" s="114" t="str">
        <f t="shared" si="2"/>
        <v/>
      </c>
      <c r="K20" s="114" t="str">
        <f t="shared" si="3"/>
        <v/>
      </c>
      <c r="N20" s="113" t="str">
        <f t="shared" si="4"/>
        <v>* productAdministration.cumulativeDose.notAvailable -&gt; ""</v>
      </c>
    </row>
    <row r="21" spans="1:14" ht="29.5" x14ac:dyDescent="0.75">
      <c r="A21" s="115">
        <v>0</v>
      </c>
      <c r="B21" s="115">
        <f>'Chemo-1'!A20</f>
        <v>14</v>
      </c>
      <c r="C21" s="116" t="str">
        <f>'Chemo-1'!B20</f>
        <v>productAdministration.cumulativeDose.measureType</v>
      </c>
      <c r="D21" s="115"/>
      <c r="H21" s="113" t="b">
        <f t="shared" si="0"/>
        <v>0</v>
      </c>
      <c r="I21" s="114" t="str">
        <f t="shared" si="1"/>
        <v/>
      </c>
      <c r="J21" s="114" t="str">
        <f t="shared" si="2"/>
        <v/>
      </c>
      <c r="K21" s="114" t="str">
        <f t="shared" si="3"/>
        <v/>
      </c>
      <c r="N21" s="113" t="str">
        <f t="shared" si="4"/>
        <v>* productAdministration.cumulativeDose.measureType -&gt; ""</v>
      </c>
    </row>
    <row r="22" spans="1:14" ht="29.5" x14ac:dyDescent="0.75">
      <c r="A22" s="115">
        <v>0</v>
      </c>
      <c r="B22" s="115">
        <f>'Chemo-1'!A21</f>
        <v>15</v>
      </c>
      <c r="C22" s="116" t="str">
        <f>'Chemo-1'!B21</f>
        <v>productAdministration.cumulativeDose.completionStatus</v>
      </c>
      <c r="D22" s="115"/>
      <c r="H22" s="113" t="b">
        <f t="shared" si="0"/>
        <v>0</v>
      </c>
      <c r="I22" s="114" t="str">
        <f t="shared" si="1"/>
        <v/>
      </c>
      <c r="J22" s="114" t="str">
        <f t="shared" si="2"/>
        <v/>
      </c>
      <c r="K22" s="114" t="str">
        <f t="shared" si="3"/>
        <v/>
      </c>
      <c r="N22" s="113" t="str">
        <f t="shared" si="4"/>
        <v>* productAdministration.cumulativeDose.completionStatus -&gt; ""</v>
      </c>
    </row>
    <row r="23" spans="1:14" ht="29.5" x14ac:dyDescent="0.75">
      <c r="A23" s="115">
        <v>0</v>
      </c>
      <c r="B23" s="115">
        <f>'Chemo-1'!A22</f>
        <v>16</v>
      </c>
      <c r="C23" s="116" t="str">
        <f>'Chemo-1'!B22</f>
        <v>productAdministration.cumulativeDose.statusReason</v>
      </c>
      <c r="D23" s="115"/>
      <c r="H23" s="113" t="b">
        <f t="shared" si="0"/>
        <v>0</v>
      </c>
      <c r="I23" s="114" t="str">
        <f t="shared" si="1"/>
        <v/>
      </c>
      <c r="J23" s="114" t="str">
        <f t="shared" si="2"/>
        <v/>
      </c>
      <c r="K23" s="114" t="str">
        <f t="shared" si="3"/>
        <v/>
      </c>
      <c r="N23" s="113" t="str">
        <f t="shared" si="4"/>
        <v>* productAdministration.cumulativeDose.statusReason -&gt; ""</v>
      </c>
    </row>
    <row r="24" spans="1:14" ht="29.5" x14ac:dyDescent="0.75">
      <c r="A24" s="115">
        <v>0</v>
      </c>
      <c r="B24" s="115">
        <f>'Chemo-1'!A23</f>
        <v>17</v>
      </c>
      <c r="C24" s="116" t="str">
        <f>'Chemo-1'!B23</f>
        <v>productAdministration.cumulativeDose.value</v>
      </c>
      <c r="D24" s="115"/>
      <c r="H24" s="113" t="b">
        <f t="shared" si="0"/>
        <v>0</v>
      </c>
      <c r="I24" s="114" t="str">
        <f t="shared" si="1"/>
        <v/>
      </c>
      <c r="J24" s="114" t="str">
        <f t="shared" si="2"/>
        <v/>
      </c>
      <c r="K24" s="114" t="str">
        <f t="shared" si="3"/>
        <v/>
      </c>
      <c r="N24" s="113" t="str">
        <f t="shared" si="4"/>
        <v>* productAdministration.cumulativeDose.value -&gt; ""</v>
      </c>
    </row>
    <row r="25" spans="1:14" ht="29.5" x14ac:dyDescent="0.75">
      <c r="A25" s="115">
        <v>0</v>
      </c>
      <c r="B25" s="115">
        <f>'Chemo-1'!A24</f>
        <v>18</v>
      </c>
      <c r="C25" s="116" t="str">
        <f>'Chemo-1'!B24</f>
        <v>productAdministration.cumulativeDose.unit</v>
      </c>
      <c r="D25" s="115"/>
      <c r="H25" s="113" t="b">
        <f t="shared" si="0"/>
        <v>0</v>
      </c>
      <c r="I25" s="114" t="str">
        <f t="shared" si="1"/>
        <v/>
      </c>
      <c r="J25" s="114" t="str">
        <f t="shared" si="2"/>
        <v/>
      </c>
      <c r="K25" s="114" t="str">
        <f t="shared" si="3"/>
        <v/>
      </c>
      <c r="N25" s="113" t="str">
        <f t="shared" si="4"/>
        <v>* productAdministration.cumulativeDose.unit -&gt; ""</v>
      </c>
    </row>
    <row r="26" spans="1:14" ht="88.5" x14ac:dyDescent="0.75">
      <c r="A26" s="115">
        <v>0</v>
      </c>
      <c r="B26" s="115">
        <f>'Chemo-1'!A25</f>
        <v>19</v>
      </c>
      <c r="C26" s="116" t="str">
        <f>'Chemo-1'!B25</f>
        <v>corticosteroids</v>
      </c>
      <c r="D26" s="116" t="s">
        <v>1242</v>
      </c>
      <c r="H26" s="113" t="b">
        <f t="shared" si="0"/>
        <v>1</v>
      </c>
      <c r="I26" s="114" t="str">
        <f t="shared" si="1"/>
        <v>* differential.element[19].mapping[0].identity = "fhir"</v>
      </c>
      <c r="J26" s="114" t="str">
        <f t="shared" si="2"/>
        <v>* differential.element[19].mapping[0].map = "MedicationStatement.where(medicationCodeableConcept = 'http://www.whocc.no/atc|H02' and dosage.timing.repeat.boundsDuration.where( value='4' and code = 'w' and comparator ='&gt;' )"</v>
      </c>
      <c r="K26" s="114" t="str">
        <f t="shared" si="3"/>
        <v/>
      </c>
      <c r="N26" s="113" t="str">
        <f t="shared" si="4"/>
        <v>* corticosteroids -&gt; "MedicationStatement.where(medicationCodeableConcept = 'http://www.whocc.no/atc|H02' and dosage.timing.repeat.boundsDuration.where( value='4' and code = 'w' and comparator ='&gt;' )"</v>
      </c>
    </row>
    <row r="27" spans="1:14" ht="44.25" x14ac:dyDescent="0.75">
      <c r="A27" s="115">
        <v>0</v>
      </c>
      <c r="B27" s="115">
        <f>'Chemo-1'!A26</f>
        <v>20</v>
      </c>
      <c r="C27" s="116" t="str">
        <f>'Chemo-1'!B26</f>
        <v>intrathecalInjections</v>
      </c>
      <c r="D27" s="115" t="s">
        <v>1225</v>
      </c>
      <c r="H27" s="113" t="b">
        <f t="shared" si="0"/>
        <v>1</v>
      </c>
      <c r="I27" s="114" t="str">
        <f t="shared" si="1"/>
        <v>* differential.element[20].mapping[0].identity = "fhir"</v>
      </c>
      <c r="J27" s="114" t="str">
        <f t="shared" si="2"/>
        <v>* differential.element[20].mapping[0].map = "MedicationStatement.where(dosage.route = https://standardterms.edqm.eu|20042000)"</v>
      </c>
      <c r="K27" s="114" t="str">
        <f t="shared" si="3"/>
        <v/>
      </c>
      <c r="N27" s="113" t="str">
        <f>CONCATENATE("* ",C27," -&gt; """,D28,"""")</f>
        <v>* intrathecalInjections -&gt; ".exists()"</v>
      </c>
    </row>
    <row r="28" spans="1:14" ht="29.5" x14ac:dyDescent="0.75">
      <c r="A28" s="115">
        <v>0</v>
      </c>
      <c r="B28" s="115">
        <f>'Chemo-1'!A27</f>
        <v>21</v>
      </c>
      <c r="C28" s="116" t="str">
        <f>'Chemo-1'!B27</f>
        <v>intrathecalInjections.status</v>
      </c>
      <c r="D28" s="115" t="s">
        <v>1217</v>
      </c>
      <c r="H28" s="113" t="b">
        <f t="shared" si="0"/>
        <v>1</v>
      </c>
      <c r="I28" s="114" t="str">
        <f t="shared" si="1"/>
        <v>* differential.element[21].mapping[0].identity = "fhir"</v>
      </c>
      <c r="J28" s="114" t="str">
        <f t="shared" si="2"/>
        <v>* differential.element[21].mapping[0].map = ".exists()"</v>
      </c>
      <c r="K28" s="114" t="str">
        <f t="shared" si="3"/>
        <v/>
      </c>
      <c r="N28" s="113" t="str">
        <f>CONCATENATE("* ",C28," -&gt; """,D27,"""")</f>
        <v>* intrathecalInjections.status -&gt; "MedicationStatement.where(dosage.route = https://standardterms.edqm.eu|20042000)"</v>
      </c>
    </row>
    <row r="29" spans="1:14" ht="44.25" x14ac:dyDescent="0.75">
      <c r="A29" s="115">
        <v>0</v>
      </c>
      <c r="B29" s="115">
        <f>'Chemo-1'!A28</f>
        <v>22</v>
      </c>
      <c r="C29" s="116" t="str">
        <f>'Chemo-1'!B28</f>
        <v>intrathecalInjections.number</v>
      </c>
      <c r="D29" s="116" t="s">
        <v>1218</v>
      </c>
      <c r="H29" s="113" t="b">
        <f t="shared" si="0"/>
        <v>1</v>
      </c>
      <c r="I29" s="114" t="str">
        <f t="shared" si="1"/>
        <v>* differential.element[22].mapping[0].identity = "fhir"</v>
      </c>
      <c r="J29" s="114" t="str">
        <f t="shared" si="2"/>
        <v>* differential.element[22].mapping[0].map = ".dosage.timing.repeat.count
.count()"</v>
      </c>
      <c r="K29" s="114" t="str">
        <f t="shared" si="3"/>
        <v/>
      </c>
      <c r="N29" s="113" t="str">
        <f t="shared" si="4"/>
        <v>* intrathecalInjections.number -&gt; ".dosage.timing.repeat.count
.count()"</v>
      </c>
    </row>
    <row r="30" spans="1:14" ht="29.5" x14ac:dyDescent="0.75">
      <c r="A30" s="115">
        <v>0</v>
      </c>
      <c r="B30" s="115">
        <f>'Chemo-1'!A29</f>
        <v>23</v>
      </c>
      <c r="C30" s="116" t="str">
        <f>'Chemo-1'!B29</f>
        <v>intrathecalInjections.productName</v>
      </c>
      <c r="D30" s="115" t="s">
        <v>1216</v>
      </c>
      <c r="H30" s="113" t="b">
        <f t="shared" si="0"/>
        <v>1</v>
      </c>
      <c r="I30" s="114" t="str">
        <f t="shared" si="1"/>
        <v>* differential.element[23].mapping[0].identity = "fhir"</v>
      </c>
      <c r="J30" s="114" t="str">
        <f t="shared" si="2"/>
        <v>* differential.element[23].mapping[0].map = ".medicationCodeableConcept.text"</v>
      </c>
      <c r="K30" s="114" t="str">
        <f t="shared" si="3"/>
        <v/>
      </c>
      <c r="N30" s="113" t="str">
        <f t="shared" si="4"/>
        <v>* intrathecalInjections.productName -&gt; ".medicationCodeableConcept.text"</v>
      </c>
    </row>
    <row r="31" spans="1:14" ht="29.5" x14ac:dyDescent="0.75">
      <c r="A31" s="115">
        <v>0</v>
      </c>
      <c r="B31" s="115">
        <f>'Chemo-1'!A30</f>
        <v>24</v>
      </c>
      <c r="C31" s="116" t="str">
        <f>'Chemo-1'!B30</f>
        <v>otherTreatments</v>
      </c>
      <c r="D31" s="115" t="s">
        <v>1215</v>
      </c>
      <c r="H31" s="113" t="b">
        <f t="shared" si="0"/>
        <v>1</v>
      </c>
      <c r="I31" s="114" t="str">
        <f t="shared" si="1"/>
        <v>* differential.element[24].mapping[0].identity = "fhir"</v>
      </c>
      <c r="J31" s="114" t="str">
        <f t="shared" si="2"/>
        <v>* differential.element[24].mapping[0].map = "MedicationStatement"</v>
      </c>
      <c r="K31" s="114" t="str">
        <f t="shared" si="3"/>
        <v/>
      </c>
      <c r="N31" s="113" t="str">
        <f t="shared" si="4"/>
        <v>* otherTreatments -&gt; "MedicationStatement"</v>
      </c>
    </row>
    <row r="32" spans="1:14" ht="29.5" x14ac:dyDescent="0.75">
      <c r="A32" s="115">
        <v>0</v>
      </c>
      <c r="B32" s="115">
        <f>'Chemo-1'!A31</f>
        <v>25</v>
      </c>
      <c r="C32" s="116" t="str">
        <f>'Chemo-1'!B31</f>
        <v>otherTreatments.productName</v>
      </c>
      <c r="D32" s="115" t="s">
        <v>1216</v>
      </c>
      <c r="H32" s="113" t="b">
        <f t="shared" si="0"/>
        <v>1</v>
      </c>
      <c r="I32" s="114" t="str">
        <f t="shared" si="1"/>
        <v>* differential.element[25].mapping[0].identity = "fhir"</v>
      </c>
      <c r="J32" s="114" t="str">
        <f t="shared" si="2"/>
        <v>* differential.element[25].mapping[0].map = ".medicationCodeableConcept.text"</v>
      </c>
      <c r="K32" s="114" t="str">
        <f t="shared" si="3"/>
        <v/>
      </c>
      <c r="N32" s="113" t="str">
        <f t="shared" si="4"/>
        <v>* otherTreatments.productName -&gt; ".medicationCodeableConcept.text"</v>
      </c>
    </row>
    <row r="33" spans="1:14" x14ac:dyDescent="0.75">
      <c r="A33" s="115">
        <v>0</v>
      </c>
      <c r="B33" s="115"/>
      <c r="C33" s="116"/>
      <c r="D33" s="115"/>
      <c r="H33" s="113" t="b">
        <f t="shared" si="0"/>
        <v>0</v>
      </c>
      <c r="I33" s="114" t="str">
        <f t="shared" si="1"/>
        <v/>
      </c>
      <c r="J33" s="114" t="str">
        <f t="shared" si="2"/>
        <v/>
      </c>
      <c r="K33" s="114" t="str">
        <f t="shared" si="3"/>
        <v/>
      </c>
      <c r="N33" s="113" t="str">
        <f t="shared" si="4"/>
        <v>*  -&gt; ""</v>
      </c>
    </row>
    <row r="34" spans="1:14" x14ac:dyDescent="0.75">
      <c r="A34" s="115">
        <v>0</v>
      </c>
      <c r="B34" s="115"/>
      <c r="C34" s="116"/>
      <c r="D34" s="115"/>
      <c r="H34" s="113" t="b">
        <f t="shared" si="0"/>
        <v>0</v>
      </c>
      <c r="I34" s="114" t="str">
        <f t="shared" si="1"/>
        <v/>
      </c>
      <c r="J34" s="114" t="str">
        <f t="shared" si="2"/>
        <v/>
      </c>
      <c r="K34" s="114" t="str">
        <f t="shared" si="3"/>
        <v/>
      </c>
      <c r="N34" s="113" t="str">
        <f t="shared" si="4"/>
        <v>*  -&gt; ""</v>
      </c>
    </row>
    <row r="35" spans="1:14" x14ac:dyDescent="0.75">
      <c r="A35" s="115">
        <v>0</v>
      </c>
      <c r="B35" s="115"/>
      <c r="C35" s="116"/>
      <c r="D35" s="116"/>
      <c r="H35" s="113" t="b">
        <f t="shared" si="0"/>
        <v>0</v>
      </c>
      <c r="I35" s="114" t="str">
        <f t="shared" si="1"/>
        <v/>
      </c>
      <c r="J35" s="114" t="str">
        <f t="shared" si="2"/>
        <v/>
      </c>
      <c r="K35" s="114" t="str">
        <f t="shared" si="3"/>
        <v/>
      </c>
      <c r="N35" s="113" t="str">
        <f t="shared" si="4"/>
        <v>*  -&gt; ""</v>
      </c>
    </row>
    <row r="36" spans="1:14" x14ac:dyDescent="0.75">
      <c r="A36" s="115">
        <v>0</v>
      </c>
      <c r="B36" s="115"/>
      <c r="C36" s="116"/>
      <c r="D36" s="115"/>
      <c r="H36" s="113" t="b">
        <f t="shared" si="0"/>
        <v>0</v>
      </c>
      <c r="I36" s="114" t="str">
        <f t="shared" si="1"/>
        <v/>
      </c>
      <c r="J36" s="114" t="str">
        <f t="shared" si="2"/>
        <v/>
      </c>
      <c r="K36" s="114" t="str">
        <f t="shared" si="3"/>
        <v/>
      </c>
      <c r="N36" s="113" t="str">
        <f t="shared" si="4"/>
        <v>*  -&gt; ""</v>
      </c>
    </row>
    <row r="37" spans="1:14" x14ac:dyDescent="0.75">
      <c r="A37" s="115">
        <v>0</v>
      </c>
      <c r="B37" s="115"/>
      <c r="C37" s="116"/>
      <c r="D37" s="115"/>
      <c r="H37" s="113" t="b">
        <f t="shared" si="0"/>
        <v>0</v>
      </c>
      <c r="I37" s="114" t="str">
        <f t="shared" si="1"/>
        <v/>
      </c>
      <c r="J37" s="114" t="str">
        <f t="shared" si="2"/>
        <v/>
      </c>
      <c r="K37" s="114" t="str">
        <f t="shared" si="3"/>
        <v/>
      </c>
      <c r="N37" s="113" t="str">
        <f t="shared" si="4"/>
        <v>*  -&gt; ""</v>
      </c>
    </row>
    <row r="38" spans="1:14" x14ac:dyDescent="0.75">
      <c r="A38" s="115">
        <v>0</v>
      </c>
      <c r="B38" s="115"/>
      <c r="C38" s="116"/>
      <c r="D38" s="115"/>
      <c r="H38" s="113" t="b">
        <f t="shared" si="0"/>
        <v>0</v>
      </c>
      <c r="I38" s="114" t="str">
        <f t="shared" si="1"/>
        <v/>
      </c>
      <c r="J38" s="114" t="str">
        <f t="shared" si="2"/>
        <v/>
      </c>
      <c r="K38" s="114" t="str">
        <f t="shared" si="3"/>
        <v/>
      </c>
      <c r="N38" s="113" t="str">
        <f t="shared" si="4"/>
        <v>*  -&gt; ""</v>
      </c>
    </row>
    <row r="39" spans="1:14" x14ac:dyDescent="0.75">
      <c r="A39" s="115">
        <v>0</v>
      </c>
      <c r="B39" s="115"/>
      <c r="C39" s="116"/>
      <c r="D39" s="115"/>
      <c r="H39" s="113" t="b">
        <f t="shared" si="0"/>
        <v>0</v>
      </c>
      <c r="I39" s="114" t="str">
        <f t="shared" si="1"/>
        <v/>
      </c>
      <c r="J39" s="114" t="str">
        <f t="shared" si="2"/>
        <v/>
      </c>
      <c r="K39" s="114" t="str">
        <f t="shared" si="3"/>
        <v/>
      </c>
      <c r="N39" s="113" t="str">
        <f t="shared" si="4"/>
        <v>*  -&gt; ""</v>
      </c>
    </row>
    <row r="40" spans="1:14" x14ac:dyDescent="0.75">
      <c r="A40" s="115">
        <v>0</v>
      </c>
      <c r="B40" s="115"/>
      <c r="C40" s="116"/>
      <c r="D40" s="115"/>
      <c r="H40" s="113" t="b">
        <f t="shared" si="0"/>
        <v>0</v>
      </c>
      <c r="I40" s="114" t="str">
        <f t="shared" si="1"/>
        <v/>
      </c>
      <c r="J40" s="114" t="str">
        <f t="shared" si="2"/>
        <v/>
      </c>
      <c r="K40" s="114" t="str">
        <f t="shared" si="3"/>
        <v/>
      </c>
      <c r="N40" s="113" t="str">
        <f t="shared" si="4"/>
        <v>*  -&gt; ""</v>
      </c>
    </row>
    <row r="41" spans="1:14" x14ac:dyDescent="0.75">
      <c r="A41" s="115">
        <v>0</v>
      </c>
      <c r="B41" s="115"/>
      <c r="C41" s="116"/>
      <c r="D41" s="115"/>
      <c r="H41" s="113" t="b">
        <f t="shared" si="0"/>
        <v>0</v>
      </c>
      <c r="I41" s="114" t="str">
        <f t="shared" si="1"/>
        <v/>
      </c>
      <c r="J41" s="114" t="str">
        <f t="shared" si="2"/>
        <v/>
      </c>
      <c r="K41" s="114" t="str">
        <f t="shared" si="3"/>
        <v/>
      </c>
      <c r="N41" s="113" t="str">
        <f t="shared" si="4"/>
        <v>*  -&gt; ""</v>
      </c>
    </row>
    <row r="42" spans="1:14" x14ac:dyDescent="0.75">
      <c r="A42" s="115"/>
      <c r="B42" s="115"/>
      <c r="C42" s="116"/>
      <c r="D42" s="115"/>
      <c r="H42" s="113" t="b">
        <f t="shared" si="0"/>
        <v>0</v>
      </c>
      <c r="I42" s="114" t="str">
        <f t="shared" si="1"/>
        <v/>
      </c>
      <c r="J42" s="114" t="str">
        <f t="shared" si="2"/>
        <v/>
      </c>
      <c r="K42" s="114" t="str">
        <f t="shared" si="3"/>
        <v/>
      </c>
    </row>
    <row r="43" spans="1:14" x14ac:dyDescent="0.75">
      <c r="A43" s="115"/>
      <c r="B43" s="115"/>
      <c r="C43" s="116"/>
      <c r="D43" s="115"/>
      <c r="H43" s="113" t="b">
        <f t="shared" si="0"/>
        <v>0</v>
      </c>
      <c r="I43" s="114" t="str">
        <f t="shared" si="1"/>
        <v/>
      </c>
      <c r="J43" s="114" t="str">
        <f t="shared" si="2"/>
        <v/>
      </c>
      <c r="K43" s="114" t="str">
        <f t="shared" si="3"/>
        <v/>
      </c>
    </row>
    <row r="44" spans="1:14" x14ac:dyDescent="0.75">
      <c r="A44" s="115"/>
      <c r="B44" s="115"/>
      <c r="C44" s="116"/>
      <c r="D44" s="115"/>
      <c r="H44" s="113" t="b">
        <f t="shared" si="0"/>
        <v>0</v>
      </c>
      <c r="I44" s="114" t="str">
        <f t="shared" si="1"/>
        <v/>
      </c>
      <c r="J44" s="114" t="str">
        <f t="shared" si="2"/>
        <v/>
      </c>
      <c r="K44" s="114" t="str">
        <f t="shared" si="3"/>
        <v/>
      </c>
    </row>
    <row r="45" spans="1:14" x14ac:dyDescent="0.75">
      <c r="A45" s="115"/>
      <c r="B45" s="115"/>
      <c r="C45" s="116"/>
      <c r="D45" s="115"/>
      <c r="H45" s="113" t="b">
        <f t="shared" si="0"/>
        <v>0</v>
      </c>
      <c r="I45" s="114" t="str">
        <f t="shared" si="1"/>
        <v/>
      </c>
      <c r="J45" s="114" t="str">
        <f t="shared" si="2"/>
        <v/>
      </c>
      <c r="K45" s="114" t="str">
        <f t="shared" si="3"/>
        <v/>
      </c>
    </row>
    <row r="46" spans="1:14" x14ac:dyDescent="0.75">
      <c r="C46" s="113"/>
      <c r="H46" s="113" t="b">
        <f t="shared" si="0"/>
        <v>0</v>
      </c>
      <c r="I46" s="114" t="str">
        <f t="shared" si="1"/>
        <v/>
      </c>
      <c r="J46" s="114" t="str">
        <f t="shared" si="2"/>
        <v/>
      </c>
      <c r="K46" s="114" t="str">
        <f t="shared" si="3"/>
        <v/>
      </c>
    </row>
    <row r="47" spans="1:14" x14ac:dyDescent="0.75">
      <c r="C47" s="113"/>
      <c r="H47" s="113" t="b">
        <f t="shared" si="0"/>
        <v>0</v>
      </c>
      <c r="I47" s="114" t="str">
        <f t="shared" si="1"/>
        <v/>
      </c>
      <c r="J47" s="114" t="str">
        <f t="shared" si="2"/>
        <v/>
      </c>
      <c r="K47" s="114" t="str">
        <f t="shared" si="3"/>
        <v/>
      </c>
    </row>
    <row r="48" spans="1:14" x14ac:dyDescent="0.75">
      <c r="C48" s="113"/>
      <c r="H48" s="113" t="b">
        <f t="shared" si="0"/>
        <v>0</v>
      </c>
      <c r="I48" s="114" t="str">
        <f t="shared" si="1"/>
        <v/>
      </c>
      <c r="J48" s="114" t="str">
        <f t="shared" si="2"/>
        <v/>
      </c>
      <c r="K48" s="114" t="str">
        <f t="shared" si="3"/>
        <v/>
      </c>
    </row>
    <row r="49" spans="3:11" x14ac:dyDescent="0.75">
      <c r="C49" s="113"/>
      <c r="H49" s="113" t="b">
        <f t="shared" si="0"/>
        <v>0</v>
      </c>
      <c r="I49" s="114" t="str">
        <f t="shared" si="1"/>
        <v/>
      </c>
      <c r="J49" s="114" t="str">
        <f t="shared" si="2"/>
        <v/>
      </c>
      <c r="K49" s="114" t="str">
        <f t="shared" si="3"/>
        <v/>
      </c>
    </row>
    <row r="50" spans="3:11" x14ac:dyDescent="0.75">
      <c r="C50" s="113"/>
      <c r="H50" s="113" t="b">
        <f t="shared" si="0"/>
        <v>0</v>
      </c>
      <c r="I50" s="114" t="str">
        <f t="shared" si="1"/>
        <v/>
      </c>
      <c r="J50" s="114" t="str">
        <f t="shared" si="2"/>
        <v/>
      </c>
      <c r="K50" s="114" t="str">
        <f t="shared" si="3"/>
        <v/>
      </c>
    </row>
    <row r="51" spans="3:11" x14ac:dyDescent="0.75">
      <c r="C51" s="113"/>
    </row>
    <row r="52" spans="3:11" x14ac:dyDescent="0.75">
      <c r="C52" s="113"/>
    </row>
    <row r="53" spans="3:11" x14ac:dyDescent="0.75">
      <c r="C53" s="113"/>
    </row>
    <row r="54" spans="3:11" x14ac:dyDescent="0.75">
      <c r="C54" s="113"/>
    </row>
    <row r="55" spans="3:11" x14ac:dyDescent="0.75">
      <c r="C55" s="113"/>
    </row>
    <row r="56" spans="3:11" x14ac:dyDescent="0.75">
      <c r="C56" s="113"/>
    </row>
    <row r="57" spans="3:11" x14ac:dyDescent="0.75">
      <c r="C57" s="113"/>
    </row>
    <row r="58" spans="3:11" x14ac:dyDescent="0.75">
      <c r="C58" s="113"/>
    </row>
    <row r="59" spans="3:11" x14ac:dyDescent="0.75">
      <c r="C59" s="113"/>
    </row>
    <row r="60" spans="3:11" x14ac:dyDescent="0.75">
      <c r="C60" s="113"/>
    </row>
    <row r="61" spans="3:11" x14ac:dyDescent="0.75">
      <c r="C61" s="113"/>
    </row>
    <row r="62" spans="3:11" x14ac:dyDescent="0.75">
      <c r="C62" s="113"/>
    </row>
    <row r="63" spans="3:11" x14ac:dyDescent="0.75">
      <c r="C63" s="113"/>
    </row>
    <row r="64" spans="3:11" x14ac:dyDescent="0.75">
      <c r="C64" s="113"/>
    </row>
    <row r="65" spans="2:3" x14ac:dyDescent="0.75">
      <c r="C65" s="113"/>
    </row>
    <row r="66" spans="2:3" x14ac:dyDescent="0.75">
      <c r="C66" s="113"/>
    </row>
    <row r="67" spans="2:3" x14ac:dyDescent="0.75">
      <c r="C67" s="113"/>
    </row>
    <row r="68" spans="2:3" x14ac:dyDescent="0.75">
      <c r="C68" s="113"/>
    </row>
    <row r="69" spans="2:3" x14ac:dyDescent="0.75">
      <c r="C69" s="113"/>
    </row>
    <row r="70" spans="2:3" x14ac:dyDescent="0.75">
      <c r="C70" s="113"/>
    </row>
    <row r="71" spans="2:3" x14ac:dyDescent="0.75">
      <c r="C71" s="113"/>
    </row>
    <row r="72" spans="2:3" x14ac:dyDescent="0.75">
      <c r="C72" s="113"/>
    </row>
    <row r="73" spans="2:3" x14ac:dyDescent="0.75">
      <c r="C73" s="113"/>
    </row>
    <row r="74" spans="2:3" x14ac:dyDescent="0.75">
      <c r="C74" s="113"/>
    </row>
    <row r="75" spans="2:3" x14ac:dyDescent="0.75">
      <c r="C75" s="113"/>
    </row>
    <row r="76" spans="2:3" x14ac:dyDescent="0.75">
      <c r="C76" s="113"/>
    </row>
    <row r="77" spans="2:3" x14ac:dyDescent="0.75">
      <c r="C77" s="113"/>
    </row>
    <row r="78" spans="2:3" x14ac:dyDescent="0.75">
      <c r="C78" s="113"/>
    </row>
    <row r="79" spans="2:3" x14ac:dyDescent="0.75">
      <c r="C79" s="113"/>
    </row>
    <row r="80" spans="2:3" x14ac:dyDescent="0.75">
      <c r="B80" s="113">
        <f>'Base-1'!A66</f>
        <v>0</v>
      </c>
      <c r="C80" s="114">
        <f>'Base-1'!B66</f>
        <v>0</v>
      </c>
    </row>
    <row r="81" spans="2:3" x14ac:dyDescent="0.75">
      <c r="B81" s="113">
        <f>'Base-1'!A67</f>
        <v>0</v>
      </c>
      <c r="C81" s="114">
        <f>'Base-1'!B67</f>
        <v>0</v>
      </c>
    </row>
    <row r="82" spans="2:3" x14ac:dyDescent="0.75">
      <c r="B82" s="113">
        <f>'Base-1'!A68</f>
        <v>0</v>
      </c>
      <c r="C82" s="114">
        <f>'Base-1'!B68</f>
        <v>0</v>
      </c>
    </row>
    <row r="83" spans="2:3" x14ac:dyDescent="0.75">
      <c r="B83" s="113">
        <f>'Base-1'!A69</f>
        <v>0</v>
      </c>
      <c r="C83" s="114">
        <f>'Base-1'!B69</f>
        <v>0</v>
      </c>
    </row>
    <row r="84" spans="2:3" x14ac:dyDescent="0.75">
      <c r="B84" s="113">
        <f>'Base-1'!A70</f>
        <v>0</v>
      </c>
      <c r="C84" s="114">
        <f>'Base-1'!B70</f>
        <v>0</v>
      </c>
    </row>
    <row r="85" spans="2:3" x14ac:dyDescent="0.75">
      <c r="B85" s="113">
        <f>'Base-1'!A71</f>
        <v>0</v>
      </c>
      <c r="C85" s="114">
        <f>'Base-1'!B71</f>
        <v>0</v>
      </c>
    </row>
    <row r="86" spans="2:3" x14ac:dyDescent="0.75">
      <c r="B86" s="113">
        <f>'Base-1'!A72</f>
        <v>0</v>
      </c>
      <c r="C86" s="114">
        <f>'Base-1'!B72</f>
        <v>0</v>
      </c>
    </row>
    <row r="87" spans="2:3" x14ac:dyDescent="0.75">
      <c r="B87" s="113">
        <f>'Base-1'!A73</f>
        <v>0</v>
      </c>
      <c r="C87" s="114">
        <f>'Base-1'!B73</f>
        <v>0</v>
      </c>
    </row>
    <row r="88" spans="2:3" x14ac:dyDescent="0.75">
      <c r="B88" s="113">
        <f>'Base-1'!A74</f>
        <v>0</v>
      </c>
      <c r="C88" s="114">
        <f>'Base-1'!B74</f>
        <v>0</v>
      </c>
    </row>
    <row r="89" spans="2:3" x14ac:dyDescent="0.75">
      <c r="B89" s="113">
        <f>'Base-1'!A75</f>
        <v>0</v>
      </c>
      <c r="C89" s="114">
        <f>'Base-1'!B75</f>
        <v>0</v>
      </c>
    </row>
    <row r="90" spans="2:3" x14ac:dyDescent="0.75">
      <c r="B90" s="113">
        <f>'Base-1'!A76</f>
        <v>0</v>
      </c>
      <c r="C90" s="114">
        <f>'Base-1'!B76</f>
        <v>0</v>
      </c>
    </row>
    <row r="91" spans="2:3" x14ac:dyDescent="0.75">
      <c r="B91" s="113">
        <f>'Base-1'!A77</f>
        <v>0</v>
      </c>
      <c r="C91" s="114">
        <f>'Base-1'!B77</f>
        <v>0</v>
      </c>
    </row>
    <row r="92" spans="2:3" x14ac:dyDescent="0.75">
      <c r="B92" s="113">
        <f>'Base-1'!A78</f>
        <v>0</v>
      </c>
      <c r="C92" s="114">
        <f>'Base-1'!B78</f>
        <v>0</v>
      </c>
    </row>
    <row r="93" spans="2:3" x14ac:dyDescent="0.75">
      <c r="B93" s="113">
        <f>'Base-1'!A79</f>
        <v>0</v>
      </c>
      <c r="C93" s="114">
        <f>'Base-1'!B79</f>
        <v>0</v>
      </c>
    </row>
    <row r="94" spans="2:3" x14ac:dyDescent="0.75">
      <c r="B94" s="113">
        <f>'Base-1'!A80</f>
        <v>0</v>
      </c>
      <c r="C94" s="114">
        <f>'Base-1'!B80</f>
        <v>0</v>
      </c>
    </row>
    <row r="95" spans="2:3" x14ac:dyDescent="0.75">
      <c r="B95" s="113">
        <f>'Base-1'!A81</f>
        <v>0</v>
      </c>
      <c r="C95" s="114">
        <f>'Base-1'!B81</f>
        <v>0</v>
      </c>
    </row>
    <row r="96" spans="2:3" x14ac:dyDescent="0.75">
      <c r="B96" s="113">
        <f>'Base-1'!A82</f>
        <v>0</v>
      </c>
      <c r="C96" s="114">
        <f>'Base-1'!B82</f>
        <v>0</v>
      </c>
    </row>
    <row r="97" spans="2:3" x14ac:dyDescent="0.75">
      <c r="B97" s="113">
        <f>'Base-1'!A83</f>
        <v>0</v>
      </c>
      <c r="C97" s="114">
        <f>'Base-1'!B83</f>
        <v>0</v>
      </c>
    </row>
    <row r="98" spans="2:3" x14ac:dyDescent="0.75">
      <c r="B98" s="113">
        <f>'Base-1'!A84</f>
        <v>0</v>
      </c>
      <c r="C98" s="114">
        <f>'Base-1'!B84</f>
        <v>0</v>
      </c>
    </row>
    <row r="99" spans="2:3" x14ac:dyDescent="0.75">
      <c r="B99" s="113">
        <f>'Base-1'!A85</f>
        <v>0</v>
      </c>
      <c r="C99" s="114">
        <f>'Base-1'!B85</f>
        <v>0</v>
      </c>
    </row>
    <row r="100" spans="2:3" x14ac:dyDescent="0.75">
      <c r="B100" s="113">
        <f>'Base-1'!A86</f>
        <v>0</v>
      </c>
      <c r="C100" s="114">
        <f>'Base-1'!B86</f>
        <v>0</v>
      </c>
    </row>
    <row r="101" spans="2:3" x14ac:dyDescent="0.75">
      <c r="B101" s="113">
        <f>'Base-1'!A87</f>
        <v>0</v>
      </c>
      <c r="C101" s="114">
        <f>'Base-1'!B87</f>
        <v>0</v>
      </c>
    </row>
    <row r="102" spans="2:3" x14ac:dyDescent="0.75">
      <c r="B102" s="113">
        <f>'Base-1'!A88</f>
        <v>0</v>
      </c>
      <c r="C102" s="114">
        <f>'Base-1'!B88</f>
        <v>0</v>
      </c>
    </row>
    <row r="103" spans="2:3" x14ac:dyDescent="0.75">
      <c r="B103" s="113">
        <f>'Base-1'!A89</f>
        <v>0</v>
      </c>
      <c r="C103" s="114">
        <f>'Base-1'!B89</f>
        <v>0</v>
      </c>
    </row>
    <row r="104" spans="2:3" x14ac:dyDescent="0.75">
      <c r="B104" s="113">
        <f>'Base-1'!A90</f>
        <v>0</v>
      </c>
      <c r="C104" s="114">
        <f>'Base-1'!B90</f>
        <v>0</v>
      </c>
    </row>
    <row r="105" spans="2:3" x14ac:dyDescent="0.75">
      <c r="B105" s="113">
        <f>'Base-1'!A91</f>
        <v>0</v>
      </c>
      <c r="C105"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INDEX('Chemo-Map-1'!$I$7:$K$100,1+B3,C3)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INDEX('Chemo-Map-1'!$I$7:$K$100,1+B4,C4)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INDEX('Chemo-Map-1'!$I$7:$K$100,1+B5,C5)</f>
        <v/>
      </c>
    </row>
    <row r="6" spans="1:5" x14ac:dyDescent="0.75">
      <c r="A6" s="115">
        <v>4</v>
      </c>
      <c r="B6" s="115">
        <f t="shared" si="0"/>
        <v>1</v>
      </c>
      <c r="C6" s="115">
        <f t="shared" si="1"/>
        <v>1</v>
      </c>
      <c r="D6" s="113" t="str" cm="1">
        <f t="array" ref="D6">INDEX('Chemo-Map-1'!$I$7:$K$100,1+B6,C6)</f>
        <v>* differential.element[1].mapping[0].identity = "fhir"</v>
      </c>
    </row>
    <row r="7" spans="1:5" x14ac:dyDescent="0.75">
      <c r="A7" s="115">
        <v>5</v>
      </c>
      <c r="B7" s="115">
        <f t="shared" si="0"/>
        <v>1</v>
      </c>
      <c r="C7" s="115">
        <f t="shared" si="1"/>
        <v>2</v>
      </c>
      <c r="D7" s="113" t="str" cm="1">
        <f t="array" ref="D7">INDEX('Chemo-Map-1'!$I$7:$K$100,1+B7,C7)</f>
        <v>* differential.element[1].mapping[0].map = " .reasonReference"</v>
      </c>
    </row>
    <row r="8" spans="1:5" x14ac:dyDescent="0.75">
      <c r="A8" s="115">
        <v>6</v>
      </c>
      <c r="B8" s="115">
        <f t="shared" si="0"/>
        <v>1</v>
      </c>
      <c r="C8" s="115">
        <f t="shared" si="1"/>
        <v>3</v>
      </c>
      <c r="D8" s="113" t="str" cm="1">
        <f t="array" ref="D8">INDEX('Chemo-Map-1'!$I$7:$K$100,1+B8,C8)</f>
        <v/>
      </c>
    </row>
    <row r="9" spans="1:5" x14ac:dyDescent="0.75">
      <c r="A9" s="115">
        <v>7</v>
      </c>
      <c r="B9" s="115">
        <f t="shared" si="0"/>
        <v>2</v>
      </c>
      <c r="C9" s="115">
        <f t="shared" si="1"/>
        <v>1</v>
      </c>
      <c r="D9" s="113" t="str" cm="1">
        <f t="array" ref="D9">INDEX('Chemo-Map-1'!$I$7:$K$100,1+B9,C9)</f>
        <v>* differential.element[2].mapping[0].identity = "fhir"</v>
      </c>
    </row>
    <row r="10" spans="1:5" x14ac:dyDescent="0.75">
      <c r="A10" s="115">
        <v>8</v>
      </c>
      <c r="B10" s="115">
        <f t="shared" si="0"/>
        <v>2</v>
      </c>
      <c r="C10" s="115">
        <f t="shared" si="1"/>
        <v>2</v>
      </c>
      <c r="D10" s="113" t="str" cm="1">
        <f t="array" ref="D10">INDEX('Chemo-Map-1'!$I$7:$K$100,1+B10,C10)</f>
        <v>* differential.element[2].mapping[0].map = ".effectivePeriod.start"</v>
      </c>
    </row>
    <row r="11" spans="1:5" x14ac:dyDescent="0.75">
      <c r="A11" s="115">
        <v>9</v>
      </c>
      <c r="B11" s="115">
        <f t="shared" si="0"/>
        <v>2</v>
      </c>
      <c r="C11" s="115">
        <f t="shared" si="1"/>
        <v>3</v>
      </c>
      <c r="D11" s="113" t="str" cm="1">
        <f t="array" ref="D11">INDEX('Chemo-Map-1'!$I$7:$K$100,1+B11,C11)</f>
        <v/>
      </c>
    </row>
    <row r="12" spans="1:5" x14ac:dyDescent="0.75">
      <c r="A12" s="115">
        <v>10</v>
      </c>
      <c r="B12" s="115">
        <f t="shared" si="0"/>
        <v>3</v>
      </c>
      <c r="C12" s="115">
        <f t="shared" si="1"/>
        <v>1</v>
      </c>
      <c r="D12" s="113" t="str" cm="1">
        <f t="array" ref="D12">INDEX('Chemo-Map-1'!$I$7:$K$100,1+B12,C12)</f>
        <v>* differential.element[3].mapping[0].identity = "fhir"</v>
      </c>
    </row>
    <row r="13" spans="1:5" x14ac:dyDescent="0.75">
      <c r="A13" s="115">
        <v>11</v>
      </c>
      <c r="B13" s="115">
        <f t="shared" si="0"/>
        <v>3</v>
      </c>
      <c r="C13" s="115">
        <f t="shared" si="1"/>
        <v>2</v>
      </c>
      <c r="D13" s="113" t="str" cm="1">
        <f t="array" ref="D13">INDEX('Chemo-Map-1'!$I$7:$K$100,1+B13,C13)</f>
        <v>* differential.element[3].mapping[0].map = ".effectivePeriod.end"</v>
      </c>
    </row>
    <row r="14" spans="1:5" x14ac:dyDescent="0.75">
      <c r="A14" s="115">
        <v>12</v>
      </c>
      <c r="B14" s="115">
        <f t="shared" si="0"/>
        <v>3</v>
      </c>
      <c r="C14" s="115">
        <f t="shared" si="1"/>
        <v>3</v>
      </c>
      <c r="D14" s="113" t="str" cm="1">
        <f t="array" ref="D14">INDEX('Chemo-Map-1'!$I$7:$K$100,1+B14,C14)</f>
        <v/>
      </c>
    </row>
    <row r="15" spans="1:5" x14ac:dyDescent="0.75">
      <c r="A15" s="115">
        <v>13</v>
      </c>
      <c r="B15" s="115">
        <f t="shared" si="0"/>
        <v>4</v>
      </c>
      <c r="C15" s="115">
        <f t="shared" si="1"/>
        <v>1</v>
      </c>
      <c r="D15" s="113" t="str" cm="1">
        <f t="array" ref="D15">INDEX('Chemo-Map-1'!$I$7:$K$100,1+B15,C15)</f>
        <v>* differential.element[4].mapping[0].identity = "fhir"</v>
      </c>
    </row>
    <row r="16" spans="1:5" x14ac:dyDescent="0.75">
      <c r="A16" s="115">
        <v>14</v>
      </c>
      <c r="B16" s="115">
        <f t="shared" si="0"/>
        <v>4</v>
      </c>
      <c r="C16" s="115">
        <f t="shared" si="1"/>
        <v>2</v>
      </c>
      <c r="D16" s="113" t="str" cm="1">
        <f t="array" ref="D16">INDEX('Chemo-Map-1'!$I$7:$K$100,1+B16,C16)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INDEX('Chemo-Map-1'!$I$7:$K$100,1+B17,C17)</f>
        <v/>
      </c>
    </row>
    <row r="18" spans="1:4" x14ac:dyDescent="0.75">
      <c r="A18" s="115">
        <v>16</v>
      </c>
      <c r="B18" s="115">
        <f t="shared" si="0"/>
        <v>5</v>
      </c>
      <c r="C18" s="115">
        <f t="shared" si="1"/>
        <v>1</v>
      </c>
      <c r="D18" s="113" t="str" cm="1">
        <f t="array" ref="D18">INDEX('Chemo-Map-1'!$I$7:$K$100,1+B18,C18)</f>
        <v>* differential.element[5].mapping[0].identity = "fhir"</v>
      </c>
    </row>
    <row r="19" spans="1:4" x14ac:dyDescent="0.75">
      <c r="A19" s="115">
        <v>17</v>
      </c>
      <c r="B19" s="115">
        <f t="shared" si="0"/>
        <v>5</v>
      </c>
      <c r="C19" s="115">
        <f t="shared" si="1"/>
        <v>2</v>
      </c>
      <c r="D19" s="113" t="str" cm="1">
        <f t="array" ref="D19">INDEX('Chemo-Map-1'!$I$7:$K$100,1+B19,C19)</f>
        <v>* differential.element[5].mapping[0].map = "Location.description"</v>
      </c>
    </row>
    <row r="20" spans="1:4" x14ac:dyDescent="0.75">
      <c r="A20" s="115">
        <v>18</v>
      </c>
      <c r="B20" s="115">
        <f t="shared" si="0"/>
        <v>5</v>
      </c>
      <c r="C20" s="115">
        <f t="shared" si="1"/>
        <v>3</v>
      </c>
      <c r="D20" s="113" t="str" cm="1">
        <f t="array" ref="D20">INDEX('Chemo-Map-1'!$I$7:$K$100,1+B20,C20)</f>
        <v/>
      </c>
    </row>
    <row r="21" spans="1:4" x14ac:dyDescent="0.75">
      <c r="A21" s="115">
        <v>19</v>
      </c>
      <c r="B21" s="115">
        <f t="shared" si="0"/>
        <v>6</v>
      </c>
      <c r="C21" s="115">
        <f t="shared" si="1"/>
        <v>1</v>
      </c>
      <c r="D21" s="113" t="str" cm="1">
        <f t="array" ref="D21">INDEX('Chemo-Map-1'!$I$7:$K$100,1+B21,C21)</f>
        <v>* differential.element[6].mapping[0].identity = "fhir"</v>
      </c>
    </row>
    <row r="22" spans="1:4" x14ac:dyDescent="0.75">
      <c r="A22" s="115">
        <v>20</v>
      </c>
      <c r="B22" s="115">
        <f t="shared" si="0"/>
        <v>6</v>
      </c>
      <c r="C22" s="115">
        <f t="shared" si="1"/>
        <v>2</v>
      </c>
      <c r="D22" s="113" t="str" cm="1">
        <f t="array" ref="D22">INDEX('Chemo-Map-1'!$I$7:$K$100,1+B22,C22)</f>
        <v>* differential.element[6].mapping[0].map = "Location.name"</v>
      </c>
    </row>
    <row r="23" spans="1:4" x14ac:dyDescent="0.75">
      <c r="A23" s="115">
        <v>21</v>
      </c>
      <c r="B23" s="115">
        <f t="shared" si="0"/>
        <v>6</v>
      </c>
      <c r="C23" s="115">
        <f t="shared" si="1"/>
        <v>3</v>
      </c>
      <c r="D23" s="113" t="str" cm="1">
        <f t="array" ref="D23">INDEX('Chemo-Map-1'!$I$7:$K$100,1+B23,C23)</f>
        <v/>
      </c>
    </row>
    <row r="24" spans="1:4" x14ac:dyDescent="0.75">
      <c r="A24" s="115">
        <v>22</v>
      </c>
      <c r="B24" s="115">
        <f t="shared" si="0"/>
        <v>7</v>
      </c>
      <c r="C24" s="115">
        <f t="shared" si="1"/>
        <v>1</v>
      </c>
      <c r="D24" s="113" t="str" cm="1">
        <f t="array" ref="D24">INDEX('Chemo-Map-1'!$I$7:$K$100,1+B24,C24)</f>
        <v>* differential.element[7].mapping[0].identity = "fhir"</v>
      </c>
    </row>
    <row r="25" spans="1:4" x14ac:dyDescent="0.75">
      <c r="A25" s="115">
        <v>23</v>
      </c>
      <c r="B25" s="115">
        <f t="shared" si="0"/>
        <v>7</v>
      </c>
      <c r="C25" s="115">
        <f t="shared" si="1"/>
        <v>2</v>
      </c>
      <c r="D25" s="113" t="str" cm="1">
        <f t="array" ref="D25">INDEX('Chemo-Map-1'!$I$7:$K$100,1+B25,C25)</f>
        <v>* differential.element[7].mapping[0].map = "Location.address.city"</v>
      </c>
    </row>
    <row r="26" spans="1:4" x14ac:dyDescent="0.75">
      <c r="A26" s="115">
        <v>24</v>
      </c>
      <c r="B26" s="115">
        <f t="shared" si="0"/>
        <v>7</v>
      </c>
      <c r="C26" s="115">
        <f t="shared" si="1"/>
        <v>3</v>
      </c>
      <c r="D26" s="113" t="str" cm="1">
        <f t="array" ref="D26">INDEX('Chemo-Map-1'!$I$7:$K$100,1+B26,C26)</f>
        <v/>
      </c>
    </row>
    <row r="27" spans="1:4" x14ac:dyDescent="0.75">
      <c r="A27" s="115">
        <v>25</v>
      </c>
      <c r="B27" s="115">
        <f t="shared" si="0"/>
        <v>8</v>
      </c>
      <c r="C27" s="115">
        <f t="shared" si="1"/>
        <v>1</v>
      </c>
      <c r="D27" s="113" t="str" cm="1">
        <f t="array" ref="D27">INDEX('Chemo-Map-1'!$I$7:$K$100,1+B27,C27)</f>
        <v/>
      </c>
    </row>
    <row r="28" spans="1:4" x14ac:dyDescent="0.75">
      <c r="A28" s="115">
        <v>26</v>
      </c>
      <c r="B28" s="115">
        <f t="shared" si="0"/>
        <v>8</v>
      </c>
      <c r="C28" s="115">
        <f t="shared" si="1"/>
        <v>2</v>
      </c>
      <c r="D28" s="113" t="str" cm="1">
        <f t="array" ref="D28">INDEX('Chemo-Map-1'!$I$7:$K$100,1+B28,C28)</f>
        <v/>
      </c>
    </row>
    <row r="29" spans="1:4" x14ac:dyDescent="0.75">
      <c r="A29" s="115">
        <v>27</v>
      </c>
      <c r="B29" s="115">
        <f t="shared" si="0"/>
        <v>8</v>
      </c>
      <c r="C29" s="115">
        <f t="shared" si="1"/>
        <v>3</v>
      </c>
      <c r="D29" s="113" t="str" cm="1">
        <f t="array" ref="D29">INDEX('Chemo-Map-1'!$I$7:$K$100,1+B29,C29)</f>
        <v/>
      </c>
    </row>
    <row r="30" spans="1:4" x14ac:dyDescent="0.75">
      <c r="A30" s="115">
        <v>28</v>
      </c>
      <c r="B30" s="115">
        <f t="shared" si="0"/>
        <v>9</v>
      </c>
      <c r="C30" s="115">
        <f t="shared" si="1"/>
        <v>1</v>
      </c>
      <c r="D30" s="113" t="str" cm="1">
        <f t="array" ref="D30">INDEX('Chemo-Map-1'!$I$7:$K$100,1+B30,C30)</f>
        <v>* differential.element[9].mapping[0].identity = "fhir"</v>
      </c>
    </row>
    <row r="31" spans="1:4" x14ac:dyDescent="0.75">
      <c r="A31" s="115">
        <v>29</v>
      </c>
      <c r="B31" s="115">
        <f t="shared" si="0"/>
        <v>9</v>
      </c>
      <c r="C31" s="115">
        <f t="shared" si="1"/>
        <v>2</v>
      </c>
      <c r="D31" s="113" t="str" cm="1">
        <f t="array" ref="D31">INDEX('Chemo-Map-1'!$I$7:$K$100,1+B31,C31)</f>
        <v>* differential.element[9].mapping[0].map = "Location.address.country"</v>
      </c>
    </row>
    <row r="32" spans="1:4" x14ac:dyDescent="0.75">
      <c r="A32" s="115">
        <v>30</v>
      </c>
      <c r="B32" s="115">
        <f t="shared" si="0"/>
        <v>9</v>
      </c>
      <c r="C32" s="115">
        <f t="shared" si="1"/>
        <v>3</v>
      </c>
      <c r="D32" s="113" t="str" cm="1">
        <f t="array" ref="D32">INDEX('Chemo-Map-1'!$I$7:$K$100,1+B32,C32)</f>
        <v/>
      </c>
    </row>
    <row r="33" spans="1:4" x14ac:dyDescent="0.75">
      <c r="A33" s="115">
        <v>31</v>
      </c>
      <c r="B33" s="115">
        <f t="shared" si="0"/>
        <v>10</v>
      </c>
      <c r="C33" s="115">
        <f t="shared" si="1"/>
        <v>1</v>
      </c>
      <c r="D33" s="113" t="str" cm="1">
        <f t="array" ref="D33">INDEX('Chemo-Map-1'!$I$7:$K$100,1+B33,C33)</f>
        <v>* differential.element[10].mapping[0].identity = "fhir"</v>
      </c>
    </row>
    <row r="34" spans="1:4" x14ac:dyDescent="0.75">
      <c r="A34" s="115">
        <v>32</v>
      </c>
      <c r="B34" s="115">
        <f t="shared" si="0"/>
        <v>10</v>
      </c>
      <c r="C34" s="115">
        <f t="shared" si="1"/>
        <v>2</v>
      </c>
      <c r="D34" s="113" t="str" cm="1">
        <f t="array" ref="D34">INDEX('Chemo-Map-1'!$I$7:$K$100,1+B34,C34)</f>
        <v>* differential.element[10].mapping[0].map = ".medication[x]"</v>
      </c>
    </row>
    <row r="35" spans="1:4" x14ac:dyDescent="0.75">
      <c r="A35" s="115">
        <v>33</v>
      </c>
      <c r="B35" s="115">
        <f t="shared" si="0"/>
        <v>10</v>
      </c>
      <c r="C35" s="115">
        <f t="shared" si="1"/>
        <v>3</v>
      </c>
      <c r="D35" s="113" t="str" cm="1">
        <f t="array" ref="D35">INDEX('Chemo-Map-1'!$I$7:$K$100,1+B35,C35)</f>
        <v/>
      </c>
    </row>
    <row r="36" spans="1:4" x14ac:dyDescent="0.75">
      <c r="A36" s="115">
        <v>34</v>
      </c>
      <c r="B36" s="115">
        <f t="shared" si="0"/>
        <v>11</v>
      </c>
      <c r="C36" s="115">
        <f t="shared" si="1"/>
        <v>1</v>
      </c>
      <c r="D36" s="113" t="str" cm="1">
        <f t="array" ref="D36">INDEX('Chemo-Map-1'!$I$7:$K$100,1+B36,C36)</f>
        <v>* differential.element[11].mapping[0].identity = "fhir"</v>
      </c>
    </row>
    <row r="37" spans="1:4" x14ac:dyDescent="0.75">
      <c r="A37" s="115">
        <v>35</v>
      </c>
      <c r="B37" s="115">
        <f t="shared" si="0"/>
        <v>11</v>
      </c>
      <c r="C37" s="115">
        <f t="shared" si="1"/>
        <v>2</v>
      </c>
      <c r="D37" s="113" t="str" cm="1">
        <f t="array" ref="D37">INDEX('Chemo-Map-1'!$I$7:$K$100,1+B37,C37)</f>
        <v>* differential.element[11].mapping[0].map = ".medicationCodeableConcept"</v>
      </c>
    </row>
    <row r="38" spans="1:4" x14ac:dyDescent="0.75">
      <c r="A38" s="115">
        <v>36</v>
      </c>
      <c r="B38" s="115">
        <f t="shared" si="0"/>
        <v>11</v>
      </c>
      <c r="C38" s="115">
        <f t="shared" si="1"/>
        <v>3</v>
      </c>
      <c r="D38" s="113" t="str" cm="1">
        <f t="array" ref="D38">INDEX('Chemo-Map-1'!$I$7:$K$100,1+B38,C38)</f>
        <v/>
      </c>
    </row>
    <row r="39" spans="1:4" x14ac:dyDescent="0.75">
      <c r="A39" s="115">
        <v>37</v>
      </c>
      <c r="B39" s="115">
        <f t="shared" si="0"/>
        <v>12</v>
      </c>
      <c r="C39" s="115">
        <f t="shared" si="1"/>
        <v>1</v>
      </c>
      <c r="D39" s="113" t="str" cm="1">
        <f t="array" ref="D39">INDEX('Chemo-Map-1'!$I$7:$K$100,1+B39,C39)</f>
        <v>* differential.element[12].mapping[0].identity = "fhir"</v>
      </c>
    </row>
    <row r="40" spans="1:4" x14ac:dyDescent="0.75">
      <c r="A40" s="115">
        <v>38</v>
      </c>
      <c r="B40" s="115">
        <f t="shared" si="0"/>
        <v>12</v>
      </c>
      <c r="C40" s="115">
        <f t="shared" si="1"/>
        <v>2</v>
      </c>
      <c r="D40" s="113" t="str" cm="1">
        <f t="array" ref="D40">INDEX('Chemo-Map-1'!$I$7:$K$100,1+B40,C40)</f>
        <v>* differential.element[12].mapping[0].map = ".extension(http://hl7.eu/fhir/ig/pcsp/StructureDefinition/ResourceRelatedInfo-eu-pcsp).conformsTo(http://hl7.eu/fhir/ig/pcsp/StructureDefinition/Observation-cumulativeDoseChemo-eu-pcsp)"</v>
      </c>
    </row>
    <row r="41" spans="1:4" x14ac:dyDescent="0.75">
      <c r="A41" s="115">
        <v>39</v>
      </c>
      <c r="B41" s="115">
        <f t="shared" si="0"/>
        <v>12</v>
      </c>
      <c r="C41" s="115">
        <f t="shared" si="1"/>
        <v>3</v>
      </c>
      <c r="D41" s="113" t="str" cm="1">
        <f t="array" ref="D41">INDEX('Chemo-Map-1'!$I$7:$K$100,1+B41,C41)</f>
        <v/>
      </c>
    </row>
    <row r="42" spans="1:4" x14ac:dyDescent="0.75">
      <c r="A42" s="115">
        <v>40</v>
      </c>
      <c r="B42" s="115">
        <f t="shared" si="0"/>
        <v>13</v>
      </c>
      <c r="C42" s="115">
        <f t="shared" si="1"/>
        <v>1</v>
      </c>
      <c r="D42" s="113" t="str" cm="1">
        <f t="array" ref="D42">INDEX('Chemo-Map-1'!$I$7:$K$100,1+B42,C42)</f>
        <v/>
      </c>
    </row>
    <row r="43" spans="1:4" x14ac:dyDescent="0.75">
      <c r="A43" s="115">
        <v>41</v>
      </c>
      <c r="B43" s="115">
        <f t="shared" si="0"/>
        <v>13</v>
      </c>
      <c r="C43" s="115">
        <f t="shared" si="1"/>
        <v>2</v>
      </c>
      <c r="D43" s="113" t="str" cm="1">
        <f t="array" ref="D43">INDEX('Chemo-Map-1'!$I$7:$K$100,1+B43,C43)</f>
        <v/>
      </c>
    </row>
    <row r="44" spans="1:4" x14ac:dyDescent="0.75">
      <c r="A44" s="115">
        <v>42</v>
      </c>
      <c r="B44" s="115">
        <f t="shared" si="0"/>
        <v>13</v>
      </c>
      <c r="C44" s="115">
        <f t="shared" si="1"/>
        <v>3</v>
      </c>
      <c r="D44" s="113" t="str" cm="1">
        <f t="array" ref="D44">INDEX('Chemo-Map-1'!$I$7:$K$100,1+B44,C44)</f>
        <v/>
      </c>
    </row>
    <row r="45" spans="1:4" x14ac:dyDescent="0.75">
      <c r="A45" s="115">
        <v>43</v>
      </c>
      <c r="B45" s="115">
        <f t="shared" si="0"/>
        <v>14</v>
      </c>
      <c r="C45" s="115">
        <f t="shared" si="1"/>
        <v>1</v>
      </c>
      <c r="D45" s="113" t="str" cm="1">
        <f t="array" ref="D45">INDEX('Chemo-Map-1'!$I$7:$K$100,1+B45,C45)</f>
        <v/>
      </c>
    </row>
    <row r="46" spans="1:4" x14ac:dyDescent="0.75">
      <c r="A46" s="115">
        <v>44</v>
      </c>
      <c r="B46" s="115">
        <f t="shared" si="0"/>
        <v>14</v>
      </c>
      <c r="C46" s="115">
        <f t="shared" si="1"/>
        <v>2</v>
      </c>
      <c r="D46" s="113" t="str" cm="1">
        <f t="array" ref="D46">INDEX('Chemo-Map-1'!$I$7:$K$100,1+B46,C46)</f>
        <v/>
      </c>
    </row>
    <row r="47" spans="1:4" x14ac:dyDescent="0.75">
      <c r="A47" s="115">
        <v>45</v>
      </c>
      <c r="B47" s="115">
        <f t="shared" si="0"/>
        <v>14</v>
      </c>
      <c r="C47" s="115">
        <f t="shared" si="1"/>
        <v>3</v>
      </c>
      <c r="D47" s="113" t="str" cm="1">
        <f t="array" ref="D47">INDEX('Chemo-Map-1'!$I$7:$K$100,1+B47,C47)</f>
        <v/>
      </c>
    </row>
    <row r="48" spans="1:4" x14ac:dyDescent="0.75">
      <c r="A48" s="115">
        <v>46</v>
      </c>
      <c r="B48" s="115">
        <f t="shared" si="0"/>
        <v>15</v>
      </c>
      <c r="C48" s="115">
        <f t="shared" si="1"/>
        <v>1</v>
      </c>
      <c r="D48" s="113" t="str" cm="1">
        <f t="array" ref="D48">INDEX('Chemo-Map-1'!$I$7:$K$100,1+B48,C48)</f>
        <v/>
      </c>
    </row>
    <row r="49" spans="1:7" x14ac:dyDescent="0.75">
      <c r="A49" s="115">
        <v>47</v>
      </c>
      <c r="B49" s="115">
        <f t="shared" si="0"/>
        <v>15</v>
      </c>
      <c r="C49" s="115">
        <f t="shared" si="1"/>
        <v>2</v>
      </c>
      <c r="D49" s="113" t="str" cm="1">
        <f t="array" ref="D49">INDEX('Chemo-Map-1'!$I$7:$K$100,1+B49,C49)</f>
        <v/>
      </c>
    </row>
    <row r="50" spans="1:7" x14ac:dyDescent="0.75">
      <c r="A50" s="115">
        <v>48</v>
      </c>
      <c r="B50" s="115">
        <f t="shared" si="0"/>
        <v>15</v>
      </c>
      <c r="C50" s="115">
        <f t="shared" si="1"/>
        <v>3</v>
      </c>
      <c r="D50" s="113" t="str" cm="1">
        <f t="array" ref="D50">INDEX('Chemo-Map-1'!$I$7:$K$100,1+B50,C50)</f>
        <v/>
      </c>
    </row>
    <row r="51" spans="1:7" x14ac:dyDescent="0.75">
      <c r="A51" s="115">
        <v>49</v>
      </c>
      <c r="B51" s="115">
        <f t="shared" si="0"/>
        <v>16</v>
      </c>
      <c r="C51" s="115">
        <f t="shared" si="1"/>
        <v>1</v>
      </c>
      <c r="D51" s="113" t="str" cm="1">
        <f t="array" ref="D51">INDEX('Chemo-Map-1'!$I$7:$K$100,1+B51,C51)</f>
        <v/>
      </c>
    </row>
    <row r="52" spans="1:7" x14ac:dyDescent="0.75">
      <c r="A52" s="115">
        <v>50</v>
      </c>
      <c r="B52" s="115">
        <f t="shared" si="0"/>
        <v>16</v>
      </c>
      <c r="C52" s="115">
        <f t="shared" si="1"/>
        <v>2</v>
      </c>
      <c r="D52" s="113" t="str" cm="1">
        <f t="array" ref="D52">INDEX('Chemo-Map-1'!$I$7:$K$100,1+B52,C52)</f>
        <v/>
      </c>
    </row>
    <row r="53" spans="1:7" x14ac:dyDescent="0.75">
      <c r="A53" s="115">
        <v>51</v>
      </c>
      <c r="B53" s="115">
        <f t="shared" si="0"/>
        <v>16</v>
      </c>
      <c r="C53" s="115">
        <f t="shared" si="1"/>
        <v>3</v>
      </c>
      <c r="D53" s="113" t="str" cm="1">
        <f t="array" ref="D53">INDEX('Chemo-Map-1'!$I$7:$K$100,1+B53,C53)</f>
        <v/>
      </c>
    </row>
    <row r="54" spans="1:7" x14ac:dyDescent="0.75">
      <c r="A54" s="115">
        <v>52</v>
      </c>
      <c r="B54" s="115">
        <f t="shared" si="0"/>
        <v>17</v>
      </c>
      <c r="C54" s="115">
        <f t="shared" si="1"/>
        <v>1</v>
      </c>
      <c r="D54" s="113" t="str" cm="1">
        <f t="array" ref="D54">INDEX('Chemo-Map-1'!$I$7:$K$100,1+B54,C54)</f>
        <v/>
      </c>
    </row>
    <row r="55" spans="1:7" x14ac:dyDescent="0.75">
      <c r="A55" s="115">
        <v>53</v>
      </c>
      <c r="B55" s="115">
        <f t="shared" si="0"/>
        <v>17</v>
      </c>
      <c r="C55" s="115">
        <f t="shared" si="1"/>
        <v>2</v>
      </c>
      <c r="D55" s="113" t="str" cm="1">
        <f t="array" ref="D55">INDEX('Chemo-Map-1'!$I$7:$K$100,1+B55,C55)</f>
        <v/>
      </c>
      <c r="G55" s="15"/>
    </row>
    <row r="56" spans="1:7" x14ac:dyDescent="0.75">
      <c r="A56" s="115">
        <v>54</v>
      </c>
      <c r="B56" s="115">
        <f t="shared" si="0"/>
        <v>17</v>
      </c>
      <c r="C56" s="115">
        <f t="shared" si="1"/>
        <v>3</v>
      </c>
      <c r="D56" s="113" t="str" cm="1">
        <f t="array" ref="D56">INDEX('Chemo-Map-1'!$I$7:$K$100,1+B56,C56)</f>
        <v/>
      </c>
    </row>
    <row r="57" spans="1:7" x14ac:dyDescent="0.75">
      <c r="A57" s="115">
        <v>55</v>
      </c>
      <c r="B57" s="115">
        <f t="shared" si="0"/>
        <v>18</v>
      </c>
      <c r="C57" s="115">
        <f t="shared" si="1"/>
        <v>1</v>
      </c>
      <c r="D57" s="113" t="str" cm="1">
        <f t="array" ref="D57">INDEX('Chemo-Map-1'!$I$7:$K$100,1+B57,C57)</f>
        <v/>
      </c>
    </row>
    <row r="58" spans="1:7" x14ac:dyDescent="0.75">
      <c r="A58" s="115">
        <v>56</v>
      </c>
      <c r="B58" s="115">
        <f t="shared" si="0"/>
        <v>18</v>
      </c>
      <c r="C58" s="115">
        <f t="shared" si="1"/>
        <v>2</v>
      </c>
      <c r="D58" s="113" t="str" cm="1">
        <f t="array" ref="D58">INDEX('Chemo-Map-1'!$I$7:$K$100,1+B58,C58)</f>
        <v/>
      </c>
    </row>
    <row r="59" spans="1:7" x14ac:dyDescent="0.75">
      <c r="A59" s="115">
        <v>57</v>
      </c>
      <c r="B59" s="115">
        <f t="shared" si="0"/>
        <v>18</v>
      </c>
      <c r="C59" s="115">
        <f t="shared" si="1"/>
        <v>3</v>
      </c>
      <c r="D59" s="113" t="str" cm="1">
        <f t="array" ref="D59">INDEX('Chemo-Map-1'!$I$7:$K$100,1+B59,C59)</f>
        <v/>
      </c>
    </row>
    <row r="60" spans="1:7" x14ac:dyDescent="0.75">
      <c r="A60" s="115">
        <v>58</v>
      </c>
      <c r="B60" s="115">
        <f t="shared" si="0"/>
        <v>19</v>
      </c>
      <c r="C60" s="115">
        <f t="shared" si="1"/>
        <v>1</v>
      </c>
      <c r="D60" s="113" t="str" cm="1">
        <f t="array" ref="D60">INDEX('Chemo-Map-1'!$I$7:$K$100,1+B60,C60)</f>
        <v>* differential.element[19].mapping[0].identity = "fhir"</v>
      </c>
    </row>
    <row r="61" spans="1:7" x14ac:dyDescent="0.75">
      <c r="A61" s="115">
        <v>59</v>
      </c>
      <c r="B61" s="115">
        <f t="shared" si="0"/>
        <v>19</v>
      </c>
      <c r="C61" s="115">
        <f t="shared" si="1"/>
        <v>2</v>
      </c>
      <c r="D61" s="113"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5">
        <v>60</v>
      </c>
      <c r="B62" s="115">
        <f t="shared" si="0"/>
        <v>19</v>
      </c>
      <c r="C62" s="115">
        <f t="shared" si="1"/>
        <v>3</v>
      </c>
      <c r="D62" s="113" t="str" cm="1">
        <f t="array" ref="D62">INDEX('Chemo-Map-1'!$I$7:$K$100,1+B62,C62)</f>
        <v/>
      </c>
    </row>
    <row r="63" spans="1:7" x14ac:dyDescent="0.75">
      <c r="A63" s="115">
        <v>61</v>
      </c>
      <c r="B63" s="115">
        <f t="shared" si="0"/>
        <v>20</v>
      </c>
      <c r="C63" s="115">
        <f t="shared" si="1"/>
        <v>1</v>
      </c>
      <c r="D63" s="113" t="str" cm="1">
        <f t="array" ref="D63">INDEX('Chemo-Map-1'!$I$7:$K$100,1+B63,C63)</f>
        <v>* differential.element[20].mapping[0].identity = "fhir"</v>
      </c>
    </row>
    <row r="64" spans="1:7" x14ac:dyDescent="0.75">
      <c r="A64" s="115">
        <v>62</v>
      </c>
      <c r="B64" s="115">
        <f t="shared" si="0"/>
        <v>20</v>
      </c>
      <c r="C64" s="115">
        <f t="shared" si="1"/>
        <v>2</v>
      </c>
      <c r="D64" s="113" t="str" cm="1">
        <f t="array" ref="D64">INDEX('Chemo-Map-1'!$I$7:$K$100,1+B64,C64)</f>
        <v>* differential.element[20].mapping[0].map = "MedicationStatement.where(dosage.route = https://standardterms.edqm.eu|20042000)"</v>
      </c>
    </row>
    <row r="65" spans="1:4" x14ac:dyDescent="0.75">
      <c r="A65" s="115">
        <v>63</v>
      </c>
      <c r="B65" s="115">
        <f t="shared" si="0"/>
        <v>20</v>
      </c>
      <c r="C65" s="115">
        <f t="shared" si="1"/>
        <v>3</v>
      </c>
      <c r="D65" s="113" t="str" cm="1">
        <f t="array" ref="D65">INDEX('Chemo-Map-1'!$I$7:$K$100,1+B65,C65)</f>
        <v/>
      </c>
    </row>
    <row r="66" spans="1:4" x14ac:dyDescent="0.75">
      <c r="A66" s="115">
        <v>64</v>
      </c>
      <c r="B66" s="115">
        <f t="shared" si="0"/>
        <v>21</v>
      </c>
      <c r="C66" s="115">
        <f t="shared" si="1"/>
        <v>1</v>
      </c>
      <c r="D66" s="113" t="str" cm="1">
        <f t="array" ref="D66">INDEX('Chemo-Map-1'!$I$7:$K$100,1+B66,C66)</f>
        <v>* differential.element[21].mapping[0].identity = "fhir"</v>
      </c>
    </row>
    <row r="67" spans="1:4" x14ac:dyDescent="0.75">
      <c r="A67" s="115">
        <v>65</v>
      </c>
      <c r="B67" s="115">
        <f t="shared" si="0"/>
        <v>21</v>
      </c>
      <c r="C67" s="115">
        <f t="shared" si="1"/>
        <v>2</v>
      </c>
      <c r="D67" s="113" t="str" cm="1">
        <f t="array" ref="D67">INDEX('Chemo-Map-1'!$I$7:$K$100,1+B67,C67)</f>
        <v>* differential.element[21].mapping[0].map = ".exists()"</v>
      </c>
    </row>
    <row r="68" spans="1:4" x14ac:dyDescent="0.75">
      <c r="A68" s="115">
        <v>66</v>
      </c>
      <c r="B68" s="115">
        <f t="shared" ref="B68:B131" si="2">IF(MOD(A68,3)=0,A68/3-1,INT(A68/3))</f>
        <v>21</v>
      </c>
      <c r="C68" s="115">
        <f t="shared" ref="C68:C131" si="3">IF(MOD(A68,3)=0,3,MOD(A68,3))</f>
        <v>3</v>
      </c>
      <c r="D68" s="113" t="str" cm="1">
        <f t="array" ref="D68">INDEX('Chemo-Map-1'!$I$7:$K$100,1+B68,C68)</f>
        <v/>
      </c>
    </row>
    <row r="69" spans="1:4" x14ac:dyDescent="0.75">
      <c r="A69" s="115">
        <v>67</v>
      </c>
      <c r="B69" s="115">
        <f t="shared" si="2"/>
        <v>22</v>
      </c>
      <c r="C69" s="115">
        <f t="shared" si="3"/>
        <v>1</v>
      </c>
      <c r="D69" s="113" t="str" cm="1">
        <f t="array" ref="D69">INDEX('Chemo-Map-1'!$I$7:$K$100,1+B69,C69)</f>
        <v>* differential.element[22].mapping[0].identity = "fhir"</v>
      </c>
    </row>
    <row r="70" spans="1:4" x14ac:dyDescent="0.75">
      <c r="A70" s="115">
        <v>68</v>
      </c>
      <c r="B70" s="115">
        <f t="shared" si="2"/>
        <v>22</v>
      </c>
      <c r="C70" s="115">
        <f t="shared" si="3"/>
        <v>2</v>
      </c>
      <c r="D70" s="113" t="str" cm="1">
        <f t="array" ref="D70">INDEX('Chemo-Map-1'!$I$7:$K$100,1+B70,C70)</f>
        <v>* differential.element[22].mapping[0].map = ".dosage.timing.repeat.count
.count()"</v>
      </c>
    </row>
    <row r="71" spans="1:4" x14ac:dyDescent="0.75">
      <c r="A71" s="115">
        <v>69</v>
      </c>
      <c r="B71" s="115">
        <f t="shared" si="2"/>
        <v>22</v>
      </c>
      <c r="C71" s="115">
        <f t="shared" si="3"/>
        <v>3</v>
      </c>
      <c r="D71" s="113" t="str" cm="1">
        <f t="array" ref="D71">INDEX('Chemo-Map-1'!$I$7:$K$100,1+B71,C71)</f>
        <v/>
      </c>
    </row>
    <row r="72" spans="1:4" x14ac:dyDescent="0.75">
      <c r="A72" s="115">
        <v>70</v>
      </c>
      <c r="B72" s="115">
        <f t="shared" si="2"/>
        <v>23</v>
      </c>
      <c r="C72" s="115">
        <f t="shared" si="3"/>
        <v>1</v>
      </c>
      <c r="D72" s="113" t="str" cm="1">
        <f t="array" ref="D72">INDEX('Chemo-Map-1'!$I$7:$K$100,1+B72,C72)</f>
        <v>* differential.element[23].mapping[0].identity = "fhir"</v>
      </c>
    </row>
    <row r="73" spans="1:4" x14ac:dyDescent="0.75">
      <c r="A73" s="115">
        <v>71</v>
      </c>
      <c r="B73" s="115">
        <f t="shared" si="2"/>
        <v>23</v>
      </c>
      <c r="C73" s="115">
        <f t="shared" si="3"/>
        <v>2</v>
      </c>
      <c r="D73" s="113" t="str" cm="1">
        <f t="array" ref="D73">INDEX('Chemo-Map-1'!$I$7:$K$100,1+B73,C73)</f>
        <v>* differential.element[23].mapping[0].map = ".medicationCodeableConcept.text"</v>
      </c>
    </row>
    <row r="74" spans="1:4" x14ac:dyDescent="0.75">
      <c r="A74" s="115">
        <v>72</v>
      </c>
      <c r="B74" s="115">
        <f t="shared" si="2"/>
        <v>23</v>
      </c>
      <c r="C74" s="115">
        <f t="shared" si="3"/>
        <v>3</v>
      </c>
      <c r="D74" s="113" t="str" cm="1">
        <f t="array" ref="D74">INDEX('Chemo-Map-1'!$I$7:$K$100,1+B74,C74)</f>
        <v/>
      </c>
    </row>
    <row r="75" spans="1:4" x14ac:dyDescent="0.75">
      <c r="A75" s="115">
        <v>73</v>
      </c>
      <c r="B75" s="115">
        <f t="shared" si="2"/>
        <v>24</v>
      </c>
      <c r="C75" s="115">
        <f t="shared" si="3"/>
        <v>1</v>
      </c>
      <c r="D75" s="113" t="str" cm="1">
        <f t="array" ref="D75">INDEX('Chemo-Map-1'!$I$7:$K$100,1+B75,C75)</f>
        <v>* differential.element[24].mapping[0].identity = "fhir"</v>
      </c>
    </row>
    <row r="76" spans="1:4" x14ac:dyDescent="0.75">
      <c r="A76" s="115">
        <v>74</v>
      </c>
      <c r="B76" s="115">
        <f t="shared" si="2"/>
        <v>24</v>
      </c>
      <c r="C76" s="115">
        <f t="shared" si="3"/>
        <v>2</v>
      </c>
      <c r="D76" s="113" t="str" cm="1">
        <f t="array" ref="D76">INDEX('Chemo-Map-1'!$I$7:$K$100,1+B76,C76)</f>
        <v>* differential.element[24].mapping[0].map = "MedicationStatement"</v>
      </c>
    </row>
    <row r="77" spans="1:4" x14ac:dyDescent="0.75">
      <c r="A77" s="115">
        <v>75</v>
      </c>
      <c r="B77" s="115">
        <f t="shared" si="2"/>
        <v>24</v>
      </c>
      <c r="C77" s="115">
        <f t="shared" si="3"/>
        <v>3</v>
      </c>
      <c r="D77" s="113" t="str" cm="1">
        <f t="array" ref="D77">INDEX('Chemo-Map-1'!$I$7:$K$100,1+B77,C77)</f>
        <v/>
      </c>
    </row>
    <row r="78" spans="1:4" x14ac:dyDescent="0.75">
      <c r="A78" s="115">
        <v>76</v>
      </c>
      <c r="B78" s="115">
        <f t="shared" si="2"/>
        <v>25</v>
      </c>
      <c r="C78" s="115">
        <f t="shared" si="3"/>
        <v>1</v>
      </c>
      <c r="D78" s="113" t="str" cm="1">
        <f t="array" ref="D78">INDEX('Chemo-Map-1'!$I$7:$K$100,1+B78,C78)</f>
        <v>* differential.element[25].mapping[0].identity = "fhir"</v>
      </c>
    </row>
    <row r="79" spans="1:4" x14ac:dyDescent="0.75">
      <c r="A79" s="115">
        <v>77</v>
      </c>
      <c r="B79" s="115">
        <f t="shared" si="2"/>
        <v>25</v>
      </c>
      <c r="C79" s="115">
        <f t="shared" si="3"/>
        <v>2</v>
      </c>
      <c r="D79" s="113" t="str" cm="1">
        <f t="array" ref="D79">INDEX('Chemo-Map-1'!$I$7:$K$100,1+B79,C79)</f>
        <v>* differential.element[25].mapping[0].map = ".medicationCodeableConcept.text"</v>
      </c>
    </row>
    <row r="80" spans="1:4" x14ac:dyDescent="0.75">
      <c r="A80" s="115">
        <v>78</v>
      </c>
      <c r="B80" s="115">
        <f t="shared" si="2"/>
        <v>25</v>
      </c>
      <c r="C80" s="115">
        <f t="shared" si="3"/>
        <v>3</v>
      </c>
      <c r="D80" s="113" t="str" cm="1">
        <f t="array" ref="D80">INDEX('Chemo-Map-1'!$I$7:$K$100,1+B80,C80)</f>
        <v/>
      </c>
    </row>
    <row r="81" spans="1:4" x14ac:dyDescent="0.75">
      <c r="A81" s="115">
        <v>79</v>
      </c>
      <c r="B81" s="115">
        <f t="shared" si="2"/>
        <v>26</v>
      </c>
      <c r="C81" s="115">
        <f t="shared" si="3"/>
        <v>1</v>
      </c>
      <c r="D81" s="113" t="str" cm="1">
        <f t="array" ref="D81">INDEX('Chemo-Map-1'!$I$7:$K$100,1+B81,C81)</f>
        <v/>
      </c>
    </row>
    <row r="82" spans="1:4" x14ac:dyDescent="0.75">
      <c r="A82" s="115">
        <v>80</v>
      </c>
      <c r="B82" s="115">
        <f t="shared" si="2"/>
        <v>26</v>
      </c>
      <c r="C82" s="115">
        <f t="shared" si="3"/>
        <v>2</v>
      </c>
      <c r="D82" s="113" t="str" cm="1">
        <f t="array" ref="D82">INDEX('Chemo-Map-1'!$I$7:$K$100,1+B82,C82)</f>
        <v/>
      </c>
    </row>
    <row r="83" spans="1:4" x14ac:dyDescent="0.75">
      <c r="A83" s="115">
        <v>81</v>
      </c>
      <c r="B83" s="115">
        <f t="shared" si="2"/>
        <v>26</v>
      </c>
      <c r="C83" s="115">
        <f t="shared" si="3"/>
        <v>3</v>
      </c>
      <c r="D83" s="113" t="str" cm="1">
        <f t="array" ref="D83">INDEX('Chemo-Map-1'!$I$7:$K$100,1+B83,C83)</f>
        <v/>
      </c>
    </row>
    <row r="84" spans="1:4" x14ac:dyDescent="0.75">
      <c r="A84" s="115">
        <v>82</v>
      </c>
      <c r="B84" s="115">
        <f t="shared" si="2"/>
        <v>27</v>
      </c>
      <c r="C84" s="115">
        <f t="shared" si="3"/>
        <v>1</v>
      </c>
      <c r="D84" s="113" t="str" cm="1">
        <f t="array" ref="D84">INDEX('Chemo-Map-1'!$I$7:$K$100,1+B84,C84)</f>
        <v/>
      </c>
    </row>
    <row r="85" spans="1:4" x14ac:dyDescent="0.75">
      <c r="A85" s="115">
        <v>83</v>
      </c>
      <c r="B85" s="115">
        <f t="shared" si="2"/>
        <v>27</v>
      </c>
      <c r="C85" s="115">
        <f t="shared" si="3"/>
        <v>2</v>
      </c>
      <c r="D85" s="113" t="str" cm="1">
        <f t="array" ref="D85">INDEX('Chemo-Map-1'!$I$7:$K$100,1+B85,C85)</f>
        <v/>
      </c>
    </row>
    <row r="86" spans="1:4" x14ac:dyDescent="0.75">
      <c r="A86" s="115">
        <v>84</v>
      </c>
      <c r="B86" s="115">
        <f t="shared" si="2"/>
        <v>27</v>
      </c>
      <c r="C86" s="115">
        <f t="shared" si="3"/>
        <v>3</v>
      </c>
      <c r="D86" s="113" t="str" cm="1">
        <f t="array" ref="D86">INDEX('Chemo-Map-1'!$I$7:$K$100,1+B86,C86)</f>
        <v/>
      </c>
    </row>
    <row r="87" spans="1:4" x14ac:dyDescent="0.75">
      <c r="A87" s="115">
        <v>85</v>
      </c>
      <c r="B87" s="115">
        <f t="shared" si="2"/>
        <v>28</v>
      </c>
      <c r="C87" s="115">
        <f t="shared" si="3"/>
        <v>1</v>
      </c>
      <c r="D87" s="113" t="str" cm="1">
        <f t="array" ref="D87">INDEX('Chemo-Map-1'!$I$7:$K$100,1+B87,C87)</f>
        <v/>
      </c>
    </row>
    <row r="88" spans="1:4" x14ac:dyDescent="0.75">
      <c r="A88" s="115">
        <v>86</v>
      </c>
      <c r="B88" s="115">
        <f t="shared" si="2"/>
        <v>28</v>
      </c>
      <c r="C88" s="115">
        <f t="shared" si="3"/>
        <v>2</v>
      </c>
      <c r="D88" s="113" t="str" cm="1">
        <f t="array" ref="D88">INDEX('Chemo-Map-1'!$I$7:$K$100,1+B88,C88)</f>
        <v/>
      </c>
    </row>
    <row r="89" spans="1:4" x14ac:dyDescent="0.75">
      <c r="A89" s="115">
        <v>87</v>
      </c>
      <c r="B89" s="115">
        <f t="shared" si="2"/>
        <v>28</v>
      </c>
      <c r="C89" s="115">
        <f t="shared" si="3"/>
        <v>3</v>
      </c>
      <c r="D89" s="113" t="str" cm="1">
        <f t="array" ref="D89">INDEX('Chemo-Map-1'!$I$7:$K$100,1+B89,C89)</f>
        <v/>
      </c>
    </row>
    <row r="90" spans="1:4" x14ac:dyDescent="0.75">
      <c r="A90" s="115">
        <v>88</v>
      </c>
      <c r="B90" s="115">
        <f t="shared" si="2"/>
        <v>29</v>
      </c>
      <c r="C90" s="115">
        <f t="shared" si="3"/>
        <v>1</v>
      </c>
      <c r="D90" s="113" t="str" cm="1">
        <f t="array" ref="D90">INDEX('Chemo-Map-1'!$I$7:$K$100,1+B90,C90)</f>
        <v/>
      </c>
    </row>
    <row r="91" spans="1:4" x14ac:dyDescent="0.75">
      <c r="A91" s="115">
        <v>89</v>
      </c>
      <c r="B91" s="115">
        <f t="shared" si="2"/>
        <v>29</v>
      </c>
      <c r="C91" s="115">
        <f t="shared" si="3"/>
        <v>2</v>
      </c>
      <c r="D91" s="113" t="str" cm="1">
        <f t="array" ref="D91">INDEX('Chemo-Map-1'!$I$7:$K$100,1+B91,C91)</f>
        <v/>
      </c>
    </row>
    <row r="92" spans="1:4" x14ac:dyDescent="0.75">
      <c r="A92" s="115">
        <v>90</v>
      </c>
      <c r="B92" s="115">
        <f t="shared" si="2"/>
        <v>29</v>
      </c>
      <c r="C92" s="115">
        <f t="shared" si="3"/>
        <v>3</v>
      </c>
      <c r="D92" s="113" t="str" cm="1">
        <f t="array" ref="D92">INDEX('Chemo-Map-1'!$I$7:$K$100,1+B92,C92)</f>
        <v/>
      </c>
    </row>
    <row r="93" spans="1:4" x14ac:dyDescent="0.75">
      <c r="A93" s="115">
        <v>91</v>
      </c>
      <c r="B93" s="115">
        <f t="shared" si="2"/>
        <v>30</v>
      </c>
      <c r="C93" s="115">
        <f t="shared" si="3"/>
        <v>1</v>
      </c>
      <c r="D93" s="113" t="str" cm="1">
        <f t="array" ref="D93">INDEX('Chemo-Map-1'!$I$7:$K$100,1+B93,C93)</f>
        <v/>
      </c>
    </row>
    <row r="94" spans="1:4" x14ac:dyDescent="0.75">
      <c r="A94" s="115">
        <v>92</v>
      </c>
      <c r="B94" s="115">
        <f t="shared" si="2"/>
        <v>30</v>
      </c>
      <c r="C94" s="115">
        <f t="shared" si="3"/>
        <v>2</v>
      </c>
      <c r="D94" s="113" t="str" cm="1">
        <f t="array" ref="D94">INDEX('Chemo-Map-1'!$I$7:$K$100,1+B94,C94)</f>
        <v/>
      </c>
    </row>
    <row r="95" spans="1:4" x14ac:dyDescent="0.75">
      <c r="A95" s="115">
        <v>93</v>
      </c>
      <c r="B95" s="115">
        <f t="shared" si="2"/>
        <v>30</v>
      </c>
      <c r="C95" s="115">
        <f t="shared" si="3"/>
        <v>3</v>
      </c>
      <c r="D95" s="113" t="str" cm="1">
        <f t="array" ref="D95">INDEX('Chemo-Map-1'!$I$7:$K$100,1+B95,C95)</f>
        <v/>
      </c>
    </row>
    <row r="96" spans="1:4" x14ac:dyDescent="0.75">
      <c r="A96" s="115">
        <v>94</v>
      </c>
      <c r="B96" s="115">
        <f t="shared" si="2"/>
        <v>31</v>
      </c>
      <c r="C96" s="115">
        <f t="shared" si="3"/>
        <v>1</v>
      </c>
      <c r="D96" s="113" t="str" cm="1">
        <f t="array" ref="D96">INDEX('Chemo-Map-1'!$I$7:$K$100,1+B96,C96)</f>
        <v/>
      </c>
    </row>
    <row r="97" spans="1:4" x14ac:dyDescent="0.75">
      <c r="A97" s="115">
        <v>95</v>
      </c>
      <c r="B97" s="115">
        <f t="shared" si="2"/>
        <v>31</v>
      </c>
      <c r="C97" s="115">
        <f t="shared" si="3"/>
        <v>2</v>
      </c>
      <c r="D97" s="113" t="str" cm="1">
        <f t="array" ref="D97">INDEX('Chemo-Map-1'!$I$7:$K$100,1+B97,C97)</f>
        <v/>
      </c>
    </row>
    <row r="98" spans="1:4" x14ac:dyDescent="0.75">
      <c r="A98" s="115">
        <v>96</v>
      </c>
      <c r="B98" s="115">
        <f t="shared" si="2"/>
        <v>31</v>
      </c>
      <c r="C98" s="115">
        <f t="shared" si="3"/>
        <v>3</v>
      </c>
      <c r="D98" s="113" t="str" cm="1">
        <f t="array" ref="D98">INDEX('Chemo-Map-1'!$I$7:$K$100,1+B98,C98)</f>
        <v/>
      </c>
    </row>
    <row r="99" spans="1:4" x14ac:dyDescent="0.75">
      <c r="A99" s="115">
        <v>97</v>
      </c>
      <c r="B99" s="115">
        <f t="shared" si="2"/>
        <v>32</v>
      </c>
      <c r="C99" s="115">
        <f t="shared" si="3"/>
        <v>1</v>
      </c>
      <c r="D99" s="113" t="str" cm="1">
        <f t="array" ref="D99">INDEX('Chemo-Map-1'!$I$7:$K$100,1+B99,C99)</f>
        <v/>
      </c>
    </row>
    <row r="100" spans="1:4" x14ac:dyDescent="0.75">
      <c r="A100" s="115">
        <v>98</v>
      </c>
      <c r="B100" s="115">
        <f t="shared" si="2"/>
        <v>32</v>
      </c>
      <c r="C100" s="115">
        <f t="shared" si="3"/>
        <v>2</v>
      </c>
      <c r="D100" s="113" t="str" cm="1">
        <f t="array" ref="D100">INDEX('Chemo-Map-1'!$I$7:$K$100,1+B100,C100)</f>
        <v/>
      </c>
    </row>
    <row r="101" spans="1:4" x14ac:dyDescent="0.75">
      <c r="A101" s="115">
        <v>99</v>
      </c>
      <c r="B101" s="115">
        <f t="shared" si="2"/>
        <v>32</v>
      </c>
      <c r="C101" s="115">
        <f t="shared" si="3"/>
        <v>3</v>
      </c>
      <c r="D101" s="113" t="str" cm="1">
        <f t="array" ref="D101">INDEX('Chemo-Map-1'!$I$7:$K$100,1+B101,C101)</f>
        <v/>
      </c>
    </row>
    <row r="102" spans="1:4" x14ac:dyDescent="0.75">
      <c r="A102" s="115">
        <v>100</v>
      </c>
      <c r="B102" s="115">
        <f t="shared" si="2"/>
        <v>33</v>
      </c>
      <c r="C102" s="115">
        <f t="shared" si="3"/>
        <v>1</v>
      </c>
      <c r="D102" s="113" t="str" cm="1">
        <f t="array" ref="D102">INDEX('Chemo-Map-1'!$I$7:$K$100,1+B102,C102)</f>
        <v/>
      </c>
    </row>
    <row r="103" spans="1:4" x14ac:dyDescent="0.75">
      <c r="A103" s="115">
        <v>101</v>
      </c>
      <c r="B103" s="115">
        <f t="shared" si="2"/>
        <v>33</v>
      </c>
      <c r="C103" s="115">
        <f t="shared" si="3"/>
        <v>2</v>
      </c>
      <c r="D103" s="113" t="str" cm="1">
        <f t="array" ref="D103">INDEX('Chemo-Map-1'!$I$7:$K$100,1+B103,C103)</f>
        <v/>
      </c>
    </row>
    <row r="104" spans="1:4" x14ac:dyDescent="0.75">
      <c r="A104" s="115">
        <v>102</v>
      </c>
      <c r="B104" s="115">
        <f t="shared" si="2"/>
        <v>33</v>
      </c>
      <c r="C104" s="115">
        <f t="shared" si="3"/>
        <v>3</v>
      </c>
      <c r="D104" s="113" t="str" cm="1">
        <f t="array" ref="D104">INDEX('Chemo-Map-1'!$I$7:$K$100,1+B104,C104)</f>
        <v/>
      </c>
    </row>
    <row r="105" spans="1:4" x14ac:dyDescent="0.75">
      <c r="A105" s="115">
        <v>103</v>
      </c>
      <c r="B105" s="115">
        <f t="shared" si="2"/>
        <v>34</v>
      </c>
      <c r="C105" s="115">
        <f t="shared" si="3"/>
        <v>1</v>
      </c>
      <c r="D105" s="113" t="str" cm="1">
        <f t="array" ref="D105">INDEX('Chemo-Map-1'!$I$7:$K$100,1+B105,C105)</f>
        <v/>
      </c>
    </row>
    <row r="106" spans="1:4" x14ac:dyDescent="0.75">
      <c r="A106" s="115">
        <v>104</v>
      </c>
      <c r="B106" s="115">
        <f t="shared" si="2"/>
        <v>34</v>
      </c>
      <c r="C106" s="115">
        <f t="shared" si="3"/>
        <v>2</v>
      </c>
      <c r="D106" s="113" t="str" cm="1">
        <f t="array" ref="D106">INDEX('Chemo-Map-1'!$I$7:$K$100,1+B106,C106)</f>
        <v/>
      </c>
    </row>
    <row r="107" spans="1:4" x14ac:dyDescent="0.75">
      <c r="A107" s="115">
        <v>105</v>
      </c>
      <c r="B107" s="115">
        <f t="shared" si="2"/>
        <v>34</v>
      </c>
      <c r="C107" s="115">
        <f t="shared" si="3"/>
        <v>3</v>
      </c>
      <c r="D107" s="113" t="str" cm="1">
        <f t="array" ref="D107">INDEX('Chemo-Map-1'!$I$7:$K$100,1+B107,C107)</f>
        <v/>
      </c>
    </row>
    <row r="108" spans="1:4" x14ac:dyDescent="0.75">
      <c r="A108" s="115">
        <v>106</v>
      </c>
      <c r="B108" s="115">
        <f t="shared" si="2"/>
        <v>35</v>
      </c>
      <c r="C108" s="115">
        <f t="shared" si="3"/>
        <v>1</v>
      </c>
      <c r="D108" s="113" t="str" cm="1">
        <f t="array" ref="D108">INDEX('Chemo-Map-1'!$I$7:$K$100,1+B108,C108)</f>
        <v/>
      </c>
    </row>
    <row r="109" spans="1:4" x14ac:dyDescent="0.75">
      <c r="A109" s="115">
        <v>107</v>
      </c>
      <c r="B109" s="115">
        <f t="shared" si="2"/>
        <v>35</v>
      </c>
      <c r="C109" s="115">
        <f t="shared" si="3"/>
        <v>2</v>
      </c>
      <c r="D109" s="113" t="str" cm="1">
        <f t="array" ref="D109">INDEX('Chemo-Map-1'!$I$7:$K$100,1+B109,C109)</f>
        <v/>
      </c>
    </row>
    <row r="110" spans="1:4" x14ac:dyDescent="0.75">
      <c r="A110" s="115">
        <v>108</v>
      </c>
      <c r="B110" s="115">
        <f t="shared" si="2"/>
        <v>35</v>
      </c>
      <c r="C110" s="115">
        <f t="shared" si="3"/>
        <v>3</v>
      </c>
      <c r="D110" s="113" t="str" cm="1">
        <f t="array" ref="D110">INDEX('Chemo-Map-1'!$I$7:$K$100,1+B110,C110)</f>
        <v/>
      </c>
    </row>
    <row r="111" spans="1:4" x14ac:dyDescent="0.75">
      <c r="A111" s="115">
        <v>109</v>
      </c>
      <c r="B111" s="115">
        <f t="shared" si="2"/>
        <v>36</v>
      </c>
      <c r="C111" s="115">
        <f t="shared" si="3"/>
        <v>1</v>
      </c>
      <c r="D111" s="113" t="str" cm="1">
        <f t="array" ref="D111">INDEX('Chemo-Map-1'!$I$7:$K$100,1+B111,C111)</f>
        <v/>
      </c>
    </row>
    <row r="112" spans="1:4" x14ac:dyDescent="0.75">
      <c r="A112" s="115">
        <v>110</v>
      </c>
      <c r="B112" s="115">
        <f t="shared" si="2"/>
        <v>36</v>
      </c>
      <c r="C112" s="115">
        <f t="shared" si="3"/>
        <v>2</v>
      </c>
      <c r="D112" s="113" t="str" cm="1">
        <f t="array" ref="D112">INDEX('Chemo-Map-1'!$I$7:$K$100,1+B112,C112)</f>
        <v/>
      </c>
    </row>
    <row r="113" spans="1:4" x14ac:dyDescent="0.75">
      <c r="A113" s="115">
        <v>111</v>
      </c>
      <c r="B113" s="115">
        <f t="shared" si="2"/>
        <v>36</v>
      </c>
      <c r="C113" s="115">
        <f t="shared" si="3"/>
        <v>3</v>
      </c>
      <c r="D113" s="113" t="str" cm="1">
        <f t="array" ref="D113">INDEX('Chemo-Map-1'!$I$7:$K$100,1+B113,C113)</f>
        <v/>
      </c>
    </row>
    <row r="114" spans="1:4" x14ac:dyDescent="0.75">
      <c r="A114" s="115">
        <v>112</v>
      </c>
      <c r="B114" s="115">
        <f t="shared" si="2"/>
        <v>37</v>
      </c>
      <c r="C114" s="115">
        <f t="shared" si="3"/>
        <v>1</v>
      </c>
      <c r="D114" s="113" t="str" cm="1">
        <f t="array" ref="D114">INDEX('Chemo-Map-1'!$I$7:$K$100,1+B114,C114)</f>
        <v/>
      </c>
    </row>
    <row r="115" spans="1:4" x14ac:dyDescent="0.75">
      <c r="A115" s="115">
        <v>113</v>
      </c>
      <c r="B115" s="115">
        <f t="shared" si="2"/>
        <v>37</v>
      </c>
      <c r="C115" s="115">
        <f t="shared" si="3"/>
        <v>2</v>
      </c>
      <c r="D115" s="113" t="str" cm="1">
        <f t="array" ref="D115">INDEX('Chemo-Map-1'!$I$7:$K$100,1+B115,C115)</f>
        <v/>
      </c>
    </row>
    <row r="116" spans="1:4" x14ac:dyDescent="0.75">
      <c r="A116" s="115">
        <v>114</v>
      </c>
      <c r="B116" s="115">
        <f t="shared" si="2"/>
        <v>37</v>
      </c>
      <c r="C116" s="115">
        <f t="shared" si="3"/>
        <v>3</v>
      </c>
      <c r="D116" s="113" t="str" cm="1">
        <f t="array" ref="D116">INDEX('Chemo-Map-1'!$I$7:$K$100,1+B116,C116)</f>
        <v/>
      </c>
    </row>
    <row r="117" spans="1:4" x14ac:dyDescent="0.75">
      <c r="A117" s="115">
        <v>115</v>
      </c>
      <c r="B117" s="115">
        <f t="shared" si="2"/>
        <v>38</v>
      </c>
      <c r="C117" s="115">
        <f t="shared" si="3"/>
        <v>1</v>
      </c>
      <c r="D117" s="113" t="str" cm="1">
        <f t="array" ref="D117">INDEX('Chemo-Map-1'!$I$7:$K$100,1+B117,C117)</f>
        <v/>
      </c>
    </row>
    <row r="118" spans="1:4" x14ac:dyDescent="0.75">
      <c r="A118" s="115">
        <v>116</v>
      </c>
      <c r="B118" s="115">
        <f t="shared" si="2"/>
        <v>38</v>
      </c>
      <c r="C118" s="115">
        <f t="shared" si="3"/>
        <v>2</v>
      </c>
      <c r="D118" s="113" t="str" cm="1">
        <f t="array" ref="D118">INDEX('Chemo-Map-1'!$I$7:$K$100,1+B118,C118)</f>
        <v/>
      </c>
    </row>
    <row r="119" spans="1:4" x14ac:dyDescent="0.75">
      <c r="A119" s="115">
        <v>117</v>
      </c>
      <c r="B119" s="115">
        <f t="shared" si="2"/>
        <v>38</v>
      </c>
      <c r="C119" s="115">
        <f t="shared" si="3"/>
        <v>3</v>
      </c>
      <c r="D119" s="113" t="str" cm="1">
        <f t="array" ref="D119">INDEX('Chemo-Map-1'!$I$7:$K$100,1+B119,C119)</f>
        <v/>
      </c>
    </row>
    <row r="120" spans="1:4" x14ac:dyDescent="0.75">
      <c r="A120" s="115">
        <v>118</v>
      </c>
      <c r="B120" s="115">
        <f t="shared" si="2"/>
        <v>39</v>
      </c>
      <c r="C120" s="115">
        <f t="shared" si="3"/>
        <v>1</v>
      </c>
      <c r="D120" s="113" t="str" cm="1">
        <f t="array" ref="D120">INDEX('Chemo-Map-1'!$I$7:$K$100,1+B120,C120)</f>
        <v/>
      </c>
    </row>
    <row r="121" spans="1:4" x14ac:dyDescent="0.75">
      <c r="A121" s="115">
        <v>119</v>
      </c>
      <c r="B121" s="115">
        <f t="shared" si="2"/>
        <v>39</v>
      </c>
      <c r="C121" s="115">
        <f t="shared" si="3"/>
        <v>2</v>
      </c>
      <c r="D121" s="113" t="str" cm="1">
        <f t="array" ref="D121">INDEX('Chemo-Map-1'!$I$7:$K$100,1+B121,C121)</f>
        <v/>
      </c>
    </row>
    <row r="122" spans="1:4" x14ac:dyDescent="0.75">
      <c r="A122" s="115">
        <v>120</v>
      </c>
      <c r="B122" s="115">
        <f t="shared" si="2"/>
        <v>39</v>
      </c>
      <c r="C122" s="115">
        <f t="shared" si="3"/>
        <v>3</v>
      </c>
      <c r="D122" s="113" t="str" cm="1">
        <f t="array" ref="D122">INDEX('Chemo-Map-1'!$I$7:$K$100,1+B122,C122)</f>
        <v/>
      </c>
    </row>
    <row r="123" spans="1:4" x14ac:dyDescent="0.75">
      <c r="A123" s="115">
        <v>121</v>
      </c>
      <c r="B123" s="115">
        <f t="shared" si="2"/>
        <v>40</v>
      </c>
      <c r="C123" s="115">
        <f t="shared" si="3"/>
        <v>1</v>
      </c>
      <c r="D123" s="113" t="str" cm="1">
        <f t="array" ref="D123">INDEX('Chemo-Map-1'!$I$7:$K$100,1+B123,C123)</f>
        <v/>
      </c>
    </row>
    <row r="124" spans="1:4" x14ac:dyDescent="0.75">
      <c r="A124" s="115">
        <v>122</v>
      </c>
      <c r="B124" s="115">
        <f t="shared" si="2"/>
        <v>40</v>
      </c>
      <c r="C124" s="115">
        <f t="shared" si="3"/>
        <v>2</v>
      </c>
      <c r="D124" s="113" t="str" cm="1">
        <f t="array" ref="D124">INDEX('Chemo-Map-1'!$I$7:$K$100,1+B124,C124)</f>
        <v/>
      </c>
    </row>
    <row r="125" spans="1:4" x14ac:dyDescent="0.75">
      <c r="A125" s="115">
        <v>123</v>
      </c>
      <c r="B125" s="115">
        <f t="shared" si="2"/>
        <v>40</v>
      </c>
      <c r="C125" s="115">
        <f t="shared" si="3"/>
        <v>3</v>
      </c>
      <c r="D125" s="113" t="str" cm="1">
        <f t="array" ref="D125">INDEX('Chemo-Map-1'!$I$7:$K$100,1+B125,C125)</f>
        <v/>
      </c>
    </row>
    <row r="126" spans="1:4" x14ac:dyDescent="0.75">
      <c r="A126" s="115">
        <v>124</v>
      </c>
      <c r="B126" s="115">
        <f t="shared" si="2"/>
        <v>41</v>
      </c>
      <c r="C126" s="115">
        <f t="shared" si="3"/>
        <v>1</v>
      </c>
      <c r="D126" s="113" t="str" cm="1">
        <f t="array" ref="D126">INDEX('Chemo-Map-1'!$I$7:$K$100,1+B126,C126)</f>
        <v/>
      </c>
    </row>
    <row r="127" spans="1:4" x14ac:dyDescent="0.75">
      <c r="A127" s="115">
        <v>125</v>
      </c>
      <c r="B127" s="115">
        <f t="shared" si="2"/>
        <v>41</v>
      </c>
      <c r="C127" s="115">
        <f t="shared" si="3"/>
        <v>2</v>
      </c>
      <c r="D127" s="113" t="str" cm="1">
        <f t="array" ref="D127">INDEX('Chemo-Map-1'!$I$7:$K$100,1+B127,C127)</f>
        <v/>
      </c>
    </row>
    <row r="128" spans="1:4" x14ac:dyDescent="0.75">
      <c r="A128" s="115">
        <v>126</v>
      </c>
      <c r="B128" s="115">
        <f t="shared" si="2"/>
        <v>41</v>
      </c>
      <c r="C128" s="115">
        <f t="shared" si="3"/>
        <v>3</v>
      </c>
      <c r="D128" s="113" t="str" cm="1">
        <f t="array" ref="D128">INDEX('Chemo-Map-1'!$I$7:$K$100,1+B128,C128)</f>
        <v/>
      </c>
    </row>
    <row r="129" spans="1:4" x14ac:dyDescent="0.75">
      <c r="A129" s="115">
        <v>127</v>
      </c>
      <c r="B129" s="115">
        <f t="shared" si="2"/>
        <v>42</v>
      </c>
      <c r="C129" s="115">
        <f t="shared" si="3"/>
        <v>1</v>
      </c>
      <c r="D129" s="113" t="str" cm="1">
        <f t="array" ref="D129">INDEX('Chemo-Map-1'!$I$7:$K$100,1+B129,C129)</f>
        <v/>
      </c>
    </row>
    <row r="130" spans="1:4" x14ac:dyDescent="0.75">
      <c r="A130" s="115">
        <v>128</v>
      </c>
      <c r="B130" s="115">
        <f t="shared" si="2"/>
        <v>42</v>
      </c>
      <c r="C130" s="115">
        <f t="shared" si="3"/>
        <v>2</v>
      </c>
      <c r="D130" s="113" t="str" cm="1">
        <f t="array" ref="D130">INDEX('Chemo-Map-1'!$I$7:$K$100,1+B130,C130)</f>
        <v/>
      </c>
    </row>
    <row r="131" spans="1:4" x14ac:dyDescent="0.75">
      <c r="A131" s="115">
        <v>129</v>
      </c>
      <c r="B131" s="115">
        <f t="shared" si="2"/>
        <v>42</v>
      </c>
      <c r="C131" s="115">
        <f t="shared" si="3"/>
        <v>3</v>
      </c>
      <c r="D131" s="113" t="str" cm="1">
        <f t="array" ref="D131">INDEX('Chemo-Map-1'!$I$7:$K$100,1+B131,C131)</f>
        <v/>
      </c>
    </row>
    <row r="132" spans="1:4" x14ac:dyDescent="0.75">
      <c r="A132" s="115">
        <v>130</v>
      </c>
      <c r="B132" s="115">
        <f t="shared" ref="B132:B195" si="4">IF(MOD(A132,3)=0,A132/3-1,INT(A132/3))</f>
        <v>43</v>
      </c>
      <c r="C132" s="115">
        <f t="shared" ref="C132:C195" si="5">IF(MOD(A132,3)=0,3,MOD(A132,3))</f>
        <v>1</v>
      </c>
      <c r="D132" s="113" t="str" cm="1">
        <f t="array" ref="D132">INDEX('Chemo-Map-1'!$I$7:$K$100,1+B132,C132)</f>
        <v/>
      </c>
    </row>
    <row r="133" spans="1:4" x14ac:dyDescent="0.75">
      <c r="A133" s="115">
        <v>131</v>
      </c>
      <c r="B133" s="115">
        <f t="shared" si="4"/>
        <v>43</v>
      </c>
      <c r="C133" s="115">
        <f t="shared" si="5"/>
        <v>2</v>
      </c>
      <c r="D133" s="113" t="str" cm="1">
        <f t="array" ref="D133">INDEX('Chemo-Map-1'!$I$7:$K$100,1+B133,C133)</f>
        <v/>
      </c>
    </row>
    <row r="134" spans="1:4" x14ac:dyDescent="0.75">
      <c r="A134" s="115">
        <v>132</v>
      </c>
      <c r="B134" s="115">
        <f t="shared" si="4"/>
        <v>43</v>
      </c>
      <c r="C134" s="115">
        <f t="shared" si="5"/>
        <v>3</v>
      </c>
      <c r="D134" s="113" t="str" cm="1">
        <f t="array" ref="D134">INDEX('Chemo-Map-1'!$I$7:$K$100,1+B134,C134)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'Chemo-1'!A18</f>
        <v>12</v>
      </c>
      <c r="C19" s="115" t="str">
        <f>'Chemo-1'!B18</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'Chemo-1'!A19</f>
        <v>13</v>
      </c>
      <c r="C20" s="115" t="str">
        <f>'Chemo-1'!B19</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'Chemo-1'!A20</f>
        <v>14</v>
      </c>
      <c r="C21" s="115" t="str">
        <f>'Chemo-1'!B20</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'Chemo-1'!A21</f>
        <v>15</v>
      </c>
      <c r="C22" s="115" t="str">
        <f>'Chemo-1'!B21</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'Chemo-1'!A22</f>
        <v>16</v>
      </c>
      <c r="C23" s="115" t="str">
        <f>'Chemo-1'!B22</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'Chemo-1'!A23</f>
        <v>17</v>
      </c>
      <c r="C24" s="115" t="str">
        <f>'Chemo-1'!B23</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'Chemo-1'!A24</f>
        <v>18</v>
      </c>
      <c r="C25" s="115" t="str">
        <f>'Chemo-1'!B24</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'Chemo-1'!A25</f>
        <v>19</v>
      </c>
      <c r="C26" s="115" t="str">
        <f>'Chemo-1'!B25</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'Chemo-1'!A26</f>
        <v>20</v>
      </c>
      <c r="C27" s="115" t="str">
        <f>'Chemo-1'!B26</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'Chemo-1'!A27</f>
        <v>21</v>
      </c>
      <c r="C28" s="115" t="str">
        <f>'Chemo-1'!B27</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'Chemo-1'!A28</f>
        <v>22</v>
      </c>
      <c r="C29" s="115" t="str">
        <f>'Chemo-1'!B28</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'Chemo-1'!A29</f>
        <v>23</v>
      </c>
      <c r="C30" s="115" t="str">
        <f>'Chemo-1'!B29</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'Chemo-1'!A30</f>
        <v>24</v>
      </c>
      <c r="C31" s="115" t="str">
        <f>'Chemo-1'!B30</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'Chemo-1'!A31</f>
        <v>25</v>
      </c>
      <c r="C32" s="115" t="str">
        <f>'Chemo-1'!B31</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".extension(http://hl7.eu/fhir/ig/pcsp/StructureDefinition/ResourceRelatedInfo-eu-pcsp).conformsTo(http://hl7.eu/fhir/ig/pcsp/StructureDefinition/Observation-cumulativeDoseChemo-eu-pcsp)"</v>
      </c>
    </row>
    <row r="41" spans="4:4" x14ac:dyDescent="0.75">
      <c r="D41" s="115" t="str">
        <f>'Chemo-Map-2'!D41</f>
        <v/>
      </c>
    </row>
    <row r="42" spans="4:4" x14ac:dyDescent="0.75">
      <c r="D42" s="115" t="str">
        <f>'Chemo-Map-2'!D42</f>
        <v/>
      </c>
    </row>
    <row r="43" spans="4:4" x14ac:dyDescent="0.75">
      <c r="D43" s="115" t="str">
        <f>'Chemo-Map-2'!D43</f>
        <v/>
      </c>
    </row>
    <row r="44" spans="4:4" x14ac:dyDescent="0.75">
      <c r="D44" s="115" t="str">
        <f>'Chemo-Map-2'!D44</f>
        <v/>
      </c>
    </row>
    <row r="45" spans="4:4" x14ac:dyDescent="0.75">
      <c r="D45" s="115" t="str">
        <f>'Chemo-Map-2'!D45</f>
        <v/>
      </c>
    </row>
    <row r="46" spans="4:4" x14ac:dyDescent="0.75">
      <c r="D46" s="115" t="str">
        <f>'Chemo-Map-2'!D46</f>
        <v/>
      </c>
    </row>
    <row r="47" spans="4:4" x14ac:dyDescent="0.75">
      <c r="D47" s="115" t="str">
        <f>'Chemo-Map-2'!D47</f>
        <v/>
      </c>
    </row>
    <row r="48" spans="4:4" x14ac:dyDescent="0.75">
      <c r="D48" s="115" t="str">
        <f>'Chemo-Map-2'!D48</f>
        <v/>
      </c>
    </row>
    <row r="49" spans="4:4" x14ac:dyDescent="0.75">
      <c r="D49" s="115" t="str">
        <f>'Chemo-Map-2'!D49</f>
        <v/>
      </c>
    </row>
    <row r="50" spans="4:4" x14ac:dyDescent="0.75">
      <c r="D50" s="115" t="str">
        <f>'Chemo-Map-2'!D50</f>
        <v/>
      </c>
    </row>
    <row r="51" spans="4:4" x14ac:dyDescent="0.75">
      <c r="D51" s="115" t="str">
        <f>'Chemo-Map-2'!D51</f>
        <v/>
      </c>
    </row>
    <row r="52" spans="4:4" x14ac:dyDescent="0.75">
      <c r="D52" s="115" t="str">
        <f>'Chemo-Map-2'!D52</f>
        <v/>
      </c>
    </row>
    <row r="53" spans="4:4" x14ac:dyDescent="0.75">
      <c r="D53" s="115" t="str">
        <f>'Chemo-Map-2'!D53</f>
        <v/>
      </c>
    </row>
    <row r="54" spans="4:4" x14ac:dyDescent="0.75">
      <c r="D54" s="115" t="str">
        <f>'Chemo-Map-2'!D54</f>
        <v/>
      </c>
    </row>
    <row r="55" spans="4:4" x14ac:dyDescent="0.75">
      <c r="D55" s="115" t="str">
        <f>'Chemo-Map-2'!D55</f>
        <v/>
      </c>
    </row>
    <row r="56" spans="4:4" x14ac:dyDescent="0.75">
      <c r="D56" s="115" t="str">
        <f>'Chemo-Map-2'!D56</f>
        <v/>
      </c>
    </row>
    <row r="57" spans="4:4" x14ac:dyDescent="0.75">
      <c r="D57" s="115" t="str">
        <f>'Chemo-Map-2'!D57</f>
        <v/>
      </c>
    </row>
    <row r="58" spans="4:4" x14ac:dyDescent="0.75">
      <c r="D58" s="115" t="str">
        <f>'Chemo-Map-2'!D58</f>
        <v/>
      </c>
    </row>
    <row r="59" spans="4:4" x14ac:dyDescent="0.75">
      <c r="D59" s="115" t="str">
        <f>'Chemo-Map-2'!D59</f>
        <v/>
      </c>
    </row>
    <row r="60" spans="4:4" x14ac:dyDescent="0.75">
      <c r="D60" s="115" t="str">
        <f>'Chemo-Map-2'!D60</f>
        <v>* differential.element[19].mapping[0].identity = "fhir"</v>
      </c>
    </row>
    <row r="61" spans="4:4" x14ac:dyDescent="0.75">
      <c r="D61" s="115" t="str">
        <f>'Chemo-Map-2'!D61</f>
        <v>* differential.element[19].mapping[0].map = "MedicationStatement.where(medicationCodeableConcept = 'http://www.whocc.no/atc|H02' and dosage.timing.repeat.boundsDuration.where( value='4' and code = 'w' and comparator ='&gt;' )"</v>
      </c>
    </row>
    <row r="62" spans="4:4" x14ac:dyDescent="0.75">
      <c r="D62" s="115" t="str">
        <f>'Chemo-Map-2'!D62</f>
        <v/>
      </c>
    </row>
    <row r="63" spans="4:4" x14ac:dyDescent="0.75">
      <c r="D63" s="115" t="str">
        <f>'Chemo-Map-2'!D63</f>
        <v>* differential.element[20].mapping[0].identity = "fhir"</v>
      </c>
    </row>
    <row r="64" spans="4:4" x14ac:dyDescent="0.75">
      <c r="D64" s="115" t="str">
        <f>'Chemo-Map-2'!D64</f>
        <v>* differential.element[20].mapping[0].map = "MedicationStatement.where(dosage.route = https://standardterms.edqm.eu|20042000)"</v>
      </c>
    </row>
    <row r="65" spans="4:4" x14ac:dyDescent="0.75">
      <c r="D65" s="115" t="str">
        <f>'Chemo-Map-2'!D65</f>
        <v/>
      </c>
    </row>
    <row r="66" spans="4:4" x14ac:dyDescent="0.75">
      <c r="D66" s="115" t="str">
        <f>'Chemo-Map-2'!D66</f>
        <v>* differential.element[21].mapping[0].identity = "fhir"</v>
      </c>
    </row>
    <row r="67" spans="4:4" x14ac:dyDescent="0.75">
      <c r="D67" s="115" t="str">
        <f>'Chemo-Map-2'!D67</f>
        <v>* differential.element[21].mapping[0].map = ".exists()"</v>
      </c>
    </row>
    <row r="68" spans="4:4" x14ac:dyDescent="0.75">
      <c r="D68" s="115" t="str">
        <f>'Chemo-Map-2'!D68</f>
        <v/>
      </c>
    </row>
    <row r="69" spans="4:4" x14ac:dyDescent="0.75">
      <c r="D69" s="115" t="str">
        <f>'Chemo-Map-2'!D69</f>
        <v>* differential.element[22].mapping[0].identity = "fhir"</v>
      </c>
    </row>
    <row r="70" spans="4:4" x14ac:dyDescent="0.75">
      <c r="D70" s="115" t="str">
        <f>'Chemo-Map-2'!D70</f>
        <v>* differential.element[22].mapping[0].map = ".dosage.timing.repeat.count
.count()"</v>
      </c>
    </row>
    <row r="71" spans="4:4" x14ac:dyDescent="0.75">
      <c r="D71" s="115" t="str">
        <f>'Chemo-Map-2'!D71</f>
        <v/>
      </c>
    </row>
    <row r="72" spans="4:4" x14ac:dyDescent="0.75">
      <c r="D72" s="115" t="str">
        <f>'Chemo-Map-2'!D72</f>
        <v>* differential.element[23].mapping[0].identity = "fhir"</v>
      </c>
    </row>
    <row r="73" spans="4:4" x14ac:dyDescent="0.75">
      <c r="D73" s="115" t="str">
        <f>'Chemo-Map-2'!D73</f>
        <v>* differential.element[23].mapping[0].map = ".medicationCodeableConcept.text"</v>
      </c>
    </row>
    <row r="74" spans="4:4" x14ac:dyDescent="0.75">
      <c r="D74" s="115" t="str">
        <f>'Chemo-Map-2'!D74</f>
        <v/>
      </c>
    </row>
    <row r="75" spans="4:4" x14ac:dyDescent="0.75">
      <c r="D75" s="115" t="str">
        <f>'Chemo-Map-2'!D75</f>
        <v>* differential.element[24].mapping[0].identity = "fhir"</v>
      </c>
    </row>
    <row r="76" spans="4:4" x14ac:dyDescent="0.75">
      <c r="D76" s="115" t="str">
        <f>'Chemo-Map-2'!D76</f>
        <v>* differential.element[24].mapping[0].map = "MedicationStatement"</v>
      </c>
    </row>
    <row r="77" spans="4:4" x14ac:dyDescent="0.75">
      <c r="D77" s="115" t="str">
        <f>'Chemo-Map-2'!D77</f>
        <v/>
      </c>
    </row>
    <row r="78" spans="4:4" x14ac:dyDescent="0.75">
      <c r="D78" s="115" t="str">
        <f>'Chemo-Map-2'!D78</f>
        <v>* differential.element[25].mapping[0].identity = "fhir"</v>
      </c>
    </row>
    <row r="79" spans="4:4" x14ac:dyDescent="0.75">
      <c r="D79" s="115" t="str">
        <f>'Chemo-Map-2'!D79</f>
        <v>* differential.element[25].mapping[0].map = ".medicationCodeableConcept.text"</v>
      </c>
    </row>
    <row r="80" spans="4:4" x14ac:dyDescent="0.75">
      <c r="D80" s="115" t="str">
        <f>'Chemo-Map-2'!D80</f>
        <v/>
      </c>
    </row>
    <row r="81" spans="4:4" x14ac:dyDescent="0.75">
      <c r="D81" s="115" t="str">
        <f>'Chemo-Map-2'!D81</f>
        <v/>
      </c>
    </row>
    <row r="82" spans="4:4" x14ac:dyDescent="0.75">
      <c r="D82" s="115" t="str">
        <f>'Chemo-Map-2'!D82</f>
        <v/>
      </c>
    </row>
    <row r="83" spans="4:4" x14ac:dyDescent="0.75">
      <c r="D83" s="115" t="str">
        <f>'Chemo-Map-2'!D83</f>
        <v/>
      </c>
    </row>
    <row r="84" spans="4:4" x14ac:dyDescent="0.75">
      <c r="D84" s="115" t="str">
        <f>'Chemo-Map-2'!D84</f>
        <v/>
      </c>
    </row>
    <row r="85" spans="4:4" x14ac:dyDescent="0.75">
      <c r="D85" s="115" t="str">
        <f>'Chemo-Map-2'!D85</f>
        <v/>
      </c>
    </row>
    <row r="86" spans="4:4" x14ac:dyDescent="0.75">
      <c r="D86" s="115" t="str">
        <f>'Chemo-Map-2'!D86</f>
        <v/>
      </c>
    </row>
    <row r="87" spans="4:4" x14ac:dyDescent="0.75">
      <c r="D87" s="115" t="str">
        <f>'Chemo-Map-2'!D87</f>
        <v/>
      </c>
    </row>
    <row r="88" spans="4:4" x14ac:dyDescent="0.75">
      <c r="D88" s="115" t="str">
        <f>'Chemo-Map-2'!D88</f>
        <v/>
      </c>
    </row>
    <row r="89" spans="4:4" x14ac:dyDescent="0.75">
      <c r="D89" s="115" t="str">
        <f>'Chemo-Map-2'!D89</f>
        <v/>
      </c>
    </row>
    <row r="90" spans="4:4" x14ac:dyDescent="0.75">
      <c r="D90" s="115" t="str">
        <f>'Chemo-Map-2'!D90</f>
        <v/>
      </c>
    </row>
    <row r="91" spans="4:4" x14ac:dyDescent="0.75">
      <c r="D91" s="115" t="str">
        <f>'Chemo-Map-2'!D91</f>
        <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995</v>
      </c>
      <c r="I5" s="165"/>
    </row>
    <row r="6" spans="1:9" ht="15.5" thickBot="1" x14ac:dyDescent="0.9">
      <c r="A6" s="113">
        <v>0</v>
      </c>
      <c r="B6" s="128" t="s">
        <v>95</v>
      </c>
      <c r="C6" s="34" t="s">
        <v>95</v>
      </c>
      <c r="D6" s="17" t="s">
        <v>95</v>
      </c>
      <c r="E6" s="35">
        <v>1</v>
      </c>
      <c r="F6" s="35">
        <v>1</v>
      </c>
      <c r="G6" s="35"/>
    </row>
    <row r="7" spans="1:9" x14ac:dyDescent="0.75">
      <c r="A7" s="113">
        <v>1</v>
      </c>
      <c r="B7" s="115" t="s">
        <v>1148</v>
      </c>
      <c r="C7" s="116" t="s">
        <v>1150</v>
      </c>
      <c r="D7" s="116" t="s">
        <v>1153</v>
      </c>
      <c r="E7" s="115">
        <v>0</v>
      </c>
      <c r="F7" s="115">
        <v>1</v>
      </c>
      <c r="G7" s="115" t="s">
        <v>0</v>
      </c>
      <c r="H7" s="115"/>
      <c r="I7" s="115"/>
    </row>
    <row r="8" spans="1:9" ht="29.5" x14ac:dyDescent="0.75">
      <c r="A8" s="113">
        <v>2</v>
      </c>
      <c r="B8" s="115" t="s">
        <v>1151</v>
      </c>
      <c r="C8" s="116" t="s">
        <v>1152</v>
      </c>
      <c r="D8" s="116" t="s">
        <v>1154</v>
      </c>
      <c r="E8" s="115">
        <v>0</v>
      </c>
      <c r="F8" s="115">
        <v>1</v>
      </c>
      <c r="G8" s="115" t="s">
        <v>0</v>
      </c>
      <c r="H8" s="115"/>
      <c r="I8" s="115"/>
    </row>
    <row r="9" spans="1:9" ht="88.5" x14ac:dyDescent="0.75">
      <c r="A9" s="113">
        <v>3</v>
      </c>
      <c r="B9" s="115" t="s">
        <v>37</v>
      </c>
      <c r="C9" s="116" t="s">
        <v>1208</v>
      </c>
      <c r="D9" s="116" t="s">
        <v>460</v>
      </c>
      <c r="E9" s="115">
        <v>0</v>
      </c>
      <c r="F9" s="115" t="s">
        <v>20</v>
      </c>
      <c r="G9" s="115" t="s">
        <v>0</v>
      </c>
      <c r="H9" s="115"/>
      <c r="I9" s="115"/>
    </row>
    <row r="10" spans="1:9" x14ac:dyDescent="0.75">
      <c r="A10" s="113">
        <v>4</v>
      </c>
      <c r="B10" s="116" t="s">
        <v>966</v>
      </c>
      <c r="C10" s="116" t="s">
        <v>990</v>
      </c>
      <c r="D10" s="116" t="s">
        <v>461</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ht="51.5" customHeight="1" x14ac:dyDescent="0.75">
      <c r="A16" s="113">
        <v>10</v>
      </c>
      <c r="B16" s="116" t="s">
        <v>977</v>
      </c>
      <c r="C16" s="131" t="s">
        <v>988</v>
      </c>
      <c r="D16" s="116" t="s">
        <v>502</v>
      </c>
      <c r="E16" s="115">
        <v>1</v>
      </c>
      <c r="F16" s="115">
        <v>1</v>
      </c>
      <c r="G16" s="115" t="s">
        <v>2</v>
      </c>
      <c r="H16" s="115"/>
      <c r="I16" s="115"/>
    </row>
    <row r="17" spans="1:9" ht="73.75" x14ac:dyDescent="0.75">
      <c r="A17" s="113">
        <v>11</v>
      </c>
      <c r="B17" s="116" t="s">
        <v>1017</v>
      </c>
      <c r="C17" s="116" t="s">
        <v>989</v>
      </c>
      <c r="D17" s="116" t="s">
        <v>504</v>
      </c>
      <c r="E17" s="115">
        <v>0</v>
      </c>
      <c r="F17" s="115">
        <v>1</v>
      </c>
      <c r="G17" s="115" t="s">
        <v>2</v>
      </c>
      <c r="H17" s="115"/>
      <c r="I17" s="115"/>
    </row>
    <row r="18" spans="1:9" ht="162.25" x14ac:dyDescent="0.75">
      <c r="A18" s="113">
        <v>12</v>
      </c>
      <c r="B18" s="116" t="s">
        <v>65</v>
      </c>
      <c r="C18" s="131" t="s">
        <v>586</v>
      </c>
      <c r="D18" s="116" t="s">
        <v>996</v>
      </c>
      <c r="E18" s="115">
        <v>1</v>
      </c>
      <c r="F18" s="115">
        <v>1</v>
      </c>
      <c r="G18" s="115" t="s">
        <v>1</v>
      </c>
      <c r="H18" s="115"/>
      <c r="I18" s="115"/>
    </row>
    <row r="19" spans="1:9" ht="177" x14ac:dyDescent="0.75">
      <c r="A19" s="113">
        <v>13</v>
      </c>
      <c r="B19" s="116" t="s">
        <v>1019</v>
      </c>
      <c r="C19" s="116" t="s">
        <v>1018</v>
      </c>
      <c r="D19" s="116" t="s">
        <v>1193</v>
      </c>
      <c r="E19" s="115">
        <v>0</v>
      </c>
      <c r="F19" s="115">
        <v>1</v>
      </c>
      <c r="G19" s="115" t="s">
        <v>1</v>
      </c>
      <c r="H19" s="115"/>
      <c r="I19" s="115"/>
    </row>
    <row r="20" spans="1:9" ht="147.5" x14ac:dyDescent="0.75">
      <c r="A20" s="113">
        <v>14</v>
      </c>
      <c r="B20" s="116" t="s">
        <v>1021</v>
      </c>
      <c r="C20" s="116" t="s">
        <v>1022</v>
      </c>
      <c r="D20" s="116" t="s">
        <v>1020</v>
      </c>
      <c r="E20" s="115">
        <v>0</v>
      </c>
      <c r="F20" s="115">
        <v>1</v>
      </c>
      <c r="G20" s="115" t="s">
        <v>1</v>
      </c>
      <c r="H20" s="115"/>
      <c r="I20" s="115"/>
    </row>
    <row r="21" spans="1:9" ht="118" x14ac:dyDescent="0.75">
      <c r="A21" s="113">
        <v>15</v>
      </c>
      <c r="B21" s="116" t="s">
        <v>1024</v>
      </c>
      <c r="C21" s="116" t="s">
        <v>1025</v>
      </c>
      <c r="D21" s="116" t="s">
        <v>1023</v>
      </c>
      <c r="E21" s="115">
        <v>0</v>
      </c>
      <c r="F21" s="115">
        <v>1</v>
      </c>
      <c r="G21" s="115" t="s">
        <v>1</v>
      </c>
      <c r="H21" s="115"/>
      <c r="I21" s="115"/>
    </row>
    <row r="22" spans="1:9" ht="147.5" x14ac:dyDescent="0.75">
      <c r="A22" s="113">
        <v>16</v>
      </c>
      <c r="B22" s="116" t="s">
        <v>1015</v>
      </c>
      <c r="C22" s="116" t="s">
        <v>1030</v>
      </c>
      <c r="D22" s="116" t="s">
        <v>1206</v>
      </c>
      <c r="E22" s="115">
        <v>0</v>
      </c>
      <c r="F22" s="115">
        <v>1</v>
      </c>
      <c r="G22" s="115" t="s">
        <v>1</v>
      </c>
      <c r="H22" s="115"/>
      <c r="I22" s="115"/>
    </row>
    <row r="23" spans="1:9" x14ac:dyDescent="0.75">
      <c r="A23" s="113">
        <v>17</v>
      </c>
      <c r="B23" s="116" t="s">
        <v>1026</v>
      </c>
      <c r="C23" s="116" t="s">
        <v>1027</v>
      </c>
      <c r="D23" s="116" t="s">
        <v>500</v>
      </c>
      <c r="E23" s="115">
        <v>0</v>
      </c>
      <c r="F23" s="115">
        <v>1</v>
      </c>
      <c r="G23" s="115" t="s">
        <v>984</v>
      </c>
      <c r="H23" s="115"/>
      <c r="I23" s="115"/>
    </row>
    <row r="24" spans="1:9" ht="73.75" x14ac:dyDescent="0.75">
      <c r="A24" s="113">
        <v>18</v>
      </c>
      <c r="B24" s="116" t="s">
        <v>997</v>
      </c>
      <c r="C24" s="131" t="s">
        <v>1157</v>
      </c>
      <c r="D24" s="132" t="s">
        <v>998</v>
      </c>
      <c r="E24" s="115">
        <v>0</v>
      </c>
      <c r="F24" s="115">
        <v>5</v>
      </c>
      <c r="G24" s="115" t="s">
        <v>5</v>
      </c>
      <c r="H24" s="115"/>
      <c r="I24" s="115"/>
    </row>
    <row r="25" spans="1:9" ht="191.75" x14ac:dyDescent="0.75">
      <c r="A25" s="113">
        <v>19</v>
      </c>
      <c r="B25" s="116" t="s">
        <v>999</v>
      </c>
      <c r="C25" s="131" t="s">
        <v>1158</v>
      </c>
      <c r="D25" s="116" t="s">
        <v>1000</v>
      </c>
      <c r="E25" s="115">
        <v>1</v>
      </c>
      <c r="F25" s="115">
        <v>1</v>
      </c>
      <c r="G25" s="115" t="s">
        <v>1</v>
      </c>
      <c r="H25" s="130" t="s">
        <v>1001</v>
      </c>
      <c r="I25" s="115" t="s">
        <v>1002</v>
      </c>
    </row>
    <row r="26" spans="1:9" ht="59" x14ac:dyDescent="0.75">
      <c r="A26" s="113">
        <v>20</v>
      </c>
      <c r="B26" s="116" t="s">
        <v>1156</v>
      </c>
      <c r="C26" s="116" t="s">
        <v>1092</v>
      </c>
      <c r="D26" s="116" t="s">
        <v>1155</v>
      </c>
      <c r="E26" s="115">
        <v>0</v>
      </c>
      <c r="F26" s="115">
        <v>1</v>
      </c>
      <c r="G26" s="115" t="s">
        <v>1</v>
      </c>
      <c r="H26" s="130"/>
      <c r="I26" s="115"/>
    </row>
    <row r="27" spans="1:9" x14ac:dyDescent="0.75">
      <c r="A27" s="113">
        <v>21</v>
      </c>
      <c r="B27" s="116" t="s">
        <v>1163</v>
      </c>
      <c r="C27" s="116" t="s">
        <v>527</v>
      </c>
      <c r="D27" s="116" t="s">
        <v>529</v>
      </c>
      <c r="E27" s="115">
        <v>0</v>
      </c>
      <c r="F27" s="115">
        <v>1</v>
      </c>
      <c r="G27" s="115" t="s">
        <v>3</v>
      </c>
      <c r="H27" s="130"/>
      <c r="I27" s="115"/>
    </row>
    <row r="28" spans="1:9" ht="59" x14ac:dyDescent="0.75">
      <c r="A28" s="113">
        <v>22</v>
      </c>
      <c r="B28" s="116" t="s">
        <v>1159</v>
      </c>
      <c r="C28" s="116" t="s">
        <v>1164</v>
      </c>
      <c r="D28" s="116" t="s">
        <v>533</v>
      </c>
      <c r="E28" s="115">
        <v>0</v>
      </c>
      <c r="F28" s="115">
        <v>1</v>
      </c>
      <c r="G28" s="115" t="s">
        <v>3</v>
      </c>
      <c r="H28" s="130"/>
      <c r="I28" s="115"/>
    </row>
    <row r="29" spans="1:9" ht="59" x14ac:dyDescent="0.75">
      <c r="A29" s="113">
        <v>23</v>
      </c>
      <c r="B29" s="116" t="s">
        <v>1160</v>
      </c>
      <c r="C29" s="116" t="s">
        <v>1165</v>
      </c>
      <c r="D29" s="116" t="s">
        <v>538</v>
      </c>
      <c r="E29" s="115">
        <v>0</v>
      </c>
      <c r="F29" s="115">
        <v>1</v>
      </c>
      <c r="G29" s="115" t="s">
        <v>3</v>
      </c>
      <c r="H29" s="130"/>
      <c r="I29" s="115"/>
    </row>
    <row r="30" spans="1:9" ht="59" x14ac:dyDescent="0.75">
      <c r="A30" s="113">
        <v>24</v>
      </c>
      <c r="B30" s="116" t="s">
        <v>1161</v>
      </c>
      <c r="C30" s="116" t="s">
        <v>540</v>
      </c>
      <c r="D30" s="116" t="s">
        <v>1162</v>
      </c>
      <c r="E30" s="115">
        <v>0</v>
      </c>
      <c r="F30" s="115">
        <v>1</v>
      </c>
      <c r="G30" s="115" t="s">
        <v>1</v>
      </c>
      <c r="H30" s="130"/>
      <c r="I30" s="115"/>
    </row>
    <row r="31" spans="1:9" ht="29.5" x14ac:dyDescent="0.75">
      <c r="A31" s="113">
        <v>25</v>
      </c>
      <c r="B31" s="116" t="s">
        <v>1195</v>
      </c>
      <c r="C31" s="116" t="s">
        <v>1003</v>
      </c>
      <c r="D31" s="116" t="s">
        <v>548</v>
      </c>
      <c r="E31" s="115">
        <v>0</v>
      </c>
      <c r="F31" s="115">
        <v>1</v>
      </c>
      <c r="G31" s="115" t="s">
        <v>5</v>
      </c>
      <c r="H31" s="115"/>
      <c r="I31" s="115"/>
    </row>
    <row r="32" spans="1:9" ht="29.5" x14ac:dyDescent="0.75">
      <c r="A32" s="113">
        <v>26</v>
      </c>
      <c r="B32" s="116" t="s">
        <v>1179</v>
      </c>
      <c r="C32" s="116" t="s">
        <v>343</v>
      </c>
      <c r="D32" s="116" t="s">
        <v>347</v>
      </c>
      <c r="E32" s="115">
        <v>0</v>
      </c>
      <c r="F32" s="115">
        <v>1</v>
      </c>
      <c r="G32" s="115" t="s">
        <v>1</v>
      </c>
    </row>
    <row r="33" spans="1:9" x14ac:dyDescent="0.75">
      <c r="A33" s="113">
        <v>27</v>
      </c>
      <c r="B33" s="116" t="s">
        <v>1178</v>
      </c>
      <c r="C33" s="116" t="s">
        <v>348</v>
      </c>
      <c r="D33" s="116" t="s">
        <v>351</v>
      </c>
      <c r="E33" s="115">
        <v>0</v>
      </c>
      <c r="F33" s="115">
        <v>1</v>
      </c>
      <c r="G33" s="115" t="s">
        <v>1</v>
      </c>
    </row>
    <row r="34" spans="1:9" x14ac:dyDescent="0.75">
      <c r="A34" s="113">
        <v>28</v>
      </c>
      <c r="B34" s="116" t="s">
        <v>1196</v>
      </c>
      <c r="C34" s="116" t="s">
        <v>1004</v>
      </c>
      <c r="D34" s="116" t="s">
        <v>1004</v>
      </c>
      <c r="E34" s="115">
        <v>0</v>
      </c>
      <c r="F34" s="115">
        <v>1</v>
      </c>
      <c r="G34" s="115" t="s">
        <v>3</v>
      </c>
      <c r="H34" s="115"/>
      <c r="I34" s="115"/>
    </row>
    <row r="35" spans="1:9" x14ac:dyDescent="0.75">
      <c r="A35" s="113">
        <v>29</v>
      </c>
      <c r="B35" s="116" t="s">
        <v>1197</v>
      </c>
      <c r="C35" s="116" t="s">
        <v>1005</v>
      </c>
      <c r="D35" s="116" t="s">
        <v>1006</v>
      </c>
      <c r="E35" s="115">
        <v>0</v>
      </c>
      <c r="F35" s="115">
        <v>1</v>
      </c>
      <c r="G35" s="115" t="s">
        <v>956</v>
      </c>
      <c r="H35" s="115"/>
      <c r="I35" s="115"/>
    </row>
    <row r="36" spans="1:9" ht="44.25" x14ac:dyDescent="0.75">
      <c r="A36" s="113">
        <v>30</v>
      </c>
      <c r="B36" s="116" t="s">
        <v>1198</v>
      </c>
      <c r="C36" s="116" t="s">
        <v>549</v>
      </c>
      <c r="D36" s="116" t="s">
        <v>1028</v>
      </c>
      <c r="E36" s="115">
        <v>0</v>
      </c>
      <c r="F36" s="115">
        <v>1</v>
      </c>
      <c r="G36" s="115" t="s">
        <v>1</v>
      </c>
      <c r="H36" s="115"/>
      <c r="I36" s="115"/>
    </row>
    <row r="37" spans="1:9" ht="29.5" x14ac:dyDescent="0.75">
      <c r="A37" s="113">
        <v>31</v>
      </c>
      <c r="B37" s="14" t="s">
        <v>1199</v>
      </c>
      <c r="C37" s="116" t="s">
        <v>1032</v>
      </c>
      <c r="D37" s="116" t="s">
        <v>1194</v>
      </c>
      <c r="E37" s="115">
        <v>0</v>
      </c>
      <c r="F37" s="115">
        <v>1</v>
      </c>
      <c r="G37" s="25" t="s">
        <v>984</v>
      </c>
    </row>
    <row r="38" spans="1:9" ht="29.5" x14ac:dyDescent="0.75">
      <c r="A38" s="113">
        <v>32</v>
      </c>
      <c r="B38" s="116" t="s">
        <v>1007</v>
      </c>
      <c r="C38" s="116" t="s">
        <v>562</v>
      </c>
      <c r="D38" s="116" t="s">
        <v>1207</v>
      </c>
      <c r="E38" s="115">
        <v>0</v>
      </c>
      <c r="F38" s="115">
        <v>5</v>
      </c>
      <c r="G38" s="115" t="s">
        <v>5</v>
      </c>
      <c r="H38" s="115"/>
      <c r="I38" s="115"/>
    </row>
    <row r="39" spans="1:9" ht="59" x14ac:dyDescent="0.75">
      <c r="A39" s="113">
        <v>33</v>
      </c>
      <c r="B39" s="116" t="s">
        <v>1033</v>
      </c>
      <c r="C39" s="116" t="s">
        <v>1034</v>
      </c>
      <c r="D39" s="14" t="s">
        <v>1035</v>
      </c>
      <c r="E39" s="115">
        <v>1</v>
      </c>
      <c r="F39" s="115">
        <v>1</v>
      </c>
      <c r="G39" s="115" t="s">
        <v>1</v>
      </c>
      <c r="H39" s="115"/>
      <c r="I39" s="115"/>
    </row>
    <row r="40" spans="1:9" ht="29.5" x14ac:dyDescent="0.75">
      <c r="A40" s="113">
        <v>34</v>
      </c>
      <c r="B40" s="116" t="s">
        <v>1008</v>
      </c>
      <c r="C40" s="116" t="s">
        <v>1009</v>
      </c>
      <c r="D40" s="116" t="s">
        <v>1010</v>
      </c>
      <c r="E40" s="115">
        <v>0</v>
      </c>
      <c r="F40" s="115">
        <v>1</v>
      </c>
      <c r="G40" s="115" t="s">
        <v>1</v>
      </c>
      <c r="H40" s="115"/>
      <c r="I40" s="115"/>
    </row>
    <row r="41" spans="1:9" ht="88.5" x14ac:dyDescent="0.75">
      <c r="A41" s="113">
        <v>35</v>
      </c>
      <c r="B41" s="116" t="s">
        <v>1011</v>
      </c>
      <c r="C41" s="116" t="s">
        <v>1012</v>
      </c>
      <c r="D41" s="132" t="s">
        <v>1013</v>
      </c>
      <c r="E41" s="115">
        <v>0</v>
      </c>
      <c r="F41" s="115">
        <v>1</v>
      </c>
      <c r="G41" s="115" t="s">
        <v>1</v>
      </c>
      <c r="H41" s="130" t="s">
        <v>1001</v>
      </c>
      <c r="I41" s="115" t="s">
        <v>1002</v>
      </c>
    </row>
    <row r="42" spans="1:9" ht="59" x14ac:dyDescent="0.75">
      <c r="A42" s="113">
        <v>36</v>
      </c>
      <c r="B42" s="116" t="s">
        <v>1166</v>
      </c>
      <c r="C42" s="116" t="s">
        <v>1092</v>
      </c>
      <c r="D42" s="116" t="s">
        <v>1155</v>
      </c>
      <c r="E42" s="115">
        <v>0</v>
      </c>
      <c r="F42" s="115">
        <v>1</v>
      </c>
      <c r="G42" s="115" t="s">
        <v>1</v>
      </c>
      <c r="H42" s="130"/>
      <c r="I42" s="115"/>
    </row>
    <row r="43" spans="1:9" x14ac:dyDescent="0.75">
      <c r="A43" s="113">
        <v>37</v>
      </c>
      <c r="B43" s="116" t="s">
        <v>1167</v>
      </c>
      <c r="C43" s="116" t="s">
        <v>527</v>
      </c>
      <c r="D43" s="116" t="s">
        <v>529</v>
      </c>
      <c r="E43" s="115">
        <v>0</v>
      </c>
      <c r="F43" s="115">
        <v>1</v>
      </c>
      <c r="G43" s="115" t="s">
        <v>3</v>
      </c>
      <c r="H43" s="130"/>
      <c r="I43" s="115"/>
    </row>
    <row r="44" spans="1:9" ht="59" x14ac:dyDescent="0.75">
      <c r="A44" s="113">
        <v>38</v>
      </c>
      <c r="B44" s="116" t="s">
        <v>1168</v>
      </c>
      <c r="C44" s="116" t="s">
        <v>1164</v>
      </c>
      <c r="D44" s="116" t="s">
        <v>533</v>
      </c>
      <c r="E44" s="115">
        <v>0</v>
      </c>
      <c r="F44" s="115">
        <v>1</v>
      </c>
      <c r="G44" s="115" t="s">
        <v>3</v>
      </c>
      <c r="H44" s="130"/>
      <c r="I44" s="115"/>
    </row>
    <row r="45" spans="1:9" ht="59" x14ac:dyDescent="0.75">
      <c r="A45" s="113">
        <v>39</v>
      </c>
      <c r="B45" s="116" t="s">
        <v>1169</v>
      </c>
      <c r="C45" s="116" t="s">
        <v>1165</v>
      </c>
      <c r="D45" s="116" t="s">
        <v>538</v>
      </c>
      <c r="E45" s="115">
        <v>0</v>
      </c>
      <c r="F45" s="115">
        <v>1</v>
      </c>
      <c r="G45" s="115" t="s">
        <v>3</v>
      </c>
      <c r="H45" s="130"/>
      <c r="I45" s="115"/>
    </row>
    <row r="46" spans="1:9" ht="59" x14ac:dyDescent="0.75">
      <c r="A46" s="113">
        <v>40</v>
      </c>
      <c r="B46" s="116" t="s">
        <v>1170</v>
      </c>
      <c r="C46" s="116" t="s">
        <v>540</v>
      </c>
      <c r="D46" s="116" t="s">
        <v>1162</v>
      </c>
      <c r="E46" s="115">
        <v>0</v>
      </c>
      <c r="F46" s="115">
        <v>1</v>
      </c>
      <c r="G46" s="115" t="s">
        <v>1</v>
      </c>
      <c r="H46" s="130"/>
      <c r="I46" s="115"/>
    </row>
    <row r="47" spans="1:9" x14ac:dyDescent="0.75">
      <c r="A47" s="113">
        <v>41</v>
      </c>
      <c r="B47" s="116" t="s">
        <v>1200</v>
      </c>
      <c r="C47" s="116" t="s">
        <v>1003</v>
      </c>
      <c r="D47" s="116" t="s">
        <v>1014</v>
      </c>
      <c r="E47" s="115">
        <v>1</v>
      </c>
      <c r="F47" s="115">
        <v>1</v>
      </c>
      <c r="G47" s="115" t="s">
        <v>5</v>
      </c>
      <c r="H47" s="115"/>
      <c r="I47" s="115"/>
    </row>
    <row r="48" spans="1:9" ht="29.5" x14ac:dyDescent="0.75">
      <c r="A48" s="113">
        <v>42</v>
      </c>
      <c r="B48" s="116" t="s">
        <v>1181</v>
      </c>
      <c r="C48" s="116" t="s">
        <v>343</v>
      </c>
      <c r="D48" s="116" t="s">
        <v>347</v>
      </c>
      <c r="E48" s="115">
        <v>0</v>
      </c>
      <c r="F48" s="115">
        <v>1</v>
      </c>
      <c r="G48" s="115" t="s">
        <v>1</v>
      </c>
    </row>
    <row r="49" spans="1:9" x14ac:dyDescent="0.75">
      <c r="A49" s="113">
        <v>43</v>
      </c>
      <c r="B49" s="116" t="s">
        <v>1182</v>
      </c>
      <c r="C49" s="116" t="s">
        <v>348</v>
      </c>
      <c r="D49" s="116" t="s">
        <v>351</v>
      </c>
      <c r="E49" s="115">
        <v>0</v>
      </c>
      <c r="F49" s="115">
        <v>1</v>
      </c>
      <c r="G49" s="115" t="s">
        <v>1</v>
      </c>
    </row>
    <row r="50" spans="1:9" x14ac:dyDescent="0.75">
      <c r="A50" s="113">
        <v>44</v>
      </c>
      <c r="B50" s="116" t="s">
        <v>1201</v>
      </c>
      <c r="C50" s="116" t="s">
        <v>1004</v>
      </c>
      <c r="D50" s="116" t="s">
        <v>1004</v>
      </c>
      <c r="E50" s="115">
        <v>0</v>
      </c>
      <c r="F50" s="115">
        <v>1</v>
      </c>
      <c r="G50" s="115" t="s">
        <v>1</v>
      </c>
      <c r="H50" s="115"/>
      <c r="I50" s="36"/>
    </row>
    <row r="51" spans="1:9" x14ac:dyDescent="0.75">
      <c r="A51" s="113">
        <v>45</v>
      </c>
      <c r="B51" s="116" t="s">
        <v>1202</v>
      </c>
      <c r="C51" s="116" t="s">
        <v>1005</v>
      </c>
      <c r="D51" s="116" t="s">
        <v>1014</v>
      </c>
      <c r="E51" s="115">
        <v>0</v>
      </c>
      <c r="F51" s="115">
        <v>1</v>
      </c>
      <c r="G51" s="115" t="s">
        <v>956</v>
      </c>
      <c r="H51" s="115"/>
      <c r="I51" s="115"/>
    </row>
    <row r="52" spans="1:9" ht="29.5" x14ac:dyDescent="0.75">
      <c r="A52" s="113">
        <v>46</v>
      </c>
      <c r="B52" s="116" t="s">
        <v>1203</v>
      </c>
      <c r="C52" s="116" t="s">
        <v>1031</v>
      </c>
      <c r="D52" s="116" t="s">
        <v>1029</v>
      </c>
      <c r="E52" s="115">
        <v>0</v>
      </c>
      <c r="F52" s="115">
        <v>1</v>
      </c>
      <c r="G52" s="115" t="s">
        <v>1</v>
      </c>
      <c r="H52" s="115"/>
      <c r="I52" s="115"/>
    </row>
    <row r="53" spans="1:9" ht="29.5" x14ac:dyDescent="0.75">
      <c r="A53" s="113">
        <v>47</v>
      </c>
      <c r="B53" s="14" t="s">
        <v>1204</v>
      </c>
      <c r="C53" s="116" t="s">
        <v>1032</v>
      </c>
      <c r="D53" s="116" t="s">
        <v>605</v>
      </c>
      <c r="E53" s="115">
        <v>0</v>
      </c>
      <c r="F53" s="115">
        <v>1</v>
      </c>
      <c r="G53" s="25" t="s">
        <v>984</v>
      </c>
    </row>
    <row r="54" spans="1:9" x14ac:dyDescent="0.75">
      <c r="A54" s="113">
        <v>48</v>
      </c>
      <c r="B54" s="116" t="s">
        <v>1171</v>
      </c>
      <c r="C54" s="116" t="s">
        <v>606</v>
      </c>
      <c r="D54" s="115" t="s">
        <v>1174</v>
      </c>
      <c r="E54" s="115">
        <v>0</v>
      </c>
      <c r="F54" s="115">
        <v>1</v>
      </c>
      <c r="G54" s="115" t="s">
        <v>5</v>
      </c>
      <c r="H54" s="115"/>
      <c r="I54" s="115"/>
    </row>
    <row r="55" spans="1:9" ht="29.5" x14ac:dyDescent="0.75">
      <c r="A55" s="113">
        <v>49</v>
      </c>
      <c r="B55" s="116" t="s">
        <v>1172</v>
      </c>
      <c r="C55" s="116" t="s">
        <v>1173</v>
      </c>
      <c r="D55" s="116" t="s">
        <v>1175</v>
      </c>
      <c r="E55" s="115">
        <v>0</v>
      </c>
      <c r="F55" s="115">
        <v>1</v>
      </c>
      <c r="G55" s="115" t="s">
        <v>1</v>
      </c>
      <c r="H55" s="115"/>
      <c r="I55" s="115"/>
    </row>
    <row r="56" spans="1:9" x14ac:dyDescent="0.75">
      <c r="A56" s="113">
        <v>50</v>
      </c>
      <c r="B56" s="116" t="s">
        <v>1176</v>
      </c>
      <c r="C56" s="116" t="s">
        <v>610</v>
      </c>
      <c r="D56" s="116" t="s">
        <v>613</v>
      </c>
      <c r="E56" s="115">
        <v>0</v>
      </c>
      <c r="F56" s="115">
        <v>1</v>
      </c>
      <c r="G56" s="115" t="s">
        <v>3</v>
      </c>
      <c r="H56" s="115"/>
      <c r="I56" s="115"/>
    </row>
    <row r="57" spans="1:9" x14ac:dyDescent="0.75">
      <c r="A57" s="113">
        <v>51</v>
      </c>
      <c r="B57" s="116" t="s">
        <v>1177</v>
      </c>
      <c r="C57" s="116" t="s">
        <v>614</v>
      </c>
      <c r="D57" s="116" t="s">
        <v>616</v>
      </c>
      <c r="E57" s="115">
        <v>0</v>
      </c>
      <c r="F57" s="115">
        <v>1</v>
      </c>
      <c r="G57" s="115" t="s">
        <v>3</v>
      </c>
      <c r="H57" s="115"/>
      <c r="I57" s="115"/>
    </row>
    <row r="58" spans="1:9" x14ac:dyDescent="0.75">
      <c r="A58" s="113">
        <v>52</v>
      </c>
      <c r="B58" s="116" t="s">
        <v>1184</v>
      </c>
      <c r="C58" s="116" t="s">
        <v>1189</v>
      </c>
      <c r="D58" s="116" t="s">
        <v>1190</v>
      </c>
      <c r="E58" s="115">
        <v>0</v>
      </c>
      <c r="F58" s="115">
        <v>1</v>
      </c>
      <c r="G58" s="115" t="s">
        <v>5</v>
      </c>
      <c r="H58" s="115"/>
      <c r="I58" s="115"/>
    </row>
    <row r="59" spans="1:9" x14ac:dyDescent="0.75">
      <c r="A59" s="113">
        <v>53</v>
      </c>
      <c r="B59" s="116" t="s">
        <v>1185</v>
      </c>
      <c r="C59" s="116" t="s">
        <v>621</v>
      </c>
      <c r="D59" s="116" t="s">
        <v>1188</v>
      </c>
      <c r="E59" s="115">
        <v>0</v>
      </c>
      <c r="F59" s="115">
        <v>1</v>
      </c>
      <c r="G59" s="115" t="s">
        <v>1</v>
      </c>
      <c r="H59" s="115"/>
      <c r="I59" s="115"/>
    </row>
    <row r="60" spans="1:9" ht="29.5" x14ac:dyDescent="0.75">
      <c r="A60" s="113">
        <v>54</v>
      </c>
      <c r="B60" s="116" t="s">
        <v>1186</v>
      </c>
      <c r="C60" s="116" t="s">
        <v>1187</v>
      </c>
      <c r="D60" s="116" t="s">
        <v>628</v>
      </c>
      <c r="E60" s="115">
        <v>0</v>
      </c>
      <c r="F60" s="115">
        <v>2</v>
      </c>
      <c r="G60" s="115" t="s">
        <v>1191</v>
      </c>
      <c r="H60" s="115"/>
      <c r="I60" s="115"/>
    </row>
    <row r="61" spans="1:9" x14ac:dyDescent="0.75">
      <c r="A61" s="113">
        <v>55</v>
      </c>
      <c r="B61" s="116" t="s">
        <v>1183</v>
      </c>
      <c r="C61" s="116" t="s">
        <v>1241</v>
      </c>
      <c r="D61" s="116" t="s">
        <v>633</v>
      </c>
      <c r="E61" s="115">
        <v>0</v>
      </c>
      <c r="F61" s="115">
        <v>2</v>
      </c>
      <c r="G61" s="115" t="s">
        <v>1191</v>
      </c>
      <c r="H61" s="115"/>
      <c r="I61" s="115"/>
    </row>
    <row r="62" spans="1:9" x14ac:dyDescent="0.75">
      <c r="A62" s="113">
        <v>56</v>
      </c>
      <c r="B62" s="116" t="s">
        <v>1041</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
"</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"Radiotherapy.dosimetry"</v>
      </c>
      <c r="C54" s="116" t="str">
        <f>CONCATENATE("* differential.element[",'Rad-1'!$A59,"].path = """,'Rad-1'!$B$6,".",'Rad-1'!B59,"""")</f>
        <v>* differential.element[53].path = "Radiotherapy.dosimetry"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"Radiotherapy.dosimetryDocument"</v>
      </c>
      <c r="C55" s="116" t="str">
        <f>CONCATENATE("* differential.element[",'Rad-1'!$A60,"].path = """,'Rad-1'!$B$6,".",'Rad-1'!B60,"""")</f>
        <v>* differential.element[54].path = "Radiotherapy.dosimetryDocument"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1016</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ht="29.5" x14ac:dyDescent="0.75">
      <c r="A335" s="115">
        <v>301</v>
      </c>
      <c r="B335" s="115">
        <f t="shared" si="10"/>
        <v>33</v>
      </c>
      <c r="C335" s="115">
        <f t="shared" si="11"/>
        <v>4</v>
      </c>
      <c r="D335" s="116" t="str" cm="1">
        <f t="array" ref="D335">INDEX('Rad-2'!$B$2:$J$100,1+B335,C335)</f>
        <v>* differential.element[34].definition = "Flag indicating if a boost was given, not given or unknown
"</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"Radiotherapy.dosimetry"</v>
      </c>
    </row>
    <row r="504" spans="1:4" x14ac:dyDescent="0.75">
      <c r="A504" s="115">
        <v>470</v>
      </c>
      <c r="B504" s="115">
        <f t="shared" si="16"/>
        <v>52</v>
      </c>
      <c r="C504" s="115">
        <f t="shared" si="17"/>
        <v>2</v>
      </c>
      <c r="D504" s="116" t="str" cm="1">
        <f t="array" ref="D504">INDEX('Rad-2'!$B$2:$J$100,1+B504,C504)</f>
        <v>* differential.element[53].path = "Radiotherapy.dosimetry"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"Radiotherapy.dosimetryDocument"</v>
      </c>
    </row>
    <row r="513" spans="1:4" x14ac:dyDescent="0.75">
      <c r="A513" s="115">
        <v>479</v>
      </c>
      <c r="B513" s="115">
        <f t="shared" si="16"/>
        <v>53</v>
      </c>
      <c r="C513" s="115">
        <f t="shared" si="17"/>
        <v>2</v>
      </c>
      <c r="D513" s="116" t="str" cm="1">
        <f t="array" ref="D513">INDEX('Rad-2'!$B$2:$J$100,1+B513,C513)</f>
        <v>* differential.element[54].path = "Radiotherapy.dosimetryDocument"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1237</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1226</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7" si="0">CONCATENATE("* ",C8," -&gt; """,D8,"""")</f>
        <v>* relatedDiagnosis -&gt; ".reasonReference"</v>
      </c>
    </row>
    <row r="9" spans="1:13" ht="29.5" x14ac:dyDescent="0.75">
      <c r="A9" s="115">
        <v>0</v>
      </c>
      <c r="B9" s="115">
        <f>'Rad-1'!A8</f>
        <v>2</v>
      </c>
      <c r="C9" s="117" t="str">
        <f>'Rad-1'!B8</f>
        <v>relatedRelapse</v>
      </c>
      <c r="D9" s="115" t="s">
        <v>1226</v>
      </c>
      <c r="G9" s="113" t="b">
        <f t="shared" ref="G9:G69" si="1">IF(D9&gt;"",TRUE,FALSE)</f>
        <v>1</v>
      </c>
      <c r="H9" s="114" t="str">
        <f t="shared" ref="H9:H60" si="2">IF(G9,CONCATENATE("* differential.element[",$B9,"].mapping[",$A9,"].identity = """,$F$1,""""),"")</f>
        <v>* differential.element[2].mapping[0].identity = "fhir"</v>
      </c>
      <c r="I9" s="114" t="str">
        <f t="shared" ref="I9:I60" si="3">IF(G9,CONCATENATE("* differential.element[",$B9,"].mapping[",$A9,"].map = """,D9,""""),"")</f>
        <v>* differential.element[2].mapping[0].map = ".reasonReference"</v>
      </c>
      <c r="J9" s="114" t="str">
        <f t="shared" ref="J9:J61"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1227</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1232</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1220</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1221</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1222</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1223</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1228</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1229</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1230</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1234</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1236</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1240</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1240</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x14ac:dyDescent="0.75">
      <c r="A24" s="115">
        <v>0</v>
      </c>
      <c r="B24" s="115">
        <f>'Rad-1'!A23</f>
        <v>17</v>
      </c>
      <c r="C24" s="117" t="str">
        <f>'Rad-1'!B23</f>
        <v>numberOfCourses</v>
      </c>
      <c r="D24" s="115"/>
      <c r="G24" s="113" t="b">
        <f t="shared" si="1"/>
        <v>0</v>
      </c>
      <c r="H24" s="114" t="str">
        <f t="shared" si="2"/>
        <v/>
      </c>
      <c r="I24" s="114" t="str">
        <f t="shared" si="3"/>
        <v/>
      </c>
      <c r="J24" s="114" t="str">
        <f t="shared" si="4"/>
        <v/>
      </c>
      <c r="M24" s="113" t="str">
        <f t="shared" si="0"/>
        <v>* numberOfCourses -&gt; ""</v>
      </c>
    </row>
    <row r="25" spans="1:13" ht="29.5" x14ac:dyDescent="0.75">
      <c r="A25" s="115">
        <v>0</v>
      </c>
      <c r="B25" s="115">
        <f>'Rad-1'!A24</f>
        <v>18</v>
      </c>
      <c r="C25" s="117" t="str">
        <f>'Rad-1'!B24</f>
        <v>target</v>
      </c>
      <c r="D25" s="115" t="s">
        <v>1231</v>
      </c>
      <c r="G25" s="113" t="b">
        <f t="shared" si="1"/>
        <v>1</v>
      </c>
      <c r="H25" s="114" t="str">
        <f t="shared" si="2"/>
        <v>* differential.element[18].mapping[0].identity = "fhir"</v>
      </c>
      <c r="I25" s="114" t="str">
        <f t="shared" si="3"/>
        <v>* differential.element[18].mapping[0].map = ".bodySite"</v>
      </c>
      <c r="J25" s="114" t="str">
        <f t="shared" si="4"/>
        <v/>
      </c>
      <c r="M25" s="113" t="str">
        <f t="shared" si="0"/>
        <v>* target -&gt; ".bodySite"</v>
      </c>
    </row>
    <row r="26" spans="1:13" ht="88.5" x14ac:dyDescent="0.75">
      <c r="A26" s="115">
        <v>1</v>
      </c>
      <c r="B26" s="115">
        <f>'Rad-1'!A24</f>
        <v>18</v>
      </c>
      <c r="C26" s="117" t="str">
        <f>'Rad-1'!B24</f>
        <v>target</v>
      </c>
      <c r="D26" s="116" t="s">
        <v>1235</v>
      </c>
      <c r="G26" s="113" t="b">
        <f t="shared" ref="G26" si="5">IF(D26&gt;"",TRUE,FALSE)</f>
        <v>1</v>
      </c>
      <c r="H26" s="114" t="str">
        <f t="shared" ref="H26" si="6">IF(G26,CONCATENATE("* differential.element[",$B26,"].mapping[",$A26,"].identity = """,$F$1,""""),"")</f>
        <v>* differential.element[18].mapping[1].identity = "fhir"</v>
      </c>
      <c r="I26" s="114"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4" t="str">
        <f t="shared" si="4"/>
        <v/>
      </c>
      <c r="M26" s="113"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5">
        <v>0</v>
      </c>
      <c r="B27" s="115">
        <f>'Rad-1'!A25</f>
        <v>19</v>
      </c>
      <c r="C27" s="117" t="str">
        <f>'Rad-1'!B25</f>
        <v>target.site</v>
      </c>
      <c r="D27" s="149"/>
      <c r="G27" s="113" t="b">
        <f t="shared" si="1"/>
        <v>0</v>
      </c>
      <c r="H27" s="114" t="str">
        <f t="shared" si="2"/>
        <v/>
      </c>
      <c r="I27" s="114" t="str">
        <f t="shared" si="3"/>
        <v/>
      </c>
      <c r="J27" s="114" t="str">
        <f t="shared" si="4"/>
        <v/>
      </c>
      <c r="M27" s="113" t="str">
        <f t="shared" si="0"/>
        <v>* target.site -&gt; ""</v>
      </c>
    </row>
    <row r="28" spans="1:13" x14ac:dyDescent="0.75">
      <c r="A28" s="115">
        <v>0</v>
      </c>
      <c r="B28" s="115">
        <f>'Rad-1'!A26</f>
        <v>20</v>
      </c>
      <c r="C28" s="117" t="str">
        <f>'Rad-1'!B26</f>
        <v>target.laterality</v>
      </c>
      <c r="D28" s="149"/>
      <c r="G28" s="113" t="b">
        <f t="shared" si="1"/>
        <v>0</v>
      </c>
      <c r="H28" s="114" t="str">
        <f t="shared" si="2"/>
        <v/>
      </c>
      <c r="I28" s="114" t="str">
        <f t="shared" si="3"/>
        <v/>
      </c>
      <c r="J28" s="114" t="str">
        <f t="shared" si="4"/>
        <v/>
      </c>
    </row>
    <row r="29" spans="1:13" x14ac:dyDescent="0.75">
      <c r="A29" s="115">
        <v>0</v>
      </c>
      <c r="B29" s="115">
        <f>'Rad-1'!A27</f>
        <v>21</v>
      </c>
      <c r="C29" s="117" t="str">
        <f>'Rad-1'!B27</f>
        <v>target.details</v>
      </c>
      <c r="D29" s="149"/>
      <c r="G29" s="113" t="b">
        <f t="shared" si="1"/>
        <v>0</v>
      </c>
      <c r="H29" s="114" t="str">
        <f t="shared" si="2"/>
        <v/>
      </c>
      <c r="I29" s="114" t="str">
        <f t="shared" si="3"/>
        <v/>
      </c>
      <c r="J29" s="114" t="str">
        <f t="shared" si="4"/>
        <v/>
      </c>
      <c r="M29" s="113" t="str">
        <f t="shared" ref="M29:M37" si="9">CONCATENATE("* ",C29," -&gt; """,D29,"""")</f>
        <v>* target.details -&gt; ""</v>
      </c>
    </row>
    <row r="30" spans="1:13" x14ac:dyDescent="0.75">
      <c r="A30" s="115">
        <v>0</v>
      </c>
      <c r="B30" s="115">
        <f>'Rad-1'!A28</f>
        <v>22</v>
      </c>
      <c r="C30" s="117" t="str">
        <f>'Rad-1'!B28</f>
        <v>target.from</v>
      </c>
      <c r="D30" s="149"/>
      <c r="G30" s="113" t="b">
        <f t="shared" si="1"/>
        <v>0</v>
      </c>
      <c r="H30" s="114" t="str">
        <f t="shared" si="2"/>
        <v/>
      </c>
      <c r="I30" s="114" t="str">
        <f t="shared" si="3"/>
        <v/>
      </c>
      <c r="J30" s="114" t="str">
        <f t="shared" si="4"/>
        <v/>
      </c>
      <c r="M30" s="113" t="str">
        <f t="shared" si="9"/>
        <v>* target.from -&gt; ""</v>
      </c>
    </row>
    <row r="31" spans="1:13" x14ac:dyDescent="0.75">
      <c r="A31" s="115">
        <v>0</v>
      </c>
      <c r="B31" s="115">
        <f>'Rad-1'!A29</f>
        <v>23</v>
      </c>
      <c r="C31" s="117" t="str">
        <f>'Rad-1'!B29</f>
        <v>target.to</v>
      </c>
      <c r="D31" s="149"/>
      <c r="G31" s="113" t="b">
        <f t="shared" si="1"/>
        <v>0</v>
      </c>
      <c r="H31" s="114" t="str">
        <f t="shared" si="2"/>
        <v/>
      </c>
      <c r="I31" s="114" t="str">
        <f t="shared" si="3"/>
        <v/>
      </c>
      <c r="J31" s="114" t="str">
        <f t="shared" si="4"/>
        <v/>
      </c>
      <c r="M31" s="113" t="str">
        <f t="shared" si="9"/>
        <v>* target.to -&gt; ""</v>
      </c>
    </row>
    <row r="32" spans="1:13" x14ac:dyDescent="0.75">
      <c r="A32" s="115">
        <v>0</v>
      </c>
      <c r="B32" s="115">
        <f>'Rad-1'!A30</f>
        <v>24</v>
      </c>
      <c r="C32" s="117" t="str">
        <f>'Rad-1'!B30</f>
        <v>target.position</v>
      </c>
      <c r="D32" s="149"/>
      <c r="G32" s="113" t="b">
        <f t="shared" si="1"/>
        <v>0</v>
      </c>
      <c r="H32" s="114" t="str">
        <f t="shared" si="2"/>
        <v/>
      </c>
      <c r="I32" s="114" t="str">
        <f t="shared" si="3"/>
        <v/>
      </c>
      <c r="J32" s="114" t="str">
        <f t="shared" si="4"/>
        <v/>
      </c>
      <c r="M32" s="113" t="str">
        <f t="shared" si="9"/>
        <v>* target.position -&gt; ""</v>
      </c>
    </row>
    <row r="33" spans="1:13" ht="88.5" x14ac:dyDescent="0.75">
      <c r="A33" s="115">
        <v>0</v>
      </c>
      <c r="B33" s="115">
        <f>'Rad-1'!A31</f>
        <v>25</v>
      </c>
      <c r="C33" s="117" t="str">
        <f>'Rad-1'!B31</f>
        <v>target.cumulativeDose</v>
      </c>
      <c r="D33" s="116" t="s">
        <v>1233</v>
      </c>
      <c r="G33" s="113" t="b">
        <f t="shared" si="1"/>
        <v>1</v>
      </c>
      <c r="H33" s="114" t="str">
        <f t="shared" si="2"/>
        <v>* differential.element[25].mapping[0].identity = "fhir"</v>
      </c>
      <c r="I33" s="114" t="str">
        <f t="shared" si="3"/>
        <v>* differential.element[25].mapping[0].map = ".extension(http://hl7.eu/fhir/ig/pcsp/StructureDefinition/ResourceRelatedInfo-eu-pcsp).conformsTo(http://hl7.eu/fhir/ig/pcsp/StructureDefinition/Observation-cumulativeDoseRad-eu-pcsp)"</v>
      </c>
      <c r="J33" s="114" t="str">
        <f t="shared" si="4"/>
        <v/>
      </c>
      <c r="M33" s="113" t="str">
        <f t="shared" si="9"/>
        <v>* target.cumulativeDose -&gt; ".extension(http://hl7.eu/fhir/ig/pcsp/StructureDefinition/ResourceRelatedInfo-eu-pcsp).conformsTo(http://hl7.eu/fhir/ig/pcsp/StructureDefinition/Observation-cumulativeDoseRad-eu-pcsp)"</v>
      </c>
    </row>
    <row r="34" spans="1:13" x14ac:dyDescent="0.75">
      <c r="A34" s="115">
        <v>0</v>
      </c>
      <c r="B34" s="115">
        <f>'Rad-1'!A32</f>
        <v>26</v>
      </c>
      <c r="C34" s="117" t="str">
        <f>'Rad-1'!B32</f>
        <v>target.cumulativeDose.completionStatus</v>
      </c>
      <c r="D34" s="149"/>
      <c r="G34" s="113" t="b">
        <f t="shared" si="1"/>
        <v>0</v>
      </c>
      <c r="H34" s="114" t="str">
        <f t="shared" si="2"/>
        <v/>
      </c>
      <c r="I34" s="114" t="str">
        <f t="shared" si="3"/>
        <v/>
      </c>
      <c r="J34" s="114" t="str">
        <f t="shared" si="4"/>
        <v/>
      </c>
      <c r="M34" s="113" t="str">
        <f t="shared" si="9"/>
        <v>* target.cumulativeDose.completionStatus -&gt; ""</v>
      </c>
    </row>
    <row r="35" spans="1:13" x14ac:dyDescent="0.75">
      <c r="A35" s="115">
        <v>0</v>
      </c>
      <c r="B35" s="115">
        <f>'Rad-1'!A33</f>
        <v>27</v>
      </c>
      <c r="C35" s="117" t="str">
        <f>'Rad-1'!B33</f>
        <v>target.cumulativeDose.statusReason</v>
      </c>
      <c r="D35" s="149"/>
      <c r="G35" s="113" t="b">
        <f t="shared" si="1"/>
        <v>0</v>
      </c>
      <c r="H35" s="114" t="str">
        <f t="shared" si="2"/>
        <v/>
      </c>
      <c r="I35" s="114" t="str">
        <f t="shared" si="3"/>
        <v/>
      </c>
      <c r="J35" s="114" t="str">
        <f t="shared" si="4"/>
        <v/>
      </c>
      <c r="M35" s="113" t="str">
        <f t="shared" si="9"/>
        <v>* target.cumulativeDose.statusReason -&gt; ""</v>
      </c>
    </row>
    <row r="36" spans="1:13" x14ac:dyDescent="0.75">
      <c r="A36" s="115">
        <v>0</v>
      </c>
      <c r="B36" s="115">
        <f>'Rad-1'!A34</f>
        <v>28</v>
      </c>
      <c r="C36" s="117" t="str">
        <f>'Rad-1'!B34</f>
        <v>target.cumulativeDose.notKnown</v>
      </c>
      <c r="D36" s="149"/>
      <c r="G36" s="113" t="b">
        <f t="shared" si="1"/>
        <v>0</v>
      </c>
      <c r="H36" s="114" t="str">
        <f t="shared" si="2"/>
        <v/>
      </c>
      <c r="I36" s="114" t="str">
        <f t="shared" si="3"/>
        <v/>
      </c>
      <c r="J36" s="114" t="str">
        <f t="shared" si="4"/>
        <v/>
      </c>
      <c r="M36" s="113" t="str">
        <f t="shared" si="9"/>
        <v>* target.cumulativeDose.notKnown -&gt; ""</v>
      </c>
    </row>
    <row r="37" spans="1:13" x14ac:dyDescent="0.75">
      <c r="A37" s="115">
        <v>0</v>
      </c>
      <c r="B37" s="115">
        <f>'Rad-1'!A35</f>
        <v>29</v>
      </c>
      <c r="C37" s="117" t="str">
        <f>'Rad-1'!B35</f>
        <v>target.cumulativeDose.dose</v>
      </c>
      <c r="D37" s="149"/>
      <c r="G37" s="113" t="b">
        <f t="shared" si="1"/>
        <v>0</v>
      </c>
      <c r="H37" s="114" t="str">
        <f t="shared" si="2"/>
        <v/>
      </c>
      <c r="I37" s="114" t="str">
        <f t="shared" si="3"/>
        <v/>
      </c>
      <c r="J37" s="114" t="str">
        <f t="shared" si="4"/>
        <v/>
      </c>
      <c r="M37" s="113" t="str">
        <f t="shared" si="9"/>
        <v>* target.cumulativeDose.dose -&gt; ""</v>
      </c>
    </row>
    <row r="38" spans="1:13" x14ac:dyDescent="0.75">
      <c r="A38" s="115">
        <v>0</v>
      </c>
      <c r="B38" s="115">
        <f>'Rad-1'!A36</f>
        <v>30</v>
      </c>
      <c r="C38" s="117" t="str">
        <f>'Rad-1'!B36</f>
        <v>target.cumulativeDose.unit</v>
      </c>
      <c r="D38" s="149"/>
      <c r="G38" s="113" t="b">
        <f t="shared" si="1"/>
        <v>0</v>
      </c>
      <c r="H38" s="114" t="str">
        <f t="shared" si="2"/>
        <v/>
      </c>
      <c r="I38" s="114" t="str">
        <f t="shared" si="3"/>
        <v/>
      </c>
      <c r="J38" s="114" t="str">
        <f t="shared" si="4"/>
        <v/>
      </c>
    </row>
    <row r="39" spans="1:13" x14ac:dyDescent="0.75">
      <c r="A39" s="115">
        <v>0</v>
      </c>
      <c r="B39" s="115">
        <f>'Rad-1'!A37</f>
        <v>31</v>
      </c>
      <c r="C39" s="117" t="str">
        <f>'Rad-1'!B37</f>
        <v>target.cumulativeDose.fractions</v>
      </c>
      <c r="D39" s="149"/>
      <c r="G39" s="113" t="b">
        <f t="shared" si="1"/>
        <v>0</v>
      </c>
      <c r="H39" s="114" t="str">
        <f t="shared" si="2"/>
        <v/>
      </c>
      <c r="I39" s="114" t="str">
        <f t="shared" si="3"/>
        <v/>
      </c>
      <c r="J39" s="114" t="str">
        <f t="shared" si="4"/>
        <v/>
      </c>
    </row>
    <row r="40" spans="1:13" ht="59" x14ac:dyDescent="0.75">
      <c r="A40" s="115">
        <v>0</v>
      </c>
      <c r="B40" s="115">
        <f>'Rad-1'!A38</f>
        <v>32</v>
      </c>
      <c r="C40" s="117" t="str">
        <f>'Rad-1'!B38</f>
        <v>target.boost</v>
      </c>
      <c r="D40" s="25" t="s">
        <v>1238</v>
      </c>
      <c r="G40" s="113" t="b">
        <f t="shared" si="1"/>
        <v>1</v>
      </c>
      <c r="H40" s="114" t="str">
        <f t="shared" si="2"/>
        <v>* differential.element[32].mapping[0].identity = "fhir"</v>
      </c>
      <c r="I40" s="114" t="str">
        <f t="shared" si="3"/>
        <v>* differential.element[32].mapping[0].map = "Procedure.conformsTo('http://hl7.eu/fhir/ig/pcsp/StructureDefinition/Procedure-radiotheraphyBoost-eu-pcsp')"</v>
      </c>
      <c r="J40" s="114" t="str">
        <f t="shared" si="4"/>
        <v/>
      </c>
    </row>
    <row r="41" spans="1:13" ht="29.5" x14ac:dyDescent="0.75">
      <c r="A41" s="115">
        <v>0</v>
      </c>
      <c r="B41" s="115">
        <f>'Rad-1'!A39</f>
        <v>33</v>
      </c>
      <c r="C41" s="117" t="str">
        <f>'Rad-1'!B39</f>
        <v>target.boost.type</v>
      </c>
      <c r="D41" s="115" t="s">
        <v>1230</v>
      </c>
      <c r="G41" s="113" t="b">
        <f t="shared" si="1"/>
        <v>1</v>
      </c>
      <c r="H41" s="114" t="str">
        <f t="shared" si="2"/>
        <v>* differential.element[33].mapping[0].identity = "fhir"</v>
      </c>
      <c r="I41" s="114" t="str">
        <f t="shared" si="3"/>
        <v>* differential.element[33].mapping[0].map = ".code"</v>
      </c>
      <c r="J41" s="114" t="str">
        <f t="shared" si="4"/>
        <v/>
      </c>
    </row>
    <row r="42" spans="1:13" ht="29.5" x14ac:dyDescent="0.75">
      <c r="A42" s="115">
        <v>0</v>
      </c>
      <c r="B42" s="115">
        <f>'Rad-1'!A40</f>
        <v>34</v>
      </c>
      <c r="C42" s="117" t="str">
        <f>'Rad-1'!B40</f>
        <v>target.boost.given</v>
      </c>
      <c r="D42" s="113" t="s">
        <v>1239</v>
      </c>
      <c r="G42" s="113" t="b">
        <f t="shared" si="1"/>
        <v>1</v>
      </c>
      <c r="H42" s="114" t="str">
        <f t="shared" si="2"/>
        <v>* differential.element[34].mapping[0].identity = "fhir"</v>
      </c>
      <c r="I42" s="114" t="str">
        <f t="shared" si="3"/>
        <v>* differential.element[34].mapping[0].map = ".status"</v>
      </c>
      <c r="J42" s="114" t="str">
        <f t="shared" si="4"/>
        <v/>
      </c>
    </row>
    <row r="43" spans="1:13" ht="29.5" x14ac:dyDescent="0.75">
      <c r="A43" s="115">
        <v>0</v>
      </c>
      <c r="B43" s="115">
        <f>'Rad-1'!A41</f>
        <v>35</v>
      </c>
      <c r="C43" s="117" t="str">
        <f>'Rad-1'!B41</f>
        <v>target.boost.site</v>
      </c>
      <c r="D43" s="115" t="s">
        <v>1231</v>
      </c>
      <c r="G43" s="113" t="b">
        <f t="shared" si="1"/>
        <v>1</v>
      </c>
      <c r="H43" s="114" t="str">
        <f t="shared" si="2"/>
        <v>* differential.element[35].mapping[0].identity = "fhir"</v>
      </c>
      <c r="I43" s="114" t="str">
        <f t="shared" si="3"/>
        <v>* differential.element[35].mapping[0].map = ".bodySite"</v>
      </c>
      <c r="J43" s="114" t="str">
        <f t="shared" si="4"/>
        <v/>
      </c>
    </row>
    <row r="44" spans="1:13" ht="88.5" x14ac:dyDescent="0.75">
      <c r="A44" s="115">
        <v>1</v>
      </c>
      <c r="B44" s="115">
        <f>'Rad-1'!A41</f>
        <v>35</v>
      </c>
      <c r="C44" s="117" t="str">
        <f>'Rad-1'!B41</f>
        <v>target.boost.site</v>
      </c>
      <c r="D44" s="116" t="s">
        <v>1235</v>
      </c>
      <c r="G44" s="113" t="b">
        <f t="shared" si="1"/>
        <v>1</v>
      </c>
      <c r="H44" s="114" t="str">
        <f t="shared" si="2"/>
        <v>* differential.element[35].mapping[1].identity = "fhir"</v>
      </c>
      <c r="I44" s="114" t="str">
        <f t="shared" si="3"/>
        <v>* differential.element[35].mapping[1].map = ".extension(http://hl7.eu/fhir/ig/pcsp/StructureDefinition/ResourceRelatedInfo-eu-pcsp).resolve().conformsTo(http://hl7.eu/fhir/ig/pcsp/StructureDefinition/Observation-cumulativeDoseRad-eu-pcsp).bodySite"</v>
      </c>
      <c r="J44" s="114" t="str">
        <f t="shared" si="4"/>
        <v/>
      </c>
    </row>
    <row r="45" spans="1:13" x14ac:dyDescent="0.75">
      <c r="A45" s="115">
        <v>0</v>
      </c>
      <c r="B45" s="115">
        <f>'Rad-1'!A42</f>
        <v>36</v>
      </c>
      <c r="C45" s="117" t="str">
        <f>'Rad-1'!B42</f>
        <v>target.boost.laterality</v>
      </c>
      <c r="D45" s="150"/>
      <c r="G45" s="113" t="b">
        <f t="shared" si="1"/>
        <v>0</v>
      </c>
      <c r="H45" s="114" t="str">
        <f t="shared" si="2"/>
        <v/>
      </c>
      <c r="I45" s="114" t="str">
        <f t="shared" si="3"/>
        <v/>
      </c>
      <c r="J45" s="114" t="str">
        <f t="shared" si="4"/>
        <v/>
      </c>
    </row>
    <row r="46" spans="1:13" x14ac:dyDescent="0.75">
      <c r="A46" s="115">
        <v>0</v>
      </c>
      <c r="B46" s="115">
        <f>'Rad-1'!A43</f>
        <v>37</v>
      </c>
      <c r="C46" s="117" t="str">
        <f>'Rad-1'!B43</f>
        <v>target.boost.details</v>
      </c>
      <c r="D46" s="150"/>
      <c r="G46" s="113" t="b">
        <f t="shared" si="1"/>
        <v>0</v>
      </c>
      <c r="H46" s="114" t="str">
        <f t="shared" si="2"/>
        <v/>
      </c>
      <c r="I46" s="114" t="str">
        <f t="shared" si="3"/>
        <v/>
      </c>
      <c r="J46" s="114" t="str">
        <f t="shared" si="4"/>
        <v/>
      </c>
    </row>
    <row r="47" spans="1:13" x14ac:dyDescent="0.75">
      <c r="A47" s="115">
        <v>0</v>
      </c>
      <c r="B47" s="115">
        <f>'Rad-1'!A44</f>
        <v>38</v>
      </c>
      <c r="C47" s="117" t="str">
        <f>'Rad-1'!B44</f>
        <v>target.boost.from</v>
      </c>
      <c r="D47" s="150"/>
      <c r="G47" s="113" t="b">
        <f t="shared" si="1"/>
        <v>0</v>
      </c>
      <c r="H47" s="114" t="str">
        <f t="shared" si="2"/>
        <v/>
      </c>
      <c r="I47" s="114" t="str">
        <f t="shared" si="3"/>
        <v/>
      </c>
      <c r="J47" s="114" t="str">
        <f t="shared" si="4"/>
        <v/>
      </c>
    </row>
    <row r="48" spans="1:13" x14ac:dyDescent="0.75">
      <c r="A48" s="115">
        <v>0</v>
      </c>
      <c r="B48" s="115">
        <f>'Rad-1'!A45</f>
        <v>39</v>
      </c>
      <c r="C48" s="117" t="str">
        <f>'Rad-1'!B45</f>
        <v>target.boost.to</v>
      </c>
      <c r="D48" s="151"/>
      <c r="G48" s="113" t="b">
        <f t="shared" si="1"/>
        <v>0</v>
      </c>
      <c r="H48" s="114" t="str">
        <f t="shared" si="2"/>
        <v/>
      </c>
      <c r="I48" s="114" t="str">
        <f t="shared" si="3"/>
        <v/>
      </c>
      <c r="J48" s="114" t="str">
        <f t="shared" si="4"/>
        <v/>
      </c>
    </row>
    <row r="49" spans="1:10" x14ac:dyDescent="0.75">
      <c r="A49" s="115">
        <v>0</v>
      </c>
      <c r="B49" s="115">
        <f>'Rad-1'!A46</f>
        <v>40</v>
      </c>
      <c r="C49" s="117" t="str">
        <f>'Rad-1'!B46</f>
        <v>target.boost.position</v>
      </c>
      <c r="D49" s="151"/>
      <c r="G49" s="113" t="b">
        <f t="shared" si="1"/>
        <v>0</v>
      </c>
      <c r="H49" s="114" t="str">
        <f t="shared" si="2"/>
        <v/>
      </c>
      <c r="I49" s="114" t="str">
        <f t="shared" si="3"/>
        <v/>
      </c>
      <c r="J49" s="114" t="str">
        <f t="shared" si="4"/>
        <v/>
      </c>
    </row>
    <row r="50" spans="1:10" ht="88.5" x14ac:dyDescent="0.75">
      <c r="A50" s="115">
        <v>0</v>
      </c>
      <c r="B50" s="115">
        <f>'Rad-1'!A47</f>
        <v>41</v>
      </c>
      <c r="C50" s="117" t="str">
        <f>'Rad-1'!B47</f>
        <v>target.boost.cumulativeDose</v>
      </c>
      <c r="D50" s="116" t="s">
        <v>1233</v>
      </c>
      <c r="G50" s="113" t="b">
        <f t="shared" si="1"/>
        <v>1</v>
      </c>
      <c r="H50" s="114" t="str">
        <f t="shared" si="2"/>
        <v>* differential.element[41].mapping[0].identity = "fhir"</v>
      </c>
      <c r="I50" s="114" t="str">
        <f t="shared" si="3"/>
        <v>* differential.element[41].mapping[0].map = ".extension(http://hl7.eu/fhir/ig/pcsp/StructureDefinition/ResourceRelatedInfo-eu-pcsp).conformsTo(http://hl7.eu/fhir/ig/pcsp/StructureDefinition/Observation-cumulativeDoseRad-eu-pcsp)"</v>
      </c>
      <c r="J50" s="114" t="str">
        <f t="shared" si="4"/>
        <v/>
      </c>
    </row>
    <row r="51" spans="1:10" x14ac:dyDescent="0.75">
      <c r="A51" s="115">
        <v>0</v>
      </c>
      <c r="B51" s="115">
        <f>'Rad-1'!A48</f>
        <v>42</v>
      </c>
      <c r="C51" s="117" t="str">
        <f>'Rad-1'!B48</f>
        <v>target.boost.cumulativeDose.completionStatus</v>
      </c>
      <c r="D51" s="151"/>
      <c r="G51" s="113" t="b">
        <f t="shared" si="1"/>
        <v>0</v>
      </c>
      <c r="H51" s="114" t="str">
        <f t="shared" si="2"/>
        <v/>
      </c>
      <c r="I51" s="114" t="str">
        <f t="shared" si="3"/>
        <v/>
      </c>
      <c r="J51" s="114" t="str">
        <f t="shared" si="4"/>
        <v/>
      </c>
    </row>
    <row r="52" spans="1:10" x14ac:dyDescent="0.75">
      <c r="A52" s="115">
        <v>0</v>
      </c>
      <c r="B52" s="115">
        <f>'Rad-1'!A49</f>
        <v>43</v>
      </c>
      <c r="C52" s="117" t="str">
        <f>'Rad-1'!B49</f>
        <v>target.boost.cumulativeDose.statusReason</v>
      </c>
      <c r="D52" s="151"/>
      <c r="G52" s="113" t="b">
        <f t="shared" si="1"/>
        <v>0</v>
      </c>
      <c r="H52" s="114" t="str">
        <f t="shared" si="2"/>
        <v/>
      </c>
      <c r="I52" s="114" t="str">
        <f t="shared" si="3"/>
        <v/>
      </c>
      <c r="J52" s="114" t="str">
        <f t="shared" si="4"/>
        <v/>
      </c>
    </row>
    <row r="53" spans="1:10" x14ac:dyDescent="0.75">
      <c r="A53" s="115">
        <v>0</v>
      </c>
      <c r="B53" s="115">
        <f>'Rad-1'!A50</f>
        <v>44</v>
      </c>
      <c r="C53" s="117" t="str">
        <f>'Rad-1'!B50</f>
        <v>target.boost.cumulativeDose.notKnown</v>
      </c>
      <c r="D53" s="151"/>
      <c r="G53" s="113" t="b">
        <f t="shared" si="1"/>
        <v>0</v>
      </c>
      <c r="H53" s="114" t="str">
        <f t="shared" si="2"/>
        <v/>
      </c>
      <c r="I53" s="114" t="str">
        <f t="shared" si="3"/>
        <v/>
      </c>
      <c r="J53" s="114" t="str">
        <f t="shared" si="4"/>
        <v/>
      </c>
    </row>
    <row r="54" spans="1:10" x14ac:dyDescent="0.75">
      <c r="A54" s="115">
        <v>0</v>
      </c>
      <c r="B54" s="115">
        <f>'Rad-1'!A51</f>
        <v>45</v>
      </c>
      <c r="C54" s="117" t="str">
        <f>'Rad-1'!B51</f>
        <v>target.boost.cumulativeDose.dose</v>
      </c>
      <c r="D54" s="151"/>
      <c r="G54" s="113" t="b">
        <f t="shared" si="1"/>
        <v>0</v>
      </c>
      <c r="H54" s="114" t="str">
        <f t="shared" si="2"/>
        <v/>
      </c>
      <c r="I54" s="114" t="str">
        <f t="shared" si="3"/>
        <v/>
      </c>
      <c r="J54" s="114" t="str">
        <f t="shared" si="4"/>
        <v/>
      </c>
    </row>
    <row r="55" spans="1:10" x14ac:dyDescent="0.75">
      <c r="A55" s="115">
        <v>0</v>
      </c>
      <c r="B55" s="115">
        <f>'Rad-1'!A52</f>
        <v>46</v>
      </c>
      <c r="C55" s="117" t="str">
        <f>'Rad-1'!B52</f>
        <v>target.boost.cumulativeDose.unit</v>
      </c>
      <c r="D55" s="151"/>
      <c r="G55" s="113" t="b">
        <f t="shared" si="1"/>
        <v>0</v>
      </c>
      <c r="H55" s="114" t="str">
        <f t="shared" si="2"/>
        <v/>
      </c>
      <c r="I55" s="114" t="str">
        <f t="shared" si="3"/>
        <v/>
      </c>
      <c r="J55" s="114" t="str">
        <f t="shared" si="4"/>
        <v/>
      </c>
    </row>
    <row r="56" spans="1:10" x14ac:dyDescent="0.75">
      <c r="A56" s="115">
        <v>0</v>
      </c>
      <c r="B56" s="115">
        <f>'Rad-1'!A53</f>
        <v>47</v>
      </c>
      <c r="C56" s="117" t="str">
        <f>'Rad-1'!B53</f>
        <v>target.boost.cumulativeDose.fractions</v>
      </c>
      <c r="D56" s="151"/>
      <c r="G56" s="113" t="b">
        <f t="shared" si="1"/>
        <v>0</v>
      </c>
      <c r="H56" s="114" t="str">
        <f t="shared" si="2"/>
        <v/>
      </c>
      <c r="I56" s="114" t="str">
        <f t="shared" si="3"/>
        <v/>
      </c>
      <c r="J56" s="114" t="str">
        <f t="shared" si="4"/>
        <v/>
      </c>
    </row>
    <row r="57" spans="1:10" x14ac:dyDescent="0.75">
      <c r="A57" s="115">
        <v>0</v>
      </c>
      <c r="B57" s="115">
        <f>'Rad-1'!A54</f>
        <v>48</v>
      </c>
      <c r="C57" s="117" t="str">
        <f>'Rad-1'!B54</f>
        <v>target.site.shielding</v>
      </c>
      <c r="G57" s="113" t="b">
        <f t="shared" si="1"/>
        <v>0</v>
      </c>
      <c r="H57" s="114" t="str">
        <f t="shared" si="2"/>
        <v/>
      </c>
      <c r="I57" s="114" t="str">
        <f t="shared" si="3"/>
        <v/>
      </c>
      <c r="J57" s="114" t="str">
        <f t="shared" si="4"/>
        <v/>
      </c>
    </row>
    <row r="58" spans="1:10" x14ac:dyDescent="0.75">
      <c r="A58" s="115">
        <v>0</v>
      </c>
      <c r="B58" s="115">
        <f>'Rad-1'!A55</f>
        <v>49</v>
      </c>
      <c r="C58" s="117" t="str">
        <f>'Rad-1'!B55</f>
        <v>target.site.shielding.status</v>
      </c>
      <c r="G58" s="113" t="b">
        <f t="shared" si="1"/>
        <v>0</v>
      </c>
      <c r="H58" s="114" t="str">
        <f t="shared" si="2"/>
        <v/>
      </c>
      <c r="I58" s="114" t="str">
        <f t="shared" si="3"/>
        <v/>
      </c>
      <c r="J58" s="114" t="str">
        <f t="shared" si="4"/>
        <v/>
      </c>
    </row>
    <row r="59" spans="1:10" x14ac:dyDescent="0.75">
      <c r="A59" s="115">
        <v>0</v>
      </c>
      <c r="B59" s="115">
        <f>'Rad-1'!A56</f>
        <v>50</v>
      </c>
      <c r="C59" s="117" t="str">
        <f>'Rad-1'!B56</f>
        <v>target.site.shielding.position</v>
      </c>
      <c r="G59" s="113" t="b">
        <f t="shared" si="1"/>
        <v>0</v>
      </c>
      <c r="H59" s="114" t="str">
        <f t="shared" si="2"/>
        <v/>
      </c>
      <c r="I59" s="114" t="str">
        <f t="shared" si="3"/>
        <v/>
      </c>
      <c r="J59" s="114" t="str">
        <f t="shared" si="4"/>
        <v/>
      </c>
    </row>
    <row r="60" spans="1:10" x14ac:dyDescent="0.75">
      <c r="A60" s="115">
        <v>0</v>
      </c>
      <c r="B60" s="115">
        <f>'Rad-1'!A57</f>
        <v>51</v>
      </c>
      <c r="C60" s="117" t="str">
        <f>'Rad-1'!B57</f>
        <v>target.site.notes</v>
      </c>
      <c r="G60" s="113" t="b">
        <f t="shared" si="1"/>
        <v>0</v>
      </c>
      <c r="H60" s="114" t="str">
        <f t="shared" si="2"/>
        <v/>
      </c>
      <c r="I60" s="114" t="str">
        <f t="shared" si="3"/>
        <v/>
      </c>
      <c r="J60" s="114" t="str">
        <f t="shared" si="4"/>
        <v/>
      </c>
    </row>
    <row r="61" spans="1:10" x14ac:dyDescent="0.75">
      <c r="A61" s="115">
        <v>0</v>
      </c>
      <c r="B61" s="115">
        <f>'Rad-1'!A58</f>
        <v>52</v>
      </c>
      <c r="C61" s="117" t="str">
        <f>'Rad-1'!B58</f>
        <v>organAtRisk</v>
      </c>
      <c r="G61" s="113" t="b">
        <f t="shared" si="1"/>
        <v>0</v>
      </c>
      <c r="H61" s="114" t="str">
        <f t="shared" ref="H61:H62" si="10">IF(G61,CONCATENATE("* differential.element[",$B61,"].mapping[",$A61,"].identity = """,$F$1,""""),"")</f>
        <v/>
      </c>
      <c r="I61" s="114" t="str">
        <f t="shared" ref="I61:I62" si="11">IF(G61,CONCATENATE("* differential.element[",$B61,"].mapping[",$A61,"].map = """,D61,""""),"")</f>
        <v/>
      </c>
      <c r="J61" s="114" t="str">
        <f t="shared" si="4"/>
        <v/>
      </c>
    </row>
    <row r="62" spans="1:10" x14ac:dyDescent="0.75">
      <c r="A62" s="115">
        <v>0</v>
      </c>
      <c r="B62" s="115">
        <f>'Rad-1'!A59</f>
        <v>53</v>
      </c>
      <c r="C62" s="117" t="str">
        <f>'Rad-1'!B59</f>
        <v>dosimetry</v>
      </c>
      <c r="G62" s="113" t="b">
        <f t="shared" si="1"/>
        <v>0</v>
      </c>
      <c r="H62" s="114" t="str">
        <f t="shared" si="10"/>
        <v/>
      </c>
      <c r="I62" s="114" t="str">
        <f t="shared" si="11"/>
        <v/>
      </c>
    </row>
    <row r="63" spans="1:10" x14ac:dyDescent="0.75">
      <c r="A63" s="115">
        <v>0</v>
      </c>
      <c r="B63" s="115">
        <f>'Rad-1'!A60</f>
        <v>54</v>
      </c>
      <c r="C63" s="117" t="str">
        <f>'Rad-1'!B60</f>
        <v>dosimetryDocument</v>
      </c>
      <c r="G63" s="113" t="b">
        <f t="shared" si="1"/>
        <v>0</v>
      </c>
      <c r="H63" s="114" t="str">
        <f t="shared" ref="H63:H69" si="12">IF(G63,CONCATENATE("* differential.element[",$B63,"].mapping[",$A63,"].identity = """,$F$1,""""),"")</f>
        <v/>
      </c>
      <c r="I63" s="114" t="str">
        <f t="shared" ref="I63:I69" si="13">IF(G63,CONCATENATE("* differential.element[",$B63,"].mapping[",$A63,"].map = """,D63,""""),"")</f>
        <v/>
      </c>
    </row>
    <row r="64" spans="1:10" x14ac:dyDescent="0.75">
      <c r="A64" s="115">
        <v>0</v>
      </c>
      <c r="B64" s="115">
        <f>'Rad-1'!A61</f>
        <v>55</v>
      </c>
      <c r="C64" s="117" t="str">
        <f>'Rad-1'!B61</f>
        <v>files</v>
      </c>
      <c r="G64" s="113" t="b">
        <f t="shared" si="1"/>
        <v>0</v>
      </c>
      <c r="H64" s="114" t="str">
        <f t="shared" si="12"/>
        <v/>
      </c>
      <c r="I64" s="114" t="str">
        <f t="shared" si="13"/>
        <v/>
      </c>
    </row>
    <row r="65" spans="1:9" x14ac:dyDescent="0.75">
      <c r="A65" s="115">
        <v>0</v>
      </c>
      <c r="B65" s="115">
        <f>'Rad-1'!A62</f>
        <v>56</v>
      </c>
      <c r="C65" s="117" t="str">
        <f>'Rad-1'!B62</f>
        <v>notes</v>
      </c>
      <c r="G65" s="113" t="b">
        <f t="shared" si="1"/>
        <v>0</v>
      </c>
      <c r="H65" s="114" t="str">
        <f t="shared" si="12"/>
        <v/>
      </c>
      <c r="I65" s="114" t="str">
        <f t="shared" si="13"/>
        <v/>
      </c>
    </row>
    <row r="66" spans="1:9" x14ac:dyDescent="0.75">
      <c r="A66" s="115"/>
      <c r="B66" s="115"/>
      <c r="C66" s="117"/>
      <c r="G66" s="113" t="b">
        <f t="shared" si="1"/>
        <v>0</v>
      </c>
      <c r="H66" s="114" t="str">
        <f t="shared" si="12"/>
        <v/>
      </c>
      <c r="I66" s="114" t="str">
        <f t="shared" si="13"/>
        <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46"/>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INDEX('Radio-Map-1'!$H$7:$J$96,1+B3,C3)</f>
        <v>* differential.element[0].mapping[0].identity = "fhir"</v>
      </c>
    </row>
    <row r="4" spans="1:4" x14ac:dyDescent="0.75">
      <c r="A4" s="115">
        <v>2</v>
      </c>
      <c r="B4" s="115">
        <f t="shared" ref="B4:B67" si="0">IF(MOD(A4,3)=0,A4/3-1,INT(A4/3))</f>
        <v>0</v>
      </c>
      <c r="C4" s="115">
        <f t="shared" ref="C4:C67" si="1">IF(MOD(A4,3)=0,3,MOD(A4,3))</f>
        <v>2</v>
      </c>
      <c r="D4" s="113" t="str" cm="1">
        <f t="array" ref="D4">INDEX('Radio-Map-1'!$H$7:$J$96,1+B4,C4)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INDEX('Radio-Map-1'!$H$7:$J$96,1+B5,C5)</f>
        <v/>
      </c>
    </row>
    <row r="6" spans="1:4" x14ac:dyDescent="0.75">
      <c r="A6" s="115">
        <v>4</v>
      </c>
      <c r="B6" s="115">
        <f t="shared" si="0"/>
        <v>1</v>
      </c>
      <c r="C6" s="115">
        <f t="shared" si="1"/>
        <v>1</v>
      </c>
      <c r="D6" s="113" t="str" cm="1">
        <f t="array" ref="D6">INDEX('Radio-Map-1'!$H$7:$J$96,1+B6,C6)</f>
        <v>* differential.element[1].mapping[0].identity = "fhir"</v>
      </c>
    </row>
    <row r="7" spans="1:4" x14ac:dyDescent="0.75">
      <c r="A7" s="115">
        <v>5</v>
      </c>
      <c r="B7" s="115">
        <f t="shared" si="0"/>
        <v>1</v>
      </c>
      <c r="C7" s="115">
        <f t="shared" si="1"/>
        <v>2</v>
      </c>
      <c r="D7" s="113" t="str" cm="1">
        <f t="array" ref="D7">INDEX('Radio-Map-1'!$H$7:$J$96,1+B7,C7)</f>
        <v>* differential.element[1].mapping[0].map = ".reasonReference"</v>
      </c>
    </row>
    <row r="8" spans="1:4" x14ac:dyDescent="0.75">
      <c r="A8" s="115">
        <v>6</v>
      </c>
      <c r="B8" s="115">
        <f t="shared" si="0"/>
        <v>1</v>
      </c>
      <c r="C8" s="115">
        <f t="shared" si="1"/>
        <v>3</v>
      </c>
      <c r="D8" s="113" t="str" cm="1">
        <f t="array" ref="D8">INDEX('Radio-Map-1'!$H$7:$J$96,1+B8,C8)</f>
        <v>* differential.element[1].mapping[0].comment = "note"</v>
      </c>
    </row>
    <row r="9" spans="1:4" x14ac:dyDescent="0.75">
      <c r="A9" s="115">
        <v>7</v>
      </c>
      <c r="B9" s="115">
        <f t="shared" si="0"/>
        <v>2</v>
      </c>
      <c r="C9" s="115">
        <f t="shared" si="1"/>
        <v>1</v>
      </c>
      <c r="D9" s="113" t="str" cm="1">
        <f t="array" ref="D9">INDEX('Radio-Map-1'!$H$7:$J$96,1+B9,C9)</f>
        <v>* differential.element[2].mapping[0].identity = "fhir"</v>
      </c>
    </row>
    <row r="10" spans="1:4" x14ac:dyDescent="0.75">
      <c r="A10" s="115">
        <v>8</v>
      </c>
      <c r="B10" s="115">
        <f t="shared" si="0"/>
        <v>2</v>
      </c>
      <c r="C10" s="115">
        <f t="shared" si="1"/>
        <v>2</v>
      </c>
      <c r="D10" s="113" t="str" cm="1">
        <f t="array" ref="D10">INDEX('Radio-Map-1'!$H$7:$J$96,1+B10,C10)</f>
        <v>* differential.element[2].mapping[0].map = ".reasonReference"</v>
      </c>
    </row>
    <row r="11" spans="1:4" x14ac:dyDescent="0.75">
      <c r="A11" s="115">
        <v>9</v>
      </c>
      <c r="B11" s="115">
        <f t="shared" si="0"/>
        <v>2</v>
      </c>
      <c r="C11" s="115">
        <f t="shared" si="1"/>
        <v>3</v>
      </c>
      <c r="D11" s="113" t="str" cm="1">
        <f t="array" ref="D11">INDEX('Radio-Map-1'!$H$7:$J$96,1+B11,C11)</f>
        <v/>
      </c>
    </row>
    <row r="12" spans="1:4" x14ac:dyDescent="0.75">
      <c r="A12" s="115">
        <v>10</v>
      </c>
      <c r="B12" s="115">
        <f t="shared" si="0"/>
        <v>3</v>
      </c>
      <c r="C12" s="115">
        <f t="shared" si="1"/>
        <v>1</v>
      </c>
      <c r="D12" s="113" t="str" cm="1">
        <f t="array" ref="D12">INDEX('Radio-Map-1'!$H$7:$J$96,1+B12,C12)</f>
        <v>* differential.element[3].mapping[0].identity = "fhir"</v>
      </c>
    </row>
    <row r="13" spans="1:4" x14ac:dyDescent="0.75">
      <c r="A13" s="115">
        <v>11</v>
      </c>
      <c r="B13" s="115">
        <f t="shared" si="0"/>
        <v>3</v>
      </c>
      <c r="C13" s="115">
        <f t="shared" si="1"/>
        <v>2</v>
      </c>
      <c r="D13" s="113" t="str" cm="1">
        <f t="array" ref="D13">INDEX('Radio-Map-1'!$H$7:$J$96,1+B13,C13)</f>
        <v>* differential.element[3].mapping[0].map = ".identifier"</v>
      </c>
    </row>
    <row r="14" spans="1:4" x14ac:dyDescent="0.75">
      <c r="A14" s="115">
        <v>12</v>
      </c>
      <c r="B14" s="115">
        <f t="shared" si="0"/>
        <v>3</v>
      </c>
      <c r="C14" s="115">
        <f t="shared" si="1"/>
        <v>3</v>
      </c>
      <c r="D14" s="113" t="str" cm="1">
        <f t="array" ref="D14">INDEX('Radio-Map-1'!$H$7:$J$96,1+B14,C14)</f>
        <v/>
      </c>
    </row>
    <row r="15" spans="1:4" x14ac:dyDescent="0.75">
      <c r="A15" s="115">
        <v>13</v>
      </c>
      <c r="B15" s="115">
        <f t="shared" si="0"/>
        <v>4</v>
      </c>
      <c r="C15" s="115">
        <f t="shared" si="1"/>
        <v>1</v>
      </c>
      <c r="D15" s="113" t="str" cm="1">
        <f t="array" ref="D15">INDEX('Radio-Map-1'!$H$7:$J$96,1+B15,C15)</f>
        <v>* differential.element[4].mapping[0].identity = "fhir"</v>
      </c>
    </row>
    <row r="16" spans="1:4" x14ac:dyDescent="0.75">
      <c r="A16" s="115">
        <v>14</v>
      </c>
      <c r="B16" s="115">
        <f t="shared" si="0"/>
        <v>4</v>
      </c>
      <c r="C16" s="115">
        <f t="shared" si="1"/>
        <v>2</v>
      </c>
      <c r="D16" s="113" t="str" cm="1">
        <f t="array" ref="D16">INDEX('Radio-Map-1'!$H$7:$J$96,1+B16,C16)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INDEX('Radio-Map-1'!$H$7:$J$96,1+B17,C17)</f>
        <v/>
      </c>
    </row>
    <row r="18" spans="1:4" x14ac:dyDescent="0.75">
      <c r="A18" s="115">
        <v>16</v>
      </c>
      <c r="B18" s="115">
        <f t="shared" si="0"/>
        <v>5</v>
      </c>
      <c r="C18" s="115">
        <f t="shared" si="1"/>
        <v>1</v>
      </c>
      <c r="D18" s="113" t="str" cm="1">
        <f t="array" ref="D18">INDEX('Radio-Map-1'!$H$7:$J$96,1+B18,C18)</f>
        <v>* differential.element[5].mapping[0].identity = "fhir"</v>
      </c>
    </row>
    <row r="19" spans="1:4" x14ac:dyDescent="0.75">
      <c r="A19" s="115">
        <v>17</v>
      </c>
      <c r="B19" s="115">
        <f t="shared" si="0"/>
        <v>5</v>
      </c>
      <c r="C19" s="115">
        <f t="shared" si="1"/>
        <v>2</v>
      </c>
      <c r="D19" s="113" t="str" cm="1">
        <f t="array" ref="D19">INDEX('Radio-Map-1'!$H$7:$J$96,1+B19,C19)</f>
        <v>* differential.element[5].mapping[0].map = "Location.description"</v>
      </c>
    </row>
    <row r="20" spans="1:4" x14ac:dyDescent="0.75">
      <c r="A20" s="115">
        <v>18</v>
      </c>
      <c r="B20" s="115">
        <f t="shared" si="0"/>
        <v>5</v>
      </c>
      <c r="C20" s="115">
        <f t="shared" si="1"/>
        <v>3</v>
      </c>
      <c r="D20" s="113" t="str" cm="1">
        <f t="array" ref="D20">INDEX('Radio-Map-1'!$H$7:$J$96,1+B20,C20)</f>
        <v/>
      </c>
    </row>
    <row r="21" spans="1:4" x14ac:dyDescent="0.75">
      <c r="A21" s="115">
        <v>19</v>
      </c>
      <c r="B21" s="115">
        <f t="shared" si="0"/>
        <v>6</v>
      </c>
      <c r="C21" s="115">
        <f t="shared" si="1"/>
        <v>1</v>
      </c>
      <c r="D21" s="113" t="str" cm="1">
        <f t="array" ref="D21">INDEX('Radio-Map-1'!$H$7:$J$96,1+B21,C21)</f>
        <v>* differential.element[6].mapping[0].identity = "fhir"</v>
      </c>
    </row>
    <row r="22" spans="1:4" x14ac:dyDescent="0.75">
      <c r="A22" s="115">
        <v>20</v>
      </c>
      <c r="B22" s="115">
        <f t="shared" si="0"/>
        <v>6</v>
      </c>
      <c r="C22" s="115">
        <f t="shared" si="1"/>
        <v>2</v>
      </c>
      <c r="D22" s="113" t="str" cm="1">
        <f t="array" ref="D22">INDEX('Radio-Map-1'!$H$7:$J$96,1+B22,C22)</f>
        <v>* differential.element[6].mapping[0].map = "Location.name"</v>
      </c>
    </row>
    <row r="23" spans="1:4" x14ac:dyDescent="0.75">
      <c r="A23" s="115">
        <v>21</v>
      </c>
      <c r="B23" s="115">
        <f t="shared" si="0"/>
        <v>6</v>
      </c>
      <c r="C23" s="115">
        <f t="shared" si="1"/>
        <v>3</v>
      </c>
      <c r="D23" s="113" t="str" cm="1">
        <f t="array" ref="D23">INDEX('Radio-Map-1'!$H$7:$J$96,1+B23,C23)</f>
        <v/>
      </c>
    </row>
    <row r="24" spans="1:4" x14ac:dyDescent="0.75">
      <c r="A24" s="115">
        <v>22</v>
      </c>
      <c r="B24" s="115">
        <f t="shared" si="0"/>
        <v>7</v>
      </c>
      <c r="C24" s="115">
        <f t="shared" si="1"/>
        <v>1</v>
      </c>
      <c r="D24" s="113" t="str" cm="1">
        <f t="array" ref="D24">INDEX('Radio-Map-1'!$H$7:$J$96,1+B24,C24)</f>
        <v>* differential.element[7].mapping[0].identity = "fhir"</v>
      </c>
    </row>
    <row r="25" spans="1:4" x14ac:dyDescent="0.75">
      <c r="A25" s="115">
        <v>23</v>
      </c>
      <c r="B25" s="115">
        <f t="shared" si="0"/>
        <v>7</v>
      </c>
      <c r="C25" s="115">
        <f t="shared" si="1"/>
        <v>2</v>
      </c>
      <c r="D25" s="113" t="str" cm="1">
        <f t="array" ref="D25">INDEX('Radio-Map-1'!$H$7:$J$96,1+B25,C25)</f>
        <v>* differential.element[7].mapping[0].map = "Location.address.city"</v>
      </c>
    </row>
    <row r="26" spans="1:4" x14ac:dyDescent="0.75">
      <c r="A26" s="115">
        <v>24</v>
      </c>
      <c r="B26" s="115">
        <f t="shared" si="0"/>
        <v>7</v>
      </c>
      <c r="C26" s="115">
        <f t="shared" si="1"/>
        <v>3</v>
      </c>
      <c r="D26" s="113" t="str" cm="1">
        <f t="array" ref="D26">INDEX('Radio-Map-1'!$H$7:$J$96,1+B26,C26)</f>
        <v/>
      </c>
    </row>
    <row r="27" spans="1:4" x14ac:dyDescent="0.75">
      <c r="A27" s="115">
        <v>25</v>
      </c>
      <c r="B27" s="115">
        <f t="shared" si="0"/>
        <v>8</v>
      </c>
      <c r="C27" s="115">
        <f t="shared" si="1"/>
        <v>1</v>
      </c>
      <c r="D27" s="113" t="str" cm="1">
        <f t="array" ref="D27">INDEX('Radio-Map-1'!$H$7:$J$96,1+B27,C27)</f>
        <v/>
      </c>
    </row>
    <row r="28" spans="1:4" x14ac:dyDescent="0.75">
      <c r="A28" s="115">
        <v>26</v>
      </c>
      <c r="B28" s="115">
        <f t="shared" si="0"/>
        <v>8</v>
      </c>
      <c r="C28" s="115">
        <f t="shared" si="1"/>
        <v>2</v>
      </c>
      <c r="D28" s="113" t="str" cm="1">
        <f t="array" ref="D28">INDEX('Radio-Map-1'!$H$7:$J$96,1+B28,C28)</f>
        <v/>
      </c>
    </row>
    <row r="29" spans="1:4" x14ac:dyDescent="0.75">
      <c r="A29" s="115">
        <v>27</v>
      </c>
      <c r="B29" s="115">
        <f t="shared" si="0"/>
        <v>8</v>
      </c>
      <c r="C29" s="115">
        <f t="shared" si="1"/>
        <v>3</v>
      </c>
      <c r="D29" s="113" t="str" cm="1">
        <f t="array" ref="D29">INDEX('Radio-Map-1'!$H$7:$J$96,1+B29,C29)</f>
        <v/>
      </c>
    </row>
    <row r="30" spans="1:4" x14ac:dyDescent="0.75">
      <c r="A30" s="115">
        <v>28</v>
      </c>
      <c r="B30" s="115">
        <f t="shared" si="0"/>
        <v>9</v>
      </c>
      <c r="C30" s="115">
        <f t="shared" si="1"/>
        <v>1</v>
      </c>
      <c r="D30" s="113" t="str" cm="1">
        <f t="array" ref="D30">INDEX('Radio-Map-1'!$H$7:$J$96,1+B30,C30)</f>
        <v>* differential.element[9].mapping[0].identity = "fhir"</v>
      </c>
    </row>
    <row r="31" spans="1:4" x14ac:dyDescent="0.75">
      <c r="A31" s="115">
        <v>29</v>
      </c>
      <c r="B31" s="115">
        <f t="shared" si="0"/>
        <v>9</v>
      </c>
      <c r="C31" s="115">
        <f t="shared" si="1"/>
        <v>2</v>
      </c>
      <c r="D31" s="113" t="str" cm="1">
        <f t="array" ref="D31">INDEX('Radio-Map-1'!$H$7:$J$96,1+B31,C31)</f>
        <v>* differential.element[9].mapping[0].map = "Location.address.country"</v>
      </c>
    </row>
    <row r="32" spans="1:4" x14ac:dyDescent="0.75">
      <c r="A32" s="115">
        <v>30</v>
      </c>
      <c r="B32" s="115">
        <f t="shared" si="0"/>
        <v>9</v>
      </c>
      <c r="C32" s="115">
        <f t="shared" si="1"/>
        <v>3</v>
      </c>
      <c r="D32" s="113" t="str" cm="1">
        <f t="array" ref="D32">INDEX('Radio-Map-1'!$H$7:$J$96,1+B32,C32)</f>
        <v/>
      </c>
    </row>
    <row r="33" spans="1:4" x14ac:dyDescent="0.75">
      <c r="A33" s="115">
        <v>31</v>
      </c>
      <c r="B33" s="115">
        <f t="shared" si="0"/>
        <v>10</v>
      </c>
      <c r="C33" s="115">
        <f t="shared" si="1"/>
        <v>1</v>
      </c>
      <c r="D33" s="113" t="str" cm="1">
        <f t="array" ref="D33">INDEX('Radio-Map-1'!$H$7:$J$96,1+B33,C33)</f>
        <v>* differential.element[10].mapping[0].identity = "fhir"</v>
      </c>
    </row>
    <row r="34" spans="1:4" x14ac:dyDescent="0.75">
      <c r="A34" s="115">
        <v>32</v>
      </c>
      <c r="B34" s="115">
        <f t="shared" si="0"/>
        <v>10</v>
      </c>
      <c r="C34" s="115">
        <f t="shared" si="1"/>
        <v>2</v>
      </c>
      <c r="D34" s="113" t="str" cm="1">
        <f t="array" ref="D34">INDEX('Radio-Map-1'!$H$7:$J$96,1+B34,C34)</f>
        <v>* differential.element[10].mapping[0].map = ".performedPeriod.start"</v>
      </c>
    </row>
    <row r="35" spans="1:4" x14ac:dyDescent="0.75">
      <c r="A35" s="115">
        <v>33</v>
      </c>
      <c r="B35" s="115">
        <f t="shared" si="0"/>
        <v>10</v>
      </c>
      <c r="C35" s="115">
        <f t="shared" si="1"/>
        <v>3</v>
      </c>
      <c r="D35" s="113" t="str" cm="1">
        <f t="array" ref="D35">INDEX('Radio-Map-1'!$H$7:$J$96,1+B35,C35)</f>
        <v/>
      </c>
    </row>
    <row r="36" spans="1:4" x14ac:dyDescent="0.75">
      <c r="A36" s="115">
        <v>34</v>
      </c>
      <c r="B36" s="115">
        <f t="shared" si="0"/>
        <v>11</v>
      </c>
      <c r="C36" s="115">
        <f t="shared" si="1"/>
        <v>1</v>
      </c>
      <c r="D36" s="113" t="str" cm="1">
        <f t="array" ref="D36">INDEX('Radio-Map-1'!$H$7:$J$96,1+B36,C36)</f>
        <v>* differential.element[11].mapping[0].identity = "fhir"</v>
      </c>
    </row>
    <row r="37" spans="1:4" x14ac:dyDescent="0.75">
      <c r="A37" s="115">
        <v>35</v>
      </c>
      <c r="B37" s="115">
        <f t="shared" si="0"/>
        <v>11</v>
      </c>
      <c r="C37" s="115">
        <f t="shared" si="1"/>
        <v>2</v>
      </c>
      <c r="D37" s="113" t="str" cm="1">
        <f t="array" ref="D37">INDEX('Radio-Map-1'!$H$7:$J$96,1+B37,C37)</f>
        <v>* differential.element[11].mapping[0].map = ".performedPeriod.end"</v>
      </c>
    </row>
    <row r="38" spans="1:4" x14ac:dyDescent="0.75">
      <c r="A38" s="115">
        <v>36</v>
      </c>
      <c r="B38" s="115">
        <f t="shared" si="0"/>
        <v>11</v>
      </c>
      <c r="C38" s="115">
        <f t="shared" si="1"/>
        <v>3</v>
      </c>
      <c r="D38" s="113" t="str" cm="1">
        <f t="array" ref="D38">INDEX('Radio-Map-1'!$H$7:$J$96,1+B38,C38)</f>
        <v/>
      </c>
    </row>
    <row r="39" spans="1:4" x14ac:dyDescent="0.75">
      <c r="A39" s="115">
        <v>37</v>
      </c>
      <c r="B39" s="115">
        <f t="shared" si="0"/>
        <v>12</v>
      </c>
      <c r="C39" s="115">
        <f t="shared" si="1"/>
        <v>1</v>
      </c>
      <c r="D39" s="113" t="str" cm="1">
        <f t="array" ref="D39">INDEX('Radio-Map-1'!$H$7:$J$96,1+B39,C39)</f>
        <v>* differential.element[12].mapping[0].identity = "fhir"</v>
      </c>
    </row>
    <row r="40" spans="1:4" x14ac:dyDescent="0.75">
      <c r="A40" s="115">
        <v>38</v>
      </c>
      <c r="B40" s="115">
        <f t="shared" si="0"/>
        <v>12</v>
      </c>
      <c r="C40" s="115">
        <f t="shared" si="1"/>
        <v>2</v>
      </c>
      <c r="D40" s="113" t="str" cm="1">
        <f t="array" ref="D40">INDEX('Radio-Map-1'!$H$7:$J$96,1+B40,C40)</f>
        <v>* differential.element[12].mapping[0].map = ".code"</v>
      </c>
    </row>
    <row r="41" spans="1:4" x14ac:dyDescent="0.75">
      <c r="A41" s="115">
        <v>39</v>
      </c>
      <c r="B41" s="115">
        <f t="shared" si="0"/>
        <v>12</v>
      </c>
      <c r="C41" s="115">
        <f t="shared" si="1"/>
        <v>3</v>
      </c>
      <c r="D41" s="113" t="str" cm="1">
        <f t="array" ref="D41">INDEX('Radio-Map-1'!$H$7:$J$96,1+B41,C41)</f>
        <v/>
      </c>
    </row>
    <row r="42" spans="1:4" x14ac:dyDescent="0.75">
      <c r="A42" s="115">
        <v>40</v>
      </c>
      <c r="B42" s="115">
        <f t="shared" si="0"/>
        <v>13</v>
      </c>
      <c r="C42" s="115">
        <f t="shared" si="1"/>
        <v>1</v>
      </c>
      <c r="D42" s="113" t="str" cm="1">
        <f t="array" ref="D42">INDEX('Radio-Map-1'!$H$7:$J$96,1+B42,C42)</f>
        <v>* differential.element[13].mapping[0].identity = "fhir"</v>
      </c>
    </row>
    <row r="43" spans="1:4" x14ac:dyDescent="0.75">
      <c r="A43" s="115">
        <v>41</v>
      </c>
      <c r="B43" s="115">
        <f t="shared" si="0"/>
        <v>13</v>
      </c>
      <c r="C43" s="115">
        <f t="shared" si="1"/>
        <v>2</v>
      </c>
      <c r="D43" s="113" t="str" cm="1">
        <f t="array" ref="D43">INDEX('Radio-Map-1'!$H$7:$J$96,1+B43,C43)</f>
        <v>* differential.element[13].mapping[0].map = ".usedCode"</v>
      </c>
    </row>
    <row r="44" spans="1:4" x14ac:dyDescent="0.75">
      <c r="A44" s="115">
        <v>42</v>
      </c>
      <c r="B44" s="115">
        <f t="shared" si="0"/>
        <v>13</v>
      </c>
      <c r="C44" s="115">
        <f t="shared" si="1"/>
        <v>3</v>
      </c>
      <c r="D44" s="113" t="str" cm="1">
        <f t="array" ref="D44">INDEX('Radio-Map-1'!$H$7:$J$96,1+B44,C44)</f>
        <v/>
      </c>
    </row>
    <row r="45" spans="1:4" x14ac:dyDescent="0.75">
      <c r="A45" s="115">
        <v>43</v>
      </c>
      <c r="B45" s="115">
        <f t="shared" si="0"/>
        <v>14</v>
      </c>
      <c r="C45" s="115">
        <f t="shared" si="1"/>
        <v>1</v>
      </c>
      <c r="D45" s="113" t="str" cm="1">
        <f t="array" ref="D45">INDEX('Radio-Map-1'!$H$7:$J$96,1+B45,C45)</f>
        <v>* differential.element[14].mapping[0].identity = "fhir"</v>
      </c>
    </row>
    <row r="46" spans="1:4" x14ac:dyDescent="0.75">
      <c r="A46" s="115">
        <v>44</v>
      </c>
      <c r="B46" s="115">
        <f t="shared" si="0"/>
        <v>14</v>
      </c>
      <c r="C46" s="115">
        <f t="shared" si="1"/>
        <v>2</v>
      </c>
      <c r="D46" s="113" t="str" cm="1">
        <f t="array" ref="D46">INDEX('Radio-Map-1'!$H$7:$J$96,1+B46,C46)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INDEX('Radio-Map-1'!$H$7:$J$96,1+B47,C47)</f>
        <v/>
      </c>
    </row>
    <row r="48" spans="1:4" x14ac:dyDescent="0.75">
      <c r="A48" s="115">
        <v>46</v>
      </c>
      <c r="B48" s="115">
        <f t="shared" si="0"/>
        <v>15</v>
      </c>
      <c r="C48" s="115">
        <f t="shared" si="1"/>
        <v>1</v>
      </c>
      <c r="D48" s="113" t="str" cm="1">
        <f t="array" ref="D48">INDEX('Radio-Map-1'!$H$7:$J$96,1+B48,C48)</f>
        <v>* differential.element[15].mapping[0].identity = "fhir"</v>
      </c>
    </row>
    <row r="49" spans="1:7" x14ac:dyDescent="0.75">
      <c r="A49" s="115">
        <v>47</v>
      </c>
      <c r="B49" s="115">
        <f t="shared" si="0"/>
        <v>15</v>
      </c>
      <c r="C49" s="115">
        <f t="shared" si="1"/>
        <v>2</v>
      </c>
      <c r="D49" s="113" t="str" cm="1">
        <f t="array" ref="D49">INDEX('Radio-Map-1'!$H$7:$J$96,1+B49,C49)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INDEX('Radio-Map-1'!$H$7:$J$96,1+B50,C50)</f>
        <v/>
      </c>
    </row>
    <row r="51" spans="1:7" x14ac:dyDescent="0.75">
      <c r="A51" s="115">
        <v>49</v>
      </c>
      <c r="B51" s="115">
        <f t="shared" si="0"/>
        <v>16</v>
      </c>
      <c r="C51" s="115">
        <f t="shared" si="1"/>
        <v>1</v>
      </c>
      <c r="D51" s="113" t="str" cm="1">
        <f t="array" ref="D51">INDEX('Radio-Map-1'!$H$7:$J$96,1+B51,C51)</f>
        <v>* differential.element[16].mapping[0].identity = "fhir"</v>
      </c>
    </row>
    <row r="52" spans="1:7" x14ac:dyDescent="0.75">
      <c r="A52" s="115">
        <v>50</v>
      </c>
      <c r="B52" s="115">
        <f t="shared" si="0"/>
        <v>16</v>
      </c>
      <c r="C52" s="115">
        <f t="shared" si="1"/>
        <v>2</v>
      </c>
      <c r="D52" s="113" t="str" cm="1">
        <f t="array" ref="D52">INDEX('Radio-Map-1'!$H$7:$J$96,1+B52,C52)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INDEX('Radio-Map-1'!$H$7:$J$96,1+B53,C53)</f>
        <v/>
      </c>
    </row>
    <row r="54" spans="1:7" x14ac:dyDescent="0.75">
      <c r="A54" s="115">
        <v>52</v>
      </c>
      <c r="B54" s="115">
        <f t="shared" si="0"/>
        <v>17</v>
      </c>
      <c r="C54" s="115">
        <f t="shared" si="1"/>
        <v>1</v>
      </c>
      <c r="D54" s="113" t="str" cm="1">
        <f t="array" ref="D54">INDEX('Radio-Map-1'!$H$7:$J$96,1+B54,C54)</f>
        <v/>
      </c>
    </row>
    <row r="55" spans="1:7" x14ac:dyDescent="0.75">
      <c r="A55" s="115">
        <v>53</v>
      </c>
      <c r="B55" s="115">
        <f t="shared" si="0"/>
        <v>17</v>
      </c>
      <c r="C55" s="115">
        <f t="shared" si="1"/>
        <v>2</v>
      </c>
      <c r="D55" s="113" t="str" cm="1">
        <f t="array" ref="D55">INDEX('Radio-Map-1'!$H$7:$J$96,1+B55,C55)</f>
        <v/>
      </c>
      <c r="G55" s="15"/>
    </row>
    <row r="56" spans="1:7" x14ac:dyDescent="0.75">
      <c r="A56" s="115">
        <v>54</v>
      </c>
      <c r="B56" s="115">
        <f t="shared" si="0"/>
        <v>17</v>
      </c>
      <c r="C56" s="115">
        <f t="shared" si="1"/>
        <v>3</v>
      </c>
      <c r="D56" s="113" t="str" cm="1">
        <f t="array" ref="D56">INDEX('Radio-Map-1'!$H$7:$J$96,1+B56,C56)</f>
        <v/>
      </c>
    </row>
    <row r="57" spans="1:7" x14ac:dyDescent="0.75">
      <c r="A57" s="115">
        <v>55</v>
      </c>
      <c r="B57" s="115">
        <f t="shared" si="0"/>
        <v>18</v>
      </c>
      <c r="C57" s="115">
        <f t="shared" si="1"/>
        <v>1</v>
      </c>
      <c r="D57" s="113" t="str" cm="1">
        <f t="array" ref="D57">INDEX('Radio-Map-1'!$H$7:$J$96,1+B57,C57)</f>
        <v>* differential.element[18].mapping[0].identity = "fhir"</v>
      </c>
    </row>
    <row r="58" spans="1:7" x14ac:dyDescent="0.75">
      <c r="A58" s="115">
        <v>56</v>
      </c>
      <c r="B58" s="115">
        <f t="shared" si="0"/>
        <v>18</v>
      </c>
      <c r="C58" s="115">
        <f t="shared" si="1"/>
        <v>2</v>
      </c>
      <c r="D58" s="113" t="str" cm="1">
        <f t="array" ref="D58">INDEX('Radio-Map-1'!$H$7:$J$96,1+B58,C58)</f>
        <v>* differential.element[18].mapping[0].map = ".bodySite"</v>
      </c>
    </row>
    <row r="59" spans="1:7" x14ac:dyDescent="0.75">
      <c r="A59" s="115">
        <v>57</v>
      </c>
      <c r="B59" s="115">
        <f t="shared" si="0"/>
        <v>18</v>
      </c>
      <c r="C59" s="115">
        <f t="shared" si="1"/>
        <v>3</v>
      </c>
      <c r="D59" s="113" t="str" cm="1">
        <f t="array" ref="D59">INDEX('Radio-Map-1'!$H$7:$J$96,1+B59,C59)</f>
        <v/>
      </c>
    </row>
    <row r="60" spans="1:7" x14ac:dyDescent="0.75">
      <c r="A60" s="115">
        <v>58</v>
      </c>
      <c r="B60" s="115">
        <f t="shared" si="0"/>
        <v>19</v>
      </c>
      <c r="C60" s="115">
        <f t="shared" si="1"/>
        <v>1</v>
      </c>
      <c r="D60" s="113" t="str" cm="1">
        <f t="array" ref="D60">INDEX('Radio-Map-1'!$H$7:$J$96,1+B60,C60)</f>
        <v>* differential.element[18].mapping[1].identity = "fhir"</v>
      </c>
    </row>
    <row r="61" spans="1:7" x14ac:dyDescent="0.75">
      <c r="A61" s="115">
        <v>59</v>
      </c>
      <c r="B61" s="115">
        <f t="shared" si="0"/>
        <v>19</v>
      </c>
      <c r="C61" s="115">
        <f t="shared" si="1"/>
        <v>2</v>
      </c>
      <c r="D61" s="113"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5">
        <v>60</v>
      </c>
      <c r="B62" s="115">
        <f t="shared" si="0"/>
        <v>19</v>
      </c>
      <c r="C62" s="115">
        <f t="shared" si="1"/>
        <v>3</v>
      </c>
      <c r="D62" s="113" t="str" cm="1">
        <f t="array" ref="D62">INDEX('Radio-Map-1'!$H$7:$J$96,1+B62,C62)</f>
        <v/>
      </c>
    </row>
    <row r="63" spans="1:7" x14ac:dyDescent="0.75">
      <c r="A63" s="115">
        <v>61</v>
      </c>
      <c r="B63" s="115">
        <f t="shared" si="0"/>
        <v>20</v>
      </c>
      <c r="C63" s="115">
        <f t="shared" si="1"/>
        <v>1</v>
      </c>
      <c r="D63" s="113" t="str" cm="1">
        <f t="array" ref="D63">INDEX('Radio-Map-1'!$H$7:$J$96,1+B63,C63)</f>
        <v/>
      </c>
    </row>
    <row r="64" spans="1:7" x14ac:dyDescent="0.75">
      <c r="A64" s="115">
        <v>62</v>
      </c>
      <c r="B64" s="115">
        <f t="shared" si="0"/>
        <v>20</v>
      </c>
      <c r="C64" s="115">
        <f t="shared" si="1"/>
        <v>2</v>
      </c>
      <c r="D64" s="113" t="str" cm="1">
        <f t="array" ref="D64">INDEX('Radio-Map-1'!$H$7:$J$96,1+B64,C64)</f>
        <v/>
      </c>
    </row>
    <row r="65" spans="1:4" x14ac:dyDescent="0.75">
      <c r="A65" s="115">
        <v>63</v>
      </c>
      <c r="B65" s="115">
        <f t="shared" si="0"/>
        <v>20</v>
      </c>
      <c r="C65" s="115">
        <f t="shared" si="1"/>
        <v>3</v>
      </c>
      <c r="D65" s="113" t="str" cm="1">
        <f t="array" ref="D65">INDEX('Radio-Map-1'!$H$7:$J$96,1+B65,C65)</f>
        <v/>
      </c>
    </row>
    <row r="66" spans="1:4" x14ac:dyDescent="0.75">
      <c r="A66" s="115">
        <v>64</v>
      </c>
      <c r="B66" s="115">
        <f t="shared" si="0"/>
        <v>21</v>
      </c>
      <c r="C66" s="115">
        <f t="shared" si="1"/>
        <v>1</v>
      </c>
      <c r="D66" s="113" t="str" cm="1">
        <f t="array" ref="D66">INDEX('Radio-Map-1'!$H$7:$J$96,1+B66,C66)</f>
        <v/>
      </c>
    </row>
    <row r="67" spans="1:4" x14ac:dyDescent="0.75">
      <c r="A67" s="115">
        <v>65</v>
      </c>
      <c r="B67" s="115">
        <f t="shared" si="0"/>
        <v>21</v>
      </c>
      <c r="C67" s="115">
        <f t="shared" si="1"/>
        <v>2</v>
      </c>
      <c r="D67" s="113" t="str" cm="1">
        <f t="array" ref="D67">INDEX('Radio-Map-1'!$H$7:$J$96,1+B67,C67)</f>
        <v/>
      </c>
    </row>
    <row r="68" spans="1:4" x14ac:dyDescent="0.75">
      <c r="A68" s="115">
        <v>66</v>
      </c>
      <c r="B68" s="115">
        <f t="shared" ref="B68:B131" si="2">IF(MOD(A68,3)=0,A68/3-1,INT(A68/3))</f>
        <v>21</v>
      </c>
      <c r="C68" s="115">
        <f t="shared" ref="C68:C131" si="3">IF(MOD(A68,3)=0,3,MOD(A68,3))</f>
        <v>3</v>
      </c>
      <c r="D68" s="113" t="str" cm="1">
        <f t="array" ref="D68">INDEX('Radio-Map-1'!$H$7:$J$96,1+B68,C68)</f>
        <v/>
      </c>
    </row>
    <row r="69" spans="1:4" x14ac:dyDescent="0.75">
      <c r="A69" s="115">
        <v>67</v>
      </c>
      <c r="B69" s="115">
        <f t="shared" si="2"/>
        <v>22</v>
      </c>
      <c r="C69" s="115">
        <f t="shared" si="3"/>
        <v>1</v>
      </c>
      <c r="D69" s="113" t="str" cm="1">
        <f t="array" ref="D69">INDEX('Radio-Map-1'!$H$7:$J$96,1+B69,C69)</f>
        <v/>
      </c>
    </row>
    <row r="70" spans="1:4" x14ac:dyDescent="0.75">
      <c r="A70" s="115">
        <v>68</v>
      </c>
      <c r="B70" s="115">
        <f t="shared" si="2"/>
        <v>22</v>
      </c>
      <c r="C70" s="115">
        <f t="shared" si="3"/>
        <v>2</v>
      </c>
      <c r="D70" s="113" t="str" cm="1">
        <f t="array" ref="D70">INDEX('Radio-Map-1'!$H$7:$J$96,1+B70,C70)</f>
        <v/>
      </c>
    </row>
    <row r="71" spans="1:4" x14ac:dyDescent="0.75">
      <c r="A71" s="115">
        <v>69</v>
      </c>
      <c r="B71" s="115">
        <f t="shared" si="2"/>
        <v>22</v>
      </c>
      <c r="C71" s="115">
        <f t="shared" si="3"/>
        <v>3</v>
      </c>
      <c r="D71" s="113" t="str" cm="1">
        <f t="array" ref="D71">INDEX('Radio-Map-1'!$H$7:$J$96,1+B71,C71)</f>
        <v/>
      </c>
    </row>
    <row r="72" spans="1:4" x14ac:dyDescent="0.75">
      <c r="A72" s="115">
        <v>70</v>
      </c>
      <c r="B72" s="115">
        <f t="shared" si="2"/>
        <v>23</v>
      </c>
      <c r="C72" s="115">
        <f t="shared" si="3"/>
        <v>1</v>
      </c>
      <c r="D72" s="113" t="str" cm="1">
        <f t="array" ref="D72">INDEX('Radio-Map-1'!$H$7:$J$96,1+B72,C72)</f>
        <v/>
      </c>
    </row>
    <row r="73" spans="1:4" x14ac:dyDescent="0.75">
      <c r="A73" s="115">
        <v>71</v>
      </c>
      <c r="B73" s="115">
        <f t="shared" si="2"/>
        <v>23</v>
      </c>
      <c r="C73" s="115">
        <f t="shared" si="3"/>
        <v>2</v>
      </c>
      <c r="D73" s="113" t="str" cm="1">
        <f t="array" ref="D73">INDEX('Radio-Map-1'!$H$7:$J$96,1+B73,C73)</f>
        <v/>
      </c>
    </row>
    <row r="74" spans="1:4" x14ac:dyDescent="0.75">
      <c r="A74" s="115">
        <v>72</v>
      </c>
      <c r="B74" s="115">
        <f t="shared" si="2"/>
        <v>23</v>
      </c>
      <c r="C74" s="115">
        <f t="shared" si="3"/>
        <v>3</v>
      </c>
      <c r="D74" s="113" t="str" cm="1">
        <f t="array" ref="D74">INDEX('Radio-Map-1'!$H$7:$J$96,1+B74,C74)</f>
        <v/>
      </c>
    </row>
    <row r="75" spans="1:4" x14ac:dyDescent="0.75">
      <c r="A75" s="115">
        <v>73</v>
      </c>
      <c r="B75" s="115">
        <f t="shared" si="2"/>
        <v>24</v>
      </c>
      <c r="C75" s="115">
        <f t="shared" si="3"/>
        <v>1</v>
      </c>
      <c r="D75" s="113" t="str" cm="1">
        <f t="array" ref="D75">INDEX('Radio-Map-1'!$H$7:$J$96,1+B75,C75)</f>
        <v/>
      </c>
    </row>
    <row r="76" spans="1:4" x14ac:dyDescent="0.75">
      <c r="A76" s="115">
        <v>74</v>
      </c>
      <c r="B76" s="115">
        <f t="shared" si="2"/>
        <v>24</v>
      </c>
      <c r="C76" s="115">
        <f t="shared" si="3"/>
        <v>2</v>
      </c>
      <c r="D76" s="113" t="str" cm="1">
        <f t="array" ref="D76">INDEX('Radio-Map-1'!$H$7:$J$96,1+B76,C76)</f>
        <v/>
      </c>
    </row>
    <row r="77" spans="1:4" x14ac:dyDescent="0.75">
      <c r="A77" s="115">
        <v>75</v>
      </c>
      <c r="B77" s="115">
        <f t="shared" si="2"/>
        <v>24</v>
      </c>
      <c r="C77" s="115">
        <f t="shared" si="3"/>
        <v>3</v>
      </c>
      <c r="D77" s="113" t="str" cm="1">
        <f t="array" ref="D77">INDEX('Radio-Map-1'!$H$7:$J$96,1+B77,C77)</f>
        <v/>
      </c>
    </row>
    <row r="78" spans="1:4" x14ac:dyDescent="0.75">
      <c r="A78" s="115">
        <v>76</v>
      </c>
      <c r="B78" s="115">
        <f t="shared" si="2"/>
        <v>25</v>
      </c>
      <c r="C78" s="115">
        <f t="shared" si="3"/>
        <v>1</v>
      </c>
      <c r="D78" s="113" t="str" cm="1">
        <f t="array" ref="D78">INDEX('Radio-Map-1'!$H$7:$J$96,1+B78,C78)</f>
        <v/>
      </c>
    </row>
    <row r="79" spans="1:4" x14ac:dyDescent="0.75">
      <c r="A79" s="115">
        <v>77</v>
      </c>
      <c r="B79" s="115">
        <f t="shared" si="2"/>
        <v>25</v>
      </c>
      <c r="C79" s="115">
        <f t="shared" si="3"/>
        <v>2</v>
      </c>
      <c r="D79" s="113" t="str" cm="1">
        <f t="array" ref="D79">INDEX('Radio-Map-1'!$H$7:$J$96,1+B79,C79)</f>
        <v/>
      </c>
    </row>
    <row r="80" spans="1:4" x14ac:dyDescent="0.75">
      <c r="A80" s="115">
        <v>78</v>
      </c>
      <c r="B80" s="115">
        <f t="shared" si="2"/>
        <v>25</v>
      </c>
      <c r="C80" s="115">
        <f t="shared" si="3"/>
        <v>3</v>
      </c>
      <c r="D80" s="113" t="str" cm="1">
        <f t="array" ref="D80">INDEX('Radio-Map-1'!$H$7:$J$96,1+B80,C80)</f>
        <v/>
      </c>
    </row>
    <row r="81" spans="1:4" x14ac:dyDescent="0.75">
      <c r="A81" s="115">
        <v>79</v>
      </c>
      <c r="B81" s="115">
        <f t="shared" si="2"/>
        <v>26</v>
      </c>
      <c r="C81" s="115">
        <f t="shared" si="3"/>
        <v>1</v>
      </c>
      <c r="D81" s="113" t="str" cm="1">
        <f t="array" ref="D81">INDEX('Radio-Map-1'!$H$7:$J$96,1+B81,C81)</f>
        <v>* differential.element[25].mapping[0].identity = "fhir"</v>
      </c>
    </row>
    <row r="82" spans="1:4" x14ac:dyDescent="0.75">
      <c r="A82" s="115">
        <v>80</v>
      </c>
      <c r="B82" s="115">
        <f t="shared" si="2"/>
        <v>26</v>
      </c>
      <c r="C82" s="115">
        <f t="shared" si="3"/>
        <v>2</v>
      </c>
      <c r="D82" s="113"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5">
        <v>81</v>
      </c>
      <c r="B83" s="115">
        <f t="shared" si="2"/>
        <v>26</v>
      </c>
      <c r="C83" s="115">
        <f t="shared" si="3"/>
        <v>3</v>
      </c>
      <c r="D83" s="113" t="str" cm="1">
        <f t="array" ref="D83">INDEX('Radio-Map-1'!$H$7:$J$96,1+B83,C83)</f>
        <v/>
      </c>
    </row>
    <row r="84" spans="1:4" x14ac:dyDescent="0.75">
      <c r="A84" s="115">
        <v>82</v>
      </c>
      <c r="B84" s="115">
        <f t="shared" si="2"/>
        <v>27</v>
      </c>
      <c r="C84" s="115">
        <f t="shared" si="3"/>
        <v>1</v>
      </c>
      <c r="D84" s="113" t="str" cm="1">
        <f t="array" ref="D84">INDEX('Radio-Map-1'!$H$7:$J$96,1+B84,C84)</f>
        <v/>
      </c>
    </row>
    <row r="85" spans="1:4" x14ac:dyDescent="0.75">
      <c r="A85" s="115">
        <v>83</v>
      </c>
      <c r="B85" s="115">
        <f t="shared" si="2"/>
        <v>27</v>
      </c>
      <c r="C85" s="115">
        <f t="shared" si="3"/>
        <v>2</v>
      </c>
      <c r="D85" s="113" t="str" cm="1">
        <f t="array" ref="D85">INDEX('Radio-Map-1'!$H$7:$J$96,1+B85,C85)</f>
        <v/>
      </c>
    </row>
    <row r="86" spans="1:4" x14ac:dyDescent="0.75">
      <c r="A86" s="115">
        <v>84</v>
      </c>
      <c r="B86" s="115">
        <f t="shared" si="2"/>
        <v>27</v>
      </c>
      <c r="C86" s="115">
        <f t="shared" si="3"/>
        <v>3</v>
      </c>
      <c r="D86" s="113" t="str" cm="1">
        <f t="array" ref="D86">INDEX('Radio-Map-1'!$H$7:$J$96,1+B86,C86)</f>
        <v/>
      </c>
    </row>
    <row r="87" spans="1:4" x14ac:dyDescent="0.75">
      <c r="A87" s="115">
        <v>85</v>
      </c>
      <c r="B87" s="115">
        <f t="shared" si="2"/>
        <v>28</v>
      </c>
      <c r="C87" s="115">
        <f t="shared" si="3"/>
        <v>1</v>
      </c>
      <c r="D87" s="113" t="str" cm="1">
        <f t="array" ref="D87">INDEX('Radio-Map-1'!$H$7:$J$96,1+B87,C87)</f>
        <v/>
      </c>
    </row>
    <row r="88" spans="1:4" x14ac:dyDescent="0.75">
      <c r="A88" s="115">
        <v>86</v>
      </c>
      <c r="B88" s="115">
        <f t="shared" si="2"/>
        <v>28</v>
      </c>
      <c r="C88" s="115">
        <f t="shared" si="3"/>
        <v>2</v>
      </c>
      <c r="D88" s="113" t="str" cm="1">
        <f t="array" ref="D88">INDEX('Radio-Map-1'!$H$7:$J$96,1+B88,C88)</f>
        <v/>
      </c>
    </row>
    <row r="89" spans="1:4" x14ac:dyDescent="0.75">
      <c r="A89" s="115">
        <v>87</v>
      </c>
      <c r="B89" s="115">
        <f t="shared" si="2"/>
        <v>28</v>
      </c>
      <c r="C89" s="115">
        <f t="shared" si="3"/>
        <v>3</v>
      </c>
      <c r="D89" s="113" t="str" cm="1">
        <f t="array" ref="D89">INDEX('Radio-Map-1'!$H$7:$J$96,1+B89,C89)</f>
        <v/>
      </c>
    </row>
    <row r="90" spans="1:4" x14ac:dyDescent="0.75">
      <c r="A90" s="115">
        <v>88</v>
      </c>
      <c r="B90" s="115">
        <f t="shared" si="2"/>
        <v>29</v>
      </c>
      <c r="C90" s="115">
        <f t="shared" si="3"/>
        <v>1</v>
      </c>
      <c r="D90" s="113" t="str" cm="1">
        <f t="array" ref="D90">INDEX('Radio-Map-1'!$H$7:$J$96,1+B90,C90)</f>
        <v/>
      </c>
    </row>
    <row r="91" spans="1:4" x14ac:dyDescent="0.75">
      <c r="A91" s="115">
        <v>89</v>
      </c>
      <c r="B91" s="115">
        <f t="shared" si="2"/>
        <v>29</v>
      </c>
      <c r="C91" s="115">
        <f t="shared" si="3"/>
        <v>2</v>
      </c>
      <c r="D91" s="113" t="str" cm="1">
        <f t="array" ref="D91">INDEX('Radio-Map-1'!$H$7:$J$96,1+B91,C91)</f>
        <v/>
      </c>
    </row>
    <row r="92" spans="1:4" x14ac:dyDescent="0.75">
      <c r="A92" s="115">
        <v>90</v>
      </c>
      <c r="B92" s="115">
        <f t="shared" si="2"/>
        <v>29</v>
      </c>
      <c r="C92" s="115">
        <f t="shared" si="3"/>
        <v>3</v>
      </c>
      <c r="D92" s="113" t="str" cm="1">
        <f t="array" ref="D92">INDEX('Radio-Map-1'!$H$7:$J$96,1+B92,C92)</f>
        <v/>
      </c>
    </row>
    <row r="93" spans="1:4" x14ac:dyDescent="0.75">
      <c r="A93" s="115">
        <v>91</v>
      </c>
      <c r="B93" s="115">
        <f t="shared" si="2"/>
        <v>30</v>
      </c>
      <c r="C93" s="115">
        <f t="shared" si="3"/>
        <v>1</v>
      </c>
      <c r="D93" s="113" t="str" cm="1">
        <f t="array" ref="D93">INDEX('Radio-Map-1'!$H$7:$J$96,1+B93,C93)</f>
        <v/>
      </c>
    </row>
    <row r="94" spans="1:4" x14ac:dyDescent="0.75">
      <c r="A94" s="115">
        <v>92</v>
      </c>
      <c r="B94" s="115">
        <f t="shared" si="2"/>
        <v>30</v>
      </c>
      <c r="C94" s="115">
        <f t="shared" si="3"/>
        <v>2</v>
      </c>
      <c r="D94" s="113" t="str" cm="1">
        <f t="array" ref="D94">INDEX('Radio-Map-1'!$H$7:$J$96,1+B94,C94)</f>
        <v/>
      </c>
    </row>
    <row r="95" spans="1:4" x14ac:dyDescent="0.75">
      <c r="A95" s="115">
        <v>93</v>
      </c>
      <c r="B95" s="115">
        <f t="shared" si="2"/>
        <v>30</v>
      </c>
      <c r="C95" s="115">
        <f t="shared" si="3"/>
        <v>3</v>
      </c>
      <c r="D95" s="113" t="str" cm="1">
        <f t="array" ref="D95">INDEX('Radio-Map-1'!$H$7:$J$96,1+B95,C95)</f>
        <v/>
      </c>
    </row>
    <row r="96" spans="1:4" x14ac:dyDescent="0.75">
      <c r="A96" s="115">
        <v>94</v>
      </c>
      <c r="B96" s="115">
        <f t="shared" si="2"/>
        <v>31</v>
      </c>
      <c r="C96" s="115">
        <f t="shared" si="3"/>
        <v>1</v>
      </c>
      <c r="D96" s="113" t="str" cm="1">
        <f t="array" ref="D96">INDEX('Radio-Map-1'!$H$7:$J$96,1+B96,C96)</f>
        <v/>
      </c>
    </row>
    <row r="97" spans="1:4" x14ac:dyDescent="0.75">
      <c r="A97" s="115">
        <v>95</v>
      </c>
      <c r="B97" s="115">
        <f t="shared" si="2"/>
        <v>31</v>
      </c>
      <c r="C97" s="115">
        <f t="shared" si="3"/>
        <v>2</v>
      </c>
      <c r="D97" s="113" t="str" cm="1">
        <f t="array" ref="D97">INDEX('Radio-Map-1'!$H$7:$J$96,1+B97,C97)</f>
        <v/>
      </c>
    </row>
    <row r="98" spans="1:4" x14ac:dyDescent="0.75">
      <c r="A98" s="115">
        <v>96</v>
      </c>
      <c r="B98" s="115">
        <f t="shared" si="2"/>
        <v>31</v>
      </c>
      <c r="C98" s="115">
        <f t="shared" si="3"/>
        <v>3</v>
      </c>
      <c r="D98" s="113" t="str" cm="1">
        <f t="array" ref="D98">INDEX('Radio-Map-1'!$H$7:$J$96,1+B98,C98)</f>
        <v/>
      </c>
    </row>
    <row r="99" spans="1:4" x14ac:dyDescent="0.75">
      <c r="A99" s="115">
        <v>97</v>
      </c>
      <c r="B99" s="115">
        <f t="shared" si="2"/>
        <v>32</v>
      </c>
      <c r="C99" s="115">
        <f t="shared" si="3"/>
        <v>1</v>
      </c>
      <c r="D99" s="113" t="str" cm="1">
        <f t="array" ref="D99">INDEX('Radio-Map-1'!$H$7:$J$96,1+B99,C99)</f>
        <v/>
      </c>
    </row>
    <row r="100" spans="1:4" x14ac:dyDescent="0.75">
      <c r="A100" s="115">
        <v>98</v>
      </c>
      <c r="B100" s="115">
        <f t="shared" si="2"/>
        <v>32</v>
      </c>
      <c r="C100" s="115">
        <f t="shared" si="3"/>
        <v>2</v>
      </c>
      <c r="D100" s="113" t="str" cm="1">
        <f t="array" ref="D100">INDEX('Radio-Map-1'!$H$7:$J$96,1+B100,C100)</f>
        <v/>
      </c>
    </row>
    <row r="101" spans="1:4" x14ac:dyDescent="0.75">
      <c r="A101" s="115">
        <v>99</v>
      </c>
      <c r="B101" s="115">
        <f t="shared" si="2"/>
        <v>32</v>
      </c>
      <c r="C101" s="115">
        <f t="shared" si="3"/>
        <v>3</v>
      </c>
      <c r="D101" s="113" t="str" cm="1">
        <f t="array" ref="D101">INDEX('Radio-Map-1'!$H$7:$J$96,1+B101,C101)</f>
        <v/>
      </c>
    </row>
    <row r="102" spans="1:4" x14ac:dyDescent="0.75">
      <c r="A102" s="115">
        <v>100</v>
      </c>
      <c r="B102" s="115">
        <f t="shared" si="2"/>
        <v>33</v>
      </c>
      <c r="C102" s="115">
        <f t="shared" si="3"/>
        <v>1</v>
      </c>
      <c r="D102" s="113" t="str" cm="1">
        <f t="array" ref="D102">INDEX('Radio-Map-1'!$H$7:$J$96,1+B102,C102)</f>
        <v>* differential.element[32].mapping[0].identity = "fhir"</v>
      </c>
    </row>
    <row r="103" spans="1:4" x14ac:dyDescent="0.75">
      <c r="A103" s="115">
        <v>101</v>
      </c>
      <c r="B103" s="115">
        <f t="shared" si="2"/>
        <v>33</v>
      </c>
      <c r="C103" s="115">
        <f t="shared" si="3"/>
        <v>2</v>
      </c>
      <c r="D103" s="113" t="str" cm="1">
        <f t="array" ref="D103">INDEX('Radio-Map-1'!$H$7:$J$96,1+B103,C103)</f>
        <v>* differential.element[32].mapping[0].map = "Procedure.conformsTo('http://hl7.eu/fhir/ig/pcsp/StructureDefinition/Procedure-radiotheraphyBoost-eu-pcsp')"</v>
      </c>
    </row>
    <row r="104" spans="1:4" x14ac:dyDescent="0.75">
      <c r="A104" s="115">
        <v>102</v>
      </c>
      <c r="B104" s="115">
        <f t="shared" si="2"/>
        <v>33</v>
      </c>
      <c r="C104" s="115">
        <f t="shared" si="3"/>
        <v>3</v>
      </c>
      <c r="D104" s="113" t="str" cm="1">
        <f t="array" ref="D104">INDEX('Radio-Map-1'!$H$7:$J$96,1+B104,C104)</f>
        <v/>
      </c>
    </row>
    <row r="105" spans="1:4" x14ac:dyDescent="0.75">
      <c r="A105" s="115">
        <v>103</v>
      </c>
      <c r="B105" s="115">
        <f t="shared" si="2"/>
        <v>34</v>
      </c>
      <c r="C105" s="115">
        <f t="shared" si="3"/>
        <v>1</v>
      </c>
      <c r="D105" s="113" t="str" cm="1">
        <f t="array" ref="D105">INDEX('Radio-Map-1'!$H$7:$J$96,1+B105,C105)</f>
        <v>* differential.element[33].mapping[0].identity = "fhir"</v>
      </c>
    </row>
    <row r="106" spans="1:4" x14ac:dyDescent="0.75">
      <c r="A106" s="115">
        <v>104</v>
      </c>
      <c r="B106" s="115">
        <f t="shared" si="2"/>
        <v>34</v>
      </c>
      <c r="C106" s="115">
        <f t="shared" si="3"/>
        <v>2</v>
      </c>
      <c r="D106" s="113" t="str" cm="1">
        <f t="array" ref="D106">INDEX('Radio-Map-1'!$H$7:$J$96,1+B106,C106)</f>
        <v>* differential.element[33].mapping[0].map = ".code"</v>
      </c>
    </row>
    <row r="107" spans="1:4" x14ac:dyDescent="0.75">
      <c r="A107" s="115">
        <v>105</v>
      </c>
      <c r="B107" s="115">
        <f t="shared" si="2"/>
        <v>34</v>
      </c>
      <c r="C107" s="115">
        <f t="shared" si="3"/>
        <v>3</v>
      </c>
      <c r="D107" s="113" t="str" cm="1">
        <f t="array" ref="D107">INDEX('Radio-Map-1'!$H$7:$J$96,1+B107,C107)</f>
        <v/>
      </c>
    </row>
    <row r="108" spans="1:4" x14ac:dyDescent="0.75">
      <c r="A108" s="115">
        <v>106</v>
      </c>
      <c r="B108" s="115">
        <f t="shared" si="2"/>
        <v>35</v>
      </c>
      <c r="C108" s="115">
        <f t="shared" si="3"/>
        <v>1</v>
      </c>
      <c r="D108" s="113" t="str" cm="1">
        <f t="array" ref="D108">INDEX('Radio-Map-1'!$H$7:$J$96,1+B108,C108)</f>
        <v>* differential.element[34].mapping[0].identity = "fhir"</v>
      </c>
    </row>
    <row r="109" spans="1:4" x14ac:dyDescent="0.75">
      <c r="A109" s="115">
        <v>107</v>
      </c>
      <c r="B109" s="115">
        <f t="shared" si="2"/>
        <v>35</v>
      </c>
      <c r="C109" s="115">
        <f t="shared" si="3"/>
        <v>2</v>
      </c>
      <c r="D109" s="113" t="str" cm="1">
        <f t="array" ref="D109">INDEX('Radio-Map-1'!$H$7:$J$96,1+B109,C109)</f>
        <v>* differential.element[34].mapping[0].map = ".status"</v>
      </c>
    </row>
    <row r="110" spans="1:4" x14ac:dyDescent="0.75">
      <c r="A110" s="115">
        <v>108</v>
      </c>
      <c r="B110" s="115">
        <f t="shared" si="2"/>
        <v>35</v>
      </c>
      <c r="C110" s="115">
        <f t="shared" si="3"/>
        <v>3</v>
      </c>
      <c r="D110" s="113" t="str" cm="1">
        <f t="array" ref="D110">INDEX('Radio-Map-1'!$H$7:$J$96,1+B110,C110)</f>
        <v/>
      </c>
    </row>
    <row r="111" spans="1:4" x14ac:dyDescent="0.75">
      <c r="A111" s="115">
        <v>109</v>
      </c>
      <c r="B111" s="115">
        <f t="shared" si="2"/>
        <v>36</v>
      </c>
      <c r="C111" s="115">
        <f t="shared" si="3"/>
        <v>1</v>
      </c>
      <c r="D111" s="113" t="str" cm="1">
        <f t="array" ref="D111">INDEX('Radio-Map-1'!$H$7:$J$96,1+B111,C111)</f>
        <v>* differential.element[35].mapping[0].identity = "fhir"</v>
      </c>
    </row>
    <row r="112" spans="1:4" x14ac:dyDescent="0.75">
      <c r="A112" s="115">
        <v>110</v>
      </c>
      <c r="B112" s="115">
        <f t="shared" si="2"/>
        <v>36</v>
      </c>
      <c r="C112" s="115">
        <f t="shared" si="3"/>
        <v>2</v>
      </c>
      <c r="D112" s="113" t="str" cm="1">
        <f t="array" ref="D112">INDEX('Radio-Map-1'!$H$7:$J$96,1+B112,C112)</f>
        <v>* differential.element[35].mapping[0].map = ".bodySite"</v>
      </c>
    </row>
    <row r="113" spans="1:4" x14ac:dyDescent="0.75">
      <c r="A113" s="115">
        <v>111</v>
      </c>
      <c r="B113" s="115">
        <f t="shared" si="2"/>
        <v>36</v>
      </c>
      <c r="C113" s="115">
        <f t="shared" si="3"/>
        <v>3</v>
      </c>
      <c r="D113" s="113" t="str" cm="1">
        <f t="array" ref="D113">INDEX('Radio-Map-1'!$H$7:$J$96,1+B113,C113)</f>
        <v/>
      </c>
    </row>
    <row r="114" spans="1:4" x14ac:dyDescent="0.75">
      <c r="A114" s="115">
        <v>112</v>
      </c>
      <c r="B114" s="115">
        <f t="shared" si="2"/>
        <v>37</v>
      </c>
      <c r="C114" s="115">
        <f t="shared" si="3"/>
        <v>1</v>
      </c>
      <c r="D114" s="113" t="str" cm="1">
        <f t="array" ref="D114">INDEX('Radio-Map-1'!$H$7:$J$96,1+B114,C114)</f>
        <v>* differential.element[35].mapping[1].identity = "fhir"</v>
      </c>
    </row>
    <row r="115" spans="1:4" x14ac:dyDescent="0.75">
      <c r="A115" s="115">
        <v>113</v>
      </c>
      <c r="B115" s="115">
        <f t="shared" si="2"/>
        <v>37</v>
      </c>
      <c r="C115" s="115">
        <f t="shared" si="3"/>
        <v>2</v>
      </c>
      <c r="D115" s="113"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5">
        <v>114</v>
      </c>
      <c r="B116" s="115">
        <f t="shared" si="2"/>
        <v>37</v>
      </c>
      <c r="C116" s="115">
        <f t="shared" si="3"/>
        <v>3</v>
      </c>
      <c r="D116" s="113" t="str" cm="1">
        <f t="array" ref="D116">INDEX('Radio-Map-1'!$H$7:$J$96,1+B116,C116)</f>
        <v/>
      </c>
    </row>
    <row r="117" spans="1:4" x14ac:dyDescent="0.75">
      <c r="A117" s="115">
        <v>115</v>
      </c>
      <c r="B117" s="115">
        <f t="shared" si="2"/>
        <v>38</v>
      </c>
      <c r="C117" s="115">
        <f t="shared" si="3"/>
        <v>1</v>
      </c>
      <c r="D117" s="113" t="str" cm="1">
        <f t="array" ref="D117">INDEX('Radio-Map-1'!$H$7:$J$96,1+B117,C117)</f>
        <v/>
      </c>
    </row>
    <row r="118" spans="1:4" x14ac:dyDescent="0.75">
      <c r="A118" s="115">
        <v>116</v>
      </c>
      <c r="B118" s="115">
        <f t="shared" si="2"/>
        <v>38</v>
      </c>
      <c r="C118" s="115">
        <f t="shared" si="3"/>
        <v>2</v>
      </c>
      <c r="D118" s="113" t="str" cm="1">
        <f t="array" ref="D118">INDEX('Radio-Map-1'!$H$7:$J$96,1+B118,C118)</f>
        <v/>
      </c>
    </row>
    <row r="119" spans="1:4" x14ac:dyDescent="0.75">
      <c r="A119" s="115">
        <v>117</v>
      </c>
      <c r="B119" s="115">
        <f t="shared" si="2"/>
        <v>38</v>
      </c>
      <c r="C119" s="115">
        <f t="shared" si="3"/>
        <v>3</v>
      </c>
      <c r="D119" s="113" t="str" cm="1">
        <f t="array" ref="D119">INDEX('Radio-Map-1'!$H$7:$J$96,1+B119,C119)</f>
        <v/>
      </c>
    </row>
    <row r="120" spans="1:4" x14ac:dyDescent="0.75">
      <c r="A120" s="115">
        <v>118</v>
      </c>
      <c r="B120" s="115">
        <f t="shared" si="2"/>
        <v>39</v>
      </c>
      <c r="C120" s="115">
        <f t="shared" si="3"/>
        <v>1</v>
      </c>
      <c r="D120" s="113" t="str" cm="1">
        <f t="array" ref="D120">INDEX('Radio-Map-1'!$H$7:$J$96,1+B120,C120)</f>
        <v/>
      </c>
    </row>
    <row r="121" spans="1:4" x14ac:dyDescent="0.75">
      <c r="A121" s="115">
        <v>119</v>
      </c>
      <c r="B121" s="115">
        <f t="shared" si="2"/>
        <v>39</v>
      </c>
      <c r="C121" s="115">
        <f t="shared" si="3"/>
        <v>2</v>
      </c>
      <c r="D121" s="113" t="str" cm="1">
        <f t="array" ref="D121">INDEX('Radio-Map-1'!$H$7:$J$96,1+B121,C121)</f>
        <v/>
      </c>
    </row>
    <row r="122" spans="1:4" x14ac:dyDescent="0.75">
      <c r="A122" s="115">
        <v>120</v>
      </c>
      <c r="B122" s="115">
        <f t="shared" si="2"/>
        <v>39</v>
      </c>
      <c r="C122" s="115">
        <f t="shared" si="3"/>
        <v>3</v>
      </c>
      <c r="D122" s="113" t="str" cm="1">
        <f t="array" ref="D122">INDEX('Radio-Map-1'!$H$7:$J$96,1+B122,C122)</f>
        <v/>
      </c>
    </row>
    <row r="123" spans="1:4" x14ac:dyDescent="0.75">
      <c r="A123" s="115">
        <v>121</v>
      </c>
      <c r="B123" s="115">
        <f t="shared" si="2"/>
        <v>40</v>
      </c>
      <c r="C123" s="115">
        <f t="shared" si="3"/>
        <v>1</v>
      </c>
      <c r="D123" s="113" t="str" cm="1">
        <f t="array" ref="D123">INDEX('Radio-Map-1'!$H$7:$J$96,1+B123,C123)</f>
        <v/>
      </c>
    </row>
    <row r="124" spans="1:4" x14ac:dyDescent="0.75">
      <c r="A124" s="115">
        <v>122</v>
      </c>
      <c r="B124" s="115">
        <f t="shared" si="2"/>
        <v>40</v>
      </c>
      <c r="C124" s="115">
        <f t="shared" si="3"/>
        <v>2</v>
      </c>
      <c r="D124" s="113" t="str" cm="1">
        <f t="array" ref="D124">INDEX('Radio-Map-1'!$H$7:$J$96,1+B124,C124)</f>
        <v/>
      </c>
    </row>
    <row r="125" spans="1:4" x14ac:dyDescent="0.75">
      <c r="A125" s="115">
        <v>123</v>
      </c>
      <c r="B125" s="115">
        <f t="shared" si="2"/>
        <v>40</v>
      </c>
      <c r="C125" s="115">
        <f t="shared" si="3"/>
        <v>3</v>
      </c>
      <c r="D125" s="113" t="str" cm="1">
        <f t="array" ref="D125">INDEX('Radio-Map-1'!$H$7:$J$96,1+B125,C125)</f>
        <v/>
      </c>
    </row>
    <row r="126" spans="1:4" x14ac:dyDescent="0.75">
      <c r="A126" s="115">
        <v>124</v>
      </c>
      <c r="B126" s="115">
        <f t="shared" si="2"/>
        <v>41</v>
      </c>
      <c r="C126" s="115">
        <f t="shared" si="3"/>
        <v>1</v>
      </c>
      <c r="D126" s="113" t="str" cm="1">
        <f t="array" ref="D126">INDEX('Radio-Map-1'!$H$7:$J$96,1+B126,C126)</f>
        <v/>
      </c>
    </row>
    <row r="127" spans="1:4" x14ac:dyDescent="0.75">
      <c r="A127" s="115">
        <v>125</v>
      </c>
      <c r="B127" s="115">
        <f t="shared" si="2"/>
        <v>41</v>
      </c>
      <c r="C127" s="115">
        <f t="shared" si="3"/>
        <v>2</v>
      </c>
      <c r="D127" s="113" t="str" cm="1">
        <f t="array" ref="D127">INDEX('Radio-Map-1'!$H$7:$J$96,1+B127,C127)</f>
        <v/>
      </c>
    </row>
    <row r="128" spans="1:4" x14ac:dyDescent="0.75">
      <c r="A128" s="115">
        <v>126</v>
      </c>
      <c r="B128" s="115">
        <f t="shared" si="2"/>
        <v>41</v>
      </c>
      <c r="C128" s="115">
        <f t="shared" si="3"/>
        <v>3</v>
      </c>
      <c r="D128" s="113" t="str" cm="1">
        <f t="array" ref="D128">INDEX('Radio-Map-1'!$H$7:$J$96,1+B128,C128)</f>
        <v/>
      </c>
    </row>
    <row r="129" spans="1:4" x14ac:dyDescent="0.75">
      <c r="A129" s="115">
        <v>127</v>
      </c>
      <c r="B129" s="115">
        <f t="shared" si="2"/>
        <v>42</v>
      </c>
      <c r="C129" s="115">
        <f t="shared" si="3"/>
        <v>1</v>
      </c>
      <c r="D129" s="113" t="str" cm="1">
        <f t="array" ref="D129">INDEX('Radio-Map-1'!$H$7:$J$96,1+B129,C129)</f>
        <v/>
      </c>
    </row>
    <row r="130" spans="1:4" x14ac:dyDescent="0.75">
      <c r="A130" s="115">
        <v>128</v>
      </c>
      <c r="B130" s="115">
        <f t="shared" si="2"/>
        <v>42</v>
      </c>
      <c r="C130" s="115">
        <f t="shared" si="3"/>
        <v>2</v>
      </c>
      <c r="D130" s="113" t="str" cm="1">
        <f t="array" ref="D130">INDEX('Radio-Map-1'!$H$7:$J$96,1+B130,C130)</f>
        <v/>
      </c>
    </row>
    <row r="131" spans="1:4" x14ac:dyDescent="0.75">
      <c r="A131" s="115">
        <v>129</v>
      </c>
      <c r="B131" s="115">
        <f t="shared" si="2"/>
        <v>42</v>
      </c>
      <c r="C131" s="115">
        <f t="shared" si="3"/>
        <v>3</v>
      </c>
      <c r="D131" s="113" t="str" cm="1">
        <f t="array" ref="D131">INDEX('Radio-Map-1'!$H$7:$J$96,1+B131,C131)</f>
        <v/>
      </c>
    </row>
    <row r="132" spans="1:4" x14ac:dyDescent="0.75">
      <c r="A132" s="115">
        <v>130</v>
      </c>
      <c r="B132" s="115">
        <f t="shared" ref="B132:B195" si="4">IF(MOD(A132,3)=0,A132/3-1,INT(A132/3))</f>
        <v>43</v>
      </c>
      <c r="C132" s="115">
        <f t="shared" ref="C132:C195" si="5">IF(MOD(A132,3)=0,3,MOD(A132,3))</f>
        <v>1</v>
      </c>
      <c r="D132" s="113" t="str" cm="1">
        <f t="array" ref="D132">INDEX('Radio-Map-1'!$H$7:$J$96,1+B132,C132)</f>
        <v>* differential.element[41].mapping[0].identity = "fhir"</v>
      </c>
    </row>
    <row r="133" spans="1:4" x14ac:dyDescent="0.75">
      <c r="A133" s="115">
        <v>131</v>
      </c>
      <c r="B133" s="115">
        <f t="shared" si="4"/>
        <v>43</v>
      </c>
      <c r="C133" s="115">
        <f t="shared" si="5"/>
        <v>2</v>
      </c>
      <c r="D133" s="113"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5">
        <v>132</v>
      </c>
      <c r="B134" s="115">
        <f t="shared" si="4"/>
        <v>43</v>
      </c>
      <c r="C134" s="115">
        <f t="shared" si="5"/>
        <v>3</v>
      </c>
      <c r="D134" s="113" t="str" cm="1">
        <f t="array" ref="D134">INDEX('Radio-Map-1'!$H$7:$J$96,1+B134,C134)</f>
        <v/>
      </c>
    </row>
    <row r="135" spans="1:4" x14ac:dyDescent="0.75">
      <c r="A135" s="115">
        <v>133</v>
      </c>
      <c r="B135" s="115">
        <f t="shared" si="4"/>
        <v>44</v>
      </c>
      <c r="C135" s="115">
        <f t="shared" si="5"/>
        <v>1</v>
      </c>
      <c r="D135" s="113" t="str" cm="1">
        <f t="array" ref="D135">INDEX('Radio-Map-1'!$H$7:$J$96,1+B135,C135)</f>
        <v/>
      </c>
    </row>
    <row r="136" spans="1:4" x14ac:dyDescent="0.75">
      <c r="A136" s="115">
        <v>134</v>
      </c>
      <c r="B136" s="115">
        <f t="shared" si="4"/>
        <v>44</v>
      </c>
      <c r="C136" s="115">
        <f t="shared" si="5"/>
        <v>2</v>
      </c>
      <c r="D136" s="113" t="str" cm="1">
        <f t="array" ref="D136">INDEX('Radio-Map-1'!$H$7:$J$96,1+B136,C136)</f>
        <v/>
      </c>
    </row>
    <row r="137" spans="1:4" x14ac:dyDescent="0.75">
      <c r="A137" s="115">
        <v>135</v>
      </c>
      <c r="B137" s="115">
        <f t="shared" si="4"/>
        <v>44</v>
      </c>
      <c r="C137" s="115">
        <f t="shared" si="5"/>
        <v>3</v>
      </c>
      <c r="D137" s="113" t="str" cm="1">
        <f t="array" ref="D137">INDEX('Radio-Map-1'!$H$7:$J$96,1+B137,C137)</f>
        <v/>
      </c>
    </row>
    <row r="138" spans="1:4" x14ac:dyDescent="0.75">
      <c r="A138" s="115">
        <v>136</v>
      </c>
      <c r="B138" s="115">
        <f t="shared" si="4"/>
        <v>45</v>
      </c>
      <c r="C138" s="115">
        <f t="shared" si="5"/>
        <v>1</v>
      </c>
      <c r="D138" s="113" t="str" cm="1">
        <f t="array" ref="D138">INDEX('Radio-Map-1'!$H$7:$J$96,1+B138,C138)</f>
        <v/>
      </c>
    </row>
    <row r="139" spans="1:4" x14ac:dyDescent="0.75">
      <c r="A139" s="115">
        <v>137</v>
      </c>
      <c r="B139" s="115">
        <f t="shared" si="4"/>
        <v>45</v>
      </c>
      <c r="C139" s="115">
        <f t="shared" si="5"/>
        <v>2</v>
      </c>
      <c r="D139" s="113" t="str" cm="1">
        <f t="array" ref="D139">INDEX('Radio-Map-1'!$H$7:$J$96,1+B139,C139)</f>
        <v/>
      </c>
    </row>
    <row r="140" spans="1:4" x14ac:dyDescent="0.75">
      <c r="A140" s="115">
        <v>138</v>
      </c>
      <c r="B140" s="115">
        <f t="shared" si="4"/>
        <v>45</v>
      </c>
      <c r="C140" s="115">
        <f t="shared" si="5"/>
        <v>3</v>
      </c>
      <c r="D140" s="113" t="str" cm="1">
        <f t="array" ref="D140">INDEX('Radio-Map-1'!$H$7:$J$96,1+B140,C140)</f>
        <v/>
      </c>
    </row>
    <row r="141" spans="1:4" x14ac:dyDescent="0.75">
      <c r="A141" s="115">
        <v>139</v>
      </c>
      <c r="B141" s="115">
        <f t="shared" si="4"/>
        <v>46</v>
      </c>
      <c r="C141" s="115">
        <f t="shared" si="5"/>
        <v>1</v>
      </c>
      <c r="D141" s="113" t="str" cm="1">
        <f t="array" ref="D141">INDEX('Radio-Map-1'!$H$7:$J$96,1+B141,C141)</f>
        <v/>
      </c>
    </row>
    <row r="142" spans="1:4" x14ac:dyDescent="0.75">
      <c r="A142" s="115">
        <v>140</v>
      </c>
      <c r="B142" s="115">
        <f t="shared" si="4"/>
        <v>46</v>
      </c>
      <c r="C142" s="115">
        <f t="shared" si="5"/>
        <v>2</v>
      </c>
      <c r="D142" s="113" t="str" cm="1">
        <f t="array" ref="D142">INDEX('Radio-Map-1'!$H$7:$J$96,1+B142,C142)</f>
        <v/>
      </c>
    </row>
    <row r="143" spans="1:4" x14ac:dyDescent="0.75">
      <c r="A143" s="115">
        <v>141</v>
      </c>
      <c r="B143" s="115">
        <f t="shared" si="4"/>
        <v>46</v>
      </c>
      <c r="C143" s="115">
        <f t="shared" si="5"/>
        <v>3</v>
      </c>
      <c r="D143" s="113" t="str" cm="1">
        <f t="array" ref="D143">INDEX('Radio-Map-1'!$H$7:$J$96,1+B143,C143)</f>
        <v/>
      </c>
    </row>
    <row r="144" spans="1:4" x14ac:dyDescent="0.75">
      <c r="A144" s="115">
        <v>142</v>
      </c>
      <c r="B144" s="115">
        <f t="shared" si="4"/>
        <v>47</v>
      </c>
      <c r="C144" s="115">
        <f t="shared" si="5"/>
        <v>1</v>
      </c>
      <c r="D144" s="113" t="str" cm="1">
        <f t="array" ref="D144">INDEX('Radio-Map-1'!$H$7:$J$96,1+B144,C144)</f>
        <v/>
      </c>
    </row>
    <row r="145" spans="1:4" x14ac:dyDescent="0.75">
      <c r="A145" s="115">
        <v>143</v>
      </c>
      <c r="B145" s="115">
        <f t="shared" si="4"/>
        <v>47</v>
      </c>
      <c r="C145" s="115">
        <f t="shared" si="5"/>
        <v>2</v>
      </c>
      <c r="D145" s="113" t="str" cm="1">
        <f t="array" ref="D145">INDEX('Radio-Map-1'!$H$7:$J$96,1+B145,C145)</f>
        <v/>
      </c>
    </row>
    <row r="146" spans="1:4" x14ac:dyDescent="0.75">
      <c r="A146" s="115">
        <v>144</v>
      </c>
      <c r="B146" s="115">
        <f t="shared" si="4"/>
        <v>47</v>
      </c>
      <c r="C146" s="115">
        <f t="shared" si="5"/>
        <v>3</v>
      </c>
      <c r="D146" s="113" t="str" cm="1">
        <f t="array" ref="D146">INDEX('Radio-Map-1'!$H$7:$J$96,1+B146,C146)</f>
        <v/>
      </c>
    </row>
    <row r="147" spans="1:4" x14ac:dyDescent="0.75">
      <c r="A147" s="115">
        <v>145</v>
      </c>
      <c r="B147" s="115">
        <f t="shared" si="4"/>
        <v>48</v>
      </c>
      <c r="C147" s="115">
        <f t="shared" si="5"/>
        <v>1</v>
      </c>
      <c r="D147" s="113" t="str" cm="1">
        <f t="array" ref="D147">INDEX('Radio-Map-1'!$H$7:$J$96,1+B147,C147)</f>
        <v/>
      </c>
    </row>
    <row r="148" spans="1:4" x14ac:dyDescent="0.75">
      <c r="A148" s="115">
        <v>146</v>
      </c>
      <c r="B148" s="115">
        <f t="shared" si="4"/>
        <v>48</v>
      </c>
      <c r="C148" s="115">
        <f t="shared" si="5"/>
        <v>2</v>
      </c>
      <c r="D148" s="113" t="str" cm="1">
        <f t="array" ref="D148">INDEX('Radio-Map-1'!$H$7:$J$96,1+B148,C148)</f>
        <v/>
      </c>
    </row>
    <row r="149" spans="1:4" x14ac:dyDescent="0.75">
      <c r="A149" s="115">
        <v>147</v>
      </c>
      <c r="B149" s="115">
        <f t="shared" si="4"/>
        <v>48</v>
      </c>
      <c r="C149" s="115">
        <f t="shared" si="5"/>
        <v>3</v>
      </c>
      <c r="D149" s="113" t="str" cm="1">
        <f t="array" ref="D149">INDEX('Radio-Map-1'!$H$7:$J$96,1+B149,C149)</f>
        <v/>
      </c>
    </row>
    <row r="150" spans="1:4" x14ac:dyDescent="0.75">
      <c r="A150" s="115">
        <v>148</v>
      </c>
      <c r="B150" s="115">
        <f t="shared" si="4"/>
        <v>49</v>
      </c>
      <c r="C150" s="115">
        <f t="shared" si="5"/>
        <v>1</v>
      </c>
      <c r="D150" s="113" t="str" cm="1">
        <f t="array" ref="D150">INDEX('Radio-Map-1'!$H$7:$J$96,1+B150,C150)</f>
        <v/>
      </c>
    </row>
    <row r="151" spans="1:4" x14ac:dyDescent="0.75">
      <c r="A151" s="115">
        <v>149</v>
      </c>
      <c r="B151" s="115">
        <f t="shared" si="4"/>
        <v>49</v>
      </c>
      <c r="C151" s="115">
        <f t="shared" si="5"/>
        <v>2</v>
      </c>
      <c r="D151" s="113" t="str" cm="1">
        <f t="array" ref="D151">INDEX('Radio-Map-1'!$H$7:$J$96,1+B151,C151)</f>
        <v/>
      </c>
    </row>
    <row r="152" spans="1:4" x14ac:dyDescent="0.75">
      <c r="A152" s="115">
        <v>150</v>
      </c>
      <c r="B152" s="115">
        <f t="shared" si="4"/>
        <v>49</v>
      </c>
      <c r="C152" s="115">
        <f t="shared" si="5"/>
        <v>3</v>
      </c>
      <c r="D152" s="113" t="str" cm="1">
        <f t="array" ref="D152">INDEX('Radio-Map-1'!$H$7:$J$96,1+B152,C152)</f>
        <v/>
      </c>
    </row>
    <row r="153" spans="1:4" x14ac:dyDescent="0.75">
      <c r="A153" s="115">
        <v>151</v>
      </c>
      <c r="B153" s="115">
        <f t="shared" si="4"/>
        <v>50</v>
      </c>
      <c r="C153" s="115">
        <f t="shared" si="5"/>
        <v>1</v>
      </c>
      <c r="D153" s="113" t="str" cm="1">
        <f t="array" ref="D153">INDEX('Radio-Map-1'!$H$7:$J$96,1+B153,C153)</f>
        <v/>
      </c>
    </row>
    <row r="154" spans="1:4" x14ac:dyDescent="0.75">
      <c r="A154" s="115">
        <v>152</v>
      </c>
      <c r="B154" s="115">
        <f t="shared" si="4"/>
        <v>50</v>
      </c>
      <c r="C154" s="115">
        <f t="shared" si="5"/>
        <v>2</v>
      </c>
      <c r="D154" s="113" t="str" cm="1">
        <f t="array" ref="D154">INDEX('Radio-Map-1'!$H$7:$J$96,1+B154,C154)</f>
        <v/>
      </c>
    </row>
    <row r="155" spans="1:4" x14ac:dyDescent="0.75">
      <c r="A155" s="115">
        <v>153</v>
      </c>
      <c r="B155" s="115">
        <f t="shared" si="4"/>
        <v>50</v>
      </c>
      <c r="C155" s="115">
        <f t="shared" si="5"/>
        <v>3</v>
      </c>
      <c r="D155" s="113" t="str" cm="1">
        <f t="array" ref="D155">INDEX('Radio-Map-1'!$H$7:$J$96,1+B155,C155)</f>
        <v/>
      </c>
    </row>
    <row r="156" spans="1:4" x14ac:dyDescent="0.75">
      <c r="A156" s="115">
        <v>154</v>
      </c>
      <c r="B156" s="115">
        <f t="shared" si="4"/>
        <v>51</v>
      </c>
      <c r="C156" s="115">
        <f t="shared" si="5"/>
        <v>1</v>
      </c>
      <c r="D156" s="113" t="str" cm="1">
        <f t="array" ref="D156">INDEX('Radio-Map-1'!$H$7:$J$96,1+B156,C156)</f>
        <v/>
      </c>
    </row>
    <row r="157" spans="1:4" x14ac:dyDescent="0.75">
      <c r="A157" s="115">
        <v>155</v>
      </c>
      <c r="B157" s="115">
        <f t="shared" si="4"/>
        <v>51</v>
      </c>
      <c r="C157" s="115">
        <f t="shared" si="5"/>
        <v>2</v>
      </c>
      <c r="D157" s="113" t="str" cm="1">
        <f t="array" ref="D157">INDEX('Radio-Map-1'!$H$7:$J$96,1+B157,C157)</f>
        <v/>
      </c>
    </row>
    <row r="158" spans="1:4" x14ac:dyDescent="0.75">
      <c r="A158" s="115">
        <v>156</v>
      </c>
      <c r="B158" s="115">
        <f t="shared" si="4"/>
        <v>51</v>
      </c>
      <c r="C158" s="115">
        <f t="shared" si="5"/>
        <v>3</v>
      </c>
      <c r="D158" s="113" t="str" cm="1">
        <f t="array" ref="D158">INDEX('Radio-Map-1'!$H$7:$J$96,1+B158,C158)</f>
        <v/>
      </c>
    </row>
    <row r="159" spans="1:4" x14ac:dyDescent="0.75">
      <c r="A159" s="115">
        <v>157</v>
      </c>
      <c r="B159" s="115">
        <f t="shared" si="4"/>
        <v>52</v>
      </c>
      <c r="C159" s="115">
        <f t="shared" si="5"/>
        <v>1</v>
      </c>
      <c r="D159" s="113" t="str" cm="1">
        <f t="array" ref="D159">INDEX('Radio-Map-1'!$H$7:$J$96,1+B159,C159)</f>
        <v/>
      </c>
    </row>
    <row r="160" spans="1:4" x14ac:dyDescent="0.75">
      <c r="A160" s="115">
        <v>158</v>
      </c>
      <c r="B160" s="115">
        <f t="shared" si="4"/>
        <v>52</v>
      </c>
      <c r="C160" s="115">
        <f t="shared" si="5"/>
        <v>2</v>
      </c>
      <c r="D160" s="113" t="str" cm="1">
        <f t="array" ref="D160">INDEX('Radio-Map-1'!$H$7:$J$96,1+B160,C160)</f>
        <v/>
      </c>
    </row>
    <row r="161" spans="1:4" x14ac:dyDescent="0.75">
      <c r="A161" s="115">
        <v>159</v>
      </c>
      <c r="B161" s="115">
        <f t="shared" si="4"/>
        <v>52</v>
      </c>
      <c r="C161" s="115">
        <f t="shared" si="5"/>
        <v>3</v>
      </c>
      <c r="D161" s="113" t="str" cm="1">
        <f t="array" ref="D161">INDEX('Radio-Map-1'!$H$7:$J$96,1+B161,C161)</f>
        <v/>
      </c>
    </row>
    <row r="162" spans="1:4" x14ac:dyDescent="0.75">
      <c r="A162" s="115">
        <v>160</v>
      </c>
      <c r="B162" s="115">
        <f t="shared" si="4"/>
        <v>53</v>
      </c>
      <c r="C162" s="115">
        <f t="shared" si="5"/>
        <v>1</v>
      </c>
      <c r="D162" s="113" t="str" cm="1">
        <f t="array" ref="D162">INDEX('Radio-Map-1'!$H$7:$J$96,1+B162,C162)</f>
        <v/>
      </c>
    </row>
    <row r="163" spans="1:4" x14ac:dyDescent="0.75">
      <c r="A163" s="115">
        <v>161</v>
      </c>
      <c r="B163" s="115">
        <f t="shared" si="4"/>
        <v>53</v>
      </c>
      <c r="C163" s="115">
        <f t="shared" si="5"/>
        <v>2</v>
      </c>
      <c r="D163" s="113" t="str" cm="1">
        <f t="array" ref="D163">INDEX('Radio-Map-1'!$H$7:$J$96,1+B163,C163)</f>
        <v/>
      </c>
    </row>
    <row r="164" spans="1:4" x14ac:dyDescent="0.75">
      <c r="A164" s="115">
        <v>162</v>
      </c>
      <c r="B164" s="115">
        <f t="shared" si="4"/>
        <v>53</v>
      </c>
      <c r="C164" s="115">
        <f t="shared" si="5"/>
        <v>3</v>
      </c>
      <c r="D164" s="113" t="str" cm="1">
        <f t="array" ref="D164">INDEX('Radio-Map-1'!$H$7:$J$96,1+B164,C164)</f>
        <v/>
      </c>
    </row>
    <row r="165" spans="1:4" x14ac:dyDescent="0.75">
      <c r="A165" s="115">
        <v>163</v>
      </c>
      <c r="B165" s="115">
        <f t="shared" si="4"/>
        <v>54</v>
      </c>
      <c r="C165" s="115">
        <f t="shared" si="5"/>
        <v>1</v>
      </c>
      <c r="D165" s="113" t="str" cm="1">
        <f t="array" ref="D165">INDEX('Radio-Map-1'!$H$7:$J$96,1+B165,C165)</f>
        <v/>
      </c>
    </row>
    <row r="166" spans="1:4" x14ac:dyDescent="0.75">
      <c r="A166" s="115">
        <v>164</v>
      </c>
      <c r="B166" s="115">
        <f t="shared" si="4"/>
        <v>54</v>
      </c>
      <c r="C166" s="115">
        <f t="shared" si="5"/>
        <v>2</v>
      </c>
      <c r="D166" s="113" t="str" cm="1">
        <f t="array" ref="D166">INDEX('Radio-Map-1'!$H$7:$J$96,1+B166,C166)</f>
        <v/>
      </c>
    </row>
    <row r="167" spans="1:4" x14ac:dyDescent="0.75">
      <c r="A167" s="115">
        <v>165</v>
      </c>
      <c r="B167" s="115">
        <f t="shared" si="4"/>
        <v>54</v>
      </c>
      <c r="C167" s="115">
        <f t="shared" si="5"/>
        <v>3</v>
      </c>
      <c r="D167" s="113" t="str" cm="1">
        <f t="array" ref="D167">INDEX('Radio-Map-1'!$H$7:$J$96,1+B167,C167)</f>
        <v/>
      </c>
    </row>
    <row r="168" spans="1:4" x14ac:dyDescent="0.75">
      <c r="A168" s="115">
        <v>166</v>
      </c>
      <c r="B168" s="115">
        <f t="shared" si="4"/>
        <v>55</v>
      </c>
      <c r="C168" s="115">
        <f t="shared" si="5"/>
        <v>1</v>
      </c>
      <c r="D168" s="113" t="str" cm="1">
        <f t="array" ref="D168">INDEX('Radio-Map-1'!$H$7:$J$96,1+B168,C168)</f>
        <v/>
      </c>
    </row>
    <row r="169" spans="1:4" x14ac:dyDescent="0.75">
      <c r="A169" s="115">
        <v>167</v>
      </c>
      <c r="B169" s="115">
        <f t="shared" si="4"/>
        <v>55</v>
      </c>
      <c r="C169" s="115">
        <f t="shared" si="5"/>
        <v>2</v>
      </c>
      <c r="D169" s="113" t="str" cm="1">
        <f t="array" ref="D169">INDEX('Radio-Map-1'!$H$7:$J$96,1+B169,C169)</f>
        <v/>
      </c>
    </row>
    <row r="170" spans="1:4" x14ac:dyDescent="0.75">
      <c r="A170" s="115">
        <v>168</v>
      </c>
      <c r="B170" s="115">
        <f t="shared" si="4"/>
        <v>55</v>
      </c>
      <c r="C170" s="115">
        <f t="shared" si="5"/>
        <v>3</v>
      </c>
      <c r="D170" s="113" cm="1">
        <f t="array" ref="D170">INDEX('Radio-Map-1'!$H$7:$J$96,1+B170,C170)</f>
        <v>0</v>
      </c>
    </row>
    <row r="171" spans="1:4" x14ac:dyDescent="0.75">
      <c r="A171" s="115">
        <v>169</v>
      </c>
      <c r="B171" s="115">
        <f t="shared" si="4"/>
        <v>56</v>
      </c>
      <c r="C171" s="115">
        <f t="shared" si="5"/>
        <v>1</v>
      </c>
      <c r="D171" s="113" t="str" cm="1">
        <f t="array" ref="D171">INDEX('Radio-Map-1'!$H$7:$J$96,1+B171,C171)</f>
        <v/>
      </c>
    </row>
    <row r="172" spans="1:4" x14ac:dyDescent="0.75">
      <c r="A172" s="115">
        <v>170</v>
      </c>
      <c r="B172" s="115">
        <f t="shared" si="4"/>
        <v>56</v>
      </c>
      <c r="C172" s="115">
        <f t="shared" si="5"/>
        <v>2</v>
      </c>
      <c r="D172" s="113" t="str" cm="1">
        <f t="array" ref="D172">INDEX('Radio-Map-1'!$H$7:$J$96,1+B172,C172)</f>
        <v/>
      </c>
    </row>
    <row r="173" spans="1:4" x14ac:dyDescent="0.75">
      <c r="A173" s="115">
        <v>171</v>
      </c>
      <c r="B173" s="115">
        <f t="shared" si="4"/>
        <v>56</v>
      </c>
      <c r="C173" s="115">
        <f t="shared" si="5"/>
        <v>3</v>
      </c>
      <c r="D173" s="113" cm="1">
        <f t="array" ref="D173">INDEX('Radio-Map-1'!$H$7:$J$96,1+B173,C173)</f>
        <v>0</v>
      </c>
    </row>
    <row r="174" spans="1:4" x14ac:dyDescent="0.75">
      <c r="A174" s="115">
        <v>172</v>
      </c>
      <c r="B174" s="115">
        <f t="shared" si="4"/>
        <v>57</v>
      </c>
      <c r="C174" s="115">
        <f t="shared" si="5"/>
        <v>1</v>
      </c>
      <c r="D174" s="113" t="str" cm="1">
        <f t="array" ref="D174">INDEX('Radio-Map-1'!$H$7:$J$96,1+B174,C174)</f>
        <v/>
      </c>
    </row>
    <row r="175" spans="1:4" x14ac:dyDescent="0.75">
      <c r="A175" s="115">
        <v>173</v>
      </c>
      <c r="B175" s="115">
        <f t="shared" si="4"/>
        <v>57</v>
      </c>
      <c r="C175" s="115">
        <f t="shared" si="5"/>
        <v>2</v>
      </c>
      <c r="D175" s="113" t="str" cm="1">
        <f t="array" ref="D175">INDEX('Radio-Map-1'!$H$7:$J$96,1+B175,C175)</f>
        <v/>
      </c>
    </row>
    <row r="176" spans="1:4" x14ac:dyDescent="0.75">
      <c r="A176" s="115">
        <v>174</v>
      </c>
      <c r="B176" s="115">
        <f t="shared" si="4"/>
        <v>57</v>
      </c>
      <c r="C176" s="115">
        <f t="shared" si="5"/>
        <v>3</v>
      </c>
      <c r="D176" s="113" cm="1">
        <f t="array" ref="D176">INDEX('Radio-Map-1'!$H$7:$J$96,1+B176,C176)</f>
        <v>0</v>
      </c>
    </row>
    <row r="177" spans="1:4" x14ac:dyDescent="0.75">
      <c r="A177" s="115">
        <v>175</v>
      </c>
      <c r="B177" s="115">
        <f t="shared" si="4"/>
        <v>58</v>
      </c>
      <c r="C177" s="115">
        <f t="shared" si="5"/>
        <v>1</v>
      </c>
      <c r="D177" s="113" t="str" cm="1">
        <f t="array" ref="D177">INDEX('Radio-Map-1'!$H$7:$J$96,1+B177,C177)</f>
        <v/>
      </c>
    </row>
    <row r="178" spans="1:4" x14ac:dyDescent="0.75">
      <c r="A178" s="115">
        <v>176</v>
      </c>
      <c r="B178" s="115">
        <f t="shared" si="4"/>
        <v>58</v>
      </c>
      <c r="C178" s="115">
        <f t="shared" si="5"/>
        <v>2</v>
      </c>
      <c r="D178" s="113" t="str" cm="1">
        <f t="array" ref="D178">INDEX('Radio-Map-1'!$H$7:$J$96,1+B178,C178)</f>
        <v/>
      </c>
    </row>
    <row r="179" spans="1:4" x14ac:dyDescent="0.75">
      <c r="A179" s="115">
        <v>177</v>
      </c>
      <c r="B179" s="115">
        <f t="shared" si="4"/>
        <v>58</v>
      </c>
      <c r="C179" s="115">
        <f t="shared" si="5"/>
        <v>3</v>
      </c>
      <c r="D179" s="113" cm="1">
        <f t="array" ref="D179">INDEX('Radio-Map-1'!$H$7:$J$96,1+B179,C179)</f>
        <v>0</v>
      </c>
    </row>
    <row r="180" spans="1:4" x14ac:dyDescent="0.75">
      <c r="A180" s="115">
        <v>178</v>
      </c>
      <c r="B180" s="115">
        <f t="shared" si="4"/>
        <v>59</v>
      </c>
      <c r="C180" s="115">
        <f t="shared" si="5"/>
        <v>1</v>
      </c>
      <c r="D180" s="113" t="str" cm="1">
        <f t="array" ref="D180">INDEX('Radio-Map-1'!$H$7:$J$96,1+B180,C180)</f>
        <v/>
      </c>
    </row>
    <row r="181" spans="1:4" x14ac:dyDescent="0.75">
      <c r="A181" s="115">
        <v>179</v>
      </c>
      <c r="B181" s="115">
        <f t="shared" si="4"/>
        <v>59</v>
      </c>
      <c r="C181" s="115">
        <f t="shared" si="5"/>
        <v>2</v>
      </c>
      <c r="D181" s="113" t="str" cm="1">
        <f t="array" ref="D181">INDEX('Radio-Map-1'!$H$7:$J$96,1+B181,C181)</f>
        <v/>
      </c>
    </row>
    <row r="182" spans="1:4" x14ac:dyDescent="0.75">
      <c r="A182" s="115">
        <v>180</v>
      </c>
      <c r="B182" s="115">
        <f t="shared" si="4"/>
        <v>59</v>
      </c>
      <c r="C182" s="115">
        <f t="shared" si="5"/>
        <v>3</v>
      </c>
      <c r="D182" s="113" cm="1">
        <f t="array" ref="D182">INDEX('Radio-Map-1'!$H$7:$J$96,1+B182,C182)</f>
        <v>0</v>
      </c>
    </row>
    <row r="183" spans="1:4" x14ac:dyDescent="0.75">
      <c r="A183" s="115">
        <v>181</v>
      </c>
      <c r="B183" s="115">
        <f t="shared" si="4"/>
        <v>60</v>
      </c>
      <c r="C183" s="115">
        <f t="shared" si="5"/>
        <v>1</v>
      </c>
      <c r="D183" s="113" t="str" cm="1">
        <f t="array" ref="D183">INDEX('Radio-Map-1'!$H$7:$J$96,1+B183,C183)</f>
        <v/>
      </c>
    </row>
    <row r="184" spans="1:4" x14ac:dyDescent="0.75">
      <c r="A184" s="115">
        <v>182</v>
      </c>
      <c r="B184" s="115">
        <f t="shared" si="4"/>
        <v>60</v>
      </c>
      <c r="C184" s="115">
        <f t="shared" si="5"/>
        <v>2</v>
      </c>
      <c r="D184" s="113" t="str" cm="1">
        <f t="array" ref="D184">INDEX('Radio-Map-1'!$H$7:$J$96,1+B184,C184)</f>
        <v/>
      </c>
    </row>
    <row r="185" spans="1:4" x14ac:dyDescent="0.75">
      <c r="A185" s="115">
        <v>183</v>
      </c>
      <c r="B185" s="115">
        <f t="shared" si="4"/>
        <v>60</v>
      </c>
      <c r="C185" s="115">
        <f t="shared" si="5"/>
        <v>3</v>
      </c>
      <c r="D185" s="113" cm="1">
        <f t="array" ref="D185">INDEX('Radio-Map-1'!$H$7:$J$96,1+B185,C185)</f>
        <v>0</v>
      </c>
    </row>
    <row r="186" spans="1:4" x14ac:dyDescent="0.75">
      <c r="A186" s="115">
        <v>184</v>
      </c>
      <c r="B186" s="115">
        <f t="shared" si="4"/>
        <v>61</v>
      </c>
      <c r="C186" s="115">
        <f t="shared" si="5"/>
        <v>1</v>
      </c>
      <c r="D186" s="113" t="str" cm="1">
        <f t="array" ref="D186">INDEX('Radio-Map-1'!$H$7:$J$96,1+B186,C186)</f>
        <v/>
      </c>
    </row>
    <row r="187" spans="1:4" x14ac:dyDescent="0.75">
      <c r="A187" s="115">
        <v>185</v>
      </c>
      <c r="B187" s="115">
        <f t="shared" si="4"/>
        <v>61</v>
      </c>
      <c r="C187" s="115">
        <f t="shared" si="5"/>
        <v>2</v>
      </c>
      <c r="D187" s="113" t="str" cm="1">
        <f t="array" ref="D187">INDEX('Radio-Map-1'!$H$7:$J$96,1+B187,C187)</f>
        <v/>
      </c>
    </row>
    <row r="188" spans="1:4" x14ac:dyDescent="0.75">
      <c r="A188" s="115">
        <v>186</v>
      </c>
      <c r="B188" s="115">
        <f t="shared" si="4"/>
        <v>61</v>
      </c>
      <c r="C188" s="115">
        <f t="shared" si="5"/>
        <v>3</v>
      </c>
      <c r="D188" s="113" cm="1">
        <f t="array" ref="D188">INDEX('Radio-Map-1'!$H$7:$J$96,1+B188,C188)</f>
        <v>0</v>
      </c>
    </row>
    <row r="189" spans="1:4" x14ac:dyDescent="0.75">
      <c r="A189" s="115">
        <v>187</v>
      </c>
      <c r="B189" s="115">
        <f t="shared" si="4"/>
        <v>62</v>
      </c>
      <c r="C189" s="115">
        <f t="shared" si="5"/>
        <v>1</v>
      </c>
      <c r="D189" s="113" t="str" cm="1">
        <f t="array" ref="D189">INDEX('Radio-Map-1'!$H$7:$J$96,1+B189,C189)</f>
        <v/>
      </c>
    </row>
    <row r="190" spans="1:4" x14ac:dyDescent="0.75">
      <c r="A190" s="115">
        <v>188</v>
      </c>
      <c r="B190" s="115">
        <f t="shared" si="4"/>
        <v>62</v>
      </c>
      <c r="C190" s="115">
        <f t="shared" si="5"/>
        <v>2</v>
      </c>
      <c r="D190" s="113" t="str" cm="1">
        <f t="array" ref="D190">INDEX('Radio-Map-1'!$H$7:$J$96,1+B190,C190)</f>
        <v/>
      </c>
    </row>
    <row r="191" spans="1:4" x14ac:dyDescent="0.75">
      <c r="A191" s="115">
        <v>189</v>
      </c>
      <c r="B191" s="115">
        <f t="shared" si="4"/>
        <v>62</v>
      </c>
      <c r="C191" s="115">
        <f t="shared" si="5"/>
        <v>3</v>
      </c>
      <c r="D191" s="113" cm="1">
        <f t="array" ref="D191">INDEX('Radio-Map-1'!$H$7:$J$96,1+B191,C191)</f>
        <v>0</v>
      </c>
    </row>
    <row r="192" spans="1:4" x14ac:dyDescent="0.75">
      <c r="A192" s="115">
        <v>190</v>
      </c>
      <c r="B192" s="115">
        <f t="shared" si="4"/>
        <v>63</v>
      </c>
      <c r="C192" s="115">
        <f t="shared" si="5"/>
        <v>1</v>
      </c>
      <c r="D192" s="113" cm="1">
        <f t="array" ref="D192">INDEX('Radio-Map-1'!$H$7:$J$96,1+B192,C192)</f>
        <v>0</v>
      </c>
    </row>
    <row r="193" spans="1:4" x14ac:dyDescent="0.75">
      <c r="A193" s="115">
        <v>191</v>
      </c>
      <c r="B193" s="115">
        <f t="shared" si="4"/>
        <v>63</v>
      </c>
      <c r="C193" s="115">
        <f t="shared" si="5"/>
        <v>2</v>
      </c>
      <c r="D193" s="113" cm="1">
        <f t="array" ref="D193">INDEX('Radio-Map-1'!$H$7:$J$96,1+B193,C193)</f>
        <v>0</v>
      </c>
    </row>
    <row r="194" spans="1:4" x14ac:dyDescent="0.75">
      <c r="A194" s="115">
        <v>192</v>
      </c>
      <c r="B194" s="115">
        <f t="shared" si="4"/>
        <v>63</v>
      </c>
      <c r="C194" s="115">
        <f t="shared" si="5"/>
        <v>3</v>
      </c>
      <c r="D194" s="113" cm="1">
        <f t="array" ref="D194">INDEX('Radio-Map-1'!$H$7:$J$96,1+B194,C194)</f>
        <v>0</v>
      </c>
    </row>
    <row r="195" spans="1:4" x14ac:dyDescent="0.75">
      <c r="A195" s="115">
        <v>193</v>
      </c>
      <c r="B195" s="115">
        <f t="shared" si="4"/>
        <v>64</v>
      </c>
      <c r="C195" s="115">
        <f t="shared" si="5"/>
        <v>1</v>
      </c>
      <c r="D195" s="113" cm="1">
        <f t="array" ref="D195">INDEX('Radio-Map-1'!$H$7:$J$96,1+B195,C195)</f>
        <v>0</v>
      </c>
    </row>
    <row r="196" spans="1:4" x14ac:dyDescent="0.75">
      <c r="A196" s="115">
        <v>194</v>
      </c>
      <c r="B196" s="115">
        <f t="shared" ref="B196:B259" si="6">IF(MOD(A196,3)=0,A196/3-1,INT(A196/3))</f>
        <v>64</v>
      </c>
      <c r="C196" s="115">
        <f t="shared" ref="C196:C259" si="7">IF(MOD(A196,3)=0,3,MOD(A196,3))</f>
        <v>2</v>
      </c>
      <c r="D196" s="113" cm="1">
        <f t="array" ref="D196">INDEX('Radio-Map-1'!$H$7:$J$96,1+B196,C196)</f>
        <v>0</v>
      </c>
    </row>
    <row r="197" spans="1:4" x14ac:dyDescent="0.75">
      <c r="A197" s="115">
        <v>195</v>
      </c>
      <c r="B197" s="115">
        <f t="shared" si="6"/>
        <v>64</v>
      </c>
      <c r="C197" s="115">
        <f t="shared" si="7"/>
        <v>3</v>
      </c>
      <c r="D197" s="113" cm="1">
        <f t="array" ref="D197">INDEX('Radio-Map-1'!$H$7:$J$96,1+B197,C197)</f>
        <v>0</v>
      </c>
    </row>
    <row r="198" spans="1:4" x14ac:dyDescent="0.75">
      <c r="A198" s="115">
        <v>196</v>
      </c>
      <c r="B198" s="115">
        <f t="shared" si="6"/>
        <v>65</v>
      </c>
      <c r="C198" s="115">
        <f t="shared" si="7"/>
        <v>1</v>
      </c>
      <c r="D198" s="113" cm="1">
        <f t="array" ref="D198">INDEX('Radio-Map-1'!$H$7:$J$96,1+B198,C198)</f>
        <v>0</v>
      </c>
    </row>
    <row r="199" spans="1:4" x14ac:dyDescent="0.75">
      <c r="A199" s="115">
        <v>197</v>
      </c>
      <c r="B199" s="115">
        <f t="shared" si="6"/>
        <v>65</v>
      </c>
      <c r="C199" s="115">
        <f t="shared" si="7"/>
        <v>2</v>
      </c>
      <c r="D199" s="113" cm="1">
        <f t="array" ref="D199">INDEX('Radio-Map-1'!$H$7:$J$96,1+B199,C199)</f>
        <v>0</v>
      </c>
    </row>
    <row r="200" spans="1:4" x14ac:dyDescent="0.75">
      <c r="A200" s="115">
        <v>198</v>
      </c>
      <c r="B200" s="115">
        <f t="shared" si="6"/>
        <v>65</v>
      </c>
      <c r="C200" s="115">
        <f t="shared" si="7"/>
        <v>3</v>
      </c>
      <c r="D200" s="113" cm="1">
        <f t="array" ref="D200">INDEX('Radio-Map-1'!$H$7:$J$96,1+B200,C200)</f>
        <v>0</v>
      </c>
    </row>
    <row r="201" spans="1:4" x14ac:dyDescent="0.75">
      <c r="A201" s="115">
        <v>199</v>
      </c>
      <c r="B201" s="115">
        <f t="shared" si="6"/>
        <v>66</v>
      </c>
      <c r="C201" s="115">
        <f t="shared" si="7"/>
        <v>1</v>
      </c>
      <c r="D201" s="113" cm="1">
        <f t="array" ref="D201">INDEX('Radio-Map-1'!$H$7:$J$96,1+B201,C201)</f>
        <v>0</v>
      </c>
    </row>
    <row r="202" spans="1:4" x14ac:dyDescent="0.75">
      <c r="A202" s="115">
        <v>200</v>
      </c>
      <c r="B202" s="115">
        <f t="shared" si="6"/>
        <v>66</v>
      </c>
      <c r="C202" s="115">
        <f t="shared" si="7"/>
        <v>2</v>
      </c>
      <c r="D202" s="113" cm="1">
        <f t="array" ref="D202">INDEX('Radio-Map-1'!$H$7:$J$96,1+B202,C202)</f>
        <v>0</v>
      </c>
    </row>
    <row r="203" spans="1:4" x14ac:dyDescent="0.75">
      <c r="A203" s="115">
        <v>201</v>
      </c>
      <c r="B203" s="115">
        <f t="shared" si="6"/>
        <v>66</v>
      </c>
      <c r="C203" s="115">
        <f t="shared" si="7"/>
        <v>3</v>
      </c>
      <c r="D203" s="113" cm="1">
        <f t="array" ref="D203">INDEX('Radio-Map-1'!$H$7:$J$96,1+B203,C203)</f>
        <v>0</v>
      </c>
    </row>
    <row r="204" spans="1:4" x14ac:dyDescent="0.75">
      <c r="A204" s="115">
        <v>202</v>
      </c>
      <c r="B204" s="115">
        <f t="shared" si="6"/>
        <v>67</v>
      </c>
      <c r="C204" s="115">
        <f t="shared" si="7"/>
        <v>1</v>
      </c>
      <c r="D204" s="113" cm="1">
        <f t="array" ref="D204">INDEX('Radio-Map-1'!$H$7:$J$96,1+B204,C204)</f>
        <v>0</v>
      </c>
    </row>
    <row r="205" spans="1:4" x14ac:dyDescent="0.75">
      <c r="A205" s="115">
        <v>203</v>
      </c>
      <c r="B205" s="115">
        <f t="shared" si="6"/>
        <v>67</v>
      </c>
      <c r="C205" s="115">
        <f t="shared" si="7"/>
        <v>2</v>
      </c>
      <c r="D205" s="113" cm="1">
        <f t="array" ref="D205">INDEX('Radio-Map-1'!$H$7:$J$96,1+B205,C205)</f>
        <v>0</v>
      </c>
    </row>
    <row r="206" spans="1:4" x14ac:dyDescent="0.75">
      <c r="A206" s="115">
        <v>204</v>
      </c>
      <c r="B206" s="115">
        <f t="shared" si="6"/>
        <v>67</v>
      </c>
      <c r="C206" s="115">
        <f t="shared" si="7"/>
        <v>3</v>
      </c>
      <c r="D206" s="113" cm="1">
        <f t="array" ref="D206">INDEX('Radio-Map-1'!$H$7:$J$96,1+B206,C206)</f>
        <v>0</v>
      </c>
    </row>
    <row r="207" spans="1:4" x14ac:dyDescent="0.75">
      <c r="A207" s="115">
        <v>205</v>
      </c>
      <c r="B207" s="115">
        <f t="shared" si="6"/>
        <v>68</v>
      </c>
      <c r="C207" s="115">
        <f t="shared" si="7"/>
        <v>1</v>
      </c>
      <c r="D207" s="113" cm="1">
        <f t="array" ref="D207">INDEX('Radio-Map-1'!$H$7:$J$96,1+B207,C207)</f>
        <v>0</v>
      </c>
    </row>
    <row r="208" spans="1:4" x14ac:dyDescent="0.75">
      <c r="A208" s="115">
        <v>206</v>
      </c>
      <c r="B208" s="115">
        <f t="shared" si="6"/>
        <v>68</v>
      </c>
      <c r="C208" s="115">
        <f t="shared" si="7"/>
        <v>2</v>
      </c>
      <c r="D208" s="113" cm="1">
        <f t="array" ref="D208">INDEX('Radio-Map-1'!$H$7:$J$96,1+B208,C208)</f>
        <v>0</v>
      </c>
    </row>
    <row r="209" spans="1:4" x14ac:dyDescent="0.75">
      <c r="A209" s="115">
        <v>207</v>
      </c>
      <c r="B209" s="115">
        <f t="shared" si="6"/>
        <v>68</v>
      </c>
      <c r="C209" s="115">
        <f t="shared" si="7"/>
        <v>3</v>
      </c>
      <c r="D209" s="113" cm="1">
        <f t="array" ref="D209">INDEX('Radio-Map-1'!$H$7:$J$96,1+B209,C209)</f>
        <v>0</v>
      </c>
    </row>
    <row r="210" spans="1:4" x14ac:dyDescent="0.75">
      <c r="A210" s="115">
        <v>208</v>
      </c>
      <c r="B210" s="115">
        <f t="shared" si="6"/>
        <v>69</v>
      </c>
      <c r="C210" s="115">
        <f t="shared" si="7"/>
        <v>1</v>
      </c>
      <c r="D210" s="113" cm="1">
        <f t="array" ref="D210">INDEX('Radio-Map-1'!$H$7:$J$96,1+B210,C210)</f>
        <v>0</v>
      </c>
    </row>
    <row r="211" spans="1:4" x14ac:dyDescent="0.75">
      <c r="A211" s="115">
        <v>209</v>
      </c>
      <c r="B211" s="115">
        <f t="shared" si="6"/>
        <v>69</v>
      </c>
      <c r="C211" s="115">
        <f t="shared" si="7"/>
        <v>2</v>
      </c>
      <c r="D211" s="113" cm="1">
        <f t="array" ref="D211">INDEX('Radio-Map-1'!$H$7:$J$96,1+B211,C211)</f>
        <v>0</v>
      </c>
    </row>
    <row r="212" spans="1:4" x14ac:dyDescent="0.75">
      <c r="A212" s="115">
        <v>210</v>
      </c>
      <c r="B212" s="115">
        <f t="shared" si="6"/>
        <v>69</v>
      </c>
      <c r="C212" s="115">
        <f t="shared" si="7"/>
        <v>3</v>
      </c>
      <c r="D212" s="113" cm="1">
        <f t="array" ref="D212">INDEX('Radio-Map-1'!$H$7:$J$96,1+B212,C212)</f>
        <v>0</v>
      </c>
    </row>
    <row r="213" spans="1:4" x14ac:dyDescent="0.75">
      <c r="A213" s="115">
        <v>211</v>
      </c>
      <c r="B213" s="115">
        <f t="shared" si="6"/>
        <v>70</v>
      </c>
      <c r="C213" s="115">
        <f t="shared" si="7"/>
        <v>1</v>
      </c>
      <c r="D213" s="113" cm="1">
        <f t="array" ref="D213">INDEX('Radio-Map-1'!$H$7:$J$96,1+B213,C213)</f>
        <v>0</v>
      </c>
    </row>
    <row r="214" spans="1:4" x14ac:dyDescent="0.75">
      <c r="A214" s="115">
        <v>212</v>
      </c>
      <c r="B214" s="115">
        <f t="shared" si="6"/>
        <v>70</v>
      </c>
      <c r="C214" s="115">
        <f t="shared" si="7"/>
        <v>2</v>
      </c>
      <c r="D214" s="113" cm="1">
        <f t="array" ref="D214">INDEX('Radio-Map-1'!$H$7:$J$96,1+B214,C214)</f>
        <v>0</v>
      </c>
    </row>
    <row r="215" spans="1:4" x14ac:dyDescent="0.75">
      <c r="A215" s="115">
        <v>213</v>
      </c>
      <c r="B215" s="115">
        <f t="shared" si="6"/>
        <v>70</v>
      </c>
      <c r="C215" s="115">
        <f t="shared" si="7"/>
        <v>3</v>
      </c>
      <c r="D215" s="113" cm="1">
        <f t="array" ref="D215">INDEX('Radio-Map-1'!$H$7:$J$96,1+B215,C215)</f>
        <v>0</v>
      </c>
    </row>
    <row r="216" spans="1:4" x14ac:dyDescent="0.75">
      <c r="A216" s="115">
        <v>214</v>
      </c>
      <c r="B216" s="115">
        <f t="shared" si="6"/>
        <v>71</v>
      </c>
      <c r="C216" s="115">
        <f t="shared" si="7"/>
        <v>1</v>
      </c>
      <c r="D216" s="113" cm="1">
        <f t="array" ref="D216">INDEX('Radio-Map-1'!$H$7:$J$96,1+B216,C216)</f>
        <v>0</v>
      </c>
    </row>
    <row r="217" spans="1:4" x14ac:dyDescent="0.75">
      <c r="A217" s="115">
        <v>215</v>
      </c>
      <c r="B217" s="115">
        <f t="shared" si="6"/>
        <v>71</v>
      </c>
      <c r="C217" s="115">
        <f t="shared" si="7"/>
        <v>2</v>
      </c>
      <c r="D217" s="113" cm="1">
        <f t="array" ref="D217">INDEX('Radio-Map-1'!$H$7:$J$96,1+B217,C217)</f>
        <v>0</v>
      </c>
    </row>
    <row r="218" spans="1:4" x14ac:dyDescent="0.75">
      <c r="A218" s="115">
        <v>216</v>
      </c>
      <c r="B218" s="115">
        <f t="shared" si="6"/>
        <v>71</v>
      </c>
      <c r="C218" s="115">
        <f t="shared" si="7"/>
        <v>3</v>
      </c>
      <c r="D218" s="113" cm="1">
        <f t="array" ref="D218">INDEX('Radio-Map-1'!$H$7:$J$96,1+B218,C218)</f>
        <v>0</v>
      </c>
    </row>
    <row r="219" spans="1:4" x14ac:dyDescent="0.75">
      <c r="A219" s="115">
        <v>217</v>
      </c>
      <c r="B219" s="115">
        <f t="shared" si="6"/>
        <v>72</v>
      </c>
      <c r="C219" s="115">
        <f t="shared" si="7"/>
        <v>1</v>
      </c>
      <c r="D219" s="113" cm="1">
        <f t="array" ref="D219">INDEX('Radio-Map-1'!$H$7:$J$96,1+B219,C219)</f>
        <v>0</v>
      </c>
    </row>
    <row r="220" spans="1:4" x14ac:dyDescent="0.75">
      <c r="A220" s="115">
        <v>218</v>
      </c>
      <c r="B220" s="115">
        <f t="shared" si="6"/>
        <v>72</v>
      </c>
      <c r="C220" s="115">
        <f t="shared" si="7"/>
        <v>2</v>
      </c>
      <c r="D220" s="113" cm="1">
        <f t="array" ref="D220">INDEX('Radio-Map-1'!$H$7:$J$96,1+B220,C220)</f>
        <v>0</v>
      </c>
    </row>
    <row r="221" spans="1:4" x14ac:dyDescent="0.75">
      <c r="A221" s="115">
        <v>219</v>
      </c>
      <c r="B221" s="115">
        <f t="shared" si="6"/>
        <v>72</v>
      </c>
      <c r="C221" s="115">
        <f t="shared" si="7"/>
        <v>3</v>
      </c>
      <c r="D221" s="113" cm="1">
        <f t="array" ref="D221">INDEX('Radio-Map-1'!$H$7:$J$96,1+B221,C221)</f>
        <v>0</v>
      </c>
    </row>
    <row r="222" spans="1:4" x14ac:dyDescent="0.75">
      <c r="A222" s="115">
        <v>220</v>
      </c>
      <c r="B222" s="115">
        <f t="shared" si="6"/>
        <v>73</v>
      </c>
      <c r="C222" s="115">
        <f t="shared" si="7"/>
        <v>1</v>
      </c>
      <c r="D222" s="113" cm="1">
        <f t="array" ref="D222">INDEX('Radio-Map-1'!$H$7:$J$96,1+B222,C222)</f>
        <v>0</v>
      </c>
    </row>
    <row r="223" spans="1:4" x14ac:dyDescent="0.75">
      <c r="A223" s="115">
        <v>221</v>
      </c>
      <c r="B223" s="115">
        <f t="shared" si="6"/>
        <v>73</v>
      </c>
      <c r="C223" s="115">
        <f t="shared" si="7"/>
        <v>2</v>
      </c>
      <c r="D223" s="113" cm="1">
        <f t="array" ref="D223">INDEX('Radio-Map-1'!$H$7:$J$96,1+B223,C223)</f>
        <v>0</v>
      </c>
    </row>
    <row r="224" spans="1:4" x14ac:dyDescent="0.75">
      <c r="A224" s="115">
        <v>222</v>
      </c>
      <c r="B224" s="115">
        <f t="shared" si="6"/>
        <v>73</v>
      </c>
      <c r="C224" s="115">
        <f t="shared" si="7"/>
        <v>3</v>
      </c>
      <c r="D224" s="113" cm="1">
        <f t="array" ref="D224">INDEX('Radio-Map-1'!$H$7:$J$96,1+B224,C224)</f>
        <v>0</v>
      </c>
    </row>
    <row r="225" spans="1:4" x14ac:dyDescent="0.75">
      <c r="A225" s="115">
        <v>223</v>
      </c>
      <c r="B225" s="115">
        <f t="shared" si="6"/>
        <v>74</v>
      </c>
      <c r="C225" s="115">
        <f t="shared" si="7"/>
        <v>1</v>
      </c>
      <c r="D225" s="113" cm="1">
        <f t="array" ref="D225">INDEX('Radio-Map-1'!$H$7:$J$96,1+B225,C225)</f>
        <v>0</v>
      </c>
    </row>
    <row r="226" spans="1:4" x14ac:dyDescent="0.75">
      <c r="A226" s="115">
        <v>224</v>
      </c>
      <c r="B226" s="115">
        <f t="shared" si="6"/>
        <v>74</v>
      </c>
      <c r="C226" s="115">
        <f t="shared" si="7"/>
        <v>2</v>
      </c>
      <c r="D226" s="113" cm="1">
        <f t="array" ref="D226">INDEX('Radio-Map-1'!$H$7:$J$96,1+B226,C226)</f>
        <v>0</v>
      </c>
    </row>
    <row r="227" spans="1:4" x14ac:dyDescent="0.75">
      <c r="A227" s="115">
        <v>225</v>
      </c>
      <c r="B227" s="115">
        <f t="shared" si="6"/>
        <v>74</v>
      </c>
      <c r="C227" s="115">
        <f t="shared" si="7"/>
        <v>3</v>
      </c>
      <c r="D227" s="113" cm="1">
        <f t="array" ref="D227">INDEX('Radio-Map-1'!$H$7:$J$96,1+B227,C227)</f>
        <v>0</v>
      </c>
    </row>
    <row r="228" spans="1:4" x14ac:dyDescent="0.75">
      <c r="A228" s="115">
        <v>226</v>
      </c>
      <c r="B228" s="115">
        <f t="shared" si="6"/>
        <v>75</v>
      </c>
      <c r="C228" s="115">
        <f t="shared" si="7"/>
        <v>1</v>
      </c>
      <c r="D228" s="113" cm="1">
        <f t="array" ref="D228">INDEX('Radio-Map-1'!$H$7:$J$96,1+B228,C228)</f>
        <v>0</v>
      </c>
    </row>
    <row r="229" spans="1:4" x14ac:dyDescent="0.75">
      <c r="A229" s="115">
        <v>227</v>
      </c>
      <c r="B229" s="115">
        <f t="shared" si="6"/>
        <v>75</v>
      </c>
      <c r="C229" s="115">
        <f t="shared" si="7"/>
        <v>2</v>
      </c>
      <c r="D229" s="113" cm="1">
        <f t="array" ref="D229">INDEX('Radio-Map-1'!$H$7:$J$96,1+B229,C229)</f>
        <v>0</v>
      </c>
    </row>
    <row r="230" spans="1:4" x14ac:dyDescent="0.75">
      <c r="A230" s="115">
        <v>228</v>
      </c>
      <c r="B230" s="115">
        <f t="shared" si="6"/>
        <v>75</v>
      </c>
      <c r="C230" s="115">
        <f t="shared" si="7"/>
        <v>3</v>
      </c>
      <c r="D230" s="113" cm="1">
        <f t="array" ref="D230">INDEX('Radio-Map-1'!$H$7:$J$96,1+B230,C230)</f>
        <v>0</v>
      </c>
    </row>
    <row r="231" spans="1:4" x14ac:dyDescent="0.75">
      <c r="A231" s="115">
        <v>229</v>
      </c>
      <c r="B231" s="115">
        <f t="shared" si="6"/>
        <v>76</v>
      </c>
      <c r="C231" s="115">
        <f t="shared" si="7"/>
        <v>1</v>
      </c>
      <c r="D231" s="113" cm="1">
        <f t="array" ref="D231">INDEX('Radio-Map-1'!$H$7:$J$96,1+B231,C231)</f>
        <v>0</v>
      </c>
    </row>
    <row r="232" spans="1:4" x14ac:dyDescent="0.75">
      <c r="A232" s="115">
        <v>230</v>
      </c>
      <c r="B232" s="115">
        <f t="shared" si="6"/>
        <v>76</v>
      </c>
      <c r="C232" s="115">
        <f t="shared" si="7"/>
        <v>2</v>
      </c>
      <c r="D232" s="113" cm="1">
        <f t="array" ref="D232">INDEX('Radio-Map-1'!$H$7:$J$96,1+B232,C232)</f>
        <v>0</v>
      </c>
    </row>
    <row r="233" spans="1:4" x14ac:dyDescent="0.75">
      <c r="A233" s="115">
        <v>231</v>
      </c>
      <c r="B233" s="115">
        <f t="shared" si="6"/>
        <v>76</v>
      </c>
      <c r="C233" s="115">
        <f t="shared" si="7"/>
        <v>3</v>
      </c>
      <c r="D233" s="113" cm="1">
        <f t="array" ref="D233">INDEX('Radio-Map-1'!$H$7:$J$96,1+B233,C233)</f>
        <v>0</v>
      </c>
    </row>
    <row r="234" spans="1:4" x14ac:dyDescent="0.75">
      <c r="A234" s="115">
        <v>232</v>
      </c>
      <c r="B234" s="115">
        <f t="shared" si="6"/>
        <v>77</v>
      </c>
      <c r="C234" s="115">
        <f t="shared" si="7"/>
        <v>1</v>
      </c>
      <c r="D234" s="113" cm="1">
        <f t="array" ref="D234">INDEX('Radio-Map-1'!$H$7:$J$96,1+B234,C234)</f>
        <v>0</v>
      </c>
    </row>
    <row r="235" spans="1:4" x14ac:dyDescent="0.75">
      <c r="A235" s="115">
        <v>233</v>
      </c>
      <c r="B235" s="115">
        <f t="shared" si="6"/>
        <v>77</v>
      </c>
      <c r="C235" s="115">
        <f t="shared" si="7"/>
        <v>2</v>
      </c>
      <c r="D235" s="113" cm="1">
        <f t="array" ref="D235">INDEX('Radio-Map-1'!$H$7:$J$96,1+B235,C235)</f>
        <v>0</v>
      </c>
    </row>
    <row r="236" spans="1:4" x14ac:dyDescent="0.75">
      <c r="A236" s="115">
        <v>234</v>
      </c>
      <c r="B236" s="115">
        <f t="shared" si="6"/>
        <v>77</v>
      </c>
      <c r="C236" s="115">
        <f t="shared" si="7"/>
        <v>3</v>
      </c>
      <c r="D236" s="113" cm="1">
        <f t="array" ref="D236">INDEX('Radio-Map-1'!$H$7:$J$96,1+B236,C236)</f>
        <v>0</v>
      </c>
    </row>
    <row r="237" spans="1:4" x14ac:dyDescent="0.75">
      <c r="A237" s="115">
        <v>235</v>
      </c>
      <c r="B237" s="115">
        <f t="shared" si="6"/>
        <v>78</v>
      </c>
      <c r="C237" s="115">
        <f t="shared" si="7"/>
        <v>1</v>
      </c>
      <c r="D237" s="113" cm="1">
        <f t="array" ref="D237">INDEX('Radio-Map-1'!$H$7:$J$96,1+B237,C237)</f>
        <v>0</v>
      </c>
    </row>
    <row r="238" spans="1:4" x14ac:dyDescent="0.75">
      <c r="A238" s="115">
        <v>236</v>
      </c>
      <c r="B238" s="115">
        <f t="shared" si="6"/>
        <v>78</v>
      </c>
      <c r="C238" s="115">
        <f t="shared" si="7"/>
        <v>2</v>
      </c>
      <c r="D238" s="113" cm="1">
        <f t="array" ref="D238">INDEX('Radio-Map-1'!$H$7:$J$96,1+B238,C238)</f>
        <v>0</v>
      </c>
    </row>
    <row r="239" spans="1:4" x14ac:dyDescent="0.75">
      <c r="A239" s="115">
        <v>237</v>
      </c>
      <c r="B239" s="115">
        <f t="shared" si="6"/>
        <v>78</v>
      </c>
      <c r="C239" s="115">
        <f t="shared" si="7"/>
        <v>3</v>
      </c>
      <c r="D239" s="113" cm="1">
        <f t="array" ref="D239">INDEX('Radio-Map-1'!$H$7:$J$96,1+B239,C239)</f>
        <v>0</v>
      </c>
    </row>
    <row r="240" spans="1:4" x14ac:dyDescent="0.75">
      <c r="A240" s="115">
        <v>238</v>
      </c>
      <c r="B240" s="115">
        <f t="shared" si="6"/>
        <v>79</v>
      </c>
      <c r="C240" s="115">
        <f t="shared" si="7"/>
        <v>1</v>
      </c>
      <c r="D240" s="113" cm="1">
        <f t="array" ref="D240">INDEX('Radio-Map-1'!$H$7:$J$96,1+B240,C240)</f>
        <v>0</v>
      </c>
    </row>
    <row r="241" spans="1:4" x14ac:dyDescent="0.75">
      <c r="A241" s="115">
        <v>239</v>
      </c>
      <c r="B241" s="115">
        <f t="shared" si="6"/>
        <v>79</v>
      </c>
      <c r="C241" s="115">
        <f t="shared" si="7"/>
        <v>2</v>
      </c>
      <c r="D241" s="113" cm="1">
        <f t="array" ref="D241">INDEX('Radio-Map-1'!$H$7:$J$96,1+B241,C241)</f>
        <v>0</v>
      </c>
    </row>
    <row r="242" spans="1:4" x14ac:dyDescent="0.75">
      <c r="A242" s="115">
        <v>240</v>
      </c>
      <c r="B242" s="115">
        <f t="shared" si="6"/>
        <v>79</v>
      </c>
      <c r="C242" s="115">
        <f t="shared" si="7"/>
        <v>3</v>
      </c>
      <c r="D242" s="113" cm="1">
        <f t="array" ref="D242">INDEX('Radio-Map-1'!$H$7:$J$96,1+B242,C242)</f>
        <v>0</v>
      </c>
    </row>
    <row r="243" spans="1:4" x14ac:dyDescent="0.75">
      <c r="A243" s="115">
        <v>241</v>
      </c>
      <c r="B243" s="115">
        <f t="shared" si="6"/>
        <v>80</v>
      </c>
      <c r="C243" s="115">
        <f t="shared" si="7"/>
        <v>1</v>
      </c>
      <c r="D243" s="113" cm="1">
        <f t="array" ref="D243">INDEX('Radio-Map-1'!$H$7:$J$96,1+B243,C243)</f>
        <v>0</v>
      </c>
    </row>
    <row r="244" spans="1:4" x14ac:dyDescent="0.75">
      <c r="A244" s="115">
        <v>242</v>
      </c>
      <c r="B244" s="115">
        <f t="shared" si="6"/>
        <v>80</v>
      </c>
      <c r="C244" s="115">
        <f t="shared" si="7"/>
        <v>2</v>
      </c>
      <c r="D244" s="113" cm="1">
        <f t="array" ref="D244">INDEX('Radio-Map-1'!$H$7:$J$96,1+B244,C244)</f>
        <v>0</v>
      </c>
    </row>
    <row r="245" spans="1:4" x14ac:dyDescent="0.75">
      <c r="A245" s="115">
        <v>243</v>
      </c>
      <c r="B245" s="115">
        <f t="shared" si="6"/>
        <v>80</v>
      </c>
      <c r="C245" s="115">
        <f t="shared" si="7"/>
        <v>3</v>
      </c>
      <c r="D245" s="113" cm="1">
        <f t="array" ref="D245">INDEX('Radio-Map-1'!$H$7:$J$96,1+B245,C245)</f>
        <v>0</v>
      </c>
    </row>
    <row r="246" spans="1:4" x14ac:dyDescent="0.75">
      <c r="A246" s="115">
        <v>244</v>
      </c>
      <c r="B246" s="115">
        <f t="shared" si="6"/>
        <v>81</v>
      </c>
      <c r="C246" s="115">
        <f t="shared" si="7"/>
        <v>1</v>
      </c>
      <c r="D246" s="113" cm="1">
        <f t="array" ref="D246">INDEX('Radio-Map-1'!$H$7:$J$96,1+B246,C246)</f>
        <v>0</v>
      </c>
    </row>
    <row r="247" spans="1:4" x14ac:dyDescent="0.75">
      <c r="A247" s="115">
        <v>245</v>
      </c>
      <c r="B247" s="115">
        <f t="shared" si="6"/>
        <v>81</v>
      </c>
      <c r="C247" s="115">
        <f t="shared" si="7"/>
        <v>2</v>
      </c>
      <c r="D247" s="113" cm="1">
        <f t="array" ref="D247">INDEX('Radio-Map-1'!$H$7:$J$96,1+B247,C247)</f>
        <v>0</v>
      </c>
    </row>
    <row r="248" spans="1:4" x14ac:dyDescent="0.75">
      <c r="A248" s="115">
        <v>246</v>
      </c>
      <c r="B248" s="115">
        <f t="shared" si="6"/>
        <v>81</v>
      </c>
      <c r="C248" s="115">
        <f t="shared" si="7"/>
        <v>3</v>
      </c>
      <c r="D248" s="113" cm="1">
        <f t="array" ref="D248">INDEX('Radio-Map-1'!$H$7:$J$96,1+B248,C248)</f>
        <v>0</v>
      </c>
    </row>
    <row r="249" spans="1:4" x14ac:dyDescent="0.75">
      <c r="A249" s="115">
        <v>247</v>
      </c>
      <c r="B249" s="115">
        <f t="shared" si="6"/>
        <v>82</v>
      </c>
      <c r="C249" s="115">
        <f t="shared" si="7"/>
        <v>1</v>
      </c>
      <c r="D249" s="113" cm="1">
        <f t="array" ref="D249">INDEX('Radio-Map-1'!$H$7:$J$96,1+B249,C249)</f>
        <v>0</v>
      </c>
    </row>
    <row r="250" spans="1:4" x14ac:dyDescent="0.75">
      <c r="A250" s="115">
        <v>248</v>
      </c>
      <c r="B250" s="115">
        <f t="shared" si="6"/>
        <v>82</v>
      </c>
      <c r="C250" s="115">
        <f t="shared" si="7"/>
        <v>2</v>
      </c>
      <c r="D250" s="113" cm="1">
        <f t="array" ref="D250">INDEX('Radio-Map-1'!$H$7:$J$96,1+B250,C250)</f>
        <v>0</v>
      </c>
    </row>
    <row r="251" spans="1:4" x14ac:dyDescent="0.75">
      <c r="A251" s="115">
        <v>249</v>
      </c>
      <c r="B251" s="115">
        <f t="shared" si="6"/>
        <v>82</v>
      </c>
      <c r="C251" s="115">
        <f t="shared" si="7"/>
        <v>3</v>
      </c>
      <c r="D251" s="113" cm="1">
        <f t="array" ref="D251">INDEX('Radio-Map-1'!$H$7:$J$96,1+B251,C251)</f>
        <v>0</v>
      </c>
    </row>
    <row r="252" spans="1:4" x14ac:dyDescent="0.75">
      <c r="A252" s="115">
        <v>250</v>
      </c>
      <c r="B252" s="115">
        <f t="shared" si="6"/>
        <v>83</v>
      </c>
      <c r="C252" s="115">
        <f t="shared" si="7"/>
        <v>1</v>
      </c>
      <c r="D252" s="113" cm="1">
        <f t="array" ref="D252">INDEX('Radio-Map-1'!$H$7:$J$96,1+B252,C252)</f>
        <v>0</v>
      </c>
    </row>
    <row r="253" spans="1:4" x14ac:dyDescent="0.75">
      <c r="A253" s="115">
        <v>251</v>
      </c>
      <c r="B253" s="115">
        <f t="shared" si="6"/>
        <v>83</v>
      </c>
      <c r="C253" s="115">
        <f t="shared" si="7"/>
        <v>2</v>
      </c>
      <c r="D253" s="113" cm="1">
        <f t="array" ref="D253">INDEX('Radio-Map-1'!$H$7:$J$96,1+B253,C253)</f>
        <v>0</v>
      </c>
    </row>
    <row r="254" spans="1:4" x14ac:dyDescent="0.75">
      <c r="A254" s="115">
        <v>252</v>
      </c>
      <c r="B254" s="115">
        <f t="shared" si="6"/>
        <v>83</v>
      </c>
      <c r="C254" s="115">
        <f t="shared" si="7"/>
        <v>3</v>
      </c>
      <c r="D254" s="113" cm="1">
        <f t="array" ref="D254">INDEX('Radio-Map-1'!$H$7:$J$96,1+B254,C254)</f>
        <v>0</v>
      </c>
    </row>
    <row r="255" spans="1:4" x14ac:dyDescent="0.75">
      <c r="A255" s="115">
        <v>253</v>
      </c>
      <c r="B255" s="115">
        <f t="shared" si="6"/>
        <v>84</v>
      </c>
      <c r="C255" s="115">
        <f t="shared" si="7"/>
        <v>1</v>
      </c>
      <c r="D255" s="113" cm="1">
        <f t="array" ref="D255">INDEX('Radio-Map-1'!$H$7:$J$96,1+B255,C255)</f>
        <v>0</v>
      </c>
    </row>
    <row r="256" spans="1:4" x14ac:dyDescent="0.75">
      <c r="A256" s="115">
        <v>254</v>
      </c>
      <c r="B256" s="115">
        <f t="shared" si="6"/>
        <v>84</v>
      </c>
      <c r="C256" s="115">
        <f t="shared" si="7"/>
        <v>2</v>
      </c>
      <c r="D256" s="113" cm="1">
        <f t="array" ref="D256">INDEX('Radio-Map-1'!$H$7:$J$96,1+B256,C256)</f>
        <v>0</v>
      </c>
    </row>
    <row r="257" spans="1:4" x14ac:dyDescent="0.75">
      <c r="A257" s="115">
        <v>255</v>
      </c>
      <c r="B257" s="115">
        <f t="shared" si="6"/>
        <v>84</v>
      </c>
      <c r="C257" s="115">
        <f t="shared" si="7"/>
        <v>3</v>
      </c>
      <c r="D257" s="113" cm="1">
        <f t="array" ref="D257">INDEX('Radio-Map-1'!$H$7:$J$96,1+B257,C257)</f>
        <v>0</v>
      </c>
    </row>
    <row r="258" spans="1:4" x14ac:dyDescent="0.75">
      <c r="A258" s="115">
        <v>256</v>
      </c>
      <c r="B258" s="115">
        <f t="shared" si="6"/>
        <v>85</v>
      </c>
      <c r="C258" s="115">
        <f t="shared" si="7"/>
        <v>1</v>
      </c>
      <c r="D258" s="113" cm="1">
        <f t="array" ref="D258">INDEX('Radio-Map-1'!$H$7:$J$96,1+B258,C258)</f>
        <v>0</v>
      </c>
    </row>
    <row r="259" spans="1:4" x14ac:dyDescent="0.75">
      <c r="A259" s="115">
        <v>257</v>
      </c>
      <c r="B259" s="115">
        <f t="shared" si="6"/>
        <v>85</v>
      </c>
      <c r="C259" s="115">
        <f t="shared" si="7"/>
        <v>2</v>
      </c>
      <c r="D259" s="113" cm="1">
        <f t="array" ref="D259">INDEX('Radio-Map-1'!$H$7:$J$96,1+B259,C259)</f>
        <v>0</v>
      </c>
    </row>
    <row r="260" spans="1:4" x14ac:dyDescent="0.75">
      <c r="A260" s="115">
        <v>258</v>
      </c>
      <c r="B260" s="115">
        <f t="shared" ref="B260:B323" si="8">IF(MOD(A260,3)=0,A260/3-1,INT(A260/3))</f>
        <v>85</v>
      </c>
      <c r="C260" s="115">
        <f t="shared" ref="C260:C323" si="9">IF(MOD(A260,3)=0,3,MOD(A260,3))</f>
        <v>3</v>
      </c>
      <c r="D260" s="113" cm="1">
        <f t="array" ref="D260">INDEX('Radio-Map-1'!$H$7:$J$96,1+B260,C260)</f>
        <v>0</v>
      </c>
    </row>
    <row r="261" spans="1:4" x14ac:dyDescent="0.75">
      <c r="A261" s="115">
        <v>259</v>
      </c>
      <c r="B261" s="115">
        <f t="shared" si="8"/>
        <v>86</v>
      </c>
      <c r="C261" s="115">
        <f t="shared" si="9"/>
        <v>1</v>
      </c>
      <c r="D261" s="113" cm="1">
        <f t="array" ref="D261">INDEX('Radio-Map-1'!$H$7:$J$96,1+B261,C261)</f>
        <v>0</v>
      </c>
    </row>
    <row r="262" spans="1:4" x14ac:dyDescent="0.75">
      <c r="A262" s="115">
        <v>260</v>
      </c>
      <c r="B262" s="115">
        <f t="shared" si="8"/>
        <v>86</v>
      </c>
      <c r="C262" s="115">
        <f t="shared" si="9"/>
        <v>2</v>
      </c>
      <c r="D262" s="113" cm="1">
        <f t="array" ref="D262">INDEX('Radio-Map-1'!$H$7:$J$96,1+B262,C262)</f>
        <v>0</v>
      </c>
    </row>
    <row r="263" spans="1:4" x14ac:dyDescent="0.75">
      <c r="A263" s="115">
        <v>261</v>
      </c>
      <c r="B263" s="115">
        <f t="shared" si="8"/>
        <v>86</v>
      </c>
      <c r="C263" s="115">
        <f t="shared" si="9"/>
        <v>3</v>
      </c>
      <c r="D263" s="113" cm="1">
        <f t="array" ref="D263">INDEX('Radio-Map-1'!$H$7:$J$96,1+B263,C263)</f>
        <v>0</v>
      </c>
    </row>
    <row r="264" spans="1:4" x14ac:dyDescent="0.75">
      <c r="A264" s="115">
        <v>262</v>
      </c>
      <c r="B264" s="115">
        <f t="shared" si="8"/>
        <v>87</v>
      </c>
      <c r="C264" s="115">
        <f t="shared" si="9"/>
        <v>1</v>
      </c>
      <c r="D264" s="113" cm="1">
        <f t="array" ref="D264">INDEX('Radio-Map-1'!$H$7:$J$96,1+B264,C264)</f>
        <v>0</v>
      </c>
    </row>
    <row r="265" spans="1:4" x14ac:dyDescent="0.75">
      <c r="A265" s="115">
        <v>263</v>
      </c>
      <c r="B265" s="115">
        <f t="shared" si="8"/>
        <v>87</v>
      </c>
      <c r="C265" s="115">
        <f t="shared" si="9"/>
        <v>2</v>
      </c>
      <c r="D265" s="113" cm="1">
        <f t="array" ref="D265">INDEX('Radio-Map-1'!$H$7:$J$96,1+B265,C265)</f>
        <v>0</v>
      </c>
    </row>
    <row r="266" spans="1:4" x14ac:dyDescent="0.75">
      <c r="A266" s="115">
        <v>264</v>
      </c>
      <c r="B266" s="115">
        <f t="shared" si="8"/>
        <v>87</v>
      </c>
      <c r="C266" s="115">
        <f t="shared" si="9"/>
        <v>3</v>
      </c>
      <c r="D266" s="113" cm="1">
        <f t="array" ref="D266">INDEX('Radio-Map-1'!$H$7:$J$96,1+B266,C266)</f>
        <v>0</v>
      </c>
    </row>
    <row r="267" spans="1:4" x14ac:dyDescent="0.75">
      <c r="A267" s="115">
        <v>265</v>
      </c>
      <c r="B267" s="115">
        <f t="shared" si="8"/>
        <v>88</v>
      </c>
      <c r="C267" s="115">
        <f t="shared" si="9"/>
        <v>1</v>
      </c>
      <c r="D267" s="113" cm="1">
        <f t="array" ref="D267">INDEX('Radio-Map-1'!$H$7:$J$96,1+B267,C267)</f>
        <v>0</v>
      </c>
    </row>
    <row r="268" spans="1:4" x14ac:dyDescent="0.75">
      <c r="A268" s="115">
        <v>266</v>
      </c>
      <c r="B268" s="115">
        <f t="shared" si="8"/>
        <v>88</v>
      </c>
      <c r="C268" s="115">
        <f t="shared" si="9"/>
        <v>2</v>
      </c>
      <c r="D268" s="113" cm="1">
        <f t="array" ref="D268">INDEX('Radio-Map-1'!$H$7:$J$96,1+B268,C268)</f>
        <v>0</v>
      </c>
    </row>
    <row r="269" spans="1:4" x14ac:dyDescent="0.75">
      <c r="A269" s="115">
        <v>267</v>
      </c>
      <c r="B269" s="115">
        <f t="shared" si="8"/>
        <v>88</v>
      </c>
      <c r="C269" s="115">
        <f t="shared" si="9"/>
        <v>3</v>
      </c>
      <c r="D269" s="113" cm="1">
        <f t="array" ref="D269">INDEX('Radio-Map-1'!$H$7:$J$96,1+B269,C269)</f>
        <v>0</v>
      </c>
    </row>
    <row r="270" spans="1:4" x14ac:dyDescent="0.75">
      <c r="A270" s="115">
        <v>268</v>
      </c>
      <c r="B270" s="115">
        <f t="shared" si="8"/>
        <v>89</v>
      </c>
      <c r="C270" s="115">
        <f t="shared" si="9"/>
        <v>1</v>
      </c>
      <c r="D270" s="113" cm="1">
        <f t="array" ref="D270">INDEX('Radio-Map-1'!$H$7:$J$96,1+B270,C270)</f>
        <v>0</v>
      </c>
    </row>
    <row r="271" spans="1:4" x14ac:dyDescent="0.75">
      <c r="A271" s="115">
        <v>269</v>
      </c>
      <c r="B271" s="115">
        <f t="shared" si="8"/>
        <v>89</v>
      </c>
      <c r="C271" s="115">
        <f t="shared" si="9"/>
        <v>2</v>
      </c>
      <c r="D271" s="113" cm="1">
        <f t="array" ref="D271">INDEX('Radio-Map-1'!$H$7:$J$96,1+B271,C271)</f>
        <v>0</v>
      </c>
    </row>
    <row r="272" spans="1:4" x14ac:dyDescent="0.75">
      <c r="A272" s="115">
        <v>270</v>
      </c>
      <c r="B272" s="115">
        <f t="shared" si="8"/>
        <v>89</v>
      </c>
      <c r="C272" s="115">
        <f t="shared" si="9"/>
        <v>3</v>
      </c>
      <c r="D272" s="113" cm="1">
        <f t="array" ref="D272">INDEX('Radio-Map-1'!$H$7:$J$96,1+B272,C272)</f>
        <v>0</v>
      </c>
    </row>
    <row r="273" spans="1:4" x14ac:dyDescent="0.75">
      <c r="A273" s="115">
        <v>271</v>
      </c>
      <c r="B273" s="115">
        <f t="shared" si="8"/>
        <v>90</v>
      </c>
      <c r="C273" s="115">
        <f t="shared" si="9"/>
        <v>1</v>
      </c>
      <c r="D273" s="113" t="e" cm="1">
        <f t="array" ref="D273">INDEX('Radio-Map-1'!$H$7:$J$96,1+B273,C273)</f>
        <v>#REF!</v>
      </c>
    </row>
    <row r="274" spans="1:4" x14ac:dyDescent="0.75">
      <c r="A274" s="115">
        <v>272</v>
      </c>
      <c r="B274" s="115">
        <f t="shared" si="8"/>
        <v>90</v>
      </c>
      <c r="C274" s="115">
        <f t="shared" si="9"/>
        <v>2</v>
      </c>
      <c r="D274" s="113" t="e" cm="1">
        <f t="array" ref="D274">INDEX('Radio-Map-1'!$H$7:$J$96,1+B274,C274)</f>
        <v>#REF!</v>
      </c>
    </row>
    <row r="275" spans="1:4" x14ac:dyDescent="0.75">
      <c r="A275" s="115">
        <v>273</v>
      </c>
      <c r="B275" s="115">
        <f t="shared" si="8"/>
        <v>90</v>
      </c>
      <c r="C275" s="115">
        <f t="shared" si="9"/>
        <v>3</v>
      </c>
      <c r="D275" s="113" t="e" cm="1">
        <f t="array" ref="D275">INDEX('Radio-Map-1'!$H$7:$J$96,1+B275,C275)</f>
        <v>#REF!</v>
      </c>
    </row>
    <row r="276" spans="1:4" x14ac:dyDescent="0.75">
      <c r="A276" s="115">
        <v>274</v>
      </c>
      <c r="B276" s="115">
        <f t="shared" si="8"/>
        <v>91</v>
      </c>
      <c r="C276" s="115">
        <f t="shared" si="9"/>
        <v>1</v>
      </c>
      <c r="D276" s="113" t="e" cm="1">
        <f t="array" ref="D276">INDEX('Radio-Map-1'!$H$7:$J$96,1+B276,C276)</f>
        <v>#REF!</v>
      </c>
    </row>
    <row r="277" spans="1:4" x14ac:dyDescent="0.75">
      <c r="A277" s="115">
        <v>275</v>
      </c>
      <c r="B277" s="115">
        <f t="shared" si="8"/>
        <v>91</v>
      </c>
      <c r="C277" s="115">
        <f t="shared" si="9"/>
        <v>2</v>
      </c>
      <c r="D277" s="113" t="e" cm="1">
        <f t="array" ref="D277">INDEX('Radio-Map-1'!$H$7:$J$96,1+B277,C277)</f>
        <v>#REF!</v>
      </c>
    </row>
    <row r="278" spans="1:4" x14ac:dyDescent="0.75">
      <c r="A278" s="115">
        <v>276</v>
      </c>
      <c r="B278" s="115">
        <f t="shared" si="8"/>
        <v>91</v>
      </c>
      <c r="C278" s="115">
        <f t="shared" si="9"/>
        <v>3</v>
      </c>
      <c r="D278" s="113" t="e" cm="1">
        <f t="array" ref="D278">INDEX('Radio-Map-1'!$H$7:$J$96,1+B278,C278)</f>
        <v>#REF!</v>
      </c>
    </row>
    <row r="279" spans="1:4" x14ac:dyDescent="0.75">
      <c r="A279" s="115">
        <v>277</v>
      </c>
      <c r="B279" s="115">
        <f t="shared" si="8"/>
        <v>92</v>
      </c>
      <c r="C279" s="115">
        <f t="shared" si="9"/>
        <v>1</v>
      </c>
      <c r="D279" s="113" t="e" cm="1">
        <f t="array" ref="D279">INDEX('Radio-Map-1'!$H$7:$J$96,1+B279,C279)</f>
        <v>#REF!</v>
      </c>
    </row>
    <row r="280" spans="1:4" x14ac:dyDescent="0.75">
      <c r="A280" s="115">
        <v>278</v>
      </c>
      <c r="B280" s="115">
        <f t="shared" si="8"/>
        <v>92</v>
      </c>
      <c r="C280" s="115">
        <f t="shared" si="9"/>
        <v>2</v>
      </c>
      <c r="D280" s="113" t="e" cm="1">
        <f t="array" ref="D280">INDEX('Radio-Map-1'!$H$7:$J$96,1+B280,C280)</f>
        <v>#REF!</v>
      </c>
    </row>
    <row r="281" spans="1:4" x14ac:dyDescent="0.75">
      <c r="A281" s="115">
        <v>279</v>
      </c>
      <c r="B281" s="115">
        <f t="shared" si="8"/>
        <v>92</v>
      </c>
      <c r="C281" s="115">
        <f t="shared" si="9"/>
        <v>3</v>
      </c>
      <c r="D281" s="113" t="e" cm="1">
        <f t="array" ref="D281">INDEX('Radio-Map-1'!$H$7:$J$96,1+B281,C281)</f>
        <v>#REF!</v>
      </c>
    </row>
    <row r="282" spans="1:4" x14ac:dyDescent="0.75">
      <c r="A282" s="115">
        <v>280</v>
      </c>
      <c r="B282" s="115">
        <f t="shared" si="8"/>
        <v>93</v>
      </c>
      <c r="C282" s="115">
        <f t="shared" si="9"/>
        <v>1</v>
      </c>
      <c r="D282" s="113" t="e" cm="1">
        <f t="array" ref="D282">INDEX('Radio-Map-1'!$H$7:$J$96,1+B282,C282)</f>
        <v>#REF!</v>
      </c>
    </row>
    <row r="283" spans="1:4" x14ac:dyDescent="0.75">
      <c r="A283" s="115">
        <v>281</v>
      </c>
      <c r="B283" s="115">
        <f t="shared" si="8"/>
        <v>93</v>
      </c>
      <c r="C283" s="115">
        <f t="shared" si="9"/>
        <v>2</v>
      </c>
      <c r="D283" s="113" t="e" cm="1">
        <f t="array" ref="D283">INDEX('Radio-Map-1'!$H$7:$J$96,1+B283,C283)</f>
        <v>#REF!</v>
      </c>
    </row>
    <row r="284" spans="1:4" x14ac:dyDescent="0.75">
      <c r="A284" s="115">
        <v>282</v>
      </c>
      <c r="B284" s="115">
        <f t="shared" si="8"/>
        <v>93</v>
      </c>
      <c r="C284" s="115">
        <f t="shared" si="9"/>
        <v>3</v>
      </c>
      <c r="D284" s="113" t="e" cm="1">
        <f t="array" ref="D284">INDEX('Radio-Map-1'!$H$7:$J$96,1+B284,C284)</f>
        <v>#REF!</v>
      </c>
    </row>
    <row r="285" spans="1:4" x14ac:dyDescent="0.75">
      <c r="A285" s="115">
        <v>283</v>
      </c>
      <c r="B285" s="115">
        <f t="shared" si="8"/>
        <v>94</v>
      </c>
      <c r="C285" s="115">
        <f t="shared" si="9"/>
        <v>1</v>
      </c>
      <c r="D285" s="113" t="e" cm="1">
        <f t="array" ref="D285">INDEX('Radio-Map-1'!$H$7:$J$96,1+B285,C285)</f>
        <v>#REF!</v>
      </c>
    </row>
    <row r="286" spans="1:4" x14ac:dyDescent="0.75">
      <c r="A286" s="115">
        <v>284</v>
      </c>
      <c r="B286" s="115">
        <f t="shared" si="8"/>
        <v>94</v>
      </c>
      <c r="C286" s="115">
        <f t="shared" si="9"/>
        <v>2</v>
      </c>
      <c r="D286" s="113" t="e" cm="1">
        <f t="array" ref="D286">INDEX('Radio-Map-1'!$H$7:$J$96,1+B286,C286)</f>
        <v>#REF!</v>
      </c>
    </row>
    <row r="287" spans="1:4" x14ac:dyDescent="0.75">
      <c r="A287" s="115">
        <v>285</v>
      </c>
      <c r="B287" s="115">
        <f t="shared" si="8"/>
        <v>94</v>
      </c>
      <c r="C287" s="115">
        <f t="shared" si="9"/>
        <v>3</v>
      </c>
      <c r="D287" s="113" t="e" cm="1">
        <f t="array" ref="D287">INDEX('Radio-Map-1'!$H$7:$J$96,1+B287,C287)</f>
        <v>#REF!</v>
      </c>
    </row>
    <row r="288" spans="1:4" x14ac:dyDescent="0.75">
      <c r="A288" s="115">
        <v>286</v>
      </c>
      <c r="B288" s="115">
        <f t="shared" si="8"/>
        <v>95</v>
      </c>
      <c r="C288" s="115">
        <f t="shared" si="9"/>
        <v>1</v>
      </c>
      <c r="D288" s="113" t="e" cm="1">
        <f t="array" ref="D288">INDEX('Radio-Map-1'!$H$7:$J$96,1+B288,C288)</f>
        <v>#REF!</v>
      </c>
    </row>
    <row r="289" spans="1:4" x14ac:dyDescent="0.75">
      <c r="A289" s="115">
        <v>287</v>
      </c>
      <c r="B289" s="115">
        <f t="shared" si="8"/>
        <v>95</v>
      </c>
      <c r="C289" s="115">
        <f t="shared" si="9"/>
        <v>2</v>
      </c>
      <c r="D289" s="113" t="e" cm="1">
        <f t="array" ref="D289">INDEX('Radio-Map-1'!$H$7:$J$96,1+B289,C289)</f>
        <v>#REF!</v>
      </c>
    </row>
    <row r="290" spans="1:4" x14ac:dyDescent="0.75">
      <c r="A290" s="115">
        <v>288</v>
      </c>
      <c r="B290" s="115">
        <f t="shared" si="8"/>
        <v>95</v>
      </c>
      <c r="C290" s="115">
        <f t="shared" si="9"/>
        <v>3</v>
      </c>
      <c r="D290" s="113" t="e" cm="1">
        <f t="array" ref="D290">INDEX('Radio-Map-1'!$H$7:$J$96,1+B290,C290)</f>
        <v>#REF!</v>
      </c>
    </row>
    <row r="291" spans="1:4" x14ac:dyDescent="0.75">
      <c r="A291" s="115">
        <v>289</v>
      </c>
      <c r="B291" s="115">
        <f t="shared" si="8"/>
        <v>96</v>
      </c>
      <c r="C291" s="115">
        <f t="shared" si="9"/>
        <v>1</v>
      </c>
      <c r="D291" s="113" t="e" cm="1">
        <f t="array" ref="D291">INDEX('Radio-Map-1'!$H$7:$J$96,1+B291,C291)</f>
        <v>#REF!</v>
      </c>
    </row>
    <row r="292" spans="1:4" x14ac:dyDescent="0.75">
      <c r="A292" s="115">
        <v>290</v>
      </c>
      <c r="B292" s="115">
        <f t="shared" si="8"/>
        <v>96</v>
      </c>
      <c r="C292" s="115">
        <f t="shared" si="9"/>
        <v>2</v>
      </c>
      <c r="D292" s="113" t="e" cm="1">
        <f t="array" ref="D292">INDEX('Radio-Map-1'!$H$7:$J$96,1+B292,C292)</f>
        <v>#REF!</v>
      </c>
    </row>
    <row r="293" spans="1:4" x14ac:dyDescent="0.75">
      <c r="A293" s="115">
        <v>291</v>
      </c>
      <c r="B293" s="115">
        <f t="shared" si="8"/>
        <v>96</v>
      </c>
      <c r="C293" s="115">
        <f t="shared" si="9"/>
        <v>3</v>
      </c>
      <c r="D293" s="113" t="e" cm="1">
        <f t="array" ref="D293">INDEX('Radio-Map-1'!$H$7:$J$96,1+B293,C293)</f>
        <v>#REF!</v>
      </c>
    </row>
    <row r="294" spans="1:4" x14ac:dyDescent="0.75">
      <c r="A294" s="115">
        <v>292</v>
      </c>
      <c r="B294" s="115">
        <f t="shared" si="8"/>
        <v>97</v>
      </c>
      <c r="C294" s="115">
        <f t="shared" si="9"/>
        <v>1</v>
      </c>
      <c r="D294" s="113" t="e" cm="1">
        <f t="array" ref="D294">INDEX('Radio-Map-1'!$H$7:$J$96,1+B294,C294)</f>
        <v>#REF!</v>
      </c>
    </row>
    <row r="295" spans="1:4" x14ac:dyDescent="0.75">
      <c r="A295" s="115">
        <v>293</v>
      </c>
      <c r="B295" s="115">
        <f t="shared" si="8"/>
        <v>97</v>
      </c>
      <c r="C295" s="115">
        <f t="shared" si="9"/>
        <v>2</v>
      </c>
      <c r="D295" s="113" t="e" cm="1">
        <f t="array" ref="D295">INDEX('Radio-Map-1'!$H$7:$J$96,1+B295,C295)</f>
        <v>#REF!</v>
      </c>
    </row>
    <row r="296" spans="1:4" x14ac:dyDescent="0.75">
      <c r="A296" s="115">
        <v>294</v>
      </c>
      <c r="B296" s="115">
        <f t="shared" si="8"/>
        <v>97</v>
      </c>
      <c r="C296" s="115">
        <f t="shared" si="9"/>
        <v>3</v>
      </c>
      <c r="D296" s="113" t="e" cm="1">
        <f t="array" ref="D296">INDEX('Radio-Map-1'!$H$7:$J$96,1+B296,C296)</f>
        <v>#REF!</v>
      </c>
    </row>
    <row r="297" spans="1:4" x14ac:dyDescent="0.75">
      <c r="A297" s="115">
        <v>295</v>
      </c>
      <c r="B297" s="115">
        <f t="shared" si="8"/>
        <v>98</v>
      </c>
      <c r="C297" s="115">
        <f t="shared" si="9"/>
        <v>1</v>
      </c>
      <c r="D297" s="113" t="e" cm="1">
        <f t="array" ref="D297">INDEX('Radio-Map-1'!$H$7:$J$96,1+B297,C297)</f>
        <v>#REF!</v>
      </c>
    </row>
    <row r="298" spans="1:4" x14ac:dyDescent="0.75">
      <c r="A298" s="115">
        <v>296</v>
      </c>
      <c r="B298" s="115">
        <f t="shared" si="8"/>
        <v>98</v>
      </c>
      <c r="C298" s="115">
        <f t="shared" si="9"/>
        <v>2</v>
      </c>
      <c r="D298" s="113" t="e" cm="1">
        <f t="array" ref="D298">INDEX('Radio-Map-1'!$H$7:$J$96,1+B298,C298)</f>
        <v>#REF!</v>
      </c>
    </row>
    <row r="299" spans="1:4" x14ac:dyDescent="0.75">
      <c r="A299" s="115">
        <v>297</v>
      </c>
      <c r="B299" s="115">
        <f t="shared" si="8"/>
        <v>98</v>
      </c>
      <c r="C299" s="115">
        <f t="shared" si="9"/>
        <v>3</v>
      </c>
      <c r="D299" s="113" t="e" cm="1">
        <f t="array" ref="D299">INDEX('Radio-Map-1'!$H$7:$J$96,1+B299,C299)</f>
        <v>#REF!</v>
      </c>
    </row>
    <row r="300" spans="1:4" x14ac:dyDescent="0.75">
      <c r="A300" s="115">
        <v>298</v>
      </c>
      <c r="B300" s="115">
        <f t="shared" si="8"/>
        <v>99</v>
      </c>
      <c r="C300" s="115">
        <f t="shared" si="9"/>
        <v>1</v>
      </c>
      <c r="D300" s="113" t="e" cm="1">
        <f t="array" ref="D300">INDEX('Radio-Map-1'!$H$7:$J$96,1+B300,C300)</f>
        <v>#REF!</v>
      </c>
    </row>
    <row r="301" spans="1:4" x14ac:dyDescent="0.75">
      <c r="A301" s="115">
        <v>299</v>
      </c>
      <c r="B301" s="115">
        <f t="shared" si="8"/>
        <v>99</v>
      </c>
      <c r="C301" s="115">
        <f t="shared" si="9"/>
        <v>2</v>
      </c>
      <c r="D301" s="113" t="e" cm="1">
        <f t="array" ref="D301">INDEX('Radio-Map-1'!$H$7:$J$96,1+B301,C301)</f>
        <v>#REF!</v>
      </c>
    </row>
    <row r="302" spans="1:4" x14ac:dyDescent="0.75">
      <c r="A302" s="115">
        <v>300</v>
      </c>
      <c r="B302" s="115">
        <f t="shared" si="8"/>
        <v>99</v>
      </c>
      <c r="C302" s="115">
        <f t="shared" si="9"/>
        <v>3</v>
      </c>
      <c r="D302" s="113" t="e" cm="1">
        <f t="array" ref="D302">INDEX('Radio-Map-1'!$H$7:$J$96,1+B302,C302)</f>
        <v>#REF!</v>
      </c>
    </row>
    <row r="303" spans="1:4" x14ac:dyDescent="0.75">
      <c r="A303" s="115">
        <v>301</v>
      </c>
      <c r="B303" s="115">
        <f t="shared" si="8"/>
        <v>100</v>
      </c>
      <c r="C303" s="115">
        <f t="shared" si="9"/>
        <v>1</v>
      </c>
      <c r="D303" s="113" t="e" cm="1">
        <f t="array" ref="D303">INDEX('Radio-Map-1'!$H$7:$J$96,1+B303,C303)</f>
        <v>#REF!</v>
      </c>
    </row>
    <row r="304" spans="1:4" x14ac:dyDescent="0.75">
      <c r="A304" s="115">
        <v>302</v>
      </c>
      <c r="B304" s="115">
        <f t="shared" si="8"/>
        <v>100</v>
      </c>
      <c r="C304" s="115">
        <f t="shared" si="9"/>
        <v>2</v>
      </c>
      <c r="D304" s="113" t="e" cm="1">
        <f t="array" ref="D304">INDEX('Radio-Map-1'!$H$7:$J$96,1+B304,C304)</f>
        <v>#REF!</v>
      </c>
    </row>
    <row r="305" spans="1:4" x14ac:dyDescent="0.75">
      <c r="A305" s="115">
        <v>303</v>
      </c>
      <c r="B305" s="115">
        <f t="shared" si="8"/>
        <v>100</v>
      </c>
      <c r="C305" s="115">
        <f t="shared" si="9"/>
        <v>3</v>
      </c>
      <c r="D305" s="113" t="e" cm="1">
        <f t="array" ref="D305">INDEX('Radio-Map-1'!$H$7:$J$96,1+B305,C305)</f>
        <v>#REF!</v>
      </c>
    </row>
    <row r="306" spans="1:4" x14ac:dyDescent="0.75">
      <c r="A306" s="115">
        <v>304</v>
      </c>
      <c r="B306" s="115">
        <f t="shared" si="8"/>
        <v>101</v>
      </c>
      <c r="C306" s="115">
        <f t="shared" si="9"/>
        <v>1</v>
      </c>
      <c r="D306" s="113" t="e" cm="1">
        <f t="array" ref="D306">INDEX('Radio-Map-1'!$H$7:$J$96,1+B306,C306)</f>
        <v>#REF!</v>
      </c>
    </row>
    <row r="307" spans="1:4" x14ac:dyDescent="0.75">
      <c r="A307" s="115">
        <v>305</v>
      </c>
      <c r="B307" s="115">
        <f t="shared" si="8"/>
        <v>101</v>
      </c>
      <c r="C307" s="115">
        <f t="shared" si="9"/>
        <v>2</v>
      </c>
      <c r="D307" s="113" t="e" cm="1">
        <f t="array" ref="D307">INDEX('Radio-Map-1'!$H$7:$J$96,1+B307,C307)</f>
        <v>#REF!</v>
      </c>
    </row>
    <row r="308" spans="1:4" x14ac:dyDescent="0.75">
      <c r="A308" s="115">
        <v>306</v>
      </c>
      <c r="B308" s="115">
        <f t="shared" si="8"/>
        <v>101</v>
      </c>
      <c r="C308" s="115">
        <f t="shared" si="9"/>
        <v>3</v>
      </c>
      <c r="D308" s="113" t="e" cm="1">
        <f t="array" ref="D308">INDEX('Radio-Map-1'!$H$7:$J$96,1+B308,C308)</f>
        <v>#REF!</v>
      </c>
    </row>
    <row r="309" spans="1:4" x14ac:dyDescent="0.75">
      <c r="A309" s="115">
        <v>307</v>
      </c>
      <c r="B309" s="115">
        <f t="shared" si="8"/>
        <v>102</v>
      </c>
      <c r="C309" s="115">
        <f t="shared" si="9"/>
        <v>1</v>
      </c>
      <c r="D309" s="113" t="e" cm="1">
        <f t="array" ref="D309">INDEX('Radio-Map-1'!$H$7:$J$96,1+B309,C309)</f>
        <v>#REF!</v>
      </c>
    </row>
    <row r="310" spans="1:4" x14ac:dyDescent="0.75">
      <c r="A310" s="115">
        <v>308</v>
      </c>
      <c r="B310" s="115">
        <f t="shared" si="8"/>
        <v>102</v>
      </c>
      <c r="C310" s="115">
        <f t="shared" si="9"/>
        <v>2</v>
      </c>
      <c r="D310" s="113" t="e" cm="1">
        <f t="array" ref="D310">INDEX('Radio-Map-1'!$H$7:$J$96,1+B310,C310)</f>
        <v>#REF!</v>
      </c>
    </row>
    <row r="311" spans="1:4" x14ac:dyDescent="0.75">
      <c r="A311" s="115">
        <v>309</v>
      </c>
      <c r="B311" s="115">
        <f t="shared" si="8"/>
        <v>102</v>
      </c>
      <c r="C311" s="115">
        <f t="shared" si="9"/>
        <v>3</v>
      </c>
      <c r="D311" s="113" t="e" cm="1">
        <f t="array" ref="D311">INDEX('Radio-Map-1'!$H$7:$J$96,1+B311,C311)</f>
        <v>#REF!</v>
      </c>
    </row>
    <row r="312" spans="1:4" x14ac:dyDescent="0.75">
      <c r="A312" s="115">
        <v>310</v>
      </c>
      <c r="B312" s="115">
        <f t="shared" si="8"/>
        <v>103</v>
      </c>
      <c r="C312" s="115">
        <f t="shared" si="9"/>
        <v>1</v>
      </c>
      <c r="D312" s="113" t="e" cm="1">
        <f t="array" ref="D312">INDEX('Radio-Map-1'!$H$7:$J$96,1+B312,C312)</f>
        <v>#REF!</v>
      </c>
    </row>
    <row r="313" spans="1:4" x14ac:dyDescent="0.75">
      <c r="A313" s="115">
        <v>311</v>
      </c>
      <c r="B313" s="115">
        <f t="shared" si="8"/>
        <v>103</v>
      </c>
      <c r="C313" s="115">
        <f t="shared" si="9"/>
        <v>2</v>
      </c>
      <c r="D313" s="113" t="e" cm="1">
        <f t="array" ref="D313">INDEX('Radio-Map-1'!$H$7:$J$96,1+B313,C313)</f>
        <v>#REF!</v>
      </c>
    </row>
    <row r="314" spans="1:4" x14ac:dyDescent="0.75">
      <c r="A314" s="115">
        <v>312</v>
      </c>
      <c r="B314" s="115">
        <f t="shared" si="8"/>
        <v>103</v>
      </c>
      <c r="C314" s="115">
        <f t="shared" si="9"/>
        <v>3</v>
      </c>
      <c r="D314" s="113" t="e" cm="1">
        <f t="array" ref="D314">INDEX('Radio-Map-1'!$H$7:$J$96,1+B314,C314)</f>
        <v>#REF!</v>
      </c>
    </row>
    <row r="315" spans="1:4" x14ac:dyDescent="0.75">
      <c r="A315" s="115">
        <v>313</v>
      </c>
      <c r="B315" s="115">
        <f t="shared" si="8"/>
        <v>104</v>
      </c>
      <c r="C315" s="115">
        <f t="shared" si="9"/>
        <v>1</v>
      </c>
      <c r="D315" s="113" t="e" cm="1">
        <f t="array" ref="D315">INDEX('Radio-Map-1'!$H$7:$J$96,1+B315,C315)</f>
        <v>#REF!</v>
      </c>
    </row>
    <row r="316" spans="1:4" x14ac:dyDescent="0.75">
      <c r="A316" s="115">
        <v>314</v>
      </c>
      <c r="B316" s="115">
        <f t="shared" si="8"/>
        <v>104</v>
      </c>
      <c r="C316" s="115">
        <f t="shared" si="9"/>
        <v>2</v>
      </c>
      <c r="D316" s="113" t="e" cm="1">
        <f t="array" ref="D316">INDEX('Radio-Map-1'!$H$7:$J$96,1+B316,C316)</f>
        <v>#REF!</v>
      </c>
    </row>
    <row r="317" spans="1:4" x14ac:dyDescent="0.75">
      <c r="A317" s="115">
        <v>315</v>
      </c>
      <c r="B317" s="115">
        <f t="shared" si="8"/>
        <v>104</v>
      </c>
      <c r="C317" s="115">
        <f t="shared" si="9"/>
        <v>3</v>
      </c>
      <c r="D317" s="113" t="e" cm="1">
        <f t="array" ref="D317">INDEX('Radio-Map-1'!$H$7:$J$96,1+B317,C317)</f>
        <v>#REF!</v>
      </c>
    </row>
    <row r="318" spans="1:4" x14ac:dyDescent="0.75">
      <c r="A318" s="115">
        <v>316</v>
      </c>
      <c r="B318" s="115">
        <f t="shared" si="8"/>
        <v>105</v>
      </c>
      <c r="C318" s="115">
        <f t="shared" si="9"/>
        <v>1</v>
      </c>
      <c r="D318" s="113" t="e" cm="1">
        <f t="array" ref="D318">INDEX('Radio-Map-1'!$H$7:$J$96,1+B318,C318)</f>
        <v>#REF!</v>
      </c>
    </row>
    <row r="319" spans="1:4" x14ac:dyDescent="0.75">
      <c r="A319" s="115">
        <v>317</v>
      </c>
      <c r="B319" s="115">
        <f t="shared" si="8"/>
        <v>105</v>
      </c>
      <c r="C319" s="115">
        <f t="shared" si="9"/>
        <v>2</v>
      </c>
      <c r="D319" s="113" t="e" cm="1">
        <f t="array" ref="D319">INDEX('Radio-Map-1'!$H$7:$J$96,1+B319,C319)</f>
        <v>#REF!</v>
      </c>
    </row>
    <row r="320" spans="1:4" x14ac:dyDescent="0.75">
      <c r="A320" s="115">
        <v>318</v>
      </c>
      <c r="B320" s="115">
        <f t="shared" si="8"/>
        <v>105</v>
      </c>
      <c r="C320" s="115">
        <f t="shared" si="9"/>
        <v>3</v>
      </c>
      <c r="D320" s="113" t="e" cm="1">
        <f t="array" ref="D320">INDEX('Radio-Map-1'!$H$7:$J$96,1+B320,C320)</f>
        <v>#REF!</v>
      </c>
    </row>
    <row r="321" spans="1:4" x14ac:dyDescent="0.75">
      <c r="A321" s="115">
        <v>319</v>
      </c>
      <c r="B321" s="115">
        <f t="shared" si="8"/>
        <v>106</v>
      </c>
      <c r="C321" s="115">
        <f t="shared" si="9"/>
        <v>1</v>
      </c>
      <c r="D321" s="113" t="e" cm="1">
        <f t="array" ref="D321">INDEX('Radio-Map-1'!$H$7:$J$96,1+B321,C321)</f>
        <v>#REF!</v>
      </c>
    </row>
    <row r="322" spans="1:4" x14ac:dyDescent="0.75">
      <c r="A322" s="115">
        <v>320</v>
      </c>
      <c r="B322" s="115">
        <f t="shared" si="8"/>
        <v>106</v>
      </c>
      <c r="C322" s="115">
        <f t="shared" si="9"/>
        <v>2</v>
      </c>
      <c r="D322" s="113" t="e" cm="1">
        <f t="array" ref="D322">INDEX('Radio-Map-1'!$H$7:$J$96,1+B322,C322)</f>
        <v>#REF!</v>
      </c>
    </row>
    <row r="323" spans="1:4" x14ac:dyDescent="0.75">
      <c r="A323" s="115">
        <v>321</v>
      </c>
      <c r="B323" s="115">
        <f t="shared" si="8"/>
        <v>106</v>
      </c>
      <c r="C323" s="115">
        <f t="shared" si="9"/>
        <v>3</v>
      </c>
      <c r="D323" s="113" t="e" cm="1">
        <f t="array" ref="D323">INDEX('Radio-Map-1'!$H$7:$J$96,1+B323,C323)</f>
        <v>#REF!</v>
      </c>
    </row>
    <row r="324" spans="1:4" x14ac:dyDescent="0.75">
      <c r="A324" s="115">
        <v>322</v>
      </c>
      <c r="B324" s="115">
        <f t="shared" ref="B324:B387" si="10">IF(MOD(A324,3)=0,A324/3-1,INT(A324/3))</f>
        <v>107</v>
      </c>
      <c r="C324" s="115">
        <f t="shared" ref="C324:C387" si="11">IF(MOD(A324,3)=0,3,MOD(A324,3))</f>
        <v>1</v>
      </c>
      <c r="D324" s="113" t="e" cm="1">
        <f t="array" ref="D324">INDEX('Radio-Map-1'!$H$7:$J$96,1+B324,C324)</f>
        <v>#REF!</v>
      </c>
    </row>
    <row r="325" spans="1:4" x14ac:dyDescent="0.75">
      <c r="A325" s="115">
        <v>323</v>
      </c>
      <c r="B325" s="115">
        <f t="shared" si="10"/>
        <v>107</v>
      </c>
      <c r="C325" s="115">
        <f t="shared" si="11"/>
        <v>2</v>
      </c>
      <c r="D325" s="113" t="e" cm="1">
        <f t="array" ref="D325">INDEX('Radio-Map-1'!$H$7:$J$96,1+B325,C325)</f>
        <v>#REF!</v>
      </c>
    </row>
    <row r="326" spans="1:4" x14ac:dyDescent="0.75">
      <c r="A326" s="115">
        <v>324</v>
      </c>
      <c r="B326" s="115">
        <f t="shared" si="10"/>
        <v>107</v>
      </c>
      <c r="C326" s="115">
        <f t="shared" si="11"/>
        <v>3</v>
      </c>
      <c r="D326" s="113" t="e" cm="1">
        <f t="array" ref="D326">INDEX('Radio-Map-1'!$H$7:$J$96,1+B326,C326)</f>
        <v>#REF!</v>
      </c>
    </row>
    <row r="327" spans="1:4" x14ac:dyDescent="0.75">
      <c r="A327" s="115">
        <v>325</v>
      </c>
      <c r="B327" s="115">
        <f t="shared" si="10"/>
        <v>108</v>
      </c>
      <c r="C327" s="115">
        <f t="shared" si="11"/>
        <v>1</v>
      </c>
      <c r="D327" s="113" t="e" cm="1">
        <f t="array" ref="D327">INDEX('Radio-Map-1'!$H$7:$J$96,1+B327,C327)</f>
        <v>#REF!</v>
      </c>
    </row>
    <row r="328" spans="1:4" x14ac:dyDescent="0.75">
      <c r="A328" s="115">
        <v>326</v>
      </c>
      <c r="B328" s="115">
        <f t="shared" si="10"/>
        <v>108</v>
      </c>
      <c r="C328" s="115">
        <f t="shared" si="11"/>
        <v>2</v>
      </c>
      <c r="D328" s="113" t="e" cm="1">
        <f t="array" ref="D328">INDEX('Radio-Map-1'!$H$7:$J$96,1+B328,C328)</f>
        <v>#REF!</v>
      </c>
    </row>
    <row r="329" spans="1:4" x14ac:dyDescent="0.75">
      <c r="A329" s="115">
        <v>327</v>
      </c>
      <c r="B329" s="115">
        <f t="shared" si="10"/>
        <v>108</v>
      </c>
      <c r="C329" s="115">
        <f t="shared" si="11"/>
        <v>3</v>
      </c>
      <c r="D329" s="113" t="e" cm="1">
        <f t="array" ref="D329">INDEX('Radio-Map-1'!$H$7:$J$96,1+B329,C329)</f>
        <v>#REF!</v>
      </c>
    </row>
    <row r="330" spans="1:4" x14ac:dyDescent="0.75">
      <c r="A330" s="115">
        <v>328</v>
      </c>
      <c r="B330" s="115">
        <f t="shared" si="10"/>
        <v>109</v>
      </c>
      <c r="C330" s="115">
        <f t="shared" si="11"/>
        <v>1</v>
      </c>
      <c r="D330" s="113" t="e" cm="1">
        <f t="array" ref="D330">INDEX('Radio-Map-1'!$H$7:$J$96,1+B330,C330)</f>
        <v>#REF!</v>
      </c>
    </row>
    <row r="331" spans="1:4" x14ac:dyDescent="0.75">
      <c r="A331" s="115">
        <v>329</v>
      </c>
      <c r="B331" s="115">
        <f t="shared" si="10"/>
        <v>109</v>
      </c>
      <c r="C331" s="115">
        <f t="shared" si="11"/>
        <v>2</v>
      </c>
      <c r="D331" s="113" t="e" cm="1">
        <f t="array" ref="D331">INDEX('Radio-Map-1'!$H$7:$J$96,1+B331,C331)</f>
        <v>#REF!</v>
      </c>
    </row>
    <row r="332" spans="1:4" x14ac:dyDescent="0.75">
      <c r="A332" s="115">
        <v>330</v>
      </c>
      <c r="B332" s="115">
        <f t="shared" si="10"/>
        <v>109</v>
      </c>
      <c r="C332" s="115">
        <f t="shared" si="11"/>
        <v>3</v>
      </c>
      <c r="D332" s="113" t="e" cm="1">
        <f t="array" ref="D332">INDEX('Radio-Map-1'!$H$7:$J$96,1+B332,C332)</f>
        <v>#REF!</v>
      </c>
    </row>
    <row r="333" spans="1:4" x14ac:dyDescent="0.75">
      <c r="A333" s="115">
        <v>331</v>
      </c>
      <c r="B333" s="115">
        <f t="shared" si="10"/>
        <v>110</v>
      </c>
      <c r="C333" s="115">
        <f t="shared" si="11"/>
        <v>1</v>
      </c>
      <c r="D333" s="113" t="e" cm="1">
        <f t="array" ref="D333">INDEX('Radio-Map-1'!$H$7:$J$96,1+B333,C333)</f>
        <v>#REF!</v>
      </c>
    </row>
    <row r="334" spans="1:4" x14ac:dyDescent="0.75">
      <c r="A334" s="115">
        <v>332</v>
      </c>
      <c r="B334" s="115">
        <f t="shared" si="10"/>
        <v>110</v>
      </c>
      <c r="C334" s="115">
        <f t="shared" si="11"/>
        <v>2</v>
      </c>
      <c r="D334" s="113" t="e" cm="1">
        <f t="array" ref="D334">INDEX('Radio-Map-1'!$H$7:$J$96,1+B334,C334)</f>
        <v>#REF!</v>
      </c>
    </row>
    <row r="335" spans="1:4" x14ac:dyDescent="0.75">
      <c r="A335" s="115">
        <v>333</v>
      </c>
      <c r="B335" s="115">
        <f t="shared" si="10"/>
        <v>110</v>
      </c>
      <c r="C335" s="115">
        <f t="shared" si="11"/>
        <v>3</v>
      </c>
      <c r="D335" s="113" t="e" cm="1">
        <f t="array" ref="D335">INDEX('Radio-Map-1'!$H$7:$J$96,1+B335,C335)</f>
        <v>#REF!</v>
      </c>
    </row>
    <row r="336" spans="1:4" x14ac:dyDescent="0.75">
      <c r="A336" s="115">
        <v>334</v>
      </c>
      <c r="B336" s="115">
        <f t="shared" si="10"/>
        <v>111</v>
      </c>
      <c r="C336" s="115">
        <f t="shared" si="11"/>
        <v>1</v>
      </c>
      <c r="D336" s="113" t="e" cm="1">
        <f t="array" ref="D336">INDEX('Radio-Map-1'!$H$7:$J$96,1+B336,C336)</f>
        <v>#REF!</v>
      </c>
    </row>
    <row r="337" spans="1:4" x14ac:dyDescent="0.75">
      <c r="A337" s="115">
        <v>335</v>
      </c>
      <c r="B337" s="115">
        <f t="shared" si="10"/>
        <v>111</v>
      </c>
      <c r="C337" s="115">
        <f t="shared" si="11"/>
        <v>2</v>
      </c>
      <c r="D337" s="113" t="e" cm="1">
        <f t="array" ref="D337">INDEX('Radio-Map-1'!$H$7:$J$96,1+B337,C337)</f>
        <v>#REF!</v>
      </c>
    </row>
    <row r="338" spans="1:4" x14ac:dyDescent="0.75">
      <c r="A338" s="115">
        <v>336</v>
      </c>
      <c r="B338" s="115">
        <f t="shared" si="10"/>
        <v>111</v>
      </c>
      <c r="C338" s="115">
        <f t="shared" si="11"/>
        <v>3</v>
      </c>
      <c r="D338" s="113" t="e" cm="1">
        <f t="array" ref="D338">INDEX('Radio-Map-1'!$H$7:$J$96,1+B338,C338)</f>
        <v>#REF!</v>
      </c>
    </row>
    <row r="339" spans="1:4" x14ac:dyDescent="0.75">
      <c r="A339" s="115">
        <v>337</v>
      </c>
      <c r="B339" s="115">
        <f t="shared" si="10"/>
        <v>112</v>
      </c>
      <c r="C339" s="115">
        <f t="shared" si="11"/>
        <v>1</v>
      </c>
      <c r="D339" s="113" t="e" cm="1">
        <f t="array" ref="D339">INDEX('Radio-Map-1'!$H$7:$J$96,1+B339,C339)</f>
        <v>#REF!</v>
      </c>
    </row>
    <row r="340" spans="1:4" x14ac:dyDescent="0.75">
      <c r="A340" s="115">
        <v>338</v>
      </c>
      <c r="B340" s="115">
        <f t="shared" si="10"/>
        <v>112</v>
      </c>
      <c r="C340" s="115">
        <f t="shared" si="11"/>
        <v>2</v>
      </c>
      <c r="D340" s="113" t="e" cm="1">
        <f t="array" ref="D340">INDEX('Radio-Map-1'!$H$7:$J$96,1+B340,C340)</f>
        <v>#REF!</v>
      </c>
    </row>
    <row r="341" spans="1:4" x14ac:dyDescent="0.75">
      <c r="A341" s="115">
        <v>339</v>
      </c>
      <c r="B341" s="115">
        <f t="shared" si="10"/>
        <v>112</v>
      </c>
      <c r="C341" s="115">
        <f t="shared" si="11"/>
        <v>3</v>
      </c>
      <c r="D341" s="113" t="e" cm="1">
        <f t="array" ref="D341">INDEX('Radio-Map-1'!$H$7:$J$96,1+B341,C341)</f>
        <v>#REF!</v>
      </c>
    </row>
    <row r="342" spans="1:4" x14ac:dyDescent="0.75">
      <c r="A342" s="115">
        <v>340</v>
      </c>
      <c r="B342" s="115">
        <f t="shared" si="10"/>
        <v>113</v>
      </c>
      <c r="C342" s="115">
        <f t="shared" si="11"/>
        <v>1</v>
      </c>
      <c r="D342" s="113" t="e" cm="1">
        <f t="array" ref="D342">INDEX('Radio-Map-1'!$H$7:$J$96,1+B342,C342)</f>
        <v>#REF!</v>
      </c>
    </row>
    <row r="343" spans="1:4" x14ac:dyDescent="0.75">
      <c r="A343" s="115">
        <v>341</v>
      </c>
      <c r="B343" s="115">
        <f t="shared" si="10"/>
        <v>113</v>
      </c>
      <c r="C343" s="115">
        <f t="shared" si="11"/>
        <v>2</v>
      </c>
      <c r="D343" s="113" t="e" cm="1">
        <f t="array" ref="D343">INDEX('Radio-Map-1'!$H$7:$J$96,1+B343,C343)</f>
        <v>#REF!</v>
      </c>
    </row>
    <row r="344" spans="1:4" x14ac:dyDescent="0.75">
      <c r="A344" s="115">
        <v>342</v>
      </c>
      <c r="B344" s="115">
        <f t="shared" si="10"/>
        <v>113</v>
      </c>
      <c r="C344" s="115">
        <f t="shared" si="11"/>
        <v>3</v>
      </c>
      <c r="D344" s="113" t="e" cm="1">
        <f t="array" ref="D344">INDEX('Radio-Map-1'!$H$7:$J$96,1+B344,C344)</f>
        <v>#REF!</v>
      </c>
    </row>
    <row r="345" spans="1:4" x14ac:dyDescent="0.75">
      <c r="A345" s="115">
        <v>343</v>
      </c>
      <c r="B345" s="115">
        <f t="shared" si="10"/>
        <v>114</v>
      </c>
      <c r="C345" s="115">
        <f t="shared" si="11"/>
        <v>1</v>
      </c>
      <c r="D345" s="113" t="e" cm="1">
        <f t="array" ref="D345">INDEX('Radio-Map-1'!$H$7:$J$96,1+B345,C345)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dosimetry</v>
      </c>
      <c r="H60" s="113" t="b">
        <f t="shared" si="5"/>
        <v>0</v>
      </c>
      <c r="I60" s="114" t="str">
        <f t="shared" si="1"/>
        <v/>
      </c>
      <c r="J60" s="114" t="str">
        <f t="shared" si="6"/>
        <v/>
      </c>
    </row>
    <row r="61" spans="1:11" x14ac:dyDescent="0.75">
      <c r="A61" s="115">
        <v>0</v>
      </c>
      <c r="B61" s="115">
        <f>'Rad-1'!A60</f>
        <v>54</v>
      </c>
      <c r="C61" s="117" t="str">
        <f>'Rad-1'!B60</f>
        <v>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c>
    </row>
    <row r="55" spans="4:4" x14ac:dyDescent="0.75">
      <c r="D55" s="115" t="str">
        <f>'Radio-Map-2'!D55</f>
        <v/>
      </c>
    </row>
    <row r="56" spans="4:4" x14ac:dyDescent="0.75">
      <c r="D56" s="115" t="str">
        <f>'Radio-Map-2'!D56</f>
        <v/>
      </c>
    </row>
    <row r="57" spans="4:4" x14ac:dyDescent="0.75">
      <c r="D57" s="115" t="str">
        <f>'Radio-Map-2'!D57</f>
        <v>* differential.element[18].mapping[0].identity = "fhir"</v>
      </c>
    </row>
    <row r="58" spans="4:4" x14ac:dyDescent="0.75">
      <c r="D58" s="115" t="str">
        <f>'Radio-Map-2'!D58</f>
        <v>* differential.element[18].mapping[0].map = ".bodySite"</v>
      </c>
    </row>
    <row r="59" spans="4:4" x14ac:dyDescent="0.75">
      <c r="D59" s="115" t="str">
        <f>'Radio-Map-2'!D59</f>
        <v/>
      </c>
    </row>
    <row r="60" spans="4:4" x14ac:dyDescent="0.75">
      <c r="D60" s="115" t="str">
        <f>'Radio-Map-2'!D60</f>
        <v>* differential.element[18].mapping[1].identity = "fhir"</v>
      </c>
    </row>
    <row r="61" spans="4:4" x14ac:dyDescent="0.75">
      <c r="D61" s="115" t="str">
        <f>'Radio-Map-2'!D61</f>
        <v>* differential.element[18].mapping[1].map = ".extension(http://hl7.eu/fhir/ig/pcsp/StructureDefinition/ResourceRelatedInfo-eu-pcsp).resolve().conformsTo(http://hl7.eu/fhir/ig/pcsp/StructureDefinition/Observation-cumulativeDoseRad-eu-pcsp).bodySite"</v>
      </c>
    </row>
    <row r="62" spans="4:4" x14ac:dyDescent="0.75">
      <c r="D62" s="115" t="str">
        <f>'Radio-Map-2'!D62</f>
        <v/>
      </c>
    </row>
    <row r="63" spans="4:4" x14ac:dyDescent="0.75">
      <c r="D63" s="115" t="str">
        <f>'Radio-Map-2'!D63</f>
        <v/>
      </c>
    </row>
    <row r="64" spans="4:4" x14ac:dyDescent="0.75">
      <c r="D64" s="115" t="str">
        <f>'Radio-Map-2'!D64</f>
        <v/>
      </c>
    </row>
    <row r="65" spans="4:4" x14ac:dyDescent="0.75">
      <c r="D65" s="115" t="str">
        <f>'Radio-Map-2'!D65</f>
        <v/>
      </c>
    </row>
    <row r="66" spans="4:4" x14ac:dyDescent="0.75">
      <c r="D66" s="115" t="str">
        <f>'Radio-Map-2'!D66</f>
        <v/>
      </c>
    </row>
    <row r="67" spans="4:4" x14ac:dyDescent="0.75">
      <c r="D67" s="115" t="str">
        <f>'Radio-Map-2'!D67</f>
        <v/>
      </c>
    </row>
    <row r="68" spans="4:4" x14ac:dyDescent="0.75">
      <c r="D68" s="115" t="str">
        <f>'Radio-Map-2'!D68</f>
        <v/>
      </c>
    </row>
    <row r="69" spans="4:4" x14ac:dyDescent="0.75">
      <c r="D69" s="115" t="str">
        <f>'Radio-Map-2'!D69</f>
        <v/>
      </c>
    </row>
    <row r="70" spans="4:4" x14ac:dyDescent="0.75">
      <c r="D70" s="115" t="str">
        <f>'Radio-Map-2'!D70</f>
        <v/>
      </c>
    </row>
    <row r="71" spans="4:4" x14ac:dyDescent="0.75">
      <c r="D71" s="115" t="str">
        <f>'Radio-Map-2'!D71</f>
        <v/>
      </c>
    </row>
    <row r="72" spans="4:4" x14ac:dyDescent="0.75">
      <c r="D72" s="115" t="str">
        <f>'Radio-Map-2'!D72</f>
        <v/>
      </c>
    </row>
    <row r="73" spans="4:4" x14ac:dyDescent="0.75">
      <c r="D73" s="115" t="str">
        <f>'Radio-Map-2'!D73</f>
        <v/>
      </c>
    </row>
    <row r="74" spans="4:4" x14ac:dyDescent="0.75">
      <c r="D74" s="115" t="str">
        <f>'Radio-Map-2'!D74</f>
        <v/>
      </c>
    </row>
    <row r="75" spans="4:4" x14ac:dyDescent="0.75">
      <c r="D75" s="115" t="str">
        <f>'Radio-Map-2'!D75</f>
        <v/>
      </c>
    </row>
    <row r="76" spans="4:4" x14ac:dyDescent="0.75">
      <c r="D76" s="115" t="str">
        <f>'Radio-Map-2'!D76</f>
        <v/>
      </c>
    </row>
    <row r="77" spans="4:4" x14ac:dyDescent="0.75">
      <c r="D77" s="115" t="str">
        <f>'Radio-Map-2'!D77</f>
        <v/>
      </c>
    </row>
    <row r="78" spans="4:4" x14ac:dyDescent="0.75">
      <c r="D78" s="115" t="str">
        <f>'Radio-Map-2'!D78</f>
        <v/>
      </c>
    </row>
    <row r="79" spans="4:4" x14ac:dyDescent="0.75">
      <c r="D79" s="115" t="str">
        <f>'Radio-Map-2'!D79</f>
        <v/>
      </c>
    </row>
    <row r="80" spans="4:4" x14ac:dyDescent="0.75">
      <c r="D80" s="115" t="str">
        <f>'Radio-Map-2'!D80</f>
        <v/>
      </c>
    </row>
    <row r="81" spans="4:4" x14ac:dyDescent="0.75">
      <c r="D81" s="115" t="str">
        <f>'Radio-Map-2'!D81</f>
        <v>* differential.element[25].mapping[0].identity = "fhir"</v>
      </c>
    </row>
    <row r="82" spans="4:4" x14ac:dyDescent="0.75">
      <c r="D82" s="115" t="str">
        <f>'Radio-Map-2'!D82</f>
        <v>* differential.element[25].mapping[0].map = ".extension(http://hl7.eu/fhir/ig/pcsp/StructureDefinition/ResourceRelatedInfo-eu-pcsp).conformsTo(http://hl7.eu/fhir/ig/pcsp/StructureDefinition/Observation-cumulativeDoseRad-eu-pcsp)"</v>
      </c>
    </row>
    <row r="83" spans="4:4" x14ac:dyDescent="0.75">
      <c r="D83" s="115" t="str">
        <f>'Radio-Map-2'!D83</f>
        <v/>
      </c>
    </row>
    <row r="84" spans="4:4" x14ac:dyDescent="0.75">
      <c r="D84" s="115" t="str">
        <f>'Radio-Map-2'!D84</f>
        <v/>
      </c>
    </row>
    <row r="85" spans="4:4" x14ac:dyDescent="0.75">
      <c r="D85" s="115" t="str">
        <f>'Radio-Map-2'!D85</f>
        <v/>
      </c>
    </row>
    <row r="86" spans="4:4" x14ac:dyDescent="0.75">
      <c r="D86" s="115" t="str">
        <f>'Radio-Map-2'!D86</f>
        <v/>
      </c>
    </row>
    <row r="87" spans="4:4" x14ac:dyDescent="0.75">
      <c r="D87" s="115" t="str">
        <f>'Radio-Map-2'!D87</f>
        <v/>
      </c>
    </row>
    <row r="88" spans="4:4" x14ac:dyDescent="0.75">
      <c r="D88" s="115" t="str">
        <f>'Radio-Map-2'!D88</f>
        <v/>
      </c>
    </row>
    <row r="89" spans="4:4" x14ac:dyDescent="0.75">
      <c r="D89" s="115" t="str">
        <f>'Radio-Map-2'!D89</f>
        <v/>
      </c>
    </row>
    <row r="90" spans="4:4" x14ac:dyDescent="0.75">
      <c r="D90" s="115" t="str">
        <f>'Radio-Map-2'!D90</f>
        <v/>
      </c>
    </row>
    <row r="91" spans="4:4" x14ac:dyDescent="0.75">
      <c r="D91" s="115" t="str">
        <f>'Radio-Map-2'!D91</f>
        <v/>
      </c>
    </row>
    <row r="92" spans="4:4" x14ac:dyDescent="0.75">
      <c r="D92" s="115" t="str">
        <f>'Radio-Map-2'!D92</f>
        <v/>
      </c>
    </row>
    <row r="93" spans="4:4" x14ac:dyDescent="0.75">
      <c r="D93" s="115" t="str">
        <f>'Radio-Map-2'!D93</f>
        <v/>
      </c>
    </row>
    <row r="94" spans="4:4" x14ac:dyDescent="0.75">
      <c r="D94" s="115" t="str">
        <f>'Radio-Map-2'!D94</f>
        <v/>
      </c>
    </row>
    <row r="95" spans="4:4" x14ac:dyDescent="0.75">
      <c r="D95" s="115" t="str">
        <f>'Radio-Map-2'!D95</f>
        <v/>
      </c>
    </row>
    <row r="96" spans="4:4" x14ac:dyDescent="0.75">
      <c r="D96" s="115" t="str">
        <f>'Radio-Map-2'!D96</f>
        <v/>
      </c>
    </row>
    <row r="97" spans="4:4" x14ac:dyDescent="0.75">
      <c r="D97" s="115" t="str">
        <f>'Radio-Map-2'!D97</f>
        <v/>
      </c>
    </row>
    <row r="98" spans="4:4" x14ac:dyDescent="0.75">
      <c r="D98" s="115" t="str">
        <f>'Radio-Map-2'!D98</f>
        <v/>
      </c>
    </row>
    <row r="99" spans="4:4" x14ac:dyDescent="0.75">
      <c r="D99" s="115" t="str">
        <f>'Radio-Map-2'!D99</f>
        <v/>
      </c>
    </row>
    <row r="100" spans="4:4" x14ac:dyDescent="0.75">
      <c r="D100" s="115" t="str">
        <f>'Radio-Map-2'!D100</f>
        <v/>
      </c>
    </row>
    <row r="101" spans="4:4" x14ac:dyDescent="0.75">
      <c r="D101" s="115" t="str">
        <f>'Radio-Map-2'!D101</f>
        <v/>
      </c>
    </row>
    <row r="102" spans="4:4" x14ac:dyDescent="0.75">
      <c r="D102" s="115" t="str">
        <f>'Radio-Map-2'!D102</f>
        <v>* differential.element[32].mapping[0].identity = "fhir"</v>
      </c>
    </row>
    <row r="103" spans="4:4" x14ac:dyDescent="0.75">
      <c r="D103" s="115" t="str">
        <f>'Radio-Map-2'!D103</f>
        <v>* differential.element[32].mapping[0].map = "Procedure.conformsTo('http://hl7.eu/fhir/ig/pcsp/StructureDefinition/Procedure-radiotheraphyBoost-eu-pcsp')"</v>
      </c>
    </row>
    <row r="104" spans="4:4" x14ac:dyDescent="0.75">
      <c r="D104" s="115" t="str">
        <f>'Radio-Map-2'!D104</f>
        <v/>
      </c>
    </row>
    <row r="105" spans="4:4" x14ac:dyDescent="0.75">
      <c r="D105" s="115" t="str">
        <f>'Radio-Map-2'!D105</f>
        <v>* differential.element[33].mapping[0].identity = "fhir"</v>
      </c>
    </row>
    <row r="106" spans="4:4" x14ac:dyDescent="0.75">
      <c r="D106" s="115" t="str">
        <f>'Radio-Map-2'!D106</f>
        <v>* differential.element[33].mapping[0].map = ".code"</v>
      </c>
    </row>
    <row r="107" spans="4:4" x14ac:dyDescent="0.75">
      <c r="D107" s="115" t="str">
        <f>'Radio-Map-2'!D107</f>
        <v/>
      </c>
    </row>
    <row r="108" spans="4:4" x14ac:dyDescent="0.75">
      <c r="D108" s="115" t="str">
        <f>'Radio-Map-2'!D108</f>
        <v>* differential.element[34].mapping[0].identity = "fhir"</v>
      </c>
    </row>
    <row r="109" spans="4:4" x14ac:dyDescent="0.75">
      <c r="D109" s="115" t="str">
        <f>'Radio-Map-2'!D109</f>
        <v>* differential.element[34].mapping[0].map = ".status"</v>
      </c>
    </row>
    <row r="110" spans="4:4" x14ac:dyDescent="0.75">
      <c r="D110" s="115" t="str">
        <f>'Radio-Map-2'!D110</f>
        <v/>
      </c>
    </row>
    <row r="111" spans="4:4" x14ac:dyDescent="0.75">
      <c r="D111" s="115" t="str">
        <f>'Radio-Map-2'!D111</f>
        <v>* differential.element[35].mapping[0].identity = "fhir"</v>
      </c>
    </row>
    <row r="112" spans="4:4" x14ac:dyDescent="0.75">
      <c r="D112" s="115" t="str">
        <f>'Radio-Map-2'!D112</f>
        <v>* differential.element[35].mapping[0].map = ".bodySite"</v>
      </c>
    </row>
    <row r="113" spans="4:4" x14ac:dyDescent="0.75">
      <c r="D113" s="115" t="str">
        <f>'Radio-Map-2'!D113</f>
        <v/>
      </c>
    </row>
    <row r="114" spans="4:4" x14ac:dyDescent="0.75">
      <c r="D114" s="115" t="str">
        <f>'Radio-Map-2'!D114</f>
        <v>* differential.element[35].mapping[1].identity = "fhir"</v>
      </c>
    </row>
    <row r="115" spans="4:4" x14ac:dyDescent="0.75">
      <c r="D115" s="115"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5" t="str">
        <f>'Radio-Map-2'!D116</f>
        <v/>
      </c>
    </row>
    <row r="117" spans="4:4" x14ac:dyDescent="0.75">
      <c r="D117" s="115" t="str">
        <f>'Radio-Map-2'!D117</f>
        <v/>
      </c>
    </row>
    <row r="118" spans="4:4" x14ac:dyDescent="0.75">
      <c r="D118" s="115" t="str">
        <f>'Radio-Map-2'!D118</f>
        <v/>
      </c>
    </row>
    <row r="119" spans="4:4" x14ac:dyDescent="0.75">
      <c r="D119" s="115" t="str">
        <f>'Radio-Map-2'!D119</f>
        <v/>
      </c>
    </row>
    <row r="120" spans="4:4" x14ac:dyDescent="0.75">
      <c r="D120" s="115" t="str">
        <f>'Radio-Map-2'!D120</f>
        <v/>
      </c>
    </row>
    <row r="121" spans="4:4" x14ac:dyDescent="0.75">
      <c r="D121" s="115" t="str">
        <f>'Radio-Map-2'!D121</f>
        <v/>
      </c>
    </row>
    <row r="122" spans="4:4" x14ac:dyDescent="0.75">
      <c r="D122" s="115" t="str">
        <f>'Radio-Map-2'!D122</f>
        <v/>
      </c>
    </row>
    <row r="123" spans="4:4" x14ac:dyDescent="0.75">
      <c r="D123" s="115" t="str">
        <f>'Radio-Map-2'!D123</f>
        <v/>
      </c>
    </row>
    <row r="124" spans="4:4" x14ac:dyDescent="0.75">
      <c r="D124" s="115" t="str">
        <f>'Radio-Map-2'!D124</f>
        <v/>
      </c>
    </row>
    <row r="125" spans="4:4" x14ac:dyDescent="0.75">
      <c r="D125" s="115" t="str">
        <f>'Radio-Map-2'!D125</f>
        <v/>
      </c>
    </row>
    <row r="126" spans="4:4" x14ac:dyDescent="0.75">
      <c r="D126" s="115" t="str">
        <f>'Radio-Map-2'!D126</f>
        <v/>
      </c>
    </row>
    <row r="127" spans="4:4" x14ac:dyDescent="0.75">
      <c r="D127" s="115" t="str">
        <f>'Radio-Map-2'!D127</f>
        <v/>
      </c>
    </row>
    <row r="128" spans="4:4" x14ac:dyDescent="0.75">
      <c r="D128" s="115" t="str">
        <f>'Radio-Map-2'!D128</f>
        <v/>
      </c>
    </row>
    <row r="129" spans="4:4" x14ac:dyDescent="0.75">
      <c r="D129" s="115" t="str">
        <f>'Radio-Map-2'!D129</f>
        <v/>
      </c>
    </row>
    <row r="130" spans="4:4" x14ac:dyDescent="0.75">
      <c r="D130" s="115" t="str">
        <f>'Radio-Map-2'!D130</f>
        <v/>
      </c>
    </row>
    <row r="131" spans="4:4" x14ac:dyDescent="0.75">
      <c r="D131" s="115" t="str">
        <f>'Radio-Map-2'!D131</f>
        <v/>
      </c>
    </row>
    <row r="132" spans="4:4" x14ac:dyDescent="0.75">
      <c r="D132" s="115" t="str">
        <f>'Radio-Map-2'!D132</f>
        <v>* differential.element[41].mapping[0].identity = "fhir"</v>
      </c>
    </row>
    <row r="133" spans="4:4" x14ac:dyDescent="0.75">
      <c r="D133" s="115" t="str">
        <f>'Radio-Map-2'!D133</f>
        <v>* differential.element[41].mapping[0].map = ".extension(http://hl7.eu/fhir/ig/pcsp/StructureDefinition/ResourceRelatedInfo-eu-pcsp).conformsTo(http://hl7.eu/fhir/ig/pcsp/StructureDefinition/Observation-cumulativeDoseRad-eu-pcsp)"</v>
      </c>
    </row>
    <row r="134" spans="4:4" x14ac:dyDescent="0.75">
      <c r="D134" s="115" t="str">
        <f>'Radio-Map-2'!D134</f>
        <v/>
      </c>
    </row>
    <row r="135" spans="4:4" x14ac:dyDescent="0.75">
      <c r="D135" s="115" t="str">
        <f>'Radio-Map-2'!D135</f>
        <v/>
      </c>
    </row>
    <row r="136" spans="4:4" x14ac:dyDescent="0.75">
      <c r="D136" s="115" t="str">
        <f>'Radio-Map-2'!D136</f>
        <v/>
      </c>
    </row>
    <row r="137" spans="4:4" x14ac:dyDescent="0.75">
      <c r="D137" s="115" t="str">
        <f>'Radio-Map-2'!D137</f>
        <v/>
      </c>
    </row>
    <row r="138" spans="4:4" x14ac:dyDescent="0.75">
      <c r="D138" s="115" t="str">
        <f>'Radio-Map-2'!D138</f>
        <v/>
      </c>
    </row>
    <row r="139" spans="4:4" x14ac:dyDescent="0.75">
      <c r="D139" s="115" t="str">
        <f>'Radio-Map-2'!D139</f>
        <v/>
      </c>
    </row>
    <row r="140" spans="4:4" x14ac:dyDescent="0.75">
      <c r="D140" s="115" t="str">
        <f>'Radio-Map-2'!D140</f>
        <v/>
      </c>
    </row>
    <row r="141" spans="4:4" x14ac:dyDescent="0.75">
      <c r="D141" s="115" t="str">
        <f>'Radio-Map-2'!D141</f>
        <v/>
      </c>
    </row>
    <row r="142" spans="4:4" x14ac:dyDescent="0.75">
      <c r="D142" s="115" t="str">
        <f>'Radio-Map-2'!D142</f>
        <v/>
      </c>
    </row>
    <row r="143" spans="4:4" x14ac:dyDescent="0.75">
      <c r="D143" s="115" t="str">
        <f>'Radio-Map-2'!D143</f>
        <v/>
      </c>
    </row>
    <row r="144" spans="4:4" x14ac:dyDescent="0.75">
      <c r="D144" s="115" t="str">
        <f>'Radio-Map-2'!D144</f>
        <v/>
      </c>
    </row>
    <row r="145" spans="4:4" x14ac:dyDescent="0.75">
      <c r="D145" s="115" t="str">
        <f>'Radio-Map-2'!D145</f>
        <v/>
      </c>
    </row>
    <row r="146" spans="4:4" x14ac:dyDescent="0.75">
      <c r="D146" s="115" t="str">
        <f>'Radio-Map-2'!D146</f>
        <v/>
      </c>
    </row>
    <row r="147" spans="4:4" x14ac:dyDescent="0.75">
      <c r="D147" s="115" t="str">
        <f>'Radio-Map-2'!D147</f>
        <v/>
      </c>
    </row>
    <row r="148" spans="4:4" x14ac:dyDescent="0.75">
      <c r="D148" s="115" t="str">
        <f>'Radio-Map-2'!D148</f>
        <v/>
      </c>
    </row>
    <row r="149" spans="4:4" x14ac:dyDescent="0.75">
      <c r="D149" s="115" t="str">
        <f>'Radio-Map-2'!D149</f>
        <v/>
      </c>
    </row>
    <row r="150" spans="4:4" x14ac:dyDescent="0.75">
      <c r="D150" s="115" t="str">
        <f>'Radio-Map-2'!D150</f>
        <v/>
      </c>
    </row>
    <row r="151" spans="4:4" x14ac:dyDescent="0.75">
      <c r="D151" s="115" t="str">
        <f>'Radio-Map-2'!D151</f>
        <v/>
      </c>
    </row>
    <row r="152" spans="4:4" x14ac:dyDescent="0.75">
      <c r="D152" s="115" t="str">
        <f>'Radio-Map-2'!D152</f>
        <v/>
      </c>
    </row>
    <row r="153" spans="4:4" x14ac:dyDescent="0.75">
      <c r="D153" s="115" t="str">
        <f>'Radio-Map-2'!D153</f>
        <v/>
      </c>
    </row>
    <row r="154" spans="4:4" x14ac:dyDescent="0.75">
      <c r="D154" s="115" t="str">
        <f>'Radio-Map-2'!D154</f>
        <v/>
      </c>
    </row>
    <row r="155" spans="4:4" x14ac:dyDescent="0.75">
      <c r="D155" s="115" t="str">
        <f>'Radio-Map-2'!D155</f>
        <v/>
      </c>
    </row>
    <row r="156" spans="4:4" x14ac:dyDescent="0.75">
      <c r="D156" s="115" t="str">
        <f>'Radio-Map-2'!D156</f>
        <v/>
      </c>
    </row>
    <row r="157" spans="4:4" x14ac:dyDescent="0.75">
      <c r="D157" s="115" t="str">
        <f>'Radio-Map-2'!D157</f>
        <v/>
      </c>
    </row>
    <row r="158" spans="4:4" x14ac:dyDescent="0.75">
      <c r="D158" s="115" t="str">
        <f>'Radio-Map-2'!D158</f>
        <v/>
      </c>
    </row>
    <row r="159" spans="4:4" x14ac:dyDescent="0.75">
      <c r="D159" s="115" t="str">
        <f>'Radio-Map-2'!D159</f>
        <v/>
      </c>
    </row>
    <row r="160" spans="4:4" x14ac:dyDescent="0.75">
      <c r="D160" s="115" t="str">
        <f>'Radio-Map-2'!D160</f>
        <v/>
      </c>
    </row>
    <row r="161" spans="4:4" x14ac:dyDescent="0.75">
      <c r="D161" s="115" t="str">
        <f>'Radio-Map-2'!D161</f>
        <v/>
      </c>
    </row>
    <row r="162" spans="4:4" x14ac:dyDescent="0.75">
      <c r="D162" s="115" t="str">
        <f>'Radio-Map-2'!D162</f>
        <v/>
      </c>
    </row>
    <row r="163" spans="4:4" x14ac:dyDescent="0.75">
      <c r="D163" s="115" t="str">
        <f>'Radio-Map-2'!D163</f>
        <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c>
    </row>
    <row r="169" spans="4:4" x14ac:dyDescent="0.75">
      <c r="D169" s="115" t="str">
        <f>'Radio-Map-2'!D169</f>
        <v/>
      </c>
    </row>
    <row r="170" spans="4:4" x14ac:dyDescent="0.75">
      <c r="D170" s="115">
        <f>'Radio-Map-2'!D170</f>
        <v>0</v>
      </c>
    </row>
    <row r="171" spans="4:4" x14ac:dyDescent="0.75">
      <c r="D171" s="115" t="str">
        <f>'Radio-Map-2'!D171</f>
        <v/>
      </c>
    </row>
    <row r="172" spans="4:4" x14ac:dyDescent="0.75">
      <c r="D172" s="115" t="str">
        <f>'Radio-Map-2'!D172</f>
        <v/>
      </c>
    </row>
    <row r="173" spans="4:4" x14ac:dyDescent="0.75">
      <c r="D173" s="115">
        <f>'Radio-Map-2'!D173</f>
        <v>0</v>
      </c>
    </row>
    <row r="174" spans="4:4" x14ac:dyDescent="0.75">
      <c r="D174" s="115" t="str">
        <f>'Radio-Map-2'!D174</f>
        <v/>
      </c>
    </row>
    <row r="175" spans="4:4" x14ac:dyDescent="0.75">
      <c r="D175" s="115" t="str">
        <f>'Radio-Map-2'!D175</f>
        <v/>
      </c>
    </row>
    <row r="176" spans="4:4" x14ac:dyDescent="0.75">
      <c r="D176" s="115">
        <f>'Radio-Map-2'!D176</f>
        <v>0</v>
      </c>
    </row>
    <row r="177" spans="4:4" x14ac:dyDescent="0.75">
      <c r="D177" s="115" t="str">
        <f>'Radio-Map-2'!D177</f>
        <v/>
      </c>
    </row>
    <row r="178" spans="4:4" x14ac:dyDescent="0.75">
      <c r="D178" s="115" t="str">
        <f>'Radio-Map-2'!D178</f>
        <v/>
      </c>
    </row>
    <row r="179" spans="4:4" x14ac:dyDescent="0.75">
      <c r="D179" s="115">
        <f>'Radio-Map-2'!D179</f>
        <v>0</v>
      </c>
    </row>
    <row r="180" spans="4:4" x14ac:dyDescent="0.75">
      <c r="D180" s="115" t="str">
        <f>'Radio-Map-2'!D180</f>
        <v/>
      </c>
    </row>
    <row r="181" spans="4:4" x14ac:dyDescent="0.75">
      <c r="D181" s="115" t="str">
        <f>'Radio-Map-2'!D181</f>
        <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f>'Radio-Map-2'!D192</f>
        <v>0</v>
      </c>
    </row>
    <row r="193" spans="4:4" x14ac:dyDescent="0.75">
      <c r="D193" s="115">
        <f>'Radio-Map-2'!D193</f>
        <v>0</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2022-03-25T09:05:10Z</dcterms:modified>
</cp:coreProperties>
</file>