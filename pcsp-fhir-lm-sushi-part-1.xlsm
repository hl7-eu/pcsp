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CF435FE2-0633-45F8-BBC5-EA138C28A4A3}"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<sst xmlns="http://schemas.openxmlformats.org/spreadsheetml/2006/main" count="2943" uniqueCount="1255">
  <si>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</si>
  <si>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</si>
  <si>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</si>
  <si>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</si>
  <si>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</si>
  <si>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</si>
  <si>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</si>
  <si>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</si>
  <si>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</si>
  <si>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</si>
  <si>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</si>
  <si>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</si>
  <si>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</si>
  <si>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</si>
  <si>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</si>
  <si>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</si>
  <si>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</si>
  <si>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</si>
  <si>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</si>
  <si>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</si>
  <si>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</si>
  <si>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</si>
  <si>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</si>
  <si>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</si>
  <si>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</si>
  <si>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</si>
  <si>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</si>
  <si>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</si>
  <si>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</si>
  <si>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</si>
  <si>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</si>
  <si>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</si>
  <si>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</si>
  <si>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</si>
  <si>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</si>
  <si>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</si>
  <si>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</si>
  <si>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</si>
  <si>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</si>
  <si>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</si>
  <si>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</si>
  <si>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</si>
  <si>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</si>
  <si>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</si>
  <si>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</si>
  <si>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</si>
  <si>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</si>
  <si>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</si>
  <si>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</si>
  <si>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</si>
  <si>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</si>
  <si>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</si>
  <si>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</si>
  <si>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</si>
  <si>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</si>
  <si>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</si>
  <si>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</si>
  <si>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</si>
  <si>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</si>
  <si>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</si>
  <si>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</si>
  <si>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</si>
  <si>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</si>
  <si>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</si>
  <si>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</si>
  <si>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</si>
  <si>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</si>
  <si>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</si>
  <si>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</si>
  <si>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</si>
  <si>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</si>
  <si>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</si>
  <si>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</si>
  <si>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</si>
  <si>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</si>
  <si>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</si>
  <si>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</si>
  <si>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</si>
  <si>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</si>
  <si>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</si>
  <si>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</si>
  <si>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</si>
  <si>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</si>
  <si>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</si>
  <si>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</si>
  <si>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</si>
  <si>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</si>
  <si>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</si>
  <si>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</si>
  <si>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</si>
  <si>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</si>
  <si>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</si>
  <si>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</si>
  <si>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</si>
  <si>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</si>
  <si>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</si>
  <si>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</si>
  <si>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</si>
  <si>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</si>
  <si>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</si>
  <si>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</si>
  <si>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</si>
  <si>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</si>
  <si>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</si>
  <si>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</si>
  <si>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</si>
  <si>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</si>
  <si>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</si>
  <si>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</si>
  <si>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</si>
  <si>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</si>
  <si>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</si>
  <si>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</si>
  <si>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</si>
  <si>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</si>
  <si>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</si>
  <si>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</si>
  <si>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</si>
  <si>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</si>
  <si>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</si>
  <si>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</si>
  <si>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</si>
  <si>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</si>
  <si>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</si>
  <si>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</si>
  <si>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</si>
  <si>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</si>
  <si>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</si>
  <si>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</si>
  <si>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</si>
  <si>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</si>
  <si>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</si>
  <si>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</si>
  <si>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</si>
  <si>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</si>
  <si>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</si>
  <si>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</si>
  <si>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</si>
  <si>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</si>
  <si>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</si>
  <si>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</si>
  <si>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</si>
  <si>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</si>
  <si>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</si>
  <si>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</si>
  <si>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</si>
  <si>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</si>
  <si>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</si>
  <si>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</si>
  <si>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</si>
  <si>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</si>
  <si>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</si>
  <si>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</si>
  <si>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</si>
  <si>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</si>
  <si>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</si>
  <si>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</si>
  <si>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</si>
  <si>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</si>
  <si>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</si>
  <si>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</si>
  <si>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</si>
  <si>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</si>
  <si>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</si>
  <si>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</si>
  <si>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</si>
  <si>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</si>
  <si>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</si>
  <si>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</si>
  <si>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</si>
  <si>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</si>
  <si>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</si>
  <si>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</si>
  <si>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</si>
  <si>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</si>
  <si>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</si>
  <si>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</si>
  <si>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</si>
  <si>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</si>
  <si>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</si>
  <si>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</si>
  <si>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</si>
  <si>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</si>
  <si>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</si>
  <si>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</si>
  <si>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</si>
  <si>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</si>
  <si>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</si>
  <si>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</si>
  <si>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</si>
  <si>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</si>
  <si>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</si>
  <si>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</si>
  <si>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</si>
  <si>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</si>
  <si>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</si>
  <si>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</si>
  <si>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</si>
  <si>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</si>
  <si>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</si>
  <si>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</si>
  <si>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</si>
  <si>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</si>
  <si>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</si>
  <si>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</si>
  <si>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</si>
  <si>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</si>
  <si>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</si>
  <si>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</si>
  <si>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</si>
  <si>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</si>
  <si>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</si>
  <si>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</si>
  <si>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</si>
  <si>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</si>
  <si>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</si>
  <si>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</si>
  <si>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</si>
  <si>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</si>
  <si>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</si>
  <si>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</si>
  <si>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</si>
  <si>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</si>
  <si>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</si>
  <si>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</si>
  <si>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</si>
  <si>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</si>
  <si>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</si>
  <si>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</si>
  <si>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</si>
  <si>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</si>
  <si>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</si>
  <si>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</si>
  <si>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</si>
  <si>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</si>
  <si>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</si>
  <si>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</si>
  <si>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</si>
  <si>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</si>
  <si>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</si>
  <si>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</si>
  <si>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</si>
  <si>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</si>
  <si>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</si>
  <si>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</si>
  <si>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</si>
  <si>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</si>
  <si>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</si>
  <si>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</si>
  <si>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</si>
  <si>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</si>
  <si>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</si>
  <si>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</si>
  <si>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</si>
  <si>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</si>
  <si>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</si>
  <si>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</si>
  <si>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</si>
  <si>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</si>
  <si>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</si>
  <si>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</si>
  <si>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</si>
  <si>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</si>
  <si>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</si>
  <si>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</si>
  <si>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</si>
  <si>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</si>
  <si>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</si>
  <si>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</si>
  <si>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</si>
  <si>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</si>
  <si>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</si>
  <si>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</si>
  <si>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</si>
  <si>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</si>
  <si>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</si>
  <si>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</si>
  <si>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</si>
  <si>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</si>
  <si>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</si>
  <si>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</si>
  <si>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</si>
  <si>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</si>
  <si>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</si>
  <si>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</si>
  <si>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</si>
  <si>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</si>
  <si>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</si>
  <si>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</si>
  <si>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</si>
  <si>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</si>
  <si>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</si>
  <si>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</si>
  <si>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</si>
  <si>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</si>
  <si>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</si>
  <si>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</si>
  <si>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</si>
  <si>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</si>
  <si>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</si>
  <si>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</si>
  <si>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</si>
  <si>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</si>
  <si>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</si>
  <si>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</si>
  <si>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</si>
  <si>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</si>
  <si>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</si>
  <si>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</si>
  <si>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</si>
  <si>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</si>
  <si>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</si>
  <si>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</si>
  <si>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</si>
  <si>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</si>
  <si>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</si>
  <si>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</si>
  <si>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</si>
  <si>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</si>
  <si>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</si>
  <si>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</si>
  <si>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</si>
  <si>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</si>
  <si>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</si>
  <si>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</si>
  <si>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</si>
  <si>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</si>
  <si>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</si>
  <si>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</si>
  <si>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</si>
  <si>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</si>
  <si>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</si>
  <si>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</si>
  <si>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</si>
  <si>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</si>
  <si>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</si>
  <si>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</si>
  <si>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</si>
  <si>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</si>
  <si>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</si>
  <si>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</si>
  <si>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</si>
  <si>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</si>
  <si>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</si>
  <si>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</si>
  <si>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</si>
  <si>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</si>
  <si>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</si>
  <si>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</si>
  <si>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</si>
  <si>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</si>
  <si>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</si>
  <si>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</si>
  <si>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</si>
  <si>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</si>
  <si>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</si>
  <si>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</si>
  <si>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</si>
  <si>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</si>
  <si>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</si>
  <si>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</si>
  <si>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</si>
  <si>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</si>
  <si>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</si>
  <si>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</si>
  <si>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</si>
  <si>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</si>
  <si>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</si>
  <si>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</si>
  <si>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</si>
  <si>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</si>
  <si>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</si>
  <si>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</si>
  <si>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</si>
  <si>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</si>
  <si>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</si>
  <si>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</si>
  <si>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</si>
  <si>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</si>
  <si>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</si>
  <si>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</si>
  <si>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</si>
  <si>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</si>
  <si>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</si>
  <si>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</si>
  <si>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</si>
  <si>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</si>
  <si>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</si>
  <si>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</si>
  <si>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</si>
  <si>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</si>
  <si>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</si>
  <si>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</si>
  <si>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</si>
  <si>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</si>
  <si>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</si>
  <si>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</si>
  <si>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</si>
  <si>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</si>
  <si>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</si>
  <si>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</si>
  <si>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</si>
  <si>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</si>
  <si>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</si>
  <si>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</si>
  <si>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</si>
  <si>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</si>
  <si>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</si>
  <si>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</si>
  <si>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</si>
  <si>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</si>
  <si>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</si>
  <si>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</si>
  <si>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</si>
  <si>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</si>
  <si>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</si>
  <si>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</si>
  <si>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</si>
  <si>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</si>
  <si>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</si>
  <si>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</si>
  <si>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</si>
  <si>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</si>
  <si>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</si>
  <si>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</si>
  <si>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</si>
  <si>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</si>
  <si>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</si>
  <si>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</si>
  <si>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</si>
  <si>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</si>
  <si>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</si>
  <si>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</si>
  <si>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</si>
  <si>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</si>
  <si>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</si>
  <si>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</si>
  <si>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</si>
  <si>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</si>
  <si>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</si>
  <si>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</si>
  <si>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</si>
  <si>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</si>
  <si>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</si>
  <si>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</si>
  <si>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</si>
  <si>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</si>
  <si>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</si>
  <si>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</si>
  <si>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</si>
  <si>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</si>
  <si>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</si>
  <si>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</si>
  <si>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</si>
  <si>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</si>
  <si>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</si>
  <si>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</si>
  <si>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</si>
  <si>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</si>
  <si>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</si>
  <si>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</si>
  <si>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</si>
  <si>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</si>
  <si>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</si>
  <si>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</si>
  <si>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</si>
  <si>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</si>
  <si>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</si>
  <si>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</si>
  <si>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</si>
  <si>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</si>
  <si>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</si>
  <si>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</si>
  <si>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</si>
  <si>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</si>
  <si>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</si>
  <si>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</si>
  <si>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</si>
  <si>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</si>
  <si>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</si>
  <si>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</si>
  <si>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</si>
  <si>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</si>
  <si>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</si>
  <si>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</si>
  <si>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</si>
  <si>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</si>
  <si>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</si>
  <si>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</si>
  <si>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</si>
  <si>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</si>
  <si>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</si>
  <si>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</si>
  <si>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</si>
  <si>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</si>
  <si>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</si>
  <si>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</si>
  <si>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</si>
  <si>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</si>
  <si>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</si>
  <si>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</si>
  <si>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</si>
  <si>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</si>
  <si>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</si>
  <si>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</si>
  <si>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</si>
  <si>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</si>
  <si>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</si>
  <si>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</si>
  <si>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</si>
  <si>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</si>
  <si>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</si>
  <si>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</si>
  <si>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</si>
  <si>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</si>
  <si>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</si>
  <si>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</si>
  <si>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</si>
  <si>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</si>
  <si>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</si>
  <si>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</si>
  <si>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</si>
  <si>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</si>
  <si>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</si>
  <si>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</si>
  <si>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</si>
  <si>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</si>
  <si>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</si>
  <si>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</si>
  <si>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</si>
  <si>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</si>
  <si>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</si>
  <si>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</si>
  <si>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</si>
  <si>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</si>
  <si>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</si>
  <si>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</si>
  <si>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</si>
  <si>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</si>
  <si>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</si>
  <si>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</si>
  <si>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</si>
  <si>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</si>
  <si>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</si>
  <si>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</si>
  <si>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</si>
  <si>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</si>
  <si>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</si>
  <si>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</si>
  <si>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</si>
  <si>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</si>
  <si>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</si>
  <si>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</si>
  <si>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</si>
  <si>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</si>
  <si>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</si>
  <si>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</si>
  <si>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</si>
  <si>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</si>
  <si>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</si>
  <si>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</si>
  <si>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</si>
  <si>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</si>
  <si>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</si>
  <si>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</si>
  <si>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</si>
  <si>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</si>
  <si>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</si>
  <si>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</si>
  <si>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</si>
  <si>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</si>
  <si>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</si>
  <si>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</si>
  <si>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</si>
  <si>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</si>
  <si>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</si>
  <si>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</si>
  <si>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</si>
  <si>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</si>
  <si>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</si>
  <si>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</si>
  <si>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</si>
  <si>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</si>
  <si>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</si>
  <si>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</si>
  <si>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</si>
  <si>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</si>
  <si>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</si>
  <si>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</si>
  <si>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</si>
  <si>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</si>
  <si>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</si>
  <si>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</si>
  <si>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</si>
  <si>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</si>
  <si>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</si>
  <si>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</si>
  <si>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</si>
  <si>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</si>
  <si>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</si>
  <si>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</si>
  <si>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</si>
  <si>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</si>
  <si>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</si>
  <si>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</si>
  <si>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</si>
  <si>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</si>
  <si>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</si>
  <si>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</si>
  <si>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</si>
  <si>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</si>
  <si>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</si>
  <si>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</si>
  <si>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</si>
  <si>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</si>
  <si>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</si>
  <si>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</si>
  <si>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</si>
  <si>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</si>
  <si>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</si>
  <si>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</si>
  <si>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</si>
  <si>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</si>
  <si>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</si>
  <si>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</si>
  <si>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</si>
  <si>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</si>
  <si>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</si>
  <si>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</si>
  <si>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</si>
  <si>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</si>
  <si>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</si>
  <si>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</si>
  <si>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</si>
  <si>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</si>
  <si>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</si>
  <si>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</si>
  <si>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</si>
  <si>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</si>
  <si>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</si>
  <si>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</si>
  <si>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</si>
  <si>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</si>
  <si>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</si>
  <si>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</si>
  <si>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</si>
  <si>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</si>
  <si>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</si>
  <si>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</si>
  <si>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</si>
  <si>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</si>
  <si>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</si>
  <si>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</si>
  <si>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</si>
  <si>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</si>
  <si>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</si>
  <si>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</si>
  <si>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</si>
  <si>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</si>
  <si>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</si>
  <si>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</si>
  <si>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</si>
  <si>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</si>
  <si>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</si>
  <si>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</si>
  <si>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</si>
  <si>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</si>
  <si>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</si>
  <si>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</si>
  <si>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</si>
  <si>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</si>
  <si>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</si>
  <si>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</si>
  <si>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</si>
  <si>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</si>
  <si>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</si>
  <si>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</si>
  <si>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</si>
  <si>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</si>
  <si>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</si>
  <si>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</si>
  <si>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</si>
  <si>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</si>
  <si>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</si>
  <si>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</si>
  <si>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</si>
  <si>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</si>
  <si>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</si>
  <si>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</si>
  <si>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</si>
  <si>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</si>
  <si>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</si>
  <si>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</si>
  <si>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</si>
  <si>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</si>
  <si>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</si>
  <si>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</si>
  <si>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</si>
  <si>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</si>
  <si>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</si>
  <si>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</si>
  <si>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</si>
  <si>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</si>
  <si>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</si>
  <si>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</si>
  <si>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</si>
  <si>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</si>
  <si>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</si>
  <si>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</si>
  <si>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</si>
  <si>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</si>
  <si>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</si>
  <si>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</si>
  <si>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</si>
  <si>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</si>
  <si>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</si>
  <si>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</si>
  <si>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</si>
  <si>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</si>
  <si>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</si>
  <si>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</si>
  <si>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</si>
  <si>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</si>
  <si>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</si>
  <si>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</si>
  <si>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</si>
  <si>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</si>
  <si>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</si>
  <si>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</si>
  <si>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</si>
  <si>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</si>
  <si>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</si>
  <si>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</si>
  <si>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</si>
  <si>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</si>
  <si>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</si>
  <si>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</si>
  <si>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</si>
  <si>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</si>
  <si>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</si>
  <si>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</si>
  <si>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</si>
  <si>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</si>
  <si>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</si>
  <si>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</si>
  <si>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</si>
  <si>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</si>
  <si>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</si>
  <si>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</si>
  <si>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</si>
  <si>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</si>
  <si>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</si>
  <si>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</si>
  <si>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</si>
  <si>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</si>
  <si>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</si>
  <si>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</si>
  <si>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</si>
  <si>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</si>
  <si>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</si>
  <si>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</si>
  <si>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</si>
  <si>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</si>
  <si>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</si>
  <si>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</si>
  <si>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</si>
  <si>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</si>
  <si>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</si>
  <si>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</si>
  <si>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</si>
  <si>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</si>
  <si>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</si>
  <si>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</si>
  <si>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</si>
  <si>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</si>
  <si>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</si>
  <si>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</si>
  <si>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</si>
  <si>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</si>
  <si>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</si>
  <si>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</si>
  <si>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</si>
  <si>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</si>
  <si>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</si>
  <si>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</si>
  <si>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</si>
  <si>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</si>
  <si>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</si>
  <si>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</si>
  <si>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</si>
  <si>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</si>
  <si>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</si>
  <si>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</si>
  <si>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</si>
  <si>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</si>
  <si>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</si>
  <si>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</si>
  <si>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</si>
  <si>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</si>
  <si>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</si>
  <si>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</si>
  <si>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</si>
  <si>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</si>
  <si>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</si>
  <si>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</si>
  <si>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</si>
  <si>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</si>
  <si>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</si>
  <si>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</si>
  <si>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</si>
  <si>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</si>
  <si>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</si>
  <si>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</si>
  <si>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</si>
  <si>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</si>
  <si>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</si>
  <si>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</si>
  <si>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</si>
  <si>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</si>
  <si>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</si>
  <si>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</si>
  <si>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</si>
  <si>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</si>
  <si>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</si>
  <si>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</si>
  <si>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</si>
  <si>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</si>
  <si>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</si>
  <si>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</si>
  <si>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</si>
  <si>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</si>
  <si>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</si>
  <si>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</si>
  <si>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</si>
  <si>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</si>
  <si>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</si>
  <si>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</si>
  <si>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</si>
  <si>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</si>
  <si>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</si>
  <si>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</si>
  <si>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</si>
  <si>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</si>
  <si>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</si>
  <si>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</si>
  <si>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</si>
  <si>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</si>
  <si>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</si>
  <si>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</si>
  <si>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</si>
  <si>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</si>
  <si>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</si>
  <si>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</si>
  <si>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</si>
  <si>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</si>
  <si>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</si>
  <si>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</si>
  <si>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</si>
  <si>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</si>
  <si>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</si>
  <si>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</si>
  <si>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</si>
  <si>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</si>
  <si>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</si>
  <si>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</si>
  <si>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</si>
  <si>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</si>
  <si>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</si>
  <si>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</si>
  <si>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</si>
  <si>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</si>
  <si>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</si>
  <si>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</si>
  <si>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</si>
  <si>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</si>
  <si>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</si>
  <si>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</si>
  <si>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</si>
  <si>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</si>
  <si>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</si>
  <si>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</si>
  <si>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</si>
  <si>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</si>
  <si>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</si>
  <si>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</si>
  <si>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</si>
  <si>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</si>
  <si>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</si>
  <si>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</si>
  <si>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</si>
  <si>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</si>
  <si>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</si>
  <si>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</si>
  <si>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</si>
  <si>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</si>
  <si>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</si>
  <si>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</si>
  <si>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</si>
  <si>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</si>
  <si>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</si>
  <si>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</si>
  <si>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</si>
  <si>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</si>
  <si>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</si>
  <si>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</si>
  <si>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</si>
  <si>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</si>
  <si>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</si>
  <si>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</si>
  <si>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</si>
  <si>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</si>
  <si>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</si>
  <si>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</si>
  <si>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</si>
  <si>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</si>
  <si>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</si>
  <si>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</si>
  <si>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</si>
  <si>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</si>
  <si>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</si>
  <si>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</si>
  <si>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</si>
  <si>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</si>
  <si>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</si>
  <si>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</si>
  <si>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</si>
  <si>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</si>
  <si>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</si>
  <si>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</si>
  <si>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</si>
  <si>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</si>
  <si>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</si>
  <si>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</si>
  <si>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</si>
  <si>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</si>
  <si>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</si>
  <si>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</si>
  <si>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</si>
  <si>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</si>
  <si>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</si>
  <si>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</si>
  <si>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</si>
  <si>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</si>
  <si>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</si>
  <si>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</si>
  <si>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</si>
  <si>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</si>
  <si>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</si>
  <si>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</si>
  <si>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</si>
  <si>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</si>
  <si>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</si>
  <si>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</si>
  <si>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</si>
  <si>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</si>
  <si>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</si>
  <si>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</si>
  <si>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</si>
  <si>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</si>
  <si>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</si>
  <si>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</si>
  <si>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</si>
  <si>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</si>
  <si>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</si>
  <si>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</si>
  <si>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</si>
  <si>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</si>
  <si>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</si>
  <si>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</si>
  <si>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</si>
  <si>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</si>
  <si>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</si>
  <si>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</si>
  <si>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</si>
  <si>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</si>
  <si>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</si>
  <si>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</si>
  <si>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</si>
  <si>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</si>
  <si>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</si>
  <si>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</si>
  <si>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</si>
  <si>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</si>
  <si>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</si>
  <si>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</si>
  <si>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</si>
  <si>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</si>
  <si>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</si>
  <si>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</si>
  <si>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</si>
  <si>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</si>
  <si>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</si>
  <si>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</si>
  <si>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</si>
  <si>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</si>
  <si>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</si>
  <si>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</si>
  <si>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</si>
  <si>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</si>
  <si>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</si>
  <si>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</si>
  <si>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</si>
  <si>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</si>
  <si>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</si>
  <si>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</si>
  <si>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</si>
  <si>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</si>
  <si>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</si>
  <si>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</si>
  <si>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</si>
  <si>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</si>
  <si>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</si>
  <si>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</si>
  <si>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</si>
  <si>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</si>
  <si>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</si>
  <si>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</si>
  <si>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</si>
  <si>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</si>
  <si>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</si>
  <si>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</si>
  <si>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</si>
  <si>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</si>
  <si>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</si>
  <si>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</si>
  <si>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</si>
  <si>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</si>
  <si>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</si>
  <si>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</si>
  <si>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</si>
  <si>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</si>
  <si>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</si>
  <si>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</si>
  <si>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</si>
  <si>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</si>
  <si>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</si>
  <si>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</si>
  <si>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</si>
  <si>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</si>
  <si>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</si>
  <si>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</si>
  <si>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</si>
  <si>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</si>
  <si>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</si>
  <si>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</si>
  <si>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</si>
  <si>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</si>
  <si>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</si>
  <si>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</si>
  <si>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</si>
  <si>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</si>
  <si>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</si>
  <si>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</si>
  <si>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</si>
  <si>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</si>
  <si>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</si>
  <si>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</si>
  <si>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</si>
  <si>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</si>
  <si>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</si>
  <si>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</si>
  <si>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</si>
  <si>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</si>
  <si>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</si>
  <si>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</si>
  <si>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</si>
  <si>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</si>
  <si>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</si>
  <si>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</si>
  <si>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</si>
  <si>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</si>
  <si>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</si>
  <si>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</si>
  <si>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</si>
  <si>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</si>
  <si>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</si>
  <si>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</si>
  <si>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</si>
  <si>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</si>
  <si>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</si>
  <si>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</si>
  <si>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</si>
  <si>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</si>
  <si>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</si>
  <si>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</si>
  <si>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</si>
  <si>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</si>
  <si>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</si>
  <si>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</si>
  <si>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</si>
  <si>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</si>
  <si>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</si>
  <si>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</si>
  <si>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</si>
  <si>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</si>
  <si>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</si>
  <si>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</si>
  <si>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</si>
  <si>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</si>
  <si>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</si>
  <si>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</si>
  <si>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</si>
  <si>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</si>
  <si>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</si>
  <si>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</si>
  <si>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</si>
  <si>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</si>
  <si>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</si>
  <si>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</si>
  <si>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</si>
  <si>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</si>
  <si>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</si>
  <si>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</si>
  <si>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</si>
  <si>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</si>
  <si>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</si>
  <si>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</si>
  <si>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</si>
  <si>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</si>
  <si>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</si>
  <si>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</si>
  <si>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</si>
  <si>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</si>
  <si>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</si>
  <si>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</si>
  <si>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</si>
  <si>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</si>
  <si>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</si>
  <si>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</si>
  <si>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</si>
  <si>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</si>
  <si>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</si>
  <si>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</si>
  <si>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</si>
  <si>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</si>
  <si>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</si>
  <si>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</si>
  <si>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</si>
  <si>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</si>
  <si>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</si>
  <si>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</si>
  <si>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</si>
  <si>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</si>
  <si>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</si>
  <si>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</si>
  <si>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</si>
  <si>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</si>
  <si>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</si>
  <si>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</si>
  <si>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</si>
  <si>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</si>
  <si>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</si>
  <si>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</si>
  <si>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</si>
  <si>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</si>
  <si>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</si>
  <si>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</si>
  <si>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</si>
  <si>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</si>
  <si>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</si>
  <si>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</si>
  <si>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</si>
  <si>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</si>
  <si>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</si>
  <si>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</si>
  <si>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</si>
  <si>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</si>
  <si>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</si>
  <si>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</si>
  <si>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</si>
  <si>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</si>
  <si>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</si>
  <si>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</si>
  <si>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</si>
  <si>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</si>
  <si>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</si>
  <si>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</si>
  <si>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</si>
  <si>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</si>
  <si>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</si>
  <si>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</si>
  <si>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</si>
  <si>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</si>
  <si>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</si>
  <si>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</si>
  <si>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</si>
  <si>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</si>
  <si>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</si>
  <si>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</si>
  <si>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</si>
  <si>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</si>
  <si>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</si>
  <si>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</si>
  <si>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</si>
  <si>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</si>
  <si>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</si>
  <si>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</si>
  <si>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</si>
  <si>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</si>
  <si>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</si>
  <si>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</si>
  <si>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</si>
  <si>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</si>
  <si>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</si>
  <si>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</si>
  <si>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</si>
  <si>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</si>
  <si>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</si>
  <si>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</si>
  <si>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</si>
  <si>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</si>
  <si>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</si>
  <si>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</si>
  <si>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</si>
  <si>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</si>
  <si>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</si>
  <si>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</si>
  <si>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</si>
  <si>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</si>
  <si>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</si>
  <si>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</si>
  <si>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</si>
  <si>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</si>
  <si>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</si>
  <si>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</si>
  <si>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</si>
  <si>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</si>
  <si>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</si>
  <si>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</si>
  <si>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</si>
  <si>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</si>
  <si>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</si>
  <si>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Treatment Summary data model - Maturity Level: 1 - Profiles in progress</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</si>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</sst>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21"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33"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5" t="s">
        <v>111</v>
      </c>
      <c r="B2" s="62"/>
      <c r="C2" s="63" t="s">
        <v>112</v>
      </c>
      <c r="D2" s="64"/>
      <c r="E2" s="64"/>
      <c r="F2" s="64"/>
      <c r="G2" s="64"/>
      <c r="H2" s="64"/>
      <c r="I2" s="64"/>
      <c r="J2" s="65"/>
      <c r="K2" s="64"/>
    </row>
    <row r="3" spans="1:11" ht="40.5" customHeight="1" x14ac:dyDescent="0.75">
      <c r="A3" s="156"/>
      <c r="B3" s="66"/>
      <c r="C3" s="67" t="s">
        <v>23</v>
      </c>
      <c r="D3" s="68" t="s">
        <v>23</v>
      </c>
      <c r="E3" s="68" t="s">
        <v>113</v>
      </c>
      <c r="F3" s="68"/>
      <c r="G3" s="68" t="s">
        <v>114</v>
      </c>
      <c r="H3" s="68"/>
      <c r="I3" s="68" t="s">
        <v>115</v>
      </c>
      <c r="J3" s="68" t="s">
        <v>116</v>
      </c>
      <c r="K3" s="69" t="s">
        <v>115</v>
      </c>
    </row>
    <row r="4" spans="1:11" ht="40.5" customHeight="1" x14ac:dyDescent="0.75">
      <c r="A4" s="156"/>
      <c r="B4" s="66"/>
      <c r="C4" s="70" t="s">
        <v>72</v>
      </c>
      <c r="D4" s="71" t="s">
        <v>117</v>
      </c>
      <c r="E4" s="71" t="s">
        <v>113</v>
      </c>
      <c r="F4" s="71"/>
      <c r="G4" s="68" t="s">
        <v>118</v>
      </c>
      <c r="H4" s="68"/>
      <c r="I4" s="71" t="s">
        <v>119</v>
      </c>
      <c r="J4" s="68" t="s">
        <v>120</v>
      </c>
      <c r="K4" s="69" t="s">
        <v>121</v>
      </c>
    </row>
    <row r="5" spans="1:11" ht="40.5" customHeight="1" x14ac:dyDescent="0.75">
      <c r="A5" s="156"/>
      <c r="B5" s="66"/>
      <c r="C5" s="70" t="s">
        <v>77</v>
      </c>
      <c r="D5" s="71" t="s">
        <v>122</v>
      </c>
      <c r="E5" s="71" t="s">
        <v>113</v>
      </c>
      <c r="F5" s="71"/>
      <c r="G5" s="68" t="s">
        <v>118</v>
      </c>
      <c r="H5" s="68"/>
      <c r="I5" s="71" t="s">
        <v>123</v>
      </c>
      <c r="J5" s="68" t="s">
        <v>124</v>
      </c>
      <c r="K5" s="69" t="s">
        <v>121</v>
      </c>
    </row>
    <row r="6" spans="1:11" ht="40.5" customHeight="1" x14ac:dyDescent="0.75">
      <c r="A6" s="156"/>
      <c r="B6" s="66"/>
      <c r="C6" s="70" t="s">
        <v>74</v>
      </c>
      <c r="D6" s="71" t="s">
        <v>125</v>
      </c>
      <c r="E6" s="71" t="s">
        <v>113</v>
      </c>
      <c r="F6" s="71"/>
      <c r="G6" s="68" t="s">
        <v>118</v>
      </c>
      <c r="H6" s="68"/>
      <c r="I6" s="71" t="s">
        <v>123</v>
      </c>
      <c r="J6" s="68" t="s">
        <v>126</v>
      </c>
      <c r="K6" s="69" t="s">
        <v>121</v>
      </c>
    </row>
    <row r="7" spans="1:11" ht="40.5" customHeight="1" x14ac:dyDescent="0.75">
      <c r="A7" s="156"/>
      <c r="B7" s="66"/>
      <c r="C7" s="70" t="s">
        <v>75</v>
      </c>
      <c r="D7" s="71" t="s">
        <v>127</v>
      </c>
      <c r="E7" s="71" t="s">
        <v>113</v>
      </c>
      <c r="F7" s="71"/>
      <c r="G7" s="68" t="s">
        <v>118</v>
      </c>
      <c r="H7" s="68"/>
      <c r="I7" s="71" t="s">
        <v>119</v>
      </c>
      <c r="J7" s="68" t="s">
        <v>128</v>
      </c>
      <c r="K7" s="69" t="s">
        <v>121</v>
      </c>
    </row>
    <row r="8" spans="1:11" ht="55.5" x14ac:dyDescent="0.75">
      <c r="A8" s="156"/>
      <c r="B8" s="158" t="s">
        <v>129</v>
      </c>
      <c r="C8" s="70" t="s">
        <v>78</v>
      </c>
      <c r="D8" s="71" t="s">
        <v>130</v>
      </c>
      <c r="E8" s="71" t="s">
        <v>131</v>
      </c>
      <c r="F8" s="71"/>
      <c r="G8" s="72" t="s">
        <v>114</v>
      </c>
      <c r="H8" s="68" t="s">
        <v>132</v>
      </c>
      <c r="I8" s="71" t="s">
        <v>119</v>
      </c>
      <c r="J8" s="68" t="s">
        <v>133</v>
      </c>
      <c r="K8" s="69" t="s">
        <v>115</v>
      </c>
    </row>
    <row r="9" spans="1:11" ht="40.5" customHeight="1" x14ac:dyDescent="0.75">
      <c r="A9" s="156"/>
      <c r="B9" s="158"/>
      <c r="C9" s="67" t="s">
        <v>134</v>
      </c>
      <c r="D9" s="68" t="s">
        <v>135</v>
      </c>
      <c r="E9" s="71" t="s">
        <v>113</v>
      </c>
      <c r="F9" s="71"/>
      <c r="G9" s="72" t="s">
        <v>118</v>
      </c>
      <c r="H9" s="68"/>
      <c r="I9" s="68" t="s">
        <v>136</v>
      </c>
      <c r="J9" s="68" t="s">
        <v>137</v>
      </c>
      <c r="K9" s="69" t="s">
        <v>115</v>
      </c>
    </row>
    <row r="10" spans="1:11" ht="40.5" customHeight="1" x14ac:dyDescent="0.75">
      <c r="A10" s="156"/>
      <c r="B10" s="158" t="s">
        <v>138</v>
      </c>
      <c r="C10" s="70" t="s">
        <v>79</v>
      </c>
      <c r="D10" s="71" t="s">
        <v>139</v>
      </c>
      <c r="E10" s="71" t="s">
        <v>4</v>
      </c>
      <c r="F10" s="71"/>
      <c r="G10" s="68" t="s">
        <v>4</v>
      </c>
      <c r="H10" s="68" t="s">
        <v>140</v>
      </c>
      <c r="I10" s="71" t="s">
        <v>119</v>
      </c>
      <c r="J10" s="68" t="s">
        <v>141</v>
      </c>
      <c r="K10" s="69" t="s">
        <v>121</v>
      </c>
    </row>
    <row r="11" spans="1:11" ht="40.5" customHeight="1" x14ac:dyDescent="0.75">
      <c r="A11" s="156"/>
      <c r="B11" s="158"/>
      <c r="C11" s="70" t="s">
        <v>142</v>
      </c>
      <c r="D11" s="71" t="s">
        <v>143</v>
      </c>
      <c r="E11" s="71" t="s">
        <v>114</v>
      </c>
      <c r="F11" s="71" t="s">
        <v>115</v>
      </c>
      <c r="G11" s="68" t="s">
        <v>114</v>
      </c>
      <c r="H11" s="68"/>
      <c r="I11" s="71" t="s">
        <v>115</v>
      </c>
      <c r="J11" s="68" t="s">
        <v>144</v>
      </c>
      <c r="K11" s="69" t="s">
        <v>115</v>
      </c>
    </row>
    <row r="12" spans="1:11" ht="40.5" customHeight="1" x14ac:dyDescent="0.75">
      <c r="A12" s="156"/>
      <c r="B12" s="66"/>
      <c r="C12" s="70" t="s">
        <v>81</v>
      </c>
      <c r="D12" s="71" t="s">
        <v>145</v>
      </c>
      <c r="E12" s="71" t="s">
        <v>113</v>
      </c>
      <c r="F12" s="71"/>
      <c r="G12" s="68" t="s">
        <v>118</v>
      </c>
      <c r="H12" s="68"/>
      <c r="I12" s="71" t="s">
        <v>123</v>
      </c>
      <c r="J12" s="68" t="s">
        <v>146</v>
      </c>
      <c r="K12" s="69" t="s">
        <v>121</v>
      </c>
    </row>
    <row r="13" spans="1:11" ht="40.5" customHeight="1" x14ac:dyDescent="0.75">
      <c r="A13" s="156"/>
      <c r="B13" s="159" t="s">
        <v>147</v>
      </c>
      <c r="C13" s="70" t="s">
        <v>148</v>
      </c>
      <c r="D13" s="71" t="s">
        <v>149</v>
      </c>
      <c r="E13" s="71" t="s">
        <v>131</v>
      </c>
      <c r="F13" s="71"/>
      <c r="G13" s="68" t="s">
        <v>114</v>
      </c>
      <c r="H13" s="68" t="s">
        <v>150</v>
      </c>
      <c r="I13" s="71" t="s">
        <v>119</v>
      </c>
      <c r="J13" s="68" t="s">
        <v>151</v>
      </c>
      <c r="K13" s="69" t="s">
        <v>121</v>
      </c>
    </row>
    <row r="14" spans="1:11" ht="40.5" customHeight="1" x14ac:dyDescent="0.75">
      <c r="A14" s="156"/>
      <c r="B14" s="160"/>
      <c r="C14" s="70" t="s">
        <v>85</v>
      </c>
      <c r="D14" s="71" t="s">
        <v>152</v>
      </c>
      <c r="E14" s="71" t="s">
        <v>113</v>
      </c>
      <c r="F14" s="71"/>
      <c r="G14" s="68" t="s">
        <v>118</v>
      </c>
      <c r="H14" s="68"/>
      <c r="I14" s="71" t="s">
        <v>153</v>
      </c>
      <c r="J14" s="68" t="s">
        <v>154</v>
      </c>
      <c r="K14" s="71" t="s">
        <v>121</v>
      </c>
    </row>
    <row r="15" spans="1:11" ht="40.5" customHeight="1" thickBot="1" x14ac:dyDescent="0.9">
      <c r="A15" s="157"/>
      <c r="B15" s="161"/>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2" t="s">
        <v>159</v>
      </c>
      <c r="B17" s="62"/>
      <c r="C17" s="67" t="s">
        <v>160</v>
      </c>
      <c r="D17" s="68" t="s">
        <v>161</v>
      </c>
      <c r="E17" s="68" t="s">
        <v>114</v>
      </c>
      <c r="F17" s="68" t="s">
        <v>115</v>
      </c>
      <c r="G17" s="68" t="s">
        <v>114</v>
      </c>
      <c r="H17" s="68"/>
      <c r="I17" s="68" t="s">
        <v>115</v>
      </c>
      <c r="J17" s="68" t="s">
        <v>162</v>
      </c>
      <c r="K17" s="69" t="s">
        <v>115</v>
      </c>
    </row>
    <row r="18" spans="1:14" ht="40.5" customHeight="1" x14ac:dyDescent="0.75">
      <c r="A18" s="163"/>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3"/>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3"/>
      <c r="B20" s="66"/>
      <c r="C20" s="70" t="s">
        <v>171</v>
      </c>
      <c r="D20" s="71" t="s">
        <v>172</v>
      </c>
      <c r="E20" s="71" t="s">
        <v>113</v>
      </c>
      <c r="F20" s="71" t="s">
        <v>115</v>
      </c>
      <c r="G20" s="71" t="s">
        <v>118</v>
      </c>
      <c r="H20" s="71"/>
      <c r="I20" s="71" t="s">
        <v>115</v>
      </c>
      <c r="J20" s="68" t="s">
        <v>173</v>
      </c>
      <c r="K20" s="76" t="s">
        <v>115</v>
      </c>
    </row>
    <row r="21" spans="1:14" ht="40.5" customHeight="1" x14ac:dyDescent="0.75">
      <c r="A21" s="163"/>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3"/>
      <c r="B22" s="77"/>
      <c r="C22" s="67" t="s">
        <v>178</v>
      </c>
      <c r="D22" s="68" t="s">
        <v>179</v>
      </c>
      <c r="E22" s="71" t="s">
        <v>113</v>
      </c>
      <c r="F22" s="71"/>
      <c r="G22" s="68" t="s">
        <v>118</v>
      </c>
      <c r="H22" s="68"/>
      <c r="I22" s="68" t="s">
        <v>180</v>
      </c>
      <c r="J22" s="68" t="s">
        <v>181</v>
      </c>
      <c r="K22" s="78" t="s">
        <v>115</v>
      </c>
    </row>
    <row r="23" spans="1:14" ht="40.5" customHeight="1" x14ac:dyDescent="0.75">
      <c r="A23" s="163"/>
      <c r="B23" s="66"/>
      <c r="C23" s="70" t="s">
        <v>182</v>
      </c>
      <c r="D23" s="71" t="s">
        <v>183</v>
      </c>
      <c r="E23" s="71" t="s">
        <v>4</v>
      </c>
      <c r="F23" s="71"/>
      <c r="G23" s="68" t="s">
        <v>4</v>
      </c>
      <c r="H23" s="68" t="s">
        <v>140</v>
      </c>
      <c r="I23" s="71" t="s">
        <v>184</v>
      </c>
      <c r="J23" s="68" t="s">
        <v>185</v>
      </c>
      <c r="K23" s="71" t="s">
        <v>121</v>
      </c>
    </row>
    <row r="24" spans="1:14" ht="40.5" customHeight="1" x14ac:dyDescent="0.75">
      <c r="A24" s="163"/>
      <c r="B24" s="66"/>
      <c r="C24" s="70" t="s">
        <v>186</v>
      </c>
      <c r="D24" s="71" t="s">
        <v>187</v>
      </c>
      <c r="E24" s="71" t="s">
        <v>131</v>
      </c>
      <c r="F24" s="71" t="s">
        <v>115</v>
      </c>
      <c r="G24" s="68" t="s">
        <v>118</v>
      </c>
      <c r="H24" s="68" t="s">
        <v>188</v>
      </c>
      <c r="I24" s="71" t="s">
        <v>115</v>
      </c>
      <c r="J24" s="68" t="s">
        <v>189</v>
      </c>
      <c r="K24" s="69" t="s">
        <v>115</v>
      </c>
    </row>
    <row r="25" spans="1:14" ht="40.5" customHeight="1" x14ac:dyDescent="0.75">
      <c r="A25" s="163"/>
      <c r="B25" s="66"/>
      <c r="C25" s="70" t="s">
        <v>91</v>
      </c>
      <c r="D25" s="71" t="s">
        <v>190</v>
      </c>
      <c r="E25" s="71" t="s">
        <v>131</v>
      </c>
      <c r="F25" s="71"/>
      <c r="G25" s="68" t="s">
        <v>118</v>
      </c>
      <c r="H25" s="68" t="s">
        <v>191</v>
      </c>
      <c r="I25" s="71" t="s">
        <v>119</v>
      </c>
      <c r="J25" s="68" t="s">
        <v>192</v>
      </c>
      <c r="K25" s="69" t="s">
        <v>115</v>
      </c>
    </row>
    <row r="26" spans="1:14" ht="40.5" customHeight="1" x14ac:dyDescent="0.75">
      <c r="A26" s="163"/>
      <c r="B26" s="66"/>
      <c r="C26" s="70" t="s">
        <v>193</v>
      </c>
      <c r="D26" s="71" t="s">
        <v>194</v>
      </c>
      <c r="E26" s="71" t="s">
        <v>131</v>
      </c>
      <c r="F26" s="71" t="s">
        <v>115</v>
      </c>
      <c r="G26" s="68" t="s">
        <v>114</v>
      </c>
      <c r="H26" s="68"/>
      <c r="I26" s="71" t="s">
        <v>115</v>
      </c>
      <c r="J26" s="68" t="s">
        <v>195</v>
      </c>
      <c r="K26" s="69" t="s">
        <v>121</v>
      </c>
    </row>
    <row r="27" spans="1:14" ht="40.5" customHeight="1" x14ac:dyDescent="0.75">
      <c r="A27" s="163"/>
      <c r="B27" s="66"/>
      <c r="C27" s="70" t="s">
        <v>196</v>
      </c>
      <c r="D27" s="71" t="s">
        <v>197</v>
      </c>
      <c r="E27" s="71" t="s">
        <v>113</v>
      </c>
      <c r="F27" s="71"/>
      <c r="G27" s="68" t="s">
        <v>118</v>
      </c>
      <c r="H27" s="68"/>
      <c r="I27" s="71" t="s">
        <v>123</v>
      </c>
      <c r="J27" s="68" t="s">
        <v>198</v>
      </c>
      <c r="K27" s="69" t="s">
        <v>115</v>
      </c>
    </row>
    <row r="28" spans="1:14" ht="40.5" customHeight="1" x14ac:dyDescent="0.75">
      <c r="A28" s="163"/>
      <c r="B28" s="66"/>
      <c r="C28" s="70" t="s">
        <v>199</v>
      </c>
      <c r="D28" s="68" t="s">
        <v>200</v>
      </c>
      <c r="E28" s="71" t="s">
        <v>131</v>
      </c>
      <c r="F28" s="71"/>
      <c r="G28" s="68" t="s">
        <v>118</v>
      </c>
      <c r="H28" s="68" t="s">
        <v>201</v>
      </c>
      <c r="I28" s="71" t="s">
        <v>119</v>
      </c>
      <c r="J28" s="68" t="s">
        <v>202</v>
      </c>
      <c r="K28" s="69" t="s">
        <v>115</v>
      </c>
    </row>
    <row r="29" spans="1:14" ht="40.5" customHeight="1" x14ac:dyDescent="0.75">
      <c r="A29" s="163"/>
      <c r="B29" s="66"/>
      <c r="C29" s="70" t="s">
        <v>203</v>
      </c>
      <c r="D29" s="71" t="s">
        <v>204</v>
      </c>
      <c r="E29" s="71" t="s">
        <v>113</v>
      </c>
      <c r="F29" s="71"/>
      <c r="G29" s="68" t="s">
        <v>118</v>
      </c>
      <c r="H29" s="68"/>
      <c r="I29" s="71" t="s">
        <v>123</v>
      </c>
      <c r="J29" s="68" t="s">
        <v>205</v>
      </c>
      <c r="K29" s="69" t="s">
        <v>115</v>
      </c>
    </row>
    <row r="30" spans="1:14" ht="111" x14ac:dyDescent="0.75">
      <c r="A30" s="163"/>
      <c r="B30" s="66"/>
      <c r="C30" s="70" t="s">
        <v>206</v>
      </c>
      <c r="D30" s="71" t="s">
        <v>207</v>
      </c>
      <c r="E30" s="71" t="s">
        <v>131</v>
      </c>
      <c r="F30" s="71"/>
      <c r="G30" s="68" t="s">
        <v>114</v>
      </c>
      <c r="H30" s="68" t="s">
        <v>208</v>
      </c>
      <c r="I30" s="68" t="s">
        <v>115</v>
      </c>
      <c r="J30" s="68" t="s">
        <v>209</v>
      </c>
      <c r="K30" s="69" t="s">
        <v>115</v>
      </c>
    </row>
    <row r="31" spans="1:14" ht="40.5" customHeight="1" x14ac:dyDescent="0.75">
      <c r="A31" s="163"/>
      <c r="B31" s="66"/>
      <c r="C31" s="70" t="s">
        <v>210</v>
      </c>
      <c r="D31" s="71" t="s">
        <v>211</v>
      </c>
      <c r="E31" s="71" t="s">
        <v>131</v>
      </c>
      <c r="F31" s="71"/>
      <c r="G31" s="68" t="s">
        <v>114</v>
      </c>
      <c r="H31" s="68" t="s">
        <v>212</v>
      </c>
      <c r="I31" s="68" t="s">
        <v>115</v>
      </c>
      <c r="J31" s="68" t="s">
        <v>213</v>
      </c>
      <c r="K31" s="69" t="s">
        <v>115</v>
      </c>
    </row>
    <row r="32" spans="1:14" ht="40.5" customHeight="1" x14ac:dyDescent="0.75">
      <c r="A32" s="163"/>
      <c r="B32" s="66"/>
      <c r="C32" s="70" t="s">
        <v>214</v>
      </c>
      <c r="D32" s="71" t="s">
        <v>215</v>
      </c>
      <c r="E32" s="71" t="s">
        <v>131</v>
      </c>
      <c r="F32" s="71"/>
      <c r="G32" s="68" t="s">
        <v>114</v>
      </c>
      <c r="H32" s="68" t="s">
        <v>216</v>
      </c>
      <c r="I32" s="68" t="s">
        <v>217</v>
      </c>
      <c r="J32" s="68"/>
      <c r="K32" s="69" t="s">
        <v>121</v>
      </c>
    </row>
    <row r="33" spans="1:11" ht="40.5" customHeight="1" x14ac:dyDescent="0.75">
      <c r="A33" s="163"/>
      <c r="B33" s="66"/>
      <c r="C33" s="70" t="s">
        <v>218</v>
      </c>
      <c r="D33" s="71" t="s">
        <v>219</v>
      </c>
      <c r="E33" s="71" t="s">
        <v>131</v>
      </c>
      <c r="F33" s="71"/>
      <c r="G33" s="68" t="s">
        <v>118</v>
      </c>
      <c r="H33" s="68"/>
      <c r="I33" s="71" t="s">
        <v>220</v>
      </c>
      <c r="J33" s="68" t="s">
        <v>221</v>
      </c>
      <c r="K33" s="69" t="s">
        <v>115</v>
      </c>
    </row>
    <row r="34" spans="1:11" ht="40.5" customHeight="1" x14ac:dyDescent="0.75">
      <c r="A34" s="163"/>
      <c r="B34" s="66"/>
      <c r="C34" s="70" t="s">
        <v>222</v>
      </c>
      <c r="D34" s="71" t="s">
        <v>223</v>
      </c>
      <c r="E34" s="71" t="s">
        <v>113</v>
      </c>
      <c r="F34" s="71"/>
      <c r="G34" s="68" t="s">
        <v>118</v>
      </c>
      <c r="H34" s="68"/>
      <c r="I34" s="71" t="s">
        <v>224</v>
      </c>
      <c r="J34" s="68" t="s">
        <v>225</v>
      </c>
      <c r="K34" s="69" t="s">
        <v>115</v>
      </c>
    </row>
    <row r="35" spans="1:11" ht="40.5" customHeight="1" x14ac:dyDescent="0.75">
      <c r="A35" s="163"/>
      <c r="B35" s="66"/>
      <c r="C35" s="70" t="s">
        <v>226</v>
      </c>
      <c r="D35" s="71" t="s">
        <v>227</v>
      </c>
      <c r="E35" s="71" t="s">
        <v>113</v>
      </c>
      <c r="F35" s="71"/>
      <c r="G35" s="68" t="s">
        <v>118</v>
      </c>
      <c r="H35" s="68"/>
      <c r="I35" s="71" t="s">
        <v>123</v>
      </c>
      <c r="J35" s="68" t="s">
        <v>228</v>
      </c>
      <c r="K35" s="69" t="s">
        <v>115</v>
      </c>
    </row>
    <row r="36" spans="1:11" ht="40.5" customHeight="1" x14ac:dyDescent="0.75">
      <c r="A36" s="163"/>
      <c r="B36" s="66"/>
      <c r="C36" s="70" t="s">
        <v>229</v>
      </c>
      <c r="D36" s="71" t="s">
        <v>230</v>
      </c>
      <c r="E36" s="71" t="s">
        <v>113</v>
      </c>
      <c r="F36" s="71"/>
      <c r="G36" s="68" t="s">
        <v>118</v>
      </c>
      <c r="H36" s="68"/>
      <c r="I36" s="71" t="s">
        <v>123</v>
      </c>
      <c r="J36" s="68" t="s">
        <v>231</v>
      </c>
      <c r="K36" s="69" t="s">
        <v>115</v>
      </c>
    </row>
    <row r="37" spans="1:11" ht="40.5" customHeight="1" x14ac:dyDescent="0.75">
      <c r="A37" s="163"/>
      <c r="B37" s="66"/>
      <c r="C37" s="70" t="s">
        <v>232</v>
      </c>
      <c r="D37" s="71" t="s">
        <v>233</v>
      </c>
      <c r="E37" s="71" t="s">
        <v>113</v>
      </c>
      <c r="F37" s="71"/>
      <c r="G37" s="68" t="s">
        <v>118</v>
      </c>
      <c r="H37" s="68"/>
      <c r="I37" s="71" t="s">
        <v>123</v>
      </c>
      <c r="J37" s="68" t="s">
        <v>234</v>
      </c>
      <c r="K37" s="69" t="s">
        <v>115</v>
      </c>
    </row>
    <row r="38" spans="1:11" ht="40.5" customHeight="1" x14ac:dyDescent="0.75">
      <c r="A38" s="163"/>
      <c r="B38" s="66"/>
      <c r="C38" s="70" t="s">
        <v>235</v>
      </c>
      <c r="D38" s="71" t="s">
        <v>236</v>
      </c>
      <c r="E38" s="71" t="s">
        <v>131</v>
      </c>
      <c r="F38" s="71"/>
      <c r="G38" s="68" t="s">
        <v>114</v>
      </c>
      <c r="H38" s="80" t="s">
        <v>237</v>
      </c>
      <c r="I38" s="71" t="s">
        <v>119</v>
      </c>
      <c r="J38" s="68" t="s">
        <v>238</v>
      </c>
      <c r="K38" s="69" t="s">
        <v>115</v>
      </c>
    </row>
    <row r="39" spans="1:11" ht="40.5" customHeight="1" x14ac:dyDescent="0.75">
      <c r="A39" s="163"/>
      <c r="B39" s="66"/>
      <c r="C39" s="70" t="s">
        <v>239</v>
      </c>
      <c r="D39" s="68" t="s">
        <v>240</v>
      </c>
      <c r="E39" s="71" t="s">
        <v>131</v>
      </c>
      <c r="F39" s="71"/>
      <c r="G39" s="68" t="s">
        <v>118</v>
      </c>
      <c r="H39" s="68" t="s">
        <v>241</v>
      </c>
      <c r="I39" s="68" t="s">
        <v>242</v>
      </c>
      <c r="J39" s="68" t="s">
        <v>243</v>
      </c>
      <c r="K39" s="69" t="s">
        <v>115</v>
      </c>
    </row>
    <row r="40" spans="1:11" ht="40.5" customHeight="1" x14ac:dyDescent="0.75">
      <c r="A40" s="163"/>
      <c r="B40" s="66"/>
      <c r="C40" s="70" t="s">
        <v>244</v>
      </c>
      <c r="D40" s="68" t="s">
        <v>245</v>
      </c>
      <c r="E40" s="71" t="s">
        <v>113</v>
      </c>
      <c r="F40" s="71"/>
      <c r="G40" s="68" t="s">
        <v>118</v>
      </c>
      <c r="H40" s="68"/>
      <c r="I40" s="68" t="s">
        <v>246</v>
      </c>
      <c r="J40" s="68" t="s">
        <v>247</v>
      </c>
      <c r="K40" s="69" t="s">
        <v>115</v>
      </c>
    </row>
    <row r="41" spans="1:11" ht="40.5" customHeight="1" x14ac:dyDescent="0.75">
      <c r="A41" s="163"/>
      <c r="B41" s="81" t="s">
        <v>248</v>
      </c>
      <c r="C41" s="70" t="s">
        <v>249</v>
      </c>
      <c r="D41" s="71" t="s">
        <v>250</v>
      </c>
      <c r="E41" s="71" t="s">
        <v>131</v>
      </c>
      <c r="F41" s="71"/>
      <c r="G41" s="68" t="s">
        <v>114</v>
      </c>
      <c r="H41" s="68" t="s">
        <v>237</v>
      </c>
      <c r="I41" s="71" t="s">
        <v>119</v>
      </c>
      <c r="J41" s="68" t="s">
        <v>251</v>
      </c>
      <c r="K41" s="69" t="s">
        <v>115</v>
      </c>
    </row>
    <row r="42" spans="1:11" ht="40.5" customHeight="1" x14ac:dyDescent="0.75">
      <c r="A42" s="163"/>
      <c r="B42" s="81" t="s">
        <v>252</v>
      </c>
      <c r="C42" s="82" t="s">
        <v>253</v>
      </c>
      <c r="D42" s="80" t="s">
        <v>254</v>
      </c>
      <c r="E42" s="68" t="s">
        <v>255</v>
      </c>
      <c r="F42" s="68"/>
      <c r="G42" s="68" t="s">
        <v>118</v>
      </c>
      <c r="H42" s="78"/>
      <c r="I42" s="68" t="s">
        <v>256</v>
      </c>
      <c r="J42" s="80" t="s">
        <v>257</v>
      </c>
      <c r="K42" s="69" t="s">
        <v>115</v>
      </c>
    </row>
    <row r="43" spans="1:11" ht="40.5" customHeight="1" thickBot="1" x14ac:dyDescent="0.9">
      <c r="A43" s="164"/>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9" t="s">
        <v>265</v>
      </c>
      <c r="C46" s="70" t="s">
        <v>266</v>
      </c>
      <c r="D46" s="71" t="s">
        <v>267</v>
      </c>
      <c r="E46" s="71" t="s">
        <v>131</v>
      </c>
      <c r="F46" s="71"/>
      <c r="G46" s="68" t="s">
        <v>114</v>
      </c>
      <c r="H46" s="68" t="s">
        <v>268</v>
      </c>
      <c r="I46" s="71" t="s">
        <v>119</v>
      </c>
      <c r="J46" s="68" t="s">
        <v>269</v>
      </c>
      <c r="K46" s="69" t="s">
        <v>115</v>
      </c>
    </row>
    <row r="47" spans="1:11" ht="40.5" customHeight="1" x14ac:dyDescent="0.75">
      <c r="A47" s="90"/>
      <c r="B47" s="160"/>
      <c r="C47" s="70" t="s">
        <v>270</v>
      </c>
      <c r="D47" s="71" t="s">
        <v>271</v>
      </c>
      <c r="E47" s="71" t="s">
        <v>113</v>
      </c>
      <c r="F47" s="71"/>
      <c r="G47" s="68" t="s">
        <v>118</v>
      </c>
      <c r="H47" s="68"/>
      <c r="I47" s="68" t="s">
        <v>272</v>
      </c>
      <c r="J47" s="68" t="s">
        <v>273</v>
      </c>
      <c r="K47" s="69" t="s">
        <v>115</v>
      </c>
    </row>
    <row r="48" spans="1:11" ht="40.5" customHeight="1" x14ac:dyDescent="0.75">
      <c r="A48" s="90"/>
      <c r="B48" s="161"/>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2"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3"/>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3"/>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4"/>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998</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96.86328125" customWidth="1"/>
  </cols>
  <sheetData>
    <row r="1" spans="5:5" x14ac:dyDescent="0.75">
      <c r="E1" s="111" t="str">
        <f>'Radio-Map-all'!D3</f>
        <v>* differential.element[0].mapping[0].identity = "fhir"</v>
      </c>
    </row>
    <row r="2" spans="5:5" x14ac:dyDescent="0.75">
      <c r="E2" s="111" t="str">
        <f>'Radio-Map-all'!D4</f>
        <v>* differential.element[0].mapping[0].map = "Procedure.conformsTo('http://hl7.eu/fhir/ig/pcsp/StructureDefinition/Procedure-radiotheraphy-eu-pcsp')"</v>
      </c>
    </row>
    <row r="3" spans="5:5" x14ac:dyDescent="0.75">
      <c r="E3" s="111" t="str">
        <f>'Radio-Map-all'!D5</f>
        <v/>
      </c>
    </row>
    <row r="4" spans="5:5" x14ac:dyDescent="0.75">
      <c r="E4" s="111" t="str">
        <f>'Radio-Map-all'!D6</f>
        <v>* differential.element[1].mapping[0].identity = "fhir"</v>
      </c>
    </row>
    <row r="5" spans="5:5" x14ac:dyDescent="0.75">
      <c r="E5" s="111" t="str">
        <f>'Radio-Map-all'!D7</f>
        <v>* differential.element[1].mapping[0].map = ".reasonReference"</v>
      </c>
    </row>
    <row r="6" spans="5:5" x14ac:dyDescent="0.75">
      <c r="E6" s="111" t="str">
        <f>'Radio-Map-all'!D8</f>
        <v>* differential.element[1].mapping[0].comment = "note"</v>
      </c>
    </row>
    <row r="7" spans="5:5" x14ac:dyDescent="0.75">
      <c r="E7" s="111" t="str">
        <f>'Radio-Map-all'!D9</f>
        <v>* differential.element[2].mapping[0].identity = "fhir"</v>
      </c>
    </row>
    <row r="8" spans="5:5" x14ac:dyDescent="0.75">
      <c r="E8" s="111" t="str">
        <f>'Radio-Map-all'!D10</f>
        <v>* differential.element[2].mapping[0].map = ".reasonReference"</v>
      </c>
    </row>
    <row r="9" spans="5:5" x14ac:dyDescent="0.75">
      <c r="E9" s="111" t="str">
        <f>'Radio-Map-all'!D11</f>
        <v/>
      </c>
    </row>
    <row r="10" spans="5:5" x14ac:dyDescent="0.75">
      <c r="E10" s="111" t="str">
        <f>'Radio-Map-all'!D12</f>
        <v>* differential.element[3].mapping[0].identity = "fhir"</v>
      </c>
    </row>
    <row r="11" spans="5:5" x14ac:dyDescent="0.75">
      <c r="E11" s="111" t="str">
        <f>'Radio-Map-all'!D13</f>
        <v>* differential.element[3].mapping[0].map = ".identifier"</v>
      </c>
    </row>
    <row r="12" spans="5:5" x14ac:dyDescent="0.75">
      <c r="E12" s="111" t="str">
        <f>'Radio-Map-all'!D14</f>
        <v/>
      </c>
    </row>
    <row r="13" spans="5:5" x14ac:dyDescent="0.75">
      <c r="E13" s="111" t="str">
        <f>'Radio-Map-all'!D15</f>
        <v>* differential.element[4].mapping[0].identity = "fhir"</v>
      </c>
    </row>
    <row r="14" spans="5:5" x14ac:dyDescent="0.75">
      <c r="E14" s="111" t="str">
        <f>'Radio-Map-all'!D16</f>
        <v>* differential.element[4].mapping[0].map = ".location.resolve().conformsTo(http://hl7.eu/fhir/ig/pcsp/StructureDefinition/Location-eu-pcsp)"</v>
      </c>
    </row>
    <row r="15" spans="5:5" x14ac:dyDescent="0.75">
      <c r="E15" s="111" t="str">
        <f>'Radio-Map-all'!D17</f>
        <v/>
      </c>
    </row>
    <row r="16" spans="5:5" x14ac:dyDescent="0.75">
      <c r="E16" s="111" t="str">
        <f>'Radio-Map-all'!D18</f>
        <v>* differential.element[5].mapping[0].identity = "fhir"</v>
      </c>
    </row>
    <row r="17" spans="5:5" x14ac:dyDescent="0.75">
      <c r="E17" s="111" t="str">
        <f>'Radio-Map-all'!D19</f>
        <v>* differential.element[5].mapping[0].map = "Location.description"</v>
      </c>
    </row>
    <row r="18" spans="5:5" x14ac:dyDescent="0.75">
      <c r="E18" s="111" t="str">
        <f>'Radio-Map-all'!D20</f>
        <v/>
      </c>
    </row>
    <row r="19" spans="5:5" x14ac:dyDescent="0.75">
      <c r="E19" s="111" t="str">
        <f>'Radio-Map-all'!D21</f>
        <v>* differential.element[6].mapping[0].identity = "fhir"</v>
      </c>
    </row>
    <row r="20" spans="5:5" x14ac:dyDescent="0.75">
      <c r="E20" s="111" t="str">
        <f>'Radio-Map-all'!D22</f>
        <v>* differential.element[6].mapping[0].map = "Location.name"</v>
      </c>
    </row>
    <row r="21" spans="5:5" x14ac:dyDescent="0.75">
      <c r="E21" s="111" t="str">
        <f>'Radio-Map-all'!D23</f>
        <v/>
      </c>
    </row>
    <row r="22" spans="5:5" x14ac:dyDescent="0.75">
      <c r="E22" s="111" t="str">
        <f>'Radio-Map-all'!D24</f>
        <v>* differential.element[7].mapping[0].identity = "fhir"</v>
      </c>
    </row>
    <row r="23" spans="5:5" x14ac:dyDescent="0.75">
      <c r="E23" s="111" t="str">
        <f>'Radio-Map-all'!D25</f>
        <v>* differential.element[7].mapping[0].map = "Location.address.city"</v>
      </c>
    </row>
    <row r="24" spans="5:5" x14ac:dyDescent="0.75">
      <c r="E24" s="111" t="str">
        <f>'Radio-Map-all'!D26</f>
        <v/>
      </c>
    </row>
    <row r="25" spans="5:5" x14ac:dyDescent="0.75">
      <c r="E25" s="111" t="str">
        <f>'Radio-Map-all'!D27</f>
        <v/>
      </c>
    </row>
    <row r="26" spans="5:5" x14ac:dyDescent="0.75">
      <c r="E26" s="111" t="str">
        <f>'Radio-Map-all'!D28</f>
        <v/>
      </c>
    </row>
    <row r="27" spans="5:5" x14ac:dyDescent="0.75">
      <c r="E27" s="111" t="str">
        <f>'Radio-Map-all'!D29</f>
        <v/>
      </c>
    </row>
    <row r="28" spans="5:5" x14ac:dyDescent="0.75">
      <c r="E28" s="111" t="str">
        <f>'Radio-Map-all'!D30</f>
        <v>* differential.element[9].mapping[0].identity = "fhir"</v>
      </c>
    </row>
    <row r="29" spans="5:5" x14ac:dyDescent="0.75">
      <c r="E29" s="111" t="str">
        <f>'Radio-Map-all'!D31</f>
        <v>* differential.element[9].mapping[0].map = "Location.address.country"</v>
      </c>
    </row>
    <row r="30" spans="5:5" x14ac:dyDescent="0.75">
      <c r="E30" s="111" t="str">
        <f>'Radio-Map-all'!D32</f>
        <v/>
      </c>
    </row>
    <row r="31" spans="5:5" x14ac:dyDescent="0.75">
      <c r="E31" s="111" t="str">
        <f>'Radio-Map-all'!D33</f>
        <v>* differential.element[10].mapping[0].identity = "fhir"</v>
      </c>
    </row>
    <row r="32" spans="5:5" x14ac:dyDescent="0.75">
      <c r="E32" s="111" t="str">
        <f>'Radio-Map-all'!D34</f>
        <v>* differential.element[10].mapping[0].map = ".performedPeriod.start"</v>
      </c>
    </row>
    <row r="33" spans="5:5" x14ac:dyDescent="0.75">
      <c r="E33" s="111" t="str">
        <f>'Radio-Map-all'!D35</f>
        <v/>
      </c>
    </row>
    <row r="34" spans="5:5" x14ac:dyDescent="0.75">
      <c r="E34" s="111" t="str">
        <f>'Radio-Map-all'!D36</f>
        <v>* differential.element[11].mapping[0].identity = "fhir"</v>
      </c>
    </row>
    <row r="35" spans="5:5" x14ac:dyDescent="0.75">
      <c r="E35" s="111" t="str">
        <f>'Radio-Map-all'!D37</f>
        <v>* differential.element[11].mapping[0].map = ".performedPeriod.end"</v>
      </c>
    </row>
    <row r="36" spans="5:5" x14ac:dyDescent="0.75">
      <c r="E36" s="111" t="str">
        <f>'Radio-Map-all'!D38</f>
        <v/>
      </c>
    </row>
    <row r="37" spans="5:5" x14ac:dyDescent="0.75">
      <c r="E37" s="111" t="str">
        <f>'Radio-Map-all'!D39</f>
        <v>* differential.element[12].mapping[0].identity = "fhir"</v>
      </c>
    </row>
    <row r="38" spans="5:5" x14ac:dyDescent="0.75">
      <c r="E38" s="111" t="str">
        <f>'Radio-Map-all'!D40</f>
        <v>* differential.element[12].mapping[0].map = ".code"</v>
      </c>
    </row>
    <row r="39" spans="5:5" x14ac:dyDescent="0.75">
      <c r="E39" s="111" t="str">
        <f>'Radio-Map-all'!D41</f>
        <v/>
      </c>
    </row>
    <row r="40" spans="5:5" x14ac:dyDescent="0.75">
      <c r="E40" s="111" t="str">
        <f>'Radio-Map-all'!D42</f>
        <v>* differential.element[13].mapping[0].identity = "fhir"</v>
      </c>
    </row>
    <row r="41" spans="5:5" x14ac:dyDescent="0.75">
      <c r="E41" s="111" t="str">
        <f>'Radio-Map-all'!D43</f>
        <v>* differential.element[13].mapping[0].map = ".usedCode"</v>
      </c>
    </row>
    <row r="42" spans="5:5" x14ac:dyDescent="0.75">
      <c r="E42" s="111" t="str">
        <f>'Radio-Map-all'!D44</f>
        <v/>
      </c>
    </row>
    <row r="43" spans="5:5" x14ac:dyDescent="0.75">
      <c r="E43" s="111" t="str">
        <f>'Radio-Map-all'!D45</f>
        <v>* differential.element[14].mapping[0].identity = "fhir"</v>
      </c>
    </row>
    <row r="44" spans="5:5" x14ac:dyDescent="0.75">
      <c r="E44" s="111" t="str">
        <f>'Radio-Map-all'!D46</f>
        <v>* differential.element[14].mapping[0].map = ".extension('http://hl7.org/fhir/StructureDefinition/procedure-method').valueCodeableConcept"</v>
      </c>
    </row>
    <row r="45" spans="5:5" x14ac:dyDescent="0.75">
      <c r="E45" s="111" t="str">
        <f>'Radio-Map-all'!D47</f>
        <v/>
      </c>
    </row>
    <row r="46" spans="5:5" x14ac:dyDescent="0.75">
      <c r="E46" s="111" t="str">
        <f>'Radio-Map-all'!D48</f>
        <v>* differential.element[15].mapping[0].identity = "fhir"</v>
      </c>
    </row>
    <row r="47" spans="5:5" x14ac:dyDescent="0.75">
      <c r="E47" s="111" t="str">
        <f>'Radio-Map-all'!D49</f>
        <v>* differential.element[15].mapping[0].map = ".extension('http://hl7.eu/fhir/ig/pcsp/StructureDefinition/radiotherapy-energy-or-isotope').valueCodeableConcept"</v>
      </c>
    </row>
    <row r="48" spans="5:5" x14ac:dyDescent="0.75">
      <c r="E48" s="111" t="str">
        <f>'Radio-Map-all'!D50</f>
        <v/>
      </c>
    </row>
    <row r="49" spans="5:5" x14ac:dyDescent="0.75">
      <c r="E49" s="111" t="str">
        <f>'Radio-Map-all'!D51</f>
        <v>* differential.element[16].mapping[0].identity = "fhir"</v>
      </c>
    </row>
    <row r="50" spans="5:5" x14ac:dyDescent="0.75">
      <c r="E50" s="111" t="str">
        <f>'Radio-Map-all'!D52</f>
        <v>* differential.element[16].mapping[0].map = ".extension('http://hl7.eu/fhir/ig/pcsp/StructureDefinition/radiotherapy-energy-or-isotope').valueCodeableConcept"</v>
      </c>
    </row>
    <row r="51" spans="5:5" x14ac:dyDescent="0.75">
      <c r="E51" s="111" t="str">
        <f>'Radio-Map-all'!D53</f>
        <v/>
      </c>
    </row>
    <row r="52" spans="5:5" x14ac:dyDescent="0.75">
      <c r="E52" s="111" t="str">
        <f>'Radio-Map-all'!D54</f>
        <v>* differential.element[17].mapping[0].identity = "fhir"</v>
      </c>
    </row>
    <row r="53" spans="5:5" x14ac:dyDescent="0.75">
      <c r="E53" s="111" t="str">
        <f>'Radio-Map-all'!D55</f>
        <v>* differential.element[17].mapping[0].map = "TBD"</v>
      </c>
    </row>
    <row r="54" spans="5:5" x14ac:dyDescent="0.75">
      <c r="E54" s="111" t="str">
        <f>'Radio-Map-all'!D56</f>
        <v/>
      </c>
    </row>
    <row r="55" spans="5:5" x14ac:dyDescent="0.75">
      <c r="E55" s="111" t="str">
        <f>'Radio-Map-all'!D60</f>
        <v>* differential.element[18].mapping[0].identity = "fhir"</v>
      </c>
    </row>
    <row r="56" spans="5:5" x14ac:dyDescent="0.75">
      <c r="E56" s="111" t="str">
        <f>'Radio-Map-all'!D61</f>
        <v>* differential.element[18].mapping[0].map = ".bodySite"</v>
      </c>
    </row>
    <row r="57" spans="5:5" x14ac:dyDescent="0.75">
      <c r="E57" s="111" t="str">
        <f>'Radio-Map-all'!D62</f>
        <v/>
      </c>
    </row>
    <row r="58" spans="5:5" x14ac:dyDescent="0.75">
      <c r="E58" s="111" t="str">
        <f>'Radio-Map-all'!D63</f>
        <v>* differential.element[18].mapping[1].identity = "fhir"</v>
      </c>
    </row>
    <row r="59" spans="5:5" x14ac:dyDescent="0.75">
      <c r="E59" s="111" t="str">
        <f>'Radio-Map-all'!D64</f>
        <v>* differential.element[18].mapping[1].map = ".extension(http://hl7.eu/fhir/ig/pcsp/StructureDefinition/ResourceRelatedInfo-eu-pcsp).resolve().conformsTo(http://hl7.eu/fhir/ig/pcsp/StructureDefinition/Observation-cumulativeDoseRad-eu-pcsp).bodySite"</v>
      </c>
    </row>
    <row r="60" spans="5:5" x14ac:dyDescent="0.75">
      <c r="E60" s="111" t="str">
        <f>'Radio-Map-all'!D65</f>
        <v/>
      </c>
    </row>
    <row r="61" spans="5:5" x14ac:dyDescent="0.75">
      <c r="E61" s="111" t="str">
        <f>'Radio-Map-all'!D66</f>
        <v>* differential.element[19].mapping[0].identity = "fhir"</v>
      </c>
    </row>
    <row r="62" spans="5:5" x14ac:dyDescent="0.75">
      <c r="E62" s="111" t="str">
        <f>'Radio-Map-all'!D67</f>
        <v>* differential.element[19].mapping[0].map = "."</v>
      </c>
    </row>
    <row r="63" spans="5:5" x14ac:dyDescent="0.75">
      <c r="E63" s="111" t="str">
        <f>'Radio-Map-all'!D68</f>
        <v/>
      </c>
    </row>
    <row r="64" spans="5:5" x14ac:dyDescent="0.75">
      <c r="E64" s="111" t="str">
        <f>'Radio-Map-all'!D69</f>
        <v>* differential.element[20].mapping[0].identity = "fhir"</v>
      </c>
    </row>
    <row r="65" spans="5:5" x14ac:dyDescent="0.75">
      <c r="E65" s="111" t="str">
        <f>'Radio-Map-all'!D70</f>
        <v>* differential.element[20].mapping[0].map = ".extension(http://hl7.eu/fhir/ig/pcsp/StructureDefinition/mcode-laterality-qualifier).valueCodeableConcept"</v>
      </c>
    </row>
    <row r="66" spans="5:5" x14ac:dyDescent="0.75">
      <c r="E66" s="111" t="str">
        <f>'Radio-Map-all'!D71</f>
        <v/>
      </c>
    </row>
    <row r="67" spans="5:5" x14ac:dyDescent="0.75">
      <c r="E67" s="111" t="str">
        <f>'Radio-Map-all'!D72</f>
        <v>* differential.element[21].mapping[0].identity = "fhir"</v>
      </c>
    </row>
    <row r="68" spans="5:5" x14ac:dyDescent="0.75">
      <c r="E68" s="111" t="str">
        <f>'Radio-Map-all'!D73</f>
        <v>* differential.element[21].mapping[0].map = ".text"</v>
      </c>
    </row>
    <row r="69" spans="5:5" x14ac:dyDescent="0.75">
      <c r="E69" s="111" t="str">
        <f>'Radio-Map-all'!D74</f>
        <v/>
      </c>
    </row>
    <row r="70" spans="5:5" x14ac:dyDescent="0.75">
      <c r="E70" s="111" t="str">
        <f>'Radio-Map-all'!D75</f>
        <v>* differential.element[22].mapping[0].identity = "fhir"</v>
      </c>
    </row>
    <row r="71" spans="5:5" x14ac:dyDescent="0.75">
      <c r="E71" s="111" t="str">
        <f>'Radio-Map-all'!D76</f>
        <v>* differential.element[22].mapping[0].map = "TBD"</v>
      </c>
    </row>
    <row r="72" spans="5:5" x14ac:dyDescent="0.75">
      <c r="E72" s="111" t="str">
        <f>'Radio-Map-all'!D77</f>
        <v/>
      </c>
    </row>
    <row r="73" spans="5:5" x14ac:dyDescent="0.75">
      <c r="E73" s="111" t="str">
        <f>'Radio-Map-all'!D78</f>
        <v>* differential.element[23].mapping[0].identity = "fhir"</v>
      </c>
    </row>
    <row r="74" spans="5:5" x14ac:dyDescent="0.75">
      <c r="E74" s="111" t="str">
        <f>'Radio-Map-all'!D79</f>
        <v>* differential.element[23].mapping[0].map = "TBD"</v>
      </c>
    </row>
    <row r="75" spans="5:5" x14ac:dyDescent="0.75">
      <c r="E75" s="111" t="str">
        <f>'Radio-Map-all'!D80</f>
        <v/>
      </c>
    </row>
    <row r="76" spans="5:5" x14ac:dyDescent="0.75">
      <c r="E76" s="111" t="str">
        <f>'Radio-Map-all'!D81</f>
        <v>* differential.element[24].mapping[0].identity = "fhir"</v>
      </c>
    </row>
    <row r="77" spans="5:5" x14ac:dyDescent="0.75">
      <c r="E77" s="111" t="str">
        <f>'Radio-Map-all'!D82</f>
        <v>* differential.element[24].mapping[0].map = "TBD"</v>
      </c>
    </row>
    <row r="78" spans="5:5" x14ac:dyDescent="0.75">
      <c r="E78" s="111" t="str">
        <f>'Radio-Map-all'!D83</f>
        <v/>
      </c>
    </row>
    <row r="79" spans="5:5" x14ac:dyDescent="0.75">
      <c r="E79" s="111" t="str">
        <f>'Radio-Map-all'!D84</f>
        <v>* differential.element[25].mapping[0].identity = "fhir"</v>
      </c>
    </row>
    <row r="80" spans="5:5" x14ac:dyDescent="0.75">
      <c r="E80" s="111" t="str">
        <f>'Radio-Map-all'!D85</f>
        <v>* differential.element[25].mapping[0].map = ".extension(http://hl7.eu/fhir/ig/pcsp/StructureDefinition/ResourceRelatedInfo-eu-pcsp).resolve().conformsTo(http://hl7.eu/fhir/ig/pcsp/StructureDefinition/Observation-cumulativeDoseRad-eu-pcsp)"</v>
      </c>
    </row>
    <row r="81" spans="5:5" x14ac:dyDescent="0.75">
      <c r="E81" s="111" t="str">
        <f>'Radio-Map-all'!D86</f>
        <v/>
      </c>
    </row>
    <row r="82" spans="5:5" x14ac:dyDescent="0.75">
      <c r="E82" s="111" t="str">
        <f>'Radio-Map-all'!D87</f>
        <v>* differential.element[26].mapping[0].identity = "fhir"</v>
      </c>
    </row>
    <row r="83" spans="5:5" x14ac:dyDescent="0.75">
      <c r="E83" s="111" t="str">
        <f>'Radio-Map-all'!D88</f>
        <v>* differential.element[26].mapping[0].map = ".status = #preliminary"</v>
      </c>
    </row>
    <row r="84" spans="5:5" x14ac:dyDescent="0.75">
      <c r="E84" s="111" t="str">
        <f>'Radio-Map-all'!D89</f>
        <v/>
      </c>
    </row>
    <row r="85" spans="5:5" x14ac:dyDescent="0.75">
      <c r="E85" s="111" t="str">
        <f>'Radio-Map-all'!D90</f>
        <v>* differential.element[27].mapping[0].identity = "fhir"</v>
      </c>
    </row>
    <row r="86" spans="5:5" x14ac:dyDescent="0.75">
      <c r="E86" s="111" t="str">
        <f>'Radio-Map-all'!D91</f>
        <v>* differential.element[27].mapping[0].map = ".extension('http://hl7.org/fhir/StructureDefinition/event-statusReason')"</v>
      </c>
    </row>
    <row r="87" spans="5:5" x14ac:dyDescent="0.75">
      <c r="E87" s="111" t="str">
        <f>'Radio-Map-all'!D92</f>
        <v/>
      </c>
    </row>
    <row r="88" spans="5:5" x14ac:dyDescent="0.75">
      <c r="E88" s="111" t="str">
        <f>'Radio-Map-all'!D93</f>
        <v>* differential.element[28].mapping[0].identity = "fhir"</v>
      </c>
    </row>
    <row r="89" spans="5:5" x14ac:dyDescent="0.75">
      <c r="E89" s="111" t="str">
        <f>'Radio-Map-all'!D94</f>
        <v>* differential.element[28].mapping[0].map = ".valueCodeableConcept = http://terminology.hl7.org/CodeSystem/data-absent-reason#unknown"</v>
      </c>
    </row>
    <row r="90" spans="5:5" x14ac:dyDescent="0.75">
      <c r="E90" s="111" t="str">
        <f>'Radio-Map-all'!D95</f>
        <v/>
      </c>
    </row>
    <row r="91" spans="5:5" x14ac:dyDescent="0.75">
      <c r="E91" s="111" t="str">
        <f>'Radio-Map-all'!D96</f>
        <v>* differential.element[29].mapping[0].identity = "fhir"</v>
      </c>
    </row>
    <row r="92" spans="5:5" x14ac:dyDescent="0.75">
      <c r="E92" s="111" t="str">
        <f>'Radio-Map-all'!D97</f>
        <v>* differential.element[29].mapping[0].map = ".valueQuantity.value"</v>
      </c>
    </row>
    <row r="93" spans="5:5" x14ac:dyDescent="0.75">
      <c r="E93" s="111" t="str">
        <f>'Radio-Map-all'!D98</f>
        <v/>
      </c>
    </row>
    <row r="94" spans="5:5" x14ac:dyDescent="0.75">
      <c r="E94" s="111" t="str">
        <f>'Radio-Map-all'!D99</f>
        <v>* differential.element[30].mapping[0].identity = "fhir"</v>
      </c>
    </row>
    <row r="95" spans="5:5" x14ac:dyDescent="0.75">
      <c r="E95" s="111" t="str">
        <f>'Radio-Map-all'!D100</f>
        <v>* differential.element[30].mapping[0].map = ".valueQuantity.code"</v>
      </c>
    </row>
    <row r="96" spans="5:5" x14ac:dyDescent="0.75">
      <c r="E96" s="111" t="str">
        <f>'Radio-Map-all'!D101</f>
        <v/>
      </c>
    </row>
    <row r="97" spans="5:5" x14ac:dyDescent="0.75">
      <c r="E97" s="111" t="str">
        <f>'Radio-Map-all'!D102</f>
        <v>* differential.element[31].mapping[0].identity = "fhir"</v>
      </c>
    </row>
    <row r="98" spans="5:5" x14ac:dyDescent="0.75">
      <c r="E98" s="111" t="str">
        <f>'Radio-Map-all'!D103</f>
        <v>* differential.element[31].mapping[0].map = "TBD"</v>
      </c>
    </row>
    <row r="99" spans="5:5" x14ac:dyDescent="0.75">
      <c r="E99" s="111" t="str">
        <f>'Radio-Map-all'!D104</f>
        <v/>
      </c>
    </row>
    <row r="100" spans="5:5" x14ac:dyDescent="0.75">
      <c r="E100" s="111" t="str">
        <f>'Radio-Map-all'!D105</f>
        <v>* differential.element[32].mapping[0].identity = "fhir"</v>
      </c>
    </row>
    <row r="101" spans="5:5" x14ac:dyDescent="0.75">
      <c r="E101" s="111" t="str">
        <f>'Radio-Map-all'!D106</f>
        <v>* differential.element[32].mapping[0].map = "Procedure.conformsTo('http://hl7.eu/fhir/ig/pcsp/StructureDefinition/Procedure-radiotheraphyBoost-eu-pcsp')"</v>
      </c>
    </row>
    <row r="102" spans="5:5" x14ac:dyDescent="0.75">
      <c r="E102" s="111" t="str">
        <f>'Radio-Map-all'!D107</f>
        <v/>
      </c>
    </row>
    <row r="103" spans="5:5" x14ac:dyDescent="0.75">
      <c r="E103" s="111" t="str">
        <f>'Radio-Map-all'!D108</f>
        <v>* differential.element[33].mapping[0].identity = "fhir"</v>
      </c>
    </row>
    <row r="104" spans="5:5" x14ac:dyDescent="0.75">
      <c r="E104" s="111" t="str">
        <f>'Radio-Map-all'!D109</f>
        <v>* differential.element[33].mapping[0].map = ".code"</v>
      </c>
    </row>
    <row r="105" spans="5:5" x14ac:dyDescent="0.75">
      <c r="E105" s="111" t="str">
        <f>'Radio-Map-all'!D110</f>
        <v/>
      </c>
    </row>
    <row r="106" spans="5:5" x14ac:dyDescent="0.75">
      <c r="E106" s="111" t="str">
        <f>'Radio-Map-all'!D111</f>
        <v>* differential.element[34].mapping[0].identity = "fhir"</v>
      </c>
    </row>
    <row r="107" spans="5:5" x14ac:dyDescent="0.75">
      <c r="E107" s="111" t="str">
        <f>'Radio-Map-all'!D112</f>
        <v>* differential.element[34].mapping[0].map = ".status"</v>
      </c>
    </row>
    <row r="108" spans="5:5" x14ac:dyDescent="0.75">
      <c r="E108" s="111" t="str">
        <f>'Radio-Map-all'!D113</f>
        <v/>
      </c>
    </row>
    <row r="109" spans="5:5" x14ac:dyDescent="0.75">
      <c r="E109" s="111" t="str">
        <f>'Radio-Map-all'!D114</f>
        <v>* differential.element[35].mapping[0].identity = "fhir"</v>
      </c>
    </row>
    <row r="110" spans="5:5" x14ac:dyDescent="0.75">
      <c r="E110" s="111" t="str">
        <f>'Radio-Map-all'!D115</f>
        <v>* differential.element[35].mapping[0].map = ".bodySite"</v>
      </c>
    </row>
    <row r="111" spans="5:5" x14ac:dyDescent="0.75">
      <c r="E111" s="111" t="str">
        <f>'Radio-Map-all'!D116</f>
        <v/>
      </c>
    </row>
    <row r="112" spans="5:5" x14ac:dyDescent="0.75">
      <c r="E112" s="111" t="str">
        <f>'Radio-Map-all'!D117</f>
        <v>* differential.element[35].mapping[1].identity = "fhir"</v>
      </c>
    </row>
    <row r="113" spans="5:5" x14ac:dyDescent="0.75">
      <c r="E113" s="111"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1" t="str">
        <f>'Radio-Map-all'!D119</f>
        <v/>
      </c>
    </row>
    <row r="115" spans="5:5" x14ac:dyDescent="0.75">
      <c r="E115" s="111" t="str">
        <f>'Radio-Map-all'!D120</f>
        <v>* differential.element[36].mapping[0].identity = "fhir"</v>
      </c>
    </row>
    <row r="116" spans="5:5" x14ac:dyDescent="0.75">
      <c r="E116" s="111" t="str">
        <f>'Radio-Map-all'!D121</f>
        <v>* differential.element[36].mapping[0].map = ".extension(http://hl7.eu/fhir/ig/pcsp/StructureDefinition/mcode-laterality-qualifier).valueCodeableConcept"</v>
      </c>
    </row>
    <row r="117" spans="5:5" x14ac:dyDescent="0.75">
      <c r="E117" s="111" t="str">
        <f>'Radio-Map-all'!D122</f>
        <v/>
      </c>
    </row>
    <row r="118" spans="5:5" x14ac:dyDescent="0.75">
      <c r="E118" s="111" t="str">
        <f>'Radio-Map-all'!D123</f>
        <v>* differential.element[37].mapping[0].identity = "fhir"</v>
      </c>
    </row>
    <row r="119" spans="5:5" x14ac:dyDescent="0.75">
      <c r="E119" s="111" t="str">
        <f>'Radio-Map-all'!D124</f>
        <v>* differential.element[37].mapping[0].map = ".text"</v>
      </c>
    </row>
    <row r="120" spans="5:5" x14ac:dyDescent="0.75">
      <c r="E120" s="111" t="str">
        <f>'Radio-Map-all'!D125</f>
        <v/>
      </c>
    </row>
    <row r="121" spans="5:5" x14ac:dyDescent="0.75">
      <c r="E121" s="111" t="str">
        <f>'Radio-Map-all'!D126</f>
        <v>* differential.element[38].mapping[0].identity = "fhir"</v>
      </c>
    </row>
    <row r="122" spans="5:5" x14ac:dyDescent="0.75">
      <c r="E122" s="111" t="str">
        <f>'Radio-Map-all'!D127</f>
        <v>* differential.element[38].mapping[0].map = "TBD"</v>
      </c>
    </row>
    <row r="123" spans="5:5" x14ac:dyDescent="0.75">
      <c r="E123" s="111" t="str">
        <f>'Radio-Map-all'!D128</f>
        <v/>
      </c>
    </row>
    <row r="124" spans="5:5" x14ac:dyDescent="0.75">
      <c r="E124" s="111" t="str">
        <f>'Radio-Map-all'!D129</f>
        <v>* differential.element[39].mapping[0].identity = "fhir"</v>
      </c>
    </row>
    <row r="125" spans="5:5" x14ac:dyDescent="0.75">
      <c r="E125" s="111" t="str">
        <f>'Radio-Map-all'!D130</f>
        <v>* differential.element[39].mapping[0].map = "TBD"</v>
      </c>
    </row>
    <row r="126" spans="5:5" x14ac:dyDescent="0.75">
      <c r="E126" s="111" t="str">
        <f>'Radio-Map-all'!D131</f>
        <v/>
      </c>
    </row>
    <row r="127" spans="5:5" x14ac:dyDescent="0.75">
      <c r="E127" s="111" t="str">
        <f>'Radio-Map-all'!D132</f>
        <v>* differential.element[40].mapping[0].identity = "fhir"</v>
      </c>
    </row>
    <row r="128" spans="5:5" x14ac:dyDescent="0.75">
      <c r="E128" s="111" t="str">
        <f>'Radio-Map-all'!D133</f>
        <v>* differential.element[40].mapping[0].map = "TBD"</v>
      </c>
    </row>
    <row r="129" spans="5:5" x14ac:dyDescent="0.75">
      <c r="E129" s="111" t="str">
        <f>'Radio-Map-all'!D134</f>
        <v/>
      </c>
    </row>
    <row r="130" spans="5:5" x14ac:dyDescent="0.75">
      <c r="E130" s="111" t="str">
        <f>'Radio-Map-all'!D135</f>
        <v>* differential.element[41].mapping[0].identity = "fhir"</v>
      </c>
    </row>
    <row r="131" spans="5:5" x14ac:dyDescent="0.75">
      <c r="E131" s="111" t="str">
        <f>'Radio-Map-all'!D136</f>
        <v>* differential.element[41].mapping[0].map = ".extension(http://hl7.eu/fhir/ig/pcsp/StructureDefinition/ResourceRelatedInfo-eu-pcsp).resolve().conformsTo(http://hl7.eu/fhir/ig/pcsp/StructureDefinition/Observation-cumulativeDoseRad-eu-pcsp)"</v>
      </c>
    </row>
    <row r="132" spans="5:5" x14ac:dyDescent="0.75">
      <c r="E132" s="111" t="str">
        <f>'Radio-Map-all'!D137</f>
        <v/>
      </c>
    </row>
    <row r="133" spans="5:5" x14ac:dyDescent="0.75">
      <c r="E133" s="111" t="str">
        <f>'Radio-Map-all'!D138</f>
        <v>* differential.element[42].mapping[0].identity = "fhir"</v>
      </c>
    </row>
    <row r="134" spans="5:5" x14ac:dyDescent="0.75">
      <c r="E134" s="111" t="str">
        <f>'Radio-Map-all'!D139</f>
        <v>* differential.element[42].mapping[0].map = ".status = #preliminary"</v>
      </c>
    </row>
    <row r="135" spans="5:5" x14ac:dyDescent="0.75">
      <c r="E135" s="111" t="str">
        <f>'Radio-Map-all'!D140</f>
        <v/>
      </c>
    </row>
    <row r="136" spans="5:5" x14ac:dyDescent="0.75">
      <c r="E136" s="111" t="str">
        <f>'Radio-Map-all'!D141</f>
        <v>* differential.element[43].mapping[0].identity = "fhir"</v>
      </c>
    </row>
    <row r="137" spans="5:5" x14ac:dyDescent="0.75">
      <c r="E137" s="111" t="str">
        <f>'Radio-Map-all'!D142</f>
        <v>* differential.element[43].mapping[0].map = ".extension('http://hl7.org/fhir/StructureDefinition/event-statusReason')"</v>
      </c>
    </row>
    <row r="138" spans="5:5" x14ac:dyDescent="0.75">
      <c r="E138" s="111" t="str">
        <f>'Radio-Map-all'!D143</f>
        <v/>
      </c>
    </row>
    <row r="139" spans="5:5" x14ac:dyDescent="0.75">
      <c r="E139" s="111" t="str">
        <f>'Radio-Map-all'!D144</f>
        <v>* differential.element[44].mapping[0].identity = "fhir"</v>
      </c>
    </row>
    <row r="140" spans="5:5" x14ac:dyDescent="0.75">
      <c r="E140" s="111" t="str">
        <f>'Radio-Map-all'!D145</f>
        <v>* differential.element[44].mapping[0].map = ".valueCodeableConcept = http://terminology.hl7.org/CodeSystem/data-absent-reason#unknown"</v>
      </c>
    </row>
    <row r="141" spans="5:5" x14ac:dyDescent="0.75">
      <c r="E141" s="111" t="str">
        <f>'Radio-Map-all'!D146</f>
        <v/>
      </c>
    </row>
    <row r="142" spans="5:5" x14ac:dyDescent="0.75">
      <c r="E142" s="111" t="str">
        <f>'Radio-Map-all'!D147</f>
        <v>* differential.element[45].mapping[0].identity = "fhir"</v>
      </c>
    </row>
    <row r="143" spans="5:5" x14ac:dyDescent="0.75">
      <c r="E143" s="111" t="str">
        <f>'Radio-Map-all'!D148</f>
        <v>* differential.element[45].mapping[0].map = ".valueQuantity.value"</v>
      </c>
    </row>
    <row r="144" spans="5:5" x14ac:dyDescent="0.75">
      <c r="E144" s="111" t="str">
        <f>'Radio-Map-all'!D149</f>
        <v/>
      </c>
    </row>
    <row r="145" spans="5:5" x14ac:dyDescent="0.75">
      <c r="E145" s="111" t="str">
        <f>'Radio-Map-all'!D150</f>
        <v>* differential.element[46].mapping[0].identity = "fhir"</v>
      </c>
    </row>
    <row r="146" spans="5:5" x14ac:dyDescent="0.75">
      <c r="E146" s="111" t="str">
        <f>'Radio-Map-all'!D151</f>
        <v>* differential.element[46].mapping[0].map = ".valueQuantity.code"</v>
      </c>
    </row>
    <row r="147" spans="5:5" x14ac:dyDescent="0.75">
      <c r="E147" s="111" t="str">
        <f>'Radio-Map-all'!D152</f>
        <v/>
      </c>
    </row>
    <row r="148" spans="5:5" x14ac:dyDescent="0.75">
      <c r="E148" s="111" t="str">
        <f>'Radio-Map-all'!D153</f>
        <v>* differential.element[47].mapping[0].identity = "fhir"</v>
      </c>
    </row>
    <row r="149" spans="5:5" x14ac:dyDescent="0.75">
      <c r="E149" s="111" t="str">
        <f>'Radio-Map-all'!D154</f>
        <v>* differential.element[47].mapping[0].map = "TBD"</v>
      </c>
    </row>
    <row r="150" spans="5:5" x14ac:dyDescent="0.75">
      <c r="E150" s="111" t="str">
        <f>'Radio-Map-all'!D155</f>
        <v/>
      </c>
    </row>
    <row r="151" spans="5:5" x14ac:dyDescent="0.75">
      <c r="E151" s="111" t="str">
        <f>'Radio-Map-all'!D156</f>
        <v>* differential.element[48].mapping[0].identity = "fhir"</v>
      </c>
    </row>
    <row r="152" spans="5:5" x14ac:dyDescent="0.75">
      <c r="E152" s="111" t="str">
        <f>'Radio-Map-all'!D157</f>
        <v>* differential.element[48].mapping[0].map = "Procedure.conformsTo('http://hl7.eu/fhir/ig/pcsp/StructureDefinition/Procedure-radiotheraphyShield-eu-pcsp')"</v>
      </c>
    </row>
    <row r="153" spans="5:5" x14ac:dyDescent="0.75">
      <c r="E153" s="111" t="str">
        <f>'Radio-Map-all'!D158</f>
        <v/>
      </c>
    </row>
    <row r="154" spans="5:5" x14ac:dyDescent="0.75">
      <c r="E154" s="111" t="str">
        <f>'Radio-Map-all'!D159</f>
        <v>* differential.element[49].mapping[0].identity = "fhir"</v>
      </c>
    </row>
    <row r="155" spans="5:5" x14ac:dyDescent="0.75">
      <c r="E155" s="111" t="str">
        <f>'Radio-Map-all'!D160</f>
        <v>* differential.element[49].mapping[0].map = ".status"</v>
      </c>
    </row>
    <row r="156" spans="5:5" x14ac:dyDescent="0.75">
      <c r="E156" s="111" t="str">
        <f>'Radio-Map-all'!D161</f>
        <v/>
      </c>
    </row>
    <row r="157" spans="5:5" x14ac:dyDescent="0.75">
      <c r="E157" s="111" t="str">
        <f>'Radio-Map-all'!D162</f>
        <v>* differential.element[50].mapping[0].identity = "fhir"</v>
      </c>
    </row>
    <row r="158" spans="5:5" x14ac:dyDescent="0.75">
      <c r="E158" s="111" t="str">
        <f>'Radio-Map-all'!D163</f>
        <v>* differential.element[50].mapping[0].map = ".bodySite"</v>
      </c>
    </row>
    <row r="159" spans="5:5" x14ac:dyDescent="0.75">
      <c r="E159" s="111" t="str">
        <f>'Radio-Map-all'!D164</f>
        <v/>
      </c>
    </row>
    <row r="160" spans="5:5" x14ac:dyDescent="0.75">
      <c r="E160" s="111" t="str">
        <f>'Radio-Map-all'!D165</f>
        <v>* differential.element[51].mapping[0].identity = "fhir"</v>
      </c>
    </row>
    <row r="161" spans="5:5" x14ac:dyDescent="0.75">
      <c r="E161" s="111" t="str">
        <f>'Radio-Map-all'!D166</f>
        <v>* differential.element[51].mapping[0].map = ".note"</v>
      </c>
    </row>
    <row r="162" spans="5:5" x14ac:dyDescent="0.75">
      <c r="E162" s="111" t="str">
        <f>'Radio-Map-all'!D167</f>
        <v/>
      </c>
    </row>
    <row r="163" spans="5:5" x14ac:dyDescent="0.75">
      <c r="E163" s="111" t="str">
        <f>'Radio-Map-all'!D168</f>
        <v>* differential.element[52].mapping[0].identity = "fhir"</v>
      </c>
    </row>
    <row r="164" spans="5:5" x14ac:dyDescent="0.75">
      <c r="E164" s="111" t="str">
        <f>'Radio-Map-all'!D169</f>
        <v>* differential.element[52].mapping[0].map = ".extension(http://hl7.org/fhir/StructureDefinition/workflow-supportingInfo).ofType(DocumentReference)"</v>
      </c>
    </row>
    <row r="165" spans="5:5" x14ac:dyDescent="0.75">
      <c r="E165" s="111" t="str">
        <f>'Radio-Map-all'!D170</f>
        <v/>
      </c>
    </row>
    <row r="166" spans="5:5" x14ac:dyDescent="0.75">
      <c r="E166" s="111" t="str">
        <f>'Radio-Map-all'!D171</f>
        <v>* differential.element[53].mapping[0].identity = "fhir"</v>
      </c>
    </row>
    <row r="167" spans="5:5" x14ac:dyDescent="0.75">
      <c r="E167" s="111" t="str">
        <f>'Radio-Map-all'!D172</f>
        <v>* differential.element[53].mapping[0].map = ".exists()"</v>
      </c>
    </row>
    <row r="168" spans="5:5" x14ac:dyDescent="0.75">
      <c r="E168" s="111" t="str">
        <f>'Radio-Map-all'!D174</f>
        <v>* differential.element[54].mapping[0].identity = "fhir"</v>
      </c>
    </row>
    <row r="169" spans="5:5" x14ac:dyDescent="0.75">
      <c r="E169" s="111" t="str">
        <f>'Radio-Map-all'!D175</f>
        <v>* differential.element[54].mapping[0].map = "."</v>
      </c>
    </row>
    <row r="170" spans="5:5" x14ac:dyDescent="0.75">
      <c r="E170" s="111" t="str">
        <f>'Radio-Map-all'!D177</f>
        <v>* differential.element[55].mapping[0].identity = "fhir"</v>
      </c>
    </row>
    <row r="171" spans="5:5" x14ac:dyDescent="0.75">
      <c r="E171" s="111" t="str">
        <f>'Radio-Map-all'!D178</f>
        <v>* differential.element[55].mapping[0].map = ".extension(http://hl7.org/fhir/StructureDefinition/workflow-supportingInfo).ofType(DocumentReference)"</v>
      </c>
    </row>
    <row r="172" spans="5:5" x14ac:dyDescent="0.75">
      <c r="E172" s="111" t="str">
        <f>'Radio-Map-all'!D180</f>
        <v>* differential.element[56].mapping[0].identity = "fhir"</v>
      </c>
    </row>
    <row r="173" spans="5:5" x14ac:dyDescent="0.75">
      <c r="E173" s="111" t="str">
        <f>'Radio-Map-all'!D181</f>
        <v>* differential.element[56].mapping[0].map = ".note"</v>
      </c>
    </row>
    <row r="174" spans="5:5" x14ac:dyDescent="0.75">
      <c r="E174" s="111" t="str">
        <f>'Radio-Map-all'!D183</f>
        <v/>
      </c>
    </row>
    <row r="175" spans="5:5" x14ac:dyDescent="0.75">
      <c r="E175" s="111" t="str">
        <f>'Radio-Map-all'!D184</f>
        <v/>
      </c>
    </row>
    <row r="176" spans="5:5" x14ac:dyDescent="0.75">
      <c r="E176" s="111" t="str">
        <f>'Radio-Map-all'!D186</f>
        <v/>
      </c>
    </row>
    <row r="177" spans="5:5" x14ac:dyDescent="0.75">
      <c r="E177" s="111" t="str">
        <f>'Radio-Map-all'!D187</f>
        <v/>
      </c>
    </row>
    <row r="178" spans="5:5" x14ac:dyDescent="0.75">
      <c r="E178" s="111" t="str">
        <f>'Radio-Map-all'!D189</f>
        <v/>
      </c>
    </row>
    <row r="179" spans="5:5" x14ac:dyDescent="0.75">
      <c r="E179" s="111" t="str">
        <f>'Radio-Map-all'!D190</f>
        <v/>
      </c>
    </row>
    <row r="180" spans="5:5" x14ac:dyDescent="0.75">
      <c r="E180" s="111" t="str">
        <f>'Radio-Map-all'!D192</f>
        <v/>
      </c>
    </row>
    <row r="181" spans="5:5" x14ac:dyDescent="0.75">
      <c r="E181" s="111" t="str">
        <f>'Radio-Map-all'!D193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899</v>
      </c>
      <c r="D2" s="123" t="s">
        <v>1232</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1043</v>
      </c>
      <c r="C9" s="113" t="s">
        <v>1044</v>
      </c>
      <c r="D9" s="113" t="s">
        <v>1044</v>
      </c>
      <c r="E9" s="113">
        <v>0</v>
      </c>
      <c r="F9" s="113">
        <v>1</v>
      </c>
      <c r="G9" s="45" t="s">
        <v>1045</v>
      </c>
    </row>
    <row r="10" spans="1:9" x14ac:dyDescent="0.75">
      <c r="A10" s="111">
        <v>4</v>
      </c>
      <c r="B10" s="114" t="s">
        <v>890</v>
      </c>
      <c r="C10" s="113" t="s">
        <v>92</v>
      </c>
      <c r="D10" s="113" t="s">
        <v>92</v>
      </c>
      <c r="E10" s="113">
        <v>0</v>
      </c>
      <c r="F10" s="113">
        <v>1</v>
      </c>
      <c r="G10" s="45" t="s">
        <v>1201</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1196</v>
      </c>
      <c r="H12" s="111"/>
    </row>
    <row r="13" spans="1:9" x14ac:dyDescent="0.75">
      <c r="A13" s="111">
        <v>7</v>
      </c>
      <c r="B13" s="114" t="s">
        <v>892</v>
      </c>
      <c r="C13" s="113" t="s">
        <v>95</v>
      </c>
      <c r="D13" s="113" t="s">
        <v>95</v>
      </c>
      <c r="E13" s="113">
        <v>0</v>
      </c>
      <c r="F13" s="113" t="s">
        <v>20</v>
      </c>
      <c r="G13" s="45" t="s">
        <v>1133</v>
      </c>
      <c r="H13" s="111"/>
    </row>
    <row r="14" spans="1:9" x14ac:dyDescent="0.75">
      <c r="A14" s="111">
        <v>8</v>
      </c>
      <c r="B14" s="114" t="s">
        <v>895</v>
      </c>
      <c r="C14" s="113" t="s">
        <v>96</v>
      </c>
      <c r="D14" s="113" t="s">
        <v>96</v>
      </c>
      <c r="E14" s="113">
        <v>0</v>
      </c>
      <c r="F14" s="113" t="s">
        <v>20</v>
      </c>
      <c r="G14" s="45" t="s">
        <v>1168</v>
      </c>
      <c r="H14" s="111"/>
    </row>
    <row r="15" spans="1:9" x14ac:dyDescent="0.75">
      <c r="A15" s="111">
        <v>9</v>
      </c>
      <c r="B15" s="114" t="s">
        <v>1212</v>
      </c>
      <c r="C15" s="113" t="s">
        <v>98</v>
      </c>
      <c r="D15" s="113" t="s">
        <v>98</v>
      </c>
      <c r="E15" s="113">
        <v>0</v>
      </c>
      <c r="F15" s="113" t="s">
        <v>20</v>
      </c>
      <c r="G15" s="45" t="s">
        <v>1213</v>
      </c>
    </row>
    <row r="16" spans="1:9" s="25" customFormat="1" x14ac:dyDescent="0.75">
      <c r="A16" s="111">
        <v>10</v>
      </c>
      <c r="B16" s="114" t="s">
        <v>896</v>
      </c>
      <c r="C16" s="113" t="s">
        <v>99</v>
      </c>
      <c r="D16" s="113" t="s">
        <v>99</v>
      </c>
      <c r="E16" s="113">
        <v>0</v>
      </c>
      <c r="F16" s="113">
        <v>1</v>
      </c>
      <c r="G16" s="45" t="s">
        <v>3</v>
      </c>
    </row>
    <row r="17" spans="1:9" x14ac:dyDescent="0.75">
      <c r="A17" s="111">
        <v>11</v>
      </c>
      <c r="B17" s="114" t="s">
        <v>1216</v>
      </c>
      <c r="C17" s="113" t="s">
        <v>97</v>
      </c>
      <c r="D17" s="113" t="s">
        <v>897</v>
      </c>
      <c r="E17" s="113">
        <v>0</v>
      </c>
      <c r="F17" s="113" t="s">
        <v>20</v>
      </c>
      <c r="G17" s="45" t="s">
        <v>1211</v>
      </c>
    </row>
    <row r="18" spans="1:9" s="25" customFormat="1" x14ac:dyDescent="0.75">
      <c r="A18" s="111">
        <v>12</v>
      </c>
      <c r="B18" s="114" t="s">
        <v>1215</v>
      </c>
      <c r="C18" s="113" t="s">
        <v>100</v>
      </c>
      <c r="D18" s="113" t="s">
        <v>100</v>
      </c>
      <c r="E18" s="113">
        <v>0</v>
      </c>
      <c r="F18" s="113" t="s">
        <v>20</v>
      </c>
      <c r="G18" s="113" t="s">
        <v>5</v>
      </c>
    </row>
    <row r="19" spans="1:9" s="111" customFormat="1" x14ac:dyDescent="0.75">
      <c r="A19" s="111">
        <v>13</v>
      </c>
      <c r="B19" s="114" t="s">
        <v>1224</v>
      </c>
      <c r="C19" s="113" t="s">
        <v>1225</v>
      </c>
      <c r="D19" s="113" t="s">
        <v>1225</v>
      </c>
      <c r="E19" s="113">
        <v>0</v>
      </c>
      <c r="F19" s="113">
        <v>1</v>
      </c>
      <c r="G19" s="45" t="s">
        <v>1214</v>
      </c>
    </row>
    <row r="20" spans="1:9" s="111" customFormat="1" x14ac:dyDescent="0.75">
      <c r="A20" s="111">
        <v>14</v>
      </c>
      <c r="B20" s="114" t="s">
        <v>1217</v>
      </c>
      <c r="C20" s="114" t="s">
        <v>1226</v>
      </c>
      <c r="D20" s="114" t="s">
        <v>1227</v>
      </c>
      <c r="E20" s="113">
        <v>0</v>
      </c>
      <c r="F20" s="113">
        <v>1</v>
      </c>
      <c r="G20" s="45" t="s">
        <v>1201</v>
      </c>
    </row>
    <row r="21" spans="1:9" s="111" customFormat="1" ht="29.5" x14ac:dyDescent="0.75">
      <c r="A21" s="111">
        <v>15</v>
      </c>
      <c r="B21" s="150" t="s">
        <v>1228</v>
      </c>
      <c r="C21" s="150" t="s">
        <v>1229</v>
      </c>
      <c r="D21" s="150" t="s">
        <v>1229</v>
      </c>
      <c r="E21" s="113">
        <v>0</v>
      </c>
      <c r="F21" s="113">
        <v>0</v>
      </c>
      <c r="G21" s="113" t="s">
        <v>5</v>
      </c>
    </row>
    <row r="22" spans="1:9" s="111" customFormat="1" x14ac:dyDescent="0.75">
      <c r="A22" s="111">
        <v>16</v>
      </c>
      <c r="B22" s="114" t="s">
        <v>1218</v>
      </c>
      <c r="C22" s="113" t="s">
        <v>93</v>
      </c>
      <c r="D22" s="113" t="s">
        <v>93</v>
      </c>
      <c r="E22" s="113">
        <v>0</v>
      </c>
      <c r="F22" s="113">
        <v>1</v>
      </c>
      <c r="G22" s="113" t="s">
        <v>931</v>
      </c>
    </row>
    <row r="23" spans="1:9" s="111" customFormat="1" x14ac:dyDescent="0.75">
      <c r="A23" s="111">
        <v>17</v>
      </c>
      <c r="B23" s="114" t="s">
        <v>1219</v>
      </c>
      <c r="C23" s="114" t="s">
        <v>894</v>
      </c>
      <c r="D23" s="113" t="s">
        <v>894</v>
      </c>
      <c r="E23" s="113">
        <v>0</v>
      </c>
      <c r="F23" s="113" t="s">
        <v>20</v>
      </c>
      <c r="G23" s="45" t="s">
        <v>1196</v>
      </c>
    </row>
    <row r="24" spans="1:9" s="111" customFormat="1" x14ac:dyDescent="0.75">
      <c r="A24" s="111">
        <v>18</v>
      </c>
      <c r="B24" s="114" t="s">
        <v>1220</v>
      </c>
      <c r="C24" s="113" t="s">
        <v>95</v>
      </c>
      <c r="D24" s="113" t="s">
        <v>95</v>
      </c>
      <c r="E24" s="113">
        <v>0</v>
      </c>
      <c r="F24" s="113" t="s">
        <v>20</v>
      </c>
      <c r="G24" s="45" t="s">
        <v>1133</v>
      </c>
    </row>
    <row r="25" spans="1:9" s="111" customFormat="1" x14ac:dyDescent="0.75">
      <c r="A25" s="111">
        <v>19</v>
      </c>
      <c r="B25" s="114" t="s">
        <v>1221</v>
      </c>
      <c r="C25" s="113" t="s">
        <v>96</v>
      </c>
      <c r="D25" s="113" t="s">
        <v>96</v>
      </c>
      <c r="E25" s="113">
        <v>0</v>
      </c>
      <c r="F25" s="113" t="s">
        <v>20</v>
      </c>
      <c r="G25" s="45" t="s">
        <v>1168</v>
      </c>
    </row>
    <row r="26" spans="1:9" s="111" customFormat="1" x14ac:dyDescent="0.75">
      <c r="A26" s="111">
        <v>20</v>
      </c>
      <c r="B26" s="114" t="s">
        <v>1222</v>
      </c>
      <c r="C26" s="113" t="s">
        <v>98</v>
      </c>
      <c r="D26" s="113" t="s">
        <v>98</v>
      </c>
      <c r="E26" s="113">
        <v>0</v>
      </c>
      <c r="F26" s="113" t="s">
        <v>20</v>
      </c>
      <c r="G26" s="45" t="s">
        <v>1213</v>
      </c>
    </row>
    <row r="27" spans="1:9" s="111" customFormat="1" x14ac:dyDescent="0.75">
      <c r="A27" s="111">
        <v>21</v>
      </c>
      <c r="B27" s="114" t="s">
        <v>1223</v>
      </c>
      <c r="C27" s="113" t="s">
        <v>99</v>
      </c>
      <c r="D27" s="113" t="s">
        <v>99</v>
      </c>
      <c r="E27" s="113">
        <v>0</v>
      </c>
      <c r="F27" s="113">
        <v>1</v>
      </c>
      <c r="G27" s="45" t="s">
        <v>3</v>
      </c>
    </row>
    <row r="28" spans="1:9" s="25" customFormat="1" ht="27" x14ac:dyDescent="0.75">
      <c r="A28" s="111">
        <v>22</v>
      </c>
      <c r="B28" s="148" t="s">
        <v>1046</v>
      </c>
      <c r="C28" s="24" t="s">
        <v>1067</v>
      </c>
      <c r="D28" s="149"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1 - Profiles in progress"</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1 - Profiles in progress"</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1198</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999</v>
      </c>
      <c r="E7" s="113">
        <v>1</v>
      </c>
      <c r="F7" s="113" t="s">
        <v>20</v>
      </c>
      <c r="G7" s="113" t="s">
        <v>0</v>
      </c>
      <c r="H7" s="113"/>
      <c r="I7" s="113" t="str">
        <f>TRIM(C7)</f>
        <v>ID</v>
      </c>
    </row>
    <row r="8" spans="1:9" ht="103.25" x14ac:dyDescent="0.75">
      <c r="A8" s="111">
        <v>2</v>
      </c>
      <c r="B8" s="113" t="s">
        <v>1035</v>
      </c>
      <c r="C8" s="113" t="s">
        <v>1047</v>
      </c>
      <c r="D8" s="114" t="s">
        <v>1039</v>
      </c>
      <c r="E8" s="113">
        <v>0</v>
      </c>
      <c r="F8" s="113" t="s">
        <v>20</v>
      </c>
      <c r="G8" s="113" t="s">
        <v>5</v>
      </c>
      <c r="H8" s="113"/>
      <c r="I8" s="113" t="str">
        <f t="shared" ref="I8:I36" si="0">TRIM(C8)</f>
        <v>Date of diagnosis</v>
      </c>
    </row>
    <row r="9" spans="1:9" x14ac:dyDescent="0.75">
      <c r="A9" s="111">
        <v>3</v>
      </c>
      <c r="B9" s="113" t="s">
        <v>1004</v>
      </c>
      <c r="C9" s="114" t="s">
        <v>1136</v>
      </c>
      <c r="D9" s="114" t="s">
        <v>1018</v>
      </c>
      <c r="E9" s="113">
        <v>0</v>
      </c>
      <c r="F9" s="113" t="s">
        <v>20</v>
      </c>
      <c r="G9" s="113" t="s">
        <v>5</v>
      </c>
      <c r="H9" s="113"/>
      <c r="I9" s="113" t="str">
        <f t="shared" si="0"/>
        <v>Center of diagnosis</v>
      </c>
    </row>
    <row r="10" spans="1:9" ht="29.5" x14ac:dyDescent="0.75">
      <c r="A10" s="113">
        <v>4</v>
      </c>
      <c r="B10" s="113" t="s">
        <v>1058</v>
      </c>
      <c r="C10" s="113" t="s">
        <v>1017</v>
      </c>
      <c r="D10" s="114" t="s">
        <v>169</v>
      </c>
      <c r="E10" s="113">
        <v>0</v>
      </c>
      <c r="F10" s="113">
        <v>1</v>
      </c>
      <c r="G10" s="113" t="s">
        <v>0</v>
      </c>
      <c r="H10" s="113"/>
      <c r="I10" s="113" t="str">
        <f t="shared" si="0"/>
        <v>Center code</v>
      </c>
    </row>
    <row r="11" spans="1:9" x14ac:dyDescent="0.75">
      <c r="A11" s="111">
        <v>5</v>
      </c>
      <c r="B11" s="113" t="s">
        <v>1005</v>
      </c>
      <c r="C11" s="113" t="s">
        <v>1006</v>
      </c>
      <c r="D11" s="114" t="s">
        <v>1006</v>
      </c>
      <c r="E11" s="113">
        <v>0</v>
      </c>
      <c r="F11" s="113">
        <v>1</v>
      </c>
      <c r="G11" s="35" t="s">
        <v>3</v>
      </c>
      <c r="H11" s="113"/>
      <c r="I11" s="113" t="str">
        <f t="shared" si="0"/>
        <v>Center name</v>
      </c>
    </row>
    <row r="12" spans="1:9" x14ac:dyDescent="0.75">
      <c r="A12" s="111">
        <v>6</v>
      </c>
      <c r="B12" s="113" t="s">
        <v>1007</v>
      </c>
      <c r="C12" s="113" t="s">
        <v>1009</v>
      </c>
      <c r="D12" s="114" t="s">
        <v>1009</v>
      </c>
      <c r="E12" s="113">
        <v>0</v>
      </c>
      <c r="F12" s="113">
        <v>1</v>
      </c>
      <c r="G12" s="113" t="s">
        <v>3</v>
      </c>
      <c r="H12" s="113"/>
      <c r="I12" s="113" t="str">
        <f t="shared" si="0"/>
        <v>Center city</v>
      </c>
    </row>
    <row r="13" spans="1:9" x14ac:dyDescent="0.75">
      <c r="A13" s="113">
        <v>7</v>
      </c>
      <c r="B13" s="113" t="s">
        <v>1008</v>
      </c>
      <c r="C13" s="113" t="s">
        <v>1048</v>
      </c>
      <c r="D13" s="114" t="s">
        <v>1048</v>
      </c>
      <c r="E13" s="113">
        <v>1</v>
      </c>
      <c r="F13" s="113">
        <v>1</v>
      </c>
      <c r="G13" s="113" t="s">
        <v>3</v>
      </c>
      <c r="H13" s="113"/>
      <c r="I13" s="113" t="str">
        <f t="shared" si="0"/>
        <v>Center country</v>
      </c>
    </row>
    <row r="14" spans="1:9" x14ac:dyDescent="0.75">
      <c r="A14" s="111">
        <v>8</v>
      </c>
      <c r="B14" s="113" t="s">
        <v>1036</v>
      </c>
      <c r="C14" s="113" t="s">
        <v>1049</v>
      </c>
      <c r="D14" s="114" t="s">
        <v>177</v>
      </c>
      <c r="E14" s="113">
        <v>0</v>
      </c>
      <c r="F14" s="113">
        <v>1</v>
      </c>
      <c r="G14" s="113" t="s">
        <v>5</v>
      </c>
      <c r="H14" s="113"/>
      <c r="I14" s="113" t="str">
        <f t="shared" si="0"/>
        <v>Primary treatment center</v>
      </c>
    </row>
    <row r="15" spans="1:9" x14ac:dyDescent="0.75">
      <c r="A15" s="111">
        <v>9</v>
      </c>
      <c r="B15" s="113" t="s">
        <v>1010</v>
      </c>
      <c r="C15" s="113" t="s">
        <v>1014</v>
      </c>
      <c r="D15" s="114" t="s">
        <v>1014</v>
      </c>
      <c r="E15" s="35">
        <v>0</v>
      </c>
      <c r="F15" s="113">
        <v>1</v>
      </c>
      <c r="G15" s="113" t="s">
        <v>3</v>
      </c>
      <c r="H15" s="113"/>
      <c r="I15" s="113" t="str">
        <f t="shared" si="0"/>
        <v>Primary treatment center name</v>
      </c>
    </row>
    <row r="16" spans="1:9" x14ac:dyDescent="0.75">
      <c r="A16" s="113">
        <v>10</v>
      </c>
      <c r="B16" s="113" t="s">
        <v>1011</v>
      </c>
      <c r="C16" s="113" t="s">
        <v>1013</v>
      </c>
      <c r="D16" s="114" t="s">
        <v>1013</v>
      </c>
      <c r="E16" s="113">
        <v>0</v>
      </c>
      <c r="F16" s="113">
        <v>1</v>
      </c>
      <c r="G16" s="113" t="s">
        <v>3</v>
      </c>
      <c r="H16" s="113"/>
      <c r="I16" s="113" t="str">
        <f t="shared" si="0"/>
        <v>Primary treatment center city</v>
      </c>
    </row>
    <row r="17" spans="1:9" x14ac:dyDescent="0.75">
      <c r="A17" s="111">
        <v>11</v>
      </c>
      <c r="B17" s="113" t="s">
        <v>1012</v>
      </c>
      <c r="C17" s="113" t="s">
        <v>1050</v>
      </c>
      <c r="D17" s="114" t="s">
        <v>1050</v>
      </c>
      <c r="E17" s="113">
        <v>0</v>
      </c>
      <c r="F17" s="113">
        <v>1</v>
      </c>
      <c r="G17" s="113" t="s">
        <v>3</v>
      </c>
      <c r="H17" s="113"/>
      <c r="I17" s="113" t="str">
        <f t="shared" si="0"/>
        <v>Primary treatment center country</v>
      </c>
    </row>
    <row r="18" spans="1:9" x14ac:dyDescent="0.75">
      <c r="A18" s="111">
        <v>12</v>
      </c>
      <c r="B18" s="113" t="s">
        <v>1015</v>
      </c>
      <c r="C18" s="113" t="s">
        <v>182</v>
      </c>
      <c r="D18" s="114" t="s">
        <v>182</v>
      </c>
      <c r="E18" s="113">
        <v>1</v>
      </c>
      <c r="F18" s="113" t="s">
        <v>20</v>
      </c>
      <c r="G18" s="113" t="s">
        <v>2</v>
      </c>
      <c r="H18" s="113"/>
      <c r="I18" s="113" t="str">
        <f t="shared" si="0"/>
        <v>Date of arrival to our institution</v>
      </c>
    </row>
    <row r="19" spans="1:9" x14ac:dyDescent="0.75">
      <c r="A19" s="113">
        <v>13</v>
      </c>
      <c r="B19" s="113" t="s">
        <v>1016</v>
      </c>
      <c r="C19" s="113" t="s">
        <v>186</v>
      </c>
      <c r="D19" s="114" t="s">
        <v>1019</v>
      </c>
      <c r="E19" s="113">
        <v>0</v>
      </c>
      <c r="F19" s="113" t="s">
        <v>20</v>
      </c>
      <c r="G19" s="113" t="s">
        <v>1</v>
      </c>
      <c r="H19" s="113"/>
      <c r="I19" s="113" t="str">
        <f t="shared" si="0"/>
        <v>Diagnostic Group</v>
      </c>
    </row>
    <row r="20" spans="1:9" ht="88.5" x14ac:dyDescent="0.75">
      <c r="A20" s="111">
        <v>14</v>
      </c>
      <c r="B20" s="113" t="s">
        <v>1020</v>
      </c>
      <c r="C20" s="113" t="s">
        <v>91</v>
      </c>
      <c r="D20" s="114" t="s">
        <v>1040</v>
      </c>
      <c r="E20" s="113">
        <v>0</v>
      </c>
      <c r="F20" s="113" t="s">
        <v>20</v>
      </c>
      <c r="G20" s="113" t="s">
        <v>1</v>
      </c>
      <c r="H20" s="113"/>
      <c r="I20" s="113" t="str">
        <f t="shared" si="0"/>
        <v>Diagnosis</v>
      </c>
    </row>
    <row r="21" spans="1:9" x14ac:dyDescent="0.75">
      <c r="A21" s="111">
        <v>15</v>
      </c>
      <c r="B21" s="113" t="s">
        <v>1021</v>
      </c>
      <c r="C21" s="113" t="s">
        <v>1025</v>
      </c>
      <c r="D21" s="114" t="s">
        <v>1022</v>
      </c>
      <c r="E21" s="113">
        <v>0</v>
      </c>
      <c r="F21" s="113" t="s">
        <v>20</v>
      </c>
      <c r="G21" s="113" t="s">
        <v>1</v>
      </c>
      <c r="H21" s="113"/>
      <c r="I21" s="113" t="str">
        <f t="shared" si="0"/>
        <v>Tumour behaviour (ICD-O-3 type)</v>
      </c>
    </row>
    <row r="22" spans="1:9" x14ac:dyDescent="0.75">
      <c r="A22" s="113">
        <v>16</v>
      </c>
      <c r="B22" s="113" t="s">
        <v>1023</v>
      </c>
      <c r="C22" s="113" t="s">
        <v>1051</v>
      </c>
      <c r="D22" s="114" t="s">
        <v>1051</v>
      </c>
      <c r="E22" s="113">
        <v>0</v>
      </c>
      <c r="F22" s="113">
        <v>1</v>
      </c>
      <c r="G22" s="113" t="s">
        <v>3</v>
      </c>
      <c r="H22" s="113"/>
      <c r="I22" s="113" t="str">
        <f t="shared" si="0"/>
        <v>Diagnosis description</v>
      </c>
    </row>
    <row r="23" spans="1:9" x14ac:dyDescent="0.75">
      <c r="A23" s="111">
        <v>17</v>
      </c>
      <c r="B23" s="113" t="s">
        <v>1024</v>
      </c>
      <c r="C23" s="113" t="s">
        <v>1000</v>
      </c>
      <c r="D23" s="114" t="s">
        <v>1027</v>
      </c>
      <c r="E23" s="113">
        <v>0</v>
      </c>
      <c r="F23" s="113" t="s">
        <v>20</v>
      </c>
      <c r="G23" s="113" t="s">
        <v>5</v>
      </c>
      <c r="H23" s="113"/>
      <c r="I23" s="113" t="str">
        <f t="shared" si="0"/>
        <v>Site</v>
      </c>
    </row>
    <row r="24" spans="1:9" ht="59" x14ac:dyDescent="0.75">
      <c r="A24" s="111">
        <v>18</v>
      </c>
      <c r="B24" s="113" t="s">
        <v>1028</v>
      </c>
      <c r="C24" s="113" t="s">
        <v>1052</v>
      </c>
      <c r="D24" s="114" t="s">
        <v>1037</v>
      </c>
      <c r="E24" s="113">
        <v>0</v>
      </c>
      <c r="F24" s="113" t="s">
        <v>20</v>
      </c>
      <c r="G24" s="113" t="s">
        <v>1</v>
      </c>
      <c r="H24" s="113"/>
      <c r="I24" s="113" t="str">
        <f t="shared" si="0"/>
        <v>Site(ICD-O-3 topography)</v>
      </c>
    </row>
    <row r="25" spans="1:9" x14ac:dyDescent="0.75">
      <c r="A25" s="113">
        <v>19</v>
      </c>
      <c r="B25" s="113" t="s">
        <v>1029</v>
      </c>
      <c r="C25" s="113" t="s">
        <v>1053</v>
      </c>
      <c r="D25" s="114" t="s">
        <v>1038</v>
      </c>
      <c r="E25" s="113">
        <v>0</v>
      </c>
      <c r="F25" s="113" t="s">
        <v>20</v>
      </c>
      <c r="G25" s="113" t="s">
        <v>3</v>
      </c>
      <c r="H25" s="113"/>
      <c r="I25" s="113" t="str">
        <f t="shared" si="0"/>
        <v>Site description</v>
      </c>
    </row>
    <row r="26" spans="1:9" x14ac:dyDescent="0.75">
      <c r="A26" s="111">
        <v>20</v>
      </c>
      <c r="B26" s="113" t="s">
        <v>1026</v>
      </c>
      <c r="C26" s="113" t="s">
        <v>1054</v>
      </c>
      <c r="D26" s="114" t="s">
        <v>1054</v>
      </c>
      <c r="E26" s="113">
        <v>0</v>
      </c>
      <c r="F26" s="113" t="s">
        <v>20</v>
      </c>
      <c r="G26" s="113" t="s">
        <v>1</v>
      </c>
      <c r="H26" s="113"/>
      <c r="I26" s="113" t="str">
        <f t="shared" si="0"/>
        <v>Laterality</v>
      </c>
    </row>
    <row r="27" spans="1:9" ht="29.5" x14ac:dyDescent="0.75">
      <c r="A27" s="111">
        <v>21</v>
      </c>
      <c r="B27" s="113" t="s">
        <v>1059</v>
      </c>
      <c r="C27" s="113" t="s">
        <v>210</v>
      </c>
      <c r="D27" s="114" t="s">
        <v>213</v>
      </c>
      <c r="E27" s="113">
        <v>0</v>
      </c>
      <c r="F27" s="113" t="s">
        <v>20</v>
      </c>
      <c r="G27" s="113" t="s">
        <v>5</v>
      </c>
      <c r="H27" s="116"/>
      <c r="I27" s="113" t="str">
        <f t="shared" si="0"/>
        <v>Metastatic</v>
      </c>
    </row>
    <row r="28" spans="1:9" x14ac:dyDescent="0.75">
      <c r="A28" s="113">
        <v>22</v>
      </c>
      <c r="B28" s="113" t="s">
        <v>1060</v>
      </c>
      <c r="C28" s="113" t="s">
        <v>1066</v>
      </c>
      <c r="D28" s="114" t="s">
        <v>214</v>
      </c>
      <c r="E28" s="113">
        <v>0</v>
      </c>
      <c r="F28" s="113" t="s">
        <v>20</v>
      </c>
      <c r="G28" s="113" t="s">
        <v>950</v>
      </c>
      <c r="I28" s="113" t="str">
        <f t="shared" si="0"/>
        <v>Metastasis id</v>
      </c>
    </row>
    <row r="29" spans="1:9" x14ac:dyDescent="0.75">
      <c r="A29" s="111">
        <v>23</v>
      </c>
      <c r="B29" s="113" t="s">
        <v>1061</v>
      </c>
      <c r="C29" s="113" t="s">
        <v>1064</v>
      </c>
      <c r="D29" s="114" t="s">
        <v>1030</v>
      </c>
      <c r="E29" s="113">
        <v>0</v>
      </c>
      <c r="F29" s="113" t="s">
        <v>20</v>
      </c>
      <c r="G29" s="113" t="s">
        <v>5</v>
      </c>
      <c r="I29" s="113" t="str">
        <f t="shared" si="0"/>
        <v>Metastasis site</v>
      </c>
    </row>
    <row r="30" spans="1:9" ht="29.5" x14ac:dyDescent="0.75">
      <c r="A30" s="111">
        <v>24</v>
      </c>
      <c r="B30" s="113" t="s">
        <v>1062</v>
      </c>
      <c r="C30" s="113" t="s">
        <v>1065</v>
      </c>
      <c r="D30" s="114" t="s">
        <v>1031</v>
      </c>
      <c r="E30" s="113">
        <v>0</v>
      </c>
      <c r="F30" s="113" t="s">
        <v>20</v>
      </c>
      <c r="G30" s="113" t="s">
        <v>1</v>
      </c>
      <c r="I30" s="113" t="str">
        <f t="shared" si="0"/>
        <v>Metastasis site code</v>
      </c>
    </row>
    <row r="31" spans="1:9" x14ac:dyDescent="0.75">
      <c r="A31" s="113">
        <v>25</v>
      </c>
      <c r="B31" s="113" t="s">
        <v>1063</v>
      </c>
      <c r="C31" s="113" t="s">
        <v>222</v>
      </c>
      <c r="D31" s="114" t="s">
        <v>222</v>
      </c>
      <c r="E31" s="113">
        <v>0</v>
      </c>
      <c r="F31" s="113" t="s">
        <v>20</v>
      </c>
      <c r="G31" s="113" t="s">
        <v>3</v>
      </c>
      <c r="I31" s="113" t="str">
        <f t="shared" si="0"/>
        <v>Additional description of sites of metastatis</v>
      </c>
    </row>
    <row r="32" spans="1:9" ht="44.25" x14ac:dyDescent="0.75">
      <c r="A32" s="111">
        <v>26</v>
      </c>
      <c r="B32" s="113" t="s">
        <v>1032</v>
      </c>
      <c r="C32" s="113" t="s">
        <v>1055</v>
      </c>
      <c r="D32" s="114" t="s">
        <v>228</v>
      </c>
      <c r="E32" s="113">
        <v>0</v>
      </c>
      <c r="F32" s="113">
        <v>1</v>
      </c>
      <c r="G32" s="113" t="s">
        <v>3</v>
      </c>
      <c r="I32" s="113" t="str">
        <f t="shared" si="0"/>
        <v>Genetic markers(text)</v>
      </c>
    </row>
    <row r="33" spans="1:9" ht="73.75" x14ac:dyDescent="0.75">
      <c r="A33" s="111">
        <v>27</v>
      </c>
      <c r="B33" s="113" t="s">
        <v>1001</v>
      </c>
      <c r="C33" s="113" t="s">
        <v>229</v>
      </c>
      <c r="D33" s="114" t="s">
        <v>1041</v>
      </c>
      <c r="E33" s="113">
        <v>0</v>
      </c>
      <c r="F33" s="113">
        <v>1</v>
      </c>
      <c r="G33" s="113" t="s">
        <v>3</v>
      </c>
      <c r="I33" s="113" t="str">
        <f t="shared" si="0"/>
        <v>Stage/Risk</v>
      </c>
    </row>
    <row r="34" spans="1:9" ht="44.25" x14ac:dyDescent="0.75">
      <c r="A34" s="113">
        <v>28</v>
      </c>
      <c r="B34" s="113" t="s">
        <v>1002</v>
      </c>
      <c r="C34" s="113" t="s">
        <v>1056</v>
      </c>
      <c r="D34" s="114" t="s">
        <v>1042</v>
      </c>
      <c r="E34" s="113">
        <v>0</v>
      </c>
      <c r="F34" s="113" t="s">
        <v>20</v>
      </c>
      <c r="G34" s="113" t="s">
        <v>1</v>
      </c>
      <c r="I34" s="113" t="str">
        <f t="shared" si="0"/>
        <v>Immunology</v>
      </c>
    </row>
    <row r="35" spans="1:9" ht="103.25" x14ac:dyDescent="0.75">
      <c r="A35" s="111">
        <v>29</v>
      </c>
      <c r="B35" s="113" t="s">
        <v>1034</v>
      </c>
      <c r="C35" s="113" t="s">
        <v>1033</v>
      </c>
      <c r="D35" s="114" t="s">
        <v>1057</v>
      </c>
      <c r="E35" s="113">
        <v>0</v>
      </c>
      <c r="F35" s="113" t="s">
        <v>20</v>
      </c>
      <c r="G35" s="113" t="s">
        <v>1</v>
      </c>
      <c r="I35" s="113" t="str">
        <f t="shared" si="0"/>
        <v>Hereditary Cancer Predisposition</v>
      </c>
    </row>
    <row r="36" spans="1:9" x14ac:dyDescent="0.75">
      <c r="A36" s="111">
        <v>30</v>
      </c>
      <c r="B36" s="113" t="s">
        <v>1003</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1202</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1155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1203</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1204</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1078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1079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1089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1087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1087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1088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1205</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1155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1159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1206</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1207</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1208</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1209</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1210</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1197</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1068</v>
      </c>
      <c r="D16" s="113" t="s">
        <v>1068</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1069</v>
      </c>
      <c r="C19" s="26" t="s">
        <v>1070</v>
      </c>
      <c r="D19" s="113" t="s">
        <v>1070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1077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1072</v>
      </c>
      <c r="M2" s="45"/>
      <c r="N2" s="25" t="str">
        <f>CONCATENATE("Mapping: ",E2)</f>
        <v xml:space="preserve">Mapping: </v>
      </c>
    </row>
    <row r="3" spans="1:14" x14ac:dyDescent="0.75">
      <c r="C3" s="105" t="str">
        <f>'Subj-1'!B3</f>
        <v>Publisher</v>
      </c>
      <c r="D3" s="41"/>
      <c r="E3" s="37"/>
      <c r="G3" s="25" t="s">
        <v>1073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1199</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1098</v>
      </c>
      <c r="C7" s="114" t="s">
        <v>1100</v>
      </c>
      <c r="D7" s="114" t="s">
        <v>1099</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1171</v>
      </c>
      <c r="C18" s="114" t="s">
        <v>1172</v>
      </c>
      <c r="D18" s="114" t="s">
        <v>1173</v>
      </c>
      <c r="E18" s="113">
        <v>0</v>
      </c>
      <c r="F18" s="113">
        <v>1</v>
      </c>
      <c r="G18" s="113" t="s">
        <v>1174</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1125</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1096</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1097</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1141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1154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1139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1140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1147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1148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1149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1150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1151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1142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1143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7" t="s">
        <v>1175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1152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1183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1176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1177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1178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1179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1180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1181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1182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1167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1153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1146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1170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1169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1145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1144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1145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1200</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5" t="s">
        <v>961</v>
      </c>
      <c r="I5" s="165"/>
    </row>
    <row r="6" spans="1:9" ht="15.5" thickBot="1" x14ac:dyDescent="0.9">
      <c r="A6" s="111">
        <v>0</v>
      </c>
      <c r="B6" s="125" t="s">
        <v>95</v>
      </c>
      <c r="C6" s="33" t="s">
        <v>95</v>
      </c>
      <c r="D6" s="17" t="s">
        <v>95</v>
      </c>
      <c r="E6" s="34">
        <v>1</v>
      </c>
      <c r="F6" s="34">
        <v>1</v>
      </c>
      <c r="G6" s="34"/>
    </row>
    <row r="7" spans="1:9" x14ac:dyDescent="0.75">
      <c r="A7" s="111">
        <v>1</v>
      </c>
      <c r="B7" s="113" t="s">
        <v>1098</v>
      </c>
      <c r="C7" s="114" t="s">
        <v>1100</v>
      </c>
      <c r="D7" s="114" t="s">
        <v>1103</v>
      </c>
      <c r="E7" s="113">
        <v>0</v>
      </c>
      <c r="F7" s="113">
        <v>1</v>
      </c>
      <c r="G7" s="113" t="s">
        <v>0</v>
      </c>
      <c r="H7" s="113"/>
      <c r="I7" s="113"/>
    </row>
    <row r="8" spans="1:9" ht="29.5" x14ac:dyDescent="0.75">
      <c r="A8" s="111">
        <v>2</v>
      </c>
      <c r="B8" s="113" t="s">
        <v>1101</v>
      </c>
      <c r="C8" s="114" t="s">
        <v>1102</v>
      </c>
      <c r="D8" s="114" t="s">
        <v>1104</v>
      </c>
      <c r="E8" s="113">
        <v>0</v>
      </c>
      <c r="F8" s="113">
        <v>1</v>
      </c>
      <c r="G8" s="113" t="s">
        <v>0</v>
      </c>
      <c r="H8" s="113"/>
      <c r="I8" s="113"/>
    </row>
    <row r="9" spans="1:9" ht="88.5" x14ac:dyDescent="0.75">
      <c r="A9" s="111">
        <v>3</v>
      </c>
      <c r="B9" s="113" t="s">
        <v>37</v>
      </c>
      <c r="C9" s="114" t="s">
        <v>1138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979</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981</v>
      </c>
      <c r="C19" s="114" t="s">
        <v>980</v>
      </c>
      <c r="D19" s="114" t="s">
        <v>1134</v>
      </c>
      <c r="E19" s="113">
        <v>0</v>
      </c>
      <c r="F19" s="113">
        <v>1</v>
      </c>
      <c r="G19" s="113" t="s">
        <v>1</v>
      </c>
      <c r="H19" s="113"/>
      <c r="I19" s="113"/>
    </row>
    <row r="20" spans="1:9" ht="147.5" x14ac:dyDescent="0.75">
      <c r="A20" s="111">
        <v>14</v>
      </c>
      <c r="B20" s="114" t="s">
        <v>983</v>
      </c>
      <c r="C20" s="114" t="s">
        <v>984</v>
      </c>
      <c r="D20" s="114" t="s">
        <v>982</v>
      </c>
      <c r="E20" s="113">
        <v>0</v>
      </c>
      <c r="F20" s="113">
        <v>1</v>
      </c>
      <c r="G20" s="113" t="s">
        <v>1</v>
      </c>
      <c r="H20" s="113"/>
      <c r="I20" s="113"/>
    </row>
    <row r="21" spans="1:9" ht="118" x14ac:dyDescent="0.75">
      <c r="A21" s="111">
        <v>15</v>
      </c>
      <c r="B21" s="114" t="s">
        <v>986</v>
      </c>
      <c r="C21" s="114" t="s">
        <v>987</v>
      </c>
      <c r="D21" s="114" t="s">
        <v>985</v>
      </c>
      <c r="E21" s="113">
        <v>0</v>
      </c>
      <c r="F21" s="113">
        <v>1</v>
      </c>
      <c r="G21" s="113" t="s">
        <v>1</v>
      </c>
      <c r="H21" s="113"/>
      <c r="I21" s="113"/>
    </row>
    <row r="22" spans="1:9" ht="147.5" x14ac:dyDescent="0.75">
      <c r="A22" s="111">
        <v>16</v>
      </c>
      <c r="B22" s="114" t="s">
        <v>977</v>
      </c>
      <c r="C22" s="114" t="s">
        <v>992</v>
      </c>
      <c r="D22" s="114" t="s">
        <v>1187</v>
      </c>
      <c r="E22" s="113">
        <v>0</v>
      </c>
      <c r="F22" s="113">
        <v>1</v>
      </c>
      <c r="G22" s="113" t="s">
        <v>1</v>
      </c>
      <c r="H22" s="113"/>
      <c r="I22" s="113"/>
    </row>
    <row r="23" spans="1:9" x14ac:dyDescent="0.75">
      <c r="A23" s="111">
        <v>17</v>
      </c>
      <c r="B23" s="114" t="s">
        <v>988</v>
      </c>
      <c r="C23" s="114" t="s">
        <v>989</v>
      </c>
      <c r="D23" s="114" t="s">
        <v>500</v>
      </c>
      <c r="E23" s="113">
        <v>0</v>
      </c>
      <c r="F23" s="113">
        <v>1</v>
      </c>
      <c r="G23" s="113" t="s">
        <v>950</v>
      </c>
      <c r="H23" s="113"/>
      <c r="I23" s="113"/>
    </row>
    <row r="24" spans="1:9" ht="73.75" x14ac:dyDescent="0.75">
      <c r="A24" s="111">
        <v>18</v>
      </c>
      <c r="B24" s="114" t="s">
        <v>963</v>
      </c>
      <c r="C24" s="128" t="s">
        <v>1107</v>
      </c>
      <c r="D24" s="129" t="s">
        <v>964</v>
      </c>
      <c r="E24" s="113">
        <v>0</v>
      </c>
      <c r="F24" s="113">
        <v>5</v>
      </c>
      <c r="G24" s="113" t="s">
        <v>5</v>
      </c>
      <c r="H24" s="113"/>
      <c r="I24" s="113"/>
    </row>
    <row r="25" spans="1:9" ht="191.75" x14ac:dyDescent="0.75">
      <c r="A25" s="111">
        <v>19</v>
      </c>
      <c r="B25" s="114" t="s">
        <v>965</v>
      </c>
      <c r="C25" s="128" t="s">
        <v>1108</v>
      </c>
      <c r="D25" s="114" t="s">
        <v>966</v>
      </c>
      <c r="E25" s="113">
        <v>1</v>
      </c>
      <c r="F25" s="113">
        <v>1</v>
      </c>
      <c r="G25" s="113" t="s">
        <v>1</v>
      </c>
      <c r="H25" s="127" t="s">
        <v>967</v>
      </c>
      <c r="I25" s="113" t="s">
        <v>968</v>
      </c>
    </row>
    <row r="26" spans="1:9" ht="59" x14ac:dyDescent="0.75">
      <c r="A26" s="111">
        <v>20</v>
      </c>
      <c r="B26" s="114" t="s">
        <v>1106</v>
      </c>
      <c r="C26" s="114" t="s">
        <v>1054</v>
      </c>
      <c r="D26" s="114" t="s">
        <v>1105</v>
      </c>
      <c r="E26" s="113">
        <v>0</v>
      </c>
      <c r="F26" s="113">
        <v>1</v>
      </c>
      <c r="G26" s="113" t="s">
        <v>1</v>
      </c>
      <c r="H26" s="127"/>
      <c r="I26" s="113"/>
    </row>
    <row r="27" spans="1:9" x14ac:dyDescent="0.75">
      <c r="A27" s="111">
        <v>21</v>
      </c>
      <c r="B27" s="114" t="s">
        <v>1113</v>
      </c>
      <c r="C27" s="114" t="s">
        <v>527</v>
      </c>
      <c r="D27" s="114" t="s">
        <v>529</v>
      </c>
      <c r="E27" s="113">
        <v>0</v>
      </c>
      <c r="F27" s="113">
        <v>1</v>
      </c>
      <c r="G27" s="113" t="s">
        <v>3</v>
      </c>
      <c r="H27" s="127"/>
      <c r="I27" s="113"/>
    </row>
    <row r="28" spans="1:9" ht="59" x14ac:dyDescent="0.75">
      <c r="A28" s="111">
        <v>22</v>
      </c>
      <c r="B28" s="114" t="s">
        <v>1109</v>
      </c>
      <c r="C28" s="114" t="s">
        <v>1114</v>
      </c>
      <c r="D28" s="114" t="s">
        <v>533</v>
      </c>
      <c r="E28" s="113">
        <v>0</v>
      </c>
      <c r="F28" s="113">
        <v>1</v>
      </c>
      <c r="G28" s="113" t="s">
        <v>3</v>
      </c>
      <c r="H28" s="127"/>
      <c r="I28" s="113"/>
    </row>
    <row r="29" spans="1:9" ht="59" x14ac:dyDescent="0.75">
      <c r="A29" s="111">
        <v>23</v>
      </c>
      <c r="B29" s="114" t="s">
        <v>1110</v>
      </c>
      <c r="C29" s="114" t="s">
        <v>1115</v>
      </c>
      <c r="D29" s="114" t="s">
        <v>538</v>
      </c>
      <c r="E29" s="113">
        <v>0</v>
      </c>
      <c r="F29" s="113">
        <v>1</v>
      </c>
      <c r="G29" s="113" t="s">
        <v>3</v>
      </c>
      <c r="H29" s="127"/>
      <c r="I29" s="113"/>
    </row>
    <row r="30" spans="1:9" ht="59" x14ac:dyDescent="0.75">
      <c r="A30" s="111">
        <v>24</v>
      </c>
      <c r="B30" s="114" t="s">
        <v>1111</v>
      </c>
      <c r="C30" s="114" t="s">
        <v>540</v>
      </c>
      <c r="D30" s="114" t="s">
        <v>1112</v>
      </c>
      <c r="E30" s="113">
        <v>0</v>
      </c>
      <c r="F30" s="113">
        <v>1</v>
      </c>
      <c r="G30" s="113" t="s">
        <v>1</v>
      </c>
      <c r="H30" s="127"/>
      <c r="I30" s="113"/>
    </row>
    <row r="31" spans="1:9" ht="29.5" x14ac:dyDescent="0.75">
      <c r="A31" s="111">
        <v>25</v>
      </c>
      <c r="B31" s="114" t="s">
        <v>1234</v>
      </c>
      <c r="C31" s="114" t="s">
        <v>1233</v>
      </c>
      <c r="D31" s="114" t="s">
        <v>1248</v>
      </c>
      <c r="E31" s="113">
        <v>0</v>
      </c>
      <c r="F31" s="113">
        <v>1</v>
      </c>
      <c r="G31" s="113" t="s">
        <v>5</v>
      </c>
      <c r="H31" s="113"/>
      <c r="I31" s="113"/>
    </row>
    <row r="32" spans="1:9" ht="29.5" x14ac:dyDescent="0.75">
      <c r="A32" s="111">
        <v>26</v>
      </c>
      <c r="B32" s="114" t="s">
        <v>1235</v>
      </c>
      <c r="C32" s="114" t="s">
        <v>343</v>
      </c>
      <c r="D32" s="114" t="s">
        <v>347</v>
      </c>
      <c r="E32" s="113">
        <v>0</v>
      </c>
      <c r="F32" s="113">
        <v>1</v>
      </c>
      <c r="G32" s="113" t="s">
        <v>1</v>
      </c>
    </row>
    <row r="33" spans="1:9" x14ac:dyDescent="0.75">
      <c r="A33" s="111">
        <v>27</v>
      </c>
      <c r="B33" s="114" t="s">
        <v>1236</v>
      </c>
      <c r="C33" s="114" t="s">
        <v>348</v>
      </c>
      <c r="D33" s="114" t="s">
        <v>351</v>
      </c>
      <c r="E33" s="113">
        <v>0</v>
      </c>
      <c r="F33" s="113">
        <v>1</v>
      </c>
      <c r="G33" s="113" t="s">
        <v>1</v>
      </c>
    </row>
    <row r="34" spans="1:9" x14ac:dyDescent="0.75">
      <c r="A34" s="111">
        <v>28</v>
      </c>
      <c r="B34" s="114" t="s">
        <v>1237</v>
      </c>
      <c r="C34" s="114" t="s">
        <v>969</v>
      </c>
      <c r="D34" s="114" t="s">
        <v>969</v>
      </c>
      <c r="E34" s="113">
        <v>0</v>
      </c>
      <c r="F34" s="113">
        <v>1</v>
      </c>
      <c r="G34" s="113" t="s">
        <v>3</v>
      </c>
      <c r="H34" s="113"/>
      <c r="I34" s="113"/>
    </row>
    <row r="35" spans="1:9" x14ac:dyDescent="0.75">
      <c r="A35" s="111">
        <v>29</v>
      </c>
      <c r="B35" s="114" t="s">
        <v>1238</v>
      </c>
      <c r="C35" s="114" t="s">
        <v>970</v>
      </c>
      <c r="D35" s="114" t="s">
        <v>1249</v>
      </c>
      <c r="E35" s="113">
        <v>0</v>
      </c>
      <c r="F35" s="113">
        <v>1</v>
      </c>
      <c r="G35" s="113" t="s">
        <v>922</v>
      </c>
      <c r="H35" s="113"/>
      <c r="I35" s="113"/>
    </row>
    <row r="36" spans="1:9" ht="44.25" x14ac:dyDescent="0.75">
      <c r="A36" s="111">
        <v>30</v>
      </c>
      <c r="B36" s="114" t="s">
        <v>1239</v>
      </c>
      <c r="C36" s="114" t="s">
        <v>549</v>
      </c>
      <c r="D36" s="114" t="s">
        <v>990</v>
      </c>
      <c r="E36" s="113">
        <v>0</v>
      </c>
      <c r="F36" s="113">
        <v>1</v>
      </c>
      <c r="G36" s="113" t="s">
        <v>1</v>
      </c>
      <c r="H36" s="113"/>
      <c r="I36" s="113"/>
    </row>
    <row r="37" spans="1:9" ht="29.5" x14ac:dyDescent="0.75">
      <c r="A37" s="111">
        <v>31</v>
      </c>
      <c r="B37" s="14" t="s">
        <v>1240</v>
      </c>
      <c r="C37" s="114" t="s">
        <v>994</v>
      </c>
      <c r="D37" s="114" t="s">
        <v>1135</v>
      </c>
      <c r="E37" s="113">
        <v>0</v>
      </c>
      <c r="F37" s="113">
        <v>1</v>
      </c>
      <c r="G37" s="24" t="s">
        <v>950</v>
      </c>
    </row>
    <row r="38" spans="1:9" ht="29.5" x14ac:dyDescent="0.75">
      <c r="A38" s="111">
        <v>32</v>
      </c>
      <c r="B38" s="114" t="s">
        <v>971</v>
      </c>
      <c r="C38" s="114" t="s">
        <v>562</v>
      </c>
      <c r="D38" s="114" t="s">
        <v>1137</v>
      </c>
      <c r="E38" s="113">
        <v>0</v>
      </c>
      <c r="F38" s="113">
        <v>5</v>
      </c>
      <c r="G38" s="113" t="s">
        <v>5</v>
      </c>
      <c r="H38" s="113"/>
      <c r="I38" s="113"/>
    </row>
    <row r="39" spans="1:9" ht="59" x14ac:dyDescent="0.75">
      <c r="A39" s="111">
        <v>33</v>
      </c>
      <c r="B39" s="114" t="s">
        <v>995</v>
      </c>
      <c r="C39" s="114" t="s">
        <v>996</v>
      </c>
      <c r="D39" s="14" t="s">
        <v>997</v>
      </c>
      <c r="E39" s="113">
        <v>1</v>
      </c>
      <c r="F39" s="113">
        <v>1</v>
      </c>
      <c r="G39" s="113" t="s">
        <v>1</v>
      </c>
      <c r="H39" s="113"/>
      <c r="I39" s="113"/>
    </row>
    <row r="40" spans="1:9" x14ac:dyDescent="0.75">
      <c r="A40" s="111">
        <v>34</v>
      </c>
      <c r="B40" s="114" t="s">
        <v>972</v>
      </c>
      <c r="C40" s="114" t="s">
        <v>973</v>
      </c>
      <c r="D40" s="114" t="s">
        <v>1186</v>
      </c>
      <c r="E40" s="113">
        <v>0</v>
      </c>
      <c r="F40" s="113">
        <v>1</v>
      </c>
      <c r="G40" s="113" t="s">
        <v>1</v>
      </c>
      <c r="H40" s="113"/>
      <c r="I40" s="113"/>
    </row>
    <row r="41" spans="1:9" ht="88.5" x14ac:dyDescent="0.75">
      <c r="A41" s="111">
        <v>35</v>
      </c>
      <c r="B41" s="114" t="s">
        <v>974</v>
      </c>
      <c r="C41" s="114" t="s">
        <v>975</v>
      </c>
      <c r="D41" s="129" t="s">
        <v>976</v>
      </c>
      <c r="E41" s="113">
        <v>0</v>
      </c>
      <c r="F41" s="113">
        <v>1</v>
      </c>
      <c r="G41" s="113" t="s">
        <v>1</v>
      </c>
      <c r="H41" s="127" t="s">
        <v>967</v>
      </c>
      <c r="I41" s="113" t="s">
        <v>968</v>
      </c>
    </row>
    <row r="42" spans="1:9" ht="59" x14ac:dyDescent="0.75">
      <c r="A42" s="111">
        <v>36</v>
      </c>
      <c r="B42" s="114" t="s">
        <v>1116</v>
      </c>
      <c r="C42" s="114" t="s">
        <v>1054</v>
      </c>
      <c r="D42" s="114" t="s">
        <v>1105</v>
      </c>
      <c r="E42" s="113">
        <v>0</v>
      </c>
      <c r="F42" s="113">
        <v>1</v>
      </c>
      <c r="G42" s="113" t="s">
        <v>1</v>
      </c>
      <c r="H42" s="127"/>
      <c r="I42" s="113"/>
    </row>
    <row r="43" spans="1:9" x14ac:dyDescent="0.75">
      <c r="A43" s="111">
        <v>37</v>
      </c>
      <c r="B43" s="114" t="s">
        <v>1117</v>
      </c>
      <c r="C43" s="114" t="s">
        <v>527</v>
      </c>
      <c r="D43" s="114" t="s">
        <v>529</v>
      </c>
      <c r="E43" s="113">
        <v>0</v>
      </c>
      <c r="F43" s="113">
        <v>1</v>
      </c>
      <c r="G43" s="113" t="s">
        <v>3</v>
      </c>
      <c r="H43" s="127"/>
      <c r="I43" s="113"/>
    </row>
    <row r="44" spans="1:9" ht="59" x14ac:dyDescent="0.75">
      <c r="A44" s="111">
        <v>38</v>
      </c>
      <c r="B44" s="114" t="s">
        <v>1118</v>
      </c>
      <c r="C44" s="114" t="s">
        <v>1114</v>
      </c>
      <c r="D44" s="114" t="s">
        <v>533</v>
      </c>
      <c r="E44" s="113">
        <v>0</v>
      </c>
      <c r="F44" s="113">
        <v>1</v>
      </c>
      <c r="G44" s="113" t="s">
        <v>3</v>
      </c>
      <c r="H44" s="127"/>
      <c r="I44" s="113"/>
    </row>
    <row r="45" spans="1:9" ht="59" x14ac:dyDescent="0.75">
      <c r="A45" s="111">
        <v>39</v>
      </c>
      <c r="B45" s="114" t="s">
        <v>1119</v>
      </c>
      <c r="C45" s="114" t="s">
        <v>1115</v>
      </c>
      <c r="D45" s="114" t="s">
        <v>538</v>
      </c>
      <c r="E45" s="113">
        <v>0</v>
      </c>
      <c r="F45" s="113">
        <v>1</v>
      </c>
      <c r="G45" s="113" t="s">
        <v>3</v>
      </c>
      <c r="H45" s="127"/>
      <c r="I45" s="113"/>
    </row>
    <row r="46" spans="1:9" ht="59" x14ac:dyDescent="0.75">
      <c r="A46" s="111">
        <v>40</v>
      </c>
      <c r="B46" s="114" t="s">
        <v>1120</v>
      </c>
      <c r="C46" s="114" t="s">
        <v>540</v>
      </c>
      <c r="D46" s="114" t="s">
        <v>1112</v>
      </c>
      <c r="E46" s="113">
        <v>0</v>
      </c>
      <c r="F46" s="113">
        <v>1</v>
      </c>
      <c r="G46" s="113" t="s">
        <v>1</v>
      </c>
      <c r="H46" s="127"/>
      <c r="I46" s="113"/>
    </row>
    <row r="47" spans="1:9" x14ac:dyDescent="0.75">
      <c r="A47" s="111">
        <v>41</v>
      </c>
      <c r="B47" s="114" t="s">
        <v>1241</v>
      </c>
      <c r="C47" s="114" t="s">
        <v>1233</v>
      </c>
      <c r="D47" s="114" t="s">
        <v>1250</v>
      </c>
      <c r="E47" s="113">
        <v>1</v>
      </c>
      <c r="F47" s="113">
        <v>1</v>
      </c>
      <c r="G47" s="113" t="s">
        <v>5</v>
      </c>
      <c r="H47" s="113"/>
      <c r="I47" s="113"/>
    </row>
    <row r="48" spans="1:9" ht="29.5" x14ac:dyDescent="0.75">
      <c r="A48" s="111">
        <v>42</v>
      </c>
      <c r="B48" s="114" t="s">
        <v>1242</v>
      </c>
      <c r="C48" s="114" t="s">
        <v>343</v>
      </c>
      <c r="D48" s="114" t="s">
        <v>347</v>
      </c>
      <c r="E48" s="113">
        <v>0</v>
      </c>
      <c r="F48" s="113">
        <v>1</v>
      </c>
      <c r="G48" s="113" t="s">
        <v>1</v>
      </c>
    </row>
    <row r="49" spans="1:9" x14ac:dyDescent="0.75">
      <c r="A49" s="111">
        <v>43</v>
      </c>
      <c r="B49" s="114" t="s">
        <v>1243</v>
      </c>
      <c r="C49" s="114" t="s">
        <v>348</v>
      </c>
      <c r="D49" s="114" t="s">
        <v>351</v>
      </c>
      <c r="E49" s="113">
        <v>0</v>
      </c>
      <c r="F49" s="113">
        <v>1</v>
      </c>
      <c r="G49" s="113" t="s">
        <v>1</v>
      </c>
    </row>
    <row r="50" spans="1:9" x14ac:dyDescent="0.75">
      <c r="A50" s="111">
        <v>44</v>
      </c>
      <c r="B50" s="114" t="s">
        <v>1244</v>
      </c>
      <c r="C50" s="114" t="s">
        <v>969</v>
      </c>
      <c r="D50" s="114" t="s">
        <v>969</v>
      </c>
      <c r="E50" s="113">
        <v>0</v>
      </c>
      <c r="F50" s="113">
        <v>1</v>
      </c>
      <c r="G50" s="113" t="s">
        <v>1</v>
      </c>
      <c r="H50" s="113"/>
      <c r="I50" s="35"/>
    </row>
    <row r="51" spans="1:9" x14ac:dyDescent="0.75">
      <c r="A51" s="111">
        <v>45</v>
      </c>
      <c r="B51" s="114" t="s">
        <v>1245</v>
      </c>
      <c r="C51" s="114" t="s">
        <v>970</v>
      </c>
      <c r="D51" s="114" t="s">
        <v>1250</v>
      </c>
      <c r="E51" s="113">
        <v>0</v>
      </c>
      <c r="F51" s="113">
        <v>1</v>
      </c>
      <c r="G51" s="113" t="s">
        <v>922</v>
      </c>
      <c r="H51" s="113"/>
      <c r="I51" s="113"/>
    </row>
    <row r="52" spans="1:9" ht="29.5" x14ac:dyDescent="0.75">
      <c r="A52" s="111">
        <v>46</v>
      </c>
      <c r="B52" s="114" t="s">
        <v>1246</v>
      </c>
      <c r="C52" s="114" t="s">
        <v>993</v>
      </c>
      <c r="D52" s="114" t="s">
        <v>991</v>
      </c>
      <c r="E52" s="113">
        <v>0</v>
      </c>
      <c r="F52" s="113">
        <v>1</v>
      </c>
      <c r="G52" s="113" t="s">
        <v>1</v>
      </c>
      <c r="H52" s="113"/>
      <c r="I52" s="113"/>
    </row>
    <row r="53" spans="1:9" ht="29.5" x14ac:dyDescent="0.75">
      <c r="A53" s="111">
        <v>47</v>
      </c>
      <c r="B53" s="14" t="s">
        <v>1247</v>
      </c>
      <c r="C53" s="114" t="s">
        <v>994</v>
      </c>
      <c r="D53" s="114" t="s">
        <v>605</v>
      </c>
      <c r="E53" s="113">
        <v>0</v>
      </c>
      <c r="F53" s="113">
        <v>1</v>
      </c>
      <c r="G53" s="24" t="s">
        <v>950</v>
      </c>
    </row>
    <row r="54" spans="1:9" x14ac:dyDescent="0.75">
      <c r="A54" s="111">
        <v>48</v>
      </c>
      <c r="B54" s="114" t="s">
        <v>1251</v>
      </c>
      <c r="C54" s="114" t="s">
        <v>606</v>
      </c>
      <c r="D54" s="113" t="s">
        <v>1122</v>
      </c>
      <c r="E54" s="113">
        <v>0</v>
      </c>
      <c r="F54" s="113">
        <v>1</v>
      </c>
      <c r="G54" s="113" t="s">
        <v>5</v>
      </c>
      <c r="H54" s="113"/>
      <c r="I54" s="113"/>
    </row>
    <row r="55" spans="1:9" ht="29.5" x14ac:dyDescent="0.75">
      <c r="A55" s="111">
        <v>49</v>
      </c>
      <c r="B55" s="114" t="s">
        <v>1252</v>
      </c>
      <c r="C55" s="114" t="s">
        <v>1121</v>
      </c>
      <c r="D55" s="114" t="s">
        <v>1123</v>
      </c>
      <c r="E55" s="113">
        <v>0</v>
      </c>
      <c r="F55" s="113">
        <v>1</v>
      </c>
      <c r="G55" s="113" t="s">
        <v>1</v>
      </c>
      <c r="H55" s="113"/>
      <c r="I55" s="113"/>
    </row>
    <row r="56" spans="1:9" x14ac:dyDescent="0.75">
      <c r="A56" s="111">
        <v>50</v>
      </c>
      <c r="B56" s="114" t="s">
        <v>1253</v>
      </c>
      <c r="C56" s="114" t="s">
        <v>610</v>
      </c>
      <c r="D56" s="114" t="s">
        <v>613</v>
      </c>
      <c r="E56" s="113">
        <v>0</v>
      </c>
      <c r="F56" s="113">
        <v>1</v>
      </c>
      <c r="G56" s="113" t="s">
        <v>3</v>
      </c>
      <c r="H56" s="113"/>
      <c r="I56" s="113"/>
    </row>
    <row r="57" spans="1:9" x14ac:dyDescent="0.75">
      <c r="A57" s="111">
        <v>51</v>
      </c>
      <c r="B57" s="114" t="s">
        <v>1124</v>
      </c>
      <c r="C57" s="114" t="s">
        <v>614</v>
      </c>
      <c r="D57" s="114" t="s">
        <v>616</v>
      </c>
      <c r="E57" s="113">
        <v>0</v>
      </c>
      <c r="F57" s="113">
        <v>1</v>
      </c>
      <c r="G57" s="113" t="s">
        <v>3</v>
      </c>
      <c r="H57" s="113"/>
      <c r="I57" s="113"/>
    </row>
    <row r="58" spans="1:9" x14ac:dyDescent="0.75">
      <c r="A58" s="111">
        <v>52</v>
      </c>
      <c r="B58" s="114" t="s">
        <v>1127</v>
      </c>
      <c r="C58" s="114" t="s">
        <v>1130</v>
      </c>
      <c r="D58" s="114" t="s">
        <v>1131</v>
      </c>
      <c r="E58" s="113">
        <v>0</v>
      </c>
      <c r="F58" s="113">
        <v>1</v>
      </c>
      <c r="G58" s="113" t="s">
        <v>5</v>
      </c>
      <c r="H58" s="113"/>
      <c r="I58" s="113"/>
    </row>
    <row r="59" spans="1:9" x14ac:dyDescent="0.75">
      <c r="A59" s="111">
        <v>53</v>
      </c>
      <c r="B59" s="114" t="s">
        <v>1184</v>
      </c>
      <c r="C59" s="114" t="s">
        <v>621</v>
      </c>
      <c r="D59" s="114" t="s">
        <v>1129</v>
      </c>
      <c r="E59" s="113">
        <v>0</v>
      </c>
      <c r="F59" s="113">
        <v>1</v>
      </c>
      <c r="G59" s="113" t="s">
        <v>1</v>
      </c>
      <c r="H59" s="113"/>
      <c r="I59" s="113"/>
    </row>
    <row r="60" spans="1:9" ht="29.5" x14ac:dyDescent="0.75">
      <c r="A60" s="111">
        <v>54</v>
      </c>
      <c r="B60" s="114" t="s">
        <v>1185</v>
      </c>
      <c r="C60" s="114" t="s">
        <v>1128</v>
      </c>
      <c r="D60" s="114" t="s">
        <v>628</v>
      </c>
      <c r="E60" s="113">
        <v>0</v>
      </c>
      <c r="F60" s="113">
        <v>2</v>
      </c>
      <c r="G60" s="113" t="s">
        <v>1132</v>
      </c>
      <c r="H60" s="113"/>
      <c r="I60" s="113"/>
    </row>
    <row r="61" spans="1:9" x14ac:dyDescent="0.75">
      <c r="A61" s="111">
        <v>55</v>
      </c>
      <c r="B61" s="114" t="s">
        <v>1126</v>
      </c>
      <c r="C61" s="114" t="s">
        <v>1166</v>
      </c>
      <c r="D61" s="114" t="s">
        <v>633</v>
      </c>
      <c r="E61" s="113">
        <v>0</v>
      </c>
      <c r="F61" s="113">
        <v>2</v>
      </c>
      <c r="G61" s="113" t="s">
        <v>1132</v>
      </c>
      <c r="H61" s="113"/>
      <c r="I61" s="113"/>
    </row>
    <row r="62" spans="1:9" x14ac:dyDescent="0.75">
      <c r="A62" s="111">
        <v>56</v>
      </c>
      <c r="B62" s="114" t="s">
        <v>1003</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978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49" workbookViewId="0">
      <selection activeCell="D60" sqref="D60"/>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1163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1154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1154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1155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1160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1148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1149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1150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1151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1156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1157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1158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1161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1231</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1230</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1230</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1188</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1159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1189</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1190</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1191</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1188</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1188</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1188</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target.totalDose</v>
      </c>
      <c r="D34" s="114" t="s">
        <v>1195</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1178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1179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1183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1180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1192</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target.totalDose.fractions</v>
      </c>
      <c r="D40" s="145" t="s">
        <v>1188</v>
      </c>
      <c r="G40" s="111" t="b">
        <f t="shared" si="1"/>
        <v>1</v>
      </c>
      <c r="H40" s="112" t="str">
        <f t="shared" si="2"/>
        <v>* differential.element[31].mapping[0].identity = "fhir"</v>
      </c>
      <c r="I40" s="112" t="str">
        <f t="shared" si="3"/>
        <v>* differential.element[31].mapping[0].map = "TBD"</v>
      </c>
      <c r="J40" s="112" t="str">
        <f t="shared" si="4"/>
        <v/>
      </c>
    </row>
    <row r="41" spans="1:13" ht="59" x14ac:dyDescent="0.75">
      <c r="A41" s="113">
        <v>0</v>
      </c>
      <c r="B41" s="113">
        <f>'Rad-1'!A38</f>
        <v>32</v>
      </c>
      <c r="C41" s="115" t="str">
        <f>'Rad-1'!B38</f>
        <v>target.boost</v>
      </c>
      <c r="D41" s="24" t="s">
        <v>1164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1158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1165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1159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1162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1190</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1191</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15" t="str">
        <f>'Rad-1'!B44</f>
        <v>target.boost.from</v>
      </c>
      <c r="D48" s="145" t="s">
        <v>1188</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1188</v>
      </c>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1188</v>
      </c>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target.boost.totalDose</v>
      </c>
      <c r="D51" s="114" t="s">
        <v>1195</v>
      </c>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1178</v>
      </c>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45" t="s">
        <v>1179</v>
      </c>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1183</v>
      </c>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1180</v>
      </c>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1192</v>
      </c>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target.boost.totalDose.fractions</v>
      </c>
      <c r="D57" s="146" t="s">
        <v>1188</v>
      </c>
      <c r="G57" s="111" t="b">
        <f t="shared" si="1"/>
        <v>1</v>
      </c>
      <c r="H57" s="112" t="str">
        <f t="shared" si="2"/>
        <v>* differential.element[47].mapping[0].identity = "fhir"</v>
      </c>
      <c r="I57" s="112" t="str">
        <f t="shared" si="3"/>
        <v>* differential.element[47].mapping[0].map = "TBD"</v>
      </c>
      <c r="J57" s="112" t="str">
        <f t="shared" si="4"/>
        <v/>
      </c>
    </row>
    <row r="58" spans="1:10" ht="29.5" x14ac:dyDescent="0.75">
      <c r="A58" s="113">
        <v>0</v>
      </c>
      <c r="B58" s="113">
        <f>'Rad-1'!A54</f>
        <v>48</v>
      </c>
      <c r="C58" s="115" t="str">
        <f>'Rad-1'!B54</f>
        <v>target.shielding</v>
      </c>
      <c r="D58" s="113" t="s">
        <v>1254</v>
      </c>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1165</v>
      </c>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1159</v>
      </c>
      <c r="G60" s="111" t="b">
        <f t="shared" si="1"/>
        <v>1</v>
      </c>
      <c r="H60" s="112" t="str">
        <f t="shared" si="2"/>
        <v>* differential.element[50].mapping[0].identity = "fhir"</v>
      </c>
      <c r="I60" s="112" t="str">
        <f t="shared" si="3"/>
        <v>* differential.element[50].mapping[0].map = ".bodySite"</v>
      </c>
      <c r="J60" s="112" t="str">
        <f t="shared" si="4"/>
        <v/>
      </c>
    </row>
    <row r="61" spans="1:10" x14ac:dyDescent="0.75">
      <c r="A61" s="113">
        <v>0</v>
      </c>
      <c r="B61" s="113">
        <f>'Rad-1'!A57</f>
        <v>51</v>
      </c>
      <c r="C61" s="115" t="str">
        <f>'Rad-1'!B57</f>
        <v>target.site.notes</v>
      </c>
      <c r="D61" s="151" t="s">
        <v>1193</v>
      </c>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45" t="s">
        <v>1194</v>
      </c>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46" t="s">
        <v>1146</v>
      </c>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46" t="s">
        <v>1189</v>
      </c>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45" t="s">
        <v>1194</v>
      </c>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1" t="s">
        <v>1193</v>
      </c>
      <c r="G66" s="111" t="b">
        <f t="shared" si="1"/>
        <v>1</v>
      </c>
      <c r="H66" s="112" t="str">
        <f t="shared" si="12"/>
        <v>* differential.element[56].mapping[0].identity = "fhir"</v>
      </c>
      <c r="I66" s="112" t="str">
        <f t="shared" si="13"/>
        <v>* differential.element[56].mapping[0].map = ".note"</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"TBD"</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"TBD"</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"TBD"</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"TBD"</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2022-06-17T12:52:37Z</dcterms:modified>
</cp:coreProperties>
</file>