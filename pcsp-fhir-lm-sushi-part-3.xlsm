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21" documentId="13_ncr:1_{9B4623CC-4C0B-41B9-8730-979A8D51C34B}" xr6:coauthVersionLast="47" xr6:coauthVersionMax="47" xr10:uidLastSave="{D7622517-E931-43D9-87BE-AD255DEA6602}"/>
  <bookViews>
    <workbookView xWindow="-90" yWindow="-21710" windowWidth="38620" windowHeight="21100" tabRatio="819" activeTab="1" xr2:uid="{82F0A5E9-86C8-45A2-AB20-6CF6AA2FD42B}"/>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'RelAftFlt-1'!$A$5:$I$31</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 i="59"/>
  <c r="D126" i="91" l="1" a="1"/>
  <c r="D126" i="91" s="1"/>
  <c r="D127" i="91" a="1"/>
  <c r="D127" i="91" s="1"/>
  <c r="D128" i="91" a="1"/>
  <c r="D128" i="91" s="1"/>
  <c r="D129" i="91" a="1"/>
  <c r="D129" i="91" s="1"/>
  <c r="D130" i="91" a="1"/>
  <c r="D130" i="91" s="1"/>
  <c r="D131" i="91" a="1"/>
  <c r="D131" i="91" s="1"/>
  <c r="D132" i="91" a="1"/>
  <c r="D132" i="91" s="1"/>
  <c r="D133" i="91" a="1"/>
  <c r="D133" i="91" s="1"/>
  <c r="D134" i="91" a="1"/>
  <c r="D134" i="91" s="1"/>
  <c r="D135" i="91" a="1"/>
  <c r="D135" i="91" s="1"/>
  <c r="D138" i="91" a="1"/>
  <c r="D138" i="91" s="1"/>
  <c r="D139" i="91" a="1"/>
  <c r="D139" i="91" s="1"/>
  <c r="D140" i="91" a="1"/>
  <c r="D140" i="91" s="1"/>
  <c r="D141" i="91" a="1"/>
  <c r="D141" i="91" s="1"/>
  <c r="D142" i="91" a="1"/>
  <c r="D142" i="91" s="1"/>
  <c r="D143" i="91" a="1"/>
  <c r="D143" i="91" s="1"/>
  <c r="D144" i="91" a="1"/>
  <c r="D144" i="91" s="1"/>
  <c r="D146" i="91" a="1"/>
  <c r="D146" i="91" s="1"/>
  <c r="D147" i="91" a="1"/>
  <c r="D147" i="91" s="1"/>
  <c r="D148" i="91" a="1"/>
  <c r="D148" i="91" s="1"/>
  <c r="D149" i="91" a="1"/>
  <c r="D149" i="91" s="1"/>
  <c r="D150" i="91" a="1"/>
  <c r="D150" i="91" s="1"/>
  <c r="D151" i="91" a="1"/>
  <c r="D151" i="91" s="1"/>
  <c r="D152" i="91" a="1"/>
  <c r="D152" i="91" s="1"/>
  <c r="D153" i="91" a="1"/>
  <c r="D153" i="91" s="1"/>
  <c r="D155" i="91" a="1"/>
  <c r="D155" i="91" s="1"/>
  <c r="D156" i="91" a="1"/>
  <c r="D156" i="91" s="1"/>
  <c r="D157" i="91" a="1"/>
  <c r="D157" i="91" s="1"/>
  <c r="D158" i="91" a="1"/>
  <c r="D158" i="91" s="1"/>
  <c r="D159" i="91" a="1"/>
  <c r="D159" i="91" s="1"/>
  <c r="D160" i="91" a="1"/>
  <c r="D160" i="91" s="1"/>
  <c r="D161" i="91" a="1"/>
  <c r="D161" i="91" s="1"/>
  <c r="D162" i="91" a="1"/>
  <c r="D162" i="91" s="1"/>
  <c r="D164" i="91" a="1"/>
  <c r="D164" i="91" s="1"/>
  <c r="D165" i="91" a="1"/>
  <c r="D165" i="91" s="1"/>
  <c r="D166" i="91" a="1"/>
  <c r="D166" i="91" s="1"/>
  <c r="D167" i="91" a="1"/>
  <c r="D167" i="91" s="1"/>
  <c r="D168" i="91" a="1"/>
  <c r="D168" i="91" s="1"/>
  <c r="D169" i="91" a="1"/>
  <c r="D169" i="91" s="1"/>
  <c r="D170" i="91" a="1"/>
  <c r="D170" i="91" s="1"/>
  <c r="D171" i="91" a="1"/>
  <c r="D171" i="91" s="1"/>
  <c r="D172" i="91" a="1"/>
  <c r="D172" i="91" s="1"/>
  <c r="D173" i="91" a="1"/>
  <c r="D173" i="91" s="1"/>
  <c r="D174" i="91" a="1"/>
  <c r="D174" i="91" s="1"/>
  <c r="D175" i="91" a="1"/>
  <c r="D175" i="91" s="1"/>
  <c r="D176" i="91" a="1"/>
  <c r="D176" i="91" s="1"/>
  <c r="D177" i="91" a="1"/>
  <c r="D177" i="91" s="1"/>
  <c r="D178" i="91" a="1"/>
  <c r="D178" i="91" s="1"/>
  <c r="D183" i="91" a="1"/>
  <c r="D183" i="91" s="1"/>
  <c r="D184" i="91" a="1"/>
  <c r="D184" i="91" s="1"/>
  <c r="D185" i="91" a="1"/>
  <c r="D185" i="91" s="1"/>
  <c r="D186" i="91" a="1"/>
  <c r="D186" i="91" s="1"/>
  <c r="D187" i="91" a="1"/>
  <c r="D187" i="91" s="1"/>
  <c r="D93" i="91" a="1"/>
  <c r="D93" i="91" s="1"/>
  <c r="D102" i="91" a="1"/>
  <c r="D102" i="91" s="1"/>
  <c r="D36" i="91" a="1"/>
  <c r="D36" i="91" s="1"/>
  <c r="D37" i="91" a="1"/>
  <c r="D37" i="91" s="1"/>
  <c r="D38" i="91" a="1"/>
  <c r="D38"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s="1"/>
  <c r="D52" i="91" a="1"/>
  <c r="D52" i="91" s="1"/>
  <c r="D54" i="91" a="1"/>
  <c r="D54" i="91" s="1"/>
  <c r="D67" i="91" a="1"/>
  <c r="D67" i="91" s="1"/>
  <c r="D73" i="91" a="1"/>
  <c r="D73" i="91" s="1"/>
  <c r="D86" i="91" a="1"/>
  <c r="D86" i="91" s="1"/>
  <c r="B11" i="90"/>
  <c r="D116" i="91" s="1" a="1"/>
  <c r="D116" i="91" s="1"/>
  <c r="C11" i="90"/>
  <c r="D117" i="91" s="1" a="1"/>
  <c r="D117" i="91" s="1"/>
  <c r="D11" i="90"/>
  <c r="D118" i="91" s="1" a="1"/>
  <c r="D118" i="91" s="1"/>
  <c r="E11" i="90"/>
  <c r="D119" i="91" s="1" a="1"/>
  <c r="D119" i="91" s="1"/>
  <c r="F11" i="90"/>
  <c r="D120" i="91" s="1" a="1"/>
  <c r="D120" i="91" s="1"/>
  <c r="G11" i="90"/>
  <c r="D121" i="91" s="1" a="1"/>
  <c r="D121" i="91" s="1"/>
  <c r="H11" i="90"/>
  <c r="D122" i="91" s="1" a="1"/>
  <c r="D122" i="91" s="1"/>
  <c r="I11" i="90"/>
  <c r="D123" i="91" s="1" a="1"/>
  <c r="D123" i="91" s="1"/>
  <c r="J11" i="90"/>
  <c r="D124" i="91" s="1" a="1"/>
  <c r="D124" i="91" s="1"/>
  <c r="B12" i="90"/>
  <c r="D125" i="91" s="1" a="1"/>
  <c r="D125" i="91" s="1"/>
  <c r="C12" i="90"/>
  <c r="D12" i="90"/>
  <c r="E12" i="90"/>
  <c r="F12" i="90"/>
  <c r="G12" i="90"/>
  <c r="H12" i="90"/>
  <c r="I12" i="90"/>
  <c r="J12" i="90"/>
  <c r="B13" i="90"/>
  <c r="C13" i="90"/>
  <c r="D13" i="90"/>
  <c r="D136" i="91" s="1" a="1"/>
  <c r="D136" i="91" s="1"/>
  <c r="E13" i="90"/>
  <c r="D137" i="91" s="1" a="1"/>
  <c r="D137" i="91" s="1"/>
  <c r="F13" i="90"/>
  <c r="G13" i="90"/>
  <c r="H13" i="90"/>
  <c r="I13" i="90"/>
  <c r="J13" i="90"/>
  <c r="B14" i="90"/>
  <c r="C14" i="90"/>
  <c r="D14" i="90"/>
  <c r="D145" i="91" s="1" a="1"/>
  <c r="D145" i="91" s="1"/>
  <c r="E14" i="90"/>
  <c r="F14" i="90"/>
  <c r="G14" i="90"/>
  <c r="H14" i="90"/>
  <c r="I14" i="90"/>
  <c r="J14" i="90"/>
  <c r="B15" i="90"/>
  <c r="C15" i="90"/>
  <c r="D15" i="90"/>
  <c r="D154" i="91" s="1" a="1"/>
  <c r="D154" i="91" s="1"/>
  <c r="E15" i="90"/>
  <c r="F15" i="90"/>
  <c r="G15" i="90"/>
  <c r="H15" i="90"/>
  <c r="I15" i="90"/>
  <c r="J15" i="90"/>
  <c r="B16" i="90"/>
  <c r="C16" i="90"/>
  <c r="D16" i="90"/>
  <c r="D163" i="91" s="1" a="1"/>
  <c r="D163" i="91" s="1"/>
  <c r="E16" i="90"/>
  <c r="F16" i="90"/>
  <c r="G16" i="90"/>
  <c r="H16" i="90"/>
  <c r="I16" i="90"/>
  <c r="J16" i="90"/>
  <c r="B17" i="90"/>
  <c r="C17" i="90"/>
  <c r="D17" i="90"/>
  <c r="E17" i="90"/>
  <c r="F17" i="90"/>
  <c r="G17" i="90"/>
  <c r="H17" i="90"/>
  <c r="I17" i="90"/>
  <c r="J17" i="90"/>
  <c r="J18" i="90"/>
  <c r="J19" i="90"/>
  <c r="J20" i="90"/>
  <c r="B8" i="90"/>
  <c r="D89" i="91" s="1" a="1"/>
  <c r="D89" i="91" s="1"/>
  <c r="C8" i="90"/>
  <c r="D90" i="91" s="1" a="1"/>
  <c r="D90" i="91" s="1"/>
  <c r="D8" i="90"/>
  <c r="D91" i="91" s="1" a="1"/>
  <c r="D91" i="91" s="1"/>
  <c r="E8" i="90"/>
  <c r="D92" i="91" s="1" a="1"/>
  <c r="D92" i="91" s="1"/>
  <c r="F8" i="90"/>
  <c r="G8" i="90"/>
  <c r="D94" i="91" s="1" a="1"/>
  <c r="D94" i="91" s="1"/>
  <c r="H8" i="90"/>
  <c r="D95" i="91" s="1" a="1"/>
  <c r="D95" i="91" s="1"/>
  <c r="I8" i="90"/>
  <c r="D96" i="91" s="1" a="1"/>
  <c r="D96" i="91" s="1"/>
  <c r="J8" i="90"/>
  <c r="D97" i="91" s="1" a="1"/>
  <c r="D97" i="91" s="1"/>
  <c r="B9" i="90"/>
  <c r="D98" i="91" s="1" a="1"/>
  <c r="D98" i="91" s="1"/>
  <c r="C9" i="90"/>
  <c r="D99" i="91" s="1" a="1"/>
  <c r="D99" i="91" s="1"/>
  <c r="D9" i="90"/>
  <c r="D100" i="91" s="1" a="1"/>
  <c r="D100" i="91" s="1"/>
  <c r="E9" i="90"/>
  <c r="D101" i="91" s="1" a="1"/>
  <c r="D101" i="91" s="1"/>
  <c r="F9" i="90"/>
  <c r="G9" i="90"/>
  <c r="D103" i="91" s="1" a="1"/>
  <c r="D103" i="91" s="1"/>
  <c r="H9" i="90"/>
  <c r="D104" i="91" s="1" a="1"/>
  <c r="D104" i="91" s="1"/>
  <c r="I9" i="90"/>
  <c r="D105" i="91" s="1" a="1"/>
  <c r="D105" i="91" s="1"/>
  <c r="J9" i="90"/>
  <c r="D106" i="91" s="1" a="1"/>
  <c r="D106" i="91" s="1"/>
  <c r="B10" i="90"/>
  <c r="D107" i="91" s="1" a="1"/>
  <c r="D107" i="91" s="1"/>
  <c r="C10" i="90"/>
  <c r="D108" i="91" s="1" a="1"/>
  <c r="D108" i="91" s="1"/>
  <c r="D10" i="90"/>
  <c r="D109" i="91" s="1" a="1"/>
  <c r="D109" i="91" s="1"/>
  <c r="E10" i="90"/>
  <c r="D110" i="91" s="1" a="1"/>
  <c r="D110" i="91" s="1"/>
  <c r="F10" i="90"/>
  <c r="D111" i="91" s="1" a="1"/>
  <c r="D111" i="91" s="1"/>
  <c r="G10" i="90"/>
  <c r="D112" i="91" s="1" a="1"/>
  <c r="D112" i="91" s="1"/>
  <c r="H10" i="90"/>
  <c r="D113" i="91" s="1" a="1"/>
  <c r="D113" i="91" s="1"/>
  <c r="I10" i="90"/>
  <c r="D114" i="91" s="1" a="1"/>
  <c r="D114" i="91" s="1"/>
  <c r="J10" i="90"/>
  <c r="D115" i="91" s="1" a="1"/>
  <c r="D115" i="91" s="1"/>
  <c r="B3" i="90"/>
  <c r="C3" i="90"/>
  <c r="D3" i="90"/>
  <c r="E3" i="90"/>
  <c r="F3" i="90"/>
  <c r="G3" i="90"/>
  <c r="H3" i="90"/>
  <c r="I3" i="90"/>
  <c r="J3" i="90"/>
  <c r="B4" i="90"/>
  <c r="D53" i="91" s="1" a="1"/>
  <c r="D53" i="91" s="1"/>
  <c r="C4" i="90"/>
  <c r="D4" i="90"/>
  <c r="D55" i="91" s="1" a="1"/>
  <c r="D55" i="91" s="1"/>
  <c r="E4" i="90"/>
  <c r="D56" i="91" s="1" a="1"/>
  <c r="D56" i="91" s="1"/>
  <c r="F4" i="90"/>
  <c r="D57" i="91" s="1" a="1"/>
  <c r="D57" i="91" s="1"/>
  <c r="G4" i="90"/>
  <c r="D58" i="91" s="1" a="1"/>
  <c r="D58" i="91" s="1"/>
  <c r="H4" i="90"/>
  <c r="D59" i="91" s="1" a="1"/>
  <c r="D59" i="91" s="1"/>
  <c r="I4" i="90"/>
  <c r="D60" i="91" s="1" a="1"/>
  <c r="D60" i="91" s="1"/>
  <c r="J4" i="90"/>
  <c r="D61" i="91" s="1" a="1"/>
  <c r="D61" i="91" s="1"/>
  <c r="B5" i="90"/>
  <c r="D62" i="91" s="1" a="1"/>
  <c r="D62" i="91" s="1"/>
  <c r="C5" i="90"/>
  <c r="D63" i="91" s="1" a="1"/>
  <c r="D63" i="91" s="1"/>
  <c r="D5" i="90"/>
  <c r="D64" i="91" s="1" a="1"/>
  <c r="D64" i="91" s="1"/>
  <c r="E5" i="90"/>
  <c r="D65" i="91" s="1" a="1"/>
  <c r="D65" i="91" s="1"/>
  <c r="F5" i="90"/>
  <c r="D66" i="91" s="1" a="1"/>
  <c r="D66" i="91" s="1"/>
  <c r="G5" i="90"/>
  <c r="H5" i="90"/>
  <c r="D68" i="91" s="1" a="1"/>
  <c r="D68" i="91" s="1"/>
  <c r="I5" i="90"/>
  <c r="D69" i="91" s="1" a="1"/>
  <c r="D69" i="91" s="1"/>
  <c r="J5" i="90"/>
  <c r="D70" i="91" s="1" a="1"/>
  <c r="D70" i="91" s="1"/>
  <c r="B6" i="90"/>
  <c r="D71" i="91" s="1" a="1"/>
  <c r="D71" i="91" s="1"/>
  <c r="C6" i="90"/>
  <c r="D72" i="91" s="1" a="1"/>
  <c r="D72" i="91" s="1"/>
  <c r="D6" i="90"/>
  <c r="E6" i="90"/>
  <c r="D74" i="91" s="1" a="1"/>
  <c r="D74" i="91" s="1"/>
  <c r="F6" i="90"/>
  <c r="D75" i="91" s="1" a="1"/>
  <c r="D75" i="91" s="1"/>
  <c r="G6" i="90"/>
  <c r="D76" i="91" s="1" a="1"/>
  <c r="D76" i="91" s="1"/>
  <c r="H6" i="90"/>
  <c r="D77" i="91" s="1" a="1"/>
  <c r="D77" i="91" s="1"/>
  <c r="I6" i="90"/>
  <c r="D78" i="91" s="1" a="1"/>
  <c r="D78" i="91" s="1"/>
  <c r="J6" i="90"/>
  <c r="D79" i="91" s="1" a="1"/>
  <c r="D79" i="91" s="1"/>
  <c r="B7" i="90"/>
  <c r="D80" i="91" s="1" a="1"/>
  <c r="D80" i="91" s="1"/>
  <c r="C7" i="90"/>
  <c r="D81" i="91" s="1" a="1"/>
  <c r="D81" i="91" s="1"/>
  <c r="D7" i="90"/>
  <c r="D82" i="91" s="1" a="1"/>
  <c r="D82" i="91" s="1"/>
  <c r="E7" i="90"/>
  <c r="D83" i="91" s="1" a="1"/>
  <c r="D83" i="91" s="1"/>
  <c r="F7" i="90"/>
  <c r="D84" i="91" s="1" a="1"/>
  <c r="D84" i="91" s="1"/>
  <c r="G7" i="90"/>
  <c r="D85" i="91" s="1" a="1"/>
  <c r="D85" i="91" s="1"/>
  <c r="H7" i="90"/>
  <c r="I7" i="90"/>
  <c r="D87" i="91" s="1" a="1"/>
  <c r="D87" i="91" s="1"/>
  <c r="J7" i="90"/>
  <c r="D88" i="91" s="1" a="1"/>
  <c r="D88" i="91" s="1"/>
  <c r="D36" i="10" l="1"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9" i="10" a="1"/>
  <c r="D59" i="10" s="1"/>
  <c r="D60" i="10" a="1"/>
  <c r="D60" i="10" s="1"/>
  <c r="D61" i="10" a="1"/>
  <c r="D61" i="10" s="1"/>
  <c r="D62" i="10" a="1"/>
  <c r="D62" i="10" s="1"/>
  <c r="D63" i="10" a="1"/>
  <c r="D63" i="10"/>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4" i="10" a="1"/>
  <c r="D94" i="10" s="1"/>
  <c r="D95" i="10" a="1"/>
  <c r="D95" i="10" s="1"/>
  <c r="D96" i="10" a="1"/>
  <c r="D96" i="10" s="1"/>
  <c r="D97" i="10" a="1"/>
  <c r="D97"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C3" i="9"/>
  <c r="D3" i="9"/>
  <c r="E3" i="9"/>
  <c r="F3" i="9"/>
  <c r="G3" i="9"/>
  <c r="H3" i="9"/>
  <c r="B4" i="9"/>
  <c r="C4" i="9"/>
  <c r="D4" i="9"/>
  <c r="E4" i="9"/>
  <c r="F4" i="9"/>
  <c r="G4" i="9"/>
  <c r="H4" i="9"/>
  <c r="B5" i="9"/>
  <c r="C5" i="9"/>
  <c r="D5" i="9"/>
  <c r="D58" i="10" s="1" a="1"/>
  <c r="D58" i="10" s="1"/>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D93" i="10" s="1" a="1"/>
  <c r="D93" i="10" s="1"/>
  <c r="E10" i="9"/>
  <c r="F10" i="9"/>
  <c r="G10" i="9"/>
  <c r="H10" i="9"/>
  <c r="D2" i="9"/>
  <c r="B2" i="9"/>
  <c r="C2" i="9"/>
  <c r="E2" i="9"/>
  <c r="F2" i="9"/>
  <c r="G2" i="9"/>
  <c r="H2" i="9"/>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D88" i="106" s="1" a="1"/>
  <c r="D88" i="106" s="1"/>
  <c r="D88" i="109" s="1"/>
  <c r="C87" i="106"/>
  <c r="B87" i="106"/>
  <c r="D87" i="106" s="1" a="1"/>
  <c r="D87" i="106" s="1"/>
  <c r="D87" i="109" s="1"/>
  <c r="C86" i="106"/>
  <c r="B86" i="106"/>
  <c r="D86" i="106" s="1" a="1"/>
  <c r="D86" i="106" s="1"/>
  <c r="D86" i="109" s="1"/>
  <c r="C85" i="106"/>
  <c r="B85" i="106"/>
  <c r="D85" i="106" s="1" a="1"/>
  <c r="D85" i="106" s="1"/>
  <c r="D85" i="109" s="1"/>
  <c r="C84" i="106"/>
  <c r="D84" i="106" s="1" a="1"/>
  <c r="D84" i="106" s="1"/>
  <c r="D84" i="109" s="1"/>
  <c r="B84" i="106"/>
  <c r="C83" i="106"/>
  <c r="D83" i="106" s="1" a="1"/>
  <c r="D83" i="106" s="1"/>
  <c r="D83" i="109" s="1"/>
  <c r="B83" i="106"/>
  <c r="C82" i="106"/>
  <c r="B82" i="106"/>
  <c r="C81" i="106"/>
  <c r="B81" i="106"/>
  <c r="C80" i="106"/>
  <c r="B80" i="106"/>
  <c r="D80" i="106" s="1" a="1"/>
  <c r="D80" i="106" s="1"/>
  <c r="D80" i="109" s="1"/>
  <c r="C79" i="106"/>
  <c r="B79" i="106"/>
  <c r="C78" i="106"/>
  <c r="B78" i="106"/>
  <c r="D78" i="106" s="1" a="1"/>
  <c r="D78" i="106" s="1"/>
  <c r="D78" i="109" s="1"/>
  <c r="C77" i="106"/>
  <c r="B77" i="106"/>
  <c r="D77" i="106" s="1" a="1"/>
  <c r="D77" i="106" s="1"/>
  <c r="D77" i="109" s="1"/>
  <c r="C76" i="106"/>
  <c r="B76" i="106"/>
  <c r="C75" i="106"/>
  <c r="B75" i="106"/>
  <c r="C74" i="106"/>
  <c r="B74" i="106"/>
  <c r="C73" i="106"/>
  <c r="B73" i="106"/>
  <c r="C72" i="106"/>
  <c r="B72" i="106"/>
  <c r="C71" i="106"/>
  <c r="B71" i="106"/>
  <c r="D71" i="106" s="1" a="1"/>
  <c r="D71" i="106" s="1"/>
  <c r="D71" i="109" s="1"/>
  <c r="C70" i="106"/>
  <c r="B70" i="106"/>
  <c r="D70" i="106" s="1" a="1"/>
  <c r="D70" i="106" s="1"/>
  <c r="D70" i="109" s="1"/>
  <c r="C69" i="106"/>
  <c r="B69" i="106"/>
  <c r="C68" i="106"/>
  <c r="D68" i="106" s="1" a="1"/>
  <c r="D68" i="106" s="1"/>
  <c r="D68" i="109" s="1"/>
  <c r="B68" i="106"/>
  <c r="C67" i="106"/>
  <c r="B67" i="106"/>
  <c r="C66" i="106"/>
  <c r="B66" i="106"/>
  <c r="D66" i="106" s="1" a="1"/>
  <c r="D66" i="106" s="1"/>
  <c r="D66" i="109" s="1"/>
  <c r="D65" i="106" a="1"/>
  <c r="D65" i="106" s="1"/>
  <c r="D65" i="109" s="1"/>
  <c r="C65" i="106"/>
  <c r="B65" i="106"/>
  <c r="C64" i="106"/>
  <c r="B64" i="106"/>
  <c r="D64" i="106" s="1" a="1"/>
  <c r="D64" i="106" s="1"/>
  <c r="D64" i="109" s="1"/>
  <c r="C63" i="106"/>
  <c r="B63" i="106"/>
  <c r="C62" i="106"/>
  <c r="B62" i="106"/>
  <c r="D62" i="106" s="1" a="1"/>
  <c r="D62" i="106" s="1"/>
  <c r="D62" i="109" s="1"/>
  <c r="C61" i="106"/>
  <c r="B61" i="106"/>
  <c r="D61" i="106" s="1" a="1"/>
  <c r="D61" i="106" s="1"/>
  <c r="D61" i="109" s="1"/>
  <c r="C60" i="106"/>
  <c r="D60" i="106" s="1" a="1"/>
  <c r="D60" i="106" s="1"/>
  <c r="D60" i="109" s="1"/>
  <c r="B60" i="106"/>
  <c r="C59" i="106"/>
  <c r="D59" i="106" s="1" a="1"/>
  <c r="D59" i="106" s="1"/>
  <c r="D59" i="109" s="1"/>
  <c r="B59" i="106"/>
  <c r="C58" i="106"/>
  <c r="B58" i="106"/>
  <c r="C57" i="106"/>
  <c r="B57" i="106"/>
  <c r="C56" i="106"/>
  <c r="B56" i="106"/>
  <c r="D56" i="106" s="1" a="1"/>
  <c r="D56" i="106" s="1"/>
  <c r="D56" i="109" s="1"/>
  <c r="C55" i="106"/>
  <c r="B55" i="106"/>
  <c r="C54" i="106"/>
  <c r="B54" i="106"/>
  <c r="C53" i="106"/>
  <c r="B53" i="106"/>
  <c r="D53" i="106" s="1" a="1"/>
  <c r="D53" i="106" s="1"/>
  <c r="D53" i="109" s="1"/>
  <c r="C52" i="106"/>
  <c r="B52" i="106"/>
  <c r="D52" i="106" s="1" a="1"/>
  <c r="D52" i="106" s="1"/>
  <c r="D52" i="109" s="1"/>
  <c r="C51" i="106"/>
  <c r="B51" i="106"/>
  <c r="C50" i="106"/>
  <c r="B50" i="106"/>
  <c r="D50" i="106" s="1" a="1"/>
  <c r="D50" i="106" s="1"/>
  <c r="D50" i="109" s="1"/>
  <c r="C49" i="106"/>
  <c r="B49" i="106"/>
  <c r="D49" i="106" s="1" a="1"/>
  <c r="D49" i="106" s="1"/>
  <c r="D49" i="109" s="1"/>
  <c r="C48" i="106"/>
  <c r="B48" i="106"/>
  <c r="D48" i="106" s="1" a="1"/>
  <c r="D48" i="106" s="1"/>
  <c r="D48" i="109" s="1"/>
  <c r="C47" i="106"/>
  <c r="B47" i="106"/>
  <c r="D47" i="106" s="1" a="1"/>
  <c r="D47" i="106" s="1"/>
  <c r="D47" i="109" s="1"/>
  <c r="C46" i="106"/>
  <c r="B46" i="106"/>
  <c r="C45" i="106"/>
  <c r="B45" i="106"/>
  <c r="D45" i="106" s="1" a="1"/>
  <c r="D45" i="106" s="1"/>
  <c r="D45" i="109" s="1"/>
  <c r="C44" i="106"/>
  <c r="B44" i="106"/>
  <c r="D44" i="106" s="1" a="1"/>
  <c r="D44" i="106" s="1"/>
  <c r="D44" i="109" s="1"/>
  <c r="C43" i="106"/>
  <c r="B43" i="106"/>
  <c r="C42" i="106"/>
  <c r="B42" i="106"/>
  <c r="C41" i="106"/>
  <c r="B41" i="106"/>
  <c r="D41" i="106" s="1" a="1"/>
  <c r="D41" i="106" s="1"/>
  <c r="D41" i="109" s="1"/>
  <c r="C40" i="106"/>
  <c r="B40" i="106"/>
  <c r="D40" i="106" s="1" a="1"/>
  <c r="D40" i="106" s="1"/>
  <c r="D40" i="109" s="1"/>
  <c r="C39" i="106"/>
  <c r="B39" i="106"/>
  <c r="D39" i="106" s="1" a="1"/>
  <c r="D39" i="106" s="1"/>
  <c r="D39" i="109" s="1"/>
  <c r="C38" i="106"/>
  <c r="B38" i="106"/>
  <c r="D38" i="106" s="1" a="1"/>
  <c r="D38" i="106" s="1"/>
  <c r="D38" i="109" s="1"/>
  <c r="C37" i="106"/>
  <c r="B37" i="106"/>
  <c r="D37" i="106" s="1" a="1"/>
  <c r="D37" i="106" s="1"/>
  <c r="D37" i="109" s="1"/>
  <c r="C36" i="106"/>
  <c r="B36" i="106"/>
  <c r="C35" i="106"/>
  <c r="B35" i="106"/>
  <c r="D35" i="106" s="1" a="1"/>
  <c r="D35" i="106" s="1"/>
  <c r="D35" i="109" s="1"/>
  <c r="C34" i="106"/>
  <c r="B34" i="106"/>
  <c r="C33" i="106"/>
  <c r="B33" i="106"/>
  <c r="C32" i="106"/>
  <c r="B32" i="106"/>
  <c r="D32" i="106" s="1" a="1"/>
  <c r="D32" i="106" s="1"/>
  <c r="D32" i="109" s="1"/>
  <c r="C31" i="106"/>
  <c r="B31" i="106"/>
  <c r="C30" i="106"/>
  <c r="B30" i="106"/>
  <c r="C29" i="106"/>
  <c r="B29" i="106"/>
  <c r="D29" i="106" s="1" a="1"/>
  <c r="D29" i="106" s="1"/>
  <c r="D29" i="109" s="1"/>
  <c r="C28" i="106"/>
  <c r="B28" i="106"/>
  <c r="D28" i="106" s="1" a="1"/>
  <c r="D28" i="106" s="1"/>
  <c r="D28" i="109" s="1"/>
  <c r="C27" i="106"/>
  <c r="B27" i="106"/>
  <c r="D27" i="106" s="1" a="1"/>
  <c r="D27" i="106" s="1"/>
  <c r="D27" i="109" s="1"/>
  <c r="C26" i="106"/>
  <c r="B26" i="106"/>
  <c r="D26" i="106" s="1" a="1"/>
  <c r="D26" i="106" s="1"/>
  <c r="D26" i="109" s="1"/>
  <c r="C25" i="106"/>
  <c r="B25" i="106"/>
  <c r="D25" i="106" s="1" a="1"/>
  <c r="D25" i="106" s="1"/>
  <c r="D25" i="109" s="1"/>
  <c r="C24" i="106"/>
  <c r="B24" i="106"/>
  <c r="D24" i="106" s="1" a="1"/>
  <c r="D24" i="106" s="1"/>
  <c r="D24" i="109" s="1"/>
  <c r="C23" i="106"/>
  <c r="B23" i="106"/>
  <c r="D23" i="106" s="1" a="1"/>
  <c r="D23" i="106" s="1"/>
  <c r="D23" i="109" s="1"/>
  <c r="C22" i="106"/>
  <c r="B22" i="106"/>
  <c r="C21" i="106"/>
  <c r="B21" i="106"/>
  <c r="D21" i="106" s="1" a="1"/>
  <c r="D21" i="106" s="1"/>
  <c r="D21" i="109" s="1"/>
  <c r="C20" i="106"/>
  <c r="B20" i="106"/>
  <c r="D20" i="106" s="1" a="1"/>
  <c r="D20" i="106" s="1"/>
  <c r="D20" i="109" s="1"/>
  <c r="C19" i="106"/>
  <c r="B19" i="106"/>
  <c r="C18" i="106"/>
  <c r="B18" i="106"/>
  <c r="C17" i="106"/>
  <c r="B17" i="106"/>
  <c r="D17" i="106" s="1" a="1"/>
  <c r="D17" i="106" s="1"/>
  <c r="D17" i="109" s="1"/>
  <c r="C16" i="106"/>
  <c r="B16" i="106"/>
  <c r="D16" i="106" s="1" a="1"/>
  <c r="D16" i="106" s="1"/>
  <c r="D16" i="109" s="1"/>
  <c r="C15" i="106"/>
  <c r="B15" i="106"/>
  <c r="D15" i="106" s="1" a="1"/>
  <c r="D15" i="106" s="1"/>
  <c r="D15" i="109" s="1"/>
  <c r="C14" i="106"/>
  <c r="B14" i="106"/>
  <c r="D14" i="106" s="1" a="1"/>
  <c r="D14" i="106" s="1"/>
  <c r="D14" i="109" s="1"/>
  <c r="C13" i="106"/>
  <c r="B13" i="106"/>
  <c r="C12" i="106"/>
  <c r="B12" i="106"/>
  <c r="C11" i="106"/>
  <c r="B11" i="106"/>
  <c r="D11" i="106" s="1" a="1"/>
  <c r="D11" i="106" s="1"/>
  <c r="D11" i="109" s="1"/>
  <c r="C10" i="106"/>
  <c r="B10" i="106"/>
  <c r="C9" i="106"/>
  <c r="B9" i="106"/>
  <c r="D9" i="106" s="1" a="1"/>
  <c r="D9" i="106" s="1"/>
  <c r="D9" i="109" s="1"/>
  <c r="C8" i="106"/>
  <c r="B8" i="106"/>
  <c r="D8" i="106" s="1" a="1"/>
  <c r="D8" i="106" s="1"/>
  <c r="D8" i="109" s="1"/>
  <c r="C7" i="106"/>
  <c r="B7" i="106"/>
  <c r="C6" i="106"/>
  <c r="B6" i="106"/>
  <c r="C5" i="106"/>
  <c r="B5" i="106"/>
  <c r="D5" i="106" s="1" a="1"/>
  <c r="D5" i="106" s="1"/>
  <c r="D5" i="109" s="1"/>
  <c r="C4" i="106"/>
  <c r="B4" i="106"/>
  <c r="D4" i="106" s="1" a="1"/>
  <c r="D4" i="106" s="1"/>
  <c r="D4" i="109" s="1"/>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I35" i="105"/>
  <c r="H35" i="105"/>
  <c r="K34" i="105"/>
  <c r="J34" i="105"/>
  <c r="I34" i="105"/>
  <c r="H34" i="105"/>
  <c r="C34" i="105"/>
  <c r="N34" i="105" s="1"/>
  <c r="B34" i="105"/>
  <c r="N33" i="105"/>
  <c r="K33" i="105"/>
  <c r="H33" i="105"/>
  <c r="J33" i="105" s="1"/>
  <c r="C33" i="105"/>
  <c r="B33" i="105"/>
  <c r="K32" i="105"/>
  <c r="I32" i="105"/>
  <c r="H32" i="105"/>
  <c r="J32" i="105" s="1"/>
  <c r="C32" i="105"/>
  <c r="N32" i="105" s="1"/>
  <c r="B32" i="105"/>
  <c r="N31" i="105"/>
  <c r="K31" i="105"/>
  <c r="H31" i="105"/>
  <c r="J31" i="105" s="1"/>
  <c r="C31" i="105"/>
  <c r="B31" i="105"/>
  <c r="K30" i="105"/>
  <c r="D74" i="106" s="1" a="1"/>
  <c r="D74" i="106" s="1"/>
  <c r="D74" i="109" s="1"/>
  <c r="H30" i="105"/>
  <c r="C30" i="105"/>
  <c r="N30" i="105" s="1"/>
  <c r="B30" i="105"/>
  <c r="J30" i="105" s="1"/>
  <c r="N29" i="105"/>
  <c r="K29" i="105"/>
  <c r="J29" i="105"/>
  <c r="H29" i="105"/>
  <c r="C29" i="105"/>
  <c r="B29" i="105"/>
  <c r="I29" i="105" s="1"/>
  <c r="N28" i="105"/>
  <c r="K28" i="105"/>
  <c r="I28" i="105"/>
  <c r="H28" i="105"/>
  <c r="J28" i="105" s="1"/>
  <c r="C28" i="105"/>
  <c r="B28" i="105"/>
  <c r="N27" i="105"/>
  <c r="K27" i="105"/>
  <c r="H27" i="105"/>
  <c r="J27" i="105" s="1"/>
  <c r="C27" i="105"/>
  <c r="B27" i="105"/>
  <c r="K26" i="105"/>
  <c r="J26" i="105"/>
  <c r="I26" i="105"/>
  <c r="H26" i="105"/>
  <c r="C26" i="105"/>
  <c r="N26" i="105" s="1"/>
  <c r="B26" i="105"/>
  <c r="N25" i="105"/>
  <c r="K25" i="105"/>
  <c r="H25" i="105"/>
  <c r="J25" i="105" s="1"/>
  <c r="D58" i="106" s="1" a="1"/>
  <c r="D58" i="106" s="1"/>
  <c r="D58" i="109" s="1"/>
  <c r="C25" i="105"/>
  <c r="B25" i="105"/>
  <c r="K24" i="105"/>
  <c r="H24" i="105"/>
  <c r="I24" i="105" s="1"/>
  <c r="C24" i="105"/>
  <c r="N24" i="105" s="1"/>
  <c r="B24" i="105"/>
  <c r="N23" i="105"/>
  <c r="K23" i="105"/>
  <c r="H23" i="105"/>
  <c r="J23" i="105" s="1"/>
  <c r="C23" i="105"/>
  <c r="B23" i="105"/>
  <c r="K22" i="105"/>
  <c r="J22" i="105"/>
  <c r="H22" i="105"/>
  <c r="I22" i="105" s="1"/>
  <c r="C22" i="105"/>
  <c r="B22" i="105"/>
  <c r="N21" i="105"/>
  <c r="K21" i="105"/>
  <c r="I21" i="105"/>
  <c r="H21" i="105"/>
  <c r="J21" i="105" s="1"/>
  <c r="C21" i="105"/>
  <c r="B21" i="105"/>
  <c r="N20" i="105"/>
  <c r="K20" i="105"/>
  <c r="H20" i="105"/>
  <c r="J20" i="105" s="1"/>
  <c r="C20" i="105"/>
  <c r="B20" i="105"/>
  <c r="K19" i="105"/>
  <c r="J19" i="105"/>
  <c r="I19" i="105"/>
  <c r="H19" i="105"/>
  <c r="C19" i="105"/>
  <c r="N19" i="105" s="1"/>
  <c r="B19" i="105"/>
  <c r="N18" i="105"/>
  <c r="K18" i="105"/>
  <c r="H18" i="105"/>
  <c r="J18" i="105" s="1"/>
  <c r="C18" i="105"/>
  <c r="B18" i="105"/>
  <c r="K17" i="105"/>
  <c r="H17" i="105"/>
  <c r="I17" i="105" s="1"/>
  <c r="C17" i="105"/>
  <c r="N17" i="105" s="1"/>
  <c r="B17" i="105"/>
  <c r="N16" i="105"/>
  <c r="K16" i="105"/>
  <c r="H16" i="105"/>
  <c r="J16" i="105" s="1"/>
  <c r="C16" i="105"/>
  <c r="B16" i="105"/>
  <c r="K15" i="105"/>
  <c r="J15" i="105"/>
  <c r="I15" i="105"/>
  <c r="H15" i="105"/>
  <c r="C15" i="105"/>
  <c r="N15" i="105" s="1"/>
  <c r="B15" i="105"/>
  <c r="N14" i="105"/>
  <c r="K14" i="105"/>
  <c r="J14" i="105"/>
  <c r="H14" i="105"/>
  <c r="I14" i="105" s="1"/>
  <c r="C14" i="105"/>
  <c r="B14" i="105"/>
  <c r="N13" i="105"/>
  <c r="K13" i="105"/>
  <c r="I13" i="105"/>
  <c r="H13" i="105"/>
  <c r="J13" i="105" s="1"/>
  <c r="C13" i="105"/>
  <c r="B13" i="105"/>
  <c r="N12" i="105"/>
  <c r="K12" i="105"/>
  <c r="H12" i="105"/>
  <c r="J12" i="105" s="1"/>
  <c r="C12" i="105"/>
  <c r="B12" i="105"/>
  <c r="K11" i="105"/>
  <c r="J11" i="105"/>
  <c r="I11" i="105"/>
  <c r="H11" i="105"/>
  <c r="C11" i="105"/>
  <c r="N11" i="105" s="1"/>
  <c r="B11" i="105"/>
  <c r="N10" i="105"/>
  <c r="K10" i="105"/>
  <c r="H10" i="105"/>
  <c r="J10" i="105" s="1"/>
  <c r="C10" i="105"/>
  <c r="B10" i="105"/>
  <c r="K9" i="105"/>
  <c r="H9" i="105"/>
  <c r="I9" i="105" s="1"/>
  <c r="C9" i="105"/>
  <c r="N9" i="105" s="1"/>
  <c r="B9" i="105"/>
  <c r="N8" i="105"/>
  <c r="K8" i="105"/>
  <c r="H8" i="105"/>
  <c r="J8" i="105" s="1"/>
  <c r="C8" i="105"/>
  <c r="B8" i="105"/>
  <c r="K7" i="105"/>
  <c r="J7" i="105"/>
  <c r="H7" i="105"/>
  <c r="I7" i="105" s="1"/>
  <c r="C7" i="105"/>
  <c r="B7" i="105"/>
  <c r="N6" i="105"/>
  <c r="N5" i="105"/>
  <c r="N4" i="105"/>
  <c r="C4" i="105"/>
  <c r="N3" i="105"/>
  <c r="C3" i="105"/>
  <c r="N2" i="105"/>
  <c r="C2" i="105"/>
  <c r="C1" i="105"/>
  <c r="D135" i="106" l="1"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2" i="106" a="1"/>
  <c r="D42" i="106" s="1"/>
  <c r="D4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C40" i="102"/>
  <c r="N40" i="102" s="1"/>
  <c r="C41" i="102"/>
  <c r="N41" i="102" s="1"/>
  <c r="C9" i="102"/>
  <c r="N9" i="102" s="1"/>
  <c r="C10" i="102"/>
  <c r="N10" i="102" s="1"/>
  <c r="C11" i="102"/>
  <c r="N11" i="102" s="1"/>
  <c r="C12" i="102"/>
  <c r="N12" i="102" s="1"/>
  <c r="C13" i="102"/>
  <c r="C14" i="102"/>
  <c r="N14" i="102" s="1"/>
  <c r="C15" i="102"/>
  <c r="N15" i="102" s="1"/>
  <c r="C16" i="102"/>
  <c r="N16" i="102" s="1"/>
  <c r="C17" i="102"/>
  <c r="N17" i="102" s="1"/>
  <c r="C18" i="102"/>
  <c r="N18" i="102" s="1"/>
  <c r="C19" i="102"/>
  <c r="N19" i="102" s="1"/>
  <c r="C20" i="102"/>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N13"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K37" i="102"/>
  <c r="K36" i="102"/>
  <c r="K35" i="102"/>
  <c r="D87" i="103" a="1"/>
  <c r="D87" i="103" s="1"/>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N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54" i="103" l="1"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tc={8D78772A-A967-4E2E-832F-C749A95211C8}</author>
  </authors>
  <commentList>
    <comment ref="D12" authorId="0" shapeId="0" xr:uid="{8D78772A-A967-4E2E-832F-C749A95211C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quanity per administration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tc={D65B5D6B-C625-4785-980A-8984502FEC1C}</author>
    <author>tc={C491D989-6555-449E-90D2-D5B57FA21859}</author>
  </authors>
  <commentList>
    <comment ref="D14" authorId="0" shapeId="0" xr:uid="{D65B5D6B-C625-4785-980A-8984502FEC1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clear...what is reported...</t>
      </text>
    </comment>
    <comment ref="C18" authorId="1" shapeId="0" xr:uid="{C491D989-6555-449E-90D2-D5B57FA2185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have form for each of these elements  or just Yes/No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<sst xmlns="http://schemas.openxmlformats.org/spreadsheetml/2006/main" count="2702" uniqueCount="1125">
  <si>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</si>
  <si>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</si>
  <si>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</si>
  <si>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</si>
  <si>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</si>
  <si>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</si>
  <si>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</si>
  <si>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</si>
  <si>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</si>
  <si>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</si>
  <si>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</si>
  <si>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</si>
  <si>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</si>
  <si>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</si>
  <si>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</si>
  <si>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</si>
  <si>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</si>
  <si>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</si>
  <si>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</si>
  <si>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</si>
  <si>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</si>
  <si>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</si>
  <si>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</si>
  <si>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</si>
  <si>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</si>
  <si>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</si>
  <si>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</si>
  <si>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</si>
  <si>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</si>
  <si>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</si>
  <si>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</si>
  <si>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</si>
  <si>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</si>
  <si>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</si>
  <si>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</si>
  <si>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</si>
  <si>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</si>
  <si>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</si>
  <si>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</si>
  <si>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</si>
  <si>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</si>
  <si>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</si>
  <si>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</si>
  <si>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</si>
  <si>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</si>
  <si>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</si>
  <si>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</si>
  <si>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</si>
  <si>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</si>
  <si>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</si>
  <si>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</si>
  <si>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</si>
  <si>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</si>
  <si>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</si>
  <si>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</si>
  <si>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</si>
  <si>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</si>
  <si>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</si>
  <si>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</si>
  <si>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</si>
  <si>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</si>
  <si>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</si>
  <si>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</si>
  <si>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</si>
  <si>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</si>
  <si>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</si>
  <si>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</si>
  <si>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</si>
  <si>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</si>
  <si>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</si>
  <si>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</si>
  <si>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</si>
  <si>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</si>
  <si>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</si>
  <si>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</si>
  <si>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</si>
  <si>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</si>
  <si>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</si>
  <si>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</si>
  <si>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</si>
  <si>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</si>
  <si>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</si>
  <si>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</si>
  <si>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</si>
  <si>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</si>
  <si>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</si>
  <si>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</si>
  <si>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</si>
  <si>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</si>
  <si>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</si>
  <si>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</si>
  <si>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</si>
  <si>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</si>
  <si>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</si>
  <si>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</si>
  <si>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</si>
  <si>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</si>
  <si>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</si>
  <si>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</si>
  <si>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</si>
  <si>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</si>
  <si>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</si>
  <si>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</si>
  <si>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</si>
  <si>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</si>
  <si>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</si>
  <si>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</si>
  <si>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</si>
  <si>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</si>
  <si>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</si>
  <si>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</si>
  <si>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</si>
  <si>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</si>
  <si>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</si>
  <si>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</si>
  <si>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</si>
  <si>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</si>
  <si>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</si>
  <si>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</si>
  <si>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</si>
  <si>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</si>
  <si>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</si>
  <si>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</si>
  <si>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</si>
  <si>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</si>
  <si>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</si>
  <si>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</si>
  <si>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</si>
  <si>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</si>
  <si>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</si>
  <si>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</si>
  <si>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</si>
  <si>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</si>
  <si>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</si>
  <si>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</si>
  <si>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</si>
  <si>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</si>
  <si>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</si>
  <si>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</si>
  <si>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</si>
  <si>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</si>
  <si>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</si>
  <si>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</si>
  <si>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</si>
  <si>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</si>
  <si>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</si>
  <si>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</si>
  <si>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</si>
  <si>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</si>
  <si>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</si>
  <si>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</si>
  <si>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</si>
  <si>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</si>
  <si>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</si>
  <si>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</si>
  <si>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</si>
  <si>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</si>
  <si>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</si>
  <si>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</si>
  <si>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</si>
  <si>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</si>
  <si>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</si>
  <si>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</si>
  <si>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</si>
  <si>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</si>
  <si>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</si>
  <si>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</si>
  <si>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</si>
  <si>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</si>
  <si>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</si>
  <si>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</si>
  <si>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</si>
  <si>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</si>
  <si>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</si>
  <si>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</si>
  <si>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</si>
  <si>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</si>
  <si>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</si>
  <si>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</si>
  <si>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</si>
  <si>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</si>
  <si>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</si>
  <si>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</si>
  <si>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</si>
  <si>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</si>
  <si>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</si>
  <si>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</si>
  <si>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</si>
  <si>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</si>
  <si>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</si>
  <si>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</si>
  <si>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</si>
  <si>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</si>
  <si>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</si>
  <si>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</si>
  <si>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</si>
  <si>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</si>
  <si>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</si>
  <si>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</si>
  <si>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</si>
  <si>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</si>
  <si>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</si>
  <si>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</si>
  <si>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</si>
  <si>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</si>
  <si>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</si>
  <si>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</si>
  <si>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</si>
  <si>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</si>
  <si>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</si>
  <si>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</si>
  <si>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</si>
  <si>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</si>
  <si>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</si>
  <si>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</si>
  <si>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</si>
  <si>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</si>
  <si>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</si>
  <si>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</si>
  <si>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</si>
  <si>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</si>
  <si>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</si>
  <si>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</si>
  <si>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</si>
  <si>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</si>
  <si>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</si>
  <si>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</si>
  <si>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</si>
  <si>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</si>
  <si>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</si>
  <si>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</si>
  <si>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</si>
  <si>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</si>
  <si>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</si>
  <si>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</si>
  <si>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</si>
  <si>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</si>
  <si>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</si>
  <si>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</si>
  <si>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</si>
  <si>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</si>
  <si>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</si>
  <si>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</si>
  <si>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</si>
  <si>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</si>
  <si>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</si>
  <si>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</si>
  <si>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</si>
  <si>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</si>
  <si>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</si>
  <si>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</si>
  <si>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</si>
  <si>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</si>
  <si>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</si>
  <si>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</si>
  <si>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</si>
  <si>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</si>
  <si>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</si>
  <si>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</si>
  <si>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</si>
  <si>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</si>
  <si>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</si>
  <si>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</si>
  <si>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</si>
  <si>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</si>
  <si>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</si>
  <si>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</si>
  <si>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</si>
  <si>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</si>
  <si>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</si>
  <si>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</si>
  <si>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</si>
  <si>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</si>
  <si>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</si>
  <si>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</si>
  <si>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</si>
  <si>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</si>
  <si>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</si>
  <si>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</si>
  <si>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</si>
  <si>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</si>
  <si>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</si>
  <si>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</si>
  <si>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</si>
  <si>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</si>
  <si>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</si>
  <si>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</si>
  <si>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</si>
  <si>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</si>
  <si>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</si>
  <si>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</si>
  <si>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</si>
  <si>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</si>
  <si>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</si>
  <si>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</si>
  <si>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</si>
  <si>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</si>
  <si>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</si>
  <si>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</si>
  <si>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</si>
  <si>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</si>
  <si>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</si>
  <si>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</si>
  <si>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</si>
  <si>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</si>
  <si>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</si>
  <si>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</si>
  <si>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</si>
  <si>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</si>
  <si>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</si>
  <si>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</si>
  <si>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</si>
  <si>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</si>
  <si>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</si>
  <si>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</si>
  <si>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</si>
  <si>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</si>
  <si>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</si>
  <si>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</si>
  <si>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</si>
  <si>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</si>
  <si>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</si>
  <si>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</si>
  <si>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</si>
  <si>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</si>
  <si>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</si>
  <si>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</si>
  <si>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</si>
  <si>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</si>
  <si>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</si>
  <si>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</si>
  <si>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</si>
  <si>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</si>
  <si>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</si>
  <si>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</si>
  <si>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</si>
  <si>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</si>
  <si>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</si>
  <si>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</si>
  <si>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</si>
  <si>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</si>
  <si>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</si>
  <si>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</si>
  <si>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</si>
  <si>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</si>
  <si>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</si>
  <si>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</si>
  <si>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</si>
  <si>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</si>
  <si>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</si>
  <si>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</si>
  <si>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</si>
  <si>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</si>
  <si>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</si>
  <si>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</si>
  <si>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</si>
  <si>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</si>
  <si>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</si>
  <si>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</si>
  <si>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</si>
  <si>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</si>
  <si>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</si>
  <si>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</si>
  <si>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</si>
  <si>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</si>
  <si>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</si>
  <si>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</si>
  <si>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</si>
  <si>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</si>
  <si>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</si>
  <si>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</si>
  <si>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</si>
  <si>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</si>
  <si>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</si>
  <si>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</si>
  <si>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</si>
  <si>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</si>
  <si>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</si>
  <si>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</si>
  <si>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</si>
  <si>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</si>
  <si>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</si>
  <si>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</si>
  <si>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</si>
  <si>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</si>
  <si>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</si>
  <si>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</si>
  <si>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</si>
  <si>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</si>
  <si>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</si>
  <si>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</si>
  <si>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</si>
  <si>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</si>
  <si>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</si>
  <si>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</si>
  <si>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</si>
  <si>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</si>
  <si>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</si>
  <si>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</si>
  <si>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</si>
  <si>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</si>
  <si>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</si>
  <si>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</si>
  <si>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</si>
  <si>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</si>
  <si>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</si>
  <si>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</si>
  <si>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</si>
  <si>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</si>
  <si>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</si>
  <si>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</si>
  <si>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</si>
  <si>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</si>
  <si>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</si>
  <si>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</si>
  <si>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</si>
  <si>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</si>
  <si>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</si>
  <si>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</si>
  <si>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</si>
  <si>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</si>
  <si>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</si>
  <si>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</si>
  <si>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</si>
  <si>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</si>
  <si>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</si>
  <si>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</si>
  <si>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</si>
  <si>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</si>
  <si>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</si>
  <si>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</si>
  <si>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</si>
  <si>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</si>
  <si>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</si>
  <si>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</si>
  <si>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</si>
  <si>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</si>
  <si>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</si>
  <si>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</si>
  <si>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</si>
  <si>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</si>
  <si>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</si>
  <si>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</si>
  <si>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</si>
  <si>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</si>
  <si>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</si>
  <si>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</si>
  <si>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</si>
  <si>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</si>
  <si>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</si>
  <si>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</si>
  <si>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</si>
  <si>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</si>
  <si>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</si>
  <si>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</si>
  <si>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</si>
  <si>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</si>
  <si>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</si>
  <si>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</si>
  <si>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</si>
  <si>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</si>
  <si>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</si>
  <si>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</si>
  <si>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</si>
  <si>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</si>
  <si>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</si>
  <si>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</si>
  <si>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</si>
  <si>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</si>
  <si>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</si>
  <si>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</si>
  <si>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</si>
  <si>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</si>
  <si>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</si>
  <si>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</si>
  <si>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</si>
  <si>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</si>
  <si>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</si>
  <si>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</si>
  <si>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</si>
  <si>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</si>
  <si>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</si>
  <si>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</si>
  <si>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</si>
  <si>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</si>
  <si>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</si>
  <si>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</si>
  <si>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</si>
  <si>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</si>
  <si>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</si>
  <si>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</si>
  <si>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</si>
  <si>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</si>
  <si>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</si>
  <si>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</si>
  <si>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</si>
  <si>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</si>
  <si>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</si>
  <si>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</si>
  <si>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</si>
  <si>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</si>
  <si>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</si>
  <si>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</si>
  <si>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</si>
  <si>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</si>
  <si>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</si>
  <si>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</si>
  <si>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</si>
  <si>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</si>
  <si>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</si>
  <si>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</si>
  <si>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</si>
  <si>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</si>
  <si>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</si>
  <si>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</si>
  <si>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</si>
  <si>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</si>
  <si>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</si>
  <si>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</si>
  <si>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</si>
  <si>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</si>
  <si>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</si>
  <si>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</si>
  <si>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</si>
  <si>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</si>
  <si>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</si>
  <si>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</si>
  <si>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</si>
  <si>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</si>
  <si>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</si>
  <si>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</si>
  <si>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</si>
  <si>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</si>
  <si>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</si>
  <si>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</si>
  <si>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</si>
  <si>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</si>
  <si>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</si>
  <si>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</si>
  <si>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</si>
  <si>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</si>
  <si>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</si>
  <si>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</si>
  <si>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</si>
  <si>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</si>
  <si>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</si>
  <si>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</si>
  <si>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</si>
  <si>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</si>
  <si>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</si>
  <si>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</si>
  <si>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</si>
  <si>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</si>
  <si>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</si>
  <si>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</si>
  <si>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</si>
  <si>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</si>
  <si>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</si>
  <si>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</si>
  <si>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</si>
  <si>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</si>
  <si>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</si>
  <si>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</si>
  <si>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</si>
  <si>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</si>
  <si>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</si>
  <si>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</si>
  <si>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</si>
  <si>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</si>
  <si>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</si>
  <si>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</si>
  <si>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</si>
  <si>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</si>
  <si>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</si>
  <si>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</si>
  <si>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</si>
  <si>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</si>
  <si>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</si>
  <si>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</si>
  <si>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</si>
  <si>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</si>
  <si>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</si>
  <si>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</si>
  <si>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</si>
  <si>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</si>
  <si>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</si>
  <si>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</si>
  <si>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</si>
  <si>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</si>
  <si>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</si>
  <si>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</si>
  <si>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</si>
  <si>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</si>
  <si>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</si>
  <si>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</si>
  <si>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</si>
  <si>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</si>
  <si>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</si>
  <si>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</si>
  <si>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</si>
  <si>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</si>
  <si>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</si>
  <si>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</si>
  <si>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</si>
  <si>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</si>
  <si>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</si>
  <si>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</si>
  <si>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</si>
  <si>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</si>
  <si>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</si>
  <si>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</si>
  <si>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</si>
  <si>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</si>
  <si>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</si>
  <si>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</si>
  <si>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</si>
  <si>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</si>
  <si>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</si>
  <si>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</si>
  <si>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</si>
  <si>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</si>
  <si>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</si>
  <si>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</si>
  <si>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</si>
  <si>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</si>
  <si>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</si>
  <si>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</si>
  <si>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</si>
  <si>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</si>
  <si>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</si>
  <si>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</si>
  <si>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</si>
  <si>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</si>
  <si>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</si>
  <si>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</si>
  <si>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</si>
  <si>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</si>
  <si>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</si>
  <si>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</si>
  <si>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</si>
  <si>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</si>
  <si>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</si>
  <si>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</si>
  <si>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</si>
  <si>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</si>
  <si>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</si>
  <si>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</si>
  <si>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</si>
  <si>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</si>
  <si>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</si>
  <si>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</si>
  <si>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</si>
  <si>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</si>
  <si>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</si>
  <si>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</si>
  <si>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</si>
  <si>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</si>
  <si>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</si>
  <si>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</si>
  <si>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</si>
  <si>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</si>
  <si>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</si>
  <si>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</si>
  <si>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</si>
  <si>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</si>
  <si>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</si>
  <si>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</si>
  <si>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</si>
  <si>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</si>
  <si>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</si>
  <si>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</si>
  <si>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</si>
  <si>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</si>
  <si>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</si>
  <si>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</si>
  <si>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</si>
  <si>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</si>
  <si>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</si>
  <si>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</si>
  <si>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</si>
  <si>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</si>
  <si>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</si>
  <si>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</si>
  <si>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</si>
  <si>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</si>
  <si>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</si>
  <si>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</si>
  <si>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</si>
  <si>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</si>
  <si>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</si>
  <si>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</si>
  <si>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</si>
  <si>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</si>
  <si>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</si>
  <si>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</si>
  <si>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</si>
  <si>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</si>
  <si>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</si>
  <si>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</si>
  <si>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</si>
  <si>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</si>
  <si>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</si>
  <si>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</si>
  <si>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</si>
  <si>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</si>
  <si>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</si>
  <si>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</si>
  <si>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</si>
  <si>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</si>
  <si>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</si>
  <si>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</si>
  <si>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</si>
  <si>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</si>
  <si>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</si>
  <si>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</si>
  <si>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</si>
  <si>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</si>
  <si>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</si>
  <si>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</si>
  <si>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</si>
  <si>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</si>
  <si>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</si>
  <si>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</si>
  <si>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</si>
  <si>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</si>
  <si>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</si>
  <si>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</si>
  <si>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</si>
  <si>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</si>
  <si>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</si>
  <si>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</si>
  <si>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</si>
  <si>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</si>
  <si>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</si>
  <si>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</si>
  <si>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</si>
  <si>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</si>
  <si>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</si>
  <si>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</si>
  <si>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</si>
  <si>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</si>
  <si>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</si>
  <si>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</si>
  <si>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</si>
  <si>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</si>
  <si>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</si>
  <si>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</si>
  <si>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</si>
  <si>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</si>
  <si>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</si>
  <si>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</si>
  <si>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</si>
  <si>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</si>
  <si>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</si>
  <si>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</si>
  <si>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</si>
  <si>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</si>
  <si>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</si>
  <si>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</si>
  <si>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</si>
  <si>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</si>
  <si>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</si>
  <si>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</si>
  <si>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</si>
  <si>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</si>
  <si>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</si>
  <si>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</si>
  <si>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</si>
  <si>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</si>
  <si>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</si>
  <si>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</si>
  <si>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</si>
  <si>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</si>
  <si>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</si>
  <si>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</si>
  <si>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</si>
  <si>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</si>
  <si>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</si>
  <si>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</si>
  <si>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</si>
  <si>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</si>
  <si>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</si>
  <si>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</si>
  <si>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</si>
  <si>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</si>
  <si>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</si>
  <si>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</si>
  <si>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</si>
  <si>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</si>
  <si>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</si>
  <si>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</si>
  <si>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</si>
  <si>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</si>
  <si>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</si>
  <si>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</si>
  <si>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</si>
  <si>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</si>
  <si>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</si>
  <si>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</si>
  <si>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</si>
  <si>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</si>
  <si>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</si>
  <si>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</si>
  <si>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</si>
  <si>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</si>
  <si>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</si>
  <si>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</si>
  <si>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</si>
  <si>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</si>
  <si>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</si>
  <si>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</si>
  <si>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</si>
  <si>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</si>
  <si>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</si>
  <si>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</si>
  <si>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</si>
  <si>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</si>
  <si>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</si>
  <si>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</si>
  <si>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</si>
  <si>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</si>
  <si>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</si>
  <si>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</si>
  <si>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</si>
  <si>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</si>
  <si>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</si>
  <si>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</si>
  <si>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</si>
  <si>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</si>
  <si>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</si>
  <si>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</si>
  <si>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</si>
  <si>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</si>
  <si>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</si>
  <si>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</si>
  <si>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</si>
  <si>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</si>
  <si>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</si>
  <si>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</si>
  <si>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</si>
  <si>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</si>
  <si>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</si>
  <si>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</si>
  <si>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</si>
  <si>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</si>
  <si>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</si>
  <si>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</si>
  <si>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</si>
  <si>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</si>
  <si>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</si>
  <si>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</si>
  <si>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</si>
  <si>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</si>
  <si>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</si>
  <si>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</si>
  <si>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</si>
  <si>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</si>
  <si>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</si>
  <si>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</si>
  <si>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</si>
  <si>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</si>
  <si>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</si>
  <si>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</si>
  <si>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</si>
  <si>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</si>
  <si>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</si>
  <si>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</si>
  <si>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</si>
  <si>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</si>
  <si>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</si>
  <si>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</si>
  <si>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</si>
  <si>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</si>
  <si>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</si>
  <si>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</si>
  <si>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</si>
  <si>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</si>
  <si>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</si>
  <si>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</si>
  <si>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</si>
  <si>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</si>
  <si>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</si>
  <si>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</si>
  <si>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</si>
  <si>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</si>
  <si>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</si>
  <si>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</si>
  <si>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</si>
  <si>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</si>
  <si>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</si>
  <si>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</si>
  <si>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</si>
  <si>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</si>
  <si>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</si>
  <si>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</si>
  <si>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</si>
  <si>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</si>
  <si>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</si>
  <si>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</si>
  <si>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</si>
  <si>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</si>
  <si>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</si>
  <si>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</si>
  <si>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</si>
  <si>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</si>
  <si>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</si>
  <si>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</si>
  <si>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</si>
  <si>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</si>
  <si>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</si>
  <si>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</si>
  <si>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</si>
  <si>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</si>
  <si>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</si>
  <si>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</si>
  <si>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</si>
  <si>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</si>
  <si>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</si>
  <si>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</si>
  <si>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</si>
  <si>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</si>
  <si>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</si>
  <si>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</si>
  <si>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</si>
  <si>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</si>
  <si>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</si>
  <si>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</si>
  <si>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</si>
  <si>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</si>
  <si>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</si>
  <si>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</si>
  <si>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</si>
  <si>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</si>
  <si>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</si>
  <si>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</si>
  <si>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</si>
  <si>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</si>
  <si>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</si>
  <si>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</si>
  <si>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</si>
  <si>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</si>
  <si>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</si>
  <si>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</si>
  <si>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</si>
  <si>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</si>
  <si>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</si>
  <si>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</si>
  <si>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</si>
  <si>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</si>
  <si>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</si>
  <si>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</si>
  <si>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</si>
  <si>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</si>
  <si>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</si>
  <si>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</si>
  <si>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</si>
  <si>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</si>
  <si>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</si>
  <si>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</si>
  <si>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</si>
  <si>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</si>
  <si>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</si>
  <si>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</si>
  <si>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</si>
  <si>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</si>
  <si>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</si>
  <si>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</si>
  <si>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</si>
  <si>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</si>
  <si>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</si>
  <si>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</si>
  <si>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</si>
  <si>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</si>
  <si>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</si>
  <si>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</si>
  <si>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</si>
  <si>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</si>
  <si>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</si>
  <si>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</si>
  <si>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</si>
  <si>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</si>
  <si>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</si>
  <si>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</si>
  <si>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</si>
  <si>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</si>
  <si>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</si>
  <si>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</si>
  <si>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</si>
  <si>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</si>
  <si>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</si>
  <si>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</si>
  <si>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</si>
  <si>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</si>
  <si>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</si>
  <si>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</si>
  <si>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</si>
  <si>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</si>
  <si>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</si>
  <si>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</si>
  <si>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</si>
  <si>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</si>
  <si>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</si>
  <si>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</si>
  <si>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</si>
  <si>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</si>
  <si>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</si>
  <si>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</si>
  <si>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</si>
  <si>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</si>
  <si>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</si>
  <si>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</si>
  <si>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</si>
  <si>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</si>
  <si>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</si>
  <si>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</si>
  <si>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</si>
  <si>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</si>
  <si>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</si>
  <si>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</si>
  <si>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</si>
  <si>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</si>
  <si>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</si>
  <si>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</si>
  <si>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</si>
  <si>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</si>
  <si>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</si>
  <si>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</si>
  <si>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</si>
  <si>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</si>
  <si>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</si>
  <si>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</si>
  <si>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</si>
  <si>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</si>
  <si>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</si>
  <si>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</si>
  <si>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</si>
  <si>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</si>
  <si>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</si>
  <si>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</si>
  <si>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</si>
  <si>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</si>
  <si>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</si>
  <si>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</si>
  <si>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</si>
  <si>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</si>
  <si>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</si>
  <si>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</si>
  <si>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</si>
  <si>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</si>
  <si>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</si>
  <si>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</si>
  <si>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</si>
  <si>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</si>
  <si>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</si>
  <si>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</si>
  <si>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</si>
  <si>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</si>
  <si>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</si>
  <si>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</si>
  <si>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</si>
  <si>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</si>
  <si>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</si>
  <si>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</si>
  <si>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</si>
  <si>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</si>
  <si>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</si>
  <si>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</si>
  <si>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</si>
  <si>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</si>
  <si>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</si>
  <si>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</si>
  <si>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</si>
  <si>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</si>
  <si>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</si>
  <si>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</si>
  <si>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</si>
  <si>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</si>
  <si>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</si>
  <si>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</si>
  <si>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</si>
  <si>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</si>
  <si>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</si>
  <si>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</si>
  <si>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</si>
  <si>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</si>
  <si>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HL7 FHIR</t>
  </si>
  <si>
    <t>Medical suggestion
Maturity Level 0</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</si>
  <si>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</si>
  <si>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</si>
  <si>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</si>
  <si>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</si>
  <si>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</si>
  <si>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</si>
  <si>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</si>
  <si>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</si>
  <si>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</si>
  <si>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</si>
  <si>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</si>
  <si>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</si>
  <si>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</si>
  <si>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</si>
  <si>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</si>
  <si>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</si>
  <si>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 xml:space="preserve">Specify here (using the available codes) if because of the relapse/progression the patient was treated according to a protocol/trial or other treatment plans
1 =&gt; A trial/protocol
2 =&gt; Personalized
3 =&gt; Guidelines
-9922 =&gt; NK </t>
  </si>
  <si>
    <t>Salvage treatment</t>
  </si>
  <si>
    <t>followedProtocol.flt</t>
  </si>
  <si>
    <t>followedProtocol.protocolDescription</t>
  </si>
  <si>
    <t>followedProtocol.personalizedDescription</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</si>
  <si>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</si>
  <si>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</si>
  <si>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</si>
  <si>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</si>
  <si>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If trial/protocol, specify which one</t>
  </si>
  <si>
    <t>Chemotherapy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</si>
  <si>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t>
  </si>
  <si>
    <t>Stem Cell transplantation</t>
  </si>
  <si>
    <t>Please specify if the survivor received any hematopoietic stem cell transplant. Details will be given in the appropriate section 
1 =&gt; Yes
2 =&gt; No
-9922 =&gt; NK</t>
  </si>
  <si>
    <t>Radiotherapy</t>
  </si>
  <si>
    <t>The salvage treatment has been executed following</t>
  </si>
  <si>
    <t>Date of end of treatment</t>
  </si>
  <si>
    <t>Progression-Relapse after FLT
Marturity Level: 1</t>
  </si>
  <si>
    <t>Progression-Relapse after FLT</t>
  </si>
  <si>
    <t>Medications prescribed</t>
  </si>
  <si>
    <t>Date of prescription</t>
  </si>
  <si>
    <t>Comments and suggestions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</si>
</sst>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0">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applyBorder="1"/>
    <xf numFmtId="0" fontId="0" fillId="3" borderId="1" xfId="0" applyFont="1" applyFill="1" applyBorder="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1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1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1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1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1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1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1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1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1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1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1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1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1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1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1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1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1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1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1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1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1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1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1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1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1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1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1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1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1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1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1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1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1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1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1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1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1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1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1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1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1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1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1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1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1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1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1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1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1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1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1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1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1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1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1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1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1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1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1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1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1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 dT="2022-05-02T17:14:48.08" personId="{06D2D05F-EBEA-41C2-92A1-6EF89573BC28}" id="{8D78772A-A967-4E2E-832F-C749A95211C8}">
    <text>quanity per administration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D14" dT="2022-05-02T17:39:20.06" personId="{06D2D05F-EBEA-41C2-92A1-6EF89573BC28}" id="{D65B5D6B-C625-4785-980A-8984502FEC1C}">
    <text>not clear...what is reported...</text>
  </threadedComment>
  <threadedComment ref="C18" dT="2022-05-02T17:45:45.97" personId="{06D2D05F-EBEA-41C2-92A1-6EF89573BC28}" id="{C491D989-6555-449E-90D2-D5B57FA21859}">
    <text>do you have form for each of these elements  or just Yes/No</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35" zoomScale="85" zoomScaleNormal="85" workbookViewId="0">
      <selection activeCell="C249" sqref="C2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9" t="s">
        <v>80</v>
      </c>
      <c r="B2" s="61"/>
      <c r="C2" s="62" t="s">
        <v>81</v>
      </c>
      <c r="D2" s="63"/>
      <c r="E2" s="63"/>
      <c r="F2" s="63"/>
      <c r="G2" s="63"/>
      <c r="H2" s="63"/>
      <c r="I2" s="63"/>
      <c r="J2" s="64"/>
      <c r="K2" s="63"/>
    </row>
    <row r="3" spans="1:11" ht="40.5" customHeight="1" x14ac:dyDescent="0.75">
      <c r="A3" s="160"/>
      <c r="B3" s="65"/>
      <c r="C3" s="66" t="s">
        <v>22</v>
      </c>
      <c r="D3" s="67" t="s">
        <v>22</v>
      </c>
      <c r="E3" s="67" t="s">
        <v>82</v>
      </c>
      <c r="F3" s="67"/>
      <c r="G3" s="67" t="s">
        <v>83</v>
      </c>
      <c r="H3" s="67"/>
      <c r="I3" s="67" t="s">
        <v>84</v>
      </c>
      <c r="J3" s="67" t="s">
        <v>85</v>
      </c>
      <c r="K3" s="68" t="s">
        <v>84</v>
      </c>
    </row>
    <row r="4" spans="1:11" ht="40.5" customHeight="1" x14ac:dyDescent="0.75">
      <c r="A4" s="160"/>
      <c r="B4" s="65"/>
      <c r="C4" s="69" t="s">
        <v>53</v>
      </c>
      <c r="D4" s="70" t="s">
        <v>86</v>
      </c>
      <c r="E4" s="70" t="s">
        <v>82</v>
      </c>
      <c r="F4" s="70"/>
      <c r="G4" s="67" t="s">
        <v>87</v>
      </c>
      <c r="H4" s="67"/>
      <c r="I4" s="70" t="s">
        <v>88</v>
      </c>
      <c r="J4" s="67" t="s">
        <v>89</v>
      </c>
      <c r="K4" s="68" t="s">
        <v>90</v>
      </c>
    </row>
    <row r="5" spans="1:11" ht="40.5" customHeight="1" x14ac:dyDescent="0.75">
      <c r="A5" s="160"/>
      <c r="B5" s="65"/>
      <c r="C5" s="69" t="s">
        <v>56</v>
      </c>
      <c r="D5" s="70" t="s">
        <v>91</v>
      </c>
      <c r="E5" s="70" t="s">
        <v>82</v>
      </c>
      <c r="F5" s="70"/>
      <c r="G5" s="67" t="s">
        <v>87</v>
      </c>
      <c r="H5" s="67"/>
      <c r="I5" s="70" t="s">
        <v>92</v>
      </c>
      <c r="J5" s="67" t="s">
        <v>93</v>
      </c>
      <c r="K5" s="68" t="s">
        <v>90</v>
      </c>
    </row>
    <row r="6" spans="1:11" ht="40.5" customHeight="1" x14ac:dyDescent="0.75">
      <c r="A6" s="160"/>
      <c r="B6" s="65"/>
      <c r="C6" s="69" t="s">
        <v>54</v>
      </c>
      <c r="D6" s="70" t="s">
        <v>94</v>
      </c>
      <c r="E6" s="70" t="s">
        <v>82</v>
      </c>
      <c r="F6" s="70"/>
      <c r="G6" s="67" t="s">
        <v>87</v>
      </c>
      <c r="H6" s="67"/>
      <c r="I6" s="70" t="s">
        <v>92</v>
      </c>
      <c r="J6" s="67" t="s">
        <v>95</v>
      </c>
      <c r="K6" s="68" t="s">
        <v>90</v>
      </c>
    </row>
    <row r="7" spans="1:11" ht="40.5" customHeight="1" x14ac:dyDescent="0.75">
      <c r="A7" s="160"/>
      <c r="B7" s="65"/>
      <c r="C7" s="69" t="s">
        <v>55</v>
      </c>
      <c r="D7" s="70" t="s">
        <v>96</v>
      </c>
      <c r="E7" s="70" t="s">
        <v>82</v>
      </c>
      <c r="F7" s="70"/>
      <c r="G7" s="67" t="s">
        <v>87</v>
      </c>
      <c r="H7" s="67"/>
      <c r="I7" s="70" t="s">
        <v>88</v>
      </c>
      <c r="J7" s="67" t="s">
        <v>97</v>
      </c>
      <c r="K7" s="68" t="s">
        <v>90</v>
      </c>
    </row>
    <row r="8" spans="1:11" ht="55.5" x14ac:dyDescent="0.75">
      <c r="A8" s="160"/>
      <c r="B8" s="162" t="s">
        <v>98</v>
      </c>
      <c r="C8" s="69" t="s">
        <v>57</v>
      </c>
      <c r="D8" s="70" t="s">
        <v>99</v>
      </c>
      <c r="E8" s="70" t="s">
        <v>100</v>
      </c>
      <c r="F8" s="70"/>
      <c r="G8" s="71" t="s">
        <v>83</v>
      </c>
      <c r="H8" s="67" t="s">
        <v>101</v>
      </c>
      <c r="I8" s="70" t="s">
        <v>88</v>
      </c>
      <c r="J8" s="67" t="s">
        <v>102</v>
      </c>
      <c r="K8" s="68" t="s">
        <v>84</v>
      </c>
    </row>
    <row r="9" spans="1:11" ht="40.5" customHeight="1" x14ac:dyDescent="0.75">
      <c r="A9" s="160"/>
      <c r="B9" s="162"/>
      <c r="C9" s="66" t="s">
        <v>103</v>
      </c>
      <c r="D9" s="67" t="s">
        <v>104</v>
      </c>
      <c r="E9" s="70" t="s">
        <v>82</v>
      </c>
      <c r="F9" s="70"/>
      <c r="G9" s="71" t="s">
        <v>87</v>
      </c>
      <c r="H9" s="67"/>
      <c r="I9" s="67" t="s">
        <v>105</v>
      </c>
      <c r="J9" s="67" t="s">
        <v>106</v>
      </c>
      <c r="K9" s="68" t="s">
        <v>84</v>
      </c>
    </row>
    <row r="10" spans="1:11" ht="40.5" customHeight="1" x14ac:dyDescent="0.75">
      <c r="A10" s="160"/>
      <c r="B10" s="162" t="s">
        <v>107</v>
      </c>
      <c r="C10" s="69" t="s">
        <v>58</v>
      </c>
      <c r="D10" s="70" t="s">
        <v>108</v>
      </c>
      <c r="E10" s="70" t="s">
        <v>4</v>
      </c>
      <c r="F10" s="70"/>
      <c r="G10" s="67" t="s">
        <v>4</v>
      </c>
      <c r="H10" s="67" t="s">
        <v>109</v>
      </c>
      <c r="I10" s="70" t="s">
        <v>88</v>
      </c>
      <c r="J10" s="67" t="s">
        <v>110</v>
      </c>
      <c r="K10" s="68" t="s">
        <v>90</v>
      </c>
    </row>
    <row r="11" spans="1:11" ht="40.5" customHeight="1" x14ac:dyDescent="0.75">
      <c r="A11" s="160"/>
      <c r="B11" s="162"/>
      <c r="C11" s="69" t="s">
        <v>111</v>
      </c>
      <c r="D11" s="70" t="s">
        <v>112</v>
      </c>
      <c r="E11" s="70" t="s">
        <v>83</v>
      </c>
      <c r="F11" s="70" t="s">
        <v>84</v>
      </c>
      <c r="G11" s="67" t="s">
        <v>83</v>
      </c>
      <c r="H11" s="67"/>
      <c r="I11" s="70" t="s">
        <v>84</v>
      </c>
      <c r="J11" s="67" t="s">
        <v>113</v>
      </c>
      <c r="K11" s="68" t="s">
        <v>84</v>
      </c>
    </row>
    <row r="12" spans="1:11" ht="40.5" customHeight="1" x14ac:dyDescent="0.75">
      <c r="A12" s="160"/>
      <c r="B12" s="65"/>
      <c r="C12" s="69" t="s">
        <v>59</v>
      </c>
      <c r="D12" s="70" t="s">
        <v>114</v>
      </c>
      <c r="E12" s="70" t="s">
        <v>82</v>
      </c>
      <c r="F12" s="70"/>
      <c r="G12" s="67" t="s">
        <v>87</v>
      </c>
      <c r="H12" s="67"/>
      <c r="I12" s="70" t="s">
        <v>92</v>
      </c>
      <c r="J12" s="67" t="s">
        <v>115</v>
      </c>
      <c r="K12" s="68" t="s">
        <v>90</v>
      </c>
    </row>
    <row r="13" spans="1:11" ht="40.5" customHeight="1" x14ac:dyDescent="0.75">
      <c r="A13" s="160"/>
      <c r="B13" s="163" t="s">
        <v>116</v>
      </c>
      <c r="C13" s="69" t="s">
        <v>117</v>
      </c>
      <c r="D13" s="70" t="s">
        <v>118</v>
      </c>
      <c r="E13" s="70" t="s">
        <v>100</v>
      </c>
      <c r="F13" s="70"/>
      <c r="G13" s="67" t="s">
        <v>83</v>
      </c>
      <c r="H13" s="67" t="s">
        <v>119</v>
      </c>
      <c r="I13" s="70" t="s">
        <v>88</v>
      </c>
      <c r="J13" s="67" t="s">
        <v>120</v>
      </c>
      <c r="K13" s="68" t="s">
        <v>90</v>
      </c>
    </row>
    <row r="14" spans="1:11" ht="40.5" customHeight="1" x14ac:dyDescent="0.75">
      <c r="A14" s="160"/>
      <c r="B14" s="164"/>
      <c r="C14" s="69" t="s">
        <v>60</v>
      </c>
      <c r="D14" s="70" t="s">
        <v>121</v>
      </c>
      <c r="E14" s="70" t="s">
        <v>82</v>
      </c>
      <c r="F14" s="70"/>
      <c r="G14" s="67" t="s">
        <v>87</v>
      </c>
      <c r="H14" s="67"/>
      <c r="I14" s="70" t="s">
        <v>122</v>
      </c>
      <c r="J14" s="67" t="s">
        <v>123</v>
      </c>
      <c r="K14" s="70" t="s">
        <v>90</v>
      </c>
    </row>
    <row r="15" spans="1:11" ht="40.5" customHeight="1" thickBot="1" x14ac:dyDescent="0.9">
      <c r="A15" s="161"/>
      <c r="B15" s="165"/>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6" t="s">
        <v>128</v>
      </c>
      <c r="B17" s="61"/>
      <c r="C17" s="66" t="s">
        <v>129</v>
      </c>
      <c r="D17" s="67" t="s">
        <v>130</v>
      </c>
      <c r="E17" s="67" t="s">
        <v>83</v>
      </c>
      <c r="F17" s="67" t="s">
        <v>84</v>
      </c>
      <c r="G17" s="67" t="s">
        <v>83</v>
      </c>
      <c r="H17" s="67"/>
      <c r="I17" s="67" t="s">
        <v>84</v>
      </c>
      <c r="J17" s="67" t="s">
        <v>131</v>
      </c>
      <c r="K17" s="68" t="s">
        <v>84</v>
      </c>
    </row>
    <row r="18" spans="1:14" ht="40.5" customHeight="1" x14ac:dyDescent="0.75">
      <c r="A18" s="167"/>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7"/>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7"/>
      <c r="B20" s="65"/>
      <c r="C20" s="69" t="s">
        <v>140</v>
      </c>
      <c r="D20" s="70" t="s">
        <v>141</v>
      </c>
      <c r="E20" s="70" t="s">
        <v>82</v>
      </c>
      <c r="F20" s="70" t="s">
        <v>84</v>
      </c>
      <c r="G20" s="70" t="s">
        <v>87</v>
      </c>
      <c r="H20" s="70"/>
      <c r="I20" s="70" t="s">
        <v>84</v>
      </c>
      <c r="J20" s="67" t="s">
        <v>142</v>
      </c>
      <c r="K20" s="75" t="s">
        <v>84</v>
      </c>
    </row>
    <row r="21" spans="1:14" ht="40.5" customHeight="1" x14ac:dyDescent="0.75">
      <c r="A21" s="167"/>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7"/>
      <c r="B22" s="76"/>
      <c r="C22" s="66" t="s">
        <v>147</v>
      </c>
      <c r="D22" s="67" t="s">
        <v>148</v>
      </c>
      <c r="E22" s="70" t="s">
        <v>82</v>
      </c>
      <c r="F22" s="70"/>
      <c r="G22" s="67" t="s">
        <v>87</v>
      </c>
      <c r="H22" s="67"/>
      <c r="I22" s="67" t="s">
        <v>149</v>
      </c>
      <c r="J22" s="67" t="s">
        <v>150</v>
      </c>
      <c r="K22" s="77" t="s">
        <v>84</v>
      </c>
    </row>
    <row r="23" spans="1:14" ht="40.5" customHeight="1" x14ac:dyDescent="0.75">
      <c r="A23" s="167"/>
      <c r="B23" s="65"/>
      <c r="C23" s="69" t="s">
        <v>151</v>
      </c>
      <c r="D23" s="70" t="s">
        <v>152</v>
      </c>
      <c r="E23" s="70" t="s">
        <v>4</v>
      </c>
      <c r="F23" s="70"/>
      <c r="G23" s="67" t="s">
        <v>4</v>
      </c>
      <c r="H23" s="67" t="s">
        <v>109</v>
      </c>
      <c r="I23" s="70" t="s">
        <v>153</v>
      </c>
      <c r="J23" s="67" t="s">
        <v>154</v>
      </c>
      <c r="K23" s="70" t="s">
        <v>90</v>
      </c>
    </row>
    <row r="24" spans="1:14" ht="40.5" customHeight="1" x14ac:dyDescent="0.75">
      <c r="A24" s="167"/>
      <c r="B24" s="65"/>
      <c r="C24" s="69" t="s">
        <v>155</v>
      </c>
      <c r="D24" s="70" t="s">
        <v>156</v>
      </c>
      <c r="E24" s="70" t="s">
        <v>100</v>
      </c>
      <c r="F24" s="70" t="s">
        <v>84</v>
      </c>
      <c r="G24" s="67" t="s">
        <v>87</v>
      </c>
      <c r="H24" s="67" t="s">
        <v>157</v>
      </c>
      <c r="I24" s="70" t="s">
        <v>84</v>
      </c>
      <c r="J24" s="67" t="s">
        <v>158</v>
      </c>
      <c r="K24" s="68" t="s">
        <v>84</v>
      </c>
    </row>
    <row r="25" spans="1:14" ht="40.5" customHeight="1" x14ac:dyDescent="0.75">
      <c r="A25" s="167"/>
      <c r="B25" s="65"/>
      <c r="C25" s="69" t="s">
        <v>62</v>
      </c>
      <c r="D25" s="70" t="s">
        <v>159</v>
      </c>
      <c r="E25" s="70" t="s">
        <v>100</v>
      </c>
      <c r="F25" s="70"/>
      <c r="G25" s="67" t="s">
        <v>87</v>
      </c>
      <c r="H25" s="67" t="s">
        <v>160</v>
      </c>
      <c r="I25" s="70" t="s">
        <v>88</v>
      </c>
      <c r="J25" s="67" t="s">
        <v>161</v>
      </c>
      <c r="K25" s="68" t="s">
        <v>84</v>
      </c>
    </row>
    <row r="26" spans="1:14" ht="40.5" customHeight="1" x14ac:dyDescent="0.75">
      <c r="A26" s="167"/>
      <c r="B26" s="65"/>
      <c r="C26" s="69" t="s">
        <v>162</v>
      </c>
      <c r="D26" s="70" t="s">
        <v>163</v>
      </c>
      <c r="E26" s="70" t="s">
        <v>100</v>
      </c>
      <c r="F26" s="70" t="s">
        <v>84</v>
      </c>
      <c r="G26" s="67" t="s">
        <v>83</v>
      </c>
      <c r="H26" s="67"/>
      <c r="I26" s="70" t="s">
        <v>84</v>
      </c>
      <c r="J26" s="67" t="s">
        <v>164</v>
      </c>
      <c r="K26" s="68" t="s">
        <v>90</v>
      </c>
    </row>
    <row r="27" spans="1:14" ht="40.5" customHeight="1" x14ac:dyDescent="0.75">
      <c r="A27" s="167"/>
      <c r="B27" s="65"/>
      <c r="C27" s="69" t="s">
        <v>165</v>
      </c>
      <c r="D27" s="70" t="s">
        <v>166</v>
      </c>
      <c r="E27" s="70" t="s">
        <v>82</v>
      </c>
      <c r="F27" s="70"/>
      <c r="G27" s="67" t="s">
        <v>87</v>
      </c>
      <c r="H27" s="67"/>
      <c r="I27" s="70" t="s">
        <v>92</v>
      </c>
      <c r="J27" s="67" t="s">
        <v>167</v>
      </c>
      <c r="K27" s="68" t="s">
        <v>84</v>
      </c>
    </row>
    <row r="28" spans="1:14" ht="40.5" customHeight="1" x14ac:dyDescent="0.75">
      <c r="A28" s="167"/>
      <c r="B28" s="65"/>
      <c r="C28" s="69" t="s">
        <v>168</v>
      </c>
      <c r="D28" s="67" t="s">
        <v>169</v>
      </c>
      <c r="E28" s="70" t="s">
        <v>100</v>
      </c>
      <c r="F28" s="70"/>
      <c r="G28" s="67" t="s">
        <v>87</v>
      </c>
      <c r="H28" s="67" t="s">
        <v>170</v>
      </c>
      <c r="I28" s="70" t="s">
        <v>88</v>
      </c>
      <c r="J28" s="67" t="s">
        <v>171</v>
      </c>
      <c r="K28" s="68" t="s">
        <v>84</v>
      </c>
    </row>
    <row r="29" spans="1:14" ht="40.5" customHeight="1" x14ac:dyDescent="0.75">
      <c r="A29" s="167"/>
      <c r="B29" s="65"/>
      <c r="C29" s="69" t="s">
        <v>172</v>
      </c>
      <c r="D29" s="70" t="s">
        <v>173</v>
      </c>
      <c r="E29" s="70" t="s">
        <v>82</v>
      </c>
      <c r="F29" s="70"/>
      <c r="G29" s="67" t="s">
        <v>87</v>
      </c>
      <c r="H29" s="67"/>
      <c r="I29" s="70" t="s">
        <v>92</v>
      </c>
      <c r="J29" s="67" t="s">
        <v>174</v>
      </c>
      <c r="K29" s="68" t="s">
        <v>84</v>
      </c>
    </row>
    <row r="30" spans="1:14" ht="111" x14ac:dyDescent="0.75">
      <c r="A30" s="167"/>
      <c r="B30" s="65"/>
      <c r="C30" s="69" t="s">
        <v>175</v>
      </c>
      <c r="D30" s="70" t="s">
        <v>176</v>
      </c>
      <c r="E30" s="70" t="s">
        <v>100</v>
      </c>
      <c r="F30" s="70"/>
      <c r="G30" s="67" t="s">
        <v>83</v>
      </c>
      <c r="H30" s="67" t="s">
        <v>177</v>
      </c>
      <c r="I30" s="67" t="s">
        <v>84</v>
      </c>
      <c r="J30" s="67" t="s">
        <v>178</v>
      </c>
      <c r="K30" s="68" t="s">
        <v>84</v>
      </c>
    </row>
    <row r="31" spans="1:14" ht="40.5" customHeight="1" x14ac:dyDescent="0.75">
      <c r="A31" s="167"/>
      <c r="B31" s="65"/>
      <c r="C31" s="69" t="s">
        <v>179</v>
      </c>
      <c r="D31" s="70" t="s">
        <v>180</v>
      </c>
      <c r="E31" s="70" t="s">
        <v>100</v>
      </c>
      <c r="F31" s="70"/>
      <c r="G31" s="67" t="s">
        <v>83</v>
      </c>
      <c r="H31" s="67" t="s">
        <v>181</v>
      </c>
      <c r="I31" s="67" t="s">
        <v>84</v>
      </c>
      <c r="J31" s="67" t="s">
        <v>182</v>
      </c>
      <c r="K31" s="68" t="s">
        <v>84</v>
      </c>
    </row>
    <row r="32" spans="1:14" ht="40.5" customHeight="1" x14ac:dyDescent="0.75">
      <c r="A32" s="167"/>
      <c r="B32" s="65"/>
      <c r="C32" s="69" t="s">
        <v>183</v>
      </c>
      <c r="D32" s="70" t="s">
        <v>184</v>
      </c>
      <c r="E32" s="70" t="s">
        <v>100</v>
      </c>
      <c r="F32" s="70"/>
      <c r="G32" s="67" t="s">
        <v>83</v>
      </c>
      <c r="H32" s="67" t="s">
        <v>185</v>
      </c>
      <c r="I32" s="67" t="s">
        <v>186</v>
      </c>
      <c r="J32" s="67"/>
      <c r="K32" s="68" t="s">
        <v>90</v>
      </c>
    </row>
    <row r="33" spans="1:11" ht="40.5" customHeight="1" x14ac:dyDescent="0.75">
      <c r="A33" s="167"/>
      <c r="B33" s="65"/>
      <c r="C33" s="69" t="s">
        <v>187</v>
      </c>
      <c r="D33" s="70" t="s">
        <v>188</v>
      </c>
      <c r="E33" s="70" t="s">
        <v>100</v>
      </c>
      <c r="F33" s="70"/>
      <c r="G33" s="67" t="s">
        <v>87</v>
      </c>
      <c r="H33" s="67"/>
      <c r="I33" s="70" t="s">
        <v>189</v>
      </c>
      <c r="J33" s="67" t="s">
        <v>190</v>
      </c>
      <c r="K33" s="68" t="s">
        <v>84</v>
      </c>
    </row>
    <row r="34" spans="1:11" ht="40.5" customHeight="1" x14ac:dyDescent="0.75">
      <c r="A34" s="167"/>
      <c r="B34" s="65"/>
      <c r="C34" s="69" t="s">
        <v>191</v>
      </c>
      <c r="D34" s="70" t="s">
        <v>192</v>
      </c>
      <c r="E34" s="70" t="s">
        <v>82</v>
      </c>
      <c r="F34" s="70"/>
      <c r="G34" s="67" t="s">
        <v>87</v>
      </c>
      <c r="H34" s="67"/>
      <c r="I34" s="70" t="s">
        <v>193</v>
      </c>
      <c r="J34" s="67" t="s">
        <v>194</v>
      </c>
      <c r="K34" s="68" t="s">
        <v>84</v>
      </c>
    </row>
    <row r="35" spans="1:11" ht="40.5" customHeight="1" x14ac:dyDescent="0.75">
      <c r="A35" s="167"/>
      <c r="B35" s="65"/>
      <c r="C35" s="69" t="s">
        <v>195</v>
      </c>
      <c r="D35" s="70" t="s">
        <v>196</v>
      </c>
      <c r="E35" s="70" t="s">
        <v>82</v>
      </c>
      <c r="F35" s="70"/>
      <c r="G35" s="67" t="s">
        <v>87</v>
      </c>
      <c r="H35" s="67"/>
      <c r="I35" s="70" t="s">
        <v>92</v>
      </c>
      <c r="J35" s="67" t="s">
        <v>197</v>
      </c>
      <c r="K35" s="68" t="s">
        <v>84</v>
      </c>
    </row>
    <row r="36" spans="1:11" ht="40.5" customHeight="1" x14ac:dyDescent="0.75">
      <c r="A36" s="167"/>
      <c r="B36" s="65"/>
      <c r="C36" s="69" t="s">
        <v>198</v>
      </c>
      <c r="D36" s="70" t="s">
        <v>199</v>
      </c>
      <c r="E36" s="70" t="s">
        <v>82</v>
      </c>
      <c r="F36" s="70"/>
      <c r="G36" s="67" t="s">
        <v>87</v>
      </c>
      <c r="H36" s="67"/>
      <c r="I36" s="70" t="s">
        <v>92</v>
      </c>
      <c r="J36" s="67" t="s">
        <v>200</v>
      </c>
      <c r="K36" s="68" t="s">
        <v>84</v>
      </c>
    </row>
    <row r="37" spans="1:11" ht="40.5" customHeight="1" x14ac:dyDescent="0.75">
      <c r="A37" s="167"/>
      <c r="B37" s="65"/>
      <c r="C37" s="69" t="s">
        <v>201</v>
      </c>
      <c r="D37" s="70" t="s">
        <v>202</v>
      </c>
      <c r="E37" s="70" t="s">
        <v>82</v>
      </c>
      <c r="F37" s="70"/>
      <c r="G37" s="67" t="s">
        <v>87</v>
      </c>
      <c r="H37" s="67"/>
      <c r="I37" s="70" t="s">
        <v>92</v>
      </c>
      <c r="J37" s="67" t="s">
        <v>203</v>
      </c>
      <c r="K37" s="68" t="s">
        <v>84</v>
      </c>
    </row>
    <row r="38" spans="1:11" ht="40.5" customHeight="1" x14ac:dyDescent="0.75">
      <c r="A38" s="167"/>
      <c r="B38" s="65"/>
      <c r="C38" s="69" t="s">
        <v>204</v>
      </c>
      <c r="D38" s="70" t="s">
        <v>205</v>
      </c>
      <c r="E38" s="70" t="s">
        <v>100</v>
      </c>
      <c r="F38" s="70"/>
      <c r="G38" s="67" t="s">
        <v>83</v>
      </c>
      <c r="H38" s="79" t="s">
        <v>206</v>
      </c>
      <c r="I38" s="70" t="s">
        <v>88</v>
      </c>
      <c r="J38" s="67" t="s">
        <v>207</v>
      </c>
      <c r="K38" s="68" t="s">
        <v>84</v>
      </c>
    </row>
    <row r="39" spans="1:11" ht="40.5" customHeight="1" x14ac:dyDescent="0.75">
      <c r="A39" s="167"/>
      <c r="B39" s="65"/>
      <c r="C39" s="69" t="s">
        <v>208</v>
      </c>
      <c r="D39" s="67" t="s">
        <v>209</v>
      </c>
      <c r="E39" s="70" t="s">
        <v>100</v>
      </c>
      <c r="F39" s="70"/>
      <c r="G39" s="67" t="s">
        <v>87</v>
      </c>
      <c r="H39" s="67" t="s">
        <v>210</v>
      </c>
      <c r="I39" s="67" t="s">
        <v>211</v>
      </c>
      <c r="J39" s="67" t="s">
        <v>212</v>
      </c>
      <c r="K39" s="68" t="s">
        <v>84</v>
      </c>
    </row>
    <row r="40" spans="1:11" ht="40.5" customHeight="1" x14ac:dyDescent="0.75">
      <c r="A40" s="167"/>
      <c r="B40" s="65"/>
      <c r="C40" s="69" t="s">
        <v>213</v>
      </c>
      <c r="D40" s="67" t="s">
        <v>214</v>
      </c>
      <c r="E40" s="70" t="s">
        <v>82</v>
      </c>
      <c r="F40" s="70"/>
      <c r="G40" s="67" t="s">
        <v>87</v>
      </c>
      <c r="H40" s="67"/>
      <c r="I40" s="67" t="s">
        <v>215</v>
      </c>
      <c r="J40" s="67" t="s">
        <v>216</v>
      </c>
      <c r="K40" s="68" t="s">
        <v>84</v>
      </c>
    </row>
    <row r="41" spans="1:11" ht="40.5" customHeight="1" x14ac:dyDescent="0.75">
      <c r="A41" s="167"/>
      <c r="B41" s="80" t="s">
        <v>217</v>
      </c>
      <c r="C41" s="69" t="s">
        <v>218</v>
      </c>
      <c r="D41" s="70" t="s">
        <v>219</v>
      </c>
      <c r="E41" s="70" t="s">
        <v>100</v>
      </c>
      <c r="F41" s="70"/>
      <c r="G41" s="67" t="s">
        <v>83</v>
      </c>
      <c r="H41" s="67" t="s">
        <v>206</v>
      </c>
      <c r="I41" s="70" t="s">
        <v>88</v>
      </c>
      <c r="J41" s="67" t="s">
        <v>220</v>
      </c>
      <c r="K41" s="68" t="s">
        <v>84</v>
      </c>
    </row>
    <row r="42" spans="1:11" ht="40.5" customHeight="1" x14ac:dyDescent="0.75">
      <c r="A42" s="167"/>
      <c r="B42" s="80" t="s">
        <v>221</v>
      </c>
      <c r="C42" s="81" t="s">
        <v>222</v>
      </c>
      <c r="D42" s="79" t="s">
        <v>223</v>
      </c>
      <c r="E42" s="67" t="s">
        <v>224</v>
      </c>
      <c r="F42" s="67"/>
      <c r="G42" s="67" t="s">
        <v>87</v>
      </c>
      <c r="H42" s="77"/>
      <c r="I42" s="67" t="s">
        <v>225</v>
      </c>
      <c r="J42" s="79" t="s">
        <v>226</v>
      </c>
      <c r="K42" s="68" t="s">
        <v>84</v>
      </c>
    </row>
    <row r="43" spans="1:11" ht="40.5" customHeight="1" thickBot="1" x14ac:dyDescent="0.9">
      <c r="A43" s="168"/>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3" t="s">
        <v>234</v>
      </c>
      <c r="C46" s="69" t="s">
        <v>235</v>
      </c>
      <c r="D46" s="70" t="s">
        <v>236</v>
      </c>
      <c r="E46" s="70" t="s">
        <v>100</v>
      </c>
      <c r="F46" s="70"/>
      <c r="G46" s="67" t="s">
        <v>83</v>
      </c>
      <c r="H46" s="67" t="s">
        <v>237</v>
      </c>
      <c r="I46" s="70" t="s">
        <v>88</v>
      </c>
      <c r="J46" s="67" t="s">
        <v>238</v>
      </c>
      <c r="K46" s="68" t="s">
        <v>84</v>
      </c>
    </row>
    <row r="47" spans="1:11" ht="40.5" customHeight="1" x14ac:dyDescent="0.75">
      <c r="A47" s="89"/>
      <c r="B47" s="164"/>
      <c r="C47" s="69" t="s">
        <v>239</v>
      </c>
      <c r="D47" s="70" t="s">
        <v>240</v>
      </c>
      <c r="E47" s="70" t="s">
        <v>82</v>
      </c>
      <c r="F47" s="70"/>
      <c r="G47" s="67" t="s">
        <v>87</v>
      </c>
      <c r="H47" s="67"/>
      <c r="I47" s="67" t="s">
        <v>241</v>
      </c>
      <c r="J47" s="67" t="s">
        <v>242</v>
      </c>
      <c r="K47" s="68" t="s">
        <v>84</v>
      </c>
    </row>
    <row r="48" spans="1:11" ht="40.5" customHeight="1" x14ac:dyDescent="0.75">
      <c r="A48" s="89"/>
      <c r="B48" s="165"/>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6"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7"/>
      <c r="C101" s="67" t="s">
        <v>412</v>
      </c>
      <c r="D101" s="67" t="s">
        <v>413</v>
      </c>
      <c r="E101" s="70" t="s">
        <v>100</v>
      </c>
      <c r="F101" s="70"/>
      <c r="G101" s="67" t="s">
        <v>83</v>
      </c>
      <c r="H101" s="67" t="s">
        <v>414</v>
      </c>
      <c r="I101" s="70" t="s">
        <v>92</v>
      </c>
      <c r="J101" s="67" t="s">
        <v>415</v>
      </c>
      <c r="K101" s="68" t="s">
        <v>90</v>
      </c>
    </row>
    <row r="102" spans="1:11" ht="40.5" customHeight="1" x14ac:dyDescent="0.75">
      <c r="A102" s="68"/>
      <c r="B102" s="157"/>
      <c r="C102" s="70" t="s">
        <v>416</v>
      </c>
      <c r="D102" s="70" t="s">
        <v>417</v>
      </c>
      <c r="E102" s="70" t="s">
        <v>100</v>
      </c>
      <c r="F102" s="70"/>
      <c r="G102" s="67" t="s">
        <v>83</v>
      </c>
      <c r="H102" s="70" t="s">
        <v>418</v>
      </c>
      <c r="I102" s="70" t="s">
        <v>419</v>
      </c>
      <c r="J102" s="67" t="s">
        <v>416</v>
      </c>
      <c r="K102" s="68" t="s">
        <v>90</v>
      </c>
    </row>
    <row r="103" spans="1:11" ht="40.5" customHeight="1" x14ac:dyDescent="0.75">
      <c r="A103" s="68"/>
      <c r="B103" s="158"/>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73"/>
  <sheetViews>
    <sheetView tabSelected="1" workbookViewId="0">
      <selection activeCell="T4" sqref="T4"/>
    </sheetView>
  </sheetViews>
  <sheetFormatPr defaultRowHeight="14.75" x14ac:dyDescent="0.75"/>
  <cols>
    <col min="5" max="5" width="100.6796875" customWidth="1"/>
  </cols>
  <sheetData>
    <row r="1" spans="5:5" x14ac:dyDescent="0.75">
      <c r="E1" s="109" t="str">
        <f>'RelAftFlt-3'!D2</f>
        <v>Instance: RelapseAfterFLT</v>
      </c>
    </row>
    <row r="2" spans="5:5" x14ac:dyDescent="0.75">
      <c r="E2" s="109" t="str">
        <f>'RelAftFlt-3'!D3</f>
        <v>InstanceOf: StructureDefinition</v>
      </c>
    </row>
    <row r="3" spans="5:5" x14ac:dyDescent="0.75">
      <c r="E3" s="109" t="str">
        <f>'RelAftFlt-3'!D4</f>
        <v>Description: "Progression-Relapse after FLT
Marturity Level: 1"</v>
      </c>
    </row>
    <row r="4" spans="5:5" x14ac:dyDescent="0.75">
      <c r="E4" s="109" t="str">
        <f>'RelAftFlt-3'!D5</f>
        <v>Title: "Progression-Relapse after FLT"</v>
      </c>
    </row>
    <row r="5" spans="5:5" x14ac:dyDescent="0.75">
      <c r="E5" s="109" t="str">
        <f>'RelAftFlt-3'!D6</f>
        <v>Usage: #definition</v>
      </c>
    </row>
    <row r="6" spans="5:5" x14ac:dyDescent="0.75">
      <c r="E6" s="109" t="str">
        <f>'RelAftFlt-3'!D8</f>
        <v>* publisher = "PanCareSurPass project"</v>
      </c>
    </row>
    <row r="7" spans="5:5" x14ac:dyDescent="0.75">
      <c r="E7" s="109" t="str">
        <f>'RelAftFlt-3'!D9</f>
        <v>* status = #draft</v>
      </c>
    </row>
    <row r="8" spans="5:5" x14ac:dyDescent="0.75">
      <c r="E8" s="109" t="str">
        <f>'RelAftFlt-3'!D10</f>
        <v>* url = "http://hl7.eu/fhir/ig/pcsp/StructureDefinition/RelapseAfterFLT"</v>
      </c>
    </row>
    <row r="9" spans="5:5" x14ac:dyDescent="0.75">
      <c r="E9" s="109" t="str">
        <f>'RelAftFlt-3'!D11</f>
        <v>* name = "RelapseAfterFLT"</v>
      </c>
    </row>
    <row r="10" spans="5:5" x14ac:dyDescent="0.75">
      <c r="E10" s="109" t="str">
        <f>'RelAftFlt-3'!D12</f>
        <v>* title = "Progression-Relapse after FLT"</v>
      </c>
    </row>
    <row r="11" spans="5:5" x14ac:dyDescent="0.75">
      <c r="E11" s="109" t="str">
        <f>'RelAftFlt-3'!D13</f>
        <v>* status = #draft</v>
      </c>
    </row>
    <row r="12" spans="5:5" x14ac:dyDescent="0.75">
      <c r="E12" s="109" t="str">
        <f>'RelAftFlt-3'!D14</f>
        <v>* experimental = true</v>
      </c>
    </row>
    <row r="13" spans="5:5" x14ac:dyDescent="0.75">
      <c r="E13" s="109" t="str">
        <f>'RelAftFlt-3'!D15</f>
        <v>* description = "Progression-Relapse after FLT
Marturity Level: 1"</v>
      </c>
    </row>
    <row r="14" spans="5:5" x14ac:dyDescent="0.75">
      <c r="E14" s="109" t="str">
        <f>'RelAftFlt-3'!D16</f>
        <v>* version = "0.0.1"</v>
      </c>
    </row>
    <row r="15" spans="5:5" x14ac:dyDescent="0.75">
      <c r="E15" s="109" t="str">
        <f>'RelAftFlt-3'!D18</f>
        <v>* mapping[0].identity = "fhir"</v>
      </c>
    </row>
    <row r="16" spans="5:5" x14ac:dyDescent="0.75">
      <c r="E16" s="109" t="str">
        <f>'RelAftFlt-3'!D19</f>
        <v>* mapping[0].uri = "hl7.org/fhir/r4"</v>
      </c>
    </row>
    <row r="17" spans="5:5" x14ac:dyDescent="0.75">
      <c r="E17" s="109" t="str">
        <f>'RelAftFlt-3'!D20</f>
        <v>* mapping[0].name = "FHIR"</v>
      </c>
    </row>
    <row r="18" spans="5:5" x14ac:dyDescent="0.75">
      <c r="E18" s="109" t="str">
        <f>'RelAftFlt-3'!D22</f>
        <v>* kind = #logical</v>
      </c>
    </row>
    <row r="19" spans="5:5" x14ac:dyDescent="0.75">
      <c r="E19" s="109" t="str">
        <f>'RelAftFlt-3'!D23</f>
        <v>* abstract = true</v>
      </c>
    </row>
    <row r="20" spans="5:5" x14ac:dyDescent="0.75">
      <c r="E20" s="109" t="str">
        <f>'RelAftFlt-3'!D24</f>
        <v>* type = "RelapseAfterFLT"</v>
      </c>
    </row>
    <row r="21" spans="5:5" x14ac:dyDescent="0.75">
      <c r="E21" s="109" t="str">
        <f>'RelAftFlt-3'!D25</f>
        <v>* baseDefinition = "http://hl7.org/fhir/StructureDefinition/Element"</v>
      </c>
    </row>
    <row r="22" spans="5:5" x14ac:dyDescent="0.75">
      <c r="E22" s="109" t="str">
        <f>'RelAftFlt-3'!D26</f>
        <v>* derivation = #specialization</v>
      </c>
    </row>
    <row r="23" spans="5:5" x14ac:dyDescent="0.75">
      <c r="E23" s="109" t="str">
        <f>'RelAftFlt-3'!D28</f>
        <v>* differential.element[0].id = "RelapseAfterFLT"</v>
      </c>
    </row>
    <row r="24" spans="5:5" x14ac:dyDescent="0.75">
      <c r="E24" s="109" t="str">
        <f>'RelAftFlt-3'!D29</f>
        <v>* differential.element[0].path = "RelapseAfterFLT"</v>
      </c>
    </row>
    <row r="25" spans="5:5" x14ac:dyDescent="0.75">
      <c r="E25" s="109" t="str">
        <f>'RelAftFlt-3'!D30</f>
        <v>* differential.element[0].short = "Progression-Relapse after  FLT"</v>
      </c>
    </row>
    <row r="26" spans="5:5" x14ac:dyDescent="0.75">
      <c r="E26" s="109" t="str">
        <f>'RelAftFlt-3'!D31</f>
        <v>* differential.element[0].definition = "Progression-Relapse after  FLT"</v>
      </c>
    </row>
    <row r="27" spans="5:5" x14ac:dyDescent="0.75">
      <c r="E27" s="109" t="str">
        <f>'RelAftFlt-3'!D32</f>
        <v>* differential.element[0].min = 1</v>
      </c>
    </row>
    <row r="28" spans="5:5" x14ac:dyDescent="0.75">
      <c r="E28" s="109" t="str">
        <f>'RelAftFlt-3'!D33</f>
        <v>* differential.element[0].max = "1"</v>
      </c>
    </row>
    <row r="29" spans="5:5" x14ac:dyDescent="0.75">
      <c r="E29" s="109" t="str">
        <f>'RelAftFlt-3'!D35</f>
        <v>* differential.element[1].id = "RelapseAfterFLT.identifier"</v>
      </c>
    </row>
    <row r="30" spans="5:5" x14ac:dyDescent="0.75">
      <c r="E30" s="109" t="str">
        <f>'RelAftFlt-3'!D36</f>
        <v>* differential.element[1].path = "RelapseAfterFLT.identifier"</v>
      </c>
    </row>
    <row r="31" spans="5:5" x14ac:dyDescent="0.75">
      <c r="E31" s="109" t="str">
        <f>'RelAftFlt-3'!D37</f>
        <v>* differential.element[1].short = "Progression-relapse after FLT number"</v>
      </c>
    </row>
    <row r="32" spans="5:5" x14ac:dyDescent="0.75">
      <c r="E32" s="109" t="str">
        <f>'RelAftFlt-3'!D38</f>
        <v>* differential.element[1].definition = "Progressive number of progression/relapse (1=first; 2= second; 3 = third; …) after the end of treatment.
In this field must be reported the ordinal number of the progression/relapse after the end of treatment."</v>
      </c>
    </row>
    <row r="33" spans="5:5" x14ac:dyDescent="0.75">
      <c r="E33" s="109" t="str">
        <f>'RelAftFlt-3'!D39</f>
        <v>* differential.element[1].min = 0</v>
      </c>
    </row>
    <row r="34" spans="5:5" x14ac:dyDescent="0.75">
      <c r="E34" s="109" t="str">
        <f>'RelAftFlt-3'!D40</f>
        <v>* differential.element[1].max = "1"</v>
      </c>
    </row>
    <row r="35" spans="5:5" x14ac:dyDescent="0.75">
      <c r="E35" s="109" t="str">
        <f>'RelAftFlt-3'!D41</f>
        <v>* differential.element[1].type.code = #Identifier</v>
      </c>
    </row>
    <row r="36" spans="5:5" x14ac:dyDescent="0.75">
      <c r="E36" s="109" t="str">
        <f>'RelAftFlt-3'!D42</f>
        <v/>
      </c>
    </row>
    <row r="37" spans="5:5" x14ac:dyDescent="0.75">
      <c r="E37" s="109" t="str">
        <f>'RelAftFlt-3'!D43</f>
        <v/>
      </c>
    </row>
    <row r="38" spans="5:5" x14ac:dyDescent="0.75">
      <c r="E38" s="109" t="str">
        <f>'RelAftFlt-3'!D44</f>
        <v>* differential.element[2].id = "RelapseAfterFLT.relatedDiagnosis"</v>
      </c>
    </row>
    <row r="39" spans="5:5" x14ac:dyDescent="0.75">
      <c r="E39" s="109" t="str">
        <f>'RelAftFlt-3'!D45</f>
        <v>* differential.element[2].path = "RelapseAfterFLT.relatedDiagnosis"</v>
      </c>
    </row>
    <row r="40" spans="5:5" x14ac:dyDescent="0.75">
      <c r="E40" s="109" t="str">
        <f>'RelAftFlt-3'!D46</f>
        <v>* differential.element[2].short = "Progressive number of diagnosis"</v>
      </c>
    </row>
    <row r="41" spans="5:5" x14ac:dyDescent="0.75">
      <c r="E41" s="109" t="str">
        <f>'RelAftFlt-3'!D47</f>
        <v>* differential.element[2].definition = "Progressive number of diagnosis (1=first; 2= second; 3 = third; …).  
In this field must be reported the ordinal number of the tumor diagnosis in which progression/relapse ocuured during front line treatment."</v>
      </c>
    </row>
    <row r="42" spans="5:5" x14ac:dyDescent="0.75">
      <c r="E42" s="109" t="str">
        <f>'RelAftFlt-3'!D48</f>
        <v>* differential.element[2].min = 0</v>
      </c>
    </row>
    <row r="43" spans="5:5" x14ac:dyDescent="0.75">
      <c r="E43" s="109" t="str">
        <f>'RelAftFlt-3'!D49</f>
        <v>* differential.element[2].max = "1"</v>
      </c>
    </row>
    <row r="44" spans="5:5" x14ac:dyDescent="0.75">
      <c r="E44" s="109" t="str">
        <f>'RelAftFlt-3'!D50</f>
        <v>* differential.element[2].type.code = #Identifier</v>
      </c>
    </row>
    <row r="45" spans="5:5" x14ac:dyDescent="0.75">
      <c r="E45" s="109" t="str">
        <f>'RelAftFlt-3'!D51</f>
        <v/>
      </c>
    </row>
    <row r="46" spans="5:5" x14ac:dyDescent="0.75">
      <c r="E46" s="109" t="str">
        <f>'RelAftFlt-3'!D52</f>
        <v/>
      </c>
    </row>
    <row r="47" spans="5:5" x14ac:dyDescent="0.75">
      <c r="E47" s="109" t="str">
        <f>'RelAftFlt-3'!D53</f>
        <v>* differential.element[3].id = "RelapseAfterFLT.type"</v>
      </c>
    </row>
    <row r="48" spans="5:5" x14ac:dyDescent="0.75">
      <c r="E48" s="109" t="str">
        <f>'RelAftFlt-3'!D54</f>
        <v>* differential.element[3].path = "RelapseAfterFLT.type"</v>
      </c>
    </row>
    <row r="49" spans="5:5" x14ac:dyDescent="0.75">
      <c r="E49" s="109" t="str">
        <f>'RelAftFlt-3'!D55</f>
        <v>* differential.element[3].short = "relapse | progression"</v>
      </c>
    </row>
    <row r="50" spans="5:5" x14ac:dyDescent="0.75">
      <c r="E50" s="109" t="str">
        <f>'RelAftFlt-3'!D56</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51" spans="5:5" x14ac:dyDescent="0.75">
      <c r="E51" s="109" t="str">
        <f>'RelAftFlt-3'!D57</f>
        <v>* differential.element[3].min = 0</v>
      </c>
    </row>
    <row r="52" spans="5:5" x14ac:dyDescent="0.75">
      <c r="E52" s="109" t="str">
        <f>'RelAftFlt-3'!D58</f>
        <v>* differential.element[3].max = "1"</v>
      </c>
    </row>
    <row r="53" spans="5:5" x14ac:dyDescent="0.75">
      <c r="E53" s="109" t="str">
        <f>'RelAftFlt-3'!D59</f>
        <v>* differential.element[3].type.code = #CodeableConcept</v>
      </c>
    </row>
    <row r="54" spans="5:5" x14ac:dyDescent="0.75">
      <c r="E54" s="109" t="str">
        <f>'RelAftFlt-3'!D60</f>
        <v/>
      </c>
    </row>
    <row r="55" spans="5:5" x14ac:dyDescent="0.75">
      <c r="E55" s="109" t="str">
        <f>'RelAftFlt-3'!D61</f>
        <v/>
      </c>
    </row>
    <row r="56" spans="5:5" x14ac:dyDescent="0.75">
      <c r="E56" s="109" t="str">
        <f>'RelAftFlt-3'!D62</f>
        <v>* differential.element[4].id = "RelapseAfterFLT.qualifier"</v>
      </c>
    </row>
    <row r="57" spans="5:5" x14ac:dyDescent="0.75">
      <c r="E57" s="109" t="str">
        <f>'RelAftFlt-3'!D63</f>
        <v>* differential.element[4].path = "RelapseAfterFLT.qualifier"</v>
      </c>
    </row>
    <row r="58" spans="5:5" x14ac:dyDescent="0.75">
      <c r="E58" s="109" t="str">
        <f>'RelAftFlt-3'!D64</f>
        <v>* differential.element[4].short = "local | distant | combined"</v>
      </c>
    </row>
    <row r="59" spans="5:5" x14ac:dyDescent="0.75">
      <c r="E59" s="109" t="str">
        <f>'RelAftFlt-3'!D65</f>
        <v>* differential.element[4].definition = "Report here the date (dd/mm/yyyy ) of the relapse/progression. If the date is unkown or partially missed insert the year at the best of your knowledge."</v>
      </c>
    </row>
    <row r="60" spans="5:5" x14ac:dyDescent="0.75">
      <c r="E60" s="109" t="str">
        <f>'RelAftFlt-3'!D66</f>
        <v>* differential.element[4].min = 0</v>
      </c>
    </row>
    <row r="61" spans="5:5" x14ac:dyDescent="0.75">
      <c r="E61" s="109" t="str">
        <f>'RelAftFlt-3'!D67</f>
        <v>* differential.element[4].max = "1"</v>
      </c>
    </row>
    <row r="62" spans="5:5" x14ac:dyDescent="0.75">
      <c r="E62" s="109" t="str">
        <f>'RelAftFlt-3'!D68</f>
        <v>* differential.element[4].type.code = #CodeableConcept</v>
      </c>
    </row>
    <row r="63" spans="5:5" x14ac:dyDescent="0.75">
      <c r="E63" s="109" t="str">
        <f>'RelAftFlt-3'!D69</f>
        <v/>
      </c>
    </row>
    <row r="64" spans="5:5" x14ac:dyDescent="0.75">
      <c r="E64" s="109" t="str">
        <f>'RelAftFlt-3'!D70</f>
        <v/>
      </c>
    </row>
    <row r="65" spans="5:5" x14ac:dyDescent="0.75">
      <c r="E65" s="109" t="str">
        <f>'RelAftFlt-3'!D71</f>
        <v>* differential.element[5].id = "RelapseAfterFLT.site"</v>
      </c>
    </row>
    <row r="66" spans="5:5" x14ac:dyDescent="0.75">
      <c r="E66" s="109" t="str">
        <f>'RelAftFlt-3'!D72</f>
        <v>* differential.element[5].path = "RelapseAfterFLT.site"</v>
      </c>
    </row>
    <row r="67" spans="5:5" x14ac:dyDescent="0.75">
      <c r="E67" s="109" t="str">
        <f>'RelAftFlt-3'!D73</f>
        <v>* differential.element[5].short = "If distant, site of metastases"</v>
      </c>
    </row>
    <row r="68" spans="5:5" x14ac:dyDescent="0.75">
      <c r="E68" s="109" t="str">
        <f>'RelAftFlt-3'!D74</f>
        <v>* differential.element[5].definition = "Please define if the relapse/progression was local, distant or combined.
"</v>
      </c>
    </row>
    <row r="69" spans="5:5" x14ac:dyDescent="0.75">
      <c r="E69" s="109" t="str">
        <f>'RelAftFlt-3'!D75</f>
        <v>* differential.element[5].min = 0</v>
      </c>
    </row>
    <row r="70" spans="5:5" x14ac:dyDescent="0.75">
      <c r="E70" s="109" t="str">
        <f>'RelAftFlt-3'!D76</f>
        <v>* differential.element[5].max = "1"</v>
      </c>
    </row>
    <row r="71" spans="5:5" x14ac:dyDescent="0.75">
      <c r="E71" s="109" t="str">
        <f>'RelAftFlt-3'!D77</f>
        <v>* differential.element[5].type.code = #string</v>
      </c>
    </row>
    <row r="72" spans="5:5" x14ac:dyDescent="0.75">
      <c r="E72" s="109" t="str">
        <f>'RelAftFlt-3'!D78</f>
        <v/>
      </c>
    </row>
    <row r="73" spans="5:5" x14ac:dyDescent="0.75">
      <c r="E73" s="109" t="str">
        <f>'RelAftFlt-3'!D79</f>
        <v/>
      </c>
    </row>
    <row r="74" spans="5:5" x14ac:dyDescent="0.75">
      <c r="E74" s="109" t="str">
        <f>'RelAftFlt-3'!D80</f>
        <v>* differential.element[6].id = "RelapseAfterFLT.followedProtocol"</v>
      </c>
    </row>
    <row r="75" spans="5:5" x14ac:dyDescent="0.75">
      <c r="E75" s="109" t="str">
        <f>'RelAftFlt-3'!D81</f>
        <v>* differential.element[6].path = "RelapseAfterFLT.followedProtocol"</v>
      </c>
    </row>
    <row r="76" spans="5:5" x14ac:dyDescent="0.75">
      <c r="E76" s="109" t="str">
        <f>'RelAftFlt-3'!D82</f>
        <v>* differential.element[6].short = "Salvage treatment"</v>
      </c>
    </row>
    <row r="77" spans="5:5" x14ac:dyDescent="0.75">
      <c r="E77" s="109" t="str">
        <f>'RelAftFlt-3'!D83</f>
        <v>* differential.element[6].definition = "The salvage treatment has been executed following"</v>
      </c>
    </row>
    <row r="78" spans="5:5" x14ac:dyDescent="0.75">
      <c r="E78" s="109" t="str">
        <f>'RelAftFlt-3'!D84</f>
        <v>* differential.element[6].min = 0</v>
      </c>
    </row>
    <row r="79" spans="5:5" x14ac:dyDescent="0.75">
      <c r="E79" s="109" t="str">
        <f>'RelAftFlt-3'!D85</f>
        <v>* differential.element[6].max = "*"</v>
      </c>
    </row>
    <row r="80" spans="5:5" x14ac:dyDescent="0.75">
      <c r="E80" s="109" t="str">
        <f>'RelAftFlt-3'!D86</f>
        <v>* differential.element[6].type.code = #BackboneElement</v>
      </c>
    </row>
    <row r="81" spans="5:5" x14ac:dyDescent="0.75">
      <c r="E81" s="109" t="str">
        <f>'RelAftFlt-3'!D87</f>
        <v/>
      </c>
    </row>
    <row r="82" spans="5:5" x14ac:dyDescent="0.75">
      <c r="E82" s="109" t="str">
        <f>'RelAftFlt-3'!D88</f>
        <v/>
      </c>
    </row>
    <row r="83" spans="5:5" x14ac:dyDescent="0.75">
      <c r="E83" s="109" t="str">
        <f>'RelAftFlt-3'!D89</f>
        <v>* differential.element[7].id = "RelapseAfterFLT.followedProtocol.type"</v>
      </c>
    </row>
    <row r="84" spans="5:5" x14ac:dyDescent="0.75">
      <c r="E84" s="109" t="str">
        <f>'RelAftFlt-3'!D90</f>
        <v>* differential.element[7].path = "RelapseAfterFLT.followedProtocol.type"</v>
      </c>
    </row>
    <row r="85" spans="5:5" x14ac:dyDescent="0.75">
      <c r="E85" s="109" t="str">
        <f>'RelAftFlt-3'!D91</f>
        <v>* differential.element[7].short = "type"</v>
      </c>
    </row>
    <row r="86" spans="5:5" x14ac:dyDescent="0.75">
      <c r="E86" s="109" t="str">
        <f>'RelAftFlt-3'!D92</f>
        <v>* differential.element[7].definition = "Specify here (using the available codes) if because of the relapse/progression the patient was treated according to a protocol/trial or other treatment plans
1 =&gt; A trial/protocol
2 =&gt; Personalized
3 =&gt; Guidelines
-9922 =&gt; NK "</v>
      </c>
    </row>
    <row r="87" spans="5:5" x14ac:dyDescent="0.75">
      <c r="E87" s="109" t="str">
        <f>'RelAftFlt-3'!D93</f>
        <v>* differential.element[7].min = 0</v>
      </c>
    </row>
    <row r="88" spans="5:5" x14ac:dyDescent="0.75">
      <c r="E88" s="109" t="str">
        <f>'RelAftFlt-3'!D94</f>
        <v>* differential.element[7].max = "1"</v>
      </c>
    </row>
    <row r="89" spans="5:5" x14ac:dyDescent="0.75">
      <c r="E89" s="109" t="str">
        <f>'RelAftFlt-3'!D95</f>
        <v>* differential.element[7].type.code = #CodeableConcept</v>
      </c>
    </row>
    <row r="90" spans="5:5" x14ac:dyDescent="0.75">
      <c r="E90" s="109" t="str">
        <f>'RelAftFlt-3'!D96</f>
        <v/>
      </c>
    </row>
    <row r="91" spans="5:5" x14ac:dyDescent="0.75">
      <c r="E91" s="109" t="str">
        <f>'RelAftFlt-3'!D97</f>
        <v/>
      </c>
    </row>
    <row r="92" spans="5:5" x14ac:dyDescent="0.75">
      <c r="E92" s="109" t="str">
        <f>'RelAftFlt-3'!D98</f>
        <v>* differential.element[8].id = "RelapseAfterFLT.followedProtocol.flt"</v>
      </c>
    </row>
    <row r="93" spans="5:5" x14ac:dyDescent="0.75">
      <c r="E93" s="109" t="str">
        <f>'RelAftFlt-3'!D99</f>
        <v>* differential.element[8].path = "RelapseAfterFLT.followedProtocol.flt"</v>
      </c>
    </row>
    <row r="94" spans="5:5" x14ac:dyDescent="0.75">
      <c r="E94" s="109" t="str">
        <f>'RelAftFlt-3'!D100</f>
        <v>* differential.element[8].short = "First line treatment trial/protocol"</v>
      </c>
    </row>
    <row r="95" spans="5:5" x14ac:dyDescent="0.75">
      <c r="E95" s="109" t="str">
        <f>'RelAftFlt-3'!D101</f>
        <v>* differential.element[8].definition = "The system automatic display the trial/protocol executed during front line treatment"</v>
      </c>
    </row>
    <row r="96" spans="5:5" x14ac:dyDescent="0.75">
      <c r="E96" s="109" t="str">
        <f>'RelAftFlt-3'!D102</f>
        <v>* differential.element[8].min = 0</v>
      </c>
    </row>
    <row r="97" spans="5:5" x14ac:dyDescent="0.75">
      <c r="E97" s="109" t="str">
        <f>'RelAftFlt-3'!D103</f>
        <v>* differential.element[8].max = "1"</v>
      </c>
    </row>
    <row r="98" spans="5:5" x14ac:dyDescent="0.75">
      <c r="E98" s="109" t="str">
        <f>'RelAftFlt-3'!D104</f>
        <v>* differential.element[8].type.code = #Identifier</v>
      </c>
    </row>
    <row r="99" spans="5:5" x14ac:dyDescent="0.75">
      <c r="E99" s="109" t="str">
        <f>'RelAftFlt-3'!D105</f>
        <v/>
      </c>
    </row>
    <row r="100" spans="5:5" x14ac:dyDescent="0.75">
      <c r="E100" s="109" t="str">
        <f>'RelAftFlt-3'!D106</f>
        <v/>
      </c>
    </row>
    <row r="101" spans="5:5" x14ac:dyDescent="0.75">
      <c r="E101" s="109" t="str">
        <f>'RelAftFlt-3'!D107</f>
        <v>* differential.element[9].id = "RelapseAfterFLT.followedProtocol.protocolDescription"</v>
      </c>
    </row>
    <row r="102" spans="5:5" x14ac:dyDescent="0.75">
      <c r="E102" s="109" t="str">
        <f>'RelAftFlt-3'!D108</f>
        <v>* differential.element[9].path = "RelapseAfterFLT.followedProtocol.protocolDescription"</v>
      </c>
    </row>
    <row r="103" spans="5:5" x14ac:dyDescent="0.75">
      <c r="E103" s="109" t="str">
        <f>'RelAftFlt-3'!D109</f>
        <v>* differential.element[9].short = "If trial/protocol, specify which one"</v>
      </c>
    </row>
    <row r="104" spans="5:5" x14ac:dyDescent="0.75">
      <c r="E104" s="109" t="str">
        <f>'RelAftFlt-3'!D110</f>
        <v>* differential.element[9].definition = "Specify the salvage trial/protocol (s) that was (were) used.  Free text"</v>
      </c>
    </row>
    <row r="105" spans="5:5" x14ac:dyDescent="0.75">
      <c r="E105" s="109" t="str">
        <f>'RelAftFlt-3'!D111</f>
        <v>* differential.element[9].min = 0</v>
      </c>
    </row>
    <row r="106" spans="5:5" x14ac:dyDescent="0.75">
      <c r="E106" s="109" t="str">
        <f>'RelAftFlt-3'!D112</f>
        <v>* differential.element[9].max = "1"</v>
      </c>
    </row>
    <row r="107" spans="5:5" x14ac:dyDescent="0.75">
      <c r="E107" s="109" t="str">
        <f>'RelAftFlt-3'!D113</f>
        <v>* differential.element[9].type.code = #string</v>
      </c>
    </row>
    <row r="108" spans="5:5" x14ac:dyDescent="0.75">
      <c r="E108" s="109" t="str">
        <f>'RelAftFlt-3'!D114</f>
        <v/>
      </c>
    </row>
    <row r="109" spans="5:5" x14ac:dyDescent="0.75">
      <c r="E109" s="109" t="str">
        <f>'RelAftFlt-3'!D115</f>
        <v/>
      </c>
    </row>
    <row r="110" spans="5:5" x14ac:dyDescent="0.75">
      <c r="E110" s="109" t="str">
        <f>'RelAftFlt-3'!D116</f>
        <v>* differential.element[10].id = "RelapseAfterFLT.followedProtocol.arm"</v>
      </c>
    </row>
    <row r="111" spans="5:5" x14ac:dyDescent="0.75">
      <c r="E111" s="109" t="str">
        <f>'RelAftFlt-3'!D117</f>
        <v>* differential.element[10].path = "RelapseAfterFLT.followedProtocol.arm"</v>
      </c>
    </row>
    <row r="112" spans="5:5" x14ac:dyDescent="0.75">
      <c r="E112" s="109" t="str">
        <f>'RelAftFlt-3'!D118</f>
        <v>* differential.element[10].short = "Group/Arm/Randomization"</v>
      </c>
    </row>
    <row r="113" spans="5:5" x14ac:dyDescent="0.75">
      <c r="E113" s="109" t="str">
        <f>'RelAftFlt-3'!D119</f>
        <v>* differential.element[10].definition = "If the trial was randomized, please define randomization arm"</v>
      </c>
    </row>
    <row r="114" spans="5:5" x14ac:dyDescent="0.75">
      <c r="E114" s="109" t="str">
        <f>'RelAftFlt-3'!D120</f>
        <v>* differential.element[10].min = 0</v>
      </c>
    </row>
    <row r="115" spans="5:5" x14ac:dyDescent="0.75">
      <c r="E115" s="109" t="str">
        <f>'RelAftFlt-3'!D121</f>
        <v>* differential.element[10].max = "1"</v>
      </c>
    </row>
    <row r="116" spans="5:5" x14ac:dyDescent="0.75">
      <c r="E116" s="109" t="str">
        <f>'RelAftFlt-3'!D122</f>
        <v>* differential.element[10].type.code = #string</v>
      </c>
    </row>
    <row r="117" spans="5:5" x14ac:dyDescent="0.75">
      <c r="E117" s="109" t="str">
        <f>'RelAftFlt-3'!D123</f>
        <v/>
      </c>
    </row>
    <row r="118" spans="5:5" x14ac:dyDescent="0.75">
      <c r="E118" s="109" t="str">
        <f>'RelAftFlt-3'!D124</f>
        <v/>
      </c>
    </row>
    <row r="119" spans="5:5" x14ac:dyDescent="0.75">
      <c r="E119" s="109" t="str">
        <f>'RelAftFlt-3'!D125</f>
        <v>* differential.element[11].id = "RelapseAfterFLT.followedProtocol.personalizedDescription"</v>
      </c>
    </row>
    <row r="120" spans="5:5" x14ac:dyDescent="0.75">
      <c r="E120" s="109" t="str">
        <f>'RelAftFlt-3'!D126</f>
        <v>* differential.element[11].path = "RelapseAfterFLT.followedProtocol.personalizedDescription"</v>
      </c>
    </row>
    <row r="121" spans="5:5" x14ac:dyDescent="0.75">
      <c r="E121" s="109" t="str">
        <f>'RelAftFlt-3'!D127</f>
        <v>* differential.element[11].short = "If personalized, please specify
"</v>
      </c>
    </row>
    <row r="122" spans="5:5" x14ac:dyDescent="0.75">
      <c r="E122" s="109" t="str">
        <f>'RelAftFlt-3'!D128</f>
        <v>* differential.element[11].definition = "If a personalized treatment was used, please specify."</v>
      </c>
    </row>
    <row r="123" spans="5:5" x14ac:dyDescent="0.75">
      <c r="E123" s="109" t="str">
        <f>'RelAftFlt-3'!D129</f>
        <v>* differential.element[11].min = 0</v>
      </c>
    </row>
    <row r="124" spans="5:5" x14ac:dyDescent="0.75">
      <c r="E124" s="109" t="str">
        <f>'RelAftFlt-3'!D130</f>
        <v>* differential.element[11].max = "1"</v>
      </c>
    </row>
    <row r="125" spans="5:5" x14ac:dyDescent="0.75">
      <c r="E125" s="109" t="str">
        <f>'RelAftFlt-3'!D131</f>
        <v>* differential.element[11].type.code = #string</v>
      </c>
    </row>
    <row r="126" spans="5:5" x14ac:dyDescent="0.75">
      <c r="E126" s="109" t="str">
        <f>'RelAftFlt-3'!D132</f>
        <v/>
      </c>
    </row>
    <row r="127" spans="5:5" x14ac:dyDescent="0.75">
      <c r="E127" s="109" t="str">
        <f>'RelAftFlt-3'!D133</f>
        <v/>
      </c>
    </row>
    <row r="128" spans="5:5" x14ac:dyDescent="0.75">
      <c r="E128" s="109" t="str">
        <f>'RelAftFlt-3'!D134</f>
        <v>* differential.element[12].id = "RelapseAfterFLT.isChemotherapy"</v>
      </c>
    </row>
    <row r="129" spans="5:5" x14ac:dyDescent="0.75">
      <c r="E129" s="109" t="str">
        <f>'RelAftFlt-3'!D135</f>
        <v>* differential.element[12].path = "RelapseAfterFLT.isChemotherapy"</v>
      </c>
    </row>
    <row r="130" spans="5:5" x14ac:dyDescent="0.75">
      <c r="E130" s="109" t="str">
        <f>'RelAftFlt-3'!D136</f>
        <v>* differential.element[12].short = "Chemotherapy"</v>
      </c>
    </row>
    <row r="131" spans="5:5" x14ac:dyDescent="0.75">
      <c r="E131" s="109" t="str">
        <f>'RelAftFlt-3'!D137</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v>
      </c>
    </row>
    <row r="132" spans="5:5" x14ac:dyDescent="0.75">
      <c r="E132" s="109" t="str">
        <f>'RelAftFlt-3'!D138</f>
        <v>* differential.element[12].min = 0</v>
      </c>
    </row>
    <row r="133" spans="5:5" x14ac:dyDescent="0.75">
      <c r="E133" s="109" t="str">
        <f>'RelAftFlt-3'!D139</f>
        <v>* differential.element[12].max = "1"</v>
      </c>
    </row>
    <row r="134" spans="5:5" x14ac:dyDescent="0.75">
      <c r="E134" s="109" t="str">
        <f>'RelAftFlt-3'!D140</f>
        <v>* differential.element[12].type.code = #CodeableConcept</v>
      </c>
    </row>
    <row r="135" spans="5:5" x14ac:dyDescent="0.75">
      <c r="E135" s="109" t="str">
        <f>'RelAftFlt-3'!D141</f>
        <v/>
      </c>
    </row>
    <row r="136" spans="5:5" x14ac:dyDescent="0.75">
      <c r="E136" s="109" t="str">
        <f>'RelAftFlt-3'!D142</f>
        <v/>
      </c>
    </row>
    <row r="137" spans="5:5" x14ac:dyDescent="0.75">
      <c r="E137" s="109" t="str">
        <f>'RelAftFlt-3'!D143</f>
        <v>* differential.element[13].id = "RelapseAfterFLT.isStemCellTransplantation"</v>
      </c>
    </row>
    <row r="138" spans="5:5" x14ac:dyDescent="0.75">
      <c r="E138" s="109" t="str">
        <f>'RelAftFlt-3'!D144</f>
        <v>* differential.element[13].path = "RelapseAfterFLT.isStemCellTransplantation"</v>
      </c>
    </row>
    <row r="139" spans="5:5" x14ac:dyDescent="0.75">
      <c r="E139" s="109" t="str">
        <f>'RelAftFlt-3'!D145</f>
        <v>* differential.element[13].short = "Stem Cell transplantation"</v>
      </c>
    </row>
    <row r="140" spans="5:5" x14ac:dyDescent="0.75">
      <c r="E140" s="109" t="str">
        <f>'RelAftFlt-3'!D146</f>
        <v>* differential.element[13].definition = "Please specify if the survivor received any hematopoietic stem cell transplant. Details will be given in the appropriate section 
1 =&gt; Yes
2 =&gt; No
-9922 =&gt; NK"</v>
      </c>
    </row>
    <row r="141" spans="5:5" x14ac:dyDescent="0.75">
      <c r="E141" s="109" t="str">
        <f>'RelAftFlt-3'!D147</f>
        <v>* differential.element[13].min = 0</v>
      </c>
    </row>
    <row r="142" spans="5:5" x14ac:dyDescent="0.75">
      <c r="E142" s="109" t="str">
        <f>'RelAftFlt-3'!D148</f>
        <v>* differential.element[13].max = "1"</v>
      </c>
    </row>
    <row r="143" spans="5:5" x14ac:dyDescent="0.75">
      <c r="E143" s="109" t="str">
        <f>'RelAftFlt-3'!D149</f>
        <v>* differential.element[13].type.code = #CodeableConcept</v>
      </c>
    </row>
    <row r="144" spans="5:5" x14ac:dyDescent="0.75">
      <c r="E144" s="109" t="str">
        <f>'RelAftFlt-3'!D150</f>
        <v/>
      </c>
    </row>
    <row r="145" spans="5:5" x14ac:dyDescent="0.75">
      <c r="E145" s="109" t="str">
        <f>'RelAftFlt-3'!D151</f>
        <v/>
      </c>
    </row>
    <row r="146" spans="5:5" x14ac:dyDescent="0.75">
      <c r="E146" s="109" t="str">
        <f>'RelAftFlt-3'!D152</f>
        <v>* differential.element[14].id = "RelapseAfterFLT.isRadiotherapy"</v>
      </c>
    </row>
    <row r="147" spans="5:5" x14ac:dyDescent="0.75">
      <c r="E147" s="109" t="str">
        <f>'RelAftFlt-3'!D153</f>
        <v>* differential.element[14].path = "RelapseAfterFLT.isRadiotherapy"</v>
      </c>
    </row>
    <row r="148" spans="5:5" x14ac:dyDescent="0.75">
      <c r="E148" s="109" t="str">
        <f>'RelAftFlt-3'!D154</f>
        <v>* differential.element[14].short = "Radiotherapy"</v>
      </c>
    </row>
    <row r="149" spans="5:5" x14ac:dyDescent="0.75">
      <c r="E149" s="109" t="str">
        <f>'RelAftFlt-3'!D155</f>
        <v>* differential.element[14].definition = "Please specify if the survivor received any radiotherapeutic treatment. Details will be given in the appropriate section "</v>
      </c>
    </row>
    <row r="150" spans="5:5" x14ac:dyDescent="0.75">
      <c r="E150" s="109" t="str">
        <f>'RelAftFlt-3'!D156</f>
        <v>* differential.element[14].min = 0</v>
      </c>
    </row>
    <row r="151" spans="5:5" x14ac:dyDescent="0.75">
      <c r="E151" s="109" t="str">
        <f>'RelAftFlt-3'!D157</f>
        <v>* differential.element[14].max = "1"</v>
      </c>
    </row>
    <row r="152" spans="5:5" x14ac:dyDescent="0.75">
      <c r="E152" s="109" t="str">
        <f>'RelAftFlt-3'!D158</f>
        <v>* differential.element[14].type.code = #CodeableConcept</v>
      </c>
    </row>
    <row r="153" spans="5:5" x14ac:dyDescent="0.75">
      <c r="E153" s="109" t="str">
        <f>'RelAftFlt-3'!D159</f>
        <v/>
      </c>
    </row>
    <row r="154" spans="5:5" x14ac:dyDescent="0.75">
      <c r="E154" s="109" t="str">
        <f>'RelAftFlt-3'!D160</f>
        <v/>
      </c>
    </row>
    <row r="155" spans="5:5" x14ac:dyDescent="0.75">
      <c r="E155" s="109" t="str">
        <f>'RelAftFlt-3'!D161</f>
        <v>* differential.element[15].id = "RelapseAfterFLT.isMajorSurgery"</v>
      </c>
    </row>
    <row r="156" spans="5:5" x14ac:dyDescent="0.75">
      <c r="E156" s="109" t="str">
        <f>'RelAftFlt-3'!D162</f>
        <v>* differential.element[15].path = "RelapseAfterFLT.isMajorSurgery"</v>
      </c>
    </row>
    <row r="157" spans="5:5" x14ac:dyDescent="0.75">
      <c r="E157" s="109" t="str">
        <f>'RelAftFlt-3'!D163</f>
        <v>* differential.element[15].short = "Major Surgery"</v>
      </c>
    </row>
    <row r="158" spans="5:5" x14ac:dyDescent="0.75">
      <c r="E158" s="109" t="str">
        <f>'RelAftFlt-3'!D164</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row>
    <row r="159" spans="5:5" x14ac:dyDescent="0.75">
      <c r="E159" s="109" t="str">
        <f>'RelAftFlt-3'!D165</f>
        <v>* differential.element[15].min = 0</v>
      </c>
    </row>
    <row r="160" spans="5:5" x14ac:dyDescent="0.75">
      <c r="E160" s="109" t="str">
        <f>'RelAftFlt-3'!D166</f>
        <v>* differential.element[15].max = "1"</v>
      </c>
    </row>
    <row r="161" spans="5:5" x14ac:dyDescent="0.75">
      <c r="E161" s="109" t="str">
        <f>'RelAftFlt-3'!D167</f>
        <v>* differential.element[15].type.code = #CodeableConcept</v>
      </c>
    </row>
    <row r="162" spans="5:5" x14ac:dyDescent="0.75">
      <c r="E162" s="109" t="str">
        <f>'RelAftFlt-3'!D168</f>
        <v/>
      </c>
    </row>
    <row r="163" spans="5:5" x14ac:dyDescent="0.75">
      <c r="E163" s="109" t="str">
        <f>'RelAftFlt-3'!D169</f>
        <v/>
      </c>
    </row>
    <row r="164" spans="5:5" x14ac:dyDescent="0.75">
      <c r="E164" s="109" t="str">
        <f>'RelAftFlt-3'!D170</f>
        <v>* differential.element[16].id = "RelapseAfterFLT.dateEOT"</v>
      </c>
    </row>
    <row r="165" spans="5:5" x14ac:dyDescent="0.75">
      <c r="E165" s="109" t="str">
        <f>'RelAftFlt-3'!D171</f>
        <v>* differential.element[16].path = "RelapseAfterFLT.dateEOT"</v>
      </c>
    </row>
    <row r="166" spans="5:5" x14ac:dyDescent="0.75">
      <c r="E166" s="109" t="str">
        <f>'RelAftFlt-3'!D172</f>
        <v>* differential.element[16].short = "Date of end of treatment"</v>
      </c>
    </row>
    <row r="167" spans="5:5" x14ac:dyDescent="0.75">
      <c r="E167" s="109" t="str">
        <f>'RelAftFlt-3'!D173</f>
        <v>* differential.element[16].definition = "This is the date of the second (or further) end of treatment after the first one. If the date is unkown or partially missed insert the year at the best of your knowledge."</v>
      </c>
    </row>
    <row r="168" spans="5:5" x14ac:dyDescent="0.75">
      <c r="E168" s="109" t="str">
        <f>'RelAftFlt-3'!D174</f>
        <v>* differential.element[16].min = 0</v>
      </c>
    </row>
    <row r="169" spans="5:5" x14ac:dyDescent="0.75">
      <c r="E169" s="109" t="str">
        <f>'RelAftFlt-3'!D175</f>
        <v>* differential.element[16].max = "1"</v>
      </c>
    </row>
    <row r="170" spans="5:5" x14ac:dyDescent="0.75">
      <c r="E170" s="109" t="str">
        <f>'RelAftFlt-3'!D176</f>
        <v>* differential.element[16].type.code = #dateTime</v>
      </c>
    </row>
    <row r="171" spans="5:5" x14ac:dyDescent="0.75">
      <c r="E171" s="109" t="str">
        <f>'RelAftFlt-3'!D177</f>
        <v/>
      </c>
    </row>
    <row r="172" spans="5:5" x14ac:dyDescent="0.75">
      <c r="E172" s="109" t="str">
        <f>'RelAftFlt-3'!D178</f>
        <v/>
      </c>
    </row>
    <row r="173" spans="5:5" x14ac:dyDescent="0.75">
      <c r="E173" s="109" t="str">
        <f>'RelAftFlt-3'!D187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C10" sqref="C10"/>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1086</v>
      </c>
      <c r="E2" s="25"/>
      <c r="F2" s="25"/>
      <c r="G2" s="25"/>
    </row>
    <row r="3" spans="1:9" x14ac:dyDescent="0.75">
      <c r="B3" s="118" t="s">
        <v>34</v>
      </c>
      <c r="C3" s="107" t="s">
        <v>36</v>
      </c>
      <c r="D3" s="56"/>
      <c r="E3" s="25"/>
      <c r="F3" s="25"/>
      <c r="G3" s="25"/>
    </row>
    <row r="4" spans="1:9" ht="15.5" thickBot="1" x14ac:dyDescent="0.9">
      <c r="B4" s="119" t="s">
        <v>52</v>
      </c>
      <c r="C4" s="16" t="s">
        <v>1087</v>
      </c>
      <c r="D4" s="57"/>
      <c r="E4" s="25"/>
      <c r="F4" s="25"/>
      <c r="G4" s="25"/>
    </row>
    <row r="5" spans="1:9" x14ac:dyDescent="0.75">
      <c r="C5" s="3" t="s">
        <v>7</v>
      </c>
      <c r="D5" s="4" t="s">
        <v>8</v>
      </c>
      <c r="E5" s="11" t="s">
        <v>17</v>
      </c>
      <c r="F5" s="11" t="s">
        <v>18</v>
      </c>
      <c r="G5" s="11" t="s">
        <v>19</v>
      </c>
    </row>
    <row r="6" spans="1:9" x14ac:dyDescent="0.75">
      <c r="A6">
        <v>0</v>
      </c>
      <c r="B6" s="16" t="s">
        <v>1087</v>
      </c>
      <c r="C6" s="16"/>
      <c r="D6" s="122"/>
      <c r="E6" s="34">
        <v>1</v>
      </c>
      <c r="F6" s="34">
        <v>1</v>
      </c>
      <c r="G6" s="34" t="s">
        <v>21</v>
      </c>
      <c r="I6" s="25"/>
    </row>
    <row r="7" spans="1:9" x14ac:dyDescent="0.75">
      <c r="A7" s="109">
        <v>1</v>
      </c>
      <c r="B7" s="111" t="s">
        <v>35</v>
      </c>
      <c r="C7" s="154" t="s">
        <v>1088</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1089</v>
      </c>
      <c r="C10" s="111" t="s">
        <v>1122</v>
      </c>
      <c r="D10" s="112" t="s">
        <v>813</v>
      </c>
      <c r="E10" s="111">
        <v>0</v>
      </c>
      <c r="F10" s="111" t="s">
        <v>20</v>
      </c>
      <c r="G10" s="111" t="s">
        <v>5</v>
      </c>
    </row>
    <row r="11" spans="1:9" s="109" customFormat="1" x14ac:dyDescent="0.75">
      <c r="A11" s="109">
        <v>5</v>
      </c>
      <c r="B11" s="112" t="s">
        <v>1090</v>
      </c>
      <c r="C11" s="111" t="s">
        <v>1092</v>
      </c>
      <c r="D11" s="112" t="s">
        <v>1095</v>
      </c>
      <c r="E11" s="111">
        <v>0</v>
      </c>
      <c r="F11" s="111">
        <v>1</v>
      </c>
      <c r="G11" s="111" t="s">
        <v>3</v>
      </c>
    </row>
    <row r="12" spans="1:9" x14ac:dyDescent="0.75">
      <c r="A12" s="109">
        <v>6</v>
      </c>
      <c r="B12" s="13" t="s">
        <v>1096</v>
      </c>
      <c r="C12" s="24" t="s">
        <v>1097</v>
      </c>
      <c r="D12" s="155" t="s">
        <v>1098</v>
      </c>
      <c r="E12" s="111">
        <v>0</v>
      </c>
      <c r="F12" s="111" t="s">
        <v>20</v>
      </c>
      <c r="G12" s="111" t="s">
        <v>1102</v>
      </c>
      <c r="H12" s="2"/>
      <c r="I12" s="25"/>
    </row>
    <row r="13" spans="1:9" s="25" customFormat="1" x14ac:dyDescent="0.75">
      <c r="A13" s="109">
        <v>7</v>
      </c>
      <c r="B13" s="112" t="s">
        <v>1091</v>
      </c>
      <c r="C13" s="111" t="s">
        <v>1094</v>
      </c>
      <c r="D13" s="111" t="s">
        <v>1099</v>
      </c>
      <c r="E13" s="111">
        <v>0</v>
      </c>
      <c r="F13" s="111">
        <v>1</v>
      </c>
      <c r="G13" s="111" t="s">
        <v>1093</v>
      </c>
      <c r="H13" s="21"/>
    </row>
    <row r="14" spans="1:9" s="109" customFormat="1" ht="29.5" x14ac:dyDescent="0.75">
      <c r="A14" s="109">
        <v>8</v>
      </c>
      <c r="B14" s="112" t="s">
        <v>1100</v>
      </c>
      <c r="C14" s="111" t="s">
        <v>1123</v>
      </c>
      <c r="D14" s="112" t="s">
        <v>816</v>
      </c>
      <c r="E14" s="111">
        <v>0</v>
      </c>
      <c r="F14" s="111">
        <v>1</v>
      </c>
      <c r="G14" s="113" t="s">
        <v>2</v>
      </c>
      <c r="H14" s="114"/>
    </row>
    <row r="15" spans="1:9" s="25" customFormat="1" x14ac:dyDescent="0.75">
      <c r="A15" s="109">
        <v>9</v>
      </c>
      <c r="B15" s="112" t="s">
        <v>1101</v>
      </c>
      <c r="C15" s="111" t="s">
        <v>1124</v>
      </c>
      <c r="D15" s="125" t="s">
        <v>819</v>
      </c>
      <c r="E15" s="111">
        <v>0</v>
      </c>
      <c r="F15" s="111">
        <v>1</v>
      </c>
      <c r="G15" s="111" t="s">
        <v>3</v>
      </c>
      <c r="H15" s="21"/>
    </row>
    <row r="16" spans="1:9" s="109" customFormat="1" x14ac:dyDescent="0.75">
      <c r="B16" s="112"/>
      <c r="C16" s="111"/>
      <c r="D16" s="112"/>
      <c r="E16" s="111"/>
      <c r="F16" s="111"/>
      <c r="G16" s="113"/>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15"/>
      <c r="C24" s="115"/>
      <c r="D24" s="108"/>
      <c r="E24" s="111"/>
      <c r="F24" s="111"/>
      <c r="G24" s="113"/>
      <c r="H24" s="114"/>
    </row>
    <row r="25" spans="1:8" s="109" customFormat="1" x14ac:dyDescent="0.75">
      <c r="B25" s="111"/>
      <c r="C25" s="111"/>
      <c r="D25" s="111"/>
      <c r="E25" s="111"/>
      <c r="F25" s="111"/>
      <c r="G25" s="113"/>
      <c r="H25" s="114"/>
    </row>
    <row r="26" spans="1:8" s="109" customFormat="1" x14ac:dyDescent="0.75">
      <c r="B26" s="111"/>
      <c r="C26" s="111"/>
      <c r="D26" s="112"/>
      <c r="E26" s="111"/>
      <c r="F26" s="111"/>
      <c r="G26" s="113"/>
      <c r="H26" s="114"/>
    </row>
    <row r="27" spans="1:8" s="109" customFormat="1" x14ac:dyDescent="0.75">
      <c r="B27" s="111"/>
      <c r="C27" s="112"/>
      <c r="D27" s="112"/>
      <c r="E27" s="111"/>
      <c r="F27" s="111"/>
      <c r="G27" s="113"/>
      <c r="H27" s="114"/>
    </row>
    <row r="28" spans="1:8" x14ac:dyDescent="0.75">
      <c r="A28" s="109"/>
      <c r="B28" s="111"/>
      <c r="C28" s="111"/>
      <c r="D28" s="111"/>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phoneticPr fontId="8" type="noConversion"/>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4" zoomScale="85" zoomScaleNormal="85" workbookViewId="0">
      <selection activeCell="B11" sqref="B11:J3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"MedicalSuggestion.prescribedMedication.name"</v>
      </c>
      <c r="C6" s="112" t="str">
        <f>CONCATENATE("* differential.element[",'Sug-1'!$A11,"].path = """,'Sug-1'!$B$6,".",'Sug-1'!B11,"""")</f>
        <v>* differential.element[5].path = "MedicalSuggestion.prescribedMedication.name"</v>
      </c>
      <c r="D6" s="112" t="str">
        <f>CONCATENATE("* differential.element[",'Sug-1'!A11,"].short = """,'Sug-1'!C11,"""")</f>
        <v>* differential.element[5].short = "Name "</v>
      </c>
      <c r="E6" s="112" t="str">
        <f>CONCATENATE("* differential.element[",'Sug-1'!A11,"].definition = """,'Sug-1'!D11,"""")</f>
        <v>* differential.element[5].definition = "Drug name"</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"MedicalSuggestion.prescribedMedication.dose"</v>
      </c>
      <c r="C7" s="112" t="str">
        <f>CONCATENATE("* differential.element[",'Sug-1'!$A12,"].path = """,'Sug-1'!$B$6,".",'Sug-1'!B12,"""")</f>
        <v>* differential.element[6].path = "MedicalSuggestion.prescribedMedication.dose"</v>
      </c>
      <c r="D7" s="112" t="str">
        <f>CONCATENATE("* differential.element[",'Sug-1'!A12,"].short = """,'Sug-1'!C12,"""")</f>
        <v>* differential.element[6].short = "Dose"</v>
      </c>
      <c r="E7" s="112" t="str">
        <f>CONCATENATE("* differential.element[",'Sug-1'!A12,"].definition = """,'Sug-1'!D12,"""")</f>
        <v>* differential.element[6].definition = "Drug dose. Quanity per administration"</v>
      </c>
      <c r="F7" s="112" t="str">
        <f>CONCATENATE("* differential.element[",'Sug-1'!A12,"].min = ",'Sug-1'!E12,"")</f>
        <v>* differential.element[6].min = 0</v>
      </c>
      <c r="G7" s="112" t="str">
        <f>CONCATENATE("* differential.element[",'Sug-1'!A12,"].max = """,'Sug-1'!F12,"""")</f>
        <v>* differential.element[6].max = "*"</v>
      </c>
      <c r="H7" s="112" t="str">
        <f>CONCATENATE("* differential.element[",'Sug-1'!A12,"].type.code = #",'Sug-1'!G12,"")</f>
        <v>* differential.element[6].type.code = #Quantity</v>
      </c>
      <c r="I7" s="9"/>
      <c r="J7" t="s">
        <v>15</v>
      </c>
    </row>
    <row r="8" spans="2:10" ht="59" x14ac:dyDescent="0.75">
      <c r="B8" s="112" t="str">
        <f>CONCATENATE("* differential.element[",'Sug-1'!$A13,"].id = """,'Sug-1'!$B$6,".",'Sug-1'!B13,"""")</f>
        <v>* differential.element[7].id = "MedicalSuggestion.prescribedMedication.schedule"</v>
      </c>
      <c r="C8" s="112" t="str">
        <f>CONCATENATE("* differential.element[",'Sug-1'!$A13,"].path = """,'Sug-1'!$B$6,".",'Sug-1'!B13,"""")</f>
        <v>* differential.element[7].path = "MedicalSuggestion.prescribedMedication.schedule"</v>
      </c>
      <c r="D8" s="112" t="str">
        <f>CONCATENATE("* differential.element[",'Sug-1'!A13,"].short = """,'Sug-1'!C13,"""")</f>
        <v>* differential.element[7].short = "Schedule"</v>
      </c>
      <c r="E8" s="112" t="str">
        <f>CONCATENATE("* differential.element[",'Sug-1'!A13,"].definition = """,'Sug-1'!D13,"""")</f>
        <v>* differential.element[7].definition = "Drug Schedule. When it should be administered"</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#Dosage</v>
      </c>
      <c r="I8" s="9"/>
      <c r="J8" t="s">
        <v>16</v>
      </c>
    </row>
    <row r="9" spans="2:10" ht="59" x14ac:dyDescent="0.75">
      <c r="B9" s="112" t="str">
        <f>CONCATENATE("* differential.element[",'Sug-1'!$A14,"].id = """,'Sug-1'!$B$6,".",'Sug-1'!B14,"""")</f>
        <v>* differential.element[8].id = "MedicalSuggestion.prescribedMedication.date"</v>
      </c>
      <c r="C9" s="112" t="str">
        <f>CONCATENATE("* differential.element[",'Sug-1'!$A14,"].path = """,'Sug-1'!$B$6,".",'Sug-1'!B14,"""")</f>
        <v>* differential.element[8].path = "MedicalSuggestion.prescribedMedication.date"</v>
      </c>
      <c r="D9" s="112" t="str">
        <f>CONCATENATE("* differential.element[",'Sug-1'!A14,"].short = """,'Sug-1'!C14,"""")</f>
        <v>* differential.element[8].short = "Date of prescription"</v>
      </c>
      <c r="E9" s="112" t="str">
        <f>CONCATENATE("* differential.element[",'Sug-1'!A14,"].definition = """,'Sug-1'!D14,"""")</f>
        <v>* differential.element[8].definition = "Date (DD/MM/YYYY) in which the specific prescription was first given. If the date is unkown or partially missed insert the year at the best of your knowledge."</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#dateTime</v>
      </c>
      <c r="I9" s="9"/>
    </row>
    <row r="10" spans="2:10" ht="44.25" x14ac:dyDescent="0.75">
      <c r="B10" s="112" t="str">
        <f>CONCATENATE("* differential.element[",'Sug-1'!$A15,"].id = """,'Sug-1'!$B$6,".",'Sug-1'!B15,"""")</f>
        <v>* differential.element[9].id = "MedicalSuggestion.notes"</v>
      </c>
      <c r="C10" s="112" t="str">
        <f>CONCATENATE("* differential.element[",'Sug-1'!$A15,"].path = """,'Sug-1'!$B$6,".",'Sug-1'!B15,"""")</f>
        <v>* differential.element[9].path = "MedicalSuggestion.notes"</v>
      </c>
      <c r="D10" s="112" t="str">
        <f>CONCATENATE("* differential.element[",'Sug-1'!A15,"].short = """,'Sug-1'!C15,"""")</f>
        <v>* differential.element[9].short = "Comments and suggestions"</v>
      </c>
      <c r="E10" s="112" t="str">
        <f>CONCATENATE("* differential.element[",'Sug-1'!A15,"].definition = """,'Sug-1'!D15,"""")</f>
        <v>* differential.element[9].definition = "This is a free text section for any further comment or recommendation"</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#string</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61" workbookViewId="0">
      <selection activeCell="D98" sqref="D98:E11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"MedicalSuggestion.prescribedMedication.name"</v>
      </c>
    </row>
    <row r="64" spans="1:4" x14ac:dyDescent="0.75">
      <c r="A64" s="26">
        <v>30</v>
      </c>
      <c r="B64" s="26">
        <f t="shared" si="2"/>
        <v>4</v>
      </c>
      <c r="C64" s="26">
        <f t="shared" si="3"/>
        <v>2</v>
      </c>
      <c r="D64" s="112" t="str" cm="1">
        <f t="array" ref="D64">INDEX('Sug-2'!$B$2:$H$88,1+B64,C64)</f>
        <v>* differential.element[5].path = "MedicalSuggestion.prescribedMedication.name"</v>
      </c>
    </row>
    <row r="65" spans="1:4" x14ac:dyDescent="0.75">
      <c r="A65" s="26">
        <v>31</v>
      </c>
      <c r="B65" s="26">
        <f t="shared" si="2"/>
        <v>4</v>
      </c>
      <c r="C65" s="26">
        <f t="shared" si="3"/>
        <v>3</v>
      </c>
      <c r="D65" s="112" t="str" cm="1">
        <f t="array" ref="D65">INDEX('Sug-2'!$B$2:$H$88,1+B65,C65)</f>
        <v>* differential.element[5].short = "Name "</v>
      </c>
    </row>
    <row r="66" spans="1:4" x14ac:dyDescent="0.75">
      <c r="A66" s="26">
        <v>32</v>
      </c>
      <c r="B66" s="26">
        <f t="shared" si="2"/>
        <v>4</v>
      </c>
      <c r="C66" s="26">
        <f t="shared" si="3"/>
        <v>4</v>
      </c>
      <c r="D66" s="112" t="str" cm="1">
        <f t="array" ref="D66">INDEX('Sug-2'!$B$2:$H$88,1+B66,C66)</f>
        <v>* differential.element[5].definition = "Drug name"</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"MedicalSuggestion.prescribedMedication.dose"</v>
      </c>
    </row>
    <row r="71" spans="1:4" x14ac:dyDescent="0.75">
      <c r="A71" s="26">
        <v>37</v>
      </c>
      <c r="B71" s="26">
        <f t="shared" si="2"/>
        <v>5</v>
      </c>
      <c r="C71" s="26">
        <f t="shared" si="3"/>
        <v>2</v>
      </c>
      <c r="D71" s="112" t="str" cm="1">
        <f t="array" ref="D71">INDEX('Sug-2'!$B$2:$H$88,1+B71,C71)</f>
        <v>* differential.element[6].path = "MedicalSuggestion.prescribedMedication.dose"</v>
      </c>
    </row>
    <row r="72" spans="1:4" x14ac:dyDescent="0.75">
      <c r="A72" s="26">
        <v>38</v>
      </c>
      <c r="B72" s="26">
        <f t="shared" si="2"/>
        <v>5</v>
      </c>
      <c r="C72" s="26">
        <f t="shared" si="3"/>
        <v>3</v>
      </c>
      <c r="D72" s="112" t="str" cm="1">
        <f t="array" ref="D72">INDEX('Sug-2'!$B$2:$H$88,1+B72,C72)</f>
        <v>* differential.element[6].short = "Dose"</v>
      </c>
    </row>
    <row r="73" spans="1:4" x14ac:dyDescent="0.75">
      <c r="A73" s="26">
        <v>39</v>
      </c>
      <c r="B73" s="26">
        <f t="shared" si="2"/>
        <v>5</v>
      </c>
      <c r="C73" s="26">
        <f t="shared" si="3"/>
        <v>4</v>
      </c>
      <c r="D73" s="112" t="str" cm="1">
        <f t="array" ref="D73">INDEX('Sug-2'!$B$2:$H$88,1+B73,C73)</f>
        <v>* differential.element[6].definition = "Drug dose. Quanity per administration"</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v>
      </c>
    </row>
    <row r="76" spans="1:4" x14ac:dyDescent="0.75">
      <c r="A76" s="26">
        <v>42</v>
      </c>
      <c r="B76" s="26">
        <f t="shared" si="2"/>
        <v>5</v>
      </c>
      <c r="C76" s="26">
        <f t="shared" si="3"/>
        <v>7</v>
      </c>
      <c r="D76" s="112" t="str" cm="1">
        <f t="array" ref="D76">INDEX('Sug-2'!$B$2:$H$88,1+B76,C76)</f>
        <v>* differential.element[6].type.code = #Quantity</v>
      </c>
    </row>
    <row r="77" spans="1:4" x14ac:dyDescent="0.75">
      <c r="A77" s="26">
        <v>43</v>
      </c>
      <c r="B77" s="26">
        <f t="shared" si="2"/>
        <v>6</v>
      </c>
      <c r="C77" s="26">
        <f t="shared" si="3"/>
        <v>1</v>
      </c>
      <c r="D77" s="112" t="str" cm="1">
        <f t="array" ref="D77">INDEX('Sug-2'!$B$2:$H$88,1+B77,C77)</f>
        <v>* differential.element[7].id = "MedicalSuggestion.prescribedMedication.schedule"</v>
      </c>
    </row>
    <row r="78" spans="1:4" x14ac:dyDescent="0.75">
      <c r="A78" s="26">
        <v>44</v>
      </c>
      <c r="B78" s="26">
        <f t="shared" si="2"/>
        <v>6</v>
      </c>
      <c r="C78" s="26">
        <f t="shared" si="3"/>
        <v>2</v>
      </c>
      <c r="D78" s="112" t="str" cm="1">
        <f t="array" ref="D78">INDEX('Sug-2'!$B$2:$H$88,1+B78,C78)</f>
        <v>* differential.element[7].path = "MedicalSuggestion.prescribedMedication.schedule"</v>
      </c>
    </row>
    <row r="79" spans="1:4" x14ac:dyDescent="0.75">
      <c r="A79" s="26">
        <v>45</v>
      </c>
      <c r="B79" s="26">
        <f t="shared" si="2"/>
        <v>6</v>
      </c>
      <c r="C79" s="26">
        <f t="shared" si="3"/>
        <v>3</v>
      </c>
      <c r="D79" s="112" t="str" cm="1">
        <f t="array" ref="D79">INDEX('Sug-2'!$B$2:$H$88,1+B79,C79)</f>
        <v>* differential.element[7].short = "Schedule"</v>
      </c>
    </row>
    <row r="80" spans="1:4" x14ac:dyDescent="0.75">
      <c r="A80" s="26">
        <v>46</v>
      </c>
      <c r="B80" s="26">
        <f t="shared" si="2"/>
        <v>6</v>
      </c>
      <c r="C80" s="26">
        <f t="shared" si="3"/>
        <v>4</v>
      </c>
      <c r="D80" s="112" t="str" cm="1">
        <f t="array" ref="D80">INDEX('Sug-2'!$B$2:$H$88,1+B80,C80)</f>
        <v>* differential.element[7].definition = "Drug Schedule. When it should be administered"</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#Dosage</v>
      </c>
    </row>
    <row r="84" spans="1:7" x14ac:dyDescent="0.75">
      <c r="A84" s="26">
        <v>50</v>
      </c>
      <c r="B84" s="26">
        <f t="shared" si="2"/>
        <v>7</v>
      </c>
      <c r="C84" s="26">
        <f t="shared" si="3"/>
        <v>1</v>
      </c>
      <c r="D84" s="112" t="str" cm="1">
        <f t="array" ref="D84">INDEX('Sug-2'!$B$2:$H$88,1+B84,C84)</f>
        <v>* differential.element[8].id = "MedicalSuggestion.prescribedMedication.date"</v>
      </c>
    </row>
    <row r="85" spans="1:7" x14ac:dyDescent="0.75">
      <c r="A85" s="26">
        <v>51</v>
      </c>
      <c r="B85" s="26">
        <f t="shared" si="2"/>
        <v>7</v>
      </c>
      <c r="C85" s="26">
        <f t="shared" si="3"/>
        <v>2</v>
      </c>
      <c r="D85" s="112" t="str" cm="1">
        <f t="array" ref="D85">INDEX('Sug-2'!$B$2:$H$88,1+B85,C85)</f>
        <v>* differential.element[8].path = "MedicalSuggestion.prescribedMedication.date"</v>
      </c>
    </row>
    <row r="86" spans="1:7" x14ac:dyDescent="0.75">
      <c r="A86" s="26">
        <v>52</v>
      </c>
      <c r="B86" s="26">
        <f t="shared" si="2"/>
        <v>7</v>
      </c>
      <c r="C86" s="26">
        <f t="shared" si="3"/>
        <v>3</v>
      </c>
      <c r="D86" s="112" t="str" cm="1">
        <f t="array" ref="D86">INDEX('Sug-2'!$B$2:$H$88,1+B86,C86)</f>
        <v>* differential.element[8].short = "Date of prescription"</v>
      </c>
    </row>
    <row r="87" spans="1:7" x14ac:dyDescent="0.75">
      <c r="A87" s="26">
        <v>53</v>
      </c>
      <c r="B87" s="26">
        <f t="shared" si="2"/>
        <v>7</v>
      </c>
      <c r="C87" s="26">
        <f t="shared" si="3"/>
        <v>4</v>
      </c>
      <c r="D87" s="112" t="str" cm="1">
        <f t="array" ref="D87">INDEX('Sug-2'!$B$2:$H$88,1+B87,C87)</f>
        <v>* differential.element[8].definition = "Date (DD/MM/YYYY) in which the specific prescription was first given. If the date is unkown or partially missed insert the year at the best of your knowledge."</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#dateTime</v>
      </c>
    </row>
    <row r="91" spans="1:7" x14ac:dyDescent="0.75">
      <c r="A91" s="26">
        <v>57</v>
      </c>
      <c r="B91" s="26">
        <f t="shared" si="2"/>
        <v>8</v>
      </c>
      <c r="C91" s="26">
        <f t="shared" si="3"/>
        <v>1</v>
      </c>
      <c r="D91" s="112" t="str" cm="1">
        <f t="array" ref="D91">INDEX('Sug-2'!$B$2:$H$88,1+B91,C91)</f>
        <v>* differential.element[9].id = "MedicalSuggestion.notes"</v>
      </c>
    </row>
    <row r="92" spans="1:7" x14ac:dyDescent="0.75">
      <c r="A92" s="26">
        <v>58</v>
      </c>
      <c r="B92" s="26">
        <f t="shared" si="2"/>
        <v>8</v>
      </c>
      <c r="C92" s="26">
        <f t="shared" si="3"/>
        <v>2</v>
      </c>
      <c r="D92" s="112" t="str" cm="1">
        <f t="array" ref="D92">INDEX('Sug-2'!$B$2:$H$88,1+B92,C92)</f>
        <v>* differential.element[9].path = "MedicalSuggestion.notes"</v>
      </c>
    </row>
    <row r="93" spans="1:7" x14ac:dyDescent="0.75">
      <c r="A93" s="26">
        <v>59</v>
      </c>
      <c r="B93" s="26">
        <f t="shared" si="2"/>
        <v>8</v>
      </c>
      <c r="C93" s="26">
        <f t="shared" si="3"/>
        <v>3</v>
      </c>
      <c r="D93" s="112" t="str" cm="1">
        <f t="array" ref="D93">INDEX('Sug-2'!$B$2:$H$88,1+B93,C93)</f>
        <v>* differential.element[9].short = "Comments and suggestions"</v>
      </c>
    </row>
    <row r="94" spans="1:7" x14ac:dyDescent="0.75">
      <c r="A94" s="26">
        <v>60</v>
      </c>
      <c r="B94" s="26">
        <f t="shared" si="2"/>
        <v>8</v>
      </c>
      <c r="C94" s="26">
        <f t="shared" si="3"/>
        <v>4</v>
      </c>
      <c r="D94" s="112" t="str" cm="1">
        <f t="array" ref="D94">INDEX('Sug-2'!$B$2:$H$88,1+B94,C94)</f>
        <v>* differential.element[9].definition = "This is a free text section for any further comment or recommendation"</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#string</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topLeftCell="A23"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si="0"/>
        <v>1</v>
      </c>
      <c r="I9" s="110" t="str">
        <f t="shared" si="1"/>
        <v>* differential.element[2].mapping[0].identity = "fhir"</v>
      </c>
      <c r="J9" s="110" t="str">
        <f t="shared" si="2"/>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0"/>
        <v>1</v>
      </c>
      <c r="I10" s="110" t="str">
        <f t="shared" si="1"/>
        <v>* differential.element[3].mapping[0].identity = "fhir"</v>
      </c>
      <c r="J10" s="110" t="str">
        <f t="shared" si="2"/>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0"/>
        <v>1</v>
      </c>
      <c r="I11" s="110" t="str">
        <f t="shared" si="1"/>
        <v>* differential.element[4].mapping[0].identity = "fhir"</v>
      </c>
      <c r="J11" s="110" t="str">
        <f t="shared" si="2"/>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0"/>
        <v>1</v>
      </c>
      <c r="I12" s="110" t="str">
        <f t="shared" si="1"/>
        <v>* differential.element[5].mapping[0].identity = "fhir"</v>
      </c>
      <c r="J12" s="110" t="str">
        <f t="shared" si="2"/>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0"/>
        <v>1</v>
      </c>
      <c r="I13" s="110" t="str">
        <f t="shared" si="1"/>
        <v>* differential.element[6].mapping[0].identity = "fhir"</v>
      </c>
      <c r="J13" s="110" t="str">
        <f t="shared" si="2"/>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0"/>
        <v>1</v>
      </c>
      <c r="I14" s="110" t="str">
        <f t="shared" si="1"/>
        <v>* differential.element[7].mapping[0].identity = "fhir"</v>
      </c>
      <c r="J14" s="110" t="str">
        <f t="shared" si="2"/>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0"/>
        <v>0</v>
      </c>
      <c r="I15" s="110" t="str">
        <f t="shared" si="1"/>
        <v/>
      </c>
      <c r="J15" s="110" t="str">
        <f t="shared" si="2"/>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0"/>
        <v>1</v>
      </c>
      <c r="I16" s="110" t="str">
        <f t="shared" si="1"/>
        <v>* differential.element[9].mapping[0].identity = "fhir"</v>
      </c>
      <c r="J16" s="110" t="str">
        <f t="shared" si="2"/>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0"/>
        <v>1</v>
      </c>
      <c r="I17" s="110" t="str">
        <f t="shared" si="1"/>
        <v>* differential.element[10].mapping[0].identity = "fhir"</v>
      </c>
      <c r="J17" s="110" t="str">
        <f t="shared" si="2"/>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0"/>
        <v>1</v>
      </c>
      <c r="I18" s="110" t="str">
        <f t="shared" si="1"/>
        <v>* differential.element[11].mapping[0].identity = "fhir"</v>
      </c>
      <c r="J18" s="110" t="str">
        <f t="shared" si="2"/>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0"/>
        <v>1</v>
      </c>
      <c r="I19" s="110" t="str">
        <f t="shared" si="1"/>
        <v>* differential.element[12].mapping[0].identity = "fhir"</v>
      </c>
      <c r="J19" s="110" t="str">
        <f t="shared" si="2"/>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0"/>
        <v>1</v>
      </c>
      <c r="I20" s="110" t="str">
        <f t="shared" si="1"/>
        <v>* differential.element[12].mapping[1].identity = "fhir"</v>
      </c>
      <c r="J20" s="110" t="str">
        <f t="shared" si="2"/>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0"/>
        <v>1</v>
      </c>
      <c r="I21" s="110" t="str">
        <f t="shared" si="1"/>
        <v>* differential.element[13].mapping[0].identity = "fhir"</v>
      </c>
      <c r="J21" s="110" t="str">
        <f t="shared" si="2"/>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0"/>
        <v>1</v>
      </c>
      <c r="I22" s="110" t="str">
        <f t="shared" si="1"/>
        <v>* differential.element[13].mapping[1].identity = "fhir"</v>
      </c>
      <c r="J22" s="110" t="str">
        <f t="shared" si="2"/>
        <v>* differential.element[13].mapping[1].map = ".code"</v>
      </c>
      <c r="K22" s="110" t="str">
        <f t="shared" si="3"/>
        <v/>
      </c>
    </row>
    <row r="23" spans="1:14" ht="88.5" x14ac:dyDescent="0.75">
      <c r="A23" s="111">
        <v>0</v>
      </c>
      <c r="B23" s="111">
        <f>'Surg-1'!A20</f>
        <v>14</v>
      </c>
      <c r="C23" s="111" t="str">
        <f>'Surg-1'!B20</f>
        <v>shuntApplication</v>
      </c>
      <c r="D23" s="138" t="s">
        <v>1031</v>
      </c>
      <c r="H23" s="109" t="b">
        <f t="shared" si="0"/>
        <v>1</v>
      </c>
      <c r="I23" s="110" t="str">
        <f t="shared" si="1"/>
        <v>* differential.element[14].mapping[0].identity = "fhir"</v>
      </c>
      <c r="J23" s="110" t="str">
        <f t="shared" si="2"/>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0"/>
        <v>1</v>
      </c>
      <c r="I24" s="110" t="str">
        <f t="shared" si="1"/>
        <v>* differential.element[15].mapping[0].identity = "fhir"</v>
      </c>
      <c r="J24" s="110" t="str">
        <f t="shared" si="2"/>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0"/>
        <v>1</v>
      </c>
      <c r="I25" s="110" t="str">
        <f t="shared" si="1"/>
        <v>* differential.element[16].mapping[0].identity = "fhir"</v>
      </c>
      <c r="J25" s="110" t="str">
        <f t="shared" si="2"/>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0"/>
        <v>1</v>
      </c>
      <c r="I26" s="110" t="str">
        <f t="shared" si="1"/>
        <v>* differential.element[17].mapping[0].identity = "fhir"</v>
      </c>
      <c r="J26" s="110" t="str">
        <f t="shared" si="2"/>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0"/>
        <v>1</v>
      </c>
      <c r="I27" s="110" t="str">
        <f t="shared" si="1"/>
        <v>* differential.element[18].mapping[0].identity = "fhir"</v>
      </c>
      <c r="J27" s="110" t="str">
        <f t="shared" si="2"/>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0"/>
        <v>1</v>
      </c>
      <c r="I28" s="110" t="str">
        <f t="shared" si="1"/>
        <v>* differential.element[19].mapping[0].identity = "fhir"</v>
      </c>
      <c r="J28" s="110" t="str">
        <f t="shared" si="2"/>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0"/>
        <v>1</v>
      </c>
      <c r="I29" s="110" t="str">
        <f t="shared" si="1"/>
        <v>* differential.element[20].mapping[0].identity = "fhir"</v>
      </c>
      <c r="J29" s="110" t="str">
        <f t="shared" si="2"/>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0"/>
        <v>1</v>
      </c>
      <c r="I30" s="110" t="str">
        <f t="shared" si="1"/>
        <v>* differential.element[21].mapping[0].identity = "fhir"</v>
      </c>
      <c r="J30" s="110" t="str">
        <f t="shared" si="2"/>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0"/>
        <v>1</v>
      </c>
      <c r="I31" s="110" t="str">
        <f t="shared" si="1"/>
        <v>* differential.element[22].mapping[0].identity = "fhir"</v>
      </c>
      <c r="J31" s="110" t="str">
        <f t="shared" si="2"/>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0"/>
        <v>1</v>
      </c>
      <c r="I32" s="110" t="str">
        <f t="shared" si="1"/>
        <v>* differential.element[23].mapping[0].identity = "fhir"</v>
      </c>
      <c r="J32" s="110" t="str">
        <f t="shared" si="2"/>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0"/>
        <v>1</v>
      </c>
      <c r="I33" s="110" t="str">
        <f t="shared" si="1"/>
        <v>* differential.element[24].mapping[0].identity = "fhir"</v>
      </c>
      <c r="J33" s="110" t="str">
        <f t="shared" si="2"/>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0"/>
        <v>1</v>
      </c>
      <c r="I34" s="110" t="str">
        <f t="shared" si="1"/>
        <v>* differential.element[25].mapping[0].identity = "fhir"</v>
      </c>
      <c r="J34" s="110" t="str">
        <f t="shared" si="2"/>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".reasonReference"</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".reasonReference"</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".identifier"</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"Location.description"</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"Location.name"</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"Location.address.city"</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c>
    </row>
    <row r="28" spans="1:4" x14ac:dyDescent="0.75">
      <c r="A28" s="111">
        <v>26</v>
      </c>
      <c r="B28" s="111">
        <f t="shared" si="0"/>
        <v>8</v>
      </c>
      <c r="C28" s="111">
        <f t="shared" si="1"/>
        <v>2</v>
      </c>
      <c r="D28" s="109" t="str" cm="1">
        <f t="array" ref="D28">INDEX('Sug-Map-1'!$I$7:$K$102,1+B28,C28)</f>
        <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"Location.address.country"</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differential.element[10].mapping[0].identity = "fhir"</v>
      </c>
    </row>
    <row r="34" spans="1:4" x14ac:dyDescent="0.75">
      <c r="A34" s="111">
        <v>32</v>
      </c>
      <c r="B34" s="111">
        <f t="shared" si="0"/>
        <v>10</v>
      </c>
      <c r="C34" s="111">
        <f t="shared" si="1"/>
        <v>2</v>
      </c>
      <c r="D34" s="109" t="str" cm="1">
        <f t="array" ref="D34">INDEX('Sug-Map-1'!$I$7:$K$102,1+B34,C34)</f>
        <v>* differential.element[10].mapping[0].map = "Procedure.performedDateTime	"</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differential.element[11].mapping[0].identity = "fhir"</v>
      </c>
    </row>
    <row r="37" spans="1:4" x14ac:dyDescent="0.75">
      <c r="A37" s="111">
        <v>35</v>
      </c>
      <c r="B37" s="111">
        <f t="shared" si="0"/>
        <v>11</v>
      </c>
      <c r="C37" s="111">
        <f t="shared" si="1"/>
        <v>2</v>
      </c>
      <c r="D37" s="109" t="str" cm="1">
        <f t="array" ref="D37">INDEX('Sug-Map-1'!$I$7:$K$102,1+B37,C37)</f>
        <v>* differential.element[11].mapping[0].map = ".text"</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differential.element[12].mapping[0].identity = "fhir"</v>
      </c>
    </row>
    <row r="40" spans="1:4" x14ac:dyDescent="0.75">
      <c r="A40" s="111">
        <v>38</v>
      </c>
      <c r="B40" s="111">
        <f t="shared" si="0"/>
        <v>12</v>
      </c>
      <c r="C40" s="111">
        <f t="shared" si="1"/>
        <v>2</v>
      </c>
      <c r="D40" s="109" t="str" cm="1">
        <f t="array" ref="D40">INDEX('Sug-Map-1'!$I$7:$K$102,1+B40,C40)</f>
        <v>* differential.element[12].mapping[0].map = ".bodySite"</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differential.element[12].mapping[1].identity = "fhir"</v>
      </c>
    </row>
    <row r="43" spans="1:4" x14ac:dyDescent="0.75">
      <c r="A43" s="111">
        <v>41</v>
      </c>
      <c r="B43" s="111">
        <f t="shared" si="0"/>
        <v>13</v>
      </c>
      <c r="C43" s="111">
        <f t="shared" si="1"/>
        <v>2</v>
      </c>
      <c r="D43" s="109" t="str" cm="1">
        <f t="array" ref="D43">INDEX('Sug-Map-1'!$I$7:$K$102,1+B43,C43)</f>
        <v>* differential.element[12].mapping[1].map = ".code"</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differential.element[13].mapping[0].identity = "fhir"</v>
      </c>
    </row>
    <row r="46" spans="1:4" x14ac:dyDescent="0.75">
      <c r="A46" s="111">
        <v>44</v>
      </c>
      <c r="B46" s="111">
        <f t="shared" si="0"/>
        <v>14</v>
      </c>
      <c r="C46" s="111">
        <f t="shared" si="1"/>
        <v>2</v>
      </c>
      <c r="D46" s="109" t="str" cm="1">
        <f t="array" ref="D46">INDEX('Sug-Map-1'!$I$7:$K$102,1+B46,C46)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differential.element[13].mapping[1].identity = "fhir"</v>
      </c>
    </row>
    <row r="49" spans="1:7" x14ac:dyDescent="0.75">
      <c r="A49" s="111">
        <v>47</v>
      </c>
      <c r="B49" s="111">
        <f t="shared" si="0"/>
        <v>15</v>
      </c>
      <c r="C49" s="111">
        <f t="shared" si="1"/>
        <v>2</v>
      </c>
      <c r="D49" s="109" t="str" cm="1">
        <f t="array" ref="D49">INDEX('Sug-Map-1'!$I$7:$K$102,1+B49,C49)</f>
        <v>* differential.element[13].mapping[1].map = ".code"</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differential.element[14].mapping[0].identity = "fhir"</v>
      </c>
    </row>
    <row r="52" spans="1:7" x14ac:dyDescent="0.75">
      <c r="A52" s="111">
        <v>50</v>
      </c>
      <c r="B52" s="111">
        <f t="shared" si="0"/>
        <v>16</v>
      </c>
      <c r="C52" s="111">
        <f t="shared" si="1"/>
        <v>2</v>
      </c>
      <c r="D52" s="109" t="str" cm="1">
        <f t="array" ref="D52">INDEX('Sug-Map-1'!$I$7:$K$102,1+B52,C52)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differential.element[15].mapping[0].identity = "fhir"</v>
      </c>
    </row>
    <row r="55" spans="1:7" x14ac:dyDescent="0.75">
      <c r="A55" s="111">
        <v>53</v>
      </c>
      <c r="B55" s="111">
        <f t="shared" si="0"/>
        <v>17</v>
      </c>
      <c r="C55" s="111">
        <f t="shared" si="1"/>
        <v>2</v>
      </c>
      <c r="D55" s="109" t="str" cm="1">
        <f t="array" ref="D55">INDEX('Sug-Map-1'!$I$7:$K$102,1+B55,C55)</f>
        <v>* differential.element[15].mapping[0].map = ".code"</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differential.element[16].mapping[0].identity = "fhir"</v>
      </c>
    </row>
    <row r="58" spans="1:7" x14ac:dyDescent="0.75">
      <c r="A58" s="111">
        <v>56</v>
      </c>
      <c r="B58" s="111">
        <f t="shared" si="0"/>
        <v>18</v>
      </c>
      <c r="C58" s="111">
        <f t="shared" si="1"/>
        <v>2</v>
      </c>
      <c r="D58" s="109" t="str" cm="1">
        <f t="array" ref="D58">INDEX('Sug-Map-1'!$I$7:$K$102,1+B58,C58)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differential.element[17].mapping[0].identity = "fhir"</v>
      </c>
    </row>
    <row r="61" spans="1:7" x14ac:dyDescent="0.75">
      <c r="A61" s="111">
        <v>59</v>
      </c>
      <c r="B61" s="111">
        <f t="shared" si="0"/>
        <v>19</v>
      </c>
      <c r="C61" s="111">
        <f t="shared" si="1"/>
        <v>2</v>
      </c>
      <c r="D61" s="109" t="str" cm="1">
        <f t="array" ref="D61">INDEX('Sug-Map-1'!$I$7:$K$102,1+B61,C61)</f>
        <v>* differential.element[17].mapping[0].map = ".focalDevice.action"</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differential.element[18].mapping[0].identity = "fhir"</v>
      </c>
    </row>
    <row r="64" spans="1:7" x14ac:dyDescent="0.75">
      <c r="A64" s="111">
        <v>62</v>
      </c>
      <c r="B64" s="111">
        <f t="shared" si="0"/>
        <v>20</v>
      </c>
      <c r="C64" s="111">
        <f t="shared" si="1"/>
        <v>2</v>
      </c>
      <c r="D64" s="109" t="str" cm="1">
        <f t="array" ref="D64">INDEX('Sug-Map-1'!$I$7:$K$102,1+B64,C64)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differential.element[19].mapping[0].identity = "fhir"</v>
      </c>
    </row>
    <row r="67" spans="1:4" x14ac:dyDescent="0.75">
      <c r="A67" s="111">
        <v>65</v>
      </c>
      <c r="B67" s="111">
        <f t="shared" si="0"/>
        <v>21</v>
      </c>
      <c r="C67" s="111">
        <f t="shared" si="1"/>
        <v>2</v>
      </c>
      <c r="D67" s="109" t="str" cm="1">
        <f t="array" ref="D67">INDEX('Sug-Map-1'!$I$7:$K$102,1+B67,C67)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differential.element[20].mapping[0].identity = "fhir"</v>
      </c>
    </row>
    <row r="70" spans="1:4" x14ac:dyDescent="0.75">
      <c r="A70" s="111">
        <v>68</v>
      </c>
      <c r="B70" s="111">
        <f t="shared" si="2"/>
        <v>22</v>
      </c>
      <c r="C70" s="111">
        <f t="shared" si="3"/>
        <v>2</v>
      </c>
      <c r="D70" s="109" t="str" cm="1">
        <f t="array" ref="D70">INDEX('Sug-Map-1'!$I$7:$K$102,1+B70,C70)</f>
        <v>* differential.element[20].mapping[0].map = ".exists()"</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differential.element[21].mapping[0].identity = "fhir"</v>
      </c>
    </row>
    <row r="73" spans="1:4" x14ac:dyDescent="0.75">
      <c r="A73" s="111">
        <v>71</v>
      </c>
      <c r="B73" s="111">
        <f t="shared" si="2"/>
        <v>23</v>
      </c>
      <c r="C73" s="111">
        <f t="shared" si="3"/>
        <v>2</v>
      </c>
      <c r="D73" s="109" t="str" cm="1">
        <f t="array" ref="D73">INDEX('Sug-Map-1'!$I$7:$K$102,1+B73,C73)</f>
        <v>* differential.element[21].mapping[0].map = "usedCode"</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differential.element[22].mapping[0].identity = "fhir"</v>
      </c>
    </row>
    <row r="76" spans="1:4" x14ac:dyDescent="0.75">
      <c r="A76" s="111">
        <v>74</v>
      </c>
      <c r="B76" s="111">
        <f t="shared" si="2"/>
        <v>24</v>
      </c>
      <c r="C76" s="111">
        <f t="shared" si="3"/>
        <v>2</v>
      </c>
      <c r="D76" s="109" t="str" cm="1">
        <f t="array" ref="D76">INDEX('Sug-Map-1'!$I$7:$K$102,1+B76,C76)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differential.element[23].mapping[0].identity = "fhir"</v>
      </c>
    </row>
    <row r="79" spans="1:4" x14ac:dyDescent="0.75">
      <c r="A79" s="111">
        <v>77</v>
      </c>
      <c r="B79" s="111">
        <f t="shared" si="2"/>
        <v>25</v>
      </c>
      <c r="C79" s="111">
        <f t="shared" si="3"/>
        <v>2</v>
      </c>
      <c r="D79" s="109" t="str" cm="1">
        <f t="array" ref="D79">INDEX('Sug-Map-1'!$I$7:$K$102,1+B79,C79)</f>
        <v>* differential.element[23].mapping[0].map = ".exists()"</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differential.element[24].mapping[0].identity = "fhir"</v>
      </c>
    </row>
    <row r="82" spans="1:4" x14ac:dyDescent="0.75">
      <c r="A82" s="111">
        <v>80</v>
      </c>
      <c r="B82" s="111">
        <f t="shared" si="2"/>
        <v>26</v>
      </c>
      <c r="C82" s="111">
        <f t="shared" si="3"/>
        <v>2</v>
      </c>
      <c r="D82" s="109" t="str" cm="1">
        <f t="array" ref="D82">INDEX('Sug-Map-1'!$I$7:$K$102,1+B82,C82)</f>
        <v>* differential.element[24].mapping[0].map = ".focalDevice.action"</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differential.element[25].mapping[0].identity = "fhir"</v>
      </c>
    </row>
    <row r="85" spans="1:4" x14ac:dyDescent="0.75">
      <c r="A85" s="111">
        <v>83</v>
      </c>
      <c r="B85" s="111">
        <f t="shared" si="2"/>
        <v>27</v>
      </c>
      <c r="C85" s="111">
        <f t="shared" si="3"/>
        <v>2</v>
      </c>
      <c r="D85" s="109" t="str" cm="1">
        <f t="array" ref="D85">INDEX('Sug-Map-1'!$I$7:$K$102,1+B85,C85)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"Procedure.conformsTo('http://hl7.eu/fhir/ig/pcsp/StructureDefinition/Procedure-surgery-eu-pcsp')"</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".reasonReference"</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".reasonReference"</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".identifier"</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".extension(http://hl7.eu/fhir/ig/pcsp/StructureDefinition/ActLocation-eu-pcsp).conformsTo(http://hl7.eu/fhir/ig/pcsp/StructureDefinition/Location-eu-pcsp)"</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"Location.description"</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"Location.name"</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"Location.address.city"</v>
      </c>
    </row>
    <row r="26" spans="4:4" x14ac:dyDescent="0.75">
      <c r="D26" s="111" t="str">
        <f>'Sug-Map-2'!D26</f>
        <v/>
      </c>
    </row>
    <row r="27" spans="4:4" x14ac:dyDescent="0.75">
      <c r="D27" s="111" t="str">
        <f>'Sug-Map-2'!D27</f>
        <v/>
      </c>
    </row>
    <row r="28" spans="4:4" x14ac:dyDescent="0.75">
      <c r="D28" s="111" t="str">
        <f>'Sug-Map-2'!D28</f>
        <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"Location.address.country"</v>
      </c>
    </row>
    <row r="32" spans="4:4" x14ac:dyDescent="0.75">
      <c r="D32" s="111" t="str">
        <f>'Sug-Map-2'!D32</f>
        <v/>
      </c>
    </row>
    <row r="33" spans="4:4" x14ac:dyDescent="0.75">
      <c r="D33" s="111" t="str">
        <f>'Sug-Map-2'!D33</f>
        <v>* differential.element[10].mapping[0].identity = "fhir"</v>
      </c>
    </row>
    <row r="34" spans="4:4" x14ac:dyDescent="0.75">
      <c r="D34" s="111" t="str">
        <f>'Sug-Map-2'!D34</f>
        <v>* differential.element[10].mapping[0].map = "Procedure.performedDateTime	"</v>
      </c>
    </row>
    <row r="35" spans="4:4" x14ac:dyDescent="0.75">
      <c r="D35" s="111" t="str">
        <f>'Sug-Map-2'!D35</f>
        <v/>
      </c>
    </row>
    <row r="36" spans="4:4" x14ac:dyDescent="0.75">
      <c r="D36" s="111" t="str">
        <f>'Sug-Map-2'!D36</f>
        <v>* differential.element[11].mapping[0].identity = "fhir"</v>
      </c>
    </row>
    <row r="37" spans="4:4" x14ac:dyDescent="0.75">
      <c r="D37" s="111" t="str">
        <f>'Sug-Map-2'!D37</f>
        <v>* differential.element[11].mapping[0].map = ".text"</v>
      </c>
    </row>
    <row r="38" spans="4:4" x14ac:dyDescent="0.75">
      <c r="D38" s="111" t="str">
        <f>'Sug-Map-2'!D38</f>
        <v/>
      </c>
    </row>
    <row r="39" spans="4:4" x14ac:dyDescent="0.75">
      <c r="D39" s="111" t="str">
        <f>'Sug-Map-2'!D39</f>
        <v>* differential.element[12].mapping[0].identity = "fhir"</v>
      </c>
    </row>
    <row r="40" spans="4:4" x14ac:dyDescent="0.75">
      <c r="D40" s="111" t="str">
        <f>'Sug-Map-2'!D40</f>
        <v>* differential.element[12].mapping[0].map = ".bodySite"</v>
      </c>
    </row>
    <row r="41" spans="4:4" x14ac:dyDescent="0.75">
      <c r="D41" s="111" t="str">
        <f>'Sug-Map-2'!D41</f>
        <v/>
      </c>
    </row>
    <row r="42" spans="4:4" x14ac:dyDescent="0.75">
      <c r="D42" s="111" t="str">
        <f>'Sug-Map-2'!D42</f>
        <v>* differential.element[12].mapping[1].identity = "fhir"</v>
      </c>
    </row>
    <row r="43" spans="4:4" x14ac:dyDescent="0.75">
      <c r="D43" s="111" t="str">
        <f>'Sug-Map-2'!D43</f>
        <v>* differential.element[12].mapping[1].map = ".code"</v>
      </c>
    </row>
    <row r="44" spans="4:4" x14ac:dyDescent="0.75">
      <c r="D44" s="111" t="str">
        <f>'Sug-Map-2'!D44</f>
        <v/>
      </c>
    </row>
    <row r="45" spans="4:4" x14ac:dyDescent="0.75">
      <c r="D45" s="111" t="str">
        <f>'Sug-Map-2'!D45</f>
        <v>* differential.element[13].mapping[0].identity = "fhir"</v>
      </c>
    </row>
    <row r="46" spans="4:4" x14ac:dyDescent="0.75">
      <c r="D46" s="111" t="str">
        <f>'Sug-Map-2'!D46</f>
        <v>* differential.element[13].mapping[0].map = ".extension('http://hl7.eu/fhir/ig/pcsp/StructureDefinition/surgery-sacrifiedOrgan').valueCodeableConcept"</v>
      </c>
    </row>
    <row r="47" spans="4:4" x14ac:dyDescent="0.75">
      <c r="D47" s="111" t="str">
        <f>'Sug-Map-2'!D47</f>
        <v/>
      </c>
    </row>
    <row r="48" spans="4:4" x14ac:dyDescent="0.75">
      <c r="D48" s="111" t="str">
        <f>'Sug-Map-2'!D48</f>
        <v>* differential.element[13].mapping[1].identity = "fhir"</v>
      </c>
    </row>
    <row r="49" spans="4:4" x14ac:dyDescent="0.75">
      <c r="D49" s="111" t="str">
        <f>'Sug-Map-2'!D49</f>
        <v>* differential.element[13].mapping[1].map = ".code"</v>
      </c>
    </row>
    <row r="50" spans="4:4" x14ac:dyDescent="0.75">
      <c r="D50" s="111" t="str">
        <f>'Sug-Map-2'!D50</f>
        <v/>
      </c>
    </row>
    <row r="51" spans="4:4" x14ac:dyDescent="0.75">
      <c r="D51" s="111" t="str">
        <f>'Sug-Map-2'!D51</f>
        <v>* differential.element[14].mapping[0].identity = "fhir"</v>
      </c>
    </row>
    <row r="52" spans="4:4" x14ac:dyDescent="0.75">
      <c r="D52" s="111" t="str">
        <f>'Sug-Map-2'!D52</f>
        <v>* differential.element[14].mapping[0].map = "Procedure.conformsTo('http://hl7.eu/fhir/ig/pcsp/StructureDefinition/Procedure-surgery-eu-pcsp').where(code.memberOf(OtherSurgicalProcedureTypeVs))"</v>
      </c>
    </row>
    <row r="53" spans="4:4" x14ac:dyDescent="0.75">
      <c r="D53" s="111" t="str">
        <f>'Sug-Map-2'!D53</f>
        <v/>
      </c>
    </row>
    <row r="54" spans="4:4" x14ac:dyDescent="0.75">
      <c r="D54" s="111" t="str">
        <f>'Sug-Map-2'!D54</f>
        <v>* differential.element[15].mapping[0].identity = "fhir"</v>
      </c>
    </row>
    <row r="55" spans="4:4" x14ac:dyDescent="0.75">
      <c r="D55" s="111" t="str">
        <f>'Sug-Map-2'!D55</f>
        <v>* differential.element[15].mapping[0].map = ".code"</v>
      </c>
    </row>
    <row r="56" spans="4:4" x14ac:dyDescent="0.75">
      <c r="D56" s="111" t="str">
        <f>'Sug-Map-2'!D56</f>
        <v/>
      </c>
    </row>
    <row r="57" spans="4:4" x14ac:dyDescent="0.75">
      <c r="D57" s="111" t="str">
        <f>'Sug-Map-2'!D57</f>
        <v>* differential.element[16].mapping[0].identity = "fhir"</v>
      </c>
    </row>
    <row r="58" spans="4:4" x14ac:dyDescent="0.75">
      <c r="D58" s="111" t="str">
        <f>'Sug-Map-2'!D58</f>
        <v>* differential.element[16].mapping[0].map = ".extension('http://hl7.eu/fhir/ig/pcsp/StructureDefinition/mcode-laterality-qualifier').valueCodeableConcept"</v>
      </c>
    </row>
    <row r="59" spans="4:4" x14ac:dyDescent="0.75">
      <c r="D59" s="111" t="str">
        <f>'Sug-Map-2'!D59</f>
        <v/>
      </c>
    </row>
    <row r="60" spans="4:4" x14ac:dyDescent="0.75">
      <c r="D60" s="111" t="str">
        <f>'Sug-Map-2'!D60</f>
        <v>* differential.element[17].mapping[0].identity = "fhir"</v>
      </c>
    </row>
    <row r="61" spans="4:4" x14ac:dyDescent="0.75">
      <c r="D61" s="111" t="str">
        <f>'Sug-Map-2'!D61</f>
        <v>* differential.element[17].mapping[0].map = ".focalDevice.action"</v>
      </c>
    </row>
    <row r="62" spans="4:4" x14ac:dyDescent="0.75">
      <c r="D62" s="111" t="str">
        <f>'Sug-Map-2'!D62</f>
        <v/>
      </c>
    </row>
    <row r="63" spans="4:4" x14ac:dyDescent="0.75">
      <c r="D63" s="111" t="str">
        <f>'Sug-Map-2'!D63</f>
        <v>* differential.element[18].mapping[0].identity = "fhir"</v>
      </c>
    </row>
    <row r="64" spans="4:4" x14ac:dyDescent="0.75">
      <c r="D64" s="111" t="str">
        <f>'Sug-Map-2'!D64</f>
        <v>* differential.element[18].mapping[0].map = "Procedure.conformsTo('http://hl7.eu/fhir/ig/pcsp/StructureDefinition/Procedure-surgery-eu-pcsp').where(code.memberOf(AmputationProcedureTypeVs)).exists()"</v>
      </c>
    </row>
    <row r="65" spans="4:4" x14ac:dyDescent="0.75">
      <c r="D65" s="111" t="str">
        <f>'Sug-Map-2'!D65</f>
        <v/>
      </c>
    </row>
    <row r="66" spans="4:4" x14ac:dyDescent="0.75">
      <c r="D66" s="111" t="str">
        <f>'Sug-Map-2'!D66</f>
        <v>* differential.element[19].mapping[0].identity = "fhir"</v>
      </c>
    </row>
    <row r="67" spans="4:4" x14ac:dyDescent="0.75">
      <c r="D67" s="111" t="str">
        <f>'Sug-Map-2'!D67</f>
        <v>* differential.element[19].mapping[0].map = "Procedure.conformsTo('http://hl7.eu/fhir/ig/pcsp/StructureDefinition/Procedure-surgery-eu-pcsp').where(code from ProstheticProcedureTypeVs)"</v>
      </c>
    </row>
    <row r="68" spans="4:4" x14ac:dyDescent="0.75">
      <c r="D68" s="111" t="str">
        <f>'Sug-Map-2'!D68</f>
        <v/>
      </c>
    </row>
    <row r="69" spans="4:4" x14ac:dyDescent="0.75">
      <c r="D69" s="111" t="str">
        <f>'Sug-Map-2'!D69</f>
        <v>* differential.element[20].mapping[0].identity = "fhir"</v>
      </c>
    </row>
    <row r="70" spans="4:4" x14ac:dyDescent="0.75">
      <c r="D70" s="111" t="str">
        <f>'Sug-Map-2'!D70</f>
        <v>* differential.element[20].mapping[0].map = ".exists()"</v>
      </c>
    </row>
    <row r="71" spans="4:4" x14ac:dyDescent="0.75">
      <c r="D71" s="111" t="str">
        <f>'Sug-Map-2'!D71</f>
        <v/>
      </c>
    </row>
    <row r="72" spans="4:4" x14ac:dyDescent="0.75">
      <c r="D72" s="111" t="str">
        <f>'Sug-Map-2'!D72</f>
        <v>* differential.element[21].mapping[0].identity = "fhir"</v>
      </c>
    </row>
    <row r="73" spans="4:4" x14ac:dyDescent="0.75">
      <c r="D73" s="111" t="str">
        <f>'Sug-Map-2'!D73</f>
        <v>* differential.element[21].mapping[0].map = "usedCode"</v>
      </c>
    </row>
    <row r="74" spans="4:4" x14ac:dyDescent="0.75">
      <c r="D74" s="111" t="str">
        <f>'Sug-Map-2'!D74</f>
        <v/>
      </c>
    </row>
    <row r="75" spans="4:4" x14ac:dyDescent="0.75">
      <c r="D75" s="111" t="str">
        <f>'Sug-Map-2'!D75</f>
        <v>* differential.element[22].mapping[0].identity = "fhir"</v>
      </c>
    </row>
    <row r="76" spans="4:4" x14ac:dyDescent="0.75">
      <c r="D76" s="111" t="str">
        <f>'Sug-Map-2'!D76</f>
        <v>* differential.element[22].mapping[0].map = "Procedure.conformsTo('http://hl7.eu/fhir/ig/pcsp/StructureDefinition/Procedure-surgery-eu-pcsp').where(code.memberOf(ColostomyProcedureTypeVs))"</v>
      </c>
    </row>
    <row r="77" spans="4:4" x14ac:dyDescent="0.75">
      <c r="D77" s="111" t="str">
        <f>'Sug-Map-2'!D77</f>
        <v/>
      </c>
    </row>
    <row r="78" spans="4:4" x14ac:dyDescent="0.75">
      <c r="D78" s="111" t="str">
        <f>'Sug-Map-2'!D78</f>
        <v>* differential.element[23].mapping[0].identity = "fhir"</v>
      </c>
    </row>
    <row r="79" spans="4:4" x14ac:dyDescent="0.75">
      <c r="D79" s="111" t="str">
        <f>'Sug-Map-2'!D79</f>
        <v>* differential.element[23].mapping[0].map = ".exists()"</v>
      </c>
    </row>
    <row r="80" spans="4:4" x14ac:dyDescent="0.75">
      <c r="D80" s="111" t="str">
        <f>'Sug-Map-2'!D80</f>
        <v/>
      </c>
    </row>
    <row r="81" spans="4:4" x14ac:dyDescent="0.75">
      <c r="D81" s="111" t="str">
        <f>'Sug-Map-2'!D81</f>
        <v>* differential.element[24].mapping[0].identity = "fhir"</v>
      </c>
    </row>
    <row r="82" spans="4:4" x14ac:dyDescent="0.75">
      <c r="D82" s="111" t="str">
        <f>'Sug-Map-2'!D82</f>
        <v>* differential.element[24].mapping[0].map = ".focalDevice.action"</v>
      </c>
    </row>
    <row r="83" spans="4:4" x14ac:dyDescent="0.75">
      <c r="D83" s="111" t="str">
        <f>'Sug-Map-2'!D83</f>
        <v/>
      </c>
    </row>
    <row r="84" spans="4:4" x14ac:dyDescent="0.75">
      <c r="D84" s="111" t="str">
        <f>'Sug-Map-2'!D84</f>
        <v>* differential.element[25].mapping[0].identity = "fhir"</v>
      </c>
    </row>
    <row r="85" spans="4:4" x14ac:dyDescent="0.75">
      <c r="D85" s="111" t="str">
        <f>'Sug-Map-2'!D85</f>
        <v>* differential.element[25].mapping[0].map = "Procedure.conformsTo('http://hl7.eu/fhir/ig/pcsp/StructureDefinition/Procedure-surgery-eu-pcsp').where(code.memberOf(GastrostomyProcedureTypeVs)).exists()"</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6"/>
  <sheetViews>
    <sheetView zoomScaleNormal="100" workbookViewId="0">
      <selection activeCell="C16" sqref="C16"/>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1121</v>
      </c>
      <c r="D2" s="122" t="s">
        <v>1120</v>
      </c>
    </row>
    <row r="3" spans="1:9" x14ac:dyDescent="0.75">
      <c r="B3" s="118" t="s">
        <v>34</v>
      </c>
      <c r="C3" s="123" t="s">
        <v>36</v>
      </c>
      <c r="D3" s="56"/>
    </row>
    <row r="4" spans="1:9" ht="15.5" thickBot="1" x14ac:dyDescent="0.9">
      <c r="B4" s="119" t="s">
        <v>52</v>
      </c>
      <c r="C4" s="124" t="s">
        <v>1108</v>
      </c>
      <c r="D4" s="57"/>
    </row>
    <row r="5" spans="1:9" x14ac:dyDescent="0.75">
      <c r="C5" s="3" t="s">
        <v>7</v>
      </c>
      <c r="D5" s="4" t="s">
        <v>8</v>
      </c>
      <c r="E5" s="11" t="s">
        <v>17</v>
      </c>
      <c r="F5" s="11" t="s">
        <v>18</v>
      </c>
      <c r="G5" s="11" t="s">
        <v>19</v>
      </c>
      <c r="H5" s="169" t="s">
        <v>889</v>
      </c>
      <c r="I5" s="169"/>
    </row>
    <row r="6" spans="1:9" ht="15.5" thickBot="1" x14ac:dyDescent="0.9">
      <c r="A6" s="109">
        <v>0</v>
      </c>
      <c r="B6" s="124" t="s">
        <v>1108</v>
      </c>
      <c r="C6" s="16" t="s">
        <v>1109</v>
      </c>
      <c r="D6" s="16" t="s">
        <v>1109</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103.25" x14ac:dyDescent="0.75">
      <c r="A9" s="109">
        <v>3</v>
      </c>
      <c r="B9" s="111" t="s">
        <v>47</v>
      </c>
      <c r="C9" s="112" t="s">
        <v>1078</v>
      </c>
      <c r="D9" s="112" t="s">
        <v>1110</v>
      </c>
      <c r="E9" s="111">
        <v>0</v>
      </c>
      <c r="F9" s="111">
        <v>1</v>
      </c>
      <c r="G9" s="111" t="s">
        <v>1</v>
      </c>
      <c r="H9" s="67"/>
      <c r="I9" s="111"/>
    </row>
    <row r="10" spans="1:9" ht="29.5" x14ac:dyDescent="0.75">
      <c r="A10" s="109">
        <v>4</v>
      </c>
      <c r="B10" s="112" t="s">
        <v>1077</v>
      </c>
      <c r="C10" s="112" t="s">
        <v>1076</v>
      </c>
      <c r="D10" s="112" t="s">
        <v>825</v>
      </c>
      <c r="E10" s="111">
        <v>0</v>
      </c>
      <c r="F10" s="111">
        <v>1</v>
      </c>
      <c r="G10" s="111" t="s">
        <v>1</v>
      </c>
      <c r="H10" s="67"/>
      <c r="I10" s="111"/>
    </row>
    <row r="11" spans="1:9" ht="29.5" x14ac:dyDescent="0.75">
      <c r="A11" s="109">
        <v>5</v>
      </c>
      <c r="B11" s="112" t="s">
        <v>1079</v>
      </c>
      <c r="C11" s="112" t="s">
        <v>721</v>
      </c>
      <c r="D11" s="112" t="s">
        <v>827</v>
      </c>
      <c r="E11" s="111">
        <v>0</v>
      </c>
      <c r="F11" s="111">
        <v>1</v>
      </c>
      <c r="G11" s="111" t="s">
        <v>3</v>
      </c>
      <c r="H11" s="67"/>
      <c r="I11" s="111"/>
    </row>
    <row r="12" spans="1:9" ht="18.5" x14ac:dyDescent="0.75">
      <c r="A12" s="109">
        <v>6</v>
      </c>
      <c r="B12" s="112" t="s">
        <v>1057</v>
      </c>
      <c r="C12" s="112" t="s">
        <v>1104</v>
      </c>
      <c r="D12" s="112" t="s">
        <v>1118</v>
      </c>
      <c r="E12" s="111">
        <v>0</v>
      </c>
      <c r="F12" s="111" t="s">
        <v>20</v>
      </c>
      <c r="G12" s="111" t="s">
        <v>5</v>
      </c>
      <c r="H12" s="67"/>
      <c r="I12" s="111"/>
    </row>
    <row r="13" spans="1:9" ht="103.25" x14ac:dyDescent="0.75">
      <c r="A13" s="109">
        <v>7</v>
      </c>
      <c r="B13" s="112" t="s">
        <v>1044</v>
      </c>
      <c r="C13" s="112" t="s">
        <v>47</v>
      </c>
      <c r="D13" s="112" t="s">
        <v>1103</v>
      </c>
      <c r="E13" s="111">
        <v>0</v>
      </c>
      <c r="F13" s="111">
        <v>1</v>
      </c>
      <c r="G13" s="111" t="s">
        <v>1</v>
      </c>
      <c r="H13" s="67"/>
      <c r="I13" s="111"/>
    </row>
    <row r="14" spans="1:9" ht="29.5" x14ac:dyDescent="0.75">
      <c r="A14" s="109">
        <v>8</v>
      </c>
      <c r="B14" s="112" t="s">
        <v>1105</v>
      </c>
      <c r="C14" s="13" t="s">
        <v>833</v>
      </c>
      <c r="D14" s="13" t="s">
        <v>835</v>
      </c>
      <c r="E14" s="111">
        <v>0</v>
      </c>
      <c r="F14" s="111">
        <v>1</v>
      </c>
      <c r="G14" s="111" t="s">
        <v>0</v>
      </c>
      <c r="H14" s="67"/>
      <c r="I14" s="111"/>
    </row>
    <row r="15" spans="1:9" ht="51.5" customHeight="1" x14ac:dyDescent="0.75">
      <c r="A15" s="109">
        <v>9</v>
      </c>
      <c r="B15" s="112" t="s">
        <v>1106</v>
      </c>
      <c r="C15" s="112" t="s">
        <v>1112</v>
      </c>
      <c r="D15" s="112" t="s">
        <v>837</v>
      </c>
      <c r="E15" s="111">
        <v>0</v>
      </c>
      <c r="F15" s="111">
        <v>1</v>
      </c>
      <c r="G15" s="111" t="s">
        <v>3</v>
      </c>
      <c r="H15" s="67"/>
      <c r="I15" s="111"/>
    </row>
    <row r="16" spans="1:9" ht="18.5" x14ac:dyDescent="0.75">
      <c r="A16" s="109">
        <v>10</v>
      </c>
      <c r="B16" s="112" t="s">
        <v>1046</v>
      </c>
      <c r="C16" s="112" t="s">
        <v>870</v>
      </c>
      <c r="D16" s="112" t="s">
        <v>250</v>
      </c>
      <c r="E16" s="111">
        <v>0</v>
      </c>
      <c r="F16" s="111">
        <v>1</v>
      </c>
      <c r="G16" s="111" t="s">
        <v>3</v>
      </c>
      <c r="H16" s="67"/>
      <c r="I16" s="111"/>
    </row>
    <row r="17" spans="1:9" ht="29.5" x14ac:dyDescent="0.75">
      <c r="A17" s="109">
        <v>11</v>
      </c>
      <c r="B17" s="112" t="s">
        <v>1107</v>
      </c>
      <c r="C17" s="112" t="s">
        <v>838</v>
      </c>
      <c r="D17" s="112" t="s">
        <v>840</v>
      </c>
      <c r="E17" s="111">
        <v>0</v>
      </c>
      <c r="F17" s="111">
        <v>1</v>
      </c>
      <c r="G17" s="111" t="s">
        <v>3</v>
      </c>
      <c r="H17" s="67"/>
      <c r="I17" s="111"/>
    </row>
    <row r="18" spans="1:9" ht="132.75" x14ac:dyDescent="0.75">
      <c r="A18" s="109">
        <v>12</v>
      </c>
      <c r="B18" s="112" t="s">
        <v>1051</v>
      </c>
      <c r="C18" s="13" t="s">
        <v>1113</v>
      </c>
      <c r="D18" s="13" t="s">
        <v>1114</v>
      </c>
      <c r="E18" s="111">
        <v>0</v>
      </c>
      <c r="F18" s="111">
        <v>1</v>
      </c>
      <c r="G18" s="111" t="s">
        <v>1</v>
      </c>
      <c r="H18" s="67"/>
      <c r="I18" s="111"/>
    </row>
    <row r="19" spans="1:9" ht="73.75" x14ac:dyDescent="0.75">
      <c r="A19" s="109">
        <v>13</v>
      </c>
      <c r="B19" s="112" t="s">
        <v>1052</v>
      </c>
      <c r="C19" s="13" t="s">
        <v>1115</v>
      </c>
      <c r="D19" s="13" t="s">
        <v>1116</v>
      </c>
      <c r="E19" s="111">
        <v>0</v>
      </c>
      <c r="F19" s="111">
        <v>1</v>
      </c>
      <c r="G19" s="111" t="s">
        <v>1</v>
      </c>
      <c r="H19" s="67"/>
      <c r="I19" s="111"/>
    </row>
    <row r="20" spans="1:9" ht="29.5" x14ac:dyDescent="0.75">
      <c r="A20" s="109">
        <v>14</v>
      </c>
      <c r="B20" s="112" t="s">
        <v>1053</v>
      </c>
      <c r="C20" s="13" t="s">
        <v>1117</v>
      </c>
      <c r="D20" s="13" t="s">
        <v>844</v>
      </c>
      <c r="E20" s="111">
        <v>0</v>
      </c>
      <c r="F20" s="111">
        <v>1</v>
      </c>
      <c r="G20" s="111" t="s">
        <v>1</v>
      </c>
      <c r="H20" s="67"/>
      <c r="I20" s="111"/>
    </row>
    <row r="21" spans="1:9" ht="88.5" x14ac:dyDescent="0.75">
      <c r="A21" s="109">
        <v>15</v>
      </c>
      <c r="B21" s="112" t="s">
        <v>1054</v>
      </c>
      <c r="C21" s="13" t="s">
        <v>65</v>
      </c>
      <c r="D21" s="13" t="s">
        <v>1111</v>
      </c>
      <c r="E21" s="111">
        <v>0</v>
      </c>
      <c r="F21" s="111">
        <v>1</v>
      </c>
      <c r="G21" s="111" t="s">
        <v>1</v>
      </c>
      <c r="H21" s="67"/>
      <c r="I21" s="111"/>
    </row>
    <row r="22" spans="1:9" ht="29.5" x14ac:dyDescent="0.75">
      <c r="A22" s="109">
        <v>16</v>
      </c>
      <c r="B22" s="112" t="s">
        <v>1047</v>
      </c>
      <c r="C22" s="112" t="s">
        <v>1119</v>
      </c>
      <c r="D22" s="112" t="s">
        <v>846</v>
      </c>
      <c r="E22" s="111">
        <v>0</v>
      </c>
      <c r="F22" s="111">
        <v>1</v>
      </c>
      <c r="G22" s="111" t="s">
        <v>2</v>
      </c>
      <c r="H22" s="67"/>
      <c r="I22" s="111"/>
    </row>
    <row r="23" spans="1:9" x14ac:dyDescent="0.75">
      <c r="B23" s="112"/>
      <c r="C23" s="112"/>
      <c r="D23" s="112"/>
      <c r="E23" s="111"/>
      <c r="F23" s="111"/>
      <c r="G23" s="111"/>
      <c r="H23" s="111"/>
      <c r="I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1"/>
      <c r="E33" s="111"/>
      <c r="F33" s="111"/>
      <c r="G33" s="111"/>
      <c r="H33" s="111"/>
      <c r="I33" s="111"/>
    </row>
    <row r="34" spans="2:9" ht="18.5" x14ac:dyDescent="0.75">
      <c r="B34" s="67"/>
      <c r="C34" s="112"/>
      <c r="D34" s="67"/>
      <c r="E34" s="67"/>
      <c r="F34" s="70"/>
      <c r="G34" s="67"/>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95"/>
      <c r="E38" s="67"/>
      <c r="F38" s="70"/>
      <c r="G38" s="95"/>
    </row>
    <row r="39" spans="2:9" ht="18.5" x14ac:dyDescent="0.75">
      <c r="B39" s="67"/>
      <c r="C39" s="112"/>
      <c r="D39" s="67"/>
      <c r="E39" s="67"/>
      <c r="F39" s="67"/>
      <c r="G39" s="67"/>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70"/>
      <c r="G42" s="67"/>
    </row>
    <row r="43" spans="2:9" ht="18.5" x14ac:dyDescent="0.75">
      <c r="B43" s="67"/>
      <c r="C43" s="112"/>
      <c r="D43" s="67"/>
      <c r="E43" s="67"/>
      <c r="F43" s="67"/>
      <c r="G43" s="67"/>
    </row>
    <row r="44" spans="2:9" ht="18.5" x14ac:dyDescent="0.75">
      <c r="B44" s="67"/>
      <c r="C44" s="112"/>
      <c r="D44" s="67"/>
      <c r="E44" s="67"/>
      <c r="F44" s="70"/>
      <c r="G44" s="67"/>
    </row>
    <row r="45" spans="2:9" ht="18.5" x14ac:dyDescent="0.75">
      <c r="B45" s="67"/>
      <c r="C45" s="112"/>
      <c r="D45" s="67"/>
      <c r="E45" s="67"/>
      <c r="F45" s="70"/>
      <c r="G45" s="67"/>
    </row>
    <row r="46" spans="2:9" s="129" customFormat="1" x14ac:dyDescent="0.75">
      <c r="B46" s="130"/>
      <c r="C46" s="112"/>
      <c r="D46" s="130"/>
      <c r="E46" s="130"/>
      <c r="F46" s="130"/>
      <c r="G46" s="130"/>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ht="45.75" customHeight="1" x14ac:dyDescent="0.75">
      <c r="B50" s="130"/>
      <c r="C50" s="112"/>
      <c r="D50" s="130"/>
      <c r="E50" s="130"/>
      <c r="F50" s="130"/>
      <c r="G50" s="130"/>
    </row>
    <row r="51" spans="2:8" ht="23.5" customHeight="1" x14ac:dyDescent="0.75">
      <c r="B51" s="67"/>
      <c r="C51" s="112"/>
      <c r="D51" s="67"/>
      <c r="E51" s="67"/>
      <c r="F51" s="70"/>
      <c r="G51" s="67"/>
    </row>
    <row r="52" spans="2:8" ht="23.5" customHeight="1" x14ac:dyDescent="0.75">
      <c r="B52" s="67"/>
      <c r="C52" s="112"/>
      <c r="D52" s="67"/>
      <c r="E52" s="67"/>
      <c r="F52" s="70"/>
      <c r="G52" s="67"/>
    </row>
    <row r="53" spans="2:8" ht="23.5" customHeight="1" x14ac:dyDescent="0.75">
      <c r="B53" s="67"/>
      <c r="C53" s="112"/>
      <c r="D53" s="67"/>
      <c r="E53" s="67"/>
      <c r="F53" s="67"/>
      <c r="G53" s="67"/>
    </row>
    <row r="54" spans="2:8" ht="23.5" customHeight="1" x14ac:dyDescent="0.75">
      <c r="B54" s="67"/>
      <c r="C54" s="112"/>
      <c r="D54" s="67"/>
      <c r="E54" s="67"/>
      <c r="F54" s="70"/>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18.5" x14ac:dyDescent="0.75">
      <c r="B57" s="67"/>
      <c r="C57" s="112"/>
      <c r="D57" s="67"/>
      <c r="E57" s="67"/>
      <c r="F57" s="70"/>
      <c r="G57" s="67"/>
    </row>
    <row r="58" spans="2:8" ht="18.5" x14ac:dyDescent="0.75">
      <c r="B58" s="67"/>
      <c r="C58" s="112"/>
      <c r="D58" s="95"/>
      <c r="E58" s="67"/>
      <c r="F58" s="95"/>
      <c r="G58" s="95"/>
    </row>
    <row r="59" spans="2:8" ht="18.5" x14ac:dyDescent="0.75">
      <c r="B59" s="67"/>
      <c r="C59" s="112"/>
      <c r="D59" s="95"/>
      <c r="E59" s="67"/>
      <c r="F59" s="95"/>
      <c r="G59" s="95"/>
    </row>
    <row r="60" spans="2:8" s="129" customFormat="1" ht="12.25" x14ac:dyDescent="0.65">
      <c r="B60" s="130"/>
      <c r="C60" s="130"/>
      <c r="D60" s="132"/>
      <c r="E60" s="130"/>
      <c r="F60" s="130"/>
      <c r="G60" s="132"/>
    </row>
    <row r="61" spans="2:8" s="127" customFormat="1" ht="11" x14ac:dyDescent="0.6">
      <c r="B61" s="128"/>
      <c r="C61" s="128"/>
      <c r="D61" s="128"/>
      <c r="E61" s="128"/>
      <c r="F61" s="128"/>
      <c r="G61" s="128"/>
    </row>
    <row r="62" spans="2:8" s="129" customFormat="1" ht="12.25" x14ac:dyDescent="0.65">
      <c r="B62" s="130"/>
      <c r="C62" s="130"/>
      <c r="D62" s="130"/>
      <c r="E62" s="130"/>
      <c r="F62" s="130"/>
      <c r="G62" s="130"/>
      <c r="H62" s="131"/>
    </row>
    <row r="63" spans="2:8" s="129" customFormat="1" ht="12.25" x14ac:dyDescent="0.65">
      <c r="B63" s="130"/>
      <c r="C63" s="130"/>
      <c r="D63" s="130"/>
      <c r="E63" s="130"/>
      <c r="F63" s="130"/>
      <c r="G63" s="130"/>
    </row>
    <row r="64" spans="2:8" ht="18.5" x14ac:dyDescent="0.75">
      <c r="B64" s="67"/>
      <c r="C64" s="70"/>
      <c r="D64" s="67"/>
      <c r="E64" s="67"/>
      <c r="F64" s="67"/>
      <c r="G64" s="67"/>
    </row>
    <row r="65" spans="2:7" ht="18.5" x14ac:dyDescent="0.75">
      <c r="B65" s="67"/>
      <c r="C65" s="70"/>
      <c r="D65" s="67"/>
      <c r="E65" s="67"/>
      <c r="F65" s="67"/>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70"/>
      <c r="C68" s="70"/>
      <c r="D68" s="67"/>
      <c r="E68" s="70"/>
      <c r="F68" s="67"/>
      <c r="G68" s="67"/>
    </row>
    <row r="69" spans="2:7" ht="18.5" x14ac:dyDescent="0.75">
      <c r="B69" s="67"/>
      <c r="C69" s="70"/>
      <c r="D69" s="67"/>
      <c r="E69" s="67"/>
      <c r="F69" s="67"/>
      <c r="G69" s="67"/>
    </row>
    <row r="70" spans="2:7" ht="18.5" x14ac:dyDescent="0.75">
      <c r="B70" s="67"/>
      <c r="C70" s="70"/>
      <c r="D70" s="67"/>
      <c r="E70" s="67"/>
      <c r="F70" s="70"/>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70"/>
      <c r="C75" s="70"/>
      <c r="D75" s="67"/>
      <c r="E75" s="70"/>
      <c r="F75" s="70"/>
      <c r="G75" s="67"/>
    </row>
    <row r="76" spans="2:7" ht="18.5" x14ac:dyDescent="0.75">
      <c r="B76" s="70"/>
      <c r="C76" s="70"/>
      <c r="D76" s="67"/>
      <c r="E76" s="67"/>
      <c r="F76" s="70"/>
      <c r="G76" s="67"/>
    </row>
  </sheetData>
  <autoFilter ref="A5:I31"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B15" zoomScale="85" zoomScaleNormal="85" workbookViewId="0">
      <selection activeCell="B18" sqref="B18:I2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73.75" x14ac:dyDescent="0.75">
      <c r="B4" s="112" t="str">
        <f>CONCATENATE("* differential.element[",'RelAftFlt-1'!$A9,"].id = """,'RelAftFlt-1'!$B$6,".",'RelAftFlt-1'!B9,"""")</f>
        <v>* differential.element[3].id = "RelapseAfterFLT.type"</v>
      </c>
      <c r="C4" s="112" t="str">
        <f>CONCATENATE("* differential.element[",'RelAftFlt-1'!$A9,"].path = """,'RelAftFlt-1'!$B$6,".",'RelAftFlt-1'!B9,"""")</f>
        <v>* differential.element[3].path = "RelapseAfterFLT.type"</v>
      </c>
      <c r="D4" s="112" t="str">
        <f>CONCATENATE("* differential.element[",'RelAftFlt-1'!A9,"].short = """,'RelAftFlt-1'!C9,"""")</f>
        <v>* differential.element[3].short = "relapse | progression"</v>
      </c>
      <c r="E4" s="112" t="str">
        <f>CONCATENATE("* differential.element[",'RelAftFlt-1'!A9,"].definition = """,'RelAftFlt-1'!D9,"""")</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#CodeableConcept</v>
      </c>
      <c r="I4" s="112" t="str">
        <f>IF('RelAftFlt-1'!H9&gt; "", CONCATENATE("* differential.element[",'RelAftFlt-1'!A9,"].binding.valueSet = """,'RelAftFlt-1'!H9,""""),"")</f>
        <v/>
      </c>
      <c r="J4" s="112" t="str">
        <f>IF('RelAftFlt-1'!I9&gt; "", CONCATENATE("* differential.element[",'RelAftFlt-1'!A9,"].binding.strength = #",'RelAftFlt-1'!I9,""),"")</f>
        <v/>
      </c>
    </row>
    <row r="5" spans="2:10" ht="73.75" x14ac:dyDescent="0.75">
      <c r="B5" s="112" t="str">
        <f>CONCATENATE("* differential.element[",'RelAftFlt-1'!$A10,"].id = """,'RelAftFlt-1'!$B$6,".",'RelAftFlt-1'!B10,"""")</f>
        <v>* differential.element[4].id = "RelapseAfterFLT.qualifier"</v>
      </c>
      <c r="C5" s="112" t="str">
        <f>CONCATENATE("* differential.element[",'RelAftFlt-1'!$A10,"].path = """,'RelAftFlt-1'!$B$6,".",'RelAftFlt-1'!B10,"""")</f>
        <v>* differential.element[4].path = "RelapseAfterFLT.qualifier"</v>
      </c>
      <c r="D5" s="112" t="str">
        <f>CONCATENATE("* differential.element[",'RelAftFlt-1'!A10,"].short = """,'RelAftFlt-1'!C10,"""")</f>
        <v>* differential.element[4].short = "local | distant | combined"</v>
      </c>
      <c r="E5" s="112" t="str">
        <f>CONCATENATE("* differential.element[",'RelAftFlt-1'!A10,"].definition = """,'RelAftFlt-1'!D10,"""")</f>
        <v>* differential.element[4].definition = "Report here the date (dd/mm/yyyy ) of the relapse/progression. If the date is unkown or partially missed insert the year at the best of your knowledge."</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73.75" x14ac:dyDescent="0.75">
      <c r="B6" s="112" t="str">
        <f>CONCATENATE("* differential.element[",'RelAftFlt-1'!$A11,"].id = """,'RelAftFlt-1'!$B$6,".",'RelAftFlt-1'!B11,"""")</f>
        <v>* differential.element[5].id = "RelapseAfterFLT.site"</v>
      </c>
      <c r="C6" s="112" t="str">
        <f>CONCATENATE("* differential.element[",'RelAftFlt-1'!$A11,"].path = """,'RelAftFlt-1'!$B$6,".",'RelAftFlt-1'!B11,"""")</f>
        <v>* differential.element[5].path = "RelapseAfterFLT.site"</v>
      </c>
      <c r="D6" s="112" t="str">
        <f>CONCATENATE("* differential.element[",'RelAftFlt-1'!A11,"].short = """,'RelAftFlt-1'!C11,"""")</f>
        <v>* differential.element[5].short = "If distant, site of metastases"</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#string</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"RelapseAfterFLT.followedProtocol"</v>
      </c>
      <c r="C7" s="112" t="str">
        <f>CONCATENATE("* differential.element[",'RelAftFlt-1'!$A12,"].path = """,'RelAftFlt-1'!$B$6,".",'RelAftFlt-1'!B12,"""")</f>
        <v>* differential.element[6].path = "RelapseAfterFLT.followedProtocol"</v>
      </c>
      <c r="D7" s="112" t="str">
        <f>CONCATENATE("* differential.element[",'RelAftFlt-1'!A12,"].short = """,'RelAftFlt-1'!C12,"""")</f>
        <v>* differential.element[6].short = "Salvage treatment"</v>
      </c>
      <c r="E7" s="112" t="str">
        <f>CONCATENATE("* differential.element[",'RelAftFlt-1'!A12,"].definition = """,'RelAftFlt-1'!D12,"""")</f>
        <v>* differential.element[6].definition = "The salvage treatment has been executed following"</v>
      </c>
      <c r="F7" s="112" t="str">
        <f>CONCATENATE("* differential.element[",'RelAftFlt-1'!A12,"].min = ",'RelAftFlt-1'!E12,"")</f>
        <v>* differential.element[6].min = 0</v>
      </c>
      <c r="G7" s="112" t="str">
        <f>CONCATENATE("* differential.element[",'RelAftFlt-1'!A12,"].max = """,'RelAftFlt-1'!F12,"""")</f>
        <v>* differential.element[6].max = "*"</v>
      </c>
      <c r="H7" s="112" t="str">
        <f>CONCATENATE("* differential.element[",'RelAftFlt-1'!A12,"].type.code = #",'RelAftFlt-1'!G12,"")</f>
        <v>* differential.element[6].type.code = #BackboneElement</v>
      </c>
      <c r="I7" s="112" t="str">
        <f>IF('RelAftFlt-1'!H12&gt; "", CONCATENATE("* differential.element[",'RelAftFlt-1'!A12,"].binding.valueSet = """,'RelAftFlt-1'!H12,""""),"")</f>
        <v/>
      </c>
      <c r="J7" s="112" t="str">
        <f>IF('RelAftFlt-1'!I12&gt; "", CONCATENATE("* differential.element[",'RelAftFlt-1'!A12,"].binding.strength = #",'RelAftFlt-1'!I12,""),"")</f>
        <v/>
      </c>
    </row>
    <row r="8" spans="2:10" ht="73.75" x14ac:dyDescent="0.75">
      <c r="B8" s="112" t="str">
        <f>CONCATENATE("* differential.element[",'RelAftFlt-1'!$A13,"].id = """,'RelAftFlt-1'!$B$6,".",'RelAftFlt-1'!B13,"""")</f>
        <v>* differential.element[7].id = "RelapseAfterFLT.followedProtocol.type"</v>
      </c>
      <c r="C8" s="112" t="str">
        <f>CONCATENATE("* differential.element[",'RelAftFlt-1'!$A13,"].path = """,'RelAftFlt-1'!$B$6,".",'RelAftFlt-1'!B13,"""")</f>
        <v>* differential.element[7].path = "RelapseAfterFLT.followedProtocol.type"</v>
      </c>
      <c r="D8" s="112" t="str">
        <f>CONCATENATE("* differential.element[",'RelAftFlt-1'!A13,"].short = """,'RelAftFlt-1'!C13,"""")</f>
        <v>* differential.element[7].short = "type"</v>
      </c>
      <c r="E8" s="112" t="str">
        <f>CONCATENATE("* differential.element[",'RelAftFlt-1'!A13,"].definition = """,'RelAftFlt-1'!D13,"""")</f>
        <v>* differential.element[7].definition = "Specify here (using the available codes) if because of the relapse/progression the patient was treated according to a protocol/trial or other treatment plans
1 =&gt; A trial/protocol
2 =&gt; Personalized
3 =&gt; Guidelines
-9922 =&gt; NK "</v>
      </c>
      <c r="F8" s="112" t="str">
        <f>CONCATENATE("* differential.element[",'RelAftFlt-1'!A13,"].min = ",'RelAftFlt-1'!E13,"")</f>
        <v>* differential.element[7].min = 0</v>
      </c>
      <c r="G8" s="112" t="str">
        <f>CONCATENATE("* differential.element[",'RelAftFlt-1'!A13,"].max = """,'RelAftFlt-1'!F13,"""")</f>
        <v>* differential.element[7].max = "1"</v>
      </c>
      <c r="H8" s="112" t="str">
        <f>CONCATENATE("* differential.element[",'RelAftFlt-1'!A13,"].type.code = #",'RelAftFlt-1'!G13,"")</f>
        <v>* differential.element[7].type.code = #CodeableConcept</v>
      </c>
      <c r="I8" s="112" t="str">
        <f>IF('RelAftFlt-1'!H13&gt; "", CONCATENATE("* differential.element[",'RelAftFlt-1'!A13,"].binding.valueSet = """,'RelAftFlt-1'!H13,""""),"")</f>
        <v/>
      </c>
      <c r="J8" s="112" t="str">
        <f>IF('RelAftFlt-1'!I13&gt; "", CONCATENATE("* differential.element[",'RelAftFlt-1'!A13,"].binding.strength = #",'RelAftFlt-1'!I13,""),"")</f>
        <v/>
      </c>
    </row>
    <row r="9" spans="2:10" ht="73.75" x14ac:dyDescent="0.75">
      <c r="B9" s="112" t="str">
        <f>CONCATENATE("* differential.element[",'RelAftFlt-1'!$A14,"].id = """,'RelAftFlt-1'!$B$6,".",'RelAftFlt-1'!B14,"""")</f>
        <v>* differential.element[8].id = "RelapseAfterFLT.followedProtocol.flt"</v>
      </c>
      <c r="C9" s="112" t="str">
        <f>CONCATENATE("* differential.element[",'RelAftFlt-1'!$A14,"].path = """,'RelAftFlt-1'!$B$6,".",'RelAftFlt-1'!B14,"""")</f>
        <v>* differential.element[8].path = "RelapseAfterFLT.followedProtocol.flt"</v>
      </c>
      <c r="D9" s="112" t="str">
        <f>CONCATENATE("* differential.element[",'RelAftFlt-1'!A14,"].short = """,'RelAftFlt-1'!C14,"""")</f>
        <v>* differential.element[8].short = "First line treatment trial/protocol"</v>
      </c>
      <c r="E9" s="112" t="str">
        <f>CONCATENATE("* differential.element[",'RelAftFlt-1'!A14,"].definition = """,'RelAftFlt-1'!D14,"""")</f>
        <v>* differential.element[8].definition = "The system automatic display the trial/protocol executed during front line treatment"</v>
      </c>
      <c r="F9" s="112" t="str">
        <f>CONCATENATE("* differential.element[",'RelAftFlt-1'!A14,"].min = ",'RelAftFlt-1'!E14,"")</f>
        <v>* differential.element[8].min = 0</v>
      </c>
      <c r="G9" s="112" t="str">
        <f>CONCATENATE("* differential.element[",'RelAftFlt-1'!A14,"].max = """,'RelAftFlt-1'!F14,"""")</f>
        <v>* differential.element[8].max = "1"</v>
      </c>
      <c r="H9" s="112" t="str">
        <f>CONCATENATE("* differential.element[",'RelAftFlt-1'!A14,"].type.code = #",'RelAftFlt-1'!G14,"")</f>
        <v>* differential.element[8].type.code = #Identifier</v>
      </c>
      <c r="I9" s="112" t="str">
        <f>IF('RelAftFlt-1'!H14&gt; "", CONCATENATE("* differential.element[",'RelAftFlt-1'!A14,"].binding.valueSet = """,'RelAftFlt-1'!H14,""""),"")</f>
        <v/>
      </c>
      <c r="J9" s="112" t="str">
        <f>IF('RelAftFlt-1'!I14&gt; "", CONCATENATE("* differential.element[",'RelAftFlt-1'!A14,"].binding.strength = #",'RelAftFlt-1'!I14,""),"")</f>
        <v/>
      </c>
    </row>
    <row r="10" spans="2:10" ht="44.25" x14ac:dyDescent="0.75">
      <c r="B10" s="112" t="str">
        <f>CONCATENATE("* differential.element[",'RelAftFlt-1'!$A15,"].id = """,'RelAftFlt-1'!$B$6,".",'RelAftFlt-1'!B15,"""")</f>
        <v>* differential.element[9].id = "RelapseAfterFLT.followedProtocol.protocolDescription"</v>
      </c>
      <c r="C10" s="112" t="str">
        <f>CONCATENATE("* differential.element[",'RelAftFlt-1'!$A15,"].path = """,'RelAftFlt-1'!$B$6,".",'RelAftFlt-1'!B15,"""")</f>
        <v>* differential.element[9].path = "RelapseAfterFLT.followedProtocol.protocolDescription"</v>
      </c>
      <c r="D10" s="112" t="str">
        <f>CONCATENATE("* differential.element[",'RelAftFlt-1'!A15,"].short = """,'RelAftFlt-1'!C15,"""")</f>
        <v>* differential.element[9].short = "If trial/protocol, specify which one"</v>
      </c>
      <c r="E10" s="112" t="str">
        <f>CONCATENATE("* differential.element[",'RelAftFlt-1'!A15,"].definition = """,'RelAftFlt-1'!D15,"""")</f>
        <v>* differential.element[9].definition = "Specify the salvage trial/protocol (s) that was (were) used.  Free text"</v>
      </c>
      <c r="F10" s="112" t="str">
        <f>CONCATENATE("* differential.element[",'RelAftFlt-1'!A15,"].min = ",'RelAftFlt-1'!E15,"")</f>
        <v>* differential.element[9].min = 0</v>
      </c>
      <c r="G10" s="112" t="str">
        <f>CONCATENATE("* differential.element[",'RelAftFlt-1'!A15,"].max = """,'RelAftFlt-1'!F15,"""")</f>
        <v>* differential.element[9].max = "1"</v>
      </c>
      <c r="H10" s="112" t="str">
        <f>CONCATENATE("* differential.element[",'RelAftFlt-1'!A15,"].type.code = #",'RelAftFlt-1'!G15,"")</f>
        <v>* differential.element[9].type.code = #string</v>
      </c>
      <c r="I10" s="112" t="str">
        <f>IF('RelAftFlt-1'!H15&gt; "", CONCATENATE("* differential.element[",'RelAftFlt-1'!A15,"].binding.valueSet = """,'RelAftFlt-1'!H15,""""),"")</f>
        <v/>
      </c>
      <c r="J10" s="112" t="str">
        <f>IF('RelAftFlt-1'!I15&gt; "", CONCATENATE("* differential.element[",'RelAftFlt-1'!A15,"].binding.strength = #",'RelAftFlt-1'!I15,""),"")</f>
        <v/>
      </c>
    </row>
    <row r="11" spans="2:10" ht="44.25" x14ac:dyDescent="0.75">
      <c r="B11" s="112" t="str">
        <f>CONCATENATE("* differential.element[",'RelAftFlt-1'!$A16,"].id = """,'RelAftFlt-1'!$B$6,".",'RelAftFlt-1'!B16,"""")</f>
        <v>* differential.element[10].id = "RelapseAfterFLT.followedProtocol.arm"</v>
      </c>
      <c r="C11" s="112" t="str">
        <f>CONCATENATE("* differential.element[",'RelAftFlt-1'!$A16,"].path = """,'RelAftFlt-1'!$B$6,".",'RelAftFlt-1'!B16,"""")</f>
        <v>* differential.element[10].path = "RelapseAfterFLT.followedProtocol.arm"</v>
      </c>
      <c r="D11" s="112" t="str">
        <f>CONCATENATE("* differential.element[",'RelAftFlt-1'!A16,"].short = """,'RelAftFlt-1'!C16,"""")</f>
        <v>* differential.element[10].short = "Group/Arm/Randomization"</v>
      </c>
      <c r="E11" s="112" t="str">
        <f>CONCATENATE("* differential.element[",'RelAftFlt-1'!A16,"].definition = """,'RelAftFlt-1'!D16,"""")</f>
        <v>* differential.element[10].definition = "If the trial was randomized, please define randomization arm"</v>
      </c>
      <c r="F11" s="112" t="str">
        <f>CONCATENATE("* differential.element[",'RelAftFlt-1'!A16,"].min = ",'RelAftFlt-1'!E16,"")</f>
        <v>* differential.element[10].min = 0</v>
      </c>
      <c r="G11" s="112" t="str">
        <f>CONCATENATE("* differential.element[",'RelAftFlt-1'!A16,"].max = """,'RelAftFlt-1'!F16,"""")</f>
        <v>* differential.element[10].max = "1"</v>
      </c>
      <c r="H11" s="112" t="str">
        <f>CONCATENATE("* differential.element[",'RelAftFlt-1'!A16,"].type.code = #",'RelAftFlt-1'!G16,"")</f>
        <v>* differential.element[10].type.code = #string</v>
      </c>
      <c r="I11" s="112" t="str">
        <f>IF('RelAftFlt-1'!H16&gt; "", CONCATENATE("* differential.element[",'RelAftFlt-1'!A16,"].binding.valueSet = """,'RelAftFlt-1'!H16,""""),"")</f>
        <v/>
      </c>
      <c r="J11" s="112" t="str">
        <f>IF('RelAftFlt-1'!I16&gt; "", CONCATENATE("* differential.element[",'RelAftFlt-1'!A16,"].binding.strength = #",'RelAftFlt-1'!I16,""),"")</f>
        <v/>
      </c>
    </row>
    <row r="12" spans="2:10" ht="73.75" x14ac:dyDescent="0.75">
      <c r="B12" s="112" t="str">
        <f>CONCATENATE("* differential.element[",'RelAftFlt-1'!$A17,"].id = """,'RelAftFlt-1'!$B$6,".",'RelAftFlt-1'!B17,"""")</f>
        <v>* differential.element[11].id = "RelapseAfterFLT.followedProtocol.personalizedDescription"</v>
      </c>
      <c r="C12" s="112" t="str">
        <f>CONCATENATE("* differential.element[",'RelAftFlt-1'!$A17,"].path = """,'RelAftFlt-1'!$B$6,".",'RelAftFlt-1'!B17,"""")</f>
        <v>* differential.element[11].path = "RelapseAfterFLT.followedProtocol.personalizedDescription"</v>
      </c>
      <c r="D12" s="112" t="str">
        <f>CONCATENATE("* differential.element[",'RelAftFlt-1'!A17,"].short = """,'RelAftFlt-1'!C17,"""")</f>
        <v>* differential.element[11].short = "If personalized, please specify
"</v>
      </c>
      <c r="E12" s="112" t="str">
        <f>CONCATENATE("* differential.element[",'RelAftFlt-1'!A17,"].definition = """,'RelAftFlt-1'!D17,"""")</f>
        <v>* differential.element[11].definition = "If a personalized treatment was used, please specify."</v>
      </c>
      <c r="F12" s="112" t="str">
        <f>CONCATENATE("* differential.element[",'RelAftFlt-1'!A17,"].min = ",'RelAftFlt-1'!E17,"")</f>
        <v>* differential.element[11].min = 0</v>
      </c>
      <c r="G12" s="112" t="str">
        <f>CONCATENATE("* differential.element[",'RelAftFlt-1'!A17,"].max = """,'RelAftFlt-1'!F17,"""")</f>
        <v>* differential.element[11].max = "1"</v>
      </c>
      <c r="H12" s="112" t="str">
        <f>CONCATENATE("* differential.element[",'RelAftFlt-1'!A17,"].type.code = #",'RelAftFlt-1'!G17,"")</f>
        <v>* differential.element[11].type.code = #string</v>
      </c>
      <c r="I12" s="112" t="str">
        <f>IF('RelAftFlt-1'!H17&gt; "", CONCATENATE("* differential.element[",'RelAftFlt-1'!A17,"].binding.valueSet = """,'RelAftFlt-1'!H17,""""),"")</f>
        <v/>
      </c>
      <c r="J12" s="112" t="str">
        <f>IF('RelAftFlt-1'!I17&gt; "", CONCATENATE("* differential.element[",'RelAftFlt-1'!A17,"].binding.strength = #",'RelAftFlt-1'!I17,""),"")</f>
        <v/>
      </c>
    </row>
    <row r="13" spans="2:10" ht="177" x14ac:dyDescent="0.75">
      <c r="B13" s="112" t="str">
        <f>CONCATENATE("* differential.element[",'RelAftFlt-1'!$A18,"].id = """,'RelAftFlt-1'!$B$6,".",'RelAftFlt-1'!B18,"""")</f>
        <v>* differential.element[12].id = "RelapseAfterFLT.isChemotherapy"</v>
      </c>
      <c r="C13" s="112" t="str">
        <f>CONCATENATE("* differential.element[",'RelAftFlt-1'!$A18,"].path = """,'RelAftFlt-1'!$B$6,".",'RelAftFlt-1'!B18,"""")</f>
        <v>* differential.element[12].path = "RelapseAfterFLT.isChemotherapy"</v>
      </c>
      <c r="D13" s="112" t="str">
        <f>CONCATENATE("* differential.element[",'RelAftFlt-1'!A18,"].short = """,'RelAftFlt-1'!C18,"""")</f>
        <v>* differential.element[12].short = "Chemotherapy"</v>
      </c>
      <c r="E13" s="112" t="str">
        <f>CONCATENATE("* differential.element[",'RelAftFlt-1'!A18,"].definition = """,'RelAftFlt-1'!D18,"""")</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v>
      </c>
      <c r="F13" s="112" t="str">
        <f>CONCATENATE("* differential.element[",'RelAftFlt-1'!A18,"].min = ",'RelAftFlt-1'!E18,"")</f>
        <v>* differential.element[12].min = 0</v>
      </c>
      <c r="G13" s="112" t="str">
        <f>CONCATENATE("* differential.element[",'RelAftFlt-1'!A18,"].max = """,'RelAftFlt-1'!F18,"""")</f>
        <v>* differential.element[12].max = "1"</v>
      </c>
      <c r="H13" s="112" t="str">
        <f>CONCATENATE("* differential.element[",'RelAftFlt-1'!A18,"].type.code = #",'RelAftFlt-1'!G18,"")</f>
        <v>* differential.element[12].type.code = #CodeableConcept</v>
      </c>
      <c r="I13" s="112" t="str">
        <f>IF('RelAftFlt-1'!H18&gt; "", CONCATENATE("* differential.element[",'RelAftFlt-1'!A18,"].binding.valueSet = """,'RelAftFlt-1'!H18,""""),"")</f>
        <v/>
      </c>
      <c r="J13" s="112" t="str">
        <f>IF('RelAftFlt-1'!I18&gt; "", CONCATENATE("* differential.element[",'RelAftFlt-1'!A18,"].binding.strength = #",'RelAftFlt-1'!I18,""),"")</f>
        <v/>
      </c>
    </row>
    <row r="14" spans="2:10" ht="103.25" x14ac:dyDescent="0.75">
      <c r="B14" s="112" t="str">
        <f>CONCATENATE("* differential.element[",'RelAftFlt-1'!$A19,"].id = """,'RelAftFlt-1'!$B$6,".",'RelAftFlt-1'!B19,"""")</f>
        <v>* differential.element[13].id = "RelapseAfterFLT.isStemCellTransplantation"</v>
      </c>
      <c r="C14" s="112" t="str">
        <f>CONCATENATE("* differential.element[",'RelAftFlt-1'!$A19,"].path = """,'RelAftFlt-1'!$B$6,".",'RelAftFlt-1'!B19,"""")</f>
        <v>* differential.element[13].path = "RelapseAfterFLT.isStemCellTransplantation"</v>
      </c>
      <c r="D14" s="112" t="str">
        <f>CONCATENATE("* differential.element[",'RelAftFlt-1'!A19,"].short = """,'RelAftFlt-1'!C19,"""")</f>
        <v>* differential.element[13].short = "Stem Cell transplantation"</v>
      </c>
      <c r="E14" s="112" t="str">
        <f>CONCATENATE("* differential.element[",'RelAftFlt-1'!A19,"].definition = """,'RelAftFlt-1'!D19,"""")</f>
        <v>* differential.element[13].definition = "Please specify if the survivor received any hematopoietic stem cell transplant. Details will be given in the appropriate section 
1 =&gt; Yes
2 =&gt; No
-9922 =&gt; NK"</v>
      </c>
      <c r="F14" s="112" t="str">
        <f>CONCATENATE("* differential.element[",'RelAftFlt-1'!A19,"].min = ",'RelAftFlt-1'!E19,"")</f>
        <v>* differential.element[13].min = 0</v>
      </c>
      <c r="G14" s="112" t="str">
        <f>CONCATENATE("* differential.element[",'RelAftFlt-1'!A19,"].max = """,'RelAftFlt-1'!F19,"""")</f>
        <v>* differential.element[13].max = "1"</v>
      </c>
      <c r="H14" s="112" t="str">
        <f>CONCATENATE("* differential.element[",'RelAftFlt-1'!A19,"].type.code = #",'RelAftFlt-1'!G19,"")</f>
        <v>* differential.element[13].type.code = #CodeableConcept</v>
      </c>
      <c r="I14" s="112" t="str">
        <f>IF('RelAftFlt-1'!H19&gt; "", CONCATENATE("* differential.element[",'RelAftFlt-1'!A19,"].binding.valueSet = """,'RelAftFlt-1'!H19,""""),"")</f>
        <v/>
      </c>
      <c r="J14" s="112" t="str">
        <f>IF('RelAftFlt-1'!I19&gt; "", CONCATENATE("* differential.element[",'RelAftFlt-1'!A19,"].binding.strength = #",'RelAftFlt-1'!I19,""),"")</f>
        <v/>
      </c>
    </row>
    <row r="15" spans="2:10" ht="59" x14ac:dyDescent="0.75">
      <c r="B15" s="112" t="str">
        <f>CONCATENATE("* differential.element[",'RelAftFlt-1'!$A20,"].id = """,'RelAftFlt-1'!$B$6,".",'RelAftFlt-1'!B20,"""")</f>
        <v>* differential.element[14].id = "RelapseAfterFLT.isRadiotherapy"</v>
      </c>
      <c r="C15" s="112" t="str">
        <f>CONCATENATE("* differential.element[",'RelAftFlt-1'!$A20,"].path = """,'RelAftFlt-1'!$B$6,".",'RelAftFlt-1'!B20,"""")</f>
        <v>* differential.element[14].path = "RelapseAfterFLT.isRadiotherapy"</v>
      </c>
      <c r="D15" s="112" t="str">
        <f>CONCATENATE("* differential.element[",'RelAftFlt-1'!A20,"].short = """,'RelAftFlt-1'!C20,"""")</f>
        <v>* differential.element[14].short = "Radiotherapy"</v>
      </c>
      <c r="E15" s="112" t="str">
        <f>CONCATENATE("* differential.element[",'RelAftFlt-1'!A20,"].definition = """,'RelAftFlt-1'!D20,"""")</f>
        <v>* differential.element[14].definition = "Please specify if the survivor received any radiotherapeutic treatment. Details will be given in the appropriate section "</v>
      </c>
      <c r="F15" s="112" t="str">
        <f>CONCATENATE("* differential.element[",'RelAftFlt-1'!A20,"].min = ",'RelAftFlt-1'!E20,"")</f>
        <v>* differential.element[14].min = 0</v>
      </c>
      <c r="G15" s="112" t="str">
        <f>CONCATENATE("* differential.element[",'RelAftFlt-1'!A20,"].max = """,'RelAftFlt-1'!F20,"""")</f>
        <v>* differential.element[14].max = "1"</v>
      </c>
      <c r="H15" s="112" t="str">
        <f>CONCATENATE("* differential.element[",'RelAftFlt-1'!A20,"].type.code = #",'RelAftFlt-1'!G20,"")</f>
        <v>* differential.element[14].type.code = #CodeableConcept</v>
      </c>
      <c r="I15" s="112" t="str">
        <f>IF('RelAftFlt-1'!H20&gt; "", CONCATENATE("* differential.element[",'RelAftFlt-1'!A20,"].binding.valueSet = """,'RelAftFlt-1'!H20,""""),"")</f>
        <v/>
      </c>
      <c r="J15" s="112" t="str">
        <f>IF('RelAftFlt-1'!I20&gt; "", CONCATENATE("* differential.element[",'RelAftFlt-1'!A20,"].binding.strength = #",'RelAftFlt-1'!I20,""),"")</f>
        <v/>
      </c>
    </row>
    <row r="16" spans="2:10" ht="162.25" x14ac:dyDescent="0.75">
      <c r="B16" s="112" t="str">
        <f>CONCATENATE("* differential.element[",'RelAftFlt-1'!$A21,"].id = """,'RelAftFlt-1'!$B$6,".",'RelAftFlt-1'!B21,"""")</f>
        <v>* differential.element[15].id = "RelapseAfterFLT.isMajorSurgery"</v>
      </c>
      <c r="C16" s="112" t="str">
        <f>CONCATENATE("* differential.element[",'RelAftFlt-1'!$A21,"].path = """,'RelAftFlt-1'!$B$6,".",'RelAftFlt-1'!B21,"""")</f>
        <v>* differential.element[15].path = "RelapseAfterFLT.isMajorSurgery"</v>
      </c>
      <c r="D16" s="112" t="str">
        <f>CONCATENATE("* differential.element[",'RelAftFlt-1'!A21,"].short = """,'RelAftFlt-1'!C21,"""")</f>
        <v>* differential.element[15].short = "Major Surgery"</v>
      </c>
      <c r="E16" s="112" t="str">
        <f>CONCATENATE("* differential.element[",'RelAftFlt-1'!A21,"].definition = """,'RelAftFlt-1'!D21,"""")</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c r="F16" s="112" t="str">
        <f>CONCATENATE("* differential.element[",'RelAftFlt-1'!A21,"].min = ",'RelAftFlt-1'!E21,"")</f>
        <v>* differential.element[15].min = 0</v>
      </c>
      <c r="G16" s="112" t="str">
        <f>CONCATENATE("* differential.element[",'RelAftFlt-1'!A21,"].max = """,'RelAftFlt-1'!F21,"""")</f>
        <v>* differential.element[15].max = "1"</v>
      </c>
      <c r="H16" s="112" t="str">
        <f>CONCATENATE("* differential.element[",'RelAftFlt-1'!A21,"].type.code = #",'RelAftFlt-1'!G21,"")</f>
        <v>* differential.element[15].type.code = #CodeableConcept</v>
      </c>
      <c r="I16" s="112" t="str">
        <f>IF('RelAftFlt-1'!H21&gt; "", CONCATENATE("* differential.element[",'RelAftFlt-1'!A21,"].binding.valueSet = """,'RelAftFlt-1'!H21,""""),"")</f>
        <v/>
      </c>
      <c r="J16" s="112" t="str">
        <f>IF('RelAftFlt-1'!I21&gt; "", CONCATENATE("* differential.element[",'RelAftFlt-1'!A21,"].binding.strength = #",'RelAftFlt-1'!I21,""),"")</f>
        <v/>
      </c>
    </row>
    <row r="17" spans="2:10" ht="59" x14ac:dyDescent="0.75">
      <c r="B17" s="112" t="str">
        <f>CONCATENATE("* differential.element[",'RelAftFlt-1'!$A22,"].id = """,'RelAftFlt-1'!$B$6,".",'RelAftFlt-1'!B22,"""")</f>
        <v>* differential.element[16].id = "RelapseAfterFLT.dateEOT"</v>
      </c>
      <c r="C17" s="112" t="str">
        <f>CONCATENATE("* differential.element[",'RelAftFlt-1'!$A22,"].path = """,'RelAftFlt-1'!$B$6,".",'RelAftFlt-1'!B22,"""")</f>
        <v>* differential.element[16].path = "RelapseAfterFLT.dateEOT"</v>
      </c>
      <c r="D17" s="112" t="str">
        <f>CONCATENATE("* differential.element[",'RelAftFlt-1'!A22,"].short = """,'RelAftFlt-1'!C22,"""")</f>
        <v>* differential.element[16].short = "Date of end of treatment"</v>
      </c>
      <c r="E17" s="112" t="str">
        <f>CONCATENATE("* differential.element[",'RelAftFlt-1'!A22,"].definition = """,'RelAftFlt-1'!D22,"""")</f>
        <v>* differential.element[16].definition = "This is the date of the second (or further) end of treatment after the first one. If the date is unkown or partially missed insert the year at the best of your knowledge."</v>
      </c>
      <c r="F17" s="112" t="str">
        <f>CONCATENATE("* differential.element[",'RelAftFlt-1'!A22,"].min = ",'RelAftFlt-1'!E22,"")</f>
        <v>* differential.element[16].min = 0</v>
      </c>
      <c r="G17" s="112" t="str">
        <f>CONCATENATE("* differential.element[",'RelAftFlt-1'!A22,"].max = """,'RelAftFlt-1'!F22,"""")</f>
        <v>* differential.element[16].max = "1"</v>
      </c>
      <c r="H17" s="112" t="str">
        <f>CONCATENATE("* differential.element[",'RelAftFlt-1'!A22,"].type.code = #",'RelAftFlt-1'!G22,"")</f>
        <v>* differential.element[16].type.code = #dateTime</v>
      </c>
      <c r="I17" s="112" t="str">
        <f>IF('RelAftFlt-1'!H22&gt; "", CONCATENATE("* differential.element[",'RelAftFlt-1'!A22,"].binding.valueSet = """,'RelAftFlt-1'!H22,""""),"")</f>
        <v/>
      </c>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IF('RelAftFlt-1'!I23&gt; "", CONCATENATE("* differential.element[",'RelAftFlt-1'!A23,"].binding.strength = #",'RelAftFlt-1'!I23,""),"")</f>
        <v/>
      </c>
    </row>
    <row r="19" spans="2:10" x14ac:dyDescent="0.75">
      <c r="B19" s="112"/>
      <c r="C19" s="112"/>
      <c r="D19" s="112"/>
      <c r="E19" s="112"/>
      <c r="F19" s="112"/>
      <c r="G19" s="112"/>
      <c r="H19" s="112"/>
      <c r="I19" s="112"/>
      <c r="J19" s="112" t="str">
        <f>IF('RelAftFlt-1'!I24&gt; "", CONCATENATE("* differential.element[",'RelAftFlt-1'!A24,"].binding.strength = #",'RelAftFlt-1'!I24,""),"")</f>
        <v/>
      </c>
    </row>
    <row r="20" spans="2:10" x14ac:dyDescent="0.75">
      <c r="B20" s="112"/>
      <c r="C20" s="112"/>
      <c r="D20" s="112"/>
      <c r="E20" s="112"/>
      <c r="F20" s="112"/>
      <c r="G20" s="112"/>
      <c r="H20" s="112"/>
      <c r="I20" s="112"/>
      <c r="J20" s="112" t="str">
        <f>IF('RelAftFlt-1'!I25&gt; "", CONCATENATE("* differential.element[",'RelAftFlt-1'!A25,"].binding.strength = #",'RelAftFlt-1'!I25,""),"")</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145" workbookViewId="0">
      <selection activeCell="D179" sqref="D179:D182"/>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Marturity Level: 1"</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Marturity Level: 1"</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"RelapseAfterFLT.type"</v>
      </c>
    </row>
    <row r="54" spans="1:4" x14ac:dyDescent="0.75">
      <c r="A54" s="111">
        <v>20</v>
      </c>
      <c r="B54" s="111">
        <f t="shared" si="2"/>
        <v>2</v>
      </c>
      <c r="C54" s="111">
        <f t="shared" si="3"/>
        <v>2</v>
      </c>
      <c r="D54" s="112" t="str" cm="1">
        <f t="array" ref="D54">INDEX('RelAftFlt-2'!$B$2:$J$100,1+B54,C54)</f>
        <v>* differential.element[3].path = "RelapseAfterFLT.type"</v>
      </c>
    </row>
    <row r="55" spans="1:4" x14ac:dyDescent="0.75">
      <c r="A55" s="111">
        <v>21</v>
      </c>
      <c r="B55" s="111">
        <f t="shared" si="2"/>
        <v>2</v>
      </c>
      <c r="C55" s="111">
        <f t="shared" si="3"/>
        <v>3</v>
      </c>
      <c r="D55" s="112" t="str" cm="1">
        <f t="array" ref="D55">INDEX('RelAftFlt-2'!$B$2:$J$100,1+B55,C55)</f>
        <v>* differential.element[3].short = "relapse | progression"</v>
      </c>
    </row>
    <row r="56" spans="1:4" x14ac:dyDescent="0.75">
      <c r="A56" s="111">
        <v>22</v>
      </c>
      <c r="B56" s="111">
        <f t="shared" si="2"/>
        <v>2</v>
      </c>
      <c r="C56" s="111">
        <f t="shared" si="3"/>
        <v>4</v>
      </c>
      <c r="D56" s="112" t="str" cm="1">
        <f t="array" ref="D56">INDEX('RelAftFlt-2'!$B$2:$J$100,1+B56,C56)</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#CodeableConcept</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"RelapseAfterFLT.qualifier"</v>
      </c>
    </row>
    <row r="63" spans="1:4" x14ac:dyDescent="0.75">
      <c r="A63" s="111">
        <v>29</v>
      </c>
      <c r="B63" s="111">
        <f t="shared" si="2"/>
        <v>3</v>
      </c>
      <c r="C63" s="111">
        <f t="shared" si="3"/>
        <v>2</v>
      </c>
      <c r="D63" s="112" t="str" cm="1">
        <f t="array" ref="D63">INDEX('RelAftFlt-2'!$B$2:$J$100,1+B63,C63)</f>
        <v>* differential.element[4].path = "RelapseAfterFLT.qualifier"</v>
      </c>
    </row>
    <row r="64" spans="1:4" x14ac:dyDescent="0.75">
      <c r="A64" s="111">
        <v>30</v>
      </c>
      <c r="B64" s="111">
        <f t="shared" si="2"/>
        <v>3</v>
      </c>
      <c r="C64" s="111">
        <f t="shared" si="3"/>
        <v>3</v>
      </c>
      <c r="D64" s="112" t="str" cm="1">
        <f t="array" ref="D64">INDEX('RelAftFlt-2'!$B$2:$J$100,1+B64,C64)</f>
        <v>* differential.element[4].short = "local | distant | combined"</v>
      </c>
    </row>
    <row r="65" spans="1:4" x14ac:dyDescent="0.75">
      <c r="A65" s="111">
        <v>31</v>
      </c>
      <c r="B65" s="111">
        <f t="shared" si="2"/>
        <v>3</v>
      </c>
      <c r="C65" s="111">
        <f t="shared" si="3"/>
        <v>4</v>
      </c>
      <c r="D65" s="112" t="str" cm="1">
        <f t="array" ref="D65">INDEX('RelAftFlt-2'!$B$2:$J$100,1+B65,C65)</f>
        <v>* differential.element[4].definition = "Report here the date (dd/mm/yyyy ) of the relapse/progression. If the date is unkown or partially missed insert the year at the best of your knowledge."</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"RelapseAfterFLT.site"</v>
      </c>
    </row>
    <row r="72" spans="1:4" x14ac:dyDescent="0.75">
      <c r="A72" s="111">
        <v>38</v>
      </c>
      <c r="B72" s="111">
        <f t="shared" si="2"/>
        <v>4</v>
      </c>
      <c r="C72" s="111">
        <f t="shared" si="3"/>
        <v>2</v>
      </c>
      <c r="D72" s="112" t="str" cm="1">
        <f t="array" ref="D72">INDEX('RelAftFlt-2'!$B$2:$J$100,1+B72,C72)</f>
        <v>* differential.element[5].path = "RelapseAfterFLT.site"</v>
      </c>
    </row>
    <row r="73" spans="1:4" x14ac:dyDescent="0.75">
      <c r="A73" s="111">
        <v>39</v>
      </c>
      <c r="B73" s="111">
        <f t="shared" si="2"/>
        <v>4</v>
      </c>
      <c r="C73" s="111">
        <f t="shared" si="3"/>
        <v>3</v>
      </c>
      <c r="D73" s="112" t="str" cm="1">
        <f t="array" ref="D73">INDEX('RelAftFlt-2'!$B$2:$J$100,1+B73,C73)</f>
        <v>* differential.element[5].short = "If distant, site of metastases"</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#string</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"RelapseAfterFLT.followedProtocol"</v>
      </c>
    </row>
    <row r="81" spans="1:7" x14ac:dyDescent="0.75">
      <c r="A81" s="111">
        <v>47</v>
      </c>
      <c r="B81" s="111">
        <f t="shared" si="2"/>
        <v>5</v>
      </c>
      <c r="C81" s="111">
        <f t="shared" si="3"/>
        <v>2</v>
      </c>
      <c r="D81" s="112" t="str" cm="1">
        <f t="array" ref="D81">INDEX('RelAftFlt-2'!$B$2:$J$100,1+B81,C81)</f>
        <v>* differential.element[6].path = "RelapseAfterFLT.followedProtocol"</v>
      </c>
    </row>
    <row r="82" spans="1:7" x14ac:dyDescent="0.75">
      <c r="A82" s="111">
        <v>48</v>
      </c>
      <c r="B82" s="111">
        <f t="shared" si="2"/>
        <v>5</v>
      </c>
      <c r="C82" s="111">
        <f t="shared" si="3"/>
        <v>3</v>
      </c>
      <c r="D82" s="112" t="str" cm="1">
        <f t="array" ref="D82">INDEX('RelAftFlt-2'!$B$2:$J$100,1+B82,C82)</f>
        <v>* differential.element[6].short = "Salvage treatment"</v>
      </c>
    </row>
    <row r="83" spans="1:7" x14ac:dyDescent="0.75">
      <c r="A83" s="111">
        <v>49</v>
      </c>
      <c r="B83" s="111">
        <f t="shared" si="2"/>
        <v>5</v>
      </c>
      <c r="C83" s="111">
        <f t="shared" si="3"/>
        <v>4</v>
      </c>
      <c r="D83" s="112" t="str" cm="1">
        <f t="array" ref="D83">INDEX('RelAftFlt-2'!$B$2:$J$100,1+B83,C83)</f>
        <v>* differential.element[6].definition = "The salvage treatment has been executed following"</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v>
      </c>
    </row>
    <row r="86" spans="1:7" x14ac:dyDescent="0.75">
      <c r="A86" s="111">
        <v>52</v>
      </c>
      <c r="B86" s="111">
        <f t="shared" si="2"/>
        <v>5</v>
      </c>
      <c r="C86" s="111">
        <f t="shared" si="3"/>
        <v>7</v>
      </c>
      <c r="D86" s="112" t="str" cm="1">
        <f t="array" ref="D86">INDEX('RelAftFlt-2'!$B$2:$J$100,1+B86,C86)</f>
        <v>* differential.element[6].type.code = #BackboneElement</v>
      </c>
    </row>
    <row r="87" spans="1:7" x14ac:dyDescent="0.75">
      <c r="A87" s="111">
        <v>53</v>
      </c>
      <c r="B87" s="111">
        <f t="shared" si="2"/>
        <v>5</v>
      </c>
      <c r="C87" s="111">
        <f t="shared" si="3"/>
        <v>8</v>
      </c>
      <c r="D87" s="112" t="str" cm="1">
        <f t="array" ref="D87">INDEX('RelAftFlt-2'!$B$2:$J$100,1+B87,C87)</f>
        <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t="str" cm="1">
        <f t="array" ref="D89">INDEX('RelAftFlt-2'!$B$2:$J$100,1+B89,C89)</f>
        <v>* differential.element[7].id = "RelapseAfterFLT.followedProtocol.type"</v>
      </c>
    </row>
    <row r="90" spans="1:7" x14ac:dyDescent="0.75">
      <c r="A90" s="111">
        <v>56</v>
      </c>
      <c r="B90" s="111">
        <f t="shared" si="2"/>
        <v>6</v>
      </c>
      <c r="C90" s="111">
        <f t="shared" si="3"/>
        <v>2</v>
      </c>
      <c r="D90" s="112" t="str" cm="1">
        <f t="array" ref="D90">INDEX('RelAftFlt-2'!$B$2:$J$100,1+B90,C90)</f>
        <v>* differential.element[7].path = "RelapseAfterFLT.followedProtocol.type"</v>
      </c>
    </row>
    <row r="91" spans="1:7" ht="29.5" x14ac:dyDescent="0.75">
      <c r="A91" s="111">
        <v>57</v>
      </c>
      <c r="B91" s="111">
        <f t="shared" si="2"/>
        <v>6</v>
      </c>
      <c r="C91" s="111">
        <f t="shared" si="3"/>
        <v>3</v>
      </c>
      <c r="D91" s="112" t="str" cm="1">
        <f t="array" ref="D91">INDEX('RelAftFlt-2'!$B$2:$J$100,1+B91,C91)</f>
        <v>* differential.element[7].short = "type"</v>
      </c>
    </row>
    <row r="92" spans="1:7" x14ac:dyDescent="0.75">
      <c r="A92" s="111">
        <v>58</v>
      </c>
      <c r="B92" s="111">
        <f t="shared" si="2"/>
        <v>6</v>
      </c>
      <c r="C92" s="111">
        <f t="shared" si="3"/>
        <v>4</v>
      </c>
      <c r="D92" s="112" t="str" cm="1">
        <f t="array" ref="D92">INDEX('RelAftFlt-2'!$B$2:$J$100,1+B92,C92)</f>
        <v>* differential.element[7].definition = "Specify here (using the available codes) if because of the relapse/progression the patient was treated according to a protocol/trial or other treatment plans
1 =&gt; A trial/protocol
2 =&gt; Personalized
3 =&gt; Guidelines
-9922 =&gt; NK "</v>
      </c>
    </row>
    <row r="93" spans="1:7" x14ac:dyDescent="0.75">
      <c r="A93" s="111">
        <v>59</v>
      </c>
      <c r="B93" s="111">
        <f t="shared" si="2"/>
        <v>6</v>
      </c>
      <c r="C93" s="111">
        <f t="shared" si="3"/>
        <v>5</v>
      </c>
      <c r="D93" s="112" t="str" cm="1">
        <f t="array" ref="D93">INDEX('RelAftFlt-2'!$B$2:$J$100,1+B93,C93)</f>
        <v>* differential.element[7].min = 0</v>
      </c>
    </row>
    <row r="94" spans="1:7" x14ac:dyDescent="0.75">
      <c r="A94" s="111">
        <v>60</v>
      </c>
      <c r="B94" s="111">
        <f t="shared" si="2"/>
        <v>6</v>
      </c>
      <c r="C94" s="111">
        <f t="shared" si="3"/>
        <v>6</v>
      </c>
      <c r="D94" s="112" t="str" cm="1">
        <f t="array" ref="D94">INDEX('RelAftFlt-2'!$B$2:$J$100,1+B94,C94)</f>
        <v>* differential.element[7].max = "1"</v>
      </c>
    </row>
    <row r="95" spans="1:7" x14ac:dyDescent="0.75">
      <c r="A95" s="111">
        <v>61</v>
      </c>
      <c r="B95" s="111">
        <f t="shared" si="2"/>
        <v>6</v>
      </c>
      <c r="C95" s="111">
        <f t="shared" si="3"/>
        <v>7</v>
      </c>
      <c r="D95" s="112" t="str" cm="1">
        <f t="array" ref="D95">INDEX('RelAftFlt-2'!$B$2:$J$100,1+B95,C95)</f>
        <v>* differential.element[7].type.code = #CodeableConcept</v>
      </c>
    </row>
    <row r="96" spans="1:7" x14ac:dyDescent="0.75">
      <c r="A96" s="111">
        <v>62</v>
      </c>
      <c r="B96" s="111">
        <f t="shared" si="2"/>
        <v>6</v>
      </c>
      <c r="C96" s="111">
        <f t="shared" si="3"/>
        <v>8</v>
      </c>
      <c r="D96" s="112" t="str" cm="1">
        <f t="array" ref="D96">INDEX('RelAftFlt-2'!$B$2:$J$100,1+B96,C96)</f>
        <v/>
      </c>
    </row>
    <row r="97" spans="1:4" x14ac:dyDescent="0.75">
      <c r="A97" s="111">
        <v>63</v>
      </c>
      <c r="B97" s="111">
        <f t="shared" si="2"/>
        <v>6</v>
      </c>
      <c r="C97" s="111">
        <f t="shared" si="3"/>
        <v>9</v>
      </c>
      <c r="D97" s="112" t="str" cm="1">
        <f t="array" ref="D97">INDEX('RelAftFlt-2'!$B$2:$J$100,1+B97,C97)</f>
        <v/>
      </c>
    </row>
    <row r="98" spans="1:4" x14ac:dyDescent="0.75">
      <c r="A98" s="111">
        <v>64</v>
      </c>
      <c r="B98" s="111">
        <f t="shared" si="2"/>
        <v>7</v>
      </c>
      <c r="C98" s="111">
        <f t="shared" si="3"/>
        <v>1</v>
      </c>
      <c r="D98" s="112" t="str" cm="1">
        <f t="array" ref="D98">INDEX('RelAftFlt-2'!$B$2:$J$100,1+B98,C98)</f>
        <v>* differential.element[8].id = "RelapseAfterFLT.followedProtocol.flt"</v>
      </c>
    </row>
    <row r="99" spans="1:4" x14ac:dyDescent="0.75">
      <c r="A99" s="111">
        <v>65</v>
      </c>
      <c r="B99" s="111">
        <f t="shared" si="2"/>
        <v>7</v>
      </c>
      <c r="C99" s="111">
        <f t="shared" si="3"/>
        <v>2</v>
      </c>
      <c r="D99" s="112" t="str" cm="1">
        <f t="array" ref="D99">INDEX('RelAftFlt-2'!$B$2:$J$100,1+B99,C99)</f>
        <v>* differential.element[8].path = "RelapseAfterFLT.followedProtocol.flt"</v>
      </c>
    </row>
    <row r="100" spans="1:4" ht="29.5" x14ac:dyDescent="0.75">
      <c r="A100" s="111">
        <v>66</v>
      </c>
      <c r="B100" s="111">
        <f t="shared" si="2"/>
        <v>7</v>
      </c>
      <c r="C100" s="111">
        <f t="shared" si="3"/>
        <v>3</v>
      </c>
      <c r="D100" s="112" t="str" cm="1">
        <f t="array" ref="D100">INDEX('RelAftFlt-2'!$B$2:$J$100,1+B100,C100)</f>
        <v>* differential.element[8].short = "First line treatment trial/protocol"</v>
      </c>
    </row>
    <row r="101" spans="1:4" x14ac:dyDescent="0.75">
      <c r="A101" s="111">
        <v>67</v>
      </c>
      <c r="B101" s="111">
        <f t="shared" si="2"/>
        <v>7</v>
      </c>
      <c r="C101" s="111">
        <f t="shared" si="3"/>
        <v>4</v>
      </c>
      <c r="D101" s="112" t="str" cm="1">
        <f t="array" ref="D101">INDEX('RelAftFlt-2'!$B$2:$J$100,1+B101,C101)</f>
        <v>* differential.element[8].definition = "The system automatic display the trial/protocol executed during front line treatment"</v>
      </c>
    </row>
    <row r="102" spans="1:4" x14ac:dyDescent="0.75">
      <c r="A102" s="111">
        <v>68</v>
      </c>
      <c r="B102" s="111">
        <f t="shared" si="2"/>
        <v>7</v>
      </c>
      <c r="C102" s="111">
        <f t="shared" si="3"/>
        <v>5</v>
      </c>
      <c r="D102" s="112" t="str" cm="1">
        <f t="array" ref="D102">INDEX('RelAftFlt-2'!$B$2:$J$100,1+B102,C102)</f>
        <v>* differential.element[8].min = 0</v>
      </c>
    </row>
    <row r="103" spans="1:4" x14ac:dyDescent="0.75">
      <c r="A103" s="111">
        <v>69</v>
      </c>
      <c r="B103" s="111">
        <f t="shared" si="2"/>
        <v>7</v>
      </c>
      <c r="C103" s="111">
        <f t="shared" si="3"/>
        <v>6</v>
      </c>
      <c r="D103" s="112" t="str" cm="1">
        <f t="array" ref="D103">INDEX('RelAftFlt-2'!$B$2:$J$100,1+B103,C103)</f>
        <v>* differential.element[8].max = "1"</v>
      </c>
    </row>
    <row r="104" spans="1:4" x14ac:dyDescent="0.75">
      <c r="A104" s="111">
        <v>70</v>
      </c>
      <c r="B104" s="111">
        <f t="shared" si="2"/>
        <v>7</v>
      </c>
      <c r="C104" s="111">
        <f t="shared" si="3"/>
        <v>7</v>
      </c>
      <c r="D104" s="112" t="str" cm="1">
        <f t="array" ref="D104">INDEX('RelAftFlt-2'!$B$2:$J$100,1+B104,C104)</f>
        <v>* differential.element[8].type.code = #Identifier</v>
      </c>
    </row>
    <row r="105" spans="1:4" x14ac:dyDescent="0.75">
      <c r="A105" s="111">
        <v>71</v>
      </c>
      <c r="B105" s="111">
        <f t="shared" si="2"/>
        <v>7</v>
      </c>
      <c r="C105" s="111">
        <f t="shared" si="3"/>
        <v>8</v>
      </c>
      <c r="D105" s="112" t="str" cm="1">
        <f t="array" ref="D105">INDEX('RelAftFlt-2'!$B$2:$J$100,1+B105,C105)</f>
        <v/>
      </c>
    </row>
    <row r="106" spans="1:4" x14ac:dyDescent="0.75">
      <c r="A106" s="111">
        <v>72</v>
      </c>
      <c r="B106" s="111">
        <f t="shared" si="2"/>
        <v>7</v>
      </c>
      <c r="C106" s="111">
        <f t="shared" si="3"/>
        <v>9</v>
      </c>
      <c r="D106" s="112" t="str" cm="1">
        <f t="array" ref="D106">INDEX('RelAftFlt-2'!$B$2:$J$100,1+B106,C106)</f>
        <v/>
      </c>
    </row>
    <row r="107" spans="1:4" x14ac:dyDescent="0.75">
      <c r="A107" s="111">
        <v>73</v>
      </c>
      <c r="B107" s="111">
        <f t="shared" si="2"/>
        <v>8</v>
      </c>
      <c r="C107" s="111">
        <f t="shared" si="3"/>
        <v>1</v>
      </c>
      <c r="D107" s="112" t="str" cm="1">
        <f t="array" ref="D107">INDEX('RelAftFlt-2'!$B$2:$J$100,1+B107,C107)</f>
        <v>* differential.element[9].id = "RelapseAfterFLT.followedProtocol.protocolDescription"</v>
      </c>
    </row>
    <row r="108" spans="1:4" x14ac:dyDescent="0.75">
      <c r="A108" s="111">
        <v>74</v>
      </c>
      <c r="B108" s="111">
        <f t="shared" si="2"/>
        <v>8</v>
      </c>
      <c r="C108" s="111">
        <f t="shared" si="3"/>
        <v>2</v>
      </c>
      <c r="D108" s="112" t="str" cm="1">
        <f t="array" ref="D108">INDEX('RelAftFlt-2'!$B$2:$J$100,1+B108,C108)</f>
        <v>* differential.element[9].path = "RelapseAfterFLT.followedProtocol.protocolDescription"</v>
      </c>
    </row>
    <row r="109" spans="1:4" x14ac:dyDescent="0.75">
      <c r="A109" s="111">
        <v>75</v>
      </c>
      <c r="B109" s="111">
        <f t="shared" ref="B109:B172" si="4">IF(MOD(A109,$B$25)=0,A109/$B$25-1,INT(A109/$B$25))</f>
        <v>8</v>
      </c>
      <c r="C109" s="111">
        <f t="shared" ref="C109:C172" si="5">IF(MOD(A109,$B$25)=0,$B$25,MOD(A109,$B$25))</f>
        <v>3</v>
      </c>
      <c r="D109" s="112" t="str" cm="1">
        <f t="array" ref="D109">INDEX('RelAftFlt-2'!$B$2:$J$100,1+B109,C109)</f>
        <v>* differential.element[9].short = "If trial/protocol, specify which one"</v>
      </c>
    </row>
    <row r="110" spans="1:4" x14ac:dyDescent="0.75">
      <c r="A110" s="111">
        <v>76</v>
      </c>
      <c r="B110" s="111">
        <f t="shared" si="4"/>
        <v>8</v>
      </c>
      <c r="C110" s="111">
        <f t="shared" si="5"/>
        <v>4</v>
      </c>
      <c r="D110" s="112" t="str" cm="1">
        <f t="array" ref="D110">INDEX('RelAftFlt-2'!$B$2:$J$100,1+B110,C110)</f>
        <v>* differential.element[9].definition = "Specify the salvage trial/protocol (s) that was (were) used.  Free text"</v>
      </c>
    </row>
    <row r="111" spans="1:4" x14ac:dyDescent="0.75">
      <c r="A111" s="111">
        <v>77</v>
      </c>
      <c r="B111" s="111">
        <f t="shared" si="4"/>
        <v>8</v>
      </c>
      <c r="C111" s="111">
        <f t="shared" si="5"/>
        <v>5</v>
      </c>
      <c r="D111" s="112" t="str" cm="1">
        <f t="array" ref="D111">INDEX('RelAftFlt-2'!$B$2:$J$100,1+B111,C111)</f>
        <v>* differential.element[9].min = 0</v>
      </c>
    </row>
    <row r="112" spans="1:4" x14ac:dyDescent="0.75">
      <c r="A112" s="111">
        <v>78</v>
      </c>
      <c r="B112" s="111">
        <f t="shared" si="4"/>
        <v>8</v>
      </c>
      <c r="C112" s="111">
        <f t="shared" si="5"/>
        <v>6</v>
      </c>
      <c r="D112" s="112" t="str" cm="1">
        <f t="array" ref="D112">INDEX('RelAftFlt-2'!$B$2:$J$100,1+B112,C112)</f>
        <v>* differential.element[9].max = "1"</v>
      </c>
    </row>
    <row r="113" spans="1:4" x14ac:dyDescent="0.75">
      <c r="A113" s="111">
        <v>79</v>
      </c>
      <c r="B113" s="111">
        <f t="shared" si="4"/>
        <v>8</v>
      </c>
      <c r="C113" s="111">
        <f t="shared" si="5"/>
        <v>7</v>
      </c>
      <c r="D113" s="112" t="str" cm="1">
        <f t="array" ref="D113">INDEX('RelAftFlt-2'!$B$2:$J$100,1+B113,C113)</f>
        <v>* differential.element[9].type.code = #string</v>
      </c>
    </row>
    <row r="114" spans="1:4" x14ac:dyDescent="0.75">
      <c r="A114" s="111">
        <v>80</v>
      </c>
      <c r="B114" s="111">
        <f t="shared" si="4"/>
        <v>8</v>
      </c>
      <c r="C114" s="111">
        <f t="shared" si="5"/>
        <v>8</v>
      </c>
      <c r="D114" s="112" t="str" cm="1">
        <f t="array" ref="D114">INDEX('RelAftFlt-2'!$B$2:$J$100,1+B114,C114)</f>
        <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t="str" cm="1">
        <f t="array" ref="D116">INDEX('RelAftFlt-2'!$B$2:$J$100,1+B116,C116)</f>
        <v>* differential.element[10].id = "RelapseAfterFLT.followedProtocol.arm"</v>
      </c>
    </row>
    <row r="117" spans="1:4" x14ac:dyDescent="0.75">
      <c r="A117" s="111">
        <v>83</v>
      </c>
      <c r="B117" s="111">
        <f t="shared" si="4"/>
        <v>9</v>
      </c>
      <c r="C117" s="111">
        <f t="shared" si="5"/>
        <v>2</v>
      </c>
      <c r="D117" s="112" t="str" cm="1">
        <f t="array" ref="D117">INDEX('RelAftFlt-2'!$B$2:$J$100,1+B117,C117)</f>
        <v>* differential.element[10].path = "RelapseAfterFLT.followedProtocol.arm"</v>
      </c>
    </row>
    <row r="118" spans="1:4" x14ac:dyDescent="0.75">
      <c r="A118" s="111">
        <v>84</v>
      </c>
      <c r="B118" s="111">
        <f t="shared" si="4"/>
        <v>9</v>
      </c>
      <c r="C118" s="111">
        <f t="shared" si="5"/>
        <v>3</v>
      </c>
      <c r="D118" s="112" t="str" cm="1">
        <f t="array" ref="D118">INDEX('RelAftFlt-2'!$B$2:$J$100,1+B118,C118)</f>
        <v>* differential.element[10].short = "Group/Arm/Randomization"</v>
      </c>
    </row>
    <row r="119" spans="1:4" x14ac:dyDescent="0.75">
      <c r="A119" s="111">
        <v>85</v>
      </c>
      <c r="B119" s="111">
        <f t="shared" si="4"/>
        <v>9</v>
      </c>
      <c r="C119" s="111">
        <f t="shared" si="5"/>
        <v>4</v>
      </c>
      <c r="D119" s="112" t="str" cm="1">
        <f t="array" ref="D119">INDEX('RelAftFlt-2'!$B$2:$J$100,1+B119,C119)</f>
        <v>* differential.element[10].definition = "If the trial was randomized, please define randomization arm"</v>
      </c>
    </row>
    <row r="120" spans="1:4" x14ac:dyDescent="0.75">
      <c r="A120" s="111">
        <v>86</v>
      </c>
      <c r="B120" s="111">
        <f t="shared" si="4"/>
        <v>9</v>
      </c>
      <c r="C120" s="111">
        <f t="shared" si="5"/>
        <v>5</v>
      </c>
      <c r="D120" s="112" t="str" cm="1">
        <f t="array" ref="D120">INDEX('RelAftFlt-2'!$B$2:$J$100,1+B120,C120)</f>
        <v>* differential.element[10].min = 0</v>
      </c>
    </row>
    <row r="121" spans="1:4" x14ac:dyDescent="0.75">
      <c r="A121" s="111">
        <v>87</v>
      </c>
      <c r="B121" s="111">
        <f t="shared" si="4"/>
        <v>9</v>
      </c>
      <c r="C121" s="111">
        <f t="shared" si="5"/>
        <v>6</v>
      </c>
      <c r="D121" s="112" t="str" cm="1">
        <f t="array" ref="D121">INDEX('RelAftFlt-2'!$B$2:$J$100,1+B121,C121)</f>
        <v>* differential.element[10].max = "1"</v>
      </c>
    </row>
    <row r="122" spans="1:4" x14ac:dyDescent="0.75">
      <c r="A122" s="111">
        <v>88</v>
      </c>
      <c r="B122" s="111">
        <f t="shared" si="4"/>
        <v>9</v>
      </c>
      <c r="C122" s="111">
        <f t="shared" si="5"/>
        <v>7</v>
      </c>
      <c r="D122" s="112" t="str" cm="1">
        <f t="array" ref="D122">INDEX('RelAftFlt-2'!$B$2:$J$100,1+B122,C122)</f>
        <v>* differential.element[10].type.code = #string</v>
      </c>
    </row>
    <row r="123" spans="1:4" x14ac:dyDescent="0.75">
      <c r="A123" s="111">
        <v>89</v>
      </c>
      <c r="B123" s="111">
        <f t="shared" si="4"/>
        <v>9</v>
      </c>
      <c r="C123" s="111">
        <f t="shared" si="5"/>
        <v>8</v>
      </c>
      <c r="D123" s="112" t="str" cm="1">
        <f t="array" ref="D123">INDEX('RelAftFlt-2'!$B$2:$J$100,1+B123,C123)</f>
        <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t="str" cm="1">
        <f t="array" ref="D125">INDEX('RelAftFlt-2'!$B$2:$J$100,1+B125,C125)</f>
        <v>* differential.element[11].id = "RelapseAfterFLT.followedProtocol.personalizedDescription"</v>
      </c>
    </row>
    <row r="126" spans="1:4" x14ac:dyDescent="0.75">
      <c r="A126" s="111">
        <v>92</v>
      </c>
      <c r="B126" s="111">
        <f t="shared" si="4"/>
        <v>10</v>
      </c>
      <c r="C126" s="111">
        <f t="shared" si="5"/>
        <v>2</v>
      </c>
      <c r="D126" s="112" t="str" cm="1">
        <f t="array" ref="D126">INDEX('RelAftFlt-2'!$B$2:$J$100,1+B126,C126)</f>
        <v>* differential.element[11].path = "RelapseAfterFLT.followedProtocol.personalizedDescription"</v>
      </c>
    </row>
    <row r="127" spans="1:4" x14ac:dyDescent="0.75">
      <c r="A127" s="111">
        <v>93</v>
      </c>
      <c r="B127" s="111">
        <f t="shared" si="4"/>
        <v>10</v>
      </c>
      <c r="C127" s="111">
        <f t="shared" si="5"/>
        <v>3</v>
      </c>
      <c r="D127" s="112" t="str" cm="1">
        <f t="array" ref="D127">INDEX('RelAftFlt-2'!$B$2:$J$100,1+B127,C127)</f>
        <v>* differential.element[11].short = "If personalized, please specify
"</v>
      </c>
    </row>
    <row r="128" spans="1:4" x14ac:dyDescent="0.75">
      <c r="A128" s="111">
        <v>94</v>
      </c>
      <c r="B128" s="111">
        <f t="shared" si="4"/>
        <v>10</v>
      </c>
      <c r="C128" s="111">
        <f t="shared" si="5"/>
        <v>4</v>
      </c>
      <c r="D128" s="112" t="str" cm="1">
        <f t="array" ref="D128">INDEX('RelAftFlt-2'!$B$2:$J$100,1+B128,C128)</f>
        <v>* differential.element[11].definition = "If a personalized treatment was used, please specify."</v>
      </c>
    </row>
    <row r="129" spans="1:4" ht="29.5" x14ac:dyDescent="0.75">
      <c r="A129" s="111">
        <v>95</v>
      </c>
      <c r="B129" s="111">
        <f t="shared" si="4"/>
        <v>10</v>
      </c>
      <c r="C129" s="111">
        <f t="shared" si="5"/>
        <v>5</v>
      </c>
      <c r="D129" s="112" t="str" cm="1">
        <f t="array" ref="D129">INDEX('RelAftFlt-2'!$B$2:$J$100,1+B129,C129)</f>
        <v>* differential.element[11].min = 0</v>
      </c>
    </row>
    <row r="130" spans="1:4" x14ac:dyDescent="0.75">
      <c r="A130" s="111">
        <v>96</v>
      </c>
      <c r="B130" s="111">
        <f t="shared" si="4"/>
        <v>10</v>
      </c>
      <c r="C130" s="111">
        <f t="shared" si="5"/>
        <v>6</v>
      </c>
      <c r="D130" s="112" t="str" cm="1">
        <f t="array" ref="D130">INDEX('RelAftFlt-2'!$B$2:$J$100,1+B130,C130)</f>
        <v>* differential.element[11].max = "1"</v>
      </c>
    </row>
    <row r="131" spans="1:4" x14ac:dyDescent="0.75">
      <c r="A131" s="111">
        <v>97</v>
      </c>
      <c r="B131" s="111">
        <f t="shared" si="4"/>
        <v>10</v>
      </c>
      <c r="C131" s="111">
        <f t="shared" si="5"/>
        <v>7</v>
      </c>
      <c r="D131" s="112" t="str" cm="1">
        <f t="array" ref="D131">INDEX('RelAftFlt-2'!$B$2:$J$100,1+B131,C131)</f>
        <v>* differential.element[11].type.code = #string</v>
      </c>
    </row>
    <row r="132" spans="1:4" x14ac:dyDescent="0.75">
      <c r="A132" s="111">
        <v>98</v>
      </c>
      <c r="B132" s="111">
        <f t="shared" si="4"/>
        <v>10</v>
      </c>
      <c r="C132" s="111">
        <f t="shared" si="5"/>
        <v>8</v>
      </c>
      <c r="D132" s="112" t="str" cm="1">
        <f t="array" ref="D132">INDEX('RelAftFlt-2'!$B$2:$J$100,1+B132,C132)</f>
        <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t="str" cm="1">
        <f t="array" ref="D134">INDEX('RelAftFlt-2'!$B$2:$J$100,1+B134,C134)</f>
        <v>* differential.element[12].id = "RelapseAfterFLT.isChemotherapy"</v>
      </c>
    </row>
    <row r="135" spans="1:4" x14ac:dyDescent="0.75">
      <c r="A135" s="111">
        <v>101</v>
      </c>
      <c r="B135" s="111">
        <f t="shared" si="4"/>
        <v>11</v>
      </c>
      <c r="C135" s="111">
        <f t="shared" si="5"/>
        <v>2</v>
      </c>
      <c r="D135" s="112" t="str" cm="1">
        <f t="array" ref="D135">INDEX('RelAftFlt-2'!$B$2:$J$100,1+B135,C135)</f>
        <v>* differential.element[12].path = "RelapseAfterFLT.isChemotherapy"</v>
      </c>
    </row>
    <row r="136" spans="1:4" x14ac:dyDescent="0.75">
      <c r="A136" s="111">
        <v>102</v>
      </c>
      <c r="B136" s="111">
        <f t="shared" si="4"/>
        <v>11</v>
      </c>
      <c r="C136" s="111">
        <f t="shared" si="5"/>
        <v>3</v>
      </c>
      <c r="D136" s="112" t="str" cm="1">
        <f t="array" ref="D136">INDEX('RelAftFlt-2'!$B$2:$J$100,1+B136,C136)</f>
        <v>* differential.element[12].short = "Chemotherapy"</v>
      </c>
    </row>
    <row r="137" spans="1:4" ht="103.25" x14ac:dyDescent="0.75">
      <c r="A137" s="111">
        <v>103</v>
      </c>
      <c r="B137" s="111">
        <f t="shared" si="4"/>
        <v>11</v>
      </c>
      <c r="C137" s="111">
        <f t="shared" si="5"/>
        <v>4</v>
      </c>
      <c r="D137" s="112" t="str" cm="1">
        <f t="array" ref="D137">INDEX('RelAftFlt-2'!$B$2:$J$100,1+B137,C137)</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v>
      </c>
    </row>
    <row r="138" spans="1:4" ht="29.5" x14ac:dyDescent="0.75">
      <c r="A138" s="111">
        <v>104</v>
      </c>
      <c r="B138" s="111">
        <f t="shared" si="4"/>
        <v>11</v>
      </c>
      <c r="C138" s="111">
        <f t="shared" si="5"/>
        <v>5</v>
      </c>
      <c r="D138" s="112" t="str" cm="1">
        <f t="array" ref="D138">INDEX('RelAftFlt-2'!$B$2:$J$100,1+B138,C138)</f>
        <v>* differential.element[12].min = 0</v>
      </c>
    </row>
    <row r="139" spans="1:4" x14ac:dyDescent="0.75">
      <c r="A139" s="111">
        <v>105</v>
      </c>
      <c r="B139" s="111">
        <f t="shared" si="4"/>
        <v>11</v>
      </c>
      <c r="C139" s="111">
        <f t="shared" si="5"/>
        <v>6</v>
      </c>
      <c r="D139" s="112" t="str" cm="1">
        <f t="array" ref="D139">INDEX('RelAftFlt-2'!$B$2:$J$100,1+B139,C139)</f>
        <v>* differential.element[12].max = "1"</v>
      </c>
    </row>
    <row r="140" spans="1:4" x14ac:dyDescent="0.75">
      <c r="A140" s="111">
        <v>106</v>
      </c>
      <c r="B140" s="111">
        <f t="shared" si="4"/>
        <v>11</v>
      </c>
      <c r="C140" s="111">
        <f t="shared" si="5"/>
        <v>7</v>
      </c>
      <c r="D140" s="112" t="str" cm="1">
        <f t="array" ref="D140">INDEX('RelAftFlt-2'!$B$2:$J$100,1+B140,C140)</f>
        <v>* differential.element[12].type.code = #CodeableConcept</v>
      </c>
    </row>
    <row r="141" spans="1:4" x14ac:dyDescent="0.75">
      <c r="A141" s="111">
        <v>107</v>
      </c>
      <c r="B141" s="111">
        <f t="shared" si="4"/>
        <v>11</v>
      </c>
      <c r="C141" s="111">
        <f t="shared" si="5"/>
        <v>8</v>
      </c>
      <c r="D141" s="112" t="str" cm="1">
        <f t="array" ref="D141">INDEX('RelAftFlt-2'!$B$2:$J$100,1+B141,C141)</f>
        <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t="str" cm="1">
        <f t="array" ref="D143">INDEX('RelAftFlt-2'!$B$2:$J$100,1+B143,C143)</f>
        <v>* differential.element[13].id = "RelapseAfterFLT.isStemCellTransplantation"</v>
      </c>
    </row>
    <row r="144" spans="1:4" x14ac:dyDescent="0.75">
      <c r="A144" s="111">
        <v>110</v>
      </c>
      <c r="B144" s="111">
        <f t="shared" si="4"/>
        <v>12</v>
      </c>
      <c r="C144" s="111">
        <f t="shared" si="5"/>
        <v>2</v>
      </c>
      <c r="D144" s="112" t="str" cm="1">
        <f t="array" ref="D144">INDEX('RelAftFlt-2'!$B$2:$J$100,1+B144,C144)</f>
        <v>* differential.element[13].path = "RelapseAfterFLT.isStemCellTransplantation"</v>
      </c>
    </row>
    <row r="145" spans="1:4" x14ac:dyDescent="0.75">
      <c r="A145" s="111">
        <v>111</v>
      </c>
      <c r="B145" s="111">
        <f t="shared" si="4"/>
        <v>12</v>
      </c>
      <c r="C145" s="111">
        <f t="shared" si="5"/>
        <v>3</v>
      </c>
      <c r="D145" s="112" t="str" cm="1">
        <f t="array" ref="D145">INDEX('RelAftFlt-2'!$B$2:$J$100,1+B145,C145)</f>
        <v>* differential.element[13].short = "Stem Cell transplantation"</v>
      </c>
    </row>
    <row r="146" spans="1:4" ht="73.75" x14ac:dyDescent="0.75">
      <c r="A146" s="111">
        <v>112</v>
      </c>
      <c r="B146" s="111">
        <f t="shared" si="4"/>
        <v>12</v>
      </c>
      <c r="C146" s="111">
        <f t="shared" si="5"/>
        <v>4</v>
      </c>
      <c r="D146" s="112" t="str" cm="1">
        <f t="array" ref="D146">INDEX('RelAftFlt-2'!$B$2:$J$100,1+B146,C146)</f>
        <v>* differential.element[13].definition = "Please specify if the survivor received any hematopoietic stem cell transplant. Details will be given in the appropriate section 
1 =&gt; Yes
2 =&gt; No
-9922 =&gt; NK"</v>
      </c>
    </row>
    <row r="147" spans="1:4" ht="88.5" x14ac:dyDescent="0.75">
      <c r="A147" s="111">
        <v>113</v>
      </c>
      <c r="B147" s="111">
        <f t="shared" si="4"/>
        <v>12</v>
      </c>
      <c r="C147" s="111">
        <f t="shared" si="5"/>
        <v>5</v>
      </c>
      <c r="D147" s="112" t="str" cm="1">
        <f t="array" ref="D147">INDEX('RelAftFlt-2'!$B$2:$J$100,1+B147,C147)</f>
        <v>* differential.element[13].min = 0</v>
      </c>
    </row>
    <row r="148" spans="1:4" x14ac:dyDescent="0.75">
      <c r="A148" s="111">
        <v>114</v>
      </c>
      <c r="B148" s="111">
        <f t="shared" si="4"/>
        <v>12</v>
      </c>
      <c r="C148" s="111">
        <f t="shared" si="5"/>
        <v>6</v>
      </c>
      <c r="D148" s="112" t="str" cm="1">
        <f t="array" ref="D148">INDEX('RelAftFlt-2'!$B$2:$J$100,1+B148,C148)</f>
        <v>* differential.element[13].max = "1"</v>
      </c>
    </row>
    <row r="149" spans="1:4" x14ac:dyDescent="0.75">
      <c r="A149" s="111">
        <v>115</v>
      </c>
      <c r="B149" s="111">
        <f t="shared" si="4"/>
        <v>12</v>
      </c>
      <c r="C149" s="111">
        <f t="shared" si="5"/>
        <v>7</v>
      </c>
      <c r="D149" s="112" t="str" cm="1">
        <f t="array" ref="D149">INDEX('RelAftFlt-2'!$B$2:$J$100,1+B149,C149)</f>
        <v>* differential.element[13].type.code = #CodeableConcept</v>
      </c>
    </row>
    <row r="150" spans="1:4" x14ac:dyDescent="0.75">
      <c r="A150" s="111">
        <v>116</v>
      </c>
      <c r="B150" s="111">
        <f t="shared" si="4"/>
        <v>12</v>
      </c>
      <c r="C150" s="111">
        <f t="shared" si="5"/>
        <v>8</v>
      </c>
      <c r="D150" s="112" t="str" cm="1">
        <f t="array" ref="D150">INDEX('RelAftFlt-2'!$B$2:$J$100,1+B150,C150)</f>
        <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t="str" cm="1">
        <f t="array" ref="D152">INDEX('RelAftFlt-2'!$B$2:$J$100,1+B152,C152)</f>
        <v>* differential.element[14].id = "RelapseAfterFLT.isRadiotherapy"</v>
      </c>
    </row>
    <row r="153" spans="1:4" x14ac:dyDescent="0.75">
      <c r="A153" s="111">
        <v>119</v>
      </c>
      <c r="B153" s="111">
        <f t="shared" si="4"/>
        <v>13</v>
      </c>
      <c r="C153" s="111">
        <f t="shared" si="5"/>
        <v>2</v>
      </c>
      <c r="D153" s="112" t="str" cm="1">
        <f t="array" ref="D153">INDEX('RelAftFlt-2'!$B$2:$J$100,1+B153,C153)</f>
        <v>* differential.element[14].path = "RelapseAfterFLT.isRadiotherapy"</v>
      </c>
    </row>
    <row r="154" spans="1:4" x14ac:dyDescent="0.75">
      <c r="A154" s="111">
        <v>120</v>
      </c>
      <c r="B154" s="111">
        <f t="shared" si="4"/>
        <v>13</v>
      </c>
      <c r="C154" s="111">
        <f t="shared" si="5"/>
        <v>3</v>
      </c>
      <c r="D154" s="112" t="str" cm="1">
        <f t="array" ref="D154">INDEX('RelAftFlt-2'!$B$2:$J$100,1+B154,C154)</f>
        <v>* differential.element[14].short = "Radiotherapy"</v>
      </c>
    </row>
    <row r="155" spans="1:4" x14ac:dyDescent="0.75">
      <c r="A155" s="111">
        <v>121</v>
      </c>
      <c r="B155" s="111">
        <f t="shared" si="4"/>
        <v>13</v>
      </c>
      <c r="C155" s="111">
        <f t="shared" si="5"/>
        <v>4</v>
      </c>
      <c r="D155" s="112" t="str" cm="1">
        <f t="array" ref="D155">INDEX('RelAftFlt-2'!$B$2:$J$100,1+B155,C155)</f>
        <v>* differential.element[14].definition = "Please specify if the survivor received any radiotherapeutic treatment. Details will be given in the appropriate section "</v>
      </c>
    </row>
    <row r="156" spans="1:4" ht="29.5" x14ac:dyDescent="0.75">
      <c r="A156" s="111">
        <v>122</v>
      </c>
      <c r="B156" s="111">
        <f t="shared" si="4"/>
        <v>13</v>
      </c>
      <c r="C156" s="111">
        <f t="shared" si="5"/>
        <v>5</v>
      </c>
      <c r="D156" s="112" t="str" cm="1">
        <f t="array" ref="D156">INDEX('RelAftFlt-2'!$B$2:$J$100,1+B156,C156)</f>
        <v>* differential.element[14].min = 0</v>
      </c>
    </row>
    <row r="157" spans="1:4" x14ac:dyDescent="0.75">
      <c r="A157" s="111">
        <v>123</v>
      </c>
      <c r="B157" s="111">
        <f t="shared" si="4"/>
        <v>13</v>
      </c>
      <c r="C157" s="111">
        <f t="shared" si="5"/>
        <v>6</v>
      </c>
      <c r="D157" s="112" t="str" cm="1">
        <f t="array" ref="D157">INDEX('RelAftFlt-2'!$B$2:$J$100,1+B157,C157)</f>
        <v>* differential.element[14].max = "1"</v>
      </c>
    </row>
    <row r="158" spans="1:4" x14ac:dyDescent="0.75">
      <c r="A158" s="111">
        <v>124</v>
      </c>
      <c r="B158" s="111">
        <f t="shared" si="4"/>
        <v>13</v>
      </c>
      <c r="C158" s="111">
        <f t="shared" si="5"/>
        <v>7</v>
      </c>
      <c r="D158" s="112" t="str" cm="1">
        <f t="array" ref="D158">INDEX('RelAftFlt-2'!$B$2:$J$100,1+B158,C158)</f>
        <v>* differential.element[14].type.code = #CodeableConcept</v>
      </c>
    </row>
    <row r="159" spans="1:4" x14ac:dyDescent="0.75">
      <c r="A159" s="111">
        <v>125</v>
      </c>
      <c r="B159" s="111">
        <f t="shared" si="4"/>
        <v>13</v>
      </c>
      <c r="C159" s="111">
        <f t="shared" si="5"/>
        <v>8</v>
      </c>
      <c r="D159" s="112" t="str" cm="1">
        <f t="array" ref="D159">INDEX('RelAftFlt-2'!$B$2:$J$100,1+B159,C159)</f>
        <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t="str" cm="1">
        <f t="array" ref="D161">INDEX('RelAftFlt-2'!$B$2:$J$100,1+B161,C161)</f>
        <v>* differential.element[15].id = "RelapseAfterFLT.isMajorSurgery"</v>
      </c>
    </row>
    <row r="162" spans="1:4" x14ac:dyDescent="0.75">
      <c r="A162" s="111">
        <v>128</v>
      </c>
      <c r="B162" s="111">
        <f t="shared" si="4"/>
        <v>14</v>
      </c>
      <c r="C162" s="111">
        <f t="shared" si="5"/>
        <v>2</v>
      </c>
      <c r="D162" s="112" t="str" cm="1">
        <f t="array" ref="D162">INDEX('RelAftFlt-2'!$B$2:$J$100,1+B162,C162)</f>
        <v>* differential.element[15].path = "RelapseAfterFLT.isMajorSurgery"</v>
      </c>
    </row>
    <row r="163" spans="1:4" x14ac:dyDescent="0.75">
      <c r="A163" s="111">
        <v>129</v>
      </c>
      <c r="B163" s="111">
        <f t="shared" si="4"/>
        <v>14</v>
      </c>
      <c r="C163" s="111">
        <f t="shared" si="5"/>
        <v>3</v>
      </c>
      <c r="D163" s="112" t="str" cm="1">
        <f t="array" ref="D163">INDEX('RelAftFlt-2'!$B$2:$J$100,1+B163,C163)</f>
        <v>* differential.element[15].short = "Major Surgery"</v>
      </c>
    </row>
    <row r="164" spans="1:4" x14ac:dyDescent="0.75">
      <c r="A164" s="111">
        <v>130</v>
      </c>
      <c r="B164" s="111">
        <f t="shared" si="4"/>
        <v>14</v>
      </c>
      <c r="C164" s="111">
        <f t="shared" si="5"/>
        <v>4</v>
      </c>
      <c r="D164" s="112" t="str" cm="1">
        <f t="array" ref="D164">INDEX('RelAftFlt-2'!$B$2:$J$100,1+B164,C164)</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row>
    <row r="165" spans="1:4" ht="29.5" x14ac:dyDescent="0.75">
      <c r="A165" s="111">
        <v>131</v>
      </c>
      <c r="B165" s="111">
        <f t="shared" si="4"/>
        <v>14</v>
      </c>
      <c r="C165" s="111">
        <f t="shared" si="5"/>
        <v>5</v>
      </c>
      <c r="D165" s="112" t="str" cm="1">
        <f t="array" ref="D165">INDEX('RelAftFlt-2'!$B$2:$J$100,1+B165,C165)</f>
        <v>* differential.element[15].min = 0</v>
      </c>
    </row>
    <row r="166" spans="1:4" x14ac:dyDescent="0.75">
      <c r="A166" s="111">
        <v>132</v>
      </c>
      <c r="B166" s="111">
        <f t="shared" si="4"/>
        <v>14</v>
      </c>
      <c r="C166" s="111">
        <f t="shared" si="5"/>
        <v>6</v>
      </c>
      <c r="D166" s="112" t="str" cm="1">
        <f t="array" ref="D166">INDEX('RelAftFlt-2'!$B$2:$J$100,1+B166,C166)</f>
        <v>* differential.element[15].max = "1"</v>
      </c>
    </row>
    <row r="167" spans="1:4" x14ac:dyDescent="0.75">
      <c r="A167" s="111">
        <v>133</v>
      </c>
      <c r="B167" s="111">
        <f t="shared" si="4"/>
        <v>14</v>
      </c>
      <c r="C167" s="111">
        <f t="shared" si="5"/>
        <v>7</v>
      </c>
      <c r="D167" s="112" t="str" cm="1">
        <f t="array" ref="D167">INDEX('RelAftFlt-2'!$B$2:$J$100,1+B167,C167)</f>
        <v>* differential.element[15].type.code = #CodeableConcept</v>
      </c>
    </row>
    <row r="168" spans="1:4" x14ac:dyDescent="0.75">
      <c r="A168" s="111">
        <v>134</v>
      </c>
      <c r="B168" s="111">
        <f t="shared" si="4"/>
        <v>14</v>
      </c>
      <c r="C168" s="111">
        <f t="shared" si="5"/>
        <v>8</v>
      </c>
      <c r="D168" s="112" t="str" cm="1">
        <f t="array" ref="D168">INDEX('RelAftFlt-2'!$B$2:$J$100,1+B168,C168)</f>
        <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t="str" cm="1">
        <f t="array" ref="D170">INDEX('RelAftFlt-2'!$B$2:$J$100,1+B170,C170)</f>
        <v>* differential.element[16].id = "RelapseAfterFLT.dateEOT"</v>
      </c>
    </row>
    <row r="171" spans="1:4" x14ac:dyDescent="0.75">
      <c r="A171" s="111">
        <v>137</v>
      </c>
      <c r="B171" s="111">
        <f t="shared" si="4"/>
        <v>15</v>
      </c>
      <c r="C171" s="111">
        <f t="shared" si="5"/>
        <v>2</v>
      </c>
      <c r="D171" s="112" t="str" cm="1">
        <f t="array" ref="D171">INDEX('RelAftFlt-2'!$B$2:$J$100,1+B171,C171)</f>
        <v>* differential.element[16].path = "RelapseAfterFLT.dateEOT"</v>
      </c>
    </row>
    <row r="172" spans="1:4" x14ac:dyDescent="0.75">
      <c r="A172" s="111">
        <v>138</v>
      </c>
      <c r="B172" s="111">
        <f t="shared" si="4"/>
        <v>15</v>
      </c>
      <c r="C172" s="111">
        <f t="shared" si="5"/>
        <v>3</v>
      </c>
      <c r="D172" s="112" t="str" cm="1">
        <f t="array" ref="D172">INDEX('RelAftFlt-2'!$B$2:$J$100,1+B172,C172)</f>
        <v>* differential.element[16].short = "Date of end of treatment"</v>
      </c>
    </row>
    <row r="173" spans="1:4" x14ac:dyDescent="0.75">
      <c r="A173" s="111">
        <v>139</v>
      </c>
      <c r="B173" s="111">
        <f t="shared" ref="B173:B236" si="6">IF(MOD(A173,$B$25)=0,A173/$B$25-1,INT(A173/$B$25))</f>
        <v>15</v>
      </c>
      <c r="C173" s="111">
        <f t="shared" ref="C173:C236" si="7">IF(MOD(A173,$B$25)=0,$B$25,MOD(A173,$B$25))</f>
        <v>4</v>
      </c>
      <c r="D173" s="112" t="str" cm="1">
        <f t="array" ref="D173">INDEX('RelAftFlt-2'!$B$2:$J$100,1+B173,C173)</f>
        <v>* differential.element[16].definition = "This is the date of the second (or further) end of treatment after the first one. If the date is unkown or partially missed insert the year at the best of your knowledge."</v>
      </c>
    </row>
    <row r="174" spans="1:4" x14ac:dyDescent="0.75">
      <c r="A174" s="111">
        <v>140</v>
      </c>
      <c r="B174" s="111">
        <f t="shared" si="6"/>
        <v>15</v>
      </c>
      <c r="C174" s="111">
        <f t="shared" si="7"/>
        <v>5</v>
      </c>
      <c r="D174" s="112" t="str" cm="1">
        <f t="array" ref="D174">INDEX('RelAftFlt-2'!$B$2:$J$100,1+B174,C174)</f>
        <v>* differential.element[16].min = 0</v>
      </c>
    </row>
    <row r="175" spans="1:4" x14ac:dyDescent="0.75">
      <c r="A175" s="111">
        <v>141</v>
      </c>
      <c r="B175" s="111">
        <f t="shared" si="6"/>
        <v>15</v>
      </c>
      <c r="C175" s="111">
        <f t="shared" si="7"/>
        <v>6</v>
      </c>
      <c r="D175" s="112" t="str" cm="1">
        <f t="array" ref="D175">INDEX('RelAftFlt-2'!$B$2:$J$100,1+B175,C175)</f>
        <v>* differential.element[16].max = "1"</v>
      </c>
    </row>
    <row r="176" spans="1:4" x14ac:dyDescent="0.75">
      <c r="A176" s="111">
        <v>142</v>
      </c>
      <c r="B176" s="111">
        <f t="shared" si="6"/>
        <v>15</v>
      </c>
      <c r="C176" s="111">
        <f t="shared" si="7"/>
        <v>7</v>
      </c>
      <c r="D176" s="112" t="str" cm="1">
        <f t="array" ref="D176">INDEX('RelAftFlt-2'!$B$2:$J$100,1+B176,C176)</f>
        <v>* differential.element[16].type.code = #dateTime</v>
      </c>
    </row>
    <row r="177" spans="1:4" x14ac:dyDescent="0.75">
      <c r="A177" s="111">
        <v>143</v>
      </c>
      <c r="B177" s="111">
        <f t="shared" si="6"/>
        <v>15</v>
      </c>
      <c r="C177" s="111">
        <f t="shared" si="7"/>
        <v>8</v>
      </c>
      <c r="D177" s="112" t="str" cm="1">
        <f t="array" ref="D177">INDEX('RelAftFlt-2'!$B$2:$J$100,1+B177,C177)</f>
        <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ht="103.25"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8" sqref="D8"/>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59" x14ac:dyDescent="0.75">
      <c r="A7" s="111">
        <v>0</v>
      </c>
      <c r="B7" s="111">
        <f>'RelAftFlt-1'!A6</f>
        <v>0</v>
      </c>
      <c r="C7" s="24" t="str">
        <f>'RelAftFlt-1'!B6</f>
        <v>RelapseAfterFLT</v>
      </c>
      <c r="D7" s="24" t="s">
        <v>1080</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v>
      </c>
      <c r="J7" s="110" t="str">
        <f>IF(E7&gt;"",CONCATENATE("* differential.element[",$B7,"].mapping[",$A7,"].comment = """,E7,""""),"")</f>
        <v/>
      </c>
      <c r="L7" s="109" t="s">
        <v>40</v>
      </c>
      <c r="M7" s="109" t="s">
        <v>39</v>
      </c>
    </row>
    <row r="8" spans="1:13" x14ac:dyDescent="0.75">
      <c r="A8" s="111">
        <v>0</v>
      </c>
      <c r="B8" s="111">
        <f>'RelAftFlt-1'!A7</f>
        <v>1</v>
      </c>
      <c r="C8" s="113" t="str">
        <f>'RelAftFlt-1'!B7</f>
        <v>identifier</v>
      </c>
      <c r="D8" s="48" t="s">
        <v>908</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'RelAftFlt-1'!A8</f>
        <v>2</v>
      </c>
      <c r="C9" s="113" t="str">
        <f>'RelAftFlt-1'!B8</f>
        <v>relatedDiagnosis</v>
      </c>
      <c r="D9" s="138" t="s">
        <v>1081</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29.5" x14ac:dyDescent="0.75">
      <c r="A10" s="111">
        <v>0</v>
      </c>
      <c r="B10" s="111" t="e">
        <f>'RelAftFlt-1'!#REF!</f>
        <v>#REF!</v>
      </c>
      <c r="C10" s="113" t="e">
        <f>'RelAftFlt-1'!#REF!</f>
        <v>#REF!</v>
      </c>
      <c r="D10" s="111" t="s">
        <v>1082</v>
      </c>
      <c r="G10" s="109" t="b">
        <f t="shared" si="1"/>
        <v>1</v>
      </c>
      <c r="H10" s="110" t="e">
        <f t="shared" si="2"/>
        <v>#REF!</v>
      </c>
      <c r="I10" s="110" t="e">
        <f t="shared" si="3"/>
        <v>#REF!</v>
      </c>
      <c r="J10" s="110" t="str">
        <f t="shared" si="4"/>
        <v/>
      </c>
      <c r="M10" s="109" t="e">
        <f t="shared" si="0"/>
        <v>#REF!</v>
      </c>
    </row>
    <row r="11" spans="1:13" ht="103.25" x14ac:dyDescent="0.75">
      <c r="A11" s="111">
        <v>0</v>
      </c>
      <c r="B11" s="111">
        <f>'RelAftFlt-1'!A9</f>
        <v>3</v>
      </c>
      <c r="C11" s="113" t="str">
        <f>'RelAftFlt-1'!B9</f>
        <v>type</v>
      </c>
      <c r="D11" s="112" t="s">
        <v>1083</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1">
        <v>0</v>
      </c>
      <c r="B12" s="111">
        <f>'RelAftFlt-1'!A10</f>
        <v>4</v>
      </c>
      <c r="C12" s="113" t="str">
        <f>'RelAftFlt-1'!B10</f>
        <v>qualifier</v>
      </c>
      <c r="D12" s="48" t="s">
        <v>1059</v>
      </c>
      <c r="G12" s="109" t="b">
        <f t="shared" si="1"/>
        <v>1</v>
      </c>
      <c r="H12" s="110" t="str">
        <f t="shared" si="2"/>
        <v>* differential.element[4].mapping[0].identity = "fhir"</v>
      </c>
      <c r="I12" s="110" t="str">
        <f t="shared" si="3"/>
        <v>* differential.element[4].mapping[0].map = "TBD"</v>
      </c>
      <c r="J12" s="110" t="str">
        <f t="shared" si="4"/>
        <v/>
      </c>
      <c r="M12" s="109" t="str">
        <f t="shared" si="0"/>
        <v>* qualifier -&gt; "TBD"</v>
      </c>
    </row>
    <row r="13" spans="1:13" ht="29.5" x14ac:dyDescent="0.75">
      <c r="A13" s="111">
        <v>0</v>
      </c>
      <c r="B13" s="111">
        <f>'RelAftFlt-1'!A11</f>
        <v>5</v>
      </c>
      <c r="C13" s="113" t="str">
        <f>'RelAftFlt-1'!B11</f>
        <v>site</v>
      </c>
      <c r="D13" s="48" t="s">
        <v>1084</v>
      </c>
      <c r="G13" s="109" t="b">
        <f t="shared" si="1"/>
        <v>1</v>
      </c>
      <c r="H13" s="110" t="str">
        <f t="shared" si="2"/>
        <v>* differential.element[5].mapping[0].identity = "fhir"</v>
      </c>
      <c r="I13" s="110" t="str">
        <f t="shared" si="3"/>
        <v>* differential.element[5].mapping[0].map = "bodySite"</v>
      </c>
      <c r="J13" s="110" t="str">
        <f t="shared" si="4"/>
        <v/>
      </c>
      <c r="M13" s="109" t="str">
        <f t="shared" si="0"/>
        <v>* site -&gt; "bodySite"</v>
      </c>
    </row>
    <row r="14" spans="1:13" ht="29.5" x14ac:dyDescent="0.75">
      <c r="A14" s="111">
        <v>0</v>
      </c>
      <c r="B14" s="111" t="e">
        <f>'RelAftFlt-1'!#REF!</f>
        <v>#REF!</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'RelAftFlt-1'!A12</f>
        <v>6</v>
      </c>
      <c r="C15" s="113"/>
      <c r="D15" s="48"/>
      <c r="G15" s="109" t="b">
        <f t="shared" si="1"/>
        <v>0</v>
      </c>
      <c r="H15" s="110" t="str">
        <f t="shared" si="2"/>
        <v/>
      </c>
      <c r="I15" s="110" t="str">
        <f t="shared" si="3"/>
        <v/>
      </c>
      <c r="J15" s="110" t="str">
        <f t="shared" si="4"/>
        <v/>
      </c>
      <c r="M15" s="109" t="str">
        <f t="shared" si="0"/>
        <v>*  -&gt; ""</v>
      </c>
    </row>
    <row r="16" spans="1:13" ht="29.5" x14ac:dyDescent="0.75">
      <c r="A16" s="111">
        <v>0</v>
      </c>
      <c r="B16" s="111">
        <f>'RelAftFlt-1'!A14</f>
        <v>8</v>
      </c>
      <c r="C16" s="113"/>
      <c r="D16" s="48"/>
      <c r="G16" s="109" t="b">
        <f t="shared" si="1"/>
        <v>0</v>
      </c>
      <c r="H16" s="110" t="str">
        <f t="shared" si="2"/>
        <v/>
      </c>
      <c r="I16" s="110" t="str">
        <f t="shared" si="3"/>
        <v/>
      </c>
      <c r="J16" s="110" t="str">
        <f t="shared" si="4"/>
        <v/>
      </c>
      <c r="M16" s="109" t="str">
        <f t="shared" si="0"/>
        <v>*  -&gt; ""</v>
      </c>
    </row>
    <row r="17" spans="1:13" ht="29.5" x14ac:dyDescent="0.75">
      <c r="A17" s="111">
        <v>0</v>
      </c>
      <c r="B17" s="111">
        <f>'RelAftFlt-1'!A15</f>
        <v>9</v>
      </c>
      <c r="C17" s="113"/>
      <c r="D17" s="48"/>
      <c r="G17" s="109" t="b">
        <f t="shared" si="1"/>
        <v>0</v>
      </c>
      <c r="H17" s="110" t="str">
        <f t="shared" si="2"/>
        <v/>
      </c>
      <c r="I17" s="110" t="str">
        <f t="shared" si="3"/>
        <v/>
      </c>
      <c r="J17" s="110" t="str">
        <f t="shared" si="4"/>
        <v/>
      </c>
      <c r="M17" s="109" t="str">
        <f t="shared" si="0"/>
        <v>*  -&gt; ""</v>
      </c>
    </row>
    <row r="18" spans="1:13" ht="29.5" x14ac:dyDescent="0.75">
      <c r="A18" s="111">
        <v>0</v>
      </c>
      <c r="B18" s="111">
        <f>'RelAftFlt-1'!A16</f>
        <v>10</v>
      </c>
      <c r="C18" s="113"/>
      <c r="D18" s="48"/>
      <c r="G18" s="109" t="b">
        <f t="shared" si="1"/>
        <v>0</v>
      </c>
      <c r="H18" s="110" t="str">
        <f t="shared" si="2"/>
        <v/>
      </c>
      <c r="I18" s="110" t="str">
        <f t="shared" si="3"/>
        <v/>
      </c>
      <c r="J18" s="110" t="str">
        <f t="shared" si="4"/>
        <v/>
      </c>
      <c r="M18" s="109" t="str">
        <f t="shared" si="0"/>
        <v>*  -&gt; ""</v>
      </c>
    </row>
    <row r="19" spans="1:13" ht="29.5" x14ac:dyDescent="0.75">
      <c r="A19" s="111">
        <v>0</v>
      </c>
      <c r="B19" s="111">
        <f>'RelAftFlt-1'!A17</f>
        <v>11</v>
      </c>
      <c r="C19" s="113"/>
      <c r="D19" s="111"/>
      <c r="G19" s="109" t="b">
        <f t="shared" si="1"/>
        <v>0</v>
      </c>
      <c r="H19" s="110" t="str">
        <f t="shared" si="2"/>
        <v/>
      </c>
      <c r="I19" s="110" t="str">
        <f t="shared" si="3"/>
        <v/>
      </c>
      <c r="J19" s="110" t="str">
        <f t="shared" si="4"/>
        <v/>
      </c>
      <c r="M19" s="109" t="str">
        <f t="shared" si="0"/>
        <v>*  -&gt; ""</v>
      </c>
    </row>
    <row r="20" spans="1:13" ht="29.5" x14ac:dyDescent="0.75">
      <c r="A20" s="111">
        <v>0</v>
      </c>
      <c r="B20" s="111">
        <f>'RelAftFlt-1'!A18</f>
        <v>12</v>
      </c>
      <c r="C20" s="113"/>
      <c r="D20" s="111"/>
      <c r="G20" s="109" t="b">
        <f t="shared" si="1"/>
        <v>0</v>
      </c>
      <c r="H20" s="110" t="str">
        <f t="shared" si="2"/>
        <v/>
      </c>
      <c r="I20" s="110" t="str">
        <f t="shared" si="3"/>
        <v/>
      </c>
      <c r="J20" s="110" t="str">
        <f t="shared" si="4"/>
        <v/>
      </c>
      <c r="M20" s="109" t="str">
        <f t="shared" si="0"/>
        <v>*  -&gt; ""</v>
      </c>
    </row>
    <row r="21" spans="1:13" ht="59" x14ac:dyDescent="0.75">
      <c r="A21" s="111">
        <v>0</v>
      </c>
      <c r="B21" s="111">
        <f>'RelAftFlt-1'!A19</f>
        <v>13</v>
      </c>
      <c r="C21" s="113"/>
      <c r="D21" s="111"/>
      <c r="G21" s="109" t="b">
        <f t="shared" si="1"/>
        <v>0</v>
      </c>
      <c r="H21" s="110" t="str">
        <f t="shared" si="2"/>
        <v/>
      </c>
      <c r="I21" s="110" t="str">
        <f t="shared" si="3"/>
        <v/>
      </c>
      <c r="J21" s="110" t="str">
        <f t="shared" si="4"/>
        <v/>
      </c>
      <c r="M21" s="109" t="str">
        <f t="shared" si="0"/>
        <v>*  -&gt; ""</v>
      </c>
    </row>
    <row r="22" spans="1:13" ht="59" x14ac:dyDescent="0.75">
      <c r="A22" s="111">
        <v>0</v>
      </c>
      <c r="B22" s="111">
        <f>'RelAftFlt-1'!A20</f>
        <v>14</v>
      </c>
      <c r="C22" s="113"/>
      <c r="D22" s="111"/>
      <c r="G22" s="109" t="b">
        <f t="shared" si="1"/>
        <v>0</v>
      </c>
      <c r="H22" s="110" t="str">
        <f t="shared" si="2"/>
        <v/>
      </c>
      <c r="I22" s="110" t="str">
        <f t="shared" si="3"/>
        <v/>
      </c>
      <c r="J22" s="110" t="str">
        <f t="shared" si="4"/>
        <v/>
      </c>
      <c r="M22" s="109" t="str">
        <f t="shared" si="0"/>
        <v>*  -&gt; ""</v>
      </c>
    </row>
    <row r="23" spans="1:13" ht="59" x14ac:dyDescent="0.75">
      <c r="A23" s="111">
        <v>0</v>
      </c>
      <c r="B23" s="111">
        <f>'RelAftFlt-1'!A21</f>
        <v>15</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'RelAftFlt-1'!A22</f>
        <v>16</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'RelAftFlt-1'!A23</f>
        <v>0</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'RelAftFlt-1'!A24</f>
        <v>0</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'RelAftFlt-1'!A25</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'RelAftFlt-1'!A26</f>
        <v>0</v>
      </c>
      <c r="C28" s="113"/>
      <c r="D28" s="141"/>
      <c r="G28" s="109" t="b">
        <f t="shared" si="1"/>
        <v>0</v>
      </c>
      <c r="H28" s="110" t="str">
        <f t="shared" si="2"/>
        <v/>
      </c>
      <c r="I28" s="110" t="str">
        <f t="shared" si="3"/>
        <v/>
      </c>
      <c r="J28" s="110" t="str">
        <f t="shared" si="4"/>
        <v/>
      </c>
    </row>
    <row r="29" spans="1:13" x14ac:dyDescent="0.75">
      <c r="A29" s="111">
        <v>0</v>
      </c>
      <c r="B29" s="111">
        <f>'RelAftFlt-1'!A27</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'RelAftFlt-1'!A28</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'RelAftFlt-1'!A29</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'RelAftFlt-1'!A30</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'RelAftFlt-1'!A31</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'RelAftFlt-1'!A32</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'RelAftFlt-1'!A33</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'RelAftFlt-1'!A34</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'RelAftFlt-1'!A35</f>
        <v>0</v>
      </c>
      <c r="C37" s="113">
        <f>'RelAftFlt-1'!B35</f>
        <v>0</v>
      </c>
      <c r="D37" s="141"/>
      <c r="G37" s="109" t="b">
        <f t="shared" si="1"/>
        <v>0</v>
      </c>
      <c r="H37" s="110" t="str">
        <f t="shared" si="2"/>
        <v/>
      </c>
      <c r="I37" s="110" t="str">
        <f t="shared" si="3"/>
        <v/>
      </c>
      <c r="J37" s="110" t="str">
        <f t="shared" si="4"/>
        <v/>
      </c>
      <c r="M37" s="109" t="str">
        <f t="shared" si="9"/>
        <v>* 0 -&gt; ""</v>
      </c>
    </row>
    <row r="38" spans="1:13" x14ac:dyDescent="0.75">
      <c r="A38" s="111">
        <v>0</v>
      </c>
      <c r="B38" s="111">
        <f>'RelAftFlt-1'!A36</f>
        <v>0</v>
      </c>
      <c r="C38" s="113">
        <f>'RelAftFlt-1'!B36</f>
        <v>0</v>
      </c>
      <c r="D38" s="141"/>
      <c r="G38" s="109" t="b">
        <f t="shared" si="1"/>
        <v>0</v>
      </c>
      <c r="H38" s="110" t="str">
        <f t="shared" si="2"/>
        <v/>
      </c>
      <c r="I38" s="110" t="str">
        <f t="shared" si="3"/>
        <v/>
      </c>
      <c r="J38" s="110" t="str">
        <f t="shared" si="4"/>
        <v/>
      </c>
    </row>
    <row r="39" spans="1:13" x14ac:dyDescent="0.75">
      <c r="A39" s="111">
        <v>0</v>
      </c>
      <c r="B39" s="111">
        <f>'RelAftFlt-1'!A37</f>
        <v>0</v>
      </c>
      <c r="C39" s="113">
        <f>'RelAftFlt-1'!B37</f>
        <v>0</v>
      </c>
      <c r="D39" s="141"/>
      <c r="G39" s="109" t="b">
        <f t="shared" si="1"/>
        <v>0</v>
      </c>
      <c r="H39" s="110" t="str">
        <f t="shared" si="2"/>
        <v/>
      </c>
      <c r="I39" s="110" t="str">
        <f t="shared" si="3"/>
        <v/>
      </c>
      <c r="J39" s="110" t="str">
        <f t="shared" si="4"/>
        <v/>
      </c>
    </row>
    <row r="40" spans="1:13" ht="59" x14ac:dyDescent="0.75">
      <c r="A40" s="111">
        <v>0</v>
      </c>
      <c r="B40" s="111">
        <f>'RelAftFlt-1'!A38</f>
        <v>0</v>
      </c>
      <c r="C40" s="113">
        <f>'RelAftFlt-1'!B38</f>
        <v>0</v>
      </c>
      <c r="D40" s="24" t="s">
        <v>913</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'RelAftFlt-1'!A39</f>
        <v>0</v>
      </c>
      <c r="C41" s="113">
        <f>'RelAftFlt-1'!B39</f>
        <v>0</v>
      </c>
      <c r="D41" s="111" t="s">
        <v>909</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'RelAftFlt-1'!A40</f>
        <v>0</v>
      </c>
      <c r="C42" s="113">
        <f>'RelAftFlt-1'!B40</f>
        <v>0</v>
      </c>
      <c r="D42" s="109" t="s">
        <v>914</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'RelAftFlt-1'!A41</f>
        <v>0</v>
      </c>
      <c r="C43" s="113">
        <f>'RelAftFlt-1'!B41</f>
        <v>0</v>
      </c>
      <c r="D43" s="111" t="s">
        <v>910</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'RelAftFlt-1'!A42</f>
        <v>0</v>
      </c>
      <c r="C44" s="113">
        <f>'RelAftFlt-1'!B42</f>
        <v>0</v>
      </c>
      <c r="D44" s="112" t="s">
        <v>912</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'RelAftFlt-1'!A43</f>
        <v>0</v>
      </c>
      <c r="C45" s="113">
        <f>'RelAftFlt-1'!B43</f>
        <v>0</v>
      </c>
      <c r="D45" s="142"/>
      <c r="G45" s="109" t="b">
        <f t="shared" si="1"/>
        <v>0</v>
      </c>
      <c r="H45" s="110" t="str">
        <f t="shared" si="2"/>
        <v/>
      </c>
      <c r="I45" s="110" t="str">
        <f t="shared" si="3"/>
        <v/>
      </c>
      <c r="J45" s="110" t="str">
        <f t="shared" si="4"/>
        <v/>
      </c>
    </row>
    <row r="46" spans="1:13" x14ac:dyDescent="0.75">
      <c r="A46" s="111">
        <v>0</v>
      </c>
      <c r="B46" s="111">
        <f>'RelAftFlt-1'!A44</f>
        <v>0</v>
      </c>
      <c r="C46" s="113">
        <f>'RelAftFlt-1'!B44</f>
        <v>0</v>
      </c>
      <c r="D46" s="142"/>
      <c r="G46" s="109" t="b">
        <f t="shared" si="1"/>
        <v>0</v>
      </c>
      <c r="H46" s="110" t="str">
        <f t="shared" si="2"/>
        <v/>
      </c>
      <c r="I46" s="110" t="str">
        <f t="shared" si="3"/>
        <v/>
      </c>
      <c r="J46" s="110" t="str">
        <f t="shared" si="4"/>
        <v/>
      </c>
    </row>
    <row r="47" spans="1:13" x14ac:dyDescent="0.75">
      <c r="A47" s="111">
        <v>0</v>
      </c>
      <c r="B47" s="111">
        <f>'RelAftFlt-1'!A45</f>
        <v>0</v>
      </c>
      <c r="C47" s="113">
        <f>'RelAftFlt-1'!B45</f>
        <v>0</v>
      </c>
      <c r="D47" s="142"/>
      <c r="G47" s="109" t="b">
        <f t="shared" si="1"/>
        <v>0</v>
      </c>
      <c r="H47" s="110" t="str">
        <f t="shared" si="2"/>
        <v/>
      </c>
      <c r="I47" s="110" t="str">
        <f t="shared" si="3"/>
        <v/>
      </c>
      <c r="J47" s="110" t="str">
        <f t="shared" si="4"/>
        <v/>
      </c>
    </row>
    <row r="48" spans="1:13" x14ac:dyDescent="0.75">
      <c r="A48" s="111">
        <v>0</v>
      </c>
      <c r="B48" s="111">
        <f>'RelAftFlt-1'!A46</f>
        <v>0</v>
      </c>
      <c r="C48" s="113">
        <f>'RelAftFlt-1'!B46</f>
        <v>0</v>
      </c>
      <c r="D48" s="143"/>
      <c r="G48" s="109" t="b">
        <f t="shared" si="1"/>
        <v>0</v>
      </c>
      <c r="H48" s="110" t="str">
        <f t="shared" si="2"/>
        <v/>
      </c>
      <c r="I48" s="110" t="str">
        <f t="shared" si="3"/>
        <v/>
      </c>
      <c r="J48" s="110" t="str">
        <f t="shared" si="4"/>
        <v/>
      </c>
    </row>
    <row r="49" spans="1:10" x14ac:dyDescent="0.75">
      <c r="A49" s="111">
        <v>0</v>
      </c>
      <c r="B49" s="111">
        <f>'RelAftFlt-1'!A47</f>
        <v>0</v>
      </c>
      <c r="C49" s="113">
        <f>'RelAftFlt-1'!B47</f>
        <v>0</v>
      </c>
      <c r="D49" s="143"/>
      <c r="G49" s="109" t="b">
        <f t="shared" si="1"/>
        <v>0</v>
      </c>
      <c r="H49" s="110" t="str">
        <f t="shared" si="2"/>
        <v/>
      </c>
      <c r="I49" s="110" t="str">
        <f t="shared" si="3"/>
        <v/>
      </c>
      <c r="J49" s="110" t="str">
        <f t="shared" si="4"/>
        <v/>
      </c>
    </row>
    <row r="50" spans="1:10" ht="88.5" x14ac:dyDescent="0.75">
      <c r="A50" s="111">
        <v>0</v>
      </c>
      <c r="B50" s="111">
        <f>'RelAftFlt-1'!A48</f>
        <v>0</v>
      </c>
      <c r="C50" s="113">
        <f>'RelAftFlt-1'!B48</f>
        <v>0</v>
      </c>
      <c r="D50" s="112" t="s">
        <v>911</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'RelAftFlt-1'!A49</f>
        <v>0</v>
      </c>
      <c r="C51" s="113">
        <f>'RelAftFlt-1'!B49</f>
        <v>0</v>
      </c>
      <c r="D51" s="143"/>
      <c r="G51" s="109" t="b">
        <f t="shared" si="1"/>
        <v>0</v>
      </c>
      <c r="H51" s="110" t="str">
        <f t="shared" si="2"/>
        <v/>
      </c>
      <c r="I51" s="110" t="str">
        <f t="shared" si="3"/>
        <v/>
      </c>
      <c r="J51" s="110" t="str">
        <f t="shared" si="4"/>
        <v/>
      </c>
    </row>
    <row r="52" spans="1:10" x14ac:dyDescent="0.75">
      <c r="A52" s="111">
        <v>0</v>
      </c>
      <c r="B52" s="111">
        <f>'RelAftFlt-1'!A50</f>
        <v>0</v>
      </c>
      <c r="C52" s="113">
        <f>'RelAftFlt-1'!B50</f>
        <v>0</v>
      </c>
      <c r="D52" s="143"/>
      <c r="G52" s="109" t="b">
        <f t="shared" si="1"/>
        <v>0</v>
      </c>
      <c r="H52" s="110" t="str">
        <f t="shared" si="2"/>
        <v/>
      </c>
      <c r="I52" s="110" t="str">
        <f t="shared" si="3"/>
        <v/>
      </c>
      <c r="J52" s="110" t="str">
        <f t="shared" si="4"/>
        <v/>
      </c>
    </row>
    <row r="53" spans="1:10" x14ac:dyDescent="0.75">
      <c r="A53" s="111">
        <v>0</v>
      </c>
      <c r="B53" s="111">
        <f>'RelAftFlt-1'!A51</f>
        <v>0</v>
      </c>
      <c r="C53" s="113">
        <f>'RelAftFlt-1'!B51</f>
        <v>0</v>
      </c>
      <c r="D53" s="143"/>
      <c r="G53" s="109" t="b">
        <f t="shared" si="1"/>
        <v>0</v>
      </c>
      <c r="H53" s="110" t="str">
        <f t="shared" si="2"/>
        <v/>
      </c>
      <c r="I53" s="110" t="str">
        <f t="shared" si="3"/>
        <v/>
      </c>
      <c r="J53" s="110" t="str">
        <f t="shared" si="4"/>
        <v/>
      </c>
    </row>
    <row r="54" spans="1:10" x14ac:dyDescent="0.75">
      <c r="A54" s="111">
        <v>0</v>
      </c>
      <c r="B54" s="111">
        <f>'RelAftFlt-1'!A52</f>
        <v>0</v>
      </c>
      <c r="C54" s="113">
        <f>'RelAftFlt-1'!B52</f>
        <v>0</v>
      </c>
      <c r="D54" s="143"/>
      <c r="G54" s="109" t="b">
        <f t="shared" si="1"/>
        <v>0</v>
      </c>
      <c r="H54" s="110" t="str">
        <f t="shared" si="2"/>
        <v/>
      </c>
      <c r="I54" s="110" t="str">
        <f t="shared" si="3"/>
        <v/>
      </c>
      <c r="J54" s="110" t="str">
        <f t="shared" si="4"/>
        <v/>
      </c>
    </row>
    <row r="55" spans="1:10" x14ac:dyDescent="0.75">
      <c r="A55" s="111">
        <v>0</v>
      </c>
      <c r="B55" s="111">
        <f>'RelAftFlt-1'!A53</f>
        <v>0</v>
      </c>
      <c r="C55" s="113">
        <f>'RelAftFlt-1'!B53</f>
        <v>0</v>
      </c>
      <c r="D55" s="143"/>
      <c r="G55" s="109" t="b">
        <f t="shared" si="1"/>
        <v>0</v>
      </c>
      <c r="H55" s="110" t="str">
        <f t="shared" si="2"/>
        <v/>
      </c>
      <c r="I55" s="110" t="str">
        <f t="shared" si="3"/>
        <v/>
      </c>
      <c r="J55" s="110" t="str">
        <f t="shared" si="4"/>
        <v/>
      </c>
    </row>
    <row r="56" spans="1:10" x14ac:dyDescent="0.75">
      <c r="A56" s="111">
        <v>0</v>
      </c>
      <c r="B56" s="111">
        <f>'RelAftFlt-1'!A54</f>
        <v>0</v>
      </c>
      <c r="C56" s="113">
        <f>'RelAftFlt-1'!B54</f>
        <v>0</v>
      </c>
      <c r="D56" s="143"/>
      <c r="G56" s="109" t="b">
        <f t="shared" si="1"/>
        <v>0</v>
      </c>
      <c r="H56" s="110" t="str">
        <f t="shared" si="2"/>
        <v/>
      </c>
      <c r="I56" s="110" t="str">
        <f t="shared" si="3"/>
        <v/>
      </c>
      <c r="J56" s="110" t="str">
        <f t="shared" si="4"/>
        <v/>
      </c>
    </row>
    <row r="57" spans="1:10" x14ac:dyDescent="0.75">
      <c r="A57" s="111">
        <v>0</v>
      </c>
      <c r="B57" s="111">
        <f>'RelAftFlt-1'!A55</f>
        <v>0</v>
      </c>
      <c r="C57" s="113">
        <f>'RelAftFlt-1'!B55</f>
        <v>0</v>
      </c>
      <c r="G57" s="109" t="b">
        <f t="shared" si="1"/>
        <v>0</v>
      </c>
      <c r="H57" s="110" t="str">
        <f t="shared" si="2"/>
        <v/>
      </c>
      <c r="I57" s="110" t="str">
        <f t="shared" si="3"/>
        <v/>
      </c>
      <c r="J57" s="110" t="str">
        <f t="shared" si="4"/>
        <v/>
      </c>
    </row>
    <row r="58" spans="1:10" x14ac:dyDescent="0.75">
      <c r="A58" s="111">
        <v>0</v>
      </c>
      <c r="B58" s="111">
        <f>'RelAftFlt-1'!A56</f>
        <v>0</v>
      </c>
      <c r="C58" s="113">
        <f>'RelAftFlt-1'!B56</f>
        <v>0</v>
      </c>
      <c r="G58" s="109" t="b">
        <f t="shared" si="1"/>
        <v>0</v>
      </c>
      <c r="H58" s="110" t="str">
        <f t="shared" si="2"/>
        <v/>
      </c>
      <c r="I58" s="110" t="str">
        <f t="shared" si="3"/>
        <v/>
      </c>
      <c r="J58" s="110" t="str">
        <f t="shared" si="4"/>
        <v/>
      </c>
    </row>
    <row r="59" spans="1:10" x14ac:dyDescent="0.75">
      <c r="A59" s="111">
        <v>0</v>
      </c>
      <c r="B59" s="111">
        <f>'RelAftFlt-1'!A57</f>
        <v>0</v>
      </c>
      <c r="C59" s="113">
        <f>'RelAftFlt-1'!B57</f>
        <v>0</v>
      </c>
      <c r="G59" s="109" t="b">
        <f t="shared" si="1"/>
        <v>0</v>
      </c>
      <c r="H59" s="110" t="str">
        <f t="shared" si="2"/>
        <v/>
      </c>
      <c r="I59" s="110" t="str">
        <f t="shared" si="3"/>
        <v/>
      </c>
      <c r="J59" s="110" t="str">
        <f t="shared" si="4"/>
        <v/>
      </c>
    </row>
    <row r="60" spans="1:10" x14ac:dyDescent="0.75">
      <c r="A60" s="111">
        <v>0</v>
      </c>
      <c r="B60" s="111">
        <f>'RelAftFlt-1'!A58</f>
        <v>0</v>
      </c>
      <c r="C60" s="113">
        <f>'RelAftFlt-1'!B58</f>
        <v>0</v>
      </c>
      <c r="G60" s="109" t="b">
        <f t="shared" si="1"/>
        <v>0</v>
      </c>
      <c r="H60" s="110" t="str">
        <f t="shared" si="2"/>
        <v/>
      </c>
      <c r="I60" s="110" t="str">
        <f t="shared" si="3"/>
        <v/>
      </c>
      <c r="J60" s="110" t="str">
        <f t="shared" si="4"/>
        <v/>
      </c>
    </row>
    <row r="61" spans="1:10" x14ac:dyDescent="0.75">
      <c r="A61" s="111">
        <v>0</v>
      </c>
      <c r="B61" s="111">
        <f>'RelAftFlt-1'!A59</f>
        <v>0</v>
      </c>
      <c r="C61" s="113">
        <f>'RelAftFlt-1'!B59</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'RelAftFlt-1'!A60</f>
        <v>0</v>
      </c>
      <c r="C62" s="113">
        <f>'RelAftFlt-1'!B60</f>
        <v>0</v>
      </c>
      <c r="G62" s="109" t="b">
        <f t="shared" si="1"/>
        <v>0</v>
      </c>
      <c r="H62" s="110" t="str">
        <f t="shared" si="10"/>
        <v/>
      </c>
      <c r="I62" s="110" t="str">
        <f t="shared" si="11"/>
        <v/>
      </c>
    </row>
    <row r="63" spans="1:10" x14ac:dyDescent="0.75">
      <c r="A63" s="111">
        <v>0</v>
      </c>
      <c r="B63" s="111">
        <f>'RelAftFlt-1'!A61</f>
        <v>0</v>
      </c>
      <c r="C63" s="113">
        <f>'RelAftFlt-1'!B61</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'RelAftFlt-1'!A62</f>
        <v>0</v>
      </c>
      <c r="C64" s="113">
        <f>'RelAftFlt-1'!B62</f>
        <v>0</v>
      </c>
      <c r="G64" s="109" t="b">
        <f t="shared" si="1"/>
        <v>0</v>
      </c>
      <c r="H64" s="110" t="str">
        <f t="shared" si="12"/>
        <v/>
      </c>
      <c r="I64" s="110" t="str">
        <f t="shared" si="13"/>
        <v/>
      </c>
    </row>
    <row r="65" spans="1:9" x14ac:dyDescent="0.75">
      <c r="A65" s="111">
        <v>0</v>
      </c>
      <c r="B65" s="111">
        <f>'RelAftFlt-1'!A63</f>
        <v>0</v>
      </c>
      <c r="C65" s="113">
        <f>'RelAftFlt-1'!B63</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e" cm="1">
        <f t="array" ref="D12">INDEX('RelAftFlt-Map-1'!$H$7:$J$96,1+B12,C12)</f>
        <v>#REF!</v>
      </c>
    </row>
    <row r="13" spans="1:4" x14ac:dyDescent="0.75">
      <c r="A13" s="111">
        <v>11</v>
      </c>
      <c r="B13" s="111">
        <f t="shared" si="0"/>
        <v>3</v>
      </c>
      <c r="C13" s="111">
        <f t="shared" si="1"/>
        <v>2</v>
      </c>
      <c r="D13" s="109" t="e" cm="1">
        <f t="array" ref="D13">INDEX('RelAftFlt-Map-1'!$H$7:$J$96,1+B13,C13)</f>
        <v>#REF!</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differential.element[3].mapping[0].identity = "fhir"</v>
      </c>
    </row>
    <row r="16" spans="1:4" x14ac:dyDescent="0.75">
      <c r="A16" s="111">
        <v>14</v>
      </c>
      <c r="B16" s="111">
        <f t="shared" si="0"/>
        <v>4</v>
      </c>
      <c r="C16" s="111">
        <f t="shared" si="1"/>
        <v>2</v>
      </c>
      <c r="D16" s="109" t="str" cm="1">
        <f t="array" ref="D16">INDEX('RelAftFlt-Map-1'!$H$7:$J$96,1+B16,C16)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differential.element[4].mapping[0].identity = "fhir"</v>
      </c>
    </row>
    <row r="19" spans="1:4" x14ac:dyDescent="0.75">
      <c r="A19" s="111">
        <v>17</v>
      </c>
      <c r="B19" s="111">
        <f t="shared" si="0"/>
        <v>5</v>
      </c>
      <c r="C19" s="111">
        <f t="shared" si="1"/>
        <v>2</v>
      </c>
      <c r="D19" s="109" t="str" cm="1">
        <f t="array" ref="D19">INDEX('RelAftFlt-Map-1'!$H$7:$J$96,1+B19,C19)</f>
        <v>* differential.element[4].mapping[0].map = "TBD"</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differential.element[5].mapping[0].identity = "fhir"</v>
      </c>
    </row>
    <row r="22" spans="1:4" x14ac:dyDescent="0.75">
      <c r="A22" s="111">
        <v>20</v>
      </c>
      <c r="B22" s="111">
        <f t="shared" si="0"/>
        <v>6</v>
      </c>
      <c r="C22" s="111">
        <f t="shared" si="1"/>
        <v>2</v>
      </c>
      <c r="D22" s="109" t="str" cm="1">
        <f t="array" ref="D22">INDEX('RelAftFlt-Map-1'!$H$7:$J$96,1+B22,C22)</f>
        <v>* differential.element[5].mapping[0].map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differential.element[0].mapping[0].identity = "fhir"</v>
      </c>
    </row>
    <row r="103" spans="1:4" x14ac:dyDescent="0.75">
      <c r="A103" s="111">
        <v>101</v>
      </c>
      <c r="B103" s="111">
        <f t="shared" si="2"/>
        <v>33</v>
      </c>
      <c r="C103" s="111">
        <f t="shared" si="3"/>
        <v>2</v>
      </c>
      <c r="D103" s="109" t="str" cm="1">
        <f t="array" ref="D103">INDEX('RelAftFlt-Map-1'!$H$7:$J$96,1+B103,C103)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differential.element[0].mapping[0].identity = "fhir"</v>
      </c>
    </row>
    <row r="106" spans="1:4" x14ac:dyDescent="0.75">
      <c r="A106" s="111">
        <v>104</v>
      </c>
      <c r="B106" s="111">
        <f t="shared" si="2"/>
        <v>34</v>
      </c>
      <c r="C106" s="111">
        <f t="shared" si="3"/>
        <v>2</v>
      </c>
      <c r="D106" s="109" t="str" cm="1">
        <f t="array" ref="D106">INDEX('RelAftFlt-Map-1'!$H$7:$J$96,1+B106,C106)</f>
        <v>* differential.element[0].mapping[0].map = ".code"</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differential.element[0].mapping[0].identity = "fhir"</v>
      </c>
    </row>
    <row r="109" spans="1:4" x14ac:dyDescent="0.75">
      <c r="A109" s="111">
        <v>107</v>
      </c>
      <c r="B109" s="111">
        <f t="shared" si="2"/>
        <v>35</v>
      </c>
      <c r="C109" s="111">
        <f t="shared" si="3"/>
        <v>2</v>
      </c>
      <c r="D109" s="109" t="str" cm="1">
        <f t="array" ref="D109">INDEX('RelAftFlt-Map-1'!$H$7:$J$96,1+B109,C109)</f>
        <v>* differential.element[0].mapping[0].map = ".status"</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differential.element[0].mapping[0].identity = "fhir"</v>
      </c>
    </row>
    <row r="112" spans="1:4" x14ac:dyDescent="0.75">
      <c r="A112" s="111">
        <v>110</v>
      </c>
      <c r="B112" s="111">
        <f t="shared" si="2"/>
        <v>36</v>
      </c>
      <c r="C112" s="111">
        <f t="shared" si="3"/>
        <v>2</v>
      </c>
      <c r="D112" s="109" t="str" cm="1">
        <f t="array" ref="D112">INDEX('RelAftFlt-Map-1'!$H$7:$J$96,1+B112,C112)</f>
        <v>* differential.element[0].mapping[0].map = ".bodySite"</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differential.element[0].mapping[0].identity = "fhir"</v>
      </c>
    </row>
    <row r="115" spans="1:4" x14ac:dyDescent="0.75">
      <c r="A115" s="111">
        <v>113</v>
      </c>
      <c r="B115" s="111">
        <f t="shared" si="2"/>
        <v>37</v>
      </c>
      <c r="C115" s="111">
        <f t="shared" si="3"/>
        <v>2</v>
      </c>
      <c r="D115" s="109" t="str" cm="1">
        <f t="array" ref="D115">INDEX('RelAftFlt-Map-1'!$H$7:$J$96,1+B115,C115)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differential.element[0].mapping[0].identity = "fhir"</v>
      </c>
    </row>
    <row r="133" spans="1:4" x14ac:dyDescent="0.75">
      <c r="A133" s="111">
        <v>131</v>
      </c>
      <c r="B133" s="111">
        <f t="shared" si="4"/>
        <v>43</v>
      </c>
      <c r="C133" s="111">
        <f t="shared" si="5"/>
        <v>2</v>
      </c>
      <c r="D133" s="109" t="str" cm="1">
        <f t="array" ref="D133">INDEX('RelAftFlt-Map-1'!$H$7:$J$96,1+B133,C133)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D8" sqref="D8"/>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113" t="str">
        <f>'RelAftFlt-1'!B9</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f>'RelAftFlt-1'!A10</f>
        <v>4</v>
      </c>
      <c r="C12" s="113" t="str">
        <f>'RelAftFlt-1'!B10</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'RelAftFlt-1'!A11</f>
        <v>5</v>
      </c>
      <c r="C13" s="113" t="str">
        <f>'RelAftFlt-1'!B11</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f>'RelAftFlt-1'!A12</f>
        <v>6</v>
      </c>
      <c r="C15" s="113" t="str">
        <f>'RelAftFlt-1'!B12</f>
        <v>followedProtocol</v>
      </c>
      <c r="D15" s="111"/>
      <c r="H15" s="109" t="b">
        <f t="shared" si="0"/>
        <v>0</v>
      </c>
      <c r="I15" s="110" t="str">
        <f t="shared" si="1"/>
        <v/>
      </c>
      <c r="J15" s="110" t="str">
        <f t="shared" si="2"/>
        <v/>
      </c>
      <c r="K15" s="110" t="str">
        <f t="shared" si="4"/>
        <v/>
      </c>
      <c r="N15" s="109" t="str">
        <f t="shared" si="3"/>
        <v>* followedProtocol -&gt; ""</v>
      </c>
    </row>
    <row r="16" spans="1:14" x14ac:dyDescent="0.75">
      <c r="A16" s="111">
        <v>0</v>
      </c>
      <c r="B16" s="111">
        <f>'RelAftFlt-1'!A14</f>
        <v>8</v>
      </c>
      <c r="C16" s="113" t="str">
        <f>'RelAftFlt-1'!B14</f>
        <v>followedProtocol.flt</v>
      </c>
      <c r="D16" s="111"/>
      <c r="H16" s="109" t="b">
        <f t="shared" si="0"/>
        <v>0</v>
      </c>
      <c r="I16" s="110" t="str">
        <f t="shared" si="1"/>
        <v/>
      </c>
      <c r="J16" s="110" t="str">
        <f t="shared" si="2"/>
        <v/>
      </c>
      <c r="K16" s="110" t="str">
        <f t="shared" si="4"/>
        <v/>
      </c>
      <c r="N16" s="109" t="str">
        <f t="shared" si="3"/>
        <v>* followedProtocol.flt -&gt; ""</v>
      </c>
    </row>
    <row r="17" spans="1:14" x14ac:dyDescent="0.75">
      <c r="A17" s="111">
        <v>0</v>
      </c>
      <c r="B17" s="111">
        <f>'RelAftFlt-1'!A15</f>
        <v>9</v>
      </c>
      <c r="C17" s="113" t="str">
        <f>'RelAftFlt-1'!B15</f>
        <v>followedProtocol.protocolDescription</v>
      </c>
      <c r="D17" s="111"/>
      <c r="H17" s="109" t="b">
        <f t="shared" si="0"/>
        <v>0</v>
      </c>
      <c r="I17" s="110" t="str">
        <f t="shared" si="1"/>
        <v/>
      </c>
      <c r="J17" s="110" t="str">
        <f t="shared" si="2"/>
        <v/>
      </c>
      <c r="K17" s="110" t="str">
        <f t="shared" si="4"/>
        <v/>
      </c>
      <c r="N17" s="109" t="str">
        <f t="shared" si="3"/>
        <v>* followedProtocol.protocolDescription -&gt; ""</v>
      </c>
    </row>
    <row r="18" spans="1:14" x14ac:dyDescent="0.75">
      <c r="A18" s="111">
        <v>0</v>
      </c>
      <c r="B18" s="111">
        <f>'RelAftFlt-1'!A16</f>
        <v>10</v>
      </c>
      <c r="C18" s="113" t="str">
        <f>'RelAftFlt-1'!B16</f>
        <v>followedProtocol.arm</v>
      </c>
      <c r="D18" s="111"/>
      <c r="H18" s="109" t="b">
        <f t="shared" si="0"/>
        <v>0</v>
      </c>
      <c r="I18" s="110" t="str">
        <f t="shared" si="1"/>
        <v/>
      </c>
      <c r="J18" s="110" t="str">
        <f t="shared" si="2"/>
        <v/>
      </c>
      <c r="K18" s="110" t="str">
        <f t="shared" si="4"/>
        <v/>
      </c>
      <c r="N18" s="109" t="str">
        <f t="shared" si="3"/>
        <v>* followedProtocol.arm -&gt; ""</v>
      </c>
    </row>
    <row r="19" spans="1:14" x14ac:dyDescent="0.75">
      <c r="A19" s="111">
        <v>0</v>
      </c>
      <c r="B19" s="111">
        <f>'RelAftFlt-1'!A17</f>
        <v>11</v>
      </c>
      <c r="C19" s="113" t="str">
        <f>'RelAftFlt-1'!B17</f>
        <v>followedProtocol.personalizedDescription</v>
      </c>
      <c r="D19" s="111"/>
      <c r="H19" s="109" t="b">
        <f t="shared" si="0"/>
        <v>0</v>
      </c>
      <c r="I19" s="110" t="str">
        <f t="shared" si="1"/>
        <v/>
      </c>
      <c r="J19" s="110" t="str">
        <f t="shared" si="2"/>
        <v/>
      </c>
      <c r="K19" s="110" t="str">
        <f t="shared" si="4"/>
        <v/>
      </c>
      <c r="N19" s="109" t="str">
        <f t="shared" si="3"/>
        <v>* followedProtocol.personalizedDescription -&gt; ""</v>
      </c>
    </row>
    <row r="20" spans="1:14" x14ac:dyDescent="0.75">
      <c r="A20" s="111">
        <v>0</v>
      </c>
      <c r="B20" s="111">
        <f>'RelAftFlt-1'!A18</f>
        <v>12</v>
      </c>
      <c r="C20" s="113" t="str">
        <f>'RelAftFlt-1'!B18</f>
        <v>isChemotherapy</v>
      </c>
      <c r="D20" s="111"/>
      <c r="H20" s="109" t="b">
        <f t="shared" si="0"/>
        <v>0</v>
      </c>
      <c r="I20" s="110" t="str">
        <f t="shared" si="1"/>
        <v/>
      </c>
      <c r="J20" s="110" t="str">
        <f t="shared" si="2"/>
        <v/>
      </c>
      <c r="K20" s="110" t="str">
        <f t="shared" si="4"/>
        <v/>
      </c>
      <c r="N20" s="109" t="str">
        <f t="shared" si="3"/>
        <v>* isChemotherapy -&gt; ""</v>
      </c>
    </row>
    <row r="21" spans="1:14" x14ac:dyDescent="0.75">
      <c r="A21" s="111">
        <v>0</v>
      </c>
      <c r="B21" s="111">
        <f>'RelAftFlt-1'!A19</f>
        <v>13</v>
      </c>
      <c r="C21" s="113" t="str">
        <f>'RelAftFlt-1'!B19</f>
        <v>isStemCellTransplantation</v>
      </c>
      <c r="D21" s="111"/>
      <c r="H21" s="109" t="b">
        <f t="shared" si="0"/>
        <v>0</v>
      </c>
      <c r="I21" s="110" t="str">
        <f t="shared" si="1"/>
        <v/>
      </c>
      <c r="J21" s="110" t="str">
        <f t="shared" si="2"/>
        <v/>
      </c>
      <c r="K21" s="110" t="str">
        <f t="shared" si="4"/>
        <v/>
      </c>
      <c r="N21" s="109" t="str">
        <f t="shared" si="3"/>
        <v>* isStemCellTransplantation -&gt; ""</v>
      </c>
    </row>
    <row r="22" spans="1:14" x14ac:dyDescent="0.75">
      <c r="A22" s="111">
        <v>0</v>
      </c>
      <c r="B22" s="111">
        <f>'RelAftFlt-1'!A20</f>
        <v>14</v>
      </c>
      <c r="C22" s="113" t="str">
        <f>'RelAftFlt-1'!B20</f>
        <v>isRadiotherapy</v>
      </c>
      <c r="D22" s="111"/>
      <c r="H22" s="109" t="b">
        <f t="shared" si="0"/>
        <v>0</v>
      </c>
      <c r="I22" s="110" t="str">
        <f t="shared" si="1"/>
        <v/>
      </c>
      <c r="J22" s="110" t="str">
        <f t="shared" si="2"/>
        <v/>
      </c>
      <c r="K22" s="110" t="str">
        <f t="shared" si="4"/>
        <v/>
      </c>
      <c r="N22" s="109" t="str">
        <f t="shared" si="3"/>
        <v>* isRadiotherapy -&gt; ""</v>
      </c>
    </row>
    <row r="23" spans="1:14" x14ac:dyDescent="0.75">
      <c r="A23" s="111">
        <v>0</v>
      </c>
      <c r="B23" s="111">
        <f>'RelAftFlt-1'!A21</f>
        <v>15</v>
      </c>
      <c r="C23" s="113" t="str">
        <f>'RelAftFlt-1'!B21</f>
        <v>isMajorSurgery</v>
      </c>
      <c r="D23" s="111"/>
      <c r="H23" s="109" t="b">
        <f t="shared" si="0"/>
        <v>0</v>
      </c>
      <c r="I23" s="110" t="str">
        <f t="shared" si="1"/>
        <v/>
      </c>
      <c r="J23" s="110" t="str">
        <f t="shared" si="2"/>
        <v/>
      </c>
      <c r="K23" s="110" t="str">
        <f t="shared" si="4"/>
        <v/>
      </c>
      <c r="N23" s="109" t="str">
        <f t="shared" si="3"/>
        <v>* isMajorSurgery -&gt; ""</v>
      </c>
    </row>
    <row r="24" spans="1:14" x14ac:dyDescent="0.75">
      <c r="A24" s="111">
        <v>0</v>
      </c>
      <c r="B24" s="111">
        <f>'RelAftFlt-1'!A22</f>
        <v>16</v>
      </c>
      <c r="C24" s="113" t="str">
        <f>'RelAftFlt-1'!B22</f>
        <v>dateEOT</v>
      </c>
      <c r="D24" s="111"/>
      <c r="H24" s="109" t="b">
        <f t="shared" si="0"/>
        <v>0</v>
      </c>
      <c r="I24" s="110" t="str">
        <f t="shared" si="1"/>
        <v/>
      </c>
      <c r="J24" s="110" t="str">
        <f t="shared" si="2"/>
        <v/>
      </c>
      <c r="K24" s="110" t="str">
        <f t="shared" si="4"/>
        <v/>
      </c>
      <c r="N24" s="109" t="str">
        <f t="shared" si="3"/>
        <v>* dateEOT -&gt; ""</v>
      </c>
    </row>
    <row r="25" spans="1:14" x14ac:dyDescent="0.75">
      <c r="A25" s="111">
        <v>0</v>
      </c>
      <c r="B25" s="111">
        <f>'RelAftFlt-1'!A23</f>
        <v>0</v>
      </c>
      <c r="C25" s="113">
        <f>'RelAftFlt-1'!B23</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'RelAftFlt-1'!A24</f>
        <v>0</v>
      </c>
      <c r="C26" s="113">
        <f>'RelAftFlt-1'!B24</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'RelAftFlt-1'!A25</f>
        <v>0</v>
      </c>
      <c r="C27" s="113">
        <f>'RelAftFlt-1'!B25</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'RelAftFlt-1'!A26</f>
        <v>0</v>
      </c>
      <c r="C28" s="113">
        <f>'RelAftFlt-1'!B26</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'RelAftFlt-1'!A27</f>
        <v>0</v>
      </c>
      <c r="C29" s="113">
        <f>'RelAftFlt-1'!B27</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'RelAftFlt-1'!A28</f>
        <v>0</v>
      </c>
      <c r="C60" s="113">
        <f>'RelAftFlt-1'!B28</f>
        <v>0</v>
      </c>
      <c r="H60" s="109" t="b">
        <f t="shared" si="5"/>
        <v>0</v>
      </c>
      <c r="I60" s="110" t="str">
        <f t="shared" si="1"/>
        <v/>
      </c>
      <c r="J60" s="110" t="str">
        <f t="shared" si="6"/>
        <v/>
      </c>
    </row>
    <row r="61" spans="1:11" x14ac:dyDescent="0.75">
      <c r="A61" s="111">
        <v>0</v>
      </c>
      <c r="B61" s="111">
        <f>'RelAftFlt-1'!A29</f>
        <v>0</v>
      </c>
      <c r="C61" s="113">
        <f>'RelAftFlt-1'!B29</f>
        <v>0</v>
      </c>
      <c r="H61" s="109" t="b">
        <f t="shared" si="5"/>
        <v>0</v>
      </c>
      <c r="I61" s="110" t="str">
        <f t="shared" si="1"/>
        <v/>
      </c>
      <c r="J61" s="110" t="str">
        <f t="shared" si="6"/>
        <v/>
      </c>
    </row>
    <row r="62" spans="1:11" x14ac:dyDescent="0.75">
      <c r="A62" s="111">
        <v>0</v>
      </c>
      <c r="B62" s="111">
        <f>'RelAftFlt-1'!A30</f>
        <v>0</v>
      </c>
      <c r="C62" s="113">
        <f>'RelAftFlt-1'!B30</f>
        <v>0</v>
      </c>
      <c r="H62" s="109" t="b">
        <f t="shared" si="5"/>
        <v>0</v>
      </c>
      <c r="I62" s="110" t="str">
        <f t="shared" si="1"/>
        <v/>
      </c>
      <c r="J62" s="110" t="str">
        <f t="shared" si="6"/>
        <v/>
      </c>
    </row>
    <row r="63" spans="1:11" x14ac:dyDescent="0.75">
      <c r="A63" s="111">
        <v>0</v>
      </c>
      <c r="B63" s="111">
        <f>'RelAftFlt-1'!A31</f>
        <v>0</v>
      </c>
      <c r="C63" s="113">
        <f>'RelAftFlt-1'!B31</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'RelAftFlt-1'!A48</f>
        <v>0</v>
      </c>
      <c r="C80" s="113">
        <f>'RelAftFlt-1'!B48</f>
        <v>0</v>
      </c>
    </row>
    <row r="81" spans="1:3" x14ac:dyDescent="0.75">
      <c r="A81" s="111">
        <v>0</v>
      </c>
      <c r="B81" s="111">
        <f>'RelAftFlt-1'!A49</f>
        <v>0</v>
      </c>
      <c r="C81" s="113">
        <f>'RelAftFlt-1'!B49</f>
        <v>0</v>
      </c>
    </row>
    <row r="82" spans="1:3" x14ac:dyDescent="0.75">
      <c r="A82" s="111">
        <v>0</v>
      </c>
      <c r="B82" s="111">
        <f>'RelAftFlt-1'!A50</f>
        <v>0</v>
      </c>
      <c r="C82" s="113">
        <f>'RelAftFlt-1'!B50</f>
        <v>0</v>
      </c>
    </row>
    <row r="83" spans="1:3" x14ac:dyDescent="0.75">
      <c r="A83" s="111">
        <v>0</v>
      </c>
      <c r="B83" s="111">
        <f>'RelAftFlt-1'!A51</f>
        <v>0</v>
      </c>
      <c r="C83" s="113">
        <f>'RelAftFlt-1'!B51</f>
        <v>0</v>
      </c>
    </row>
    <row r="84" spans="1:3" x14ac:dyDescent="0.75">
      <c r="A84" s="111">
        <v>0</v>
      </c>
      <c r="B84" s="111">
        <f>'RelAftFlt-1'!A52</f>
        <v>0</v>
      </c>
      <c r="C84" s="113">
        <f>'RelAftFlt-1'!B52</f>
        <v>0</v>
      </c>
    </row>
    <row r="85" spans="1:3" x14ac:dyDescent="0.75">
      <c r="A85" s="111">
        <v>0</v>
      </c>
      <c r="B85" s="111">
        <f>'RelAftFlt-1'!A53</f>
        <v>0</v>
      </c>
      <c r="C85" s="113">
        <f>'RelAftFlt-1'!B53</f>
        <v>0</v>
      </c>
    </row>
    <row r="86" spans="1:3" x14ac:dyDescent="0.75">
      <c r="A86" s="111">
        <v>0</v>
      </c>
      <c r="B86" s="111">
        <f>'RelAftFlt-1'!A54</f>
        <v>0</v>
      </c>
      <c r="C86" s="113">
        <f>'RelAftFlt-1'!B54</f>
        <v>0</v>
      </c>
    </row>
    <row r="87" spans="1:3" x14ac:dyDescent="0.75">
      <c r="A87" s="111">
        <v>0</v>
      </c>
      <c r="B87" s="111">
        <f>'RelAftFlt-1'!A55</f>
        <v>0</v>
      </c>
      <c r="C87" s="113">
        <f>'RelAftFlt-1'!B55</f>
        <v>0</v>
      </c>
    </row>
    <row r="88" spans="1:3" x14ac:dyDescent="0.75">
      <c r="A88" s="111">
        <v>0</v>
      </c>
      <c r="B88" s="111">
        <f>'RelAftFlt-1'!A56</f>
        <v>0</v>
      </c>
      <c r="C88" s="113">
        <f>'RelAftFlt-1'!B56</f>
        <v>0</v>
      </c>
    </row>
    <row r="89" spans="1:3" x14ac:dyDescent="0.75">
      <c r="A89" s="111">
        <v>0</v>
      </c>
      <c r="B89" s="111">
        <f>'RelAftFlt-1'!A57</f>
        <v>0</v>
      </c>
      <c r="C89" s="113">
        <f>'RelAftFlt-1'!B57</f>
        <v>0</v>
      </c>
    </row>
    <row r="90" spans="1:3" x14ac:dyDescent="0.75">
      <c r="A90" s="111">
        <v>0</v>
      </c>
      <c r="B90" s="111">
        <f>'RelAftFlt-1'!A58</f>
        <v>0</v>
      </c>
      <c r="C90" s="113">
        <f>'RelAftFlt-1'!B58</f>
        <v>0</v>
      </c>
    </row>
    <row r="91" spans="1:3" x14ac:dyDescent="0.75">
      <c r="A91" s="111">
        <v>0</v>
      </c>
      <c r="B91" s="111">
        <f>'RelAftFlt-1'!A59</f>
        <v>0</v>
      </c>
      <c r="C91" s="113">
        <f>'RelAftFlt-1'!B59</f>
        <v>0</v>
      </c>
    </row>
    <row r="92" spans="1:3" x14ac:dyDescent="0.75">
      <c r="A92" s="111">
        <v>0</v>
      </c>
      <c r="B92" s="111">
        <f>'RelAftFlt-1'!A60</f>
        <v>0</v>
      </c>
      <c r="C92" s="113">
        <f>'RelAftFlt-1'!B60</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8" sqref="D8"/>
    </sheetView>
  </sheetViews>
  <sheetFormatPr defaultRowHeight="14.75" x14ac:dyDescent="0.75"/>
  <cols>
    <col min="1" max="3" width="8.7265625" style="109"/>
    <col min="4" max="4" width="108.2265625" style="111" customWidth="1"/>
    <col min="5" max="16384" width="8.7265625" style="109"/>
  </cols>
  <sheetData>
    <row r="1" spans="4:4" x14ac:dyDescent="0.75">
      <c r="D1" s="111">
        <f>'RelAftFlt-Map-2'!D1</f>
        <v>0</v>
      </c>
    </row>
    <row r="2" spans="4:4" x14ac:dyDescent="0.75">
      <c r="D2" s="111">
        <f>'RelAftFlt-Map-2'!D2</f>
        <v>0</v>
      </c>
    </row>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e">
        <f>'RelAftFlt-Map-2'!D12</f>
        <v>#REF!</v>
      </c>
    </row>
    <row r="13" spans="4:4" x14ac:dyDescent="0.75">
      <c r="D13" s="111" t="e">
        <f>'RelAftFlt-Map-2'!D13</f>
        <v>#REF!</v>
      </c>
    </row>
    <row r="14" spans="4:4" x14ac:dyDescent="0.75">
      <c r="D14" s="111" t="str">
        <f>'RelAftFlt-Map-2'!D14</f>
        <v/>
      </c>
    </row>
    <row r="15" spans="4:4" x14ac:dyDescent="0.75">
      <c r="D15" s="111" t="str">
        <f>'RelAftFlt-Map-2'!D15</f>
        <v>* differential.element[3].mapping[0].identity = "fhir"</v>
      </c>
    </row>
    <row r="16" spans="4:4" x14ac:dyDescent="0.75">
      <c r="D16" s="111" t="str">
        <f>'RelAftFlt-Map-2'!D16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differential.element[4].mapping[0].identity = "fhir"</v>
      </c>
    </row>
    <row r="19" spans="4:4" x14ac:dyDescent="0.75">
      <c r="D19" s="111" t="str">
        <f>'RelAftFlt-Map-2'!D19</f>
        <v>* differential.element[4].mapping[0].map = "TBD"</v>
      </c>
    </row>
    <row r="20" spans="4:4" x14ac:dyDescent="0.75">
      <c r="D20" s="111" t="str">
        <f>'RelAftFlt-Map-2'!D20</f>
        <v/>
      </c>
    </row>
    <row r="21" spans="4:4" x14ac:dyDescent="0.75">
      <c r="D21" s="111" t="str">
        <f>'RelAftFlt-Map-2'!D21</f>
        <v>* differential.element[5].mapping[0].identity = "fhir"</v>
      </c>
    </row>
    <row r="22" spans="4:4" x14ac:dyDescent="0.75">
      <c r="D22" s="111" t="str">
        <f>'RelAftFlt-Map-2'!D22</f>
        <v>* differential.element[5].mapping[0].map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differential.element[0].mapping[0].identity = "fhir"</v>
      </c>
    </row>
    <row r="103" spans="4:4" x14ac:dyDescent="0.75">
      <c r="D103" s="111" t="str">
        <f>'RelAftFlt-Map-2'!D103</f>
        <v>* differential.element[0].mapping[0].map = "Procedure.conformsTo('http://hl7.eu/fhir/ig/pcsp/StructureDefinition/Procedure-radiotheraphyBoost-eu-pcsp')"</v>
      </c>
    </row>
    <row r="104" spans="4:4" x14ac:dyDescent="0.75">
      <c r="D104" s="111" t="str">
        <f>'RelAftFlt-Map-2'!D104</f>
        <v/>
      </c>
    </row>
    <row r="105" spans="4:4" x14ac:dyDescent="0.75">
      <c r="D105" s="111" t="str">
        <f>'RelAftFlt-Map-2'!D105</f>
        <v>* differential.element[0].mapping[0].identity = "fhir"</v>
      </c>
    </row>
    <row r="106" spans="4:4" x14ac:dyDescent="0.75">
      <c r="D106" s="111" t="str">
        <f>'RelAftFlt-Map-2'!D106</f>
        <v>* differential.element[0].mapping[0].map = ".code"</v>
      </c>
    </row>
    <row r="107" spans="4:4" x14ac:dyDescent="0.75">
      <c r="D107" s="111" t="str">
        <f>'RelAftFlt-Map-2'!D107</f>
        <v/>
      </c>
    </row>
    <row r="108" spans="4:4" x14ac:dyDescent="0.75">
      <c r="D108" s="111" t="str">
        <f>'RelAftFlt-Map-2'!D108</f>
        <v>* differential.element[0].mapping[0].identity = "fhir"</v>
      </c>
    </row>
    <row r="109" spans="4:4" x14ac:dyDescent="0.75">
      <c r="D109" s="111" t="str">
        <f>'RelAftFlt-Map-2'!D109</f>
        <v>* differential.element[0].mapping[0].map = ".status"</v>
      </c>
    </row>
    <row r="110" spans="4:4" x14ac:dyDescent="0.75">
      <c r="D110" s="111" t="str">
        <f>'RelAftFlt-Map-2'!D110</f>
        <v/>
      </c>
    </row>
    <row r="111" spans="4:4" x14ac:dyDescent="0.75">
      <c r="D111" s="111" t="str">
        <f>'RelAftFlt-Map-2'!D111</f>
        <v>* differential.element[0].mapping[0].identity = "fhir"</v>
      </c>
    </row>
    <row r="112" spans="4:4" x14ac:dyDescent="0.75">
      <c r="D112" s="111" t="str">
        <f>'RelAftFlt-Map-2'!D112</f>
        <v>* differential.element[0].mapping[0].map = ".bodySite"</v>
      </c>
    </row>
    <row r="113" spans="4:4" x14ac:dyDescent="0.75">
      <c r="D113" s="111" t="str">
        <f>'RelAftFlt-Map-2'!D113</f>
        <v/>
      </c>
    </row>
    <row r="114" spans="4:4" x14ac:dyDescent="0.75">
      <c r="D114" s="111" t="str">
        <f>'RelAftFlt-Map-2'!D114</f>
        <v>* differential.element[0].mapping[0].identity = "fhir"</v>
      </c>
    </row>
    <row r="115" spans="4:4" x14ac:dyDescent="0.75">
      <c r="D115" s="111" t="str">
        <f>'RelAftFlt-Map-2'!D115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differential.element[0].mapping[0].identity = "fhir"</v>
      </c>
    </row>
    <row r="133" spans="4:4" x14ac:dyDescent="0.75">
      <c r="D133" s="111" t="str">
        <f>'RelAftFlt-Map-2'!D133</f>
        <v>* differential.element[0].mapping[0].map = ".extension(http://hl7.eu/fhir/ig/pcsp/StructureDefinition/ResourceRelatedInfo-eu-pcsp).conformsTo(http://hl7.eu/fhir/ig/pcsp/StructureDefinition/Observation-cumulativeDoseRad-eu-pcsp)"</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29.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ht="29.5"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1085</v>
      </c>
      <c r="E2" s="35"/>
      <c r="G2" s="25" t="s">
        <v>38</v>
      </c>
      <c r="M2" s="44"/>
      <c r="N2" s="25" t="str">
        <f>CONCATENATE("Mapping: ",E2)</f>
        <v xml:space="preserve">Mapping: </v>
      </c>
    </row>
    <row r="3" spans="1:14" x14ac:dyDescent="0.75">
      <c r="C3" s="104" t="str">
        <f>'Sct-1'!B3</f>
        <v>Publisher</v>
      </c>
      <c r="D3" s="40"/>
      <c r="E3" s="36"/>
      <c r="G3" s="25" t="s">
        <v>1085</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1075</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D2" sqref="D2"/>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Maturity Level  1"</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2" sqref="D2"/>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D2" sqref="D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2" sqref="D2"/>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2022-05-05T06:25:39Z</dcterms:modified>
</cp:coreProperties>
</file>