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3540AEFF-ACA6-4C5D-BA26-92656DA31729}"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1"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I38" i="105"/>
  <c r="D96" i="106" s="1" a="1"/>
  <c r="D96" i="106" s="1"/>
  <c r="D96"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<sst xmlns="http://schemas.openxmlformats.org/spreadsheetml/2006/main" count="2756" uniqueCount="1166">
  <si>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</si>
  <si>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</si>
  <si>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</si>
  <si>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</si>
  <si>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</si>
  <si>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</si>
  <si>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</si>
  <si>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</si>
  <si>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</si>
  <si>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</si>
  <si>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</si>
  <si>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</si>
  <si>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</si>
  <si>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</si>
  <si>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</si>
  <si>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</si>
  <si>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</si>
  <si>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</si>
  <si>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</si>
  <si>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</si>
  <si>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</si>
  <si>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</si>
  <si>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</si>
  <si>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</si>
  <si>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</si>
  <si>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</si>
  <si>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</si>
  <si>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</si>
  <si>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</si>
  <si>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</si>
  <si>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</si>
  <si>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</si>
  <si>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</si>
  <si>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</si>
  <si>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</si>
  <si>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</si>
  <si>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</si>
  <si>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</si>
  <si>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</si>
  <si>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</si>
  <si>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</si>
  <si>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</si>
  <si>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</si>
  <si>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</si>
  <si>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</si>
  <si>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</si>
  <si>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</si>
  <si>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</si>
  <si>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</si>
  <si>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</si>
  <si>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</si>
  <si>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</si>
  <si>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</si>
  <si>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</si>
  <si>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</si>
  <si>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</si>
  <si>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</si>
  <si>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</si>
  <si>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</si>
  <si>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</si>
  <si>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</si>
  <si>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</si>
  <si>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</si>
  <si>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</si>
  <si>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</si>
  <si>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</si>
  <si>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</si>
  <si>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</si>
  <si>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</si>
  <si>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</si>
  <si>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</si>
  <si>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</si>
  <si>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</si>
  <si>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</si>
  <si>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</si>
  <si>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</si>
  <si>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</si>
  <si>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</si>
  <si>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</si>
  <si>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</si>
  <si>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</si>
  <si>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</si>
  <si>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</si>
  <si>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</si>
  <si>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</si>
  <si>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</si>
  <si>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</si>
  <si>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</si>
  <si>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</si>
  <si>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</si>
  <si>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</si>
  <si>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</si>
  <si>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</si>
  <si>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</si>
  <si>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</si>
  <si>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</si>
  <si>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</si>
  <si>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</si>
  <si>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</si>
  <si>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</si>
  <si>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</si>
  <si>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</si>
  <si>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</si>
  <si>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</si>
  <si>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</si>
  <si>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</si>
  <si>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</si>
  <si>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</si>
  <si>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</si>
  <si>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</si>
  <si>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</si>
  <si>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</si>
  <si>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</si>
  <si>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</si>
  <si>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</si>
  <si>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</si>
  <si>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</si>
  <si>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</si>
  <si>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</si>
  <si>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</si>
  <si>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</si>
  <si>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</si>
  <si>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</si>
  <si>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</si>
  <si>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</si>
  <si>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</si>
  <si>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</si>
  <si>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</si>
  <si>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</si>
  <si>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</si>
  <si>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</si>
  <si>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</si>
  <si>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</si>
  <si>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</si>
  <si>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</si>
  <si>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</si>
  <si>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</si>
  <si>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</si>
  <si>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</si>
  <si>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</si>
  <si>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</si>
  <si>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</si>
  <si>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</si>
  <si>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</si>
  <si>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</si>
  <si>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</si>
  <si>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</si>
  <si>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</si>
  <si>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</si>
  <si>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</si>
  <si>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</si>
  <si>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</si>
  <si>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</si>
  <si>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</si>
  <si>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</si>
  <si>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</si>
  <si>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</si>
  <si>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</si>
  <si>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</si>
  <si>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</si>
  <si>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</si>
  <si>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</si>
  <si>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</si>
  <si>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</si>
  <si>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</si>
  <si>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</si>
  <si>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</si>
  <si>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</si>
  <si>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</si>
  <si>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</si>
  <si>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</si>
  <si>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</si>
  <si>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</si>
  <si>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</si>
  <si>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</si>
  <si>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</si>
  <si>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</si>
  <si>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</si>
  <si>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</si>
  <si>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</si>
  <si>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</si>
  <si>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</si>
  <si>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</si>
  <si>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</si>
  <si>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</si>
  <si>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</si>
  <si>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</si>
  <si>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</si>
  <si>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</si>
  <si>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</si>
  <si>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</si>
  <si>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</si>
  <si>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</si>
  <si>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</si>
  <si>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</si>
  <si>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</si>
  <si>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</si>
  <si>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</si>
  <si>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</si>
  <si>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</si>
  <si>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</si>
  <si>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</si>
  <si>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</si>
  <si>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</si>
  <si>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</si>
  <si>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</si>
  <si>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</si>
  <si>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</si>
  <si>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</si>
  <si>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</si>
  <si>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</si>
  <si>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</si>
  <si>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</si>
  <si>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</si>
  <si>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</si>
  <si>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</si>
  <si>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</si>
  <si>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</si>
  <si>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</si>
  <si>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</si>
  <si>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</si>
  <si>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</si>
  <si>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</si>
  <si>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</si>
  <si>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</si>
  <si>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</si>
  <si>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</si>
  <si>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</si>
  <si>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</si>
  <si>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</si>
  <si>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</si>
  <si>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</si>
  <si>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</si>
  <si>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</si>
  <si>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</si>
  <si>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</si>
  <si>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</si>
  <si>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</si>
  <si>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</si>
  <si>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</si>
  <si>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</si>
  <si>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</si>
  <si>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</si>
  <si>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</si>
  <si>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</si>
  <si>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</si>
  <si>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</si>
  <si>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</si>
  <si>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</si>
  <si>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</si>
  <si>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</si>
  <si>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</si>
  <si>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</si>
  <si>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</si>
  <si>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</si>
  <si>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</si>
  <si>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</si>
  <si>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</si>
  <si>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</si>
  <si>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</si>
  <si>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</si>
  <si>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</si>
  <si>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</si>
  <si>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</si>
  <si>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</si>
  <si>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</si>
  <si>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</si>
  <si>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</si>
  <si>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</si>
  <si>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</si>
  <si>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</si>
  <si>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</si>
  <si>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</si>
  <si>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</si>
  <si>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</si>
  <si>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</si>
  <si>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</si>
  <si>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</si>
  <si>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</si>
  <si>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</si>
  <si>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</si>
  <si>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</si>
  <si>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</si>
  <si>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</si>
  <si>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</si>
  <si>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</si>
  <si>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</si>
  <si>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</si>
  <si>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</si>
  <si>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</si>
  <si>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</si>
  <si>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</si>
  <si>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</si>
  <si>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</si>
  <si>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</si>
  <si>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</si>
  <si>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</si>
  <si>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</si>
  <si>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</si>
  <si>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</si>
  <si>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</si>
  <si>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</si>
  <si>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</si>
  <si>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</si>
  <si>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</si>
  <si>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</si>
  <si>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</si>
  <si>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</si>
  <si>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</si>
  <si>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</si>
  <si>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</si>
  <si>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</si>
  <si>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</si>
  <si>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</si>
  <si>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</si>
  <si>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</si>
  <si>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</si>
  <si>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</si>
  <si>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</si>
  <si>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</si>
  <si>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</si>
  <si>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</si>
  <si>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</si>
  <si>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</si>
  <si>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</si>
  <si>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</si>
  <si>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</si>
  <si>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</si>
  <si>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</si>
  <si>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</si>
  <si>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</si>
  <si>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</si>
  <si>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</si>
  <si>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</si>
  <si>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</si>
  <si>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</si>
  <si>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</si>
  <si>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</si>
  <si>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</si>
  <si>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</si>
  <si>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</si>
  <si>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</si>
  <si>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</si>
  <si>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</si>
  <si>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</si>
  <si>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</si>
  <si>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</si>
  <si>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</si>
  <si>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</si>
  <si>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</si>
  <si>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</si>
  <si>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</si>
  <si>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</si>
  <si>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</si>
  <si>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</si>
  <si>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</si>
  <si>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</si>
  <si>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</si>
  <si>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</si>
  <si>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</si>
  <si>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</si>
  <si>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</si>
  <si>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</si>
  <si>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</si>
  <si>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</si>
  <si>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</si>
  <si>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</si>
  <si>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</si>
  <si>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</si>
  <si>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</si>
  <si>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</si>
  <si>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</si>
  <si>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</si>
  <si>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</si>
  <si>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</si>
  <si>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</si>
  <si>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</si>
  <si>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</si>
  <si>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</si>
  <si>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</si>
  <si>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</si>
  <si>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</si>
  <si>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</si>
  <si>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</si>
  <si>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</si>
  <si>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</si>
  <si>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</si>
  <si>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</si>
  <si>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</si>
  <si>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</si>
  <si>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</si>
  <si>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</si>
  <si>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</si>
  <si>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</si>
  <si>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</si>
  <si>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</si>
  <si>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</si>
  <si>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</si>
  <si>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</si>
  <si>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</si>
  <si>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</si>
  <si>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</si>
  <si>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</si>
  <si>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</si>
  <si>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</si>
  <si>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</si>
  <si>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</si>
  <si>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</si>
  <si>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</si>
  <si>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</si>
  <si>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</si>
  <si>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</si>
  <si>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</si>
  <si>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</si>
  <si>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</si>
  <si>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</si>
  <si>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</si>
  <si>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</si>
  <si>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</si>
  <si>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</si>
  <si>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</si>
  <si>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</si>
  <si>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</si>
  <si>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</si>
  <si>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</si>
  <si>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</si>
  <si>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</si>
  <si>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</si>
  <si>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</si>
  <si>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</si>
  <si>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</si>
  <si>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</si>
  <si>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</si>
  <si>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</si>
  <si>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</si>
  <si>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</si>
  <si>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</si>
  <si>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</si>
  <si>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</si>
  <si>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</si>
  <si>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</si>
  <si>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</si>
  <si>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</si>
  <si>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</si>
  <si>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</si>
  <si>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</si>
  <si>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</si>
  <si>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</si>
  <si>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</si>
  <si>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</si>
  <si>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</si>
  <si>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</si>
  <si>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</si>
  <si>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</si>
  <si>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</si>
  <si>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</si>
  <si>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</si>
  <si>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</si>
  <si>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</si>
  <si>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</si>
  <si>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</si>
  <si>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</si>
  <si>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</si>
  <si>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</si>
  <si>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</si>
  <si>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</si>
  <si>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</si>
  <si>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</si>
  <si>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</si>
  <si>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</si>
  <si>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</si>
  <si>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</si>
  <si>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</si>
  <si>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</si>
  <si>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</si>
  <si>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</si>
  <si>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</si>
  <si>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</si>
  <si>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</si>
  <si>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</si>
  <si>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</si>
  <si>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</si>
  <si>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</si>
  <si>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</si>
  <si>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</si>
  <si>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</si>
  <si>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</si>
  <si>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</si>
  <si>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</si>
  <si>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</si>
  <si>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</si>
  <si>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</si>
  <si>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</si>
  <si>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</si>
  <si>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</si>
  <si>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</si>
  <si>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</si>
  <si>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</si>
  <si>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</si>
  <si>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</si>
  <si>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</si>
  <si>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</si>
  <si>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</si>
  <si>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</si>
  <si>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</si>
  <si>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</si>
  <si>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</si>
  <si>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</si>
  <si>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</si>
  <si>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</si>
  <si>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</si>
  <si>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</si>
  <si>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</si>
  <si>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</si>
  <si>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</si>
  <si>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</si>
  <si>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</si>
  <si>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</si>
  <si>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</si>
  <si>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</si>
  <si>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</si>
  <si>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</si>
  <si>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</si>
  <si>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</si>
  <si>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</si>
  <si>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</si>
  <si>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</si>
  <si>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</si>
  <si>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</si>
  <si>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</si>
  <si>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</si>
  <si>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</si>
  <si>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</si>
  <si>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</si>
  <si>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</si>
  <si>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</si>
  <si>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</si>
  <si>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</si>
  <si>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</si>
  <si>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</si>
  <si>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</si>
  <si>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</si>
  <si>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</si>
  <si>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</si>
  <si>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</si>
  <si>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</si>
  <si>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</si>
  <si>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</si>
  <si>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</si>
  <si>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</si>
  <si>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</si>
  <si>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</si>
  <si>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</si>
  <si>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</si>
  <si>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</si>
  <si>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</si>
  <si>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</si>
  <si>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</si>
  <si>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</si>
  <si>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</si>
  <si>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</si>
  <si>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</si>
  <si>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</si>
  <si>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</si>
  <si>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</si>
  <si>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</si>
  <si>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</si>
  <si>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</si>
  <si>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</si>
  <si>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</si>
  <si>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</si>
  <si>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</si>
  <si>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</si>
  <si>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</si>
  <si>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</si>
  <si>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</si>
  <si>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</si>
  <si>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</si>
  <si>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</si>
  <si>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</si>
  <si>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</si>
  <si>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</si>
  <si>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</si>
  <si>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</si>
  <si>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</si>
  <si>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</si>
  <si>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</si>
  <si>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</si>
  <si>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</si>
  <si>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</si>
  <si>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</si>
  <si>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</si>
  <si>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</si>
  <si>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</si>
  <si>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</si>
  <si>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</si>
  <si>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</si>
  <si>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</si>
  <si>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</si>
  <si>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</si>
  <si>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</si>
  <si>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</si>
  <si>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</si>
  <si>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</si>
  <si>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</si>
  <si>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</si>
  <si>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</si>
  <si>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</si>
  <si>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</si>
  <si>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</si>
  <si>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</si>
  <si>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</si>
  <si>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</si>
  <si>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</si>
  <si>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</si>
  <si>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</si>
  <si>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</si>
  <si>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</si>
  <si>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</si>
  <si>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</si>
  <si>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</si>
  <si>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</si>
  <si>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</si>
  <si>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</si>
  <si>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</si>
  <si>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</si>
  <si>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</si>
  <si>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</si>
  <si>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</si>
  <si>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</si>
  <si>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</si>
  <si>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</si>
  <si>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</si>
  <si>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</si>
  <si>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</si>
  <si>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</si>
  <si>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</si>
  <si>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</si>
  <si>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</si>
  <si>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</si>
  <si>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</si>
  <si>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</si>
  <si>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</si>
  <si>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</si>
  <si>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</si>
  <si>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</si>
  <si>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</si>
  <si>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</si>
  <si>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</si>
  <si>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</si>
  <si>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</si>
  <si>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</si>
  <si>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</si>
  <si>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</si>
  <si>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</si>
  <si>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</si>
  <si>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</si>
  <si>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</si>
  <si>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</si>
  <si>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</si>
  <si>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</si>
  <si>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</si>
  <si>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</si>
  <si>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</si>
  <si>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</si>
  <si>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</si>
  <si>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</si>
  <si>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</si>
  <si>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</si>
  <si>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</si>
  <si>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</si>
  <si>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</si>
  <si>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</si>
  <si>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</si>
  <si>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</si>
  <si>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</si>
  <si>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</si>
  <si>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</si>
  <si>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</si>
  <si>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</si>
  <si>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</si>
  <si>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</si>
  <si>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</si>
  <si>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</si>
  <si>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</si>
  <si>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</si>
  <si>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</si>
  <si>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</si>
  <si>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</si>
  <si>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</si>
  <si>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</si>
  <si>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</si>
  <si>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</si>
  <si>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</si>
  <si>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</si>
  <si>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</si>
  <si>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</si>
  <si>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</si>
  <si>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</si>
  <si>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</si>
  <si>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</si>
  <si>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</si>
  <si>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</si>
  <si>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</si>
  <si>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</si>
  <si>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</si>
  <si>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</si>
  <si>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</si>
  <si>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</si>
  <si>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</si>
  <si>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</si>
  <si>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</si>
  <si>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</si>
  <si>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</si>
  <si>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</si>
  <si>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</si>
  <si>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</si>
  <si>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</si>
  <si>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</si>
  <si>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</si>
  <si>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</si>
  <si>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</si>
  <si>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</si>
  <si>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</si>
  <si>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</si>
  <si>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</si>
  <si>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</si>
  <si>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</si>
  <si>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</si>
  <si>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</si>
  <si>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</si>
  <si>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</si>
  <si>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</si>
  <si>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</si>
  <si>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</si>
  <si>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</si>
  <si>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</si>
  <si>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</si>
  <si>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</si>
  <si>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</si>
  <si>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</si>
  <si>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</si>
  <si>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</si>
  <si>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</si>
  <si>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</si>
  <si>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</si>
  <si>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</si>
  <si>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</si>
  <si>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</si>
  <si>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</si>
  <si>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</si>
  <si>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</si>
  <si>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</si>
  <si>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</si>
  <si>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</si>
  <si>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</si>
  <si>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</si>
  <si>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</si>
  <si>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</si>
  <si>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</si>
  <si>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</si>
  <si>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</si>
  <si>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</si>
  <si>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</si>
  <si>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</si>
  <si>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</si>
  <si>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</si>
  <si>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</si>
  <si>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</si>
  <si>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</si>
  <si>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</si>
  <si>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</si>
  <si>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</si>
  <si>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</si>
  <si>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</si>
  <si>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</si>
  <si>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</si>
  <si>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</si>
  <si>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</si>
  <si>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</si>
  <si>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</si>
  <si>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</si>
  <si>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</si>
  <si>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</si>
  <si>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</si>
  <si>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</si>
  <si>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</si>
  <si>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</si>
  <si>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</si>
  <si>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</si>
  <si>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</si>
  <si>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</si>
  <si>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</si>
  <si>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</si>
  <si>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</si>
  <si>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</si>
  <si>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</si>
  <si>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</si>
  <si>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</si>
  <si>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</si>
  <si>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</si>
  <si>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</si>
  <si>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</si>
  <si>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</si>
  <si>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</si>
  <si>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</si>
  <si>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</si>
  <si>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</si>
  <si>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</si>
  <si>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</si>
  <si>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</si>
  <si>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</si>
  <si>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</si>
  <si>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</si>
  <si>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</si>
  <si>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</si>
  <si>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</si>
  <si>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</si>
  <si>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</si>
  <si>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</si>
  <si>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</si>
  <si>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</si>
  <si>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</si>
  <si>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</si>
  <si>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</si>
  <si>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</si>
  <si>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</si>
  <si>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</si>
  <si>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</si>
  <si>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</si>
  <si>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</si>
  <si>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</si>
  <si>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</si>
  <si>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</si>
  <si>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</si>
  <si>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</si>
  <si>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</si>
  <si>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</si>
  <si>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</si>
  <si>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</si>
  <si>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</si>
  <si>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</si>
  <si>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</si>
  <si>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</si>
  <si>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</si>
  <si>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</si>
  <si>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</si>
  <si>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</si>
  <si>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</si>
  <si>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</si>
  <si>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</si>
  <si>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</si>
  <si>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</si>
  <si>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</si>
  <si>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</si>
  <si>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</si>
  <si>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</si>
  <si>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</si>
  <si>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</si>
  <si>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</si>
  <si>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</si>
  <si>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</si>
  <si>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</si>
  <si>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</si>
  <si>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</si>
  <si>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</si>
  <si>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</si>
  <si>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</si>
  <si>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</si>
  <si>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</si>
  <si>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</si>
  <si>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</si>
  <si>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</si>
  <si>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</si>
  <si>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</si>
  <si>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</si>
  <si>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</si>
  <si>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</si>
  <si>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</si>
  <si>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</si>
  <si>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</si>
  <si>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</si>
  <si>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</si>
  <si>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</si>
  <si>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</si>
  <si>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</si>
  <si>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</si>
  <si>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</si>
  <si>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</si>
  <si>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</si>
  <si>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</si>
  <si>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</si>
  <si>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</si>
  <si>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</si>
  <si>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</si>
  <si>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</si>
  <si>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</si>
  <si>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</si>
  <si>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</si>
  <si>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</si>
  <si>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</si>
  <si>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</si>
  <si>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</si>
  <si>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</si>
  <si>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</si>
  <si>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</si>
  <si>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</si>
  <si>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</si>
  <si>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</si>
  <si>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</si>
  <si>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</si>
  <si>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</si>
  <si>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</si>
  <si>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</si>
  <si>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</si>
  <si>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</si>
  <si>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</si>
  <si>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</si>
  <si>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</si>
  <si>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</si>
  <si>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</si>
  <si>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</si>
  <si>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</si>
  <si>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</si>
  <si>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</si>
  <si>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</si>
  <si>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</si>
  <si>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</si>
  <si>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</si>
  <si>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</si>
  <si>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</si>
  <si>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</si>
  <si>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</si>
  <si>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</si>
  <si>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</si>
  <si>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</si>
  <si>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</si>
  <si>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</si>
  <si>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</si>
  <si>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</si>
  <si>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</si>
  <si>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</si>
  <si>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</si>
  <si>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</si>
  <si>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</si>
  <si>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</si>
  <si>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</si>
  <si>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</si>
  <si>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</si>
  <si>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</si>
  <si>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</si>
  <si>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</si>
  <si>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</si>
  <si>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</si>
  <si>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</si>
  <si>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</si>
  <si>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</si>
  <si>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</si>
  <si>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</si>
  <si>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</si>
  <si>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</si>
  <si>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</si>
  <si>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</si>
  <si>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</si>
  <si>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</si>
  <si>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</si>
  <si>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</si>
  <si>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</si>
  <si>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</si>
  <si>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</si>
  <si>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</si>
  <si>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</si>
  <si>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</si>
  <si>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</si>
  <si>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</si>
  <si>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</si>
  <si>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</si>
  <si>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</si>
  <si>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</si>
  <si>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</si>
  <si>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</si>
  <si>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</si>
  <si>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</si>
  <si>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</si>
  <si>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</si>
  <si>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</si>
  <si>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</si>
  <si>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</si>
  <si>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</si>
  <si>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</si>
  <si>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</si>
  <si>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</si>
  <si>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</si>
  <si>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</si>
  <si>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</si>
  <si>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</si>
  <si>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</si>
  <si>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</si>
  <si>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</si>
  <si>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</si>
  <si>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</si>
  <si>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</si>
  <si>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</si>
  <si>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</si>
  <si>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</si>
  <si>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</si>
  <si>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</si>
  <si>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</si>
  <si>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</si>
  <si>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</si>
  <si>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</si>
  <si>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</si>
  <si>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</si>
  <si>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</si>
  <si>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</si>
  <si>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</si>
  <si>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</si>
  <si>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</si>
  <si>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</si>
  <si>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</si>
  <si>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</si>
  <si>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</si>
  <si>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</si>
  <si>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</si>
  <si>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</si>
  <si>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</si>
  <si>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</si>
  <si>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</si>
  <si>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</si>
  <si>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</si>
  <si>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</si>
  <si>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</si>
  <si>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</si>
  <si>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</si>
  <si>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</si>
  <si>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</si>
  <si>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</si>
  <si>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</si>
  <si>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</si>
  <si>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</si>
  <si>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</si>
  <si>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</si>
  <si>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</si>
  <si>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</si>
  <si>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</si>
  <si>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</si>
  <si>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</si>
  <si>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</si>
  <si>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</si>
  <si>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</si>
  <si>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</si>
  <si>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</si>
  <si>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</si>
  <si>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</si>
  <si>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</si>
  <si>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</si>
  <si>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</si>
  <si>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</si>
  <si>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</si>
  <si>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</si>
  <si>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</si>
  <si>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</si>
  <si>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</si>
  <si>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</si>
  <si>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</si>
  <si>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</si>
  <si>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</si>
  <si>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</si>
  <si>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</si>
  <si>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</si>
  <si>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</si>
  <si>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</si>
  <si>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</si>
  <si>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</si>
  <si>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</si>
  <si>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</si>
  <si>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</si>
  <si>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</si>
  <si>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</si>
  <si>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</si>
  <si>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</si>
  <si>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</si>
  <si>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</si>
  <si>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</si>
  <si>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</si>
  <si>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</si>
  <si>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</si>
  <si>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</si>
  <si>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</si>
  <si>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</si>
  <si>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</si>
  <si>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</si>
  <si>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</si>
  <si>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</si>
  <si>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</si>
  <si>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</si>
  <si>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</si>
  <si>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</si>
  <si>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</si>
  <si>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</si>
  <si>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</si>
  <si>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</si>
  <si>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</si>
  <si>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</si>
  <si>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</si>
  <si>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</si>
  <si>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</si>
  <si>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</si>
  <si>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</si>
  <si>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</si>
  <si>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</si>
  <si>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</si>
  <si>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</si>
  <si>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</si>
  <si>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</si>
  <si>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</si>
  <si>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</si>
  <si>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</si>
  <si>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</si>
  <si>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</si>
  <si>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</si>
  <si>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</si>
  <si>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</si>
  <si>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</si>
  <si>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</si>
  <si>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</si>
  <si>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</si>
  <si>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</si>
  <si>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</si>
  <si>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</si>
  <si>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</si>
  <si>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</si>
  <si>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</si>
  <si>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</si>
  <si>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</si>
  <si>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</si>
  <si>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</si>
  <si>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</si>
  <si>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</si>
  <si>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</si>
  <si>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</si>
  <si>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</si>
  <si>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</si>
  <si>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</si>
  <si>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</si>
  <si>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</si>
  <si>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</si>
  <si>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</si>
  <si>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</si>
  <si>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</si>
  <si>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</si>
  <si>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</si>
  <si>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</si>
  <si>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</si>
  <si>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</si>
  <si>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</si>
  <si>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</si>
  <si>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</si>
  <si>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</si>
  <si>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</si>
  <si>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</si>
  <si>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</si>
  <si>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</si>
  <si>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iif(.extension(''http://hl7.eu/fhir/ig/pcsp/StructureDefinition/procedure-performedTiming').valueTiming.repeat.count &gt; 10; true)</t>
  </si>
  <si>
    <t>iif(.extension(''http://hl7.eu/fhir/ig/pcsp/StructureDefinition/procedure-performedTiming').valueTiming.repeat..boundsRange.low &gt; 10; true)</t>
  </si>
  <si>
    <t>.abatementDateTime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</si>
</sst>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1110</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3"/>
  <sheetViews>
    <sheetView tabSelected="1" workbookViewId="0">
      <selection activeCell="E1" sqref="E1:E599"/>
    </sheetView>
  </sheetViews>
  <sheetFormatPr defaultRowHeight="14.75" x14ac:dyDescent="0.75"/>
  <cols>
    <col min="5" max="5" width="100.6796875" customWidth="1"/>
  </cols>
  <sheetData>
    <row r="1" spans="5:5" x14ac:dyDescent="0.75">
      <c r="E1" s="109" t="str">
        <f>'Surg-3'!D2</f>
        <v>Instance: MajorSurgery</v>
      </c>
    </row>
    <row r="2" spans="5:5" x14ac:dyDescent="0.75">
      <c r="E2" s="109" t="str">
        <f>'Surg-3'!D3</f>
        <v>InstanceOf: StructureDefinition</v>
      </c>
    </row>
    <row r="3" spans="5:5" x14ac:dyDescent="0.75">
      <c r="E3" s="109" t="str">
        <f>'Surg-3'!D4</f>
        <v>Description: "Major Surgery.
Maturity Level: 2 - Ready for Review"</v>
      </c>
    </row>
    <row r="4" spans="5:5" x14ac:dyDescent="0.75">
      <c r="E4" s="109" t="str">
        <f>'Surg-3'!D5</f>
        <v>Title: "Major Surgery"</v>
      </c>
    </row>
    <row r="5" spans="5:5" x14ac:dyDescent="0.75">
      <c r="E5" s="109" t="str">
        <f>'Surg-3'!D6</f>
        <v>Usage: #definition</v>
      </c>
    </row>
    <row r="6" spans="5:5" x14ac:dyDescent="0.75">
      <c r="E6" s="109" t="str">
        <f>'Surg-3'!D8</f>
        <v>* publisher = "PanCareSurPass project"</v>
      </c>
    </row>
    <row r="7" spans="5:5" x14ac:dyDescent="0.75">
      <c r="E7" s="109" t="str">
        <f>'Surg-3'!D9</f>
        <v>* status = #draft</v>
      </c>
    </row>
    <row r="8" spans="5:5" x14ac:dyDescent="0.75">
      <c r="E8" s="109" t="str">
        <f>'Surg-3'!D10</f>
        <v>* url = "http://hl7.eu/fhir/ig/pcsp/StructureDefinition/MajorSurgery"</v>
      </c>
    </row>
    <row r="9" spans="5:5" x14ac:dyDescent="0.75">
      <c r="E9" s="109" t="str">
        <f>'Surg-3'!D11</f>
        <v>* name = "MajorSurgery"</v>
      </c>
    </row>
    <row r="10" spans="5:5" x14ac:dyDescent="0.75">
      <c r="E10" s="109" t="str">
        <f>'Surg-3'!D12</f>
        <v>* title = "Major Surgery"</v>
      </c>
    </row>
    <row r="11" spans="5:5" x14ac:dyDescent="0.75">
      <c r="E11" s="109" t="str">
        <f>'Surg-3'!D13</f>
        <v>* status = #draft</v>
      </c>
    </row>
    <row r="12" spans="5:5" x14ac:dyDescent="0.75">
      <c r="E12" s="109" t="str">
        <f>'Surg-3'!D14</f>
        <v>* experimental = true</v>
      </c>
    </row>
    <row r="13" spans="5:5" x14ac:dyDescent="0.75">
      <c r="E13" s="109" t="str">
        <f>'Surg-3'!D15</f>
        <v>* description = "Major Surgery.
Maturity Level: 2 - Ready for Review"</v>
      </c>
    </row>
    <row r="14" spans="5:5" x14ac:dyDescent="0.75">
      <c r="E14" s="109" t="str">
        <f>'Surg-3'!D16</f>
        <v>* version = "0.0.1"</v>
      </c>
    </row>
    <row r="15" spans="5:5" x14ac:dyDescent="0.75">
      <c r="E15" s="109" t="str">
        <f>'Surg-3'!D18</f>
        <v>* mapping[0].identity = "fhir"</v>
      </c>
    </row>
    <row r="16" spans="5:5" x14ac:dyDescent="0.75">
      <c r="E16" s="109" t="str">
        <f>'Surg-3'!D19</f>
        <v>* mapping[0].uri = "hl7.org/fhir/r4"</v>
      </c>
    </row>
    <row r="17" spans="5:5" x14ac:dyDescent="0.75">
      <c r="E17" s="109" t="str">
        <f>'Surg-3'!D20</f>
        <v>* mapping[0].name = ""</v>
      </c>
    </row>
    <row r="18" spans="5:5" x14ac:dyDescent="0.75">
      <c r="E18" s="109" t="str">
        <f>'Surg-3'!D22</f>
        <v>* kind = #logical</v>
      </c>
    </row>
    <row r="19" spans="5:5" x14ac:dyDescent="0.75">
      <c r="E19" s="109" t="str">
        <f>'Surg-3'!D23</f>
        <v>* abstract = true</v>
      </c>
    </row>
    <row r="20" spans="5:5" x14ac:dyDescent="0.75">
      <c r="E20" s="109" t="str">
        <f>'Surg-3'!D24</f>
        <v>* type = "MajorSurgery"</v>
      </c>
    </row>
    <row r="21" spans="5:5" x14ac:dyDescent="0.75">
      <c r="E21" s="109" t="str">
        <f>'Surg-3'!D25</f>
        <v>* baseDefinition = "http://hl7.org/fhir/StructureDefinition/Element"</v>
      </c>
    </row>
    <row r="22" spans="5:5" x14ac:dyDescent="0.75">
      <c r="E22" s="109" t="str">
        <f>'Surg-3'!D26</f>
        <v>* derivation = #specialization</v>
      </c>
    </row>
    <row r="23" spans="5:5" x14ac:dyDescent="0.75">
      <c r="E23" s="109" t="str">
        <f>'Surg-3'!D28</f>
        <v>* differential.element[0].id = "MajorSurgery"</v>
      </c>
    </row>
    <row r="24" spans="5:5" x14ac:dyDescent="0.75">
      <c r="E24" s="109" t="str">
        <f>'Surg-3'!D29</f>
        <v>* differential.element[0].path = "MajorSurgery"</v>
      </c>
    </row>
    <row r="25" spans="5:5" x14ac:dyDescent="0.75">
      <c r="E25" s="109" t="str">
        <f>'Surg-3'!D30</f>
        <v>* differential.element[0].short = "Major Surgery"</v>
      </c>
    </row>
    <row r="26" spans="5:5" x14ac:dyDescent="0.75">
      <c r="E26" s="109" t="str">
        <f>'Surg-3'!D31</f>
        <v>* differential.element[0].definition = "Major Surgery"</v>
      </c>
    </row>
    <row r="27" spans="5:5" x14ac:dyDescent="0.75">
      <c r="E27" s="109" t="str">
        <f>'Surg-3'!D32</f>
        <v>* differential.element[0].min = 1</v>
      </c>
    </row>
    <row r="28" spans="5:5" x14ac:dyDescent="0.75">
      <c r="E28" s="109" t="str">
        <f>'Surg-3'!D33</f>
        <v>* differential.element[0].max = "1"</v>
      </c>
    </row>
    <row r="29" spans="5:5" x14ac:dyDescent="0.75">
      <c r="E29" s="109" t="str">
        <f>'Surg-3'!D35</f>
        <v>* differential.element[1].id = "MajorSurgery.relatedDiagnosis"</v>
      </c>
    </row>
    <row r="30" spans="5:5" x14ac:dyDescent="0.75">
      <c r="E30" s="109" t="str">
        <f>'Surg-3'!D36</f>
        <v>* differential.element[1].path = "MajorSurgery.relatedDiagnosis"</v>
      </c>
    </row>
    <row r="31" spans="5:5" x14ac:dyDescent="0.75">
      <c r="E31" s="109" t="str">
        <f>'Surg-3'!D37</f>
        <v>* differential.element[1].short = "Progressive number of diagnosis"</v>
      </c>
    </row>
    <row r="32" spans="5:5" x14ac:dyDescent="0.75">
      <c r="E32" s="109" t="str">
        <f>'Surg-3'!D38</f>
        <v>* differential.element[1].definition = "Progressive number of diagnosis (1=first; 2= second; 3 = third; …).  
In this field must be reported the ordinal number of the tumor diagnosis for which the surgery was performed"</v>
      </c>
    </row>
    <row r="33" spans="5:5" x14ac:dyDescent="0.75">
      <c r="E33" s="109" t="str">
        <f>'Surg-3'!D39</f>
        <v>* differential.element[1].min = 0</v>
      </c>
    </row>
    <row r="34" spans="5:5" x14ac:dyDescent="0.75">
      <c r="E34" s="109" t="str">
        <f>'Surg-3'!D40</f>
        <v>* differential.element[1].max = "1"</v>
      </c>
    </row>
    <row r="35" spans="5:5" x14ac:dyDescent="0.75">
      <c r="E35" s="109" t="str">
        <f>'Surg-3'!D41</f>
        <v>* differential.element[1].type.code = #Identifier</v>
      </c>
    </row>
    <row r="36" spans="5:5" x14ac:dyDescent="0.75">
      <c r="E36" s="109" t="str">
        <f>'Surg-3'!D42</f>
        <v>* differential.element[2].id = "MajorSurgery.relatedRelapse"</v>
      </c>
    </row>
    <row r="37" spans="5:5" x14ac:dyDescent="0.75">
      <c r="E37" s="109" t="str">
        <f>'Surg-3'!D43</f>
        <v>* differential.element[2].path = "MajorSurgery.relatedRelapse"</v>
      </c>
    </row>
    <row r="38" spans="5:5" x14ac:dyDescent="0.75">
      <c r="E38" s="109" t="str">
        <f>'Surg-3'!D44</f>
        <v>* differential.element[2].short = "Progressive number of relapse/progression (after FLT)"</v>
      </c>
    </row>
    <row r="39" spans="5:5" x14ac:dyDescent="0.75">
      <c r="E39" s="109" t="str">
        <f>'Surg-3'!D45</f>
        <v>* differential.element[2].definition = "Progressive number of relapse/progression (after FLT)"</v>
      </c>
    </row>
    <row r="40" spans="5:5" x14ac:dyDescent="0.75">
      <c r="E40" s="109" t="str">
        <f>'Surg-3'!D46</f>
        <v>* differential.element[2].min = 0</v>
      </c>
    </row>
    <row r="41" spans="5:5" x14ac:dyDescent="0.75">
      <c r="E41" s="109" t="str">
        <f>'Surg-3'!D47</f>
        <v>* differential.element[2].max = "1"</v>
      </c>
    </row>
    <row r="42" spans="5:5" x14ac:dyDescent="0.75">
      <c r="E42" s="109" t="str">
        <f>'Surg-3'!D48</f>
        <v>* differential.element[2].type.code = #Identifier</v>
      </c>
    </row>
    <row r="43" spans="5:5" x14ac:dyDescent="0.75">
      <c r="E43" s="109" t="str">
        <f>'Surg-3'!D49</f>
        <v>* differential.element[3].id = "MajorSurgery.identifier"</v>
      </c>
    </row>
    <row r="44" spans="5:5" x14ac:dyDescent="0.75">
      <c r="E44" s="109" t="str">
        <f>'Surg-3'!D50</f>
        <v>* differential.element[3].path = "MajorSurgery.identifier"</v>
      </c>
    </row>
    <row r="45" spans="5:5" x14ac:dyDescent="0.75">
      <c r="E45" s="109" t="str">
        <f>'Surg-3'!D51</f>
        <v>* differential.element[3].short = "Progressive Surgery number"</v>
      </c>
    </row>
    <row r="46" spans="5:5" x14ac:dyDescent="0.75">
      <c r="E46" s="109" t="str">
        <f>'Surg-3'!D52</f>
        <v>* differential.element[3].definition = "Progressive number of surgeries (1=first; 2= second; 3 = third; …).
In this field must be reported the ordinal number of the surgeries given. "</v>
      </c>
    </row>
    <row r="47" spans="5:5" x14ac:dyDescent="0.75">
      <c r="E47" s="109" t="str">
        <f>'Surg-3'!D53</f>
        <v>* differential.element[3].min = 0</v>
      </c>
    </row>
    <row r="48" spans="5:5" x14ac:dyDescent="0.75">
      <c r="E48" s="109" t="str">
        <f>'Surg-3'!D54</f>
        <v>* differential.element[3].max = "*"</v>
      </c>
    </row>
    <row r="49" spans="5:5" x14ac:dyDescent="0.75">
      <c r="E49" s="109" t="str">
        <f>'Surg-3'!D55</f>
        <v>* differential.element[3].type.code = #Identifier</v>
      </c>
    </row>
    <row r="50" spans="5:5" x14ac:dyDescent="0.75">
      <c r="E50" s="109" t="str">
        <f>'Surg-3'!D56</f>
        <v>* differential.element[4].id = "MajorSurgery.istitutionOfTreatment"</v>
      </c>
    </row>
    <row r="51" spans="5:5" x14ac:dyDescent="0.75">
      <c r="E51" s="109" t="str">
        <f>'Surg-3'!D57</f>
        <v>* differential.element[4].path = "MajorSurgery.istitutionOfTreatment"</v>
      </c>
    </row>
    <row r="52" spans="5:5" x14ac:dyDescent="0.75">
      <c r="E52" s="109" t="str">
        <f>'Surg-3'!D58</f>
        <v>* differential.element[4].short = "Institution of treatment"</v>
      </c>
    </row>
    <row r="53" spans="5:5" x14ac:dyDescent="0.75">
      <c r="E53" s="109" t="str">
        <f>'Surg-3'!D59</f>
        <v>* differential.element[4].definition = "Please Identify the institution were surgery was performed"</v>
      </c>
    </row>
    <row r="54" spans="5:5" x14ac:dyDescent="0.75">
      <c r="E54" s="109" t="str">
        <f>'Surg-3'!D60</f>
        <v>* differential.element[4].min = 0</v>
      </c>
    </row>
    <row r="55" spans="5:5" x14ac:dyDescent="0.75">
      <c r="E55" s="109" t="str">
        <f>'Surg-3'!D61</f>
        <v>* differential.element[4].max = "1"</v>
      </c>
    </row>
    <row r="56" spans="5:5" x14ac:dyDescent="0.75">
      <c r="E56" s="109" t="str">
        <f>'Surg-3'!D62</f>
        <v>* differential.element[4].type.code = #BackboneElement</v>
      </c>
    </row>
    <row r="57" spans="5:5" x14ac:dyDescent="0.75">
      <c r="E57" s="109" t="str">
        <f>'Surg-3'!D63</f>
        <v>* differential.element[5].id = "MajorSurgery.istitutionOfTreatment.description"</v>
      </c>
    </row>
    <row r="58" spans="5:5" x14ac:dyDescent="0.75">
      <c r="E58" s="109" t="str">
        <f>'Surg-3'!D64</f>
        <v>* differential.element[5].path = "MajorSurgery.istitutionOfTreatment.description"</v>
      </c>
    </row>
    <row r="59" spans="5:5" x14ac:dyDescent="0.75">
      <c r="E59" s="109" t="str">
        <f>'Surg-3'!D65</f>
        <v>* differential.element[5].short = "Institution description"</v>
      </c>
    </row>
    <row r="60" spans="5:5" x14ac:dyDescent="0.75">
      <c r="E60" s="109" t="str">
        <f>'Surg-3'!D66</f>
        <v>* differential.element[5].definition = "Institution description"</v>
      </c>
    </row>
    <row r="61" spans="5:5" x14ac:dyDescent="0.75">
      <c r="E61" s="109" t="str">
        <f>'Surg-3'!D67</f>
        <v>* differential.element[5].min = 0</v>
      </c>
    </row>
    <row r="62" spans="5:5" x14ac:dyDescent="0.75">
      <c r="E62" s="109" t="str">
        <f>'Surg-3'!D68</f>
        <v>* differential.element[5].max = "1"</v>
      </c>
    </row>
    <row r="63" spans="5:5" x14ac:dyDescent="0.75">
      <c r="E63" s="109" t="str">
        <f>'Surg-3'!D69</f>
        <v>* differential.element[5].type.code = #string</v>
      </c>
    </row>
    <row r="64" spans="5:5" x14ac:dyDescent="0.75">
      <c r="E64" s="109" t="str">
        <f>'Surg-3'!D70</f>
        <v>* differential.element[6].id = "MajorSurgery.istitutionOfTreatment.name"</v>
      </c>
    </row>
    <row r="65" spans="5:5" x14ac:dyDescent="0.75">
      <c r="E65" s="109" t="str">
        <f>'Surg-3'!D71</f>
        <v>* differential.element[6].path = "MajorSurgery.istitutionOfTreatment.name"</v>
      </c>
    </row>
    <row r="66" spans="5:5" x14ac:dyDescent="0.75">
      <c r="E66" s="109" t="str">
        <f>'Surg-3'!D72</f>
        <v>* differential.element[6].short = "Institution name"</v>
      </c>
    </row>
    <row r="67" spans="5:5" x14ac:dyDescent="0.75">
      <c r="E67" s="109" t="str">
        <f>'Surg-3'!D73</f>
        <v>* differential.element[6].definition = "Institution name"</v>
      </c>
    </row>
    <row r="68" spans="5:5" x14ac:dyDescent="0.75">
      <c r="E68" s="109" t="str">
        <f>'Surg-3'!D74</f>
        <v>* differential.element[6].min = 0</v>
      </c>
    </row>
    <row r="69" spans="5:5" x14ac:dyDescent="0.75">
      <c r="E69" s="109" t="str">
        <f>'Surg-3'!D75</f>
        <v>* differential.element[6].max = "1"</v>
      </c>
    </row>
    <row r="70" spans="5:5" x14ac:dyDescent="0.75">
      <c r="E70" s="109" t="str">
        <f>'Surg-3'!D76</f>
        <v>* differential.element[6].type.code = #string</v>
      </c>
    </row>
    <row r="71" spans="5:5" x14ac:dyDescent="0.75">
      <c r="E71" s="109" t="str">
        <f>'Surg-3'!D77</f>
        <v>* differential.element[7].id = "MajorSurgery.istitutionOfTreatment.address"</v>
      </c>
    </row>
    <row r="72" spans="5:5" x14ac:dyDescent="0.75">
      <c r="E72" s="109" t="str">
        <f>'Surg-3'!D78</f>
        <v>* differential.element[7].path = "MajorSurgery.istitutionOfTreatment.address"</v>
      </c>
    </row>
    <row r="73" spans="5:5" x14ac:dyDescent="0.75">
      <c r="E73" s="109" t="str">
        <f>'Surg-3'!D79</f>
        <v>* differential.element[7].short = "Institution address"</v>
      </c>
    </row>
    <row r="74" spans="5:5" x14ac:dyDescent="0.75">
      <c r="E74" s="109" t="str">
        <f>'Surg-3'!D80</f>
        <v>* differential.element[7].definition = "Institution address"</v>
      </c>
    </row>
    <row r="75" spans="5:5" x14ac:dyDescent="0.75">
      <c r="E75" s="109" t="str">
        <f>'Surg-3'!D81</f>
        <v>* differential.element[7].min = 0</v>
      </c>
    </row>
    <row r="76" spans="5:5" x14ac:dyDescent="0.75">
      <c r="E76" s="109" t="str">
        <f>'Surg-3'!D82</f>
        <v>* differential.element[7].max = "1"</v>
      </c>
    </row>
    <row r="77" spans="5:5" x14ac:dyDescent="0.75">
      <c r="E77" s="109" t="str">
        <f>'Surg-3'!D83</f>
        <v>* differential.element[7].type.code = #BackboneElement</v>
      </c>
    </row>
    <row r="78" spans="5:5" x14ac:dyDescent="0.75">
      <c r="E78" s="109" t="str">
        <f>'Surg-3'!D84</f>
        <v>* differential.element[8].id = "MajorSurgery.istitutionOfTreatment.address.name"</v>
      </c>
    </row>
    <row r="79" spans="5:5" x14ac:dyDescent="0.75">
      <c r="E79" s="109" t="str">
        <f>'Surg-3'!D85</f>
        <v>* differential.element[8].path = "MajorSurgery.istitutionOfTreatment.address.name"</v>
      </c>
    </row>
    <row r="80" spans="5:5" x14ac:dyDescent="0.75">
      <c r="E80" s="109" t="str">
        <f>'Surg-3'!D86</f>
        <v>* differential.element[8].short = "Institution city"</v>
      </c>
    </row>
    <row r="81" spans="5:5" x14ac:dyDescent="0.75">
      <c r="E81" s="109" t="str">
        <f>'Surg-3'!D87</f>
        <v>* differential.element[8].definition = "Institution city"</v>
      </c>
    </row>
    <row r="82" spans="5:5" x14ac:dyDescent="0.75">
      <c r="E82" s="109" t="str">
        <f>'Surg-3'!D88</f>
        <v>* differential.element[8].min = 0</v>
      </c>
    </row>
    <row r="83" spans="5:5" x14ac:dyDescent="0.75">
      <c r="E83" s="109" t="str">
        <f>'Surg-3'!D89</f>
        <v>* differential.element[8].max = "1"</v>
      </c>
    </row>
    <row r="84" spans="5:5" x14ac:dyDescent="0.75">
      <c r="E84" s="109" t="str">
        <f>'Surg-3'!D90</f>
        <v>* differential.element[8].type.code = #string</v>
      </c>
    </row>
    <row r="85" spans="5:5" x14ac:dyDescent="0.75">
      <c r="E85" s="109" t="str">
        <f>'Surg-3'!D91</f>
        <v>* differential.element[9].id = "MajorSurgery.istitutionOfTreatment.address.country"</v>
      </c>
    </row>
    <row r="86" spans="5:5" x14ac:dyDescent="0.75">
      <c r="E86" s="109" t="str">
        <f>'Surg-3'!D92</f>
        <v>* differential.element[9].path = "MajorSurgery.istitutionOfTreatment.address.country"</v>
      </c>
    </row>
    <row r="87" spans="5:5" x14ac:dyDescent="0.75">
      <c r="E87" s="109" t="str">
        <f>'Surg-3'!D93</f>
        <v>* differential.element[9].short = "Institution country"</v>
      </c>
    </row>
    <row r="88" spans="5:5" x14ac:dyDescent="0.75">
      <c r="E88" s="109" t="str">
        <f>'Surg-3'!D94</f>
        <v>* differential.element[9].definition = "Institution country"</v>
      </c>
    </row>
    <row r="89" spans="5:5" x14ac:dyDescent="0.75">
      <c r="E89" s="109" t="str">
        <f>'Surg-3'!D95</f>
        <v>* differential.element[9].min = 0</v>
      </c>
    </row>
    <row r="90" spans="5:5" x14ac:dyDescent="0.75">
      <c r="E90" s="109" t="str">
        <f>'Surg-3'!D96</f>
        <v>* differential.element[9].max = "1"</v>
      </c>
    </row>
    <row r="91" spans="5:5" x14ac:dyDescent="0.75">
      <c r="E91" s="109" t="str">
        <f>'Surg-3'!D97</f>
        <v>* differential.element[9].type.code = #string</v>
      </c>
    </row>
    <row r="92" spans="5:5" x14ac:dyDescent="0.75">
      <c r="E92" s="109" t="str">
        <f>'Surg-3'!D98</f>
        <v>* differential.element[10].id = "MajorSurgery.date"</v>
      </c>
    </row>
    <row r="93" spans="5:5" x14ac:dyDescent="0.75">
      <c r="E93" s="109" t="str">
        <f>'Surg-3'!D99</f>
        <v>* differential.element[10].path = "MajorSurgery.date"</v>
      </c>
    </row>
    <row r="94" spans="5:5" x14ac:dyDescent="0.75">
      <c r="E94" s="109" t="str">
        <f>'Surg-3'!D100</f>
        <v>* differential.element[10].short = "Date of surgery"</v>
      </c>
    </row>
    <row r="95" spans="5:5" x14ac:dyDescent="0.75">
      <c r="E95" s="109" t="str">
        <f>'Surg-3'!D101</f>
        <v>* differential.element[10].definition = "Date of surgery (dd/mm/yyyy). If the date is unkown or partially missed insert the year at the best of your knowledge."</v>
      </c>
    </row>
    <row r="96" spans="5:5" x14ac:dyDescent="0.75">
      <c r="E96" s="109" t="str">
        <f>'Surg-3'!D102</f>
        <v>* differential.element[10].min = 0</v>
      </c>
    </row>
    <row r="97" spans="5:5" x14ac:dyDescent="0.75">
      <c r="E97" s="109" t="str">
        <f>'Surg-3'!D103</f>
        <v>* differential.element[10].max = "1"</v>
      </c>
    </row>
    <row r="98" spans="5:5" x14ac:dyDescent="0.75">
      <c r="E98" s="109" t="str">
        <f>'Surg-3'!D104</f>
        <v>* differential.element[10].type.code = #dateTime</v>
      </c>
    </row>
    <row r="99" spans="5:5" x14ac:dyDescent="0.75">
      <c r="E99" s="109" t="str">
        <f>'Surg-3'!D105</f>
        <v>* differential.element[11].id = "MajorSurgery.description"</v>
      </c>
    </row>
    <row r="100" spans="5:5" x14ac:dyDescent="0.75">
      <c r="E100" s="109" t="str">
        <f>'Surg-3'!D106</f>
        <v>* differential.element[11].path = "MajorSurgery.description"</v>
      </c>
    </row>
    <row r="101" spans="5:5" x14ac:dyDescent="0.75">
      <c r="E101" s="109" t="str">
        <f>'Surg-3'!D107</f>
        <v>* differential.element[11].short = "Surgery description"</v>
      </c>
    </row>
    <row r="102" spans="5:5" x14ac:dyDescent="0.75">
      <c r="E102" s="109" t="str">
        <f>'Surg-3'!D108</f>
        <v>* differential.element[11].definition = "Please describe the type of surgery (is a free text section, no coding). In case of surgery on pair organs specify which organ (right or left) was operated."</v>
      </c>
    </row>
    <row r="103" spans="5:5" x14ac:dyDescent="0.75">
      <c r="E103" s="109" t="str">
        <f>'Surg-3'!D109</f>
        <v>* differential.element[11].min = 0</v>
      </c>
    </row>
    <row r="104" spans="5:5" x14ac:dyDescent="0.75">
      <c r="E104" s="109" t="str">
        <f>'Surg-3'!D110</f>
        <v>* differential.element[11].max = "1"</v>
      </c>
    </row>
    <row r="105" spans="5:5" x14ac:dyDescent="0.75">
      <c r="E105" s="109" t="str">
        <f>'Surg-3'!D111</f>
        <v>* differential.element[11].type.code = #string</v>
      </c>
    </row>
    <row r="106" spans="5:5" x14ac:dyDescent="0.75">
      <c r="E106" s="109" t="str">
        <f>'Surg-3'!D112</f>
        <v>* differential.element[12].id = "MajorSurgery.affectedOrgan"</v>
      </c>
    </row>
    <row r="107" spans="5:5" x14ac:dyDescent="0.75">
      <c r="E107" s="109" t="str">
        <f>'Surg-3'!D113</f>
        <v>* differential.element[12].path = "MajorSurgery.affectedOrgan"</v>
      </c>
    </row>
    <row r="108" spans="5:5" x14ac:dyDescent="0.75">
      <c r="E108" s="109" t="str">
        <f>'Surg-3'!D114</f>
        <v>* differential.element[12].short = "Affected Organs"</v>
      </c>
    </row>
    <row r="109" spans="5:5" x14ac:dyDescent="0.75">
      <c r="E109" s="109" t="str">
        <f>'Surg-3'!D115</f>
        <v>* differential.element[12].definition = "Was one of these organs involved ? 
(Oesophagus; Abdomen; Brain; Face; Liver; Spine; Spinal Cord; Sympathetic nerves; Chest/thorax; Pelvis)"</v>
      </c>
    </row>
    <row r="110" spans="5:5" x14ac:dyDescent="0.75">
      <c r="E110" s="109" t="str">
        <f>'Surg-3'!D116</f>
        <v>* differential.element[12].min = 0</v>
      </c>
    </row>
    <row r="111" spans="5:5" x14ac:dyDescent="0.75">
      <c r="E111" s="109" t="str">
        <f>'Surg-3'!D117</f>
        <v>* differential.element[12].max = "*"</v>
      </c>
    </row>
    <row r="112" spans="5:5" x14ac:dyDescent="0.75">
      <c r="E112" s="109" t="str">
        <f>'Surg-3'!D118</f>
        <v>* differential.element[12].type.code = #CodeableConcept</v>
      </c>
    </row>
    <row r="113" spans="5:5" x14ac:dyDescent="0.75">
      <c r="E113" s="109" t="str">
        <f>'Surg-3'!D119</f>
        <v>* differential.element[13].id = "MajorSurgery.sacrifiedOrgan"</v>
      </c>
    </row>
    <row r="114" spans="5:5" x14ac:dyDescent="0.75">
      <c r="E114" s="109" t="str">
        <f>'Surg-3'!D120</f>
        <v>* differential.element[13].path = "MajorSurgery.sacrifiedOrgan"</v>
      </c>
    </row>
    <row r="115" spans="5:5" x14ac:dyDescent="0.75">
      <c r="E115" s="109" t="str">
        <f>'Surg-3'!D121</f>
        <v>* differential.element[13].short = "Sacrified Organs"</v>
      </c>
    </row>
    <row r="116" spans="5:5" x14ac:dyDescent="0.75">
      <c r="E116" s="109" t="str">
        <f>'Surg-3'!D122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17" spans="5:5" x14ac:dyDescent="0.75">
      <c r="E117" s="109" t="str">
        <f>'Surg-3'!D123</f>
        <v>* differential.element[13].min = 0</v>
      </c>
    </row>
    <row r="118" spans="5:5" x14ac:dyDescent="0.75">
      <c r="E118" s="109" t="str">
        <f>'Surg-3'!D124</f>
        <v>* differential.element[13].max = "*"</v>
      </c>
    </row>
    <row r="119" spans="5:5" x14ac:dyDescent="0.75">
      <c r="E119" s="109" t="str">
        <f>'Surg-3'!D125</f>
        <v>* differential.element[13].type.code = #CodeableConcept</v>
      </c>
    </row>
    <row r="120" spans="5:5" x14ac:dyDescent="0.75">
      <c r="E120" s="109" t="str">
        <f>'Surg-3'!D126</f>
        <v>* differential.element[14].id = "MajorSurgery.shuntApplication"</v>
      </c>
    </row>
    <row r="121" spans="5:5" x14ac:dyDescent="0.75">
      <c r="E121" s="109" t="str">
        <f>'Surg-3'!D127</f>
        <v>* differential.element[14].path = "MajorSurgery.shuntApplication"</v>
      </c>
    </row>
    <row r="122" spans="5:5" x14ac:dyDescent="0.75">
      <c r="E122" s="109" t="str">
        <f>'Surg-3'!D128</f>
        <v>* differential.element[14].short = "Shunt application"</v>
      </c>
    </row>
    <row r="123" spans="5:5" x14ac:dyDescent="0.75">
      <c r="E123" s="109" t="str">
        <f>'Surg-3'!D129</f>
        <v>* differential.element[14].definition = "Please report if a cerebrovascular shunt was inserted "</v>
      </c>
    </row>
    <row r="124" spans="5:5" x14ac:dyDescent="0.75">
      <c r="E124" s="109" t="str">
        <f>'Surg-3'!D130</f>
        <v>* differential.element[14].min = 0</v>
      </c>
    </row>
    <row r="125" spans="5:5" x14ac:dyDescent="0.75">
      <c r="E125" s="109" t="str">
        <f>'Surg-3'!D131</f>
        <v>* differential.element[14].max = "*"</v>
      </c>
    </row>
    <row r="126" spans="5:5" x14ac:dyDescent="0.75">
      <c r="E126" s="109" t="str">
        <f>'Surg-3'!D132</f>
        <v>* differential.element[14].type.code = #BackboneElement</v>
      </c>
    </row>
    <row r="127" spans="5:5" x14ac:dyDescent="0.75">
      <c r="E127" s="109" t="str">
        <f>'Surg-3'!D133</f>
        <v>* differential.element[15].id = "MajorSurgery.shuntApplication.type"</v>
      </c>
    </row>
    <row r="128" spans="5:5" x14ac:dyDescent="0.75">
      <c r="E128" s="109" t="str">
        <f>'Surg-3'!D134</f>
        <v>* differential.element[15].path = "MajorSurgery.shuntApplication.type"</v>
      </c>
    </row>
    <row r="129" spans="5:5" x14ac:dyDescent="0.75">
      <c r="E129" s="109" t="str">
        <f>'Surg-3'!D135</f>
        <v>* differential.element[15].short = "Type of shunt"</v>
      </c>
    </row>
    <row r="130" spans="5:5" x14ac:dyDescent="0.75">
      <c r="E130" s="109" t="str">
        <f>'Surg-3'!D136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1" spans="5:5" x14ac:dyDescent="0.75">
      <c r="E131" s="109" t="str">
        <f>'Surg-3'!D137</f>
        <v>* differential.element[15].min = 0</v>
      </c>
    </row>
    <row r="132" spans="5:5" x14ac:dyDescent="0.75">
      <c r="E132" s="109" t="str">
        <f>'Surg-3'!D138</f>
        <v>* differential.element[15].max = "1"</v>
      </c>
    </row>
    <row r="133" spans="5:5" x14ac:dyDescent="0.75">
      <c r="E133" s="109" t="str">
        <f>'Surg-3'!D139</f>
        <v>* differential.element[15].type.code = #CodeableConcept</v>
      </c>
    </row>
    <row r="134" spans="5:5" x14ac:dyDescent="0.75">
      <c r="E134" s="109" t="str">
        <f>'Surg-3'!D140</f>
        <v>* differential.element[16].id = "MajorSurgery.shuntApplication.laterality"</v>
      </c>
    </row>
    <row r="135" spans="5:5" x14ac:dyDescent="0.75">
      <c r="E135" s="109" t="str">
        <f>'Surg-3'!D141</f>
        <v>* differential.element[16].path = "MajorSurgery.shuntApplication.laterality"</v>
      </c>
    </row>
    <row r="136" spans="5:5" x14ac:dyDescent="0.75">
      <c r="E136" s="109" t="str">
        <f>'Surg-3'!D142</f>
        <v>* differential.element[16].short = "Laterality of shunt"</v>
      </c>
    </row>
    <row r="137" spans="5:5" x14ac:dyDescent="0.75">
      <c r="E137" s="109" t="str">
        <f>'Surg-3'!D143</f>
        <v>* differential.element[16].definition = "Please specify the laterality of the shunt
1 = right
2= left
3 = midline
-9911 = not applicable
-9922 =&gt; NK"</v>
      </c>
    </row>
    <row r="138" spans="5:5" x14ac:dyDescent="0.75">
      <c r="E138" s="109" t="str">
        <f>'Surg-3'!D144</f>
        <v>* differential.element[16].min = 0</v>
      </c>
    </row>
    <row r="139" spans="5:5" x14ac:dyDescent="0.75">
      <c r="E139" s="109" t="str">
        <f>'Surg-3'!D145</f>
        <v>* differential.element[16].max = "1"</v>
      </c>
    </row>
    <row r="140" spans="5:5" x14ac:dyDescent="0.75">
      <c r="E140" s="109" t="str">
        <f>'Surg-3'!D146</f>
        <v>* differential.element[16].type.code = #CodeableConcept</v>
      </c>
    </row>
    <row r="141" spans="5:5" x14ac:dyDescent="0.75">
      <c r="E141" s="109" t="str">
        <f>'Surg-3'!D147</f>
        <v>* differential.element[17].id = "MajorSurgery.shuntApplication.isRemoved"</v>
      </c>
    </row>
    <row r="142" spans="5:5" x14ac:dyDescent="0.75">
      <c r="E142" s="109" t="str">
        <f>'Surg-3'!D148</f>
        <v>* differential.element[17].path = "MajorSurgery.shuntApplication.isRemoved"</v>
      </c>
    </row>
    <row r="143" spans="5:5" x14ac:dyDescent="0.75">
      <c r="E143" s="109" t="str">
        <f>'Surg-3'!D149</f>
        <v>* differential.element[17].short = "In place or removed ?"</v>
      </c>
    </row>
    <row r="144" spans="5:5" x14ac:dyDescent="0.75">
      <c r="E144" s="109" t="str">
        <f>'Surg-3'!D150</f>
        <v>* differential.element[17].definition = "Define if it is still in place or is already removed 
1 =&gt; Still in place
2 =&gt; Removed
 -9911 =&gt; NA
 -9922 =&gt; NK"</v>
      </c>
    </row>
    <row r="145" spans="5:5" x14ac:dyDescent="0.75">
      <c r="E145" s="109" t="str">
        <f>'Surg-3'!D151</f>
        <v>* differential.element[17].min = 0</v>
      </c>
    </row>
    <row r="146" spans="5:5" x14ac:dyDescent="0.75">
      <c r="E146" s="109" t="str">
        <f>'Surg-3'!D152</f>
        <v>* differential.element[17].max = "1"</v>
      </c>
    </row>
    <row r="147" spans="5:5" x14ac:dyDescent="0.75">
      <c r="E147" s="109" t="str">
        <f>'Surg-3'!D153</f>
        <v>* differential.element[17].type.code = #CodeableConcept</v>
      </c>
    </row>
    <row r="148" spans="5:5" x14ac:dyDescent="0.75">
      <c r="E148" s="109" t="str">
        <f>'Surg-3'!D154</f>
        <v>* differential.element[18].id = "MajorSurgery.amputation"</v>
      </c>
    </row>
    <row r="149" spans="5:5" x14ac:dyDescent="0.75">
      <c r="E149" s="109" t="str">
        <f>'Surg-3'!D155</f>
        <v>* differential.element[18].path = "MajorSurgery.amputation"</v>
      </c>
    </row>
    <row r="150" spans="5:5" x14ac:dyDescent="0.75">
      <c r="E150" s="109" t="str">
        <f>'Surg-3'!D156</f>
        <v>* differential.element[18].short = "Amputation"</v>
      </c>
    </row>
    <row r="151" spans="5:5" x14ac:dyDescent="0.75">
      <c r="E151" s="109" t="str">
        <f>'Surg-3'!D157</f>
        <v>* differential.element[18].definition = "Here it is requested only a yes or no. Details should be reported in the surgery description 
1 =&gt; Yes
2 =&gt; No
-9911 =&gt; Not applicable
-9922 =&gt; NK "</v>
      </c>
    </row>
    <row r="152" spans="5:5" x14ac:dyDescent="0.75">
      <c r="E152" s="109" t="str">
        <f>'Surg-3'!D158</f>
        <v>* differential.element[18].min = 0</v>
      </c>
    </row>
    <row r="153" spans="5:5" x14ac:dyDescent="0.75">
      <c r="E153" s="109" t="str">
        <f>'Surg-3'!D159</f>
        <v>* differential.element[18].max = "1"</v>
      </c>
    </row>
    <row r="154" spans="5:5" x14ac:dyDescent="0.75">
      <c r="E154" s="109" t="str">
        <f>'Surg-3'!D160</f>
        <v>* differential.element[18].type.code = #CodeableConcept</v>
      </c>
    </row>
    <row r="155" spans="5:5" x14ac:dyDescent="0.75">
      <c r="E155" s="109" t="str">
        <f>'Surg-3'!D161</f>
        <v>* differential.element[19].id = "MajorSurgery.prothesis"</v>
      </c>
    </row>
    <row r="156" spans="5:5" x14ac:dyDescent="0.75">
      <c r="E156" s="109" t="str">
        <f>'Surg-3'!D162</f>
        <v>* differential.element[19].path = "MajorSurgery.prothesis"</v>
      </c>
    </row>
    <row r="157" spans="5:5" x14ac:dyDescent="0.75">
      <c r="E157" s="109" t="str">
        <f>'Surg-3'!D163</f>
        <v>* differential.element[19].short = "Prothesis"</v>
      </c>
    </row>
    <row r="158" spans="5:5" x14ac:dyDescent="0.75">
      <c r="E158" s="109" t="str">
        <f>'Surg-3'!D164</f>
        <v>* differential.element[19].definition = "Prothesis"</v>
      </c>
    </row>
    <row r="159" spans="5:5" x14ac:dyDescent="0.75">
      <c r="E159" s="109" t="str">
        <f>'Surg-3'!D165</f>
        <v>* differential.element[19].min = 0</v>
      </c>
    </row>
    <row r="160" spans="5:5" x14ac:dyDescent="0.75">
      <c r="E160" s="109" t="str">
        <f>'Surg-3'!D166</f>
        <v>* differential.element[19].max = "1"</v>
      </c>
    </row>
    <row r="161" spans="5:5" x14ac:dyDescent="0.75">
      <c r="E161" s="109" t="str">
        <f>'Surg-3'!D167</f>
        <v>* differential.element[19].type.code = #BackboneElement</v>
      </c>
    </row>
    <row r="162" spans="5:5" x14ac:dyDescent="0.75">
      <c r="E162" s="109" t="str">
        <f>'Surg-3'!D168</f>
        <v>* differential.element[20].id = "MajorSurgery.prothesis.status"</v>
      </c>
    </row>
    <row r="163" spans="5:5" x14ac:dyDescent="0.75">
      <c r="E163" s="109" t="str">
        <f>'Surg-3'!D169</f>
        <v>* differential.element[20].path = "MajorSurgery.prothesis.status"</v>
      </c>
    </row>
    <row r="164" spans="5:5" x14ac:dyDescent="0.75">
      <c r="E164" s="109" t="str">
        <f>'Surg-3'!D170</f>
        <v>* differential.element[20].short = "status"</v>
      </c>
    </row>
    <row r="165" spans="5:5" x14ac:dyDescent="0.75">
      <c r="E165" s="109" t="str">
        <f>'Surg-3'!D171</f>
        <v>* differential.element[20].definition = "Please state if the survivor has a prosthesis either internal (e.g. hip replacement) or external (e.g. artificial arm)"</v>
      </c>
    </row>
    <row r="166" spans="5:5" x14ac:dyDescent="0.75">
      <c r="E166" s="109" t="str">
        <f>'Surg-3'!D172</f>
        <v>* differential.element[20].min = 0</v>
      </c>
    </row>
    <row r="167" spans="5:5" x14ac:dyDescent="0.75">
      <c r="E167" s="109" t="str">
        <f>'Surg-3'!D173</f>
        <v>* differential.element[20].max = "1"</v>
      </c>
    </row>
    <row r="168" spans="5:5" x14ac:dyDescent="0.75">
      <c r="E168" s="109" t="str">
        <f>'Surg-3'!D174</f>
        <v>* differential.element[20].type.code = #CodeableConcept</v>
      </c>
    </row>
    <row r="169" spans="5:5" x14ac:dyDescent="0.75">
      <c r="E169" s="109" t="str">
        <f>'Surg-3'!D175</f>
        <v>* differential.element[21].id = "MajorSurgery.prothesis.deviceType"</v>
      </c>
    </row>
    <row r="170" spans="5:5" x14ac:dyDescent="0.75">
      <c r="E170" s="109" t="str">
        <f>'Surg-3'!D176</f>
        <v>* differential.element[21].path = "MajorSurgery.prothesis.deviceType"</v>
      </c>
    </row>
    <row r="171" spans="5:5" x14ac:dyDescent="0.75">
      <c r="E171" s="109" t="str">
        <f>'Surg-3'!D177</f>
        <v>* differential.element[21].short = "device type"</v>
      </c>
    </row>
    <row r="172" spans="5:5" x14ac:dyDescent="0.75">
      <c r="E172" s="109" t="str">
        <f>'Surg-3'!D178</f>
        <v>* differential.element[21].definition = "Please define if prosthesis is internal (e.g. titanium bone) or external (e.g. artificial limb). Also in this case, details should be reported in the surgery description.
1 =&gt; Internal
2 =&gt; External
-9922 =&gt; NK"</v>
      </c>
    </row>
    <row r="173" spans="5:5" x14ac:dyDescent="0.75">
      <c r="E173" s="109" t="str">
        <f>'Surg-3'!D179</f>
        <v>* differential.element[21].min = 0</v>
      </c>
    </row>
    <row r="174" spans="5:5" x14ac:dyDescent="0.75">
      <c r="E174" s="109" t="str">
        <f>'Surg-3'!D180</f>
        <v>* differential.element[21].max = "1"</v>
      </c>
    </row>
    <row r="175" spans="5:5" x14ac:dyDescent="0.75">
      <c r="E175" s="109" t="str">
        <f>'Surg-3'!D181</f>
        <v>* differential.element[21].type.code = #CodeableConcept</v>
      </c>
    </row>
    <row r="176" spans="5:5" x14ac:dyDescent="0.75">
      <c r="E176" s="109" t="str">
        <f>'Surg-3'!D182</f>
        <v>* differential.element[22].id = "MajorSurgery.colostomy"</v>
      </c>
    </row>
    <row r="177" spans="5:5" x14ac:dyDescent="0.75">
      <c r="E177" s="109" t="str">
        <f>'Surg-3'!D183</f>
        <v>* differential.element[22].path = "MajorSurgery.colostomy"</v>
      </c>
    </row>
    <row r="178" spans="5:5" x14ac:dyDescent="0.75">
      <c r="E178" s="109" t="str">
        <f>'Surg-3'!D184</f>
        <v>* differential.element[22].short = "Colostomy"</v>
      </c>
    </row>
    <row r="179" spans="5:5" x14ac:dyDescent="0.75">
      <c r="E179" s="109" t="str">
        <f>'Surg-3'!D185</f>
        <v>* differential.element[22].definition = "Colostomy"</v>
      </c>
    </row>
    <row r="180" spans="5:5" x14ac:dyDescent="0.75">
      <c r="E180" s="109" t="str">
        <f>'Surg-3'!D186</f>
        <v>* differential.element[22].min = 0</v>
      </c>
    </row>
    <row r="181" spans="5:5" x14ac:dyDescent="0.75">
      <c r="E181" s="109" t="str">
        <f>'Surg-3'!D187</f>
        <v>* differential.element[22].max = "1"</v>
      </c>
    </row>
    <row r="182" spans="5:5" x14ac:dyDescent="0.75">
      <c r="E182" s="109" t="str">
        <f>'Surg-3'!D188</f>
        <v>* differential.element[22].type.code = #BackboneElement</v>
      </c>
    </row>
    <row r="183" spans="5:5" x14ac:dyDescent="0.75">
      <c r="E183" s="109" t="str">
        <f>'Surg-3'!D189</f>
        <v>* differential.element[23].id = "MajorSurgery.colostomy.status"</v>
      </c>
    </row>
    <row r="184" spans="5:5" x14ac:dyDescent="0.75">
      <c r="E184" s="109" t="str">
        <f>'Surg-3'!D190</f>
        <v>* differential.element[23].path = "MajorSurgery.colostomy.status"</v>
      </c>
    </row>
    <row r="185" spans="5:5" x14ac:dyDescent="0.75">
      <c r="E185" s="109" t="str">
        <f>'Surg-3'!D191</f>
        <v>* differential.element[23].short = "status"</v>
      </c>
    </row>
    <row r="186" spans="5:5" x14ac:dyDescent="0.75">
      <c r="E186" s="109" t="str">
        <f>'Surg-3'!D192</f>
        <v>* differential.element[23].definition = "State if a colostomy was created. Details should be reported in the surgery section."</v>
      </c>
    </row>
    <row r="187" spans="5:5" x14ac:dyDescent="0.75">
      <c r="E187" s="109" t="str">
        <f>'Surg-3'!D193</f>
        <v>* differential.element[23].min = 0</v>
      </c>
    </row>
    <row r="188" spans="5:5" x14ac:dyDescent="0.75">
      <c r="E188" s="109" t="str">
        <f>'Surg-3'!D194</f>
        <v>* differential.element[23].max = "1"</v>
      </c>
    </row>
    <row r="189" spans="5:5" x14ac:dyDescent="0.75">
      <c r="E189" s="109" t="str">
        <f>'Surg-3'!D195</f>
        <v>* differential.element[23].type.code = #CodeableConcept</v>
      </c>
    </row>
    <row r="190" spans="5:5" x14ac:dyDescent="0.75">
      <c r="E190" s="109" t="str">
        <f>'Surg-3'!D196</f>
        <v>* differential.element[24].id = "MajorSurgery.colostomy.isRemoved"</v>
      </c>
    </row>
    <row r="191" spans="5:5" x14ac:dyDescent="0.75">
      <c r="E191" s="109" t="str">
        <f>'Surg-3'!D197</f>
        <v>* differential.element[24].path = "MajorSurgery.colostomy.isRemoved"</v>
      </c>
    </row>
    <row r="192" spans="5:5" x14ac:dyDescent="0.75">
      <c r="E192" s="109" t="str">
        <f>'Surg-3'!D198</f>
        <v>* differential.element[24].short = "In place or removed ?"</v>
      </c>
    </row>
    <row r="193" spans="5:5" x14ac:dyDescent="0.75">
      <c r="E193" s="109" t="str">
        <f>'Surg-3'!D199</f>
        <v>* differential.element[24].definition = "State if a colostomy was created. Details should be reported in the surgery section.
1 =&gt; Still in place
2 =&gt; Removed
-9922 =&gt;NK"</v>
      </c>
    </row>
    <row r="194" spans="5:5" x14ac:dyDescent="0.75">
      <c r="E194" s="109" t="str">
        <f>'Surg-3'!D200</f>
        <v>* differential.element[24].min = 0</v>
      </c>
    </row>
    <row r="195" spans="5:5" x14ac:dyDescent="0.75">
      <c r="E195" s="109" t="str">
        <f>'Surg-3'!D201</f>
        <v>* differential.element[24].max = "1"</v>
      </c>
    </row>
    <row r="196" spans="5:5" x14ac:dyDescent="0.75">
      <c r="E196" s="109" t="str">
        <f>'Surg-3'!D202</f>
        <v>* differential.element[24].type.code = #CodeableConcept</v>
      </c>
    </row>
    <row r="197" spans="5:5" x14ac:dyDescent="0.75">
      <c r="E197" s="109" t="str">
        <f>'Surg-3'!D203</f>
        <v>* differential.element[25].id = "MajorSurgery.gastrostomy"</v>
      </c>
    </row>
    <row r="198" spans="5:5" x14ac:dyDescent="0.75">
      <c r="E198" s="109" t="str">
        <f>'Surg-3'!D204</f>
        <v>* differential.element[25].path = "MajorSurgery.gastrostomy"</v>
      </c>
    </row>
    <row r="199" spans="5:5" x14ac:dyDescent="0.75">
      <c r="E199" s="109" t="str">
        <f>'Surg-3'!D205</f>
        <v>* differential.element[25].short = "Gastrostomy"</v>
      </c>
    </row>
    <row r="200" spans="5:5" x14ac:dyDescent="0.75">
      <c r="E200" s="109" t="str">
        <f>'Surg-3'!D206</f>
        <v>* differential.element[25].definition = "State if a gastrostomy was created. Details should be reported in the surgery section.
1 =&gt; Yes
2 =&gt; No
-9911 =&gt; Not applicable
-9922 =&gt;NK"</v>
      </c>
    </row>
    <row r="201" spans="5:5" x14ac:dyDescent="0.75">
      <c r="E201" s="109" t="str">
        <f>'Surg-3'!D207</f>
        <v>* differential.element[25].min = 0</v>
      </c>
    </row>
    <row r="202" spans="5:5" x14ac:dyDescent="0.75">
      <c r="E202" s="109" t="str">
        <f>'Surg-3'!D208</f>
        <v>* differential.element[25].max = "1"</v>
      </c>
    </row>
    <row r="203" spans="5:5" x14ac:dyDescent="0.75">
      <c r="E203" s="109" t="str">
        <f>'Surg-3'!D209</f>
        <v>* differential.element[25].type.code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1140</v>
      </c>
      <c r="E2" s="25"/>
      <c r="F2" s="25"/>
      <c r="G2" s="25"/>
    </row>
    <row r="3" spans="1:9" x14ac:dyDescent="0.75">
      <c r="B3" s="118" t="s">
        <v>34</v>
      </c>
      <c r="C3" s="107" t="s">
        <v>36</v>
      </c>
      <c r="D3" s="56"/>
      <c r="E3" s="25"/>
      <c r="F3" s="25"/>
      <c r="G3" s="25"/>
    </row>
    <row r="4" spans="1:9" ht="15.5" thickBot="1" x14ac:dyDescent="0.9">
      <c r="B4" s="119" t="s">
        <v>52</v>
      </c>
      <c r="C4" s="16" t="s">
        <v>1059</v>
      </c>
      <c r="D4" s="57"/>
      <c r="E4" s="25"/>
      <c r="F4" s="25"/>
      <c r="G4" s="25"/>
    </row>
    <row r="5" spans="1:9" x14ac:dyDescent="0.75">
      <c r="C5" s="3" t="s">
        <v>7</v>
      </c>
      <c r="D5" s="4" t="s">
        <v>8</v>
      </c>
      <c r="E5" s="11" t="s">
        <v>17</v>
      </c>
      <c r="F5" s="11" t="s">
        <v>18</v>
      </c>
      <c r="G5" s="11" t="s">
        <v>19</v>
      </c>
    </row>
    <row r="6" spans="1:9" x14ac:dyDescent="0.75">
      <c r="A6">
        <v>0</v>
      </c>
      <c r="B6" s="16" t="s">
        <v>1059</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1060</v>
      </c>
      <c r="C10" s="111" t="s">
        <v>1080</v>
      </c>
      <c r="D10" s="111" t="s">
        <v>729</v>
      </c>
      <c r="E10" s="111">
        <v>0</v>
      </c>
      <c r="F10" s="111">
        <v>10</v>
      </c>
      <c r="G10" s="111" t="s">
        <v>5</v>
      </c>
    </row>
    <row r="11" spans="1:9" ht="103.25" x14ac:dyDescent="0.75">
      <c r="A11" s="109">
        <v>5</v>
      </c>
      <c r="B11" s="110" t="s">
        <v>1062</v>
      </c>
      <c r="C11" s="111" t="s">
        <v>1080</v>
      </c>
      <c r="D11" s="112" t="s">
        <v>1074</v>
      </c>
      <c r="E11" s="111">
        <v>0</v>
      </c>
      <c r="F11" s="111" t="s">
        <v>20</v>
      </c>
      <c r="G11" s="111" t="s">
        <v>1</v>
      </c>
      <c r="H11" s="2"/>
      <c r="I11" s="25"/>
    </row>
    <row r="12" spans="1:9" s="25" customFormat="1" x14ac:dyDescent="0.75">
      <c r="A12" s="109">
        <v>6</v>
      </c>
      <c r="B12" s="125" t="s">
        <v>1063</v>
      </c>
      <c r="C12" s="113" t="s">
        <v>732</v>
      </c>
      <c r="D12" s="113" t="s">
        <v>732</v>
      </c>
      <c r="E12" s="111">
        <v>0</v>
      </c>
      <c r="F12" s="111">
        <v>1</v>
      </c>
      <c r="G12" s="111" t="s">
        <v>1061</v>
      </c>
      <c r="H12" s="21"/>
    </row>
    <row r="13" spans="1:9" s="109" customFormat="1" ht="29.5" x14ac:dyDescent="0.75">
      <c r="A13" s="109">
        <v>7</v>
      </c>
      <c r="B13" s="125" t="s">
        <v>1090</v>
      </c>
      <c r="C13" s="113" t="s">
        <v>1081</v>
      </c>
      <c r="D13" s="112" t="s">
        <v>739</v>
      </c>
      <c r="E13" s="111">
        <v>1</v>
      </c>
      <c r="F13" s="111">
        <v>1</v>
      </c>
      <c r="G13" s="113" t="s">
        <v>2</v>
      </c>
      <c r="H13" s="114"/>
    </row>
    <row r="14" spans="1:9" s="25" customFormat="1" ht="44.25" x14ac:dyDescent="0.75">
      <c r="A14" s="109">
        <v>8</v>
      </c>
      <c r="B14" s="125" t="s">
        <v>1091</v>
      </c>
      <c r="C14" s="113" t="s">
        <v>6</v>
      </c>
      <c r="D14" s="112" t="s">
        <v>742</v>
      </c>
      <c r="E14" s="111">
        <v>1</v>
      </c>
      <c r="F14" s="111">
        <v>1</v>
      </c>
      <c r="G14" s="113" t="s">
        <v>3</v>
      </c>
      <c r="H14" s="21"/>
    </row>
    <row r="15" spans="1:9" s="109" customFormat="1" x14ac:dyDescent="0.75">
      <c r="A15" s="109">
        <v>9</v>
      </c>
      <c r="B15" s="125" t="s">
        <v>1092</v>
      </c>
      <c r="C15" s="115" t="s">
        <v>743</v>
      </c>
      <c r="D15" s="112" t="s">
        <v>746</v>
      </c>
      <c r="E15" s="111">
        <v>0</v>
      </c>
      <c r="F15" s="111">
        <v>1</v>
      </c>
      <c r="G15" s="113" t="s">
        <v>1</v>
      </c>
      <c r="H15" s="114"/>
    </row>
    <row r="16" spans="1:9" s="109" customFormat="1" x14ac:dyDescent="0.75">
      <c r="A16" s="109">
        <v>10</v>
      </c>
      <c r="B16" s="111" t="s">
        <v>1065</v>
      </c>
      <c r="C16" s="111" t="s">
        <v>747</v>
      </c>
      <c r="D16" s="112" t="s">
        <v>749</v>
      </c>
      <c r="E16" s="111">
        <v>0</v>
      </c>
      <c r="F16" s="111">
        <v>1</v>
      </c>
      <c r="G16" s="113" t="s">
        <v>1</v>
      </c>
      <c r="H16" s="114"/>
    </row>
    <row r="17" spans="1:8" s="109" customFormat="1" x14ac:dyDescent="0.75">
      <c r="A17" s="109">
        <v>11</v>
      </c>
      <c r="B17" s="112" t="s">
        <v>1064</v>
      </c>
      <c r="C17" s="112" t="s">
        <v>750</v>
      </c>
      <c r="D17" s="112" t="s">
        <v>752</v>
      </c>
      <c r="E17" s="111">
        <v>0</v>
      </c>
      <c r="F17" s="111">
        <v>1</v>
      </c>
      <c r="G17" s="113" t="s">
        <v>1</v>
      </c>
      <c r="H17" s="114"/>
    </row>
    <row r="18" spans="1:8" s="109" customFormat="1" x14ac:dyDescent="0.75">
      <c r="A18" s="109">
        <v>12</v>
      </c>
      <c r="B18" s="112" t="s">
        <v>1066</v>
      </c>
      <c r="C18" s="112" t="s">
        <v>753</v>
      </c>
      <c r="D18" s="112" t="s">
        <v>755</v>
      </c>
      <c r="E18" s="111">
        <v>0</v>
      </c>
      <c r="F18" s="111">
        <v>1</v>
      </c>
      <c r="G18" s="113" t="s">
        <v>1</v>
      </c>
      <c r="H18" s="114"/>
    </row>
    <row r="19" spans="1:8" s="109" customFormat="1" x14ac:dyDescent="0.75">
      <c r="A19" s="109">
        <v>13</v>
      </c>
      <c r="B19" s="112" t="s">
        <v>1067</v>
      </c>
      <c r="C19" s="112" t="s">
        <v>756</v>
      </c>
      <c r="D19" s="112" t="s">
        <v>758</v>
      </c>
      <c r="E19" s="111">
        <v>0</v>
      </c>
      <c r="F19" s="111">
        <v>1</v>
      </c>
      <c r="G19" s="113" t="s">
        <v>1</v>
      </c>
      <c r="H19" s="114"/>
    </row>
    <row r="20" spans="1:8" s="109" customFormat="1" x14ac:dyDescent="0.75">
      <c r="A20" s="109">
        <v>14</v>
      </c>
      <c r="B20" s="115" t="s">
        <v>1068</v>
      </c>
      <c r="C20" s="115" t="s">
        <v>759</v>
      </c>
      <c r="D20" s="108" t="s">
        <v>761</v>
      </c>
      <c r="E20" s="111">
        <v>0</v>
      </c>
      <c r="F20" s="111">
        <v>1</v>
      </c>
      <c r="G20" s="113" t="s">
        <v>1</v>
      </c>
      <c r="H20" s="114"/>
    </row>
    <row r="21" spans="1:8" s="109" customFormat="1" x14ac:dyDescent="0.75">
      <c r="A21" s="109">
        <v>15</v>
      </c>
      <c r="B21" s="115" t="s">
        <v>1104</v>
      </c>
      <c r="C21" s="115" t="s">
        <v>1082</v>
      </c>
      <c r="D21" s="108" t="s">
        <v>765</v>
      </c>
      <c r="E21" s="111">
        <v>0</v>
      </c>
      <c r="F21" s="111">
        <v>1</v>
      </c>
      <c r="G21" s="113" t="s">
        <v>5</v>
      </c>
      <c r="H21" s="114"/>
    </row>
    <row r="22" spans="1:8" s="109" customFormat="1" x14ac:dyDescent="0.75">
      <c r="A22" s="109">
        <v>16</v>
      </c>
      <c r="B22" s="115" t="s">
        <v>1105</v>
      </c>
      <c r="C22" s="115" t="s">
        <v>1083</v>
      </c>
      <c r="D22" s="108" t="s">
        <v>770</v>
      </c>
      <c r="E22" s="111">
        <v>0</v>
      </c>
      <c r="F22" s="111">
        <v>1</v>
      </c>
      <c r="G22" s="113" t="s">
        <v>1</v>
      </c>
      <c r="H22" s="114"/>
    </row>
    <row r="23" spans="1:8" s="109" customFormat="1" x14ac:dyDescent="0.75">
      <c r="A23" s="109">
        <v>17</v>
      </c>
      <c r="B23" s="115" t="s">
        <v>1106</v>
      </c>
      <c r="C23" s="115" t="s">
        <v>771</v>
      </c>
      <c r="D23" s="108" t="s">
        <v>773</v>
      </c>
      <c r="E23" s="111">
        <v>0</v>
      </c>
      <c r="F23" s="111">
        <v>1</v>
      </c>
      <c r="G23" s="113" t="s">
        <v>3</v>
      </c>
      <c r="H23" s="114"/>
    </row>
    <row r="24" spans="1:8" s="109" customFormat="1" x14ac:dyDescent="0.75">
      <c r="A24" s="109">
        <v>18</v>
      </c>
      <c r="B24" s="111" t="s">
        <v>1107</v>
      </c>
      <c r="C24" s="111" t="s">
        <v>774</v>
      </c>
      <c r="D24" s="111" t="s">
        <v>774</v>
      </c>
      <c r="E24" s="111">
        <v>0</v>
      </c>
      <c r="F24" s="111">
        <v>1</v>
      </c>
      <c r="G24" s="113" t="s">
        <v>5</v>
      </c>
      <c r="H24" s="114"/>
    </row>
    <row r="25" spans="1:8" s="109" customFormat="1" x14ac:dyDescent="0.75">
      <c r="A25" s="109">
        <v>19</v>
      </c>
      <c r="B25" s="111" t="s">
        <v>1108</v>
      </c>
      <c r="C25" s="111" t="s">
        <v>1121</v>
      </c>
      <c r="D25" s="112" t="s">
        <v>776</v>
      </c>
      <c r="E25" s="111">
        <v>0</v>
      </c>
      <c r="F25" s="111">
        <v>1</v>
      </c>
      <c r="G25" s="113" t="s">
        <v>1</v>
      </c>
      <c r="H25" s="114"/>
    </row>
    <row r="26" spans="1:8" s="109" customFormat="1" ht="29.5" x14ac:dyDescent="0.75">
      <c r="A26" s="109">
        <v>20</v>
      </c>
      <c r="B26" s="111" t="s">
        <v>1109</v>
      </c>
      <c r="C26" s="112" t="s">
        <v>777</v>
      </c>
      <c r="D26" s="112" t="s">
        <v>780</v>
      </c>
      <c r="E26" s="111">
        <v>0</v>
      </c>
      <c r="F26" s="111">
        <v>1</v>
      </c>
      <c r="G26" s="113" t="s">
        <v>3</v>
      </c>
      <c r="H26" s="114"/>
    </row>
    <row r="27" spans="1:8" x14ac:dyDescent="0.75">
      <c r="A27" s="109">
        <v>21</v>
      </c>
      <c r="B27" s="111" t="s">
        <v>1075</v>
      </c>
      <c r="C27" s="111" t="s">
        <v>1084</v>
      </c>
      <c r="D27" s="111" t="s">
        <v>781</v>
      </c>
      <c r="E27" s="111">
        <v>0</v>
      </c>
      <c r="F27" s="111">
        <v>1</v>
      </c>
      <c r="G27" s="113" t="s">
        <v>5</v>
      </c>
    </row>
    <row r="28" spans="1:8" s="109" customFormat="1" x14ac:dyDescent="0.75">
      <c r="A28" s="109">
        <v>22</v>
      </c>
      <c r="B28" s="111" t="s">
        <v>1076</v>
      </c>
      <c r="C28" s="111" t="s">
        <v>1121</v>
      </c>
      <c r="D28" s="112" t="s">
        <v>784</v>
      </c>
      <c r="E28" s="111">
        <v>0</v>
      </c>
      <c r="F28" s="111">
        <v>1</v>
      </c>
      <c r="G28" s="113" t="s">
        <v>1</v>
      </c>
    </row>
    <row r="29" spans="1:8" s="25" customFormat="1" ht="29.5" x14ac:dyDescent="0.75">
      <c r="A29" s="109">
        <v>23</v>
      </c>
      <c r="B29" s="111" t="s">
        <v>1069</v>
      </c>
      <c r="C29" s="112" t="s">
        <v>1085</v>
      </c>
      <c r="D29" s="112" t="s">
        <v>788</v>
      </c>
      <c r="E29" s="111">
        <v>0</v>
      </c>
      <c r="F29" s="111">
        <v>1</v>
      </c>
      <c r="G29" s="113" t="s">
        <v>3</v>
      </c>
    </row>
    <row r="30" spans="1:8" x14ac:dyDescent="0.75">
      <c r="A30" s="109">
        <v>24</v>
      </c>
      <c r="B30" s="111" t="s">
        <v>1070</v>
      </c>
      <c r="C30" s="111" t="s">
        <v>789</v>
      </c>
      <c r="D30" s="112" t="s">
        <v>791</v>
      </c>
      <c r="E30" s="111">
        <v>0</v>
      </c>
      <c r="F30" s="111">
        <v>1</v>
      </c>
      <c r="G30" s="113" t="s">
        <v>1</v>
      </c>
      <c r="H30" s="136"/>
    </row>
    <row r="31" spans="1:8" x14ac:dyDescent="0.75">
      <c r="A31" s="109">
        <v>25</v>
      </c>
      <c r="B31" s="112" t="s">
        <v>1087</v>
      </c>
      <c r="C31" s="111" t="s">
        <v>1086</v>
      </c>
      <c r="D31" s="112" t="s">
        <v>794</v>
      </c>
      <c r="E31" s="111">
        <v>0</v>
      </c>
      <c r="F31" s="111">
        <v>1</v>
      </c>
      <c r="G31" s="113" t="s">
        <v>5</v>
      </c>
    </row>
    <row r="32" spans="1:8" x14ac:dyDescent="0.75">
      <c r="A32" s="109">
        <v>26</v>
      </c>
      <c r="B32" s="112" t="s">
        <v>1122</v>
      </c>
      <c r="C32" s="113" t="s">
        <v>6</v>
      </c>
      <c r="D32" s="112" t="s">
        <v>798</v>
      </c>
      <c r="E32" s="111">
        <v>0</v>
      </c>
      <c r="F32" s="111">
        <v>1</v>
      </c>
      <c r="G32" s="113" t="s">
        <v>1</v>
      </c>
    </row>
    <row r="33" spans="1:9" ht="29.5" x14ac:dyDescent="0.75">
      <c r="A33" s="109">
        <v>27</v>
      </c>
      <c r="B33" s="112" t="s">
        <v>1088</v>
      </c>
      <c r="C33" s="111" t="s">
        <v>799</v>
      </c>
      <c r="D33" s="112" t="s">
        <v>801</v>
      </c>
      <c r="E33" s="111">
        <v>0</v>
      </c>
      <c r="F33" s="111">
        <v>1</v>
      </c>
      <c r="G33" s="113" t="s">
        <v>3</v>
      </c>
    </row>
    <row r="34" spans="1:9" s="25" customFormat="1" ht="29.5" x14ac:dyDescent="0.75">
      <c r="A34" s="109">
        <v>28</v>
      </c>
      <c r="B34" s="112" t="s">
        <v>1072</v>
      </c>
      <c r="C34" s="111" t="s">
        <v>802</v>
      </c>
      <c r="D34" s="112" t="s">
        <v>804</v>
      </c>
      <c r="E34" s="111">
        <v>0</v>
      </c>
      <c r="F34" s="111">
        <v>1</v>
      </c>
      <c r="G34" s="113" t="s">
        <v>3</v>
      </c>
    </row>
    <row r="35" spans="1:9" s="25" customFormat="1" x14ac:dyDescent="0.75">
      <c r="A35" s="109">
        <v>29</v>
      </c>
      <c r="B35" s="112" t="s">
        <v>1071</v>
      </c>
      <c r="C35" s="111" t="s">
        <v>805</v>
      </c>
      <c r="D35" s="111" t="s">
        <v>805</v>
      </c>
      <c r="E35" s="111">
        <v>0</v>
      </c>
      <c r="F35" s="111">
        <v>1</v>
      </c>
      <c r="G35" s="111" t="s">
        <v>1077</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zoomScale="130" zoomScaleNormal="130" workbookViewId="0">
      <selection activeCell="C19" sqref="C1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1126</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1123</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1124</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1123</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1124</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1127</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1128</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1129</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940</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1130</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1131</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1141</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1142</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1143</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1144</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1145</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1132</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1000</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1146</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940</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1133</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1134</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10; true)"</v>
      </c>
    </row>
    <row r="36" spans="1:14" ht="29.5" x14ac:dyDescent="0.75">
      <c r="A36" s="111">
        <v>1</v>
      </c>
      <c r="B36" s="111">
        <f>'Oth-1'!A29</f>
        <v>23</v>
      </c>
      <c r="C36" s="111" t="str">
        <f>'Oth-1'!B29</f>
        <v>transfusion.last</v>
      </c>
      <c r="D36" s="138" t="s">
        <v>1135</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1163</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10; true)"</v>
      </c>
      <c r="K37" s="110" t="str">
        <f t="shared" si="20"/>
        <v/>
      </c>
      <c r="N37" s="109" t="e">
        <f>CONCATENATE("* ",C37," -&gt; """,#REF!,"""")</f>
        <v>#REF!</v>
      </c>
    </row>
    <row r="38" spans="1:14" ht="73.75" x14ac:dyDescent="0.75">
      <c r="A38" s="111">
        <v>1</v>
      </c>
      <c r="B38" s="111">
        <f>'Oth-1'!A30</f>
        <v>24</v>
      </c>
      <c r="C38" s="111" t="str">
        <f>'Oth-1'!B30</f>
        <v>transfusion.moreThan10</v>
      </c>
      <c r="D38" s="138" t="s">
        <v>1164</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10; true)"</v>
      </c>
      <c r="K38" s="110" t="str">
        <f t="shared" si="20"/>
        <v/>
      </c>
    </row>
    <row r="39" spans="1:14" ht="59" x14ac:dyDescent="0.75">
      <c r="A39" s="111">
        <v>0</v>
      </c>
      <c r="B39" s="111">
        <f>'Oth-1'!A31</f>
        <v>25</v>
      </c>
      <c r="C39" s="111" t="str">
        <f>'Oth-1'!B31</f>
        <v>fertilityPreservation</v>
      </c>
      <c r="D39" s="138" t="s">
        <v>1136</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940</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1138</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1137</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1139</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10;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10;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10;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10;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3"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1002</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942</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991</v>
      </c>
      <c r="D21" s="112" t="s">
        <v>915</v>
      </c>
      <c r="E21" s="111">
        <v>0</v>
      </c>
      <c r="F21" s="111">
        <v>1</v>
      </c>
      <c r="G21" s="111" t="s">
        <v>1</v>
      </c>
      <c r="I21" s="111" t="str">
        <f t="shared" si="0"/>
        <v>Type of shunt</v>
      </c>
    </row>
    <row r="22" spans="1:9" ht="88.5" x14ac:dyDescent="0.75">
      <c r="A22" s="111">
        <v>16</v>
      </c>
      <c r="B22" s="112" t="s">
        <v>935</v>
      </c>
      <c r="C22" s="112" t="s">
        <v>992</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996</v>
      </c>
      <c r="C26" s="111" t="s">
        <v>995</v>
      </c>
      <c r="D26" s="112" t="s">
        <v>688</v>
      </c>
      <c r="E26" s="111">
        <v>0</v>
      </c>
      <c r="F26" s="111">
        <v>1</v>
      </c>
      <c r="G26" s="111" t="s">
        <v>1</v>
      </c>
      <c r="I26" s="111"/>
    </row>
    <row r="27" spans="1:9" ht="73.75" x14ac:dyDescent="0.75">
      <c r="A27" s="111">
        <v>21</v>
      </c>
      <c r="B27" s="111" t="s">
        <v>997</v>
      </c>
      <c r="C27" s="111" t="s">
        <v>999</v>
      </c>
      <c r="D27" s="112" t="s">
        <v>998</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994</v>
      </c>
      <c r="C29" s="111" t="s">
        <v>995</v>
      </c>
      <c r="D29" s="112" t="s">
        <v>697</v>
      </c>
      <c r="E29" s="111">
        <v>0</v>
      </c>
      <c r="F29" s="111">
        <v>1</v>
      </c>
      <c r="G29" s="111" t="s">
        <v>1</v>
      </c>
      <c r="I29" s="111" t="str">
        <f t="shared" si="0"/>
        <v>status</v>
      </c>
    </row>
    <row r="30" spans="1:9" ht="59" x14ac:dyDescent="0.75">
      <c r="A30" s="111">
        <v>24</v>
      </c>
      <c r="B30" s="111" t="s">
        <v>993</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7" zoomScale="130" zoomScaleNormal="130" workbookViewId="0">
      <selection activeCell="D17" sqref="D17"/>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1120</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939</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940</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941</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1000</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1013</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1112</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1001</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1000</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943</v>
      </c>
      <c r="D2" s="152" t="s">
        <v>1022</v>
      </c>
      <c r="E2" s="25"/>
      <c r="F2" s="25"/>
      <c r="G2" s="25"/>
    </row>
    <row r="3" spans="1:9" x14ac:dyDescent="0.75">
      <c r="B3" s="20" t="s">
        <v>34</v>
      </c>
      <c r="C3" s="25"/>
      <c r="D3" s="56"/>
      <c r="E3" s="25"/>
      <c r="F3" s="25"/>
      <c r="G3" s="25"/>
    </row>
    <row r="4" spans="1:9" ht="15.5" thickBot="1" x14ac:dyDescent="0.9">
      <c r="B4" s="22" t="s">
        <v>52</v>
      </c>
      <c r="C4" s="148" t="s">
        <v>944</v>
      </c>
      <c r="D4" s="57"/>
      <c r="E4" s="25"/>
      <c r="F4" s="25"/>
      <c r="G4" s="25"/>
    </row>
    <row r="5" spans="1:9" x14ac:dyDescent="0.75">
      <c r="B5" s="25"/>
      <c r="C5" s="51" t="s">
        <v>7</v>
      </c>
      <c r="D5" s="4" t="s">
        <v>8</v>
      </c>
      <c r="E5" s="11" t="s">
        <v>17</v>
      </c>
      <c r="F5" s="11" t="s">
        <v>18</v>
      </c>
      <c r="G5" s="11" t="s">
        <v>19</v>
      </c>
    </row>
    <row r="6" spans="1:9" ht="15.5" thickBot="1" x14ac:dyDescent="0.9">
      <c r="A6">
        <v>0</v>
      </c>
      <c r="B6" s="33" t="s">
        <v>944</v>
      </c>
      <c r="C6" s="148" t="s">
        <v>943</v>
      </c>
      <c r="D6" s="148" t="s">
        <v>943</v>
      </c>
      <c r="E6" s="34">
        <v>1</v>
      </c>
      <c r="F6" s="34">
        <v>1</v>
      </c>
      <c r="G6" s="34" t="s">
        <v>21</v>
      </c>
    </row>
    <row r="7" spans="1:9" x14ac:dyDescent="0.75">
      <c r="A7" s="2">
        <v>1</v>
      </c>
      <c r="B7" s="26" t="s">
        <v>35</v>
      </c>
      <c r="C7" s="111" t="s">
        <v>945</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946</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965</v>
      </c>
      <c r="D16" s="67" t="s">
        <v>351</v>
      </c>
      <c r="E16" s="26">
        <v>0</v>
      </c>
      <c r="F16" s="26" t="s">
        <v>20</v>
      </c>
      <c r="G16" s="26" t="s">
        <v>2</v>
      </c>
      <c r="H16" s="2"/>
      <c r="I16" s="2"/>
    </row>
    <row r="17" spans="1:11" ht="74" x14ac:dyDescent="0.75">
      <c r="A17" s="111">
        <v>11</v>
      </c>
      <c r="B17" s="149" t="s">
        <v>949</v>
      </c>
      <c r="C17" s="26" t="s">
        <v>966</v>
      </c>
      <c r="D17" s="67" t="s">
        <v>948</v>
      </c>
      <c r="E17" s="26">
        <v>0</v>
      </c>
      <c r="F17" s="26">
        <v>1</v>
      </c>
      <c r="G17" s="111" t="s">
        <v>1</v>
      </c>
      <c r="H17" s="67"/>
      <c r="I17" s="2"/>
    </row>
    <row r="18" spans="1:11" ht="240.5" x14ac:dyDescent="0.75">
      <c r="A18" s="109">
        <v>12</v>
      </c>
      <c r="B18" s="149" t="s">
        <v>950</v>
      </c>
      <c r="C18" s="26" t="s">
        <v>952</v>
      </c>
      <c r="D18" s="95" t="s">
        <v>951</v>
      </c>
      <c r="E18" s="26">
        <v>0</v>
      </c>
      <c r="F18" s="26">
        <v>1</v>
      </c>
      <c r="G18" s="111" t="s">
        <v>1</v>
      </c>
      <c r="H18" s="67"/>
      <c r="I18" s="2"/>
    </row>
    <row r="19" spans="1:11" ht="92.5" x14ac:dyDescent="0.75">
      <c r="A19" s="109">
        <v>13</v>
      </c>
      <c r="B19" s="149" t="s">
        <v>953</v>
      </c>
      <c r="C19" s="26" t="s">
        <v>1149</v>
      </c>
      <c r="D19" s="67" t="s">
        <v>947</v>
      </c>
      <c r="E19" s="32">
        <v>0</v>
      </c>
      <c r="F19" s="2">
        <v>1</v>
      </c>
      <c r="G19" s="111" t="s">
        <v>1</v>
      </c>
      <c r="H19" s="67"/>
    </row>
    <row r="20" spans="1:11" ht="129.5" x14ac:dyDescent="0.75">
      <c r="A20" s="111">
        <v>14</v>
      </c>
      <c r="B20" s="151" t="s">
        <v>962</v>
      </c>
      <c r="C20" s="24" t="s">
        <v>967</v>
      </c>
      <c r="D20" s="71" t="s">
        <v>373</v>
      </c>
      <c r="E20" s="32">
        <v>0</v>
      </c>
      <c r="F20" s="2">
        <v>1</v>
      </c>
      <c r="G20" s="2" t="s">
        <v>3</v>
      </c>
      <c r="H20" s="67"/>
    </row>
    <row r="21" spans="1:11" s="109" customFormat="1" ht="18.5" x14ac:dyDescent="0.75">
      <c r="A21" s="109">
        <v>15</v>
      </c>
      <c r="B21" s="149" t="s">
        <v>1150</v>
      </c>
      <c r="C21" s="111" t="s">
        <v>978</v>
      </c>
      <c r="D21" s="95" t="s">
        <v>978</v>
      </c>
      <c r="E21" s="113">
        <v>0</v>
      </c>
      <c r="F21" s="111">
        <v>1</v>
      </c>
      <c r="G21" s="111" t="s">
        <v>5</v>
      </c>
      <c r="H21" s="67"/>
    </row>
    <row r="22" spans="1:11" ht="111" x14ac:dyDescent="0.75">
      <c r="A22" s="111">
        <v>16</v>
      </c>
      <c r="B22" s="26" t="s">
        <v>1151</v>
      </c>
      <c r="C22" s="26" t="s">
        <v>968</v>
      </c>
      <c r="D22" s="95" t="s">
        <v>963</v>
      </c>
      <c r="E22" s="32">
        <v>0</v>
      </c>
      <c r="F22" s="2">
        <v>1</v>
      </c>
      <c r="G22" s="111" t="s">
        <v>1</v>
      </c>
      <c r="H22" s="67"/>
    </row>
    <row r="23" spans="1:11" ht="18.5" x14ac:dyDescent="0.75">
      <c r="A23" s="109">
        <v>17</v>
      </c>
      <c r="B23" s="111" t="s">
        <v>1152</v>
      </c>
      <c r="C23" s="26" t="s">
        <v>969</v>
      </c>
      <c r="D23" s="67" t="s">
        <v>979</v>
      </c>
      <c r="E23" s="113">
        <v>0</v>
      </c>
      <c r="F23" s="113">
        <v>1</v>
      </c>
      <c r="G23" s="111" t="s">
        <v>5</v>
      </c>
      <c r="H23" s="67"/>
      <c r="K23">
        <f>800*20</f>
        <v>16000</v>
      </c>
    </row>
    <row r="24" spans="1:11" s="109" customFormat="1" ht="74" x14ac:dyDescent="0.75">
      <c r="A24" s="111">
        <v>18</v>
      </c>
      <c r="B24" s="111" t="s">
        <v>1153</v>
      </c>
      <c r="C24" s="111" t="s">
        <v>970</v>
      </c>
      <c r="D24" s="67" t="s">
        <v>980</v>
      </c>
      <c r="E24" s="113">
        <v>1</v>
      </c>
      <c r="F24" s="113">
        <v>1</v>
      </c>
      <c r="G24" s="111" t="s">
        <v>1</v>
      </c>
      <c r="H24" s="67"/>
    </row>
    <row r="25" spans="1:11" ht="129.5" x14ac:dyDescent="0.75">
      <c r="A25" s="109">
        <v>19</v>
      </c>
      <c r="B25" s="111" t="s">
        <v>1154</v>
      </c>
      <c r="C25" s="26" t="s">
        <v>382</v>
      </c>
      <c r="D25" s="67" t="s">
        <v>981</v>
      </c>
      <c r="E25" s="113">
        <v>1</v>
      </c>
      <c r="F25" s="113">
        <v>1</v>
      </c>
      <c r="G25" s="111" t="s">
        <v>1</v>
      </c>
      <c r="H25" s="67"/>
    </row>
    <row r="26" spans="1:11" ht="37" x14ac:dyDescent="0.75">
      <c r="A26" s="111">
        <v>20</v>
      </c>
      <c r="B26" s="111" t="s">
        <v>1155</v>
      </c>
      <c r="C26" s="26" t="s">
        <v>885</v>
      </c>
      <c r="D26" s="67" t="s">
        <v>389</v>
      </c>
      <c r="E26" s="32">
        <v>0</v>
      </c>
      <c r="F26" s="2">
        <v>1</v>
      </c>
      <c r="G26" s="2" t="s">
        <v>4</v>
      </c>
      <c r="H26" s="67" t="s">
        <v>109</v>
      </c>
    </row>
    <row r="27" spans="1:11" ht="37" x14ac:dyDescent="0.75">
      <c r="A27" s="109">
        <v>21</v>
      </c>
      <c r="B27" s="111" t="s">
        <v>1156</v>
      </c>
      <c r="C27" s="26" t="s">
        <v>886</v>
      </c>
      <c r="D27" s="67" t="s">
        <v>392</v>
      </c>
      <c r="E27" s="113">
        <v>0</v>
      </c>
      <c r="F27" s="111">
        <v>1</v>
      </c>
      <c r="G27" s="111" t="s">
        <v>4</v>
      </c>
      <c r="H27" s="67" t="s">
        <v>109</v>
      </c>
    </row>
    <row r="28" spans="1:11" ht="18.5" x14ac:dyDescent="0.75">
      <c r="A28" s="111">
        <v>22</v>
      </c>
      <c r="B28" s="111" t="s">
        <v>1157</v>
      </c>
      <c r="C28" s="111" t="s">
        <v>971</v>
      </c>
      <c r="D28" s="111" t="s">
        <v>982</v>
      </c>
      <c r="E28" s="113">
        <v>0</v>
      </c>
      <c r="F28" s="113">
        <v>1</v>
      </c>
      <c r="G28" s="111" t="s">
        <v>5</v>
      </c>
      <c r="H28" s="67"/>
    </row>
    <row r="29" spans="1:11" s="109" customFormat="1" ht="74" x14ac:dyDescent="0.75">
      <c r="A29" s="109">
        <v>23</v>
      </c>
      <c r="B29" s="111" t="s">
        <v>1158</v>
      </c>
      <c r="C29" s="111" t="s">
        <v>972</v>
      </c>
      <c r="D29" s="95" t="s">
        <v>983</v>
      </c>
      <c r="E29" s="113">
        <v>1</v>
      </c>
      <c r="F29" s="113">
        <v>1</v>
      </c>
      <c r="G29" s="111" t="s">
        <v>1</v>
      </c>
      <c r="H29" s="67"/>
    </row>
    <row r="30" spans="1:11" ht="74" x14ac:dyDescent="0.75">
      <c r="A30" s="111">
        <v>24</v>
      </c>
      <c r="B30" s="111" t="s">
        <v>1159</v>
      </c>
      <c r="C30" s="111" t="s">
        <v>382</v>
      </c>
      <c r="D30" s="67" t="s">
        <v>984</v>
      </c>
      <c r="E30" s="113">
        <v>1</v>
      </c>
      <c r="F30" s="113">
        <v>1</v>
      </c>
      <c r="G30" s="111" t="s">
        <v>1</v>
      </c>
      <c r="H30" s="67"/>
    </row>
    <row r="31" spans="1:11" ht="37" x14ac:dyDescent="0.75">
      <c r="A31" s="109">
        <v>25</v>
      </c>
      <c r="B31" s="111" t="s">
        <v>1160</v>
      </c>
      <c r="C31" s="111" t="s">
        <v>885</v>
      </c>
      <c r="D31" s="67" t="s">
        <v>401</v>
      </c>
      <c r="E31" s="10">
        <v>0</v>
      </c>
      <c r="F31" s="10">
        <v>1</v>
      </c>
      <c r="G31" s="2" t="s">
        <v>4</v>
      </c>
      <c r="H31" s="67" t="s">
        <v>109</v>
      </c>
    </row>
    <row r="32" spans="1:11" ht="37" x14ac:dyDescent="0.75">
      <c r="A32" s="109">
        <v>26</v>
      </c>
      <c r="B32" s="111" t="s">
        <v>1161</v>
      </c>
      <c r="C32" s="111" t="s">
        <v>886</v>
      </c>
      <c r="D32" s="67" t="s">
        <v>403</v>
      </c>
      <c r="E32" s="10">
        <v>0</v>
      </c>
      <c r="F32" s="10">
        <v>1</v>
      </c>
      <c r="G32" s="2" t="s">
        <v>4</v>
      </c>
      <c r="H32" s="67" t="s">
        <v>109</v>
      </c>
    </row>
    <row r="33" spans="1:8" ht="18.5" x14ac:dyDescent="0.75">
      <c r="A33" s="111">
        <v>27</v>
      </c>
      <c r="B33" s="26" t="s">
        <v>1162</v>
      </c>
      <c r="C33" s="111" t="s">
        <v>973</v>
      </c>
      <c r="D33" s="67" t="s">
        <v>407</v>
      </c>
      <c r="E33" s="10">
        <v>0</v>
      </c>
      <c r="F33" s="10" t="s">
        <v>20</v>
      </c>
      <c r="G33" s="2" t="s">
        <v>3</v>
      </c>
      <c r="H33" s="67"/>
    </row>
    <row r="34" spans="1:8" s="109" customFormat="1" ht="18.5" x14ac:dyDescent="0.75">
      <c r="A34" s="109">
        <v>28</v>
      </c>
      <c r="B34" s="111" t="s">
        <v>954</v>
      </c>
      <c r="C34" s="111" t="s">
        <v>974</v>
      </c>
      <c r="D34" s="111" t="s">
        <v>985</v>
      </c>
      <c r="E34" s="113">
        <v>0</v>
      </c>
      <c r="F34" s="113">
        <v>1</v>
      </c>
      <c r="G34" s="111" t="s">
        <v>5</v>
      </c>
      <c r="H34" s="67"/>
    </row>
    <row r="35" spans="1:8" ht="111" x14ac:dyDescent="0.75">
      <c r="A35" s="111">
        <v>29</v>
      </c>
      <c r="B35" s="111" t="s">
        <v>956</v>
      </c>
      <c r="C35" s="111" t="s">
        <v>955</v>
      </c>
      <c r="D35" s="67" t="s">
        <v>986</v>
      </c>
      <c r="E35" s="10">
        <v>1</v>
      </c>
      <c r="F35" s="10">
        <v>1</v>
      </c>
      <c r="G35" s="111" t="s">
        <v>1</v>
      </c>
      <c r="H35" s="70"/>
    </row>
    <row r="36" spans="1:8" ht="74" x14ac:dyDescent="0.75">
      <c r="A36" s="109">
        <v>30</v>
      </c>
      <c r="B36" s="111" t="s">
        <v>957</v>
      </c>
      <c r="C36" s="111" t="s">
        <v>975</v>
      </c>
      <c r="D36" s="67" t="s">
        <v>987</v>
      </c>
      <c r="E36" s="10">
        <v>1</v>
      </c>
      <c r="F36" s="10">
        <v>1</v>
      </c>
      <c r="G36" s="111" t="s">
        <v>1</v>
      </c>
      <c r="H36" s="67"/>
    </row>
    <row r="37" spans="1:8" s="109" customFormat="1" ht="18.5" x14ac:dyDescent="0.75">
      <c r="A37" s="111">
        <v>31</v>
      </c>
      <c r="B37" s="111" t="s">
        <v>958</v>
      </c>
      <c r="C37" s="111" t="s">
        <v>976</v>
      </c>
      <c r="D37" s="111" t="s">
        <v>988</v>
      </c>
      <c r="E37" s="113">
        <v>0</v>
      </c>
      <c r="F37" s="113">
        <v>1</v>
      </c>
      <c r="G37" s="111" t="s">
        <v>5</v>
      </c>
      <c r="H37" s="67"/>
    </row>
    <row r="38" spans="1:8" ht="111" x14ac:dyDescent="0.75">
      <c r="A38" s="109">
        <v>32</v>
      </c>
      <c r="B38" s="111" t="s">
        <v>959</v>
      </c>
      <c r="C38" s="111" t="s">
        <v>955</v>
      </c>
      <c r="D38" s="67" t="s">
        <v>989</v>
      </c>
      <c r="E38" s="113">
        <v>1</v>
      </c>
      <c r="F38" s="113">
        <v>1</v>
      </c>
      <c r="G38" s="111" t="s">
        <v>1</v>
      </c>
      <c r="H38" s="70"/>
    </row>
    <row r="39" spans="1:8" ht="74" x14ac:dyDescent="0.75">
      <c r="A39" s="111">
        <v>33</v>
      </c>
      <c r="B39" s="111" t="s">
        <v>960</v>
      </c>
      <c r="C39" s="111" t="s">
        <v>975</v>
      </c>
      <c r="D39" s="67" t="s">
        <v>990</v>
      </c>
      <c r="E39" s="113">
        <v>1</v>
      </c>
      <c r="F39" s="113">
        <v>1</v>
      </c>
      <c r="G39" s="111" t="s">
        <v>1</v>
      </c>
      <c r="H39" s="67"/>
    </row>
    <row r="40" spans="1:8" ht="55.5" x14ac:dyDescent="0.75">
      <c r="A40" s="109">
        <v>34</v>
      </c>
      <c r="B40" s="150" t="s">
        <v>961</v>
      </c>
      <c r="C40" s="111" t="s">
        <v>977</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1073</v>
      </c>
      <c r="E2" s="35"/>
      <c r="G2" s="25" t="s">
        <v>38</v>
      </c>
      <c r="M2" s="44"/>
      <c r="N2" s="25" t="str">
        <f>CONCATENATE("Mapping: ",E2)</f>
        <v xml:space="preserve">Mapping: </v>
      </c>
    </row>
    <row r="3" spans="1:14" x14ac:dyDescent="0.75">
      <c r="C3" s="104" t="str">
        <f>'Sct-1'!B3</f>
        <v>Publisher</v>
      </c>
      <c r="D3" s="40"/>
      <c r="E3" s="36"/>
      <c r="G3" s="25" t="s">
        <v>1073</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964</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1120</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1148</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1003</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1020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1007</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1008</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1004</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1129</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1165</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3" t="s">
        <v>1009</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1010</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1004</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1129</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1165</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1005</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1011</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1012</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1006</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1011</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1012</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1078</v>
      </c>
      <c r="D2" s="112" t="s">
        <v>1118</v>
      </c>
    </row>
    <row r="3" spans="1:9" x14ac:dyDescent="0.75">
      <c r="B3" s="118" t="s">
        <v>34</v>
      </c>
      <c r="C3" s="123" t="s">
        <v>36</v>
      </c>
      <c r="D3" s="56"/>
    </row>
    <row r="4" spans="1:9" ht="15.5" thickBot="1" x14ac:dyDescent="0.9">
      <c r="B4" s="119" t="s">
        <v>52</v>
      </c>
      <c r="C4" s="112" t="s">
        <v>1023</v>
      </c>
      <c r="D4" s="57"/>
    </row>
    <row r="5" spans="1:9" x14ac:dyDescent="0.75">
      <c r="B5" s="110"/>
      <c r="C5" s="3" t="s">
        <v>7</v>
      </c>
      <c r="D5" s="4" t="s">
        <v>8</v>
      </c>
      <c r="E5" s="11" t="s">
        <v>17</v>
      </c>
      <c r="F5" s="11" t="s">
        <v>18</v>
      </c>
      <c r="G5" s="11" t="s">
        <v>19</v>
      </c>
    </row>
    <row r="6" spans="1:9" x14ac:dyDescent="0.75">
      <c r="A6" s="109">
        <v>0</v>
      </c>
      <c r="B6" s="112" t="s">
        <v>1023</v>
      </c>
      <c r="C6" s="111" t="s">
        <v>63</v>
      </c>
      <c r="D6" s="111" t="s">
        <v>63</v>
      </c>
      <c r="E6" s="34">
        <v>1</v>
      </c>
      <c r="F6" s="34">
        <v>1</v>
      </c>
      <c r="G6" s="34"/>
    </row>
    <row r="7" spans="1:9" x14ac:dyDescent="0.75">
      <c r="A7" s="109">
        <v>1</v>
      </c>
      <c r="B7" s="112" t="s">
        <v>1031</v>
      </c>
      <c r="C7" s="111" t="s">
        <v>858</v>
      </c>
      <c r="D7" s="111" t="s">
        <v>858</v>
      </c>
      <c r="E7" s="111">
        <v>0</v>
      </c>
      <c r="F7" s="111" t="s">
        <v>20</v>
      </c>
      <c r="G7" s="111" t="s">
        <v>5</v>
      </c>
      <c r="H7" s="111"/>
      <c r="I7" s="111"/>
    </row>
    <row r="8" spans="1:9" ht="59" x14ac:dyDescent="0.75">
      <c r="A8" s="109">
        <v>2</v>
      </c>
      <c r="B8" s="112" t="s">
        <v>1024</v>
      </c>
      <c r="C8" s="111" t="s">
        <v>862</v>
      </c>
      <c r="D8" s="112" t="s">
        <v>861</v>
      </c>
      <c r="E8" s="111">
        <v>0</v>
      </c>
      <c r="F8" s="111">
        <v>1</v>
      </c>
      <c r="G8" s="111" t="s">
        <v>1</v>
      </c>
      <c r="H8" s="111"/>
      <c r="I8" s="111"/>
    </row>
    <row r="9" spans="1:9" x14ac:dyDescent="0.75">
      <c r="A9" s="109">
        <v>3</v>
      </c>
      <c r="B9" s="112" t="s">
        <v>1042</v>
      </c>
      <c r="C9" s="111" t="s">
        <v>1043</v>
      </c>
      <c r="D9" s="111" t="s">
        <v>1043</v>
      </c>
      <c r="E9" s="111">
        <v>0</v>
      </c>
      <c r="F9" s="111">
        <v>1</v>
      </c>
      <c r="G9" s="111" t="s">
        <v>3</v>
      </c>
      <c r="H9" s="111"/>
      <c r="I9" s="111"/>
    </row>
    <row r="10" spans="1:9" ht="59" x14ac:dyDescent="0.75">
      <c r="A10" s="109">
        <v>4</v>
      </c>
      <c r="B10" s="112" t="s">
        <v>1025</v>
      </c>
      <c r="C10" s="111" t="s">
        <v>859</v>
      </c>
      <c r="D10" s="112" t="s">
        <v>860</v>
      </c>
      <c r="E10" s="111">
        <v>0</v>
      </c>
      <c r="F10" s="111">
        <v>1</v>
      </c>
      <c r="G10" s="111" t="s">
        <v>3</v>
      </c>
      <c r="H10" s="111"/>
      <c r="I10" s="111"/>
    </row>
    <row r="11" spans="1:9" x14ac:dyDescent="0.75">
      <c r="A11" s="109">
        <v>5</v>
      </c>
      <c r="B11" s="112" t="s">
        <v>1026</v>
      </c>
      <c r="C11" s="115" t="s">
        <v>870</v>
      </c>
      <c r="D11" s="111" t="s">
        <v>250</v>
      </c>
      <c r="E11" s="111">
        <v>0</v>
      </c>
      <c r="F11" s="111">
        <v>1</v>
      </c>
      <c r="G11" s="111" t="s">
        <v>3</v>
      </c>
      <c r="H11" s="111"/>
      <c r="I11" s="111"/>
    </row>
    <row r="12" spans="1:9" ht="44.25" x14ac:dyDescent="0.75">
      <c r="A12" s="109">
        <v>6</v>
      </c>
      <c r="B12" s="112" t="s">
        <v>1103</v>
      </c>
      <c r="C12" s="111" t="s">
        <v>1098</v>
      </c>
      <c r="D12" s="112" t="s">
        <v>1099</v>
      </c>
      <c r="E12" s="111">
        <v>0</v>
      </c>
      <c r="F12" s="111">
        <v>1</v>
      </c>
      <c r="G12" s="111" t="s">
        <v>2</v>
      </c>
      <c r="H12" s="111"/>
      <c r="I12" s="111"/>
    </row>
    <row r="13" spans="1:9" x14ac:dyDescent="0.75">
      <c r="A13" s="109">
        <v>7</v>
      </c>
      <c r="B13" s="112" t="s">
        <v>1027</v>
      </c>
      <c r="C13" s="115" t="s">
        <v>863</v>
      </c>
      <c r="D13" s="115" t="s">
        <v>863</v>
      </c>
      <c r="E13" s="111">
        <v>0</v>
      </c>
      <c r="F13" s="111">
        <v>1</v>
      </c>
      <c r="G13" s="111" t="s">
        <v>1</v>
      </c>
      <c r="H13" s="111"/>
      <c r="I13" s="111"/>
    </row>
    <row r="14" spans="1:9" x14ac:dyDescent="0.75">
      <c r="A14" s="109">
        <v>8</v>
      </c>
      <c r="B14" s="112" t="s">
        <v>1028</v>
      </c>
      <c r="C14" s="115" t="s">
        <v>864</v>
      </c>
      <c r="D14" s="115" t="s">
        <v>864</v>
      </c>
      <c r="E14" s="111">
        <v>0</v>
      </c>
      <c r="F14" s="111">
        <v>1</v>
      </c>
      <c r="G14" s="111" t="s">
        <v>1</v>
      </c>
      <c r="H14" s="111"/>
      <c r="I14" s="111"/>
    </row>
    <row r="15" spans="1:9" x14ac:dyDescent="0.75">
      <c r="A15" s="109">
        <v>9</v>
      </c>
      <c r="B15" s="112" t="s">
        <v>1029</v>
      </c>
      <c r="C15" s="115" t="s">
        <v>871</v>
      </c>
      <c r="D15" s="115" t="s">
        <v>871</v>
      </c>
      <c r="E15" s="111">
        <v>0</v>
      </c>
      <c r="F15" s="111">
        <v>1</v>
      </c>
      <c r="G15" s="111" t="s">
        <v>1</v>
      </c>
      <c r="H15" s="111"/>
      <c r="I15" s="111"/>
    </row>
    <row r="16" spans="1:9" x14ac:dyDescent="0.75">
      <c r="A16" s="109">
        <v>10</v>
      </c>
      <c r="B16" s="112" t="s">
        <v>1030</v>
      </c>
      <c r="C16" s="115" t="s">
        <v>865</v>
      </c>
      <c r="D16" s="115" t="s">
        <v>865</v>
      </c>
      <c r="E16" s="111">
        <v>0</v>
      </c>
      <c r="F16" s="111">
        <v>1</v>
      </c>
      <c r="G16" s="111" t="s">
        <v>1</v>
      </c>
      <c r="H16" s="111"/>
      <c r="I16" s="111"/>
    </row>
    <row r="17" spans="1:9" x14ac:dyDescent="0.75">
      <c r="A17" s="109">
        <v>11</v>
      </c>
      <c r="B17" s="112" t="s">
        <v>1093</v>
      </c>
      <c r="C17" s="115" t="s">
        <v>1094</v>
      </c>
      <c r="D17" s="115" t="s">
        <v>1094</v>
      </c>
      <c r="E17" s="111">
        <v>0</v>
      </c>
      <c r="F17" s="111">
        <v>1</v>
      </c>
      <c r="G17" s="111" t="s">
        <v>5</v>
      </c>
      <c r="H17" s="111"/>
      <c r="I17" s="111"/>
    </row>
    <row r="18" spans="1:9" x14ac:dyDescent="0.75">
      <c r="A18" s="109">
        <v>12</v>
      </c>
      <c r="B18" s="112" t="s">
        <v>1100</v>
      </c>
      <c r="C18" s="112" t="s">
        <v>866</v>
      </c>
      <c r="D18" s="112" t="s">
        <v>866</v>
      </c>
      <c r="E18" s="111">
        <v>0</v>
      </c>
      <c r="F18" s="111">
        <v>1</v>
      </c>
      <c r="G18" s="111" t="s">
        <v>5</v>
      </c>
      <c r="H18" s="111"/>
      <c r="I18" s="111"/>
    </row>
    <row r="19" spans="1:9" x14ac:dyDescent="0.75">
      <c r="A19" s="109">
        <v>13</v>
      </c>
      <c r="B19" s="112" t="s">
        <v>1101</v>
      </c>
      <c r="C19" s="112" t="s">
        <v>867</v>
      </c>
      <c r="D19" s="112" t="s">
        <v>867</v>
      </c>
      <c r="E19" s="111">
        <v>1</v>
      </c>
      <c r="F19" s="111">
        <v>1</v>
      </c>
      <c r="G19" s="111" t="s">
        <v>2</v>
      </c>
      <c r="I19" s="111"/>
    </row>
    <row r="20" spans="1:9" x14ac:dyDescent="0.75">
      <c r="A20" s="109">
        <v>14</v>
      </c>
      <c r="B20" s="112" t="s">
        <v>1102</v>
      </c>
      <c r="C20" s="112" t="s">
        <v>868</v>
      </c>
      <c r="D20" s="112" t="s">
        <v>868</v>
      </c>
      <c r="E20" s="111">
        <v>1</v>
      </c>
      <c r="F20" s="111">
        <v>1</v>
      </c>
      <c r="G20" s="111" t="s">
        <v>1</v>
      </c>
      <c r="H20" s="111"/>
      <c r="I20" s="111"/>
    </row>
    <row r="21" spans="1:9" x14ac:dyDescent="0.75">
      <c r="A21" s="109">
        <v>15</v>
      </c>
      <c r="B21" s="112" t="s">
        <v>1095</v>
      </c>
      <c r="C21" s="111" t="s">
        <v>872</v>
      </c>
      <c r="D21" s="111" t="s">
        <v>872</v>
      </c>
      <c r="E21" s="111">
        <v>0</v>
      </c>
      <c r="F21" s="111">
        <v>1</v>
      </c>
      <c r="G21" s="111" t="s">
        <v>1</v>
      </c>
      <c r="H21" s="111"/>
      <c r="I21" s="111"/>
    </row>
    <row r="22" spans="1:9" ht="29.5" x14ac:dyDescent="0.75">
      <c r="A22" s="109">
        <v>16</v>
      </c>
      <c r="B22" s="112" t="s">
        <v>1096</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1073</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1032</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1097</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1044</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1045</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1046</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1147</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1033</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1037</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1038</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1039</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1040</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1034</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1035</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1036</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1114</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1115</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1119</v>
      </c>
    </row>
    <row r="3" spans="1:9" x14ac:dyDescent="0.75">
      <c r="B3" s="118" t="s">
        <v>34</v>
      </c>
      <c r="C3" s="123" t="s">
        <v>36</v>
      </c>
      <c r="D3" s="56"/>
    </row>
    <row r="4" spans="1:9" ht="15.5" thickBot="1" x14ac:dyDescent="0.9">
      <c r="B4" s="119" t="s">
        <v>52</v>
      </c>
      <c r="C4" s="124" t="s">
        <v>1049</v>
      </c>
      <c r="D4" s="57"/>
    </row>
    <row r="5" spans="1:9" x14ac:dyDescent="0.75">
      <c r="C5" s="3" t="s">
        <v>7</v>
      </c>
      <c r="D5" s="4" t="s">
        <v>8</v>
      </c>
      <c r="E5" s="11" t="s">
        <v>17</v>
      </c>
      <c r="F5" s="11" t="s">
        <v>18</v>
      </c>
      <c r="G5" s="11" t="s">
        <v>19</v>
      </c>
      <c r="H5" s="177" t="s">
        <v>888</v>
      </c>
      <c r="I5" s="177"/>
    </row>
    <row r="6" spans="1:9" ht="15.5" thickBot="1" x14ac:dyDescent="0.9">
      <c r="A6" s="109">
        <v>0</v>
      </c>
      <c r="B6" s="124" t="s">
        <v>1049</v>
      </c>
      <c r="C6" s="16" t="s">
        <v>66</v>
      </c>
      <c r="D6" s="16" t="s">
        <v>66</v>
      </c>
      <c r="E6" s="34">
        <v>1</v>
      </c>
      <c r="F6" s="34">
        <v>1</v>
      </c>
      <c r="G6" s="34"/>
    </row>
    <row r="7" spans="1:9" x14ac:dyDescent="0.75">
      <c r="A7" s="109">
        <v>1</v>
      </c>
      <c r="B7" s="111" t="s">
        <v>35</v>
      </c>
      <c r="C7" s="112" t="s">
        <v>1058</v>
      </c>
      <c r="D7" s="112" t="s">
        <v>1058</v>
      </c>
      <c r="E7" s="111">
        <v>0</v>
      </c>
      <c r="F7" s="111">
        <v>1</v>
      </c>
      <c r="G7" s="111" t="s">
        <v>0</v>
      </c>
      <c r="H7" s="111"/>
      <c r="I7" s="111"/>
    </row>
    <row r="8" spans="1:9" x14ac:dyDescent="0.75">
      <c r="A8" s="109">
        <v>2</v>
      </c>
      <c r="B8" s="48" t="s">
        <v>896</v>
      </c>
      <c r="C8" s="138" t="s">
        <v>1050</v>
      </c>
      <c r="D8" s="112" t="s">
        <v>1050</v>
      </c>
      <c r="E8" s="111">
        <v>0</v>
      </c>
      <c r="F8" s="111">
        <v>1</v>
      </c>
      <c r="G8" s="111" t="s">
        <v>0</v>
      </c>
      <c r="H8" s="111"/>
      <c r="I8" s="111"/>
    </row>
    <row r="9" spans="1:9" ht="29.5" x14ac:dyDescent="0.75">
      <c r="A9" s="109">
        <v>4</v>
      </c>
      <c r="B9" s="48" t="s">
        <v>4</v>
      </c>
      <c r="C9" s="138" t="s">
        <v>1079</v>
      </c>
      <c r="D9" s="112" t="s">
        <v>715</v>
      </c>
      <c r="E9" s="111">
        <v>0</v>
      </c>
      <c r="F9" s="111">
        <v>1</v>
      </c>
      <c r="G9" s="111" t="s">
        <v>2</v>
      </c>
      <c r="H9" s="111"/>
      <c r="I9" s="111"/>
    </row>
    <row r="10" spans="1:9" ht="59" x14ac:dyDescent="0.75">
      <c r="A10" s="109">
        <v>3</v>
      </c>
      <c r="B10" s="48" t="s">
        <v>47</v>
      </c>
      <c r="C10" s="138" t="s">
        <v>1053</v>
      </c>
      <c r="D10" s="112" t="s">
        <v>1047</v>
      </c>
      <c r="E10" s="111">
        <v>0</v>
      </c>
      <c r="F10" s="111">
        <v>1</v>
      </c>
      <c r="G10" s="111" t="s">
        <v>1</v>
      </c>
      <c r="H10" s="111"/>
      <c r="I10" s="111"/>
    </row>
    <row r="11" spans="1:9" x14ac:dyDescent="0.75">
      <c r="A11" s="109">
        <v>5</v>
      </c>
      <c r="B11" s="138" t="s">
        <v>1052</v>
      </c>
      <c r="C11" s="138" t="s">
        <v>1051</v>
      </c>
      <c r="D11" s="112" t="s">
        <v>1048</v>
      </c>
      <c r="E11" s="111">
        <v>0</v>
      </c>
      <c r="F11" s="111">
        <v>1</v>
      </c>
      <c r="G11" s="111" t="s">
        <v>1</v>
      </c>
      <c r="H11" s="111"/>
      <c r="I11" s="111"/>
    </row>
    <row r="12" spans="1:9" x14ac:dyDescent="0.75">
      <c r="A12" s="109">
        <v>6</v>
      </c>
      <c r="B12" s="138" t="s">
        <v>1054</v>
      </c>
      <c r="C12" s="138" t="s">
        <v>721</v>
      </c>
      <c r="D12" s="112" t="s">
        <v>1089</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1116</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1055</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1056</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1057</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1117</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1113</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2022-10-24T15:17:04Z</dcterms:modified>
</cp:coreProperties>
</file>