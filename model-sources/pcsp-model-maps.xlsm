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11.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ctrlProps/ctrlProp12.xml" ContentType="application/vnd.ms-excel.controlproperties+xml"/>
  <Override PartName="/xl/drawings/drawing7.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8.xml" ContentType="application/vnd.openxmlformats-officedocument.drawing+xml"/>
  <Override PartName="/xl/ctrlProps/ctrlProp13.xml" ContentType="application/vnd.ms-excel.controlproperties+xml"/>
  <Override PartName="/xl/comments4.xml" ContentType="application/vnd.openxmlformats-officedocument.spreadsheetml.comments+xml"/>
  <Override PartName="/xl/threadedComments/threadedComment4.xml" ContentType="application/vnd.ms-excel.threadedcomments+xml"/>
  <Override PartName="/xl/drawings/drawing9.xml" ContentType="application/vnd.openxmlformats-officedocument.drawing+xml"/>
  <Override PartName="/xl/ctrlProps/ctrlProp14.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hl7.eu.fhir.pcsp\model-sources\"/>
    </mc:Choice>
  </mc:AlternateContent>
  <xr:revisionPtr revIDLastSave="0" documentId="13_ncr:1_{E705060B-CDB4-43AC-9B1F-E2A822D5B838}" xr6:coauthVersionLast="47" xr6:coauthVersionMax="47" xr10:uidLastSave="{00000000-0000-0000-0000-000000000000}"/>
  <bookViews>
    <workbookView xWindow="-90" yWindow="-21710" windowWidth="38620" windowHeight="21100" tabRatio="819" activeTab="16" xr2:uid="{82F0A5E9-86C8-45A2-AB20-6CF6AA2FD42B}"/>
  </bookViews>
  <sheets>
    <sheet name="VariablesList" sheetId="106" r:id="rId1"/>
    <sheet name="Base-1" sheetId="107" r:id="rId2"/>
    <sheet name="BaseMap-1" sheetId="108" r:id="rId3"/>
    <sheet name="Chemo-1" sheetId="119" r:id="rId4"/>
    <sheet name="Chemo-Map-1" sheetId="120" r:id="rId5"/>
    <sheet name="Rad-1" sheetId="121" r:id="rId6"/>
    <sheet name="Radio-Map-1" sheetId="122" r:id="rId7"/>
    <sheet name="Common" sheetId="59" r:id="rId8"/>
    <sheet name="Diag" sheetId="113" r:id="rId9"/>
    <sheet name="Diag-Map" sheetId="114" r:id="rId10"/>
    <sheet name="Diag-fsh" sheetId="115" r:id="rId11"/>
    <sheet name="Subj" sheetId="116" r:id="rId12"/>
    <sheet name="Subj-Map" sheetId="117" r:id="rId13"/>
    <sheet name="Subj-fsh" sheetId="118" r:id="rId14"/>
    <sheet name="Chemo" sheetId="123" r:id="rId15"/>
    <sheet name="Chemo-Map" sheetId="124" r:id="rId16"/>
    <sheet name="Chemo-fsh" sheetId="125" r:id="rId17"/>
    <sheet name="RelAftFlt" sheetId="12" r:id="rId18"/>
    <sheet name="RelAftFlt-Map" sheetId="33" r:id="rId19"/>
    <sheet name="RelAftFlt-fsh" sheetId="73" r:id="rId20"/>
  </sheets>
  <externalReferences>
    <externalReference r:id="rId21"/>
  </externalReferences>
  <definedNames>
    <definedName name="_xlnm._FilterDatabase" localSheetId="5" hidden="1">'Rad-1'!$A$5:$I$62</definedName>
    <definedName name="_xlnm._FilterDatabase" localSheetId="0" hidden="1">VariablesList!$C$1:$K$254</definedName>
    <definedName name="ImmunizationRecommendation.recommendation.supportingPatientInformation" localSheetId="2">'BaseMap-1'!#REF!</definedName>
    <definedName name="ImmunizationRecommendation.recommendation.supportingPatientInformation" localSheetId="6">'Radio-Map-1'!#REF!</definedName>
    <definedName name="MedicationStatement.medication_x_" localSheetId="4">'Chemo-Map-1'!$D$29</definedName>
    <definedName name="Product.code.medicinalProductCode" localSheetId="1">'Base-1'!#REF!</definedName>
    <definedName name="Product.code.medicinalProductCode" localSheetId="5">'Rad-1'!#REF!</definedName>
    <definedName name="Product.code.MPID" localSheetId="1">'Base-1'!#REF!</definedName>
    <definedName name="Product.code.MPID" localSheetId="5">'Rad-1'!#REF!</definedName>
    <definedName name="Product.code.packagedProductCode" localSheetId="1">'Base-1'!#REF!</definedName>
    <definedName name="Product.code.packagedProductCode" localSheetId="5">'Rad-1'!#REF!</definedName>
    <definedName name="Product.code.PCID" localSheetId="1">'Base-1'!#REF!</definedName>
    <definedName name="Product.code.PCID" localSheetId="5">'Rad-1'!#REF!</definedName>
    <definedName name="Product.code.pharmaceuticalProductCode" localSheetId="1">'Base-1'!#REF!</definedName>
    <definedName name="Product.code.pharmaceuticalProductCode" localSheetId="5">'Rad-1'!#REF!</definedName>
    <definedName name="_xlnm.Print_Titles" localSheetId="0">VariablesList!$1:$1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74" i="125" l="1"/>
  <c r="C75" i="125"/>
  <c r="C76" i="125"/>
  <c r="C77" i="125"/>
  <c r="C78" i="125"/>
  <c r="C79" i="125"/>
  <c r="C80" i="125"/>
  <c r="C32" i="125"/>
  <c r="C33" i="125"/>
  <c r="C34" i="125"/>
  <c r="C35" i="125"/>
  <c r="C36" i="125"/>
  <c r="C28" i="125"/>
  <c r="C29" i="125"/>
  <c r="C30" i="125"/>
  <c r="C31" i="125"/>
  <c r="C9" i="125"/>
  <c r="C10" i="125"/>
  <c r="C11" i="125"/>
  <c r="C12" i="125"/>
  <c r="C13" i="125"/>
  <c r="C14" i="125"/>
  <c r="C15" i="125"/>
  <c r="C16" i="125"/>
  <c r="C17" i="125"/>
  <c r="C18" i="125"/>
  <c r="C19" i="125"/>
  <c r="C20" i="125"/>
  <c r="C21" i="125"/>
  <c r="C22" i="125"/>
  <c r="C23" i="125"/>
  <c r="C24" i="125"/>
  <c r="C25" i="125"/>
  <c r="C26" i="125"/>
  <c r="C27" i="125"/>
  <c r="C6" i="33"/>
  <c r="C6" i="124"/>
  <c r="C6" i="117"/>
  <c r="C6" i="114"/>
  <c r="I10" i="123"/>
  <c r="I11" i="123"/>
  <c r="I12" i="123"/>
  <c r="I13" i="123"/>
  <c r="I14" i="123"/>
  <c r="I15" i="123"/>
  <c r="I16" i="123"/>
  <c r="I17" i="123"/>
  <c r="I18" i="123"/>
  <c r="I19" i="123"/>
  <c r="I20" i="123"/>
  <c r="I21" i="123"/>
  <c r="I22" i="123"/>
  <c r="I23" i="123"/>
  <c r="I24" i="123"/>
  <c r="I25" i="123"/>
  <c r="I26" i="123"/>
  <c r="I27" i="123"/>
  <c r="I28" i="123"/>
  <c r="I29" i="123"/>
  <c r="I30" i="123"/>
  <c r="I31" i="123"/>
  <c r="I32" i="123"/>
  <c r="I33" i="123"/>
  <c r="I34" i="123"/>
  <c r="I35" i="123"/>
  <c r="I36" i="123"/>
  <c r="I37" i="123"/>
  <c r="I38" i="123"/>
  <c r="I39" i="123"/>
  <c r="E11" i="124"/>
  <c r="E12" i="124"/>
  <c r="E13" i="124"/>
  <c r="E14" i="124"/>
  <c r="E15" i="124"/>
  <c r="E16" i="124"/>
  <c r="E17" i="124"/>
  <c r="E18" i="124"/>
  <c r="E19" i="124"/>
  <c r="E20" i="124"/>
  <c r="E21" i="124"/>
  <c r="E22" i="124"/>
  <c r="E23" i="124"/>
  <c r="E24" i="124"/>
  <c r="E25" i="124"/>
  <c r="E26" i="124"/>
  <c r="E27" i="124"/>
  <c r="C66" i="125" s="1"/>
  <c r="E28" i="124"/>
  <c r="E29" i="124"/>
  <c r="E30" i="124"/>
  <c r="E31" i="124"/>
  <c r="E32" i="124"/>
  <c r="E33" i="124"/>
  <c r="E34" i="124"/>
  <c r="C73" i="125" s="1"/>
  <c r="E35" i="124"/>
  <c r="E36" i="124"/>
  <c r="E37" i="124"/>
  <c r="E38" i="124"/>
  <c r="E39" i="124"/>
  <c r="E40" i="124"/>
  <c r="E41" i="124"/>
  <c r="E42" i="124"/>
  <c r="B36" i="124"/>
  <c r="B37" i="124"/>
  <c r="B38" i="124"/>
  <c r="B35" i="124"/>
  <c r="B32" i="124"/>
  <c r="B33" i="124"/>
  <c r="B34" i="124"/>
  <c r="B31" i="124"/>
  <c r="C70" i="125" s="1"/>
  <c r="B30" i="124"/>
  <c r="B26" i="124"/>
  <c r="B27" i="124"/>
  <c r="B28" i="124"/>
  <c r="B29" i="124"/>
  <c r="B24" i="124"/>
  <c r="C63" i="125" s="1"/>
  <c r="B25" i="124"/>
  <c r="B23" i="124"/>
  <c r="B19" i="124"/>
  <c r="B20" i="124"/>
  <c r="B21" i="124"/>
  <c r="C60" i="125" s="1"/>
  <c r="B22" i="124"/>
  <c r="B11" i="124"/>
  <c r="B12" i="124"/>
  <c r="B13" i="124"/>
  <c r="B14" i="124"/>
  <c r="C53" i="125" s="1"/>
  <c r="B15" i="124"/>
  <c r="B16" i="124"/>
  <c r="C55" i="125" s="1"/>
  <c r="B17" i="124"/>
  <c r="C56" i="125" s="1"/>
  <c r="B18" i="124"/>
  <c r="B10" i="124"/>
  <c r="I6" i="123"/>
  <c r="C6" i="125" s="1"/>
  <c r="C41" i="125"/>
  <c r="C40" i="125"/>
  <c r="C39" i="125"/>
  <c r="C2" i="125"/>
  <c r="C1" i="125"/>
  <c r="E58" i="124"/>
  <c r="E57" i="124"/>
  <c r="E56" i="124"/>
  <c r="E55" i="124"/>
  <c r="E54" i="124"/>
  <c r="E53" i="124"/>
  <c r="E52" i="124"/>
  <c r="E51" i="124"/>
  <c r="E50" i="124"/>
  <c r="E49" i="124"/>
  <c r="E48" i="124"/>
  <c r="E47" i="124"/>
  <c r="E46" i="124"/>
  <c r="E45" i="124"/>
  <c r="E44" i="124"/>
  <c r="E43" i="124"/>
  <c r="C72" i="125"/>
  <c r="C71" i="125"/>
  <c r="C69" i="125"/>
  <c r="C68" i="125"/>
  <c r="C67" i="125"/>
  <c r="C64" i="125"/>
  <c r="C62" i="125"/>
  <c r="C61" i="125"/>
  <c r="C59" i="125"/>
  <c r="C58" i="125"/>
  <c r="C54" i="125"/>
  <c r="C52" i="125"/>
  <c r="C51" i="125"/>
  <c r="C50" i="125"/>
  <c r="E10" i="124"/>
  <c r="C49" i="125" s="1"/>
  <c r="E9" i="124"/>
  <c r="C48" i="125" s="1"/>
  <c r="B9" i="124"/>
  <c r="C7" i="124" s="1"/>
  <c r="E7" i="124" s="1"/>
  <c r="C45" i="125" s="1"/>
  <c r="E8" i="124"/>
  <c r="C46" i="125" s="1"/>
  <c r="E6" i="124"/>
  <c r="C44" i="125" s="1"/>
  <c r="E5" i="124"/>
  <c r="C43" i="125" s="1"/>
  <c r="E4" i="124"/>
  <c r="C42" i="125" s="1"/>
  <c r="E3" i="124"/>
  <c r="I41" i="123"/>
  <c r="I40" i="123"/>
  <c r="I9" i="123"/>
  <c r="I8" i="123"/>
  <c r="C8" i="125" s="1"/>
  <c r="I7" i="123"/>
  <c r="C7" i="125" s="1"/>
  <c r="I5" i="123"/>
  <c r="C5" i="125" s="1"/>
  <c r="I4" i="123"/>
  <c r="C4" i="125" s="1"/>
  <c r="I3" i="123"/>
  <c r="C3" i="125" s="1"/>
  <c r="G70" i="122"/>
  <c r="I70" i="122" s="1"/>
  <c r="G69" i="122"/>
  <c r="I69" i="122" s="1"/>
  <c r="I68" i="122"/>
  <c r="H68" i="122"/>
  <c r="G68" i="122"/>
  <c r="H67" i="122"/>
  <c r="G67" i="122"/>
  <c r="I67" i="122" s="1"/>
  <c r="H66" i="122"/>
  <c r="G66" i="122"/>
  <c r="I66" i="122" s="1"/>
  <c r="C66" i="122"/>
  <c r="B66" i="122"/>
  <c r="G65" i="122"/>
  <c r="I65" i="122" s="1"/>
  <c r="C65" i="122"/>
  <c r="B65" i="122"/>
  <c r="H65" i="122" s="1"/>
  <c r="I64" i="122"/>
  <c r="H64" i="122"/>
  <c r="G64" i="122"/>
  <c r="C64" i="122"/>
  <c r="B64" i="122"/>
  <c r="G63" i="122"/>
  <c r="I63" i="122" s="1"/>
  <c r="C63" i="122"/>
  <c r="B63" i="122"/>
  <c r="J62" i="122"/>
  <c r="G62" i="122"/>
  <c r="C62" i="122"/>
  <c r="B62" i="122"/>
  <c r="I62" i="122" s="1"/>
  <c r="J61" i="122"/>
  <c r="I61" i="122"/>
  <c r="G61" i="122"/>
  <c r="H61" i="122" s="1"/>
  <c r="C61" i="122"/>
  <c r="B61" i="122"/>
  <c r="J60" i="122"/>
  <c r="G60" i="122"/>
  <c r="I60" i="122" s="1"/>
  <c r="C60" i="122"/>
  <c r="B60" i="122"/>
  <c r="J59" i="122"/>
  <c r="G59" i="122"/>
  <c r="I59" i="122" s="1"/>
  <c r="C59" i="122"/>
  <c r="B59" i="122"/>
  <c r="J58" i="122"/>
  <c r="G58" i="122"/>
  <c r="C58" i="122"/>
  <c r="B58" i="122"/>
  <c r="I58" i="122" s="1"/>
  <c r="J57" i="122"/>
  <c r="I57" i="122"/>
  <c r="H57" i="122"/>
  <c r="G57" i="122"/>
  <c r="C57" i="122"/>
  <c r="B57" i="122"/>
  <c r="J56" i="122"/>
  <c r="G56" i="122"/>
  <c r="I56" i="122" s="1"/>
  <c r="C56" i="122"/>
  <c r="B56" i="122"/>
  <c r="J55" i="122"/>
  <c r="G55" i="122"/>
  <c r="I55" i="122" s="1"/>
  <c r="C55" i="122"/>
  <c r="B55" i="122"/>
  <c r="J54" i="122"/>
  <c r="G54" i="122"/>
  <c r="C54" i="122"/>
  <c r="B54" i="122"/>
  <c r="I54" i="122" s="1"/>
  <c r="J53" i="122"/>
  <c r="I53" i="122"/>
  <c r="H53" i="122"/>
  <c r="G53" i="122"/>
  <c r="C53" i="122"/>
  <c r="B53" i="122"/>
  <c r="J52" i="122"/>
  <c r="G52" i="122"/>
  <c r="I52" i="122" s="1"/>
  <c r="C52" i="122"/>
  <c r="B52" i="122"/>
  <c r="J51" i="122"/>
  <c r="G51" i="122"/>
  <c r="I51" i="122" s="1"/>
  <c r="C51" i="122"/>
  <c r="B51" i="122"/>
  <c r="J50" i="122"/>
  <c r="G50" i="122"/>
  <c r="C50" i="122"/>
  <c r="B50" i="122"/>
  <c r="I50" i="122" s="1"/>
  <c r="J49" i="122"/>
  <c r="I49" i="122"/>
  <c r="H49" i="122"/>
  <c r="G49" i="122"/>
  <c r="C49" i="122"/>
  <c r="B49" i="122"/>
  <c r="J48" i="122"/>
  <c r="G48" i="122"/>
  <c r="I48" i="122" s="1"/>
  <c r="C48" i="122"/>
  <c r="B48" i="122"/>
  <c r="J47" i="122"/>
  <c r="G47" i="122"/>
  <c r="I47" i="122" s="1"/>
  <c r="C47" i="122"/>
  <c r="B47" i="122"/>
  <c r="J46" i="122"/>
  <c r="G46" i="122"/>
  <c r="C46" i="122"/>
  <c r="B46" i="122"/>
  <c r="I46" i="122" s="1"/>
  <c r="J45" i="122"/>
  <c r="I45" i="122"/>
  <c r="H45" i="122"/>
  <c r="G45" i="122"/>
  <c r="C45" i="122"/>
  <c r="B45" i="122"/>
  <c r="J44" i="122"/>
  <c r="G44" i="122"/>
  <c r="I44" i="122" s="1"/>
  <c r="C44" i="122"/>
  <c r="B44" i="122"/>
  <c r="J43" i="122"/>
  <c r="G43" i="122"/>
  <c r="I43" i="122" s="1"/>
  <c r="C43" i="122"/>
  <c r="B43" i="122"/>
  <c r="J42" i="122"/>
  <c r="G42" i="122"/>
  <c r="C42" i="122"/>
  <c r="B42" i="122"/>
  <c r="I42" i="122" s="1"/>
  <c r="J41" i="122"/>
  <c r="I41" i="122"/>
  <c r="H41" i="122"/>
  <c r="G41" i="122"/>
  <c r="C41" i="122"/>
  <c r="B41" i="122"/>
  <c r="J40" i="122"/>
  <c r="G40" i="122"/>
  <c r="I40" i="122" s="1"/>
  <c r="C40" i="122"/>
  <c r="B40" i="122"/>
  <c r="J39" i="122"/>
  <c r="G39" i="122"/>
  <c r="I39" i="122" s="1"/>
  <c r="C39" i="122"/>
  <c r="B39" i="122"/>
  <c r="J38" i="122"/>
  <c r="G38" i="122"/>
  <c r="H38" i="122" s="1"/>
  <c r="C38" i="122"/>
  <c r="M38" i="122" s="1"/>
  <c r="B38" i="122"/>
  <c r="I38" i="122" s="1"/>
  <c r="M37" i="122"/>
  <c r="J37" i="122"/>
  <c r="G37" i="122"/>
  <c r="C37" i="122"/>
  <c r="B37" i="122"/>
  <c r="I37" i="122" s="1"/>
  <c r="M36" i="122"/>
  <c r="J36" i="122"/>
  <c r="I36" i="122"/>
  <c r="G36" i="122"/>
  <c r="H36" i="122" s="1"/>
  <c r="C36" i="122"/>
  <c r="B36" i="122"/>
  <c r="M35" i="122"/>
  <c r="J35" i="122"/>
  <c r="I35" i="122"/>
  <c r="H35" i="122"/>
  <c r="G35" i="122"/>
  <c r="C35" i="122"/>
  <c r="B35" i="122"/>
  <c r="M34" i="122"/>
  <c r="J34" i="122"/>
  <c r="H34" i="122"/>
  <c r="G34" i="122"/>
  <c r="I34" i="122" s="1"/>
  <c r="C34" i="122"/>
  <c r="B34" i="122"/>
  <c r="J33" i="122"/>
  <c r="G33" i="122"/>
  <c r="I33" i="122" s="1"/>
  <c r="C33" i="122"/>
  <c r="M33" i="122" s="1"/>
  <c r="B33" i="122"/>
  <c r="J32" i="122"/>
  <c r="H32" i="122"/>
  <c r="G32" i="122"/>
  <c r="I32" i="122" s="1"/>
  <c r="C32" i="122"/>
  <c r="M32" i="122" s="1"/>
  <c r="B32" i="122"/>
  <c r="J31" i="122"/>
  <c r="G31" i="122"/>
  <c r="I31" i="122" s="1"/>
  <c r="C31" i="122"/>
  <c r="M31" i="122" s="1"/>
  <c r="B31" i="122"/>
  <c r="J30" i="122"/>
  <c r="G30" i="122"/>
  <c r="I30" i="122" s="1"/>
  <c r="C30" i="122"/>
  <c r="M30" i="122" s="1"/>
  <c r="B30" i="122"/>
  <c r="J29" i="122"/>
  <c r="I29" i="122"/>
  <c r="G29" i="122"/>
  <c r="H29" i="122" s="1"/>
  <c r="C29" i="122"/>
  <c r="B29" i="122"/>
  <c r="M28" i="122"/>
  <c r="J28" i="122"/>
  <c r="I28" i="122"/>
  <c r="H28" i="122"/>
  <c r="G28" i="122"/>
  <c r="C28" i="122"/>
  <c r="B28" i="122"/>
  <c r="M27" i="122"/>
  <c r="J27" i="122"/>
  <c r="H27" i="122"/>
  <c r="G27" i="122"/>
  <c r="I27" i="122" s="1"/>
  <c r="C27" i="122"/>
  <c r="B27" i="122"/>
  <c r="J26" i="122"/>
  <c r="G26" i="122"/>
  <c r="I26" i="122" s="1"/>
  <c r="C26" i="122"/>
  <c r="M26" i="122" s="1"/>
  <c r="B26" i="122"/>
  <c r="J24" i="122"/>
  <c r="H24" i="122"/>
  <c r="G24" i="122"/>
  <c r="I24" i="122" s="1"/>
  <c r="C24" i="122"/>
  <c r="M24" i="122" s="1"/>
  <c r="B24" i="122"/>
  <c r="J23" i="122"/>
  <c r="G23" i="122"/>
  <c r="I23" i="122" s="1"/>
  <c r="C23" i="122"/>
  <c r="M23" i="122" s="1"/>
  <c r="B23" i="122"/>
  <c r="J22" i="122"/>
  <c r="G22" i="122"/>
  <c r="I22" i="122" s="1"/>
  <c r="C22" i="122"/>
  <c r="M22" i="122" s="1"/>
  <c r="B22" i="122"/>
  <c r="M21" i="122"/>
  <c r="J21" i="122"/>
  <c r="G21" i="122"/>
  <c r="C21" i="122"/>
  <c r="B21" i="122"/>
  <c r="I21" i="122" s="1"/>
  <c r="M20" i="122"/>
  <c r="J20" i="122"/>
  <c r="I20" i="122"/>
  <c r="G20" i="122"/>
  <c r="H20" i="122" s="1"/>
  <c r="C20" i="122"/>
  <c r="B20" i="122"/>
  <c r="M19" i="122"/>
  <c r="J19" i="122"/>
  <c r="I19" i="122"/>
  <c r="H19" i="122"/>
  <c r="G19" i="122"/>
  <c r="C19" i="122"/>
  <c r="B19" i="122"/>
  <c r="M18" i="122"/>
  <c r="J18" i="122"/>
  <c r="I18" i="122"/>
  <c r="H18" i="122"/>
  <c r="G18" i="122"/>
  <c r="C18" i="122"/>
  <c r="B18" i="122"/>
  <c r="J17" i="122"/>
  <c r="G17" i="122"/>
  <c r="I17" i="122" s="1"/>
  <c r="C17" i="122"/>
  <c r="M17" i="122" s="1"/>
  <c r="B17" i="122"/>
  <c r="J16" i="122"/>
  <c r="H16" i="122"/>
  <c r="G16" i="122"/>
  <c r="I16" i="122" s="1"/>
  <c r="C16" i="122"/>
  <c r="M16" i="122" s="1"/>
  <c r="B16" i="122"/>
  <c r="J15" i="122"/>
  <c r="G15" i="122"/>
  <c r="I15" i="122" s="1"/>
  <c r="C15" i="122"/>
  <c r="M15" i="122" s="1"/>
  <c r="B15" i="122"/>
  <c r="J14" i="122"/>
  <c r="G14" i="122"/>
  <c r="I14" i="122" s="1"/>
  <c r="C14" i="122"/>
  <c r="M14" i="122" s="1"/>
  <c r="B14" i="122"/>
  <c r="M13" i="122"/>
  <c r="J13" i="122"/>
  <c r="G13" i="122"/>
  <c r="C13" i="122"/>
  <c r="B13" i="122"/>
  <c r="I13" i="122" s="1"/>
  <c r="M12" i="122"/>
  <c r="J12" i="122"/>
  <c r="I12" i="122"/>
  <c r="G12" i="122"/>
  <c r="H12" i="122" s="1"/>
  <c r="C12" i="122"/>
  <c r="B12" i="122"/>
  <c r="M11" i="122"/>
  <c r="J11" i="122"/>
  <c r="I11" i="122"/>
  <c r="H11" i="122"/>
  <c r="G11" i="122"/>
  <c r="C11" i="122"/>
  <c r="B11" i="122"/>
  <c r="M10" i="122"/>
  <c r="J10" i="122"/>
  <c r="I10" i="122"/>
  <c r="H10" i="122"/>
  <c r="G10" i="122"/>
  <c r="C10" i="122"/>
  <c r="B10" i="122"/>
  <c r="J9" i="122"/>
  <c r="G9" i="122"/>
  <c r="I9" i="122" s="1"/>
  <c r="C9" i="122"/>
  <c r="M9" i="122" s="1"/>
  <c r="B9" i="122"/>
  <c r="H8" i="122"/>
  <c r="G8" i="122"/>
  <c r="I8" i="122" s="1"/>
  <c r="C8" i="122"/>
  <c r="M8" i="122" s="1"/>
  <c r="B8" i="122"/>
  <c r="J8" i="122" s="1"/>
  <c r="J7" i="122"/>
  <c r="C7" i="122"/>
  <c r="G7" i="122" s="1"/>
  <c r="B7" i="122"/>
  <c r="M6" i="122"/>
  <c r="M4" i="122"/>
  <c r="C4" i="122"/>
  <c r="M3" i="122"/>
  <c r="C3" i="122"/>
  <c r="M2" i="122"/>
  <c r="C2" i="122"/>
  <c r="M5" i="122" s="1"/>
  <c r="C1" i="122"/>
  <c r="C109" i="120"/>
  <c r="B109" i="120"/>
  <c r="C108" i="120"/>
  <c r="B108" i="120"/>
  <c r="C107" i="120"/>
  <c r="B107" i="120"/>
  <c r="C106" i="120"/>
  <c r="B106" i="120"/>
  <c r="C105" i="120"/>
  <c r="B105" i="120"/>
  <c r="C104" i="120"/>
  <c r="B104" i="120"/>
  <c r="C103" i="120"/>
  <c r="B103" i="120"/>
  <c r="C102" i="120"/>
  <c r="B102" i="120"/>
  <c r="C101" i="120"/>
  <c r="B101" i="120"/>
  <c r="C100" i="120"/>
  <c r="B100" i="120"/>
  <c r="C99" i="120"/>
  <c r="B99" i="120"/>
  <c r="C98" i="120"/>
  <c r="B98" i="120"/>
  <c r="C97" i="120"/>
  <c r="B97" i="120"/>
  <c r="C96" i="120"/>
  <c r="B96" i="120"/>
  <c r="C95" i="120"/>
  <c r="B95" i="120"/>
  <c r="C94" i="120"/>
  <c r="B94" i="120"/>
  <c r="C93" i="120"/>
  <c r="B93" i="120"/>
  <c r="C92" i="120"/>
  <c r="B92" i="120"/>
  <c r="C91" i="120"/>
  <c r="B91" i="120"/>
  <c r="C90" i="120"/>
  <c r="B90" i="120"/>
  <c r="C89" i="120"/>
  <c r="B89" i="120"/>
  <c r="C88" i="120"/>
  <c r="B88" i="120"/>
  <c r="C87" i="120"/>
  <c r="B87" i="120"/>
  <c r="C86" i="120"/>
  <c r="B86" i="120"/>
  <c r="C85" i="120"/>
  <c r="B85" i="120"/>
  <c r="C84" i="120"/>
  <c r="B84" i="120"/>
  <c r="K54" i="120"/>
  <c r="H54" i="120"/>
  <c r="J54" i="120" s="1"/>
  <c r="K53" i="120"/>
  <c r="H53" i="120"/>
  <c r="J53" i="120" s="1"/>
  <c r="K52" i="120"/>
  <c r="H52" i="120"/>
  <c r="J52" i="120" s="1"/>
  <c r="K51" i="120"/>
  <c r="H51" i="120"/>
  <c r="J51" i="120" s="1"/>
  <c r="K50" i="120"/>
  <c r="H50" i="120"/>
  <c r="J50" i="120" s="1"/>
  <c r="K49" i="120"/>
  <c r="H49" i="120"/>
  <c r="J49" i="120" s="1"/>
  <c r="K48" i="120"/>
  <c r="H48" i="120"/>
  <c r="J48" i="120" s="1"/>
  <c r="K47" i="120"/>
  <c r="H47" i="120"/>
  <c r="J47" i="120" s="1"/>
  <c r="K46" i="120"/>
  <c r="H46" i="120"/>
  <c r="J46" i="120" s="1"/>
  <c r="N45" i="120"/>
  <c r="K45" i="120"/>
  <c r="H45" i="120"/>
  <c r="J45" i="120" s="1"/>
  <c r="N44" i="120"/>
  <c r="K44" i="120"/>
  <c r="J44" i="120"/>
  <c r="I44" i="120"/>
  <c r="H44" i="120"/>
  <c r="N43" i="120"/>
  <c r="K43" i="120"/>
  <c r="H43" i="120"/>
  <c r="J43" i="120" s="1"/>
  <c r="N42" i="120"/>
  <c r="K42" i="120"/>
  <c r="I42" i="120"/>
  <c r="H42" i="120"/>
  <c r="J42" i="120" s="1"/>
  <c r="N41" i="120"/>
  <c r="K41" i="120"/>
  <c r="I41" i="120"/>
  <c r="H41" i="120"/>
  <c r="J41" i="120" s="1"/>
  <c r="N40" i="120"/>
  <c r="K40" i="120"/>
  <c r="H40" i="120"/>
  <c r="J40" i="120" s="1"/>
  <c r="N39" i="120"/>
  <c r="K39" i="120"/>
  <c r="H39" i="120"/>
  <c r="J39" i="120" s="1"/>
  <c r="N38" i="120"/>
  <c r="K38" i="120"/>
  <c r="H38" i="120"/>
  <c r="J38" i="120" s="1"/>
  <c r="N37" i="120"/>
  <c r="K37" i="120"/>
  <c r="I37" i="120"/>
  <c r="H37" i="120"/>
  <c r="J37" i="120" s="1"/>
  <c r="K36" i="120"/>
  <c r="J36" i="120"/>
  <c r="H36" i="120"/>
  <c r="C36" i="120"/>
  <c r="N36" i="120" s="1"/>
  <c r="B36" i="120"/>
  <c r="I36" i="120" s="1"/>
  <c r="K35" i="120"/>
  <c r="I35" i="120"/>
  <c r="H35" i="120"/>
  <c r="J35" i="120" s="1"/>
  <c r="C35" i="120"/>
  <c r="N35" i="120" s="1"/>
  <c r="B35" i="120"/>
  <c r="K34" i="120"/>
  <c r="H34" i="120"/>
  <c r="J34" i="120" s="1"/>
  <c r="C34" i="120"/>
  <c r="N34" i="120" s="1"/>
  <c r="B34" i="120"/>
  <c r="K33" i="120"/>
  <c r="H33" i="120"/>
  <c r="J33" i="120" s="1"/>
  <c r="C33" i="120"/>
  <c r="N33" i="120" s="1"/>
  <c r="B33" i="120"/>
  <c r="K32" i="120"/>
  <c r="I32" i="120"/>
  <c r="H32" i="120"/>
  <c r="C32" i="120"/>
  <c r="B32" i="120"/>
  <c r="J32" i="120" s="1"/>
  <c r="K31" i="120"/>
  <c r="J31" i="120"/>
  <c r="H31" i="120"/>
  <c r="I31" i="120" s="1"/>
  <c r="C31" i="120"/>
  <c r="B31" i="120"/>
  <c r="K30" i="120"/>
  <c r="J30" i="120"/>
  <c r="H30" i="120"/>
  <c r="C30" i="120"/>
  <c r="N30" i="120" s="1"/>
  <c r="B30" i="120"/>
  <c r="I30" i="120" s="1"/>
  <c r="K29" i="120"/>
  <c r="I29" i="120"/>
  <c r="H29" i="120"/>
  <c r="J29" i="120" s="1"/>
  <c r="C29" i="120"/>
  <c r="N29" i="120" s="1"/>
  <c r="B29" i="120"/>
  <c r="K28" i="120"/>
  <c r="H28" i="120"/>
  <c r="J28" i="120" s="1"/>
  <c r="C28" i="120"/>
  <c r="N28" i="120" s="1"/>
  <c r="B28" i="120"/>
  <c r="K27" i="120"/>
  <c r="H27" i="120"/>
  <c r="I27" i="120" s="1"/>
  <c r="C27" i="120"/>
  <c r="B27" i="120"/>
  <c r="J27" i="120" s="1"/>
  <c r="N26" i="120"/>
  <c r="K26" i="120"/>
  <c r="I26" i="120"/>
  <c r="H26" i="120"/>
  <c r="C26" i="120"/>
  <c r="B26" i="120"/>
  <c r="J26" i="120" s="1"/>
  <c r="N25" i="120"/>
  <c r="K25" i="120"/>
  <c r="H25" i="120"/>
  <c r="J25" i="120" s="1"/>
  <c r="C25" i="120"/>
  <c r="B25" i="120"/>
  <c r="K24" i="120"/>
  <c r="J24" i="120"/>
  <c r="H24" i="120"/>
  <c r="I24" i="120" s="1"/>
  <c r="C24" i="120"/>
  <c r="N24" i="120" s="1"/>
  <c r="B24" i="120"/>
  <c r="K23" i="120"/>
  <c r="J23" i="120"/>
  <c r="H23" i="120"/>
  <c r="C23" i="120"/>
  <c r="N23" i="120" s="1"/>
  <c r="B23" i="120"/>
  <c r="I23" i="120" s="1"/>
  <c r="K22" i="120"/>
  <c r="I22" i="120"/>
  <c r="H22" i="120"/>
  <c r="J22" i="120" s="1"/>
  <c r="C22" i="120"/>
  <c r="N22" i="120" s="1"/>
  <c r="B22" i="120"/>
  <c r="H21" i="120"/>
  <c r="I21" i="120" s="1"/>
  <c r="C21" i="120"/>
  <c r="B21" i="120"/>
  <c r="J21" i="120" s="1"/>
  <c r="N20" i="120"/>
  <c r="K20" i="120"/>
  <c r="J20" i="120"/>
  <c r="I20" i="120"/>
  <c r="H20" i="120"/>
  <c r="C20" i="120"/>
  <c r="B20" i="120"/>
  <c r="N19" i="120"/>
  <c r="K19" i="120"/>
  <c r="H19" i="120"/>
  <c r="J19" i="120" s="1"/>
  <c r="C19" i="120"/>
  <c r="B19" i="120"/>
  <c r="K18" i="120"/>
  <c r="J18" i="120"/>
  <c r="H18" i="120"/>
  <c r="I18" i="120" s="1"/>
  <c r="C18" i="120"/>
  <c r="N18" i="120" s="1"/>
  <c r="B18" i="120"/>
  <c r="K17" i="120"/>
  <c r="J17" i="120"/>
  <c r="H17" i="120"/>
  <c r="C17" i="120"/>
  <c r="N17" i="120" s="1"/>
  <c r="B17" i="120"/>
  <c r="I17" i="120" s="1"/>
  <c r="K16" i="120"/>
  <c r="I16" i="120"/>
  <c r="H16" i="120"/>
  <c r="J16" i="120" s="1"/>
  <c r="C16" i="120"/>
  <c r="N16" i="120" s="1"/>
  <c r="B16" i="120"/>
  <c r="N15" i="120"/>
  <c r="K15" i="120"/>
  <c r="H15" i="120"/>
  <c r="J15" i="120" s="1"/>
  <c r="C15" i="120"/>
  <c r="B15" i="120"/>
  <c r="K14" i="120"/>
  <c r="H14" i="120"/>
  <c r="C14" i="120"/>
  <c r="N14" i="120" s="1"/>
  <c r="B14" i="120"/>
  <c r="J14" i="120" s="1"/>
  <c r="N13" i="120"/>
  <c r="K13" i="120"/>
  <c r="H13" i="120"/>
  <c r="I13" i="120" s="1"/>
  <c r="C13" i="120"/>
  <c r="B13" i="120"/>
  <c r="J13" i="120" s="1"/>
  <c r="N12" i="120"/>
  <c r="K12" i="120"/>
  <c r="J12" i="120"/>
  <c r="I12" i="120"/>
  <c r="H12" i="120"/>
  <c r="C12" i="120"/>
  <c r="B12" i="120"/>
  <c r="N11" i="120"/>
  <c r="K11" i="120"/>
  <c r="H11" i="120"/>
  <c r="J11" i="120" s="1"/>
  <c r="C11" i="120"/>
  <c r="B11" i="120"/>
  <c r="K10" i="120"/>
  <c r="J10" i="120"/>
  <c r="H10" i="120"/>
  <c r="I10" i="120" s="1"/>
  <c r="C10" i="120"/>
  <c r="N10" i="120" s="1"/>
  <c r="B10" i="120"/>
  <c r="K9" i="120"/>
  <c r="J9" i="120"/>
  <c r="H9" i="120"/>
  <c r="C9" i="120"/>
  <c r="N9" i="120" s="1"/>
  <c r="B9" i="120"/>
  <c r="I9" i="120" s="1"/>
  <c r="K8" i="120"/>
  <c r="I8" i="120"/>
  <c r="H8" i="120"/>
  <c r="J8" i="120" s="1"/>
  <c r="C8" i="120"/>
  <c r="N8" i="120" s="1"/>
  <c r="B8" i="120"/>
  <c r="K7" i="120"/>
  <c r="H7" i="120"/>
  <c r="C7" i="120"/>
  <c r="B7" i="120"/>
  <c r="J7" i="120" s="1"/>
  <c r="N6" i="120"/>
  <c r="N4" i="120"/>
  <c r="C4" i="120"/>
  <c r="N3" i="120"/>
  <c r="C3" i="120"/>
  <c r="N2" i="120"/>
  <c r="C2" i="120"/>
  <c r="N5" i="120" s="1"/>
  <c r="C1" i="120"/>
  <c r="C57" i="125" l="1"/>
  <c r="C65" i="125"/>
  <c r="I7" i="122"/>
  <c r="H7" i="122"/>
  <c r="H9" i="122"/>
  <c r="H17" i="122"/>
  <c r="H26" i="122"/>
  <c r="H33" i="122"/>
  <c r="H40" i="122"/>
  <c r="H44" i="122"/>
  <c r="H48" i="122"/>
  <c r="H52" i="122"/>
  <c r="H56" i="122"/>
  <c r="H60" i="122"/>
  <c r="H15" i="122"/>
  <c r="H23" i="122"/>
  <c r="H31" i="122"/>
  <c r="H39" i="122"/>
  <c r="H43" i="122"/>
  <c r="H47" i="122"/>
  <c r="H51" i="122"/>
  <c r="H55" i="122"/>
  <c r="H59" i="122"/>
  <c r="H63" i="122"/>
  <c r="H69" i="122"/>
  <c r="H14" i="122"/>
  <c r="H22" i="122"/>
  <c r="H30" i="122"/>
  <c r="H13" i="122"/>
  <c r="H21" i="122"/>
  <c r="H37" i="122"/>
  <c r="H42" i="122"/>
  <c r="H46" i="122"/>
  <c r="H50" i="122"/>
  <c r="H54" i="122"/>
  <c r="H58" i="122"/>
  <c r="H62" i="122"/>
  <c r="H70" i="122"/>
  <c r="I15" i="120"/>
  <c r="I28" i="120"/>
  <c r="I34" i="120"/>
  <c r="I38" i="120"/>
  <c r="I46" i="120"/>
  <c r="I48" i="120"/>
  <c r="I50" i="120"/>
  <c r="I52" i="120"/>
  <c r="I54" i="120"/>
  <c r="I7" i="120"/>
  <c r="I14" i="120"/>
  <c r="I33" i="120"/>
  <c r="I43" i="120"/>
  <c r="I40" i="120"/>
  <c r="I45" i="120"/>
  <c r="I11" i="120"/>
  <c r="I19" i="120"/>
  <c r="I25" i="120"/>
  <c r="I47" i="120"/>
  <c r="I49" i="120"/>
  <c r="I51" i="120"/>
  <c r="I53" i="120"/>
  <c r="I39" i="120"/>
  <c r="C66" i="118" l="1"/>
  <c r="C64" i="118"/>
  <c r="C65" i="118"/>
  <c r="C47" i="118"/>
  <c r="C48" i="118"/>
  <c r="C49" i="118"/>
  <c r="C50" i="118"/>
  <c r="C51" i="118"/>
  <c r="C52" i="118"/>
  <c r="C53" i="118"/>
  <c r="C54" i="118"/>
  <c r="C55" i="118"/>
  <c r="C56" i="118"/>
  <c r="C57" i="118"/>
  <c r="C58" i="118"/>
  <c r="C59" i="118"/>
  <c r="C60" i="118"/>
  <c r="C61" i="118"/>
  <c r="C62" i="118"/>
  <c r="C63" i="118"/>
  <c r="C42" i="118"/>
  <c r="C43" i="118"/>
  <c r="C44" i="118"/>
  <c r="C45" i="118"/>
  <c r="C46" i="118"/>
  <c r="C9" i="118"/>
  <c r="C10" i="118"/>
  <c r="C11" i="118"/>
  <c r="C12" i="118"/>
  <c r="C13" i="118"/>
  <c r="C14" i="118"/>
  <c r="C15" i="118"/>
  <c r="C16" i="118"/>
  <c r="C17" i="118"/>
  <c r="C18" i="118"/>
  <c r="C19" i="118"/>
  <c r="C20" i="118"/>
  <c r="C21" i="118"/>
  <c r="C22" i="118"/>
  <c r="C23" i="118"/>
  <c r="E11" i="117"/>
  <c r="E12" i="117"/>
  <c r="E13" i="117"/>
  <c r="E14" i="117"/>
  <c r="E15" i="117"/>
  <c r="E16" i="117"/>
  <c r="E17" i="117"/>
  <c r="E18" i="117"/>
  <c r="E19" i="117"/>
  <c r="E20" i="117"/>
  <c r="E21" i="117"/>
  <c r="E22" i="117"/>
  <c r="E23" i="117"/>
  <c r="E24" i="117"/>
  <c r="E25" i="117"/>
  <c r="E26" i="117"/>
  <c r="E27" i="117"/>
  <c r="E28" i="117"/>
  <c r="E29" i="117"/>
  <c r="E30" i="117"/>
  <c r="E31" i="117"/>
  <c r="E32" i="117"/>
  <c r="B30" i="117"/>
  <c r="B29" i="117"/>
  <c r="B26" i="117"/>
  <c r="B27" i="117"/>
  <c r="B23" i="117"/>
  <c r="B24" i="117"/>
  <c r="B20" i="117"/>
  <c r="B21" i="117"/>
  <c r="B19" i="117"/>
  <c r="B22" i="117"/>
  <c r="B25" i="117"/>
  <c r="B28" i="117"/>
  <c r="E36" i="117"/>
  <c r="B11" i="117"/>
  <c r="B12" i="117"/>
  <c r="B13" i="117"/>
  <c r="B14" i="117"/>
  <c r="B15" i="117"/>
  <c r="B16" i="117"/>
  <c r="B17" i="117"/>
  <c r="B18" i="117"/>
  <c r="B10" i="117"/>
  <c r="E10" i="117" s="1"/>
  <c r="B9" i="117"/>
  <c r="C7" i="117" s="1"/>
  <c r="E7" i="117" s="1"/>
  <c r="C38" i="118" s="1"/>
  <c r="E33" i="117"/>
  <c r="E34" i="117"/>
  <c r="C33" i="118"/>
  <c r="C32" i="118"/>
  <c r="C2" i="118"/>
  <c r="C1" i="118"/>
  <c r="E58" i="117"/>
  <c r="E57" i="117"/>
  <c r="E56" i="117"/>
  <c r="E55" i="117"/>
  <c r="B54" i="117"/>
  <c r="E54" i="117" s="1"/>
  <c r="E53" i="117"/>
  <c r="E52" i="117"/>
  <c r="E51" i="117"/>
  <c r="E50" i="117"/>
  <c r="E49" i="117"/>
  <c r="E48" i="117"/>
  <c r="E47" i="117"/>
  <c r="E46" i="117"/>
  <c r="E45" i="117"/>
  <c r="E44" i="117"/>
  <c r="E43" i="117"/>
  <c r="E42" i="117"/>
  <c r="E41" i="117"/>
  <c r="E40" i="117"/>
  <c r="E39" i="117"/>
  <c r="E38" i="117"/>
  <c r="E37" i="117"/>
  <c r="E35" i="117"/>
  <c r="E9" i="117"/>
  <c r="C41" i="118" s="1"/>
  <c r="E8" i="117"/>
  <c r="C39" i="118" s="1"/>
  <c r="E6" i="117"/>
  <c r="C37" i="118" s="1"/>
  <c r="E5" i="117"/>
  <c r="C36" i="118" s="1"/>
  <c r="E4" i="117"/>
  <c r="C35" i="118" s="1"/>
  <c r="E3" i="117"/>
  <c r="C34" i="118" s="1"/>
  <c r="I41" i="116"/>
  <c r="I40" i="116"/>
  <c r="I39" i="116"/>
  <c r="I38" i="116"/>
  <c r="I37" i="116"/>
  <c r="I36" i="116"/>
  <c r="I35" i="116"/>
  <c r="I34" i="116"/>
  <c r="I33" i="116"/>
  <c r="I32" i="116"/>
  <c r="I31" i="116"/>
  <c r="I30" i="116"/>
  <c r="I29" i="116"/>
  <c r="I28" i="116"/>
  <c r="I27" i="116"/>
  <c r="I26" i="116"/>
  <c r="I25" i="116"/>
  <c r="I24" i="116"/>
  <c r="I23" i="116"/>
  <c r="I22" i="116"/>
  <c r="I21" i="116"/>
  <c r="I20" i="116"/>
  <c r="I19" i="116"/>
  <c r="I18" i="116"/>
  <c r="I17" i="116"/>
  <c r="I16" i="116"/>
  <c r="I15" i="116"/>
  <c r="I14" i="116"/>
  <c r="I13" i="116"/>
  <c r="I12" i="116"/>
  <c r="I11" i="116"/>
  <c r="I10" i="116"/>
  <c r="I9" i="116"/>
  <c r="I8" i="116"/>
  <c r="C8" i="118" s="1"/>
  <c r="I7" i="116"/>
  <c r="C7" i="118" s="1"/>
  <c r="I6" i="116"/>
  <c r="C6" i="118" s="1"/>
  <c r="I5" i="116"/>
  <c r="C5" i="118" s="1"/>
  <c r="I4" i="116"/>
  <c r="C4" i="118" s="1"/>
  <c r="I3" i="116"/>
  <c r="C3" i="118" s="1"/>
  <c r="C71" i="115"/>
  <c r="C72" i="115"/>
  <c r="C73" i="115"/>
  <c r="C74" i="115"/>
  <c r="C75" i="115"/>
  <c r="C76" i="115"/>
  <c r="C77" i="115"/>
  <c r="C78" i="115"/>
  <c r="C79" i="115"/>
  <c r="C80" i="115"/>
  <c r="C81" i="115"/>
  <c r="C82" i="115"/>
  <c r="C83" i="115"/>
  <c r="C84" i="115"/>
  <c r="C85" i="115"/>
  <c r="C86" i="115"/>
  <c r="C87" i="115"/>
  <c r="C88" i="115"/>
  <c r="C89" i="115"/>
  <c r="C90" i="115"/>
  <c r="C91" i="115"/>
  <c r="C92" i="115"/>
  <c r="C93" i="115"/>
  <c r="C94" i="115"/>
  <c r="C95" i="115"/>
  <c r="E34" i="114"/>
  <c r="E35" i="114"/>
  <c r="B34" i="114"/>
  <c r="C9" i="115"/>
  <c r="C10" i="115"/>
  <c r="C11" i="115"/>
  <c r="C12" i="115"/>
  <c r="C13" i="115"/>
  <c r="C14" i="115"/>
  <c r="C15" i="115"/>
  <c r="C16" i="115"/>
  <c r="C17" i="115"/>
  <c r="C18" i="115"/>
  <c r="C19" i="115"/>
  <c r="C20" i="115"/>
  <c r="C21" i="115"/>
  <c r="C22" i="115"/>
  <c r="C23" i="115"/>
  <c r="C24" i="115"/>
  <c r="C25" i="115"/>
  <c r="C26" i="115"/>
  <c r="C27" i="115"/>
  <c r="C28" i="115"/>
  <c r="C29" i="115"/>
  <c r="C30" i="115"/>
  <c r="C31" i="115"/>
  <c r="C32" i="115"/>
  <c r="C33" i="115"/>
  <c r="C34" i="115"/>
  <c r="C35" i="115"/>
  <c r="C36" i="115"/>
  <c r="C37" i="115"/>
  <c r="C38" i="115"/>
  <c r="C39" i="115"/>
  <c r="C40" i="115"/>
  <c r="C41" i="115"/>
  <c r="E49" i="114"/>
  <c r="E50" i="114"/>
  <c r="E51" i="114"/>
  <c r="E52" i="114"/>
  <c r="B28" i="114"/>
  <c r="E28" i="114" s="1"/>
  <c r="B26" i="114"/>
  <c r="E26" i="114" s="1"/>
  <c r="C70" i="115" s="1"/>
  <c r="B23" i="114"/>
  <c r="E23" i="114" s="1"/>
  <c r="C67" i="115" s="1"/>
  <c r="B22" i="114"/>
  <c r="E22" i="114" s="1"/>
  <c r="C66" i="115" s="1"/>
  <c r="B21" i="114"/>
  <c r="E21" i="114" s="1"/>
  <c r="C65" i="115" s="1"/>
  <c r="B24" i="114"/>
  <c r="E24" i="114" s="1"/>
  <c r="C68" i="115" s="1"/>
  <c r="B20" i="114"/>
  <c r="E20" i="114" s="1"/>
  <c r="C64" i="115" s="1"/>
  <c r="B14" i="114"/>
  <c r="E14" i="114" s="1"/>
  <c r="C58" i="115" s="1"/>
  <c r="B16" i="114"/>
  <c r="E16" i="114" s="1"/>
  <c r="C60" i="115" s="1"/>
  <c r="E9" i="114" l="1"/>
  <c r="C53" i="115" s="1"/>
  <c r="E9" i="33"/>
  <c r="C39" i="73" s="1"/>
  <c r="C8" i="73"/>
  <c r="C9" i="73"/>
  <c r="C10" i="73"/>
  <c r="C11" i="73"/>
  <c r="C12" i="73"/>
  <c r="C13" i="73"/>
  <c r="C15" i="73"/>
  <c r="C16" i="73"/>
  <c r="C17" i="73"/>
  <c r="C18" i="73"/>
  <c r="C14" i="73"/>
  <c r="I14" i="12"/>
  <c r="I15" i="12"/>
  <c r="I16" i="12"/>
  <c r="I17" i="12"/>
  <c r="I18" i="12"/>
  <c r="I19" i="12"/>
  <c r="I20" i="12"/>
  <c r="E16" i="33"/>
  <c r="E17" i="33"/>
  <c r="C48" i="73" s="1"/>
  <c r="E18" i="33"/>
  <c r="E19" i="33"/>
  <c r="E20" i="33"/>
  <c r="E21" i="33"/>
  <c r="C41" i="73"/>
  <c r="C42" i="73"/>
  <c r="C43" i="73"/>
  <c r="C44" i="73"/>
  <c r="C45" i="73"/>
  <c r="C46" i="73"/>
  <c r="C47" i="73"/>
  <c r="C49" i="73"/>
  <c r="C50" i="73"/>
  <c r="C8" i="115"/>
  <c r="I41" i="113"/>
  <c r="I40" i="113"/>
  <c r="I39" i="113"/>
  <c r="I38" i="113"/>
  <c r="C40" i="73" l="1"/>
  <c r="B18" i="114"/>
  <c r="E18" i="114" s="1"/>
  <c r="C62" i="115" s="1"/>
  <c r="B19" i="114"/>
  <c r="E19" i="114" s="1"/>
  <c r="C63" i="115" s="1"/>
  <c r="B25" i="114"/>
  <c r="E25" i="114" s="1"/>
  <c r="C69" i="115" s="1"/>
  <c r="B27" i="114"/>
  <c r="E27" i="114" s="1"/>
  <c r="B29" i="114"/>
  <c r="E29" i="114" s="1"/>
  <c r="B30" i="114"/>
  <c r="E30" i="114" s="1"/>
  <c r="B31" i="114"/>
  <c r="E31" i="114" s="1"/>
  <c r="B32" i="114"/>
  <c r="E32" i="114" s="1"/>
  <c r="B33" i="114"/>
  <c r="E33" i="114" s="1"/>
  <c r="B35" i="114"/>
  <c r="B36" i="114"/>
  <c r="E36" i="114" s="1"/>
  <c r="B37" i="114"/>
  <c r="E37" i="114" s="1"/>
  <c r="B38" i="114"/>
  <c r="E38" i="114" s="1"/>
  <c r="B39" i="114"/>
  <c r="E39" i="114" s="1"/>
  <c r="B40" i="114"/>
  <c r="E40" i="114" s="1"/>
  <c r="B41" i="114"/>
  <c r="E41" i="114" s="1"/>
  <c r="B42" i="114"/>
  <c r="E42" i="114" s="1"/>
  <c r="B43" i="114"/>
  <c r="E43" i="114" s="1"/>
  <c r="B44" i="114"/>
  <c r="E44" i="114" s="1"/>
  <c r="B45" i="114"/>
  <c r="E45" i="114" s="1"/>
  <c r="B46" i="114"/>
  <c r="E46" i="114" s="1"/>
  <c r="B47" i="114"/>
  <c r="E47" i="114" s="1"/>
  <c r="B48" i="114"/>
  <c r="E48" i="114" s="1"/>
  <c r="I10" i="113"/>
  <c r="I11" i="113"/>
  <c r="I12" i="113"/>
  <c r="I13" i="113"/>
  <c r="I14" i="113"/>
  <c r="I15" i="113"/>
  <c r="I16" i="113"/>
  <c r="I17" i="113"/>
  <c r="I18" i="113"/>
  <c r="I19" i="113"/>
  <c r="I20" i="113"/>
  <c r="I21" i="113"/>
  <c r="I22" i="113"/>
  <c r="I23" i="113"/>
  <c r="I24" i="113"/>
  <c r="I25" i="113"/>
  <c r="I26" i="113"/>
  <c r="I27" i="113"/>
  <c r="I28" i="113"/>
  <c r="I29" i="113"/>
  <c r="I30" i="113"/>
  <c r="I31" i="113"/>
  <c r="I32" i="113"/>
  <c r="I33" i="113"/>
  <c r="I34" i="113"/>
  <c r="I35" i="113"/>
  <c r="I36" i="113"/>
  <c r="I37" i="113"/>
  <c r="C45" i="115"/>
  <c r="C44" i="115"/>
  <c r="C2" i="115"/>
  <c r="C1" i="115"/>
  <c r="B17" i="114"/>
  <c r="E17" i="114" s="1"/>
  <c r="C61" i="115" s="1"/>
  <c r="B15" i="114"/>
  <c r="E15" i="114" s="1"/>
  <c r="C59" i="115" s="1"/>
  <c r="B13" i="114"/>
  <c r="E13" i="114" s="1"/>
  <c r="C57" i="115" s="1"/>
  <c r="B12" i="114"/>
  <c r="E12" i="114" s="1"/>
  <c r="C56" i="115" s="1"/>
  <c r="B11" i="114"/>
  <c r="E11" i="114" s="1"/>
  <c r="C55" i="115" s="1"/>
  <c r="B10" i="114"/>
  <c r="E10" i="114" s="1"/>
  <c r="C54" i="115" s="1"/>
  <c r="B9" i="114"/>
  <c r="C7" i="114" s="1"/>
  <c r="E7" i="114" s="1"/>
  <c r="C50" i="115" s="1"/>
  <c r="E8" i="114"/>
  <c r="C51" i="115" s="1"/>
  <c r="E6" i="114"/>
  <c r="C49" i="115" s="1"/>
  <c r="E5" i="114"/>
  <c r="C48" i="115" s="1"/>
  <c r="E4" i="114"/>
  <c r="C47" i="115" s="1"/>
  <c r="E3" i="114"/>
  <c r="C46" i="115" s="1"/>
  <c r="I9" i="113"/>
  <c r="I8" i="113"/>
  <c r="I7" i="113"/>
  <c r="C7" i="115" s="1"/>
  <c r="I6" i="113"/>
  <c r="C6" i="115" s="1"/>
  <c r="I5" i="113"/>
  <c r="C5" i="115" s="1"/>
  <c r="I4" i="113"/>
  <c r="C4" i="115" s="1"/>
  <c r="I3" i="113"/>
  <c r="C3" i="115" s="1"/>
  <c r="C99" i="108"/>
  <c r="B99" i="108"/>
  <c r="C98" i="108"/>
  <c r="B98" i="108"/>
  <c r="C97" i="108"/>
  <c r="B97" i="108"/>
  <c r="C96" i="108"/>
  <c r="B96" i="108"/>
  <c r="C95" i="108"/>
  <c r="B95" i="108"/>
  <c r="C94" i="108"/>
  <c r="B94" i="108"/>
  <c r="C93" i="108"/>
  <c r="B93" i="108"/>
  <c r="C92" i="108"/>
  <c r="B92" i="108"/>
  <c r="C91" i="108"/>
  <c r="B91" i="108"/>
  <c r="C90" i="108"/>
  <c r="B90" i="108"/>
  <c r="C89" i="108"/>
  <c r="B89" i="108"/>
  <c r="C88" i="108"/>
  <c r="B88" i="108"/>
  <c r="C87" i="108"/>
  <c r="B87" i="108"/>
  <c r="C86" i="108"/>
  <c r="B86" i="108"/>
  <c r="C85" i="108"/>
  <c r="B85" i="108"/>
  <c r="C84" i="108"/>
  <c r="B84" i="108"/>
  <c r="C83" i="108"/>
  <c r="B83" i="108"/>
  <c r="C82" i="108"/>
  <c r="B82" i="108"/>
  <c r="C81" i="108"/>
  <c r="B81" i="108"/>
  <c r="C80" i="108"/>
  <c r="B80" i="108"/>
  <c r="C79" i="108"/>
  <c r="B79" i="108"/>
  <c r="C78" i="108"/>
  <c r="B78" i="108"/>
  <c r="C77" i="108"/>
  <c r="B77" i="108"/>
  <c r="C76" i="108"/>
  <c r="B76" i="108"/>
  <c r="C75" i="108"/>
  <c r="B75" i="108"/>
  <c r="C74" i="108"/>
  <c r="B74" i="108"/>
  <c r="C73" i="108"/>
  <c r="B73" i="108"/>
  <c r="C72" i="108"/>
  <c r="B72" i="108"/>
  <c r="C71" i="108"/>
  <c r="B71" i="108"/>
  <c r="C70" i="108"/>
  <c r="B70" i="108"/>
  <c r="C69" i="108"/>
  <c r="B69" i="108"/>
  <c r="C68" i="108"/>
  <c r="B68" i="108"/>
  <c r="C67" i="108"/>
  <c r="B67" i="108"/>
  <c r="C66" i="108"/>
  <c r="B66" i="108"/>
  <c r="C65" i="108"/>
  <c r="B65" i="108"/>
  <c r="C64" i="108"/>
  <c r="B64" i="108"/>
  <c r="C63" i="108"/>
  <c r="B63" i="108"/>
  <c r="C62" i="108"/>
  <c r="B62" i="108"/>
  <c r="C61" i="108"/>
  <c r="B61" i="108"/>
  <c r="C60" i="108"/>
  <c r="B60" i="108"/>
  <c r="J59" i="108"/>
  <c r="G59" i="108"/>
  <c r="I59" i="108" s="1"/>
  <c r="C59" i="108"/>
  <c r="B59" i="108"/>
  <c r="J58" i="108"/>
  <c r="H58" i="108"/>
  <c r="G58" i="108"/>
  <c r="I58" i="108" s="1"/>
  <c r="C58" i="108"/>
  <c r="B58" i="108"/>
  <c r="J57" i="108"/>
  <c r="H57" i="108"/>
  <c r="G57" i="108"/>
  <c r="I57" i="108" s="1"/>
  <c r="C57" i="108"/>
  <c r="B57" i="108"/>
  <c r="J56" i="108"/>
  <c r="G56" i="108"/>
  <c r="I56" i="108" s="1"/>
  <c r="C56" i="108"/>
  <c r="B56" i="108"/>
  <c r="J55" i="108"/>
  <c r="G55" i="108"/>
  <c r="I55" i="108" s="1"/>
  <c r="C55" i="108"/>
  <c r="B55" i="108"/>
  <c r="J54" i="108"/>
  <c r="I54" i="108"/>
  <c r="H54" i="108"/>
  <c r="G54" i="108"/>
  <c r="C54" i="108"/>
  <c r="B54" i="108"/>
  <c r="J53" i="108"/>
  <c r="I53" i="108"/>
  <c r="H53" i="108"/>
  <c r="G53" i="108"/>
  <c r="C53" i="108"/>
  <c r="B53" i="108"/>
  <c r="J52" i="108"/>
  <c r="G52" i="108"/>
  <c r="I52" i="108" s="1"/>
  <c r="C52" i="108"/>
  <c r="B52" i="108"/>
  <c r="J51" i="108"/>
  <c r="H51" i="108"/>
  <c r="G51" i="108"/>
  <c r="I51" i="108" s="1"/>
  <c r="C51" i="108"/>
  <c r="B51" i="108"/>
  <c r="J50" i="108"/>
  <c r="I50" i="108"/>
  <c r="H50" i="108"/>
  <c r="G50" i="108"/>
  <c r="C50" i="108"/>
  <c r="B50" i="108"/>
  <c r="J49" i="108"/>
  <c r="I49" i="108"/>
  <c r="H49" i="108"/>
  <c r="G49" i="108"/>
  <c r="C49" i="108"/>
  <c r="B49" i="108"/>
  <c r="J48" i="108"/>
  <c r="G48" i="108"/>
  <c r="I48" i="108" s="1"/>
  <c r="C48" i="108"/>
  <c r="B48" i="108"/>
  <c r="J47" i="108"/>
  <c r="H47" i="108"/>
  <c r="G47" i="108"/>
  <c r="I47" i="108" s="1"/>
  <c r="C47" i="108"/>
  <c r="B47" i="108"/>
  <c r="J46" i="108"/>
  <c r="I46" i="108"/>
  <c r="H46" i="108"/>
  <c r="G46" i="108"/>
  <c r="C46" i="108"/>
  <c r="B46" i="108"/>
  <c r="J45" i="108"/>
  <c r="I45" i="108"/>
  <c r="H45" i="108"/>
  <c r="G45" i="108"/>
  <c r="C45" i="108"/>
  <c r="B45" i="108"/>
  <c r="J44" i="108"/>
  <c r="G44" i="108"/>
  <c r="I44" i="108" s="1"/>
  <c r="C44" i="108"/>
  <c r="B44" i="108"/>
  <c r="J43" i="108"/>
  <c r="H43" i="108"/>
  <c r="G43" i="108"/>
  <c r="I43" i="108" s="1"/>
  <c r="C43" i="108"/>
  <c r="B43" i="108"/>
  <c r="J42" i="108"/>
  <c r="I42" i="108"/>
  <c r="H42" i="108"/>
  <c r="G42" i="108"/>
  <c r="C42" i="108"/>
  <c r="B42" i="108"/>
  <c r="J41" i="108"/>
  <c r="I41" i="108"/>
  <c r="H41" i="108"/>
  <c r="G41" i="108"/>
  <c r="C41" i="108"/>
  <c r="B41" i="108"/>
  <c r="J40" i="108"/>
  <c r="G40" i="108"/>
  <c r="I40" i="108" s="1"/>
  <c r="B40" i="108"/>
  <c r="J39" i="108"/>
  <c r="G39" i="108"/>
  <c r="I39" i="108" s="1"/>
  <c r="J38" i="108"/>
  <c r="H38" i="108"/>
  <c r="G38" i="108"/>
  <c r="I38" i="108" s="1"/>
  <c r="J37" i="108"/>
  <c r="G37" i="108"/>
  <c r="I37" i="108" s="1"/>
  <c r="C37" i="108"/>
  <c r="B37" i="108"/>
  <c r="J36" i="108"/>
  <c r="I36" i="108"/>
  <c r="H36" i="108"/>
  <c r="G36" i="108"/>
  <c r="C36" i="108"/>
  <c r="M36" i="108" s="1"/>
  <c r="B36" i="108"/>
  <c r="M35" i="108"/>
  <c r="J35" i="108"/>
  <c r="I35" i="108"/>
  <c r="H35" i="108"/>
  <c r="G35" i="108"/>
  <c r="C35" i="108"/>
  <c r="B35" i="108"/>
  <c r="J34" i="108"/>
  <c r="I34" i="108"/>
  <c r="H34" i="108"/>
  <c r="G34" i="108"/>
  <c r="C34" i="108"/>
  <c r="M34" i="108" s="1"/>
  <c r="B34" i="108"/>
  <c r="J33" i="108"/>
  <c r="I33" i="108"/>
  <c r="H33" i="108"/>
  <c r="G33" i="108"/>
  <c r="C33" i="108"/>
  <c r="M33" i="108" s="1"/>
  <c r="B33" i="108"/>
  <c r="J32" i="108"/>
  <c r="H32" i="108"/>
  <c r="G32" i="108"/>
  <c r="I32" i="108" s="1"/>
  <c r="C32" i="108"/>
  <c r="M32" i="108" s="1"/>
  <c r="B32" i="108"/>
  <c r="J31" i="108"/>
  <c r="G31" i="108"/>
  <c r="I31" i="108" s="1"/>
  <c r="C31" i="108"/>
  <c r="M31" i="108" s="1"/>
  <c r="B31" i="108"/>
  <c r="J30" i="108"/>
  <c r="H30" i="108"/>
  <c r="G30" i="108"/>
  <c r="I30" i="108" s="1"/>
  <c r="C30" i="108"/>
  <c r="M30" i="108" s="1"/>
  <c r="B30" i="108"/>
  <c r="J29" i="108"/>
  <c r="G29" i="108"/>
  <c r="I29" i="108" s="1"/>
  <c r="C29" i="108"/>
  <c r="M29" i="108" s="1"/>
  <c r="B29" i="108"/>
  <c r="J28" i="108"/>
  <c r="I28" i="108"/>
  <c r="H28" i="108"/>
  <c r="G28" i="108"/>
  <c r="C28" i="108"/>
  <c r="C27" i="108" s="1"/>
  <c r="B28" i="108"/>
  <c r="B27" i="108" s="1"/>
  <c r="J27" i="108"/>
  <c r="I27" i="108"/>
  <c r="H27" i="108"/>
  <c r="G27" i="108"/>
  <c r="J26" i="108"/>
  <c r="G26" i="108"/>
  <c r="I26" i="108" s="1"/>
  <c r="C26" i="108"/>
  <c r="M26" i="108" s="1"/>
  <c r="B26" i="108"/>
  <c r="J25" i="108"/>
  <c r="G25" i="108"/>
  <c r="I25" i="108" s="1"/>
  <c r="C25" i="108"/>
  <c r="M25" i="108" s="1"/>
  <c r="B25" i="108"/>
  <c r="J24" i="108"/>
  <c r="G24" i="108"/>
  <c r="I24" i="108" s="1"/>
  <c r="C24" i="108"/>
  <c r="M24" i="108" s="1"/>
  <c r="B24" i="108"/>
  <c r="J23" i="108"/>
  <c r="H23" i="108"/>
  <c r="G23" i="108"/>
  <c r="I23" i="108" s="1"/>
  <c r="C23" i="108"/>
  <c r="M23" i="108" s="1"/>
  <c r="B23" i="108"/>
  <c r="M22" i="108"/>
  <c r="J22" i="108"/>
  <c r="G22" i="108"/>
  <c r="I22" i="108" s="1"/>
  <c r="C22" i="108"/>
  <c r="B22" i="108"/>
  <c r="M21" i="108"/>
  <c r="J21" i="108"/>
  <c r="I21" i="108"/>
  <c r="H21" i="108"/>
  <c r="G21" i="108"/>
  <c r="C21" i="108"/>
  <c r="B21" i="108"/>
  <c r="J20" i="108"/>
  <c r="I20" i="108"/>
  <c r="H20" i="108"/>
  <c r="G20" i="108"/>
  <c r="C20" i="108"/>
  <c r="M20" i="108" s="1"/>
  <c r="B20" i="108"/>
  <c r="J19" i="108"/>
  <c r="I19" i="108"/>
  <c r="H19" i="108"/>
  <c r="G19" i="108"/>
  <c r="C19" i="108"/>
  <c r="M19" i="108" s="1"/>
  <c r="B19" i="108"/>
  <c r="J18" i="108"/>
  <c r="G18" i="108"/>
  <c r="I18" i="108" s="1"/>
  <c r="C18" i="108"/>
  <c r="M18" i="108" s="1"/>
  <c r="B18" i="108"/>
  <c r="J17" i="108"/>
  <c r="G17" i="108"/>
  <c r="I17" i="108" s="1"/>
  <c r="C17" i="108"/>
  <c r="M17" i="108" s="1"/>
  <c r="B17" i="108"/>
  <c r="J16" i="108"/>
  <c r="G16" i="108"/>
  <c r="I16" i="108" s="1"/>
  <c r="C16" i="108"/>
  <c r="M16" i="108" s="1"/>
  <c r="B16" i="108"/>
  <c r="J15" i="108"/>
  <c r="G15" i="108"/>
  <c r="I15" i="108" s="1"/>
  <c r="C15" i="108"/>
  <c r="M15" i="108" s="1"/>
  <c r="B15" i="108"/>
  <c r="J14" i="108"/>
  <c r="G14" i="108"/>
  <c r="I14" i="108" s="1"/>
  <c r="C14" i="108"/>
  <c r="M14" i="108" s="1"/>
  <c r="B14" i="108"/>
  <c r="J13" i="108"/>
  <c r="I13" i="108"/>
  <c r="H13" i="108"/>
  <c r="G13" i="108"/>
  <c r="C13" i="108"/>
  <c r="M13" i="108" s="1"/>
  <c r="B13" i="108"/>
  <c r="J12" i="108"/>
  <c r="I12" i="108"/>
  <c r="H12" i="108"/>
  <c r="G12" i="108"/>
  <c r="C12" i="108"/>
  <c r="M12" i="108" s="1"/>
  <c r="B12" i="108"/>
  <c r="J11" i="108"/>
  <c r="I11" i="108"/>
  <c r="H11" i="108"/>
  <c r="G11" i="108"/>
  <c r="C11" i="108"/>
  <c r="M11" i="108" s="1"/>
  <c r="B11" i="108"/>
  <c r="J10" i="108"/>
  <c r="G10" i="108"/>
  <c r="I10" i="108" s="1"/>
  <c r="C10" i="108"/>
  <c r="M10" i="108" s="1"/>
  <c r="B10" i="108"/>
  <c r="J9" i="108"/>
  <c r="G9" i="108"/>
  <c r="I9" i="108" s="1"/>
  <c r="C9" i="108"/>
  <c r="M9" i="108" s="1"/>
  <c r="B9" i="108"/>
  <c r="G8" i="108"/>
  <c r="H8" i="108" s="1"/>
  <c r="C8" i="108"/>
  <c r="M8" i="108" s="1"/>
  <c r="B8" i="108"/>
  <c r="J8" i="108" s="1"/>
  <c r="C7" i="108"/>
  <c r="B7" i="108"/>
  <c r="M6" i="108"/>
  <c r="M4" i="108"/>
  <c r="C4" i="108"/>
  <c r="M3" i="108"/>
  <c r="C3" i="108"/>
  <c r="M2" i="108"/>
  <c r="C2" i="108"/>
  <c r="C1" i="108"/>
  <c r="M28" i="108" l="1"/>
  <c r="M5" i="108"/>
  <c r="H10" i="108"/>
  <c r="H18" i="108"/>
  <c r="H26" i="108"/>
  <c r="H9" i="108"/>
  <c r="H17" i="108"/>
  <c r="H25" i="108"/>
  <c r="H40" i="108"/>
  <c r="H44" i="108"/>
  <c r="H48" i="108"/>
  <c r="H52" i="108"/>
  <c r="H56" i="108"/>
  <c r="H24" i="108"/>
  <c r="H31" i="108"/>
  <c r="H16" i="108"/>
  <c r="I8" i="108"/>
  <c r="H15" i="108"/>
  <c r="H55" i="108"/>
  <c r="H59" i="108"/>
  <c r="H14" i="108"/>
  <c r="H22" i="108"/>
  <c r="H29" i="108"/>
  <c r="H37" i="108"/>
  <c r="H39" i="108"/>
  <c r="E8" i="33" l="1"/>
  <c r="B11" i="33"/>
  <c r="B12" i="33"/>
  <c r="B13" i="33"/>
  <c r="B14" i="33"/>
  <c r="B15" i="33"/>
  <c r="B9" i="33"/>
  <c r="B10" i="33"/>
  <c r="E6" i="33" l="1"/>
  <c r="C35" i="73" s="1"/>
  <c r="I9" i="12"/>
  <c r="I10" i="12"/>
  <c r="I11" i="12"/>
  <c r="I12" i="12"/>
  <c r="I13" i="12"/>
  <c r="I8" i="12"/>
  <c r="I7" i="12"/>
  <c r="C7" i="73" s="1"/>
  <c r="I6" i="12"/>
  <c r="C6" i="73" s="1"/>
  <c r="C31" i="73"/>
  <c r="C30" i="73"/>
  <c r="C2" i="73"/>
  <c r="C1" i="73"/>
  <c r="E3" i="33"/>
  <c r="C32" i="73" s="1"/>
  <c r="I3" i="12"/>
  <c r="C3" i="73" s="1"/>
  <c r="C37" i="73"/>
  <c r="E5" i="33"/>
  <c r="C34" i="73" s="1"/>
  <c r="E4" i="33"/>
  <c r="C33" i="73" s="1"/>
  <c r="C7" i="33"/>
  <c r="E7" i="33" s="1"/>
  <c r="C36" i="73" s="1"/>
  <c r="I5" i="12"/>
  <c r="C5" i="73" s="1"/>
  <c r="I4" i="12"/>
  <c r="C4" i="73" s="1"/>
  <c r="E15" i="33"/>
  <c r="E10" i="33"/>
  <c r="E11" i="33"/>
  <c r="E13" i="33" l="1"/>
  <c r="E12" i="33"/>
  <c r="E14" i="33" l="1"/>
  <c r="E125" i="59"/>
  <c r="E202" i="59"/>
  <c r="E195" i="59"/>
  <c r="E188" i="59"/>
  <c r="E187" i="59"/>
  <c r="E186" i="59"/>
  <c r="E180" i="59"/>
  <c r="E179" i="59"/>
  <c r="E177" i="59"/>
  <c r="E172" i="59"/>
  <c r="E171" i="59"/>
  <c r="E170" i="59"/>
  <c r="E164" i="59"/>
  <c r="E163" i="59"/>
  <c r="E161" i="59"/>
  <c r="E156" i="59"/>
  <c r="E155" i="59"/>
  <c r="E147" i="59"/>
  <c r="E138" i="59"/>
  <c r="E135" i="59"/>
  <c r="E133" i="59"/>
  <c r="E134" i="59"/>
  <c r="E132" i="59"/>
  <c r="E131" i="59"/>
  <c r="E129" i="59"/>
  <c r="E126" i="59"/>
  <c r="E124" i="59"/>
  <c r="E123" i="59"/>
  <c r="E120" i="59"/>
  <c r="E119" i="59"/>
  <c r="E117" i="59"/>
  <c r="E114" i="59"/>
  <c r="E111" i="59"/>
  <c r="E108" i="59"/>
  <c r="E112" i="59" l="1"/>
  <c r="E113" i="59"/>
  <c r="E189" i="59"/>
  <c r="E201" i="59"/>
  <c r="E107" i="59"/>
  <c r="E110" i="59"/>
  <c r="E198" i="59"/>
  <c r="E191" i="59"/>
  <c r="E184" i="59"/>
  <c r="E192" i="59"/>
  <c r="E200" i="59"/>
  <c r="E185" i="59"/>
  <c r="E150" i="59"/>
  <c r="E162" i="59"/>
  <c r="E158" i="59"/>
  <c r="E174" i="59"/>
  <c r="E137" i="59"/>
  <c r="E151" i="59"/>
  <c r="E159" i="59"/>
  <c r="E167" i="59"/>
  <c r="E128" i="59"/>
  <c r="E143" i="59"/>
  <c r="E183" i="59"/>
  <c r="E144" i="59"/>
  <c r="E160" i="59"/>
  <c r="E168" i="59"/>
  <c r="E176" i="59"/>
  <c r="E122" i="59"/>
  <c r="E141" i="59"/>
  <c r="E153" i="59"/>
  <c r="E165" i="59"/>
  <c r="E157" i="59"/>
  <c r="E166" i="59"/>
  <c r="E181" i="59"/>
  <c r="E175" i="59"/>
  <c r="E190" i="59"/>
  <c r="E199" i="59"/>
  <c r="E148" i="59"/>
  <c r="E127" i="59"/>
  <c r="E106" i="59"/>
  <c r="E140" i="59"/>
  <c r="E152" i="59"/>
  <c r="E116" i="59"/>
  <c r="E118" i="59"/>
  <c r="E136" i="59"/>
  <c r="E142" i="59"/>
  <c r="E194" i="59"/>
  <c r="E182" i="59"/>
  <c r="E197" i="59"/>
  <c r="E173" i="59"/>
  <c r="E149" i="59"/>
  <c r="E146" i="59"/>
  <c r="E130" i="59"/>
  <c r="E154" i="59"/>
  <c r="E178" i="59"/>
  <c r="E196" i="59"/>
  <c r="E109" i="59"/>
  <c r="E121" i="59"/>
  <c r="E145" i="59"/>
  <c r="E169" i="59"/>
  <c r="E193" i="59"/>
  <c r="E115" i="59"/>
  <c r="E139" i="59"/>
  <c r="E3" i="59"/>
  <c r="E9" i="59"/>
  <c r="E81" i="59" l="1"/>
  <c r="E93" i="59"/>
  <c r="E102" i="59"/>
  <c r="E66" i="59"/>
  <c r="E105" i="59"/>
  <c r="E57" i="59"/>
  <c r="E96" i="59"/>
  <c r="E72" i="59"/>
  <c r="E76" i="59"/>
  <c r="E12" i="59"/>
  <c r="E24" i="59"/>
  <c r="E36" i="59"/>
  <c r="E34" i="59"/>
  <c r="E75" i="59"/>
  <c r="E6" i="59"/>
  <c r="E33" i="59"/>
  <c r="E94" i="59"/>
  <c r="E21" i="59"/>
  <c r="E45" i="59"/>
  <c r="E87" i="59"/>
  <c r="E90" i="59"/>
  <c r="E74" i="59"/>
  <c r="E84" i="59"/>
  <c r="E104" i="59"/>
  <c r="E53" i="59"/>
  <c r="E54" i="59"/>
  <c r="E48" i="59"/>
  <c r="E78" i="59"/>
  <c r="E91" i="59"/>
  <c r="E98" i="59"/>
  <c r="E38" i="59"/>
  <c r="E60" i="59"/>
  <c r="E69" i="59"/>
  <c r="E86" i="59"/>
  <c r="E99" i="59"/>
  <c r="E15" i="59"/>
  <c r="E27" i="59"/>
  <c r="E39" i="59"/>
  <c r="E51" i="59"/>
  <c r="E62" i="59"/>
  <c r="E40" i="59"/>
  <c r="E18" i="59"/>
  <c r="E30" i="59"/>
  <c r="E42" i="59"/>
  <c r="E63" i="59"/>
  <c r="E31" i="59"/>
  <c r="E23" i="59"/>
  <c r="E5" i="59"/>
  <c r="E1" i="59"/>
  <c r="E20" i="59"/>
  <c r="E10" i="59"/>
  <c r="E8" i="59"/>
  <c r="E2" i="59"/>
  <c r="E50" i="59"/>
  <c r="E55" i="59"/>
  <c r="E47" i="59"/>
  <c r="E70" i="59"/>
  <c r="E79" i="59"/>
  <c r="E103" i="59"/>
  <c r="E7" i="59"/>
  <c r="E28" i="59"/>
  <c r="E32" i="59"/>
  <c r="E43" i="59"/>
  <c r="E88" i="59"/>
  <c r="E101" i="59"/>
  <c r="E67" i="59"/>
  <c r="E25" i="59"/>
  <c r="E65" i="59"/>
  <c r="E68" i="59" l="1"/>
  <c r="E89" i="59"/>
  <c r="E83" i="59"/>
  <c r="E17" i="59"/>
  <c r="E58" i="59"/>
  <c r="E61" i="59"/>
  <c r="E64" i="59"/>
  <c r="E80" i="59"/>
  <c r="E85" i="59"/>
  <c r="E22" i="59"/>
  <c r="E92" i="59"/>
  <c r="E52" i="59"/>
  <c r="E14" i="59"/>
  <c r="E16" i="59"/>
  <c r="E46" i="59"/>
  <c r="E41" i="59"/>
  <c r="E26" i="59"/>
  <c r="E19" i="59"/>
  <c r="E11" i="59"/>
  <c r="E59" i="59"/>
  <c r="E35" i="59"/>
  <c r="E37" i="59"/>
  <c r="E29" i="59"/>
  <c r="E13" i="59"/>
  <c r="E44" i="59"/>
  <c r="E82" i="59"/>
  <c r="E100" i="59"/>
  <c r="E97" i="59"/>
  <c r="E77" i="59"/>
  <c r="E95" i="59"/>
  <c r="E73" i="59"/>
  <c r="E71" i="59"/>
  <c r="E56" i="59"/>
  <c r="E49" i="59"/>
  <c r="E4" i="5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tc={B5A3BA87-696C-4150-A0DE-275CC80C25C0}</author>
  </authors>
  <commentList>
    <comment ref="B27" authorId="0" shapeId="0" xr:uid="{B5A3BA87-696C-4150-A0DE-275CC80C25C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an independent assertion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tc={68FAD9A7-DE3D-4036-99BD-E088DBD394EF}</author>
    <author>tc={6CB94711-97CC-4034-91DC-CB335F5C381A}</author>
    <author>tc={7BF83DEC-75C2-49F4-9130-72A9D3982922}</author>
    <author>tc={7DAE5295-B8DD-4862-A11D-0C2D05AA753B}</author>
  </authors>
  <commentList>
    <comment ref="B37" authorId="0" shapeId="0" xr:uid="{68FAD9A7-DE3D-4036-99BD-E088DBD394E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 what it represents
Rispondi:
number of doses administered</t>
      </text>
    </comment>
    <comment ref="G37" authorId="1" shapeId="0" xr:uid="{6CB94711-97CC-4034-91DC-CB335F5C381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checked</t>
      </text>
    </comment>
    <comment ref="D39" authorId="2" shapeId="0" xr:uid="{7BF83DEC-75C2-49F4-9130-72A9D398292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for my curiosity ...can be the boost of a different type of the main treatment ?</t>
      </text>
    </comment>
    <comment ref="B53" authorId="3" shapeId="0" xr:uid="{7DAE5295-B8DD-4862-A11D-0C2D05AA753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 what it represents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tc={BE8A5644-546E-4BBC-BA2A-1C7BE08EE96F}</author>
  </authors>
  <commentList>
    <comment ref="B28" authorId="0" shapeId="0" xr:uid="{BE8A5644-546E-4BBC-BA2A-1C7BE08EE96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an independent assertion ?</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tc={FF4C762F-B796-4DD2-8422-BEB12F0237E6}</author>
  </authors>
  <commentList>
    <comment ref="C12" authorId="0" shapeId="0" xr:uid="{FF4C762F-B796-4DD2-8422-BEB12F0237E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if date of dignosis..</t>
      </text>
    </comment>
  </commentList>
</comments>
</file>

<file path=xl/sharedStrings.xml><?xml version="1.0" encoding="utf-8"?>
<sst xmlns="http://schemas.openxmlformats.org/spreadsheetml/2006/main" count="3023" uniqueCount="1268">
  <si>
    <t>Identifier</t>
  </si>
  <si>
    <t>CodeableConcept</t>
  </si>
  <si>
    <t>string</t>
  </si>
  <si>
    <t>date</t>
  </si>
  <si>
    <t>Description</t>
  </si>
  <si>
    <t xml:space="preserve">Data Element </t>
  </si>
  <si>
    <t>Data element description</t>
  </si>
  <si>
    <t>min</t>
  </si>
  <si>
    <t>max</t>
  </si>
  <si>
    <t>dataType</t>
  </si>
  <si>
    <t>ID</t>
  </si>
  <si>
    <t>Title</t>
  </si>
  <si>
    <t>identifier</t>
  </si>
  <si>
    <t>Name</t>
  </si>
  <si>
    <t>hl7.org/fhir/r4</t>
  </si>
  <si>
    <t>fhir</t>
  </si>
  <si>
    <t>type</t>
  </si>
  <si>
    <t>Gender/Sex</t>
  </si>
  <si>
    <t>Diagnosis</t>
  </si>
  <si>
    <t>Front line treatment</t>
  </si>
  <si>
    <t>Progression-Relapse during FLT</t>
  </si>
  <si>
    <t>Other info and relevant events</t>
  </si>
  <si>
    <t>Medical suggestion</t>
  </si>
  <si>
    <t>Progression-relapse after the End of Treatment</t>
  </si>
  <si>
    <t>Code of the institution in which the diagnosis was made.
IN AIEOP thus information is retrievable from the Mod.1.01 database</t>
  </si>
  <si>
    <t>Report here the institution in which most of the treatment was given</t>
  </si>
  <si>
    <t>Date of arrival to our institution</t>
  </si>
  <si>
    <t>Diagnostic Group</t>
  </si>
  <si>
    <t>Metastatic</t>
  </si>
  <si>
    <t>Some tumors may be either localized (e.g. stage III neuroblastoma) or metastatic. Please specify.</t>
  </si>
  <si>
    <t>Number of metastases</t>
  </si>
  <si>
    <t>Additional description of sites of metastatis</t>
  </si>
  <si>
    <t>Please report here any genetic marker: chromosomal alterations (e.g. translocation, deletions, duplications); or other types of genetic alterations (amplification, deletion, mutation)</t>
  </si>
  <si>
    <t>Stage/Risk</t>
  </si>
  <si>
    <t>Please list here if the patient has or had other medical conditions not reported to be cancer-associated (e.g. diabetes, congenital cardiopathy, amputations, kidney transplant)</t>
  </si>
  <si>
    <t>Notes</t>
  </si>
  <si>
    <t>Please indicate the institution in which all or most of the chemotherapeutic treatment was given</t>
  </si>
  <si>
    <t>Please report the date of the first chemotherapy given. If the date is unkown or partially missed insert the year at the best of your knowledge.</t>
  </si>
  <si>
    <t>Please report the date of the last chemotherapy given. If the date is unkown or partially missed insert the year at the best of your knowledge.</t>
  </si>
  <si>
    <t>Prolonged corticosteroids as anti-cancer treatment at least 4 weeks continuously</t>
  </si>
  <si>
    <t>The reported doses are incomplete (either under- or over-estimated)</t>
  </si>
  <si>
    <t>Check in case of incomplete doses</t>
  </si>
  <si>
    <t>Specify reasons why</t>
  </si>
  <si>
    <t>Specify reasons of incomplete estimated doses</t>
  </si>
  <si>
    <t>Report the total number of injections</t>
  </si>
  <si>
    <t>Please report the names of drugs injected intrathecal</t>
  </si>
  <si>
    <t>Report any other chemothrapeutic treatments that are not included in the ATC code</t>
  </si>
  <si>
    <t>Drugs name</t>
  </si>
  <si>
    <t>If yes, describe treatments</t>
  </si>
  <si>
    <t>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t>
  </si>
  <si>
    <t>Please indicate the institution in which the radiotherapeutic treatment was given</t>
  </si>
  <si>
    <t>For Metabolic/radionuclide therapy</t>
  </si>
  <si>
    <t>Enter the date on which the first treatment (fraction) of radiotherapy was given, in a DD/MM/YYYY format. If the date is unkown or partially missed insert the year at the best of your knowledge.</t>
  </si>
  <si>
    <t>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t>
  </si>
  <si>
    <t>Details</t>
  </si>
  <si>
    <t>If needed it is possible to add details</t>
  </si>
  <si>
    <t>When the radiation involves more than one site, eventually covering different body areas (e.g. torax and abdomen), select the starting point using the vertebrae to identify the upper limit (e.g.: Thoraco-Abdominal (area): Paraspinal - Thoracic / dorsal vertebra 10)</t>
  </si>
  <si>
    <t>When the radiation involves more than one site, eventually covering different body areas (e.g. torax and abdomen), select the ending point using the vertebrae to identify the lower limit (e.g.: Thoraco-Abdominal (area): Paraspinal - Lumbar vertebra 3)</t>
  </si>
  <si>
    <t>Position</t>
  </si>
  <si>
    <t>Measure unit</t>
  </si>
  <si>
    <t>Boost</t>
  </si>
  <si>
    <t>Type of radiotherapy</t>
  </si>
  <si>
    <t>A fraction of radiation treatment is a single attendance for treatment. Please specify the number of fractions given as included in the boost. If not known, insert NK.</t>
  </si>
  <si>
    <t>Shielding</t>
  </si>
  <si>
    <t>Position of shielding</t>
  </si>
  <si>
    <t>Describe the positioning of shielding</t>
  </si>
  <si>
    <t>Additional description</t>
  </si>
  <si>
    <t>Record any available details on the shielded tissue/organ (or size of shielded area).</t>
  </si>
  <si>
    <t>Dosimetry on Organ at Risk</t>
  </si>
  <si>
    <t>If Dosimetry on Organ at Risk is available, upload here the electronic / scanned version(s) of any relevant document(s)</t>
  </si>
  <si>
    <t>Radiotherapy file(s) can be uploaded here</t>
  </si>
  <si>
    <t>site</t>
  </si>
  <si>
    <t>relatedDiagnosis</t>
  </si>
  <si>
    <t>Target</t>
  </si>
  <si>
    <t>.identifier</t>
  </si>
  <si>
    <t>.bodySite</t>
  </si>
  <si>
    <t>Id</t>
  </si>
  <si>
    <t>Mapping</t>
  </si>
  <si>
    <t>Source</t>
  </si>
  <si>
    <t>//  Logical Model</t>
  </si>
  <si>
    <t>// -------------------------------------------------------------------------------</t>
  </si>
  <si>
    <t>//  Map to FHIR R4</t>
  </si>
  <si>
    <t>this is the output or the inout or both ?</t>
  </si>
  <si>
    <t>VARIABLE LABEL SurPass</t>
  </si>
  <si>
    <t xml:space="preserve">VARIABLE NAME
</t>
  </si>
  <si>
    <t>TYPE OF FIELD</t>
  </si>
  <si>
    <t>Automatically generated variable</t>
  </si>
  <si>
    <t>DATA TYPE</t>
  </si>
  <si>
    <t xml:space="preserve"> CODING</t>
  </si>
  <si>
    <t>MANDATORY</t>
  </si>
  <si>
    <t>COMMENTS SURPASS</t>
  </si>
  <si>
    <r>
      <t xml:space="preserve">Variables in PanCareFollowUp </t>
    </r>
    <r>
      <rPr>
        <b/>
        <sz val="14"/>
        <color rgb="FFFF0000"/>
        <rFont val="Calibri"/>
        <family val="2"/>
        <scheme val="minor"/>
      </rPr>
      <t>(*)</t>
    </r>
    <r>
      <rPr>
        <b/>
        <sz val="14"/>
        <rFont val="Calibri"/>
        <family val="2"/>
        <scheme val="minor"/>
      </rPr>
      <t xml:space="preserve">  
</t>
    </r>
    <r>
      <rPr>
        <sz val="14"/>
        <color rgb="FFFF0000"/>
        <rFont val="Calibri"/>
        <family val="2"/>
        <scheme val="minor"/>
      </rPr>
      <t>(*) Variables marked as 'no' are available in SurPass Platform either to allow automatic activation of algorithms, or to order events (e.g. "relapses" in case of multiple events)</t>
    </r>
  </si>
  <si>
    <t>patient / patient-related Demographics</t>
  </si>
  <si>
    <t>Registration Form</t>
  </si>
  <si>
    <t>textbox</t>
  </si>
  <si>
    <t>number</t>
  </si>
  <si>
    <t>Yes</t>
  </si>
  <si>
    <t>Unique Personal Number for the PCFU Study.
This field is not reported in the SurPass database and will be manually inserted by IGG</t>
  </si>
  <si>
    <t>Lastname  </t>
  </si>
  <si>
    <t>LASTNAME</t>
  </si>
  <si>
    <t>text</t>
  </si>
  <si>
    <t>Yes  </t>
  </si>
  <si>
    <t xml:space="preserve">Please insert here the actual lastname of the survivor.  This name might be changed (because of marriage, adoption, personal choice) from the one the person had when was diagnosed with cancer  (see next field) </t>
  </si>
  <si>
    <t>No</t>
  </si>
  <si>
    <t>Lastname at diagnosis (if different from the actual one)  </t>
  </si>
  <si>
    <t>LASTNAME1</t>
  </si>
  <si>
    <t>No  </t>
  </si>
  <si>
    <t>In case that the person has now a different lastname from the one he or she had when was treated for cancer,  insert here the lastname of the person at the time of treatment (usually it is the name you find on the clinical record)</t>
  </si>
  <si>
    <t>Middlename  </t>
  </si>
  <si>
    <t>MIDDLENAME</t>
  </si>
  <si>
    <t>Please insert here the person's middlename (if any)</t>
  </si>
  <si>
    <t>Firstname  </t>
  </si>
  <si>
    <t>FIRSTNAME</t>
  </si>
  <si>
    <t>Please insert here the person's first (given) name</t>
  </si>
  <si>
    <t>code not a number; extension are needed to capture textual infos</t>
  </si>
  <si>
    <t>GENDER</t>
  </si>
  <si>
    <t>select</t>
  </si>
  <si>
    <t xml:space="preserve">1 =&gt; Male
2 =&gt; Female
3 =&gt; Other </t>
  </si>
  <si>
    <t>Please insert "Other" if individuals are neither male or female in gender identity</t>
  </si>
  <si>
    <t xml:space="preserve">If other, specify
 </t>
  </si>
  <si>
    <t>GENDER_OTH</t>
  </si>
  <si>
    <t>Yes, if GENDER = 3  </t>
  </si>
  <si>
    <t>Describe gender identity</t>
  </si>
  <si>
    <t>only one burthDate</t>
  </si>
  <si>
    <t>Date of birth  </t>
  </si>
  <si>
    <t>DOBDT</t>
  </si>
  <si>
    <t>dd/mm/yyyy</t>
  </si>
  <si>
    <t>Please insert the exact date of birth with the dd/mm/yyyy format. If the date is unkown or partially missed insert the year at the best of your knowledge.
NOTE: In PCFU only the Year of Birth is requested (yyyy)</t>
  </si>
  <si>
    <t>Year of birth</t>
  </si>
  <si>
    <t>DOBDT_Y</t>
  </si>
  <si>
    <t>YYYY of birth (automatically generated)</t>
  </si>
  <si>
    <t>Place of birth  </t>
  </si>
  <si>
    <t>PLBDT</t>
  </si>
  <si>
    <t>Please insert the exact town of birth. This might be different from the town of residence at birth</t>
  </si>
  <si>
    <t>To be better understood info are mapped differently in case of parents or the survivor it self.
What is relevant here the conatct infos or who is the passport intended recipient (or both ) ?</t>
  </si>
  <si>
    <t>Contact belonging to  </t>
  </si>
  <si>
    <t>CONTACT</t>
  </si>
  <si>
    <t>1 =&gt; Survivor
2 =&gt; Parents 
-9922=&gt; Not available</t>
  </si>
  <si>
    <t>Please insert here if the passport was delivered to the parents (in case the survivor is under age) or to the survivor him/herself</t>
  </si>
  <si>
    <t>E-mail  </t>
  </si>
  <si>
    <t>EMAIL</t>
  </si>
  <si>
    <t>Yes, if CONTACTTYPE1=1</t>
  </si>
  <si>
    <t>Email address of the person to which the passport is given.  This may be helpful in case urgent communication /information is needed</t>
  </si>
  <si>
    <t>Mobile phone  </t>
  </si>
  <si>
    <t>MPHONE</t>
  </si>
  <si>
    <t>Yes, if CONTACTTYPE2=1</t>
  </si>
  <si>
    <t>Mobile phone of the person to which the passport is given.  This may be helpful in case urgent communication /information is needed</t>
  </si>
  <si>
    <t>more than one ?
What are the data that has to be exchanged ?</t>
  </si>
  <si>
    <t xml:space="preserve">the way of representing may chenge depending on CDA and FHIR. The information conisderd span on different resources /classes: FHIR speaking observations; encounters; condition. 
More focused on observation </t>
  </si>
  <si>
    <t>Progressive number of diagnosis</t>
  </si>
  <si>
    <t>DIA_NUM</t>
  </si>
  <si>
    <t>Progressive number of diagnosis (1=first; 2= second; 3 = third; …). 
In this field must be reported the ordinal number of the tumor diagnosis to be further described.  This will allow to differentiate between the first tumor (benign or malignant) and any possible secondary neoplasm (either benign or malignant).</t>
  </si>
  <si>
    <t>Date of diagnosis  </t>
  </si>
  <si>
    <t>DIADT</t>
  </si>
  <si>
    <t>Insert here the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</si>
  <si>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 xml:space="preserve">Center of diagnosis
</t>
  </si>
  <si>
    <t>CENTER</t>
  </si>
  <si>
    <t>Center Code</t>
  </si>
  <si>
    <t>Yes (merged with center name, city and country)</t>
  </si>
  <si>
    <t>Center name, city and country  </t>
  </si>
  <si>
    <t>D_CENTER</t>
  </si>
  <si>
    <t>Name, city and Country of center of diagnosis</t>
  </si>
  <si>
    <t>Primary treatment Center  </t>
  </si>
  <si>
    <t>PLACE_TREAT</t>
  </si>
  <si>
    <t xml:space="preserve">1 =&gt; This Institution
2 =&gt; Other Institution
-9922 =&gt; Not Available </t>
  </si>
  <si>
    <t>Please specify name, city and country  </t>
  </si>
  <si>
    <t>PL_TREAT</t>
  </si>
  <si>
    <t xml:space="preserve">Yes, if Primary treatment Center = 2 </t>
  </si>
  <si>
    <t>If the primary institution was different from the institution releasing the Passport, please give details (name, city and Country) of that institution</t>
  </si>
  <si>
    <t>ARRIVALDT</t>
  </si>
  <si>
    <t>Yes, if PLACE_TREAT=2</t>
  </si>
  <si>
    <t>If the primary institution was different from the institution releasing the Passport, please insert date of arrival to that institution. If the date is unkown or partially missed insert the year at the best of your knowledge.</t>
  </si>
  <si>
    <t>ICCC_MAINGROUP,ICCC_DIVISION</t>
  </si>
  <si>
    <t>ICCC-3 Classification (Main and Extended classification tables)</t>
  </si>
  <si>
    <t>This field is automatically generated if both  ICD-O-3 Morphology and Topography data have been reported</t>
  </si>
  <si>
    <t>ICDO3_MORPH</t>
  </si>
  <si>
    <t>ICD-O-3 code (morphology)</t>
  </si>
  <si>
    <t xml:space="preserve">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
  </si>
  <si>
    <t>Tumour behaviour</t>
  </si>
  <si>
    <t>ICDO3_TYPE</t>
  </si>
  <si>
    <t>Automatically generated by the system for benign tumors</t>
  </si>
  <si>
    <t>Diagnosis description  </t>
  </si>
  <si>
    <t>MORPH_SPEC</t>
  </si>
  <si>
    <t>Use this space to better describe the tumor in case the ICD-O code is too vague</t>
  </si>
  <si>
    <t>Site  </t>
  </si>
  <si>
    <t>ICD03_TOPO</t>
  </si>
  <si>
    <t>ICD-O-3 code (topography)</t>
  </si>
  <si>
    <t>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</si>
  <si>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t>
  </si>
  <si>
    <t>TOPO_SPEC</t>
  </si>
  <si>
    <t>Free text to report  the site of the tumor</t>
  </si>
  <si>
    <t>Laterality  </t>
  </si>
  <si>
    <t>LATERAL</t>
  </si>
  <si>
    <t>1 =&gt; Right Monolateral
2 =&gt; Left Monolateral
3 =&gt; Monolateral unknown side
4 =&gt; Bilateral
-9911 =&gt; Not applicable (NA)
-9922 =&gt; NK</t>
  </si>
  <si>
    <t>Please report laterality of the tumor (in case of bilateral organs or sites, e.g. kidneys, eyes, femur).  In case of single organs (e.g. liver, bladder, vertebrae  or bone marrow in case of leukemia) code "not applicable"</t>
  </si>
  <si>
    <t>METASTATIC</t>
  </si>
  <si>
    <t>1 =&gt; Yes
2 =&gt; No
-9922 =&gt; NK</t>
  </si>
  <si>
    <t>METASTATIC_NUM</t>
  </si>
  <si>
    <t>1 =&gt; 1
2 =&gt; 2
3 =&gt; 3</t>
  </si>
  <si>
    <t>Yes, if METASTATIC=1</t>
  </si>
  <si>
    <t>If yes, please describe site</t>
  </si>
  <si>
    <t>METASTATIC1, METASTATIC2, METASTATIC3</t>
  </si>
  <si>
    <t xml:space="preserve">Yes, if METASTATIC_NUM=1  OR 2 OR 3 </t>
  </si>
  <si>
    <t xml:space="preserve">Please report here the site(s) of metastases detected at diagnosis (using ICD-O-3 Topography). If site(s) is unknown, code C80.9" </t>
  </si>
  <si>
    <t>METASTATIC_DESCR</t>
  </si>
  <si>
    <t>Yes, if METASTATIC =1</t>
  </si>
  <si>
    <t>Site(s) of metastased detected at diagnosis</t>
  </si>
  <si>
    <t>Genetic markers  </t>
  </si>
  <si>
    <t>GEN_MARK</t>
  </si>
  <si>
    <t>STAGE</t>
  </si>
  <si>
    <t>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</si>
  <si>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t>
  </si>
  <si>
    <t>IMMUNOLOGY</t>
  </si>
  <si>
    <t>This is a free text field.  Report here, if applicable (e.g. leukemias) the immunophenotype of the disease (sometimes already reported in the ICD-O-3 Morphology coding). If immunology is unknown, specify "NK"</t>
  </si>
  <si>
    <t>Hereditary Cancer Predisposition Syndrome  or medical condition cancer associated</t>
  </si>
  <si>
    <t>SYNDR</t>
  </si>
  <si>
    <t xml:space="preserve">1 =&gt; Yes
2 =&gt; No
-9922 =&gt; NK </t>
  </si>
  <si>
    <t>Report here if the survivor has some Hereditary Cancer Predisposition Syndrome or a medical conditions, cancer associated</t>
  </si>
  <si>
    <t>Please, specify</t>
  </si>
  <si>
    <t>HEREDITARYSYNDROME</t>
  </si>
  <si>
    <t>See "Hereditary syndromes" sheet</t>
  </si>
  <si>
    <t>Yes, if SYNDR = 1</t>
  </si>
  <si>
    <t>If yes,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</si>
  <si>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If not listed, please specify</t>
  </si>
  <si>
    <t>HEREDITARYSYNDROME_OTH</t>
  </si>
  <si>
    <t>Yes, if HEREDITARYSYNDROME = -9900</t>
  </si>
  <si>
    <t>Please report here the Syndrome or condition in case it has not been found in the list provided in the "Specification of syndrome or condtion" field</t>
  </si>
  <si>
    <t>each condition is a condition..</t>
  </si>
  <si>
    <t>Other medical conditions, not cancer associated  </t>
  </si>
  <si>
    <t>OTHCOND2</t>
  </si>
  <si>
    <t>only textual or ti might be coded</t>
  </si>
  <si>
    <t>Specify other medical conditions, not cancer associated</t>
  </si>
  <si>
    <t>OTHERCONDITION_NCA</t>
  </si>
  <si>
    <t>textarea</t>
  </si>
  <si>
    <t>Yes, if OTHCOND2=  1</t>
  </si>
  <si>
    <t>Please report here the name of the condition</t>
  </si>
  <si>
    <t>Notes  </t>
  </si>
  <si>
    <t>NOTES</t>
  </si>
  <si>
    <t>NOTES  </t>
  </si>
  <si>
    <t>some of the filed seems to be questionnaire repsonses , to be better understood i fhtis is the way to capture them or not… e.g we can list the major surgeries and then derive yes/no or it is an assessment made by the clinician that says Yes or Not ?</t>
  </si>
  <si>
    <t>what is the difference with the previous one ?</t>
  </si>
  <si>
    <t>Progressive number of diagnosis (1=first; 2= second; 3 = third; …). 
In this field must be reported the ordinal number of the tumor diagnosis for which the front line treatment was given.</t>
  </si>
  <si>
    <t>treatments can be procedure; administration of drugs;… procedure has a link to the plandefinition</t>
  </si>
  <si>
    <t xml:space="preserve"> the treatment has been executed following</t>
  </si>
  <si>
    <t>FLTREAT</t>
  </si>
  <si>
    <t>1 =&gt; Trial/protocol
2 =&gt; Personalized
3 =&gt; Guidelines
-9922 =&gt; NK</t>
  </si>
  <si>
    <t>Specify here (using the available codes) if the patient was treated according to a protocol/trial or other treatment plans</t>
  </si>
  <si>
    <t>If trial/protocol, specify which one  </t>
  </si>
  <si>
    <t>PROTOCOL</t>
  </si>
  <si>
    <t>Yes, if FLTREAT = 1  </t>
  </si>
  <si>
    <t>If a specific trial/protocol was used, please specify.  
In case of relapse/progression during front line treatment,please report both the name of the front line as well of the salvage treatment</t>
  </si>
  <si>
    <t>If personalized, please specify</t>
  </si>
  <si>
    <t>PERSONALIZED</t>
  </si>
  <si>
    <t>Yes, if FLTREAT = 2    </t>
  </si>
  <si>
    <t xml:space="preserve">If personalized, please specify.  </t>
  </si>
  <si>
    <t>Group/Arm/Randomization  </t>
  </si>
  <si>
    <t>ARM_RANDOM</t>
  </si>
  <si>
    <t>Yes, if FLTREAT = 1</t>
  </si>
  <si>
    <t>If the trial was randomized, please define randomization arm</t>
  </si>
  <si>
    <t>Chemotherapy  </t>
  </si>
  <si>
    <t>CHEMO</t>
  </si>
  <si>
    <t xml:space="preserve">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t>
  </si>
  <si>
    <t>Stem Cell transplantation  </t>
  </si>
  <si>
    <t>SCT</t>
  </si>
  <si>
    <t xml:space="preserve">Specify if the survivor received any hematopoietic stem cell transplant. Details will be given in the appropriate section </t>
  </si>
  <si>
    <t>Radiotherapy   </t>
  </si>
  <si>
    <t>RADIO</t>
  </si>
  <si>
    <t xml:space="preserve">Specify if the survivor received any radiotherapeutic treatment. Details will be given in the appropriate section </t>
  </si>
  <si>
    <t>Major Surgery  </t>
  </si>
  <si>
    <t>SURGERY</t>
  </si>
  <si>
    <t>1 =&gt; Yes
2 =&gt; No
-9922 =&gt; NK  </t>
  </si>
  <si>
    <t>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t>
  </si>
  <si>
    <t>Progression/relapse during frontline treatment  </t>
  </si>
  <si>
    <t>RELAPSE_PROGR</t>
  </si>
  <si>
    <t>Specify if the survivor experienced any tumor progression/ relapse during front line treatment (before the first elective end of therapies)</t>
  </si>
  <si>
    <t>Date of first elective end of treatment  </t>
  </si>
  <si>
    <t>ENDDT</t>
  </si>
  <si>
    <t>This is the date in which the last therapeutic treatment (either chemo, radio or surgery) was given to the patient.  In case of patients in whom the hematopoietic stem cell transplant was the last procedure, the date of elective end of treatment is the date of transplant.  The date of the end of the immunosuppressive treatment will be reported under the HSCT section). If the date is unkown or partially missed insert the year at the best of your knowledge.</t>
  </si>
  <si>
    <t xml:space="preserve">Complete remission
</t>
  </si>
  <si>
    <t>FULL_REMISSION</t>
  </si>
  <si>
    <t>1 = Yes
2 = No
-9922 = NK</t>
  </si>
  <si>
    <t>Please report if at the moment of the elective end of treatment the patient was in complete remission or not. An example is residual brain tumor tissue in which there is no complete remission after end of treatment.</t>
  </si>
  <si>
    <t xml:space="preserve">If no complete remission, specify
</t>
  </si>
  <si>
    <t>FULL_REMISSION_SPEC</t>
  </si>
  <si>
    <t>Yes, If FULL_REMISSION = 2 (no)</t>
  </si>
  <si>
    <t>Please specify the residual disease.</t>
  </si>
  <si>
    <t xml:space="preserve">Progression/relapse after first elective end of treatment
</t>
  </si>
  <si>
    <t>PROGR_REL</t>
  </si>
  <si>
    <t xml:space="preserve">Specify if the survivor experienced any relapse after the first elective end of treatment. Please note that progressions may also occur, since some cases (e.g. stage 3 inoperable residual neuroblastoma or residual CNS tumor) that were considered as non-active may progress. </t>
  </si>
  <si>
    <t>MedicatonAmdinistration</t>
  </si>
  <si>
    <t>Progressive number of diagnosis (1=first; 2= second; 3 = third; …).
In this field must be reported the ordinal number of the tumor diagnosis for which the chemotherapy was given</t>
  </si>
  <si>
    <t>Progressive number of relapse/progression (after FLT)</t>
  </si>
  <si>
    <t>RECAFTER_NUM</t>
  </si>
  <si>
    <t>Institution of treatment  </t>
  </si>
  <si>
    <t>1 =&gt; This Institution
2 =&gt; Other Institution
-9922 =&gt; Not Available</t>
  </si>
  <si>
    <t xml:space="preserve">Yes, if PLACE_TREAT = 2 </t>
  </si>
  <si>
    <t>Please provide name, city and country  of the institution</t>
  </si>
  <si>
    <t>Start date  </t>
  </si>
  <si>
    <t>CHEMO_SDT</t>
  </si>
  <si>
    <t>End date  </t>
  </si>
  <si>
    <t>CHEMO_EDT</t>
  </si>
  <si>
    <t xml:space="preserve">Drug name </t>
  </si>
  <si>
    <t>FN_1, FN_2,…FN_20</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</si>
  <si>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</si>
  <si>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Total cumulative dose  </t>
  </si>
  <si>
    <t>CD_1,CD_2,…CD_20</t>
  </si>
  <si>
    <t>Report the total cumulative dose received of each drug.  If the dose was not calculated, write "NC"</t>
  </si>
  <si>
    <t>Dose (estimation or calculation)</t>
  </si>
  <si>
    <t>DT_1,DT_2,…DT_20</t>
  </si>
  <si>
    <t>1 =&gt; Dose given
2 =&gt; Dose estimated
-9922 = NK</t>
  </si>
  <si>
    <t>Specify if the cumulative dose reported has been all calculated on real data or  estimated based on the expected dose prescribed by the protocol.  If some part of the calculation was based on estimated values, the whole field should be "estimated"</t>
  </si>
  <si>
    <t>Measure unit  </t>
  </si>
  <si>
    <t>UN_1,UN_2,...UN_20</t>
  </si>
  <si>
    <t>1 =&gt; mg/m2
2 =&gt; gr/m2
3 =&gt; UI/m2
4 =&gt; NK
5 =&gt; NC (not calculated)</t>
  </si>
  <si>
    <t>If the dose was calculated, please report the measure unit of the calculation</t>
  </si>
  <si>
    <t>HDSTEROIDS1</t>
  </si>
  <si>
    <t>Report "yes" if the survivor was treated with steroids for at least 4 weeks continuously</t>
  </si>
  <si>
    <t>INCOMPLETE_DOSES</t>
  </si>
  <si>
    <t>checkbox</t>
  </si>
  <si>
    <t>1 = Checked</t>
  </si>
  <si>
    <t>INCOMPLETE_DOSES_SPEC</t>
  </si>
  <si>
    <t>Yes, if INCOMPLETE_DOSES=1</t>
  </si>
  <si>
    <t>Intrathecal injections  </t>
  </si>
  <si>
    <t>INTRATHEC</t>
  </si>
  <si>
    <t>Please state if the survivor received any therapeutic intrathecal injections</t>
  </si>
  <si>
    <t>Total number  </t>
  </si>
  <si>
    <t>INTRATHEC_NUM</t>
  </si>
  <si>
    <t>Yes, If INTRATHEC = 1</t>
  </si>
  <si>
    <t xml:space="preserve">No </t>
  </si>
  <si>
    <t>If Yes, drug(s) administered</t>
  </si>
  <si>
    <t>INTRATHEC_NAME</t>
  </si>
  <si>
    <t>Other treatments?</t>
  </si>
  <si>
    <t>OTHERT</t>
  </si>
  <si>
    <t xml:space="preserve">1 =&gt; Yes
2 =&gt; No
-9922 =&gt; NK
</t>
  </si>
  <si>
    <t>OTHERT_NAME</t>
  </si>
  <si>
    <t>Yes, if OTHERT = 1</t>
  </si>
  <si>
    <t>procedure (to be analyzed)</t>
  </si>
  <si>
    <t>see above</t>
  </si>
  <si>
    <t>Progressive number of diagnosis (1=first; 2= second; 3 = third; …).
In this field must be reported the ordinal number of the tumor diagnosis for which the SCT was performed</t>
  </si>
  <si>
    <t>Progressive SCT number</t>
  </si>
  <si>
    <t>SCT_NUM</t>
  </si>
  <si>
    <t>Progressive number of SCT received by the former patient (1=first; 2= second; 3 = third; …).
Progressive number of SCT received by the former patient (1=first; 2= second; 3 = third; …)</t>
  </si>
  <si>
    <t>1 =&gt; This Institution
2 =&gt; Other Institution
-9922=&gt; Not Available</t>
  </si>
  <si>
    <t>Specify if the HSCT was performed at the treatment institution or somewhere else</t>
  </si>
  <si>
    <t xml:space="preserve">Yes, if PLACE_TREAT= 2 </t>
  </si>
  <si>
    <t>Date of transplant  </t>
  </si>
  <si>
    <t>SCTDT</t>
  </si>
  <si>
    <t>Date of the reinfusion of hematopoietic stem cells. If the date is unkown or partially missed insert the year at the best of your knowledge.</t>
  </si>
  <si>
    <r>
      <t xml:space="preserve">Type of transplant
</t>
    </r>
    <r>
      <rPr>
        <sz val="11"/>
        <color rgb="FF00B0F0"/>
        <rFont val="Calibri"/>
        <family val="2"/>
        <scheme val="minor"/>
      </rPr>
      <t/>
    </r>
  </si>
  <si>
    <t>DONOR1</t>
  </si>
  <si>
    <t xml:space="preserve">1 = Autologous
2 = Allogeneic
-9922 = NK </t>
  </si>
  <si>
    <t>Indicate if the transplant was autologous or allogeneic.</t>
  </si>
  <si>
    <t xml:space="preserve">Type of donor for allogenic transplant
</t>
  </si>
  <si>
    <t>DONOR2</t>
  </si>
  <si>
    <t>1 = matched related
2 = matched unrelated
3 = mismatch related
4 = mismatch unrelated
5 = haplo-identical
-9922 = NK</t>
  </si>
  <si>
    <t>Yes, If DONOR1 = 2</t>
  </si>
  <si>
    <t>Define the type of donor in case of allogenic transplant</t>
  </si>
  <si>
    <t xml:space="preserve">Type of donor for matched related donor
</t>
  </si>
  <si>
    <t>DONOR3</t>
  </si>
  <si>
    <t>1 = matched related – sibling
2 = matched related – parent
3 = matched related – other (e.g. cousin)
-9922 = NK</t>
  </si>
  <si>
    <t>Yes, If DONOR2 = 1</t>
  </si>
  <si>
    <t>Define the type of donor</t>
  </si>
  <si>
    <t xml:space="preserve">Source of cells
</t>
  </si>
  <si>
    <t>FONTE</t>
  </si>
  <si>
    <t>1 = PBSC 
2 = Bone marrow
3 = Cord
-9922 = NK</t>
  </si>
  <si>
    <t>Yes, If stem cell transplantation = yes</t>
  </si>
  <si>
    <t>Indicate the source of cells</t>
  </si>
  <si>
    <t>Conditioning regimen: drugs used  </t>
  </si>
  <si>
    <t>CONDREG_NAME</t>
  </si>
  <si>
    <t>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t>
  </si>
  <si>
    <t>GVHD prophylaxis  </t>
  </si>
  <si>
    <t>GVHD</t>
  </si>
  <si>
    <t xml:space="preserve">1 =&gt; Yes
2 =&gt; No
-9922 =&gt; NK 
</t>
  </si>
  <si>
    <t>Yes if DONOR1 = 2</t>
  </si>
  <si>
    <t xml:space="preserve">State if any GVHD prophylaxis was given. Details on the drug names used for GVHD prophylaxis should be listed in the chemotherapy section under "immunotherapy)  </t>
  </si>
  <si>
    <t>GVHD Acute  </t>
  </si>
  <si>
    <t>GVHD_ACUTE</t>
  </si>
  <si>
    <t>Please State if acute GVHD occurred</t>
  </si>
  <si>
    <t>Grade</t>
  </si>
  <si>
    <t>GVHD_ACUTE_GRADE</t>
  </si>
  <si>
    <t>1 =&gt; 1
2 =&gt; 2
3 =&gt; 3
4 =&gt; 4
-9922 =&gt; NK  </t>
  </si>
  <si>
    <t>Yes, if GVHD_ACUTE = 1</t>
  </si>
  <si>
    <t>If yes, state the maximum grade of acute GVHD</t>
  </si>
  <si>
    <t>GVHD_SDT2</t>
  </si>
  <si>
    <t xml:space="preserve">No   </t>
  </si>
  <si>
    <t>Define the starting date of GVHD. If the date is unkown or partially missed insert the year at the best of your knowledge.</t>
  </si>
  <si>
    <t>GVHD_EDT2</t>
  </si>
  <si>
    <t>No    </t>
  </si>
  <si>
    <t>Define the ending date of GVHD. If the date is unkown or partially missed insert the year at the best of your knowledge.</t>
  </si>
  <si>
    <t>GVHD Chronic  </t>
  </si>
  <si>
    <t>GVHD_CHRONIC</t>
  </si>
  <si>
    <t>Please State if chronic GVHD occurred</t>
  </si>
  <si>
    <t>GVHD_CHRONIC_GRADE</t>
  </si>
  <si>
    <t xml:space="preserve">1 =&gt; Limited
2 =&gt; Extensive
-9922 =&gt; NK 
</t>
  </si>
  <si>
    <t>Yes, if GVHD_CHRONIC= 1</t>
  </si>
  <si>
    <t xml:space="preserve"> If yes, state the maximum grade of chronic GVHD</t>
  </si>
  <si>
    <t>GVHD_SDT</t>
  </si>
  <si>
    <t>Please Define the starting date of GVHD. If the date is unkown or partially missed insert the year at the best of your knowledge.</t>
  </si>
  <si>
    <t>GVHD_EDT</t>
  </si>
  <si>
    <t>Please Define the ending date of GVHD. If the date is unkown or partially missed insert the year at the best of your knowledge.</t>
  </si>
  <si>
    <t>Organs affected  </t>
  </si>
  <si>
    <t>GVHD_ORGANS</t>
  </si>
  <si>
    <t>Yes, if GVHD_ACUTE = 1 OR GVHD_CHRONIC = 1</t>
  </si>
  <si>
    <t>Please List organs affected by GVHD</t>
  </si>
  <si>
    <t>are we using 1,2 or could we use internationla codes</t>
  </si>
  <si>
    <t>Blood type before transplant  </t>
  </si>
  <si>
    <t>BLOOD_TYPE_BEFORE</t>
  </si>
  <si>
    <t>1 =&gt; A
2 =&gt; B
3 =&gt; AB
4 =&gt; O 
-9922 =&gt; NK</t>
  </si>
  <si>
    <t>Rh  </t>
  </si>
  <si>
    <t>BLOOD_TYPE_BEFORE_RH</t>
  </si>
  <si>
    <t>1 =&gt; +
2 =&gt; -
-9922 =&gt; NK  </t>
  </si>
  <si>
    <t>Rh factor before transplant</t>
  </si>
  <si>
    <t>Blood type after transplant  </t>
  </si>
  <si>
    <t>BLOOD_TYPE_AFTER</t>
  </si>
  <si>
    <t>1 =&gt; A
2 =&gt; B
3 =&gt; AB
4 =&gt; O  
-9922=NK</t>
  </si>
  <si>
    <t>No, (visible if DONOR1 = 2)</t>
  </si>
  <si>
    <t>BLOOD_TYPE_AFTER_RH</t>
  </si>
  <si>
    <t>Rh factor after transplant  </t>
  </si>
  <si>
    <t>Date of end of immunosuppressive treatment  after HSCT</t>
  </si>
  <si>
    <t>SCTDTEND_DT</t>
  </si>
  <si>
    <t>No, (visible  if DONOR1 = 2 )</t>
  </si>
  <si>
    <t>Date of end of immunosuppressive treatment. If the date is unkown or partially missed insert the year at the best of your knowledge.</t>
  </si>
  <si>
    <t xml:space="preserve">Progressive number of diagnosis (1=first; 2= second; 3 = third; …).
In this field must be reported the ordinal number of the tumor diagnosis for which the radiotherapeutic treatment was given </t>
  </si>
  <si>
    <t>Radiotherapy episode number</t>
  </si>
  <si>
    <t xml:space="preserve"> RT_NUM</t>
  </si>
  <si>
    <t>yes, if PLACE_TREA T= 2 (other)</t>
  </si>
  <si>
    <t>Type of radiotherapy  </t>
  </si>
  <si>
    <t>RD_SITE_TYPE</t>
  </si>
  <si>
    <t xml:space="preserve">1 =&gt; External beam
2 =&gt; Brachytherapy
3 =&gt; Metabolic/radionuclide therapy
</t>
  </si>
  <si>
    <t xml:space="preserve">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t>
  </si>
  <si>
    <t>If external beam, please specify</t>
  </si>
  <si>
    <t>RD_SITE_TYPE_E</t>
  </si>
  <si>
    <t xml:space="preserve">1 =&gt;Orthovoltage / kilovoltage usually 200 - 300kv X rays/photons
2 =&gt;Linac (Linear Accelerator) megavoltage MV X Rays/photons
3 =&gt;Linac (Linear Accelerator) electrons
4 =&gt; Cobalt - MV gamma rays / photons
5 =&gt; Proton Beam
6 =&gt; Other
-9922 =&gt; Unknown </t>
  </si>
  <si>
    <t xml:space="preserve">Yes, if RD_SITE_TYPE= 1 </t>
  </si>
  <si>
    <t>A detailed description of the type of machine can be found in the user's manual (&lt;a href="../SP_user_guide01.pdf" target="_blank"&gt;click here to see the manual&lt;/a&gt;).
If you have the name of a machine but cannot find it in this list, please select Other and add the name in free text. 
If you know the treatment was with external beam but not which machine or energy, select "Unknown".</t>
  </si>
  <si>
    <t>If other specify</t>
  </si>
  <si>
    <t>RD_SITE_TYPE_E_OTHER</t>
  </si>
  <si>
    <t>Yes, if RD_SITE_TYPE_E = 6</t>
  </si>
  <si>
    <t>Specify the name of the machine</t>
  </si>
  <si>
    <t>If brachytherapy, please specify</t>
  </si>
  <si>
    <t>RD_SITE_TYPE_B</t>
  </si>
  <si>
    <t>1 =&gt; Surface brachytherapy
2 =&gt; Interstitial brachytherapy
3 =&gt; Intracavitary or intraluminal brachytherapy
-9922=&gt; Unknown</t>
  </si>
  <si>
    <t>Yes, if RD_SITE_TYPE = 2  </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</si>
  <si>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t>
  </si>
  <si>
    <t>Radioactive materials</t>
  </si>
  <si>
    <t>RD_SITE_TYPE_B_R</t>
  </si>
  <si>
    <t>1 =&gt; Iridium (Ir)
2 =&gt; Gold (Au)
3 =&gt; Iodine (I)
4 =&gt; Caesium (Cs)
5 =&gt; Other
-9922 =&gt; Unknown</t>
  </si>
  <si>
    <t xml:space="preserve">Yes, if RD_SITE_TYPE = 2 </t>
  </si>
  <si>
    <t>Specify the radioactive material (isotopes) used: If not listed, select 'Other then specify'</t>
  </si>
  <si>
    <t>RD_SITE_TYPE_B_R_OTH</t>
  </si>
  <si>
    <t xml:space="preserve">Yes, if RD_SITE_TYPE_B_R = 5 </t>
  </si>
  <si>
    <t>Specify the radioactive material (isotopes)</t>
  </si>
  <si>
    <t>If metabolic/radionuclide therapy, please specify</t>
  </si>
  <si>
    <t>RD_SITE_TYPE_M</t>
  </si>
  <si>
    <t>1 =&gt; Iodine-131
2 =&gt; MIBG
3 =&gt;Yttrium 90
4 =&gt; Other
-9922 =&gt; Unknown  </t>
  </si>
  <si>
    <t xml:space="preserve">Yes, if RD_SITE_TYPE  = 3 </t>
  </si>
  <si>
    <t xml:space="preserve">A detailed description of the radionuclides can be found in the user's manual (&lt;a href="../SP_user_guide01.pdf" target="_blank"&gt;click here to see the manual&lt;/a&gt;).
If you have the name of a radionuclide but cannot find it in this list, please select Other and add the name in free text. 
If you know the treatment was with external beam but not which machine or energy, select 'Unknown'.
</t>
  </si>
  <si>
    <t>RD_SITE_TYPE_M_OTH</t>
  </si>
  <si>
    <t xml:space="preserve">Yes, if RD_SITE_TYPE_M= 4 </t>
  </si>
  <si>
    <t>Specify the name of the radionuclide</t>
  </si>
  <si>
    <t>Number of courses</t>
  </si>
  <si>
    <t>RD_SITE_TYPE_M_COURSES</t>
  </si>
  <si>
    <t xml:space="preserve">Yes, if RD_SITE_TYPE = 3 </t>
  </si>
  <si>
    <t>RADIO_SDT</t>
  </si>
  <si>
    <t>RADIO_EDT</t>
  </si>
  <si>
    <t>Site (1)  </t>
  </si>
  <si>
    <t>RD_SITE1</t>
  </si>
  <si>
    <t>See "Radiotherapy sites codes" sheet</t>
  </si>
  <si>
    <r>
      <t xml:space="preserve">Yes
if </t>
    </r>
    <r>
      <rPr>
        <sz val="14"/>
        <rFont val="Calibri"/>
        <family val="2"/>
        <scheme val="minor"/>
      </rPr>
      <t>Type of radiotherapy = 1 or 2 (External Beam, Brachytherapy) </t>
    </r>
  </si>
  <si>
    <t xml:space="preserve">“Site” refers to the radiation therapy treatment field, i.e. the part of the body that received the radiation dose in order to treat the tumour.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If more than one body site was treated with radiotherapy, you can add anther site and describe; upto 5 sites are allowed by the system </t>
  </si>
  <si>
    <t>Tier 1 of Site (1)  </t>
  </si>
  <si>
    <t>RD_SITE1_L1,RD_SITE2_L1...RD_SITE5_L1</t>
  </si>
  <si>
    <t>automatically generated: Tier 1 of Site 1</t>
  </si>
  <si>
    <t>Tier 2 of Site (1)  </t>
  </si>
  <si>
    <t>RD_SITE1_L2,RD_SITE2_L2...RD_SITE5_L2</t>
  </si>
  <si>
    <t>automatically generated: Tier 2 of Site 1</t>
  </si>
  <si>
    <t>Tier 3 of Site (1)  </t>
  </si>
  <si>
    <t>RD_SITE1_L3,RD_SITE2_L3...RD_SITE5_L3</t>
  </si>
  <si>
    <t>automatically generated: Tier 3 of Site 1</t>
  </si>
  <si>
    <t xml:space="preserve">Laterality
</t>
  </si>
  <si>
    <t>RD_SITE1_LAT,RD_SITE2_LAT...RD_SITE5_LAT</t>
  </si>
  <si>
    <t xml:space="preserve"> R = right,
 L = left,
 B = bilateral</t>
  </si>
  <si>
    <t>Report laterality of the radiation.</t>
  </si>
  <si>
    <t>If Other, please specify</t>
  </si>
  <si>
    <t>RD_SITE1_SP,RD_SITE2_SP,...,RD_SITE5_SP</t>
  </si>
  <si>
    <t>Yes, if RD_SITE1=x.x.98</t>
  </si>
  <si>
    <t>Specify the radiotherapy site here if the radiotherapy site listed in the medical record cannot reasonably be matched to one of the sites listed</t>
  </si>
  <si>
    <t>RD_SITE1_D,RD_SITE2_D,….,RD_SITE5_D</t>
  </si>
  <si>
    <t>From</t>
  </si>
  <si>
    <t>RD_SITE1_FROM,RD_SITE2_FROM,...,RD_SITE5_FROM</t>
  </si>
  <si>
    <t>Yes, visibility depends on column "LAT" of sheet "Radiotherapy sites codes"</t>
  </si>
  <si>
    <t>RD_SITE1_FROM_SP,RD_SITE2_FROM_SP,….,RD_SITE5_FROM_SP</t>
  </si>
  <si>
    <t>Yes, if RD_SITE1_FROM ...RD_SITE5_FROM =x.x.98</t>
  </si>
  <si>
    <t>To</t>
  </si>
  <si>
    <t>RD_SITE1_TO,RD_SITE2_TO,...,RD_SITE5_TO</t>
  </si>
  <si>
    <t>RD_SITE1_TO_SP,RD_SITE2_TO_SP,...,RD_SITE5_TO_SP</t>
  </si>
  <si>
    <t>RD_SITE1_POSITION, RD_SITE2_POSITION,..., RD_SITE5_POSITION</t>
  </si>
  <si>
    <t>1 =&gt; Anterior
2 =&gt; Posterior
-9922 = NK</t>
  </si>
  <si>
    <t>Yes, if RD_SITE_TYPE = 1 or 2</t>
  </si>
  <si>
    <t xml:space="preserve">Specify whether the radiation was anterior or posterior. </t>
  </si>
  <si>
    <t>Dose  </t>
  </si>
  <si>
    <t>DOSE_SITE1,DOSE_SITE2,...,DOSE_SITE5</t>
  </si>
  <si>
    <t>Dose number or "NK=-9922" if dose unknown</t>
  </si>
  <si>
    <t>Specify the cumulative / total dose given to the primary radiation therapy site.
If the dose is not known, write NK.</t>
  </si>
  <si>
    <t>DOSE_SITE1_UN, DOSE_SITE2_UN,..., DOSE_SITE5_UN</t>
  </si>
  <si>
    <t xml:space="preserve">select </t>
  </si>
  <si>
    <t>1 =&gt; Gy  
-9922 =&gt; NK</t>
  </si>
  <si>
    <t xml:space="preserve"> </t>
  </si>
  <si>
    <t>External Beam Radiation Therapy (EBRT) and Brachytherapy doses are in Gy. If doses are reported in cGY, roughly two zeroes need to be deleted (e.g. 100 cGy = 1 Gy).</t>
  </si>
  <si>
    <t>DOSE_SITE1_UN_M,DOSE_SITE2_UN_M,...,DOSE_SITE5_UN_M</t>
  </si>
  <si>
    <t xml:space="preserve">1 =&gt; MBq
2 =&gt; GBq
3 =&gt; Ci
-9922=NK
</t>
  </si>
  <si>
    <t xml:space="preserve">Yes, if RD_SITE_TYPE  3 </t>
  </si>
  <si>
    <t>specify if dose is recorded in bequerels (MBq or GBq) or curies (Ci)</t>
  </si>
  <si>
    <t>Number of fractions</t>
  </si>
  <si>
    <t>DOSEFR_SITE1,DOSEFR_SITE2,...,DOSEFR_SITE5</t>
  </si>
  <si>
    <t>Yes, if RD_SITE_TYPE = 1</t>
  </si>
  <si>
    <t>A FRACTION of radiation treatment is a single attendance for treatment; if "not known" insert NK</t>
  </si>
  <si>
    <t>RD_SITE1_BOOST, RD_SITE2_BOOST,... , RD_SITE5_BOOST</t>
  </si>
  <si>
    <t>1 =&gt; Yes
2 =&gt; No
-9922 = NK  </t>
  </si>
  <si>
    <r>
      <t xml:space="preserve">A boost is an extra dose of radiotherapy directed to a smaller area inside the primary radiation field.
</t>
    </r>
    <r>
      <rPr>
        <sz val="11"/>
        <color rgb="FF00B050"/>
        <rFont val="Calibri"/>
        <family val="2"/>
        <scheme val="minor"/>
      </rPr>
      <t/>
    </r>
  </si>
  <si>
    <t>Boost site  </t>
  </si>
  <si>
    <t>BOOST_RD_SITE1, BOOST_RD_SITE2,…,BOOST_RD_SITE5</t>
  </si>
  <si>
    <t>Yes, if RD_SITE1_BOOST= 1  </t>
  </si>
  <si>
    <t xml:space="preserve">“Site”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t>
  </si>
  <si>
    <t>RD_SITE1_BOOST_SP,RD_SITE2_BOOST_SP,...,RD_SITE5_BOOST_SP</t>
  </si>
  <si>
    <t>Yes, if RD_SITE1_BOOST= x.x.98</t>
  </si>
  <si>
    <t>Detail</t>
  </si>
  <si>
    <t>BOOST_RD_SITE1_D,BOOST_RD_SITE2_D,...,BOOST_RD_SITE5_D</t>
  </si>
  <si>
    <t>no</t>
  </si>
  <si>
    <t>RD_SITE1_BOOST_FROM, RD_SITE2_BOOST_FROM,..., RD_SITE5_BOOST_FROM</t>
  </si>
  <si>
    <t>Yes, visibility depends on column "LAT" of sheet "Radiotherapy sites codes" and if RD_SITE1_BOOST,RD_SITE2_BOOST,...RD_SITE5_BOOST= 1  </t>
  </si>
  <si>
    <t>RD_SITE1_BOOST_FROM_SP, RD_SITE2_BOOST_FROM_SP,..., RD_SITE5_BOOST_FROM_SP</t>
  </si>
  <si>
    <t>RD_SITE1_BOOST_TO, RD_SITE2_BOOST_TO,…,RD_SITE5_BOOST_TO</t>
  </si>
  <si>
    <t>RD_SITE1_BOOST_TO_SP, RD_SITE2_BOOST_TO_SP,…, RD_SITE5_BOOST_TO_SP</t>
  </si>
  <si>
    <t>BOOST_RD_SITE1_POSITION, BOOST_RD_SITE2_POSITION,…,BOOST_RD_SITE5_POSITION</t>
  </si>
  <si>
    <t xml:space="preserve">1 =&gt; Anterior
2 =&gt; Posterior
-9922 = NK
</t>
  </si>
  <si>
    <t>Yes  if RD_SITE1_BOOST,RD_SITE2_BOOST,...RD_SITE5_BOOST= 1  </t>
  </si>
  <si>
    <t>Boost laterality</t>
  </si>
  <si>
    <t>BOOST_RD_SITE1_LAT,BOOST_RD_SITE5_LAT,...BOOST_RD_SITE5_LAT</t>
  </si>
  <si>
    <t>Report laterality of the boost.</t>
  </si>
  <si>
    <t>RD_SITE1_BOOST_TYPE, RD_SITE2_BOOST_TYPE,…, RD_SITE5_BOOST_TYPE</t>
  </si>
  <si>
    <t>1 =&gt; External Beam
2 =&gt; Brachytherapy
-9922 =&gt; NK  </t>
  </si>
  <si>
    <t>Yes, if RD_SITE1_BOOST_TYPE,RD_SITE2_BOOST_TYPE…, RD_SITE5_BOOST_TYPE= 1  </t>
  </si>
  <si>
    <t>Specify radiation type of the boost.</t>
  </si>
  <si>
    <t>BOOST_DOSE_SITE1, BOOST_DOSE_SITE2,..., BOOST_DOSE_SITE5</t>
  </si>
  <si>
    <t>Yes, if RD_SITE1_BOOST_TYPE,RD_SITE2_BOOST_TYPE…, RD_SITE5_BOOST_TYPE=1 or 2</t>
  </si>
  <si>
    <t>Specify the cumulative / total dose given to the boost site.
If not known, insert "NK"</t>
  </si>
  <si>
    <t xml:space="preserve">Unit (of external beam boost)
</t>
  </si>
  <si>
    <t>BOOST_DOSE_SITE1_UN, BOOST_DOSE_SITE2_UN,..., BOOST_DOSE_SITE5_UN</t>
  </si>
  <si>
    <t>Select</t>
  </si>
  <si>
    <t>1 = Gy 
-9922 = NK  </t>
  </si>
  <si>
    <t xml:space="preserve">Yes, if RD_SITE1_BOOST_TYPE,RD_SITE2_BOOST_TYPE…, RD_SITE5_BOOST_TYPE=1 or 2 </t>
  </si>
  <si>
    <t>Specify the unit of the boost in case of external beam radiotherapy.</t>
  </si>
  <si>
    <t>Units</t>
  </si>
  <si>
    <t>BOOST_DOSE_SITE1_UN_M, BOOST_DOSE_SITE2_UN_M,..., BOOST_DOSE_SITE5_UN_M</t>
  </si>
  <si>
    <t>1 =&gt; MBq
2 =&gt; GBq
3 =&gt; Ci
-9922 =&gt; NK  </t>
  </si>
  <si>
    <t>BOOST_DOSEFR_SITE1, BOOST_DOSEFR_SITE2,..., BOOST_DOSEFR_SITE5</t>
  </si>
  <si>
    <t xml:space="preserve"> Yes, if RD_SITE1_BOOST_TYPE,RD_SITE2_BOOST_TYPE,..RD_SITE5_BOOST_TYPE = 1</t>
  </si>
  <si>
    <t>RD_SITE1_SHIELDING, RD_SITE2_SHIELDING,..., RD_SITE5_SHIELDING</t>
  </si>
  <si>
    <t xml:space="preserve"> Yes, if RD_SITE1_TYPE,RD_SITE2_TYPE,..RD_SITE5_TYPE = 1</t>
  </si>
  <si>
    <t xml:space="preserve">Specify if shielding was used or not.  In some records this is called “blocking” or “blocks”. </t>
  </si>
  <si>
    <t>RD_SITE1_SHIELDING_TXT, RD_SITE2_SHIELDING_TXT,..., RD_SITE5_SHIELDING_TXT</t>
  </si>
  <si>
    <t>Yes, if RD_SITE1_SHIELDING,RD_SITE2_SHIELDING...RD_SITE5_SHIELDING = 1</t>
  </si>
  <si>
    <t>RD_SITE1_NOTES, RD_SITE2_NOTES,..., RD_SITE5_NOTES</t>
  </si>
  <si>
    <t xml:space="preserve">Insert other site?
</t>
  </si>
  <si>
    <t>RD_SITE2_NEW, RD_SITE3_NEW,..., RD_SITE5_NEW</t>
  </si>
  <si>
    <t>Answer "yes" if you need to insert another site of radiotherapy</t>
  </si>
  <si>
    <t>1=&gt; checked</t>
  </si>
  <si>
    <t>OAR</t>
  </si>
  <si>
    <t>1 =&gt; Yes
2 =&gt; No</t>
  </si>
  <si>
    <t xml:space="preserve">Specify if there is available information on Dosimetry of Organs at Risk </t>
  </si>
  <si>
    <t>Upload document (1)  </t>
  </si>
  <si>
    <t>OAR1</t>
  </si>
  <si>
    <t>file  </t>
  </si>
  <si>
    <t>Upload document (2)  </t>
  </si>
  <si>
    <t>OAR2</t>
  </si>
  <si>
    <t>Upload radiotherapy file (1)  </t>
  </si>
  <si>
    <t>REFERTO1</t>
  </si>
  <si>
    <t>Upload radiotherapy file (2)  </t>
  </si>
  <si>
    <t>REFERTO2</t>
  </si>
  <si>
    <t>Not applicable</t>
  </si>
  <si>
    <t>RD_SITE.._DOSEM_TN,…</t>
  </si>
  <si>
    <t>The maximum cumulative dose received by the body area (Thier 1 in the radiotherapy coding sysytem) is automatically calculated by the SurPass platform</t>
  </si>
  <si>
    <t>Progressive number of diagnosis (1=first; 2= second; 3 = third; …).  
In this field must be reported the ordinal number of the tumor diagnosis for which the surgery was performed</t>
  </si>
  <si>
    <t>Progressive Surgery number</t>
  </si>
  <si>
    <t xml:space="preserve"> SUR_NUM</t>
  </si>
  <si>
    <t xml:space="preserve">Progressive number of surgeries (1=first; 2= second; 3 = third; …).
In this field must be reported the ordinal number of the surgeries given. </t>
  </si>
  <si>
    <t>Yes, if SURGERY = 1</t>
  </si>
  <si>
    <t>Please Identify the institution were surgery was performed</t>
  </si>
  <si>
    <t>Yes, if PLACE_TREAT= 2</t>
  </si>
  <si>
    <t>Date of surgery  </t>
  </si>
  <si>
    <t>SURG_DT</t>
  </si>
  <si>
    <t>Date of surgery (dd/mm/yyyy). If the date is unkown or partially missed insert the year at the best of your knowledge.</t>
  </si>
  <si>
    <t>Surgery description  </t>
  </si>
  <si>
    <t>SURGERY_DESC</t>
  </si>
  <si>
    <t>Please describe the type of surgery (is a free text section, no coding). In case of surgery on pair organs specify which organ (right or left) was operated.</t>
  </si>
  <si>
    <t>Oesophagus involved?</t>
  </si>
  <si>
    <t>OES_SURGERY</t>
  </si>
  <si>
    <t>Was the oesophagus involved in the surgery?</t>
  </si>
  <si>
    <t xml:space="preserve">Abdomen involved?
</t>
  </si>
  <si>
    <t>ABD_SURGERY</t>
  </si>
  <si>
    <t>Was the abdomen involved in the surgery?</t>
  </si>
  <si>
    <t xml:space="preserve">Brain involved?
</t>
  </si>
  <si>
    <t>BRAIN_SURGERY</t>
  </si>
  <si>
    <t>Was the brain involved in the surgery?</t>
  </si>
  <si>
    <t xml:space="preserve">Face involved?
</t>
  </si>
  <si>
    <t>FACE_SURGERY</t>
  </si>
  <si>
    <t>Was the face involved in the surgery?</t>
  </si>
  <si>
    <t>Liver involved?</t>
  </si>
  <si>
    <t>LIVER_SURGERY</t>
  </si>
  <si>
    <t>Was the liver involved in the surgery?</t>
  </si>
  <si>
    <t xml:space="preserve">Spine involved?
</t>
  </si>
  <si>
    <t>SPINE_SURGERY</t>
  </si>
  <si>
    <t>Was the spine involved in the surgery?</t>
  </si>
  <si>
    <t>Spinal Cord involved?</t>
  </si>
  <si>
    <t>SP_SURGERY</t>
  </si>
  <si>
    <t xml:space="preserve">Was the spinal cord involved in the surgery ?
</t>
  </si>
  <si>
    <t>Sympathetic nerves involved?</t>
  </si>
  <si>
    <t>SN_SURGERY</t>
  </si>
  <si>
    <t>Were the sympathetic nerves involved in the surgery ?</t>
  </si>
  <si>
    <t xml:space="preserve">Chest/thorax involved?
</t>
  </si>
  <si>
    <t>CHEST_SURGERY</t>
  </si>
  <si>
    <t>Was the chest or thorax involved in the surgery?
This does not include a central venous catheter (CVC)</t>
  </si>
  <si>
    <t>Pelvis involved?</t>
  </si>
  <si>
    <t>PELVIC_SURGERY</t>
  </si>
  <si>
    <t>Was the pelvis involved in the surgery ?</t>
  </si>
  <si>
    <t>Sacrified Organs</t>
  </si>
  <si>
    <t>SACR_ORGANS</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</si>
  <si>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t>
  </si>
  <si>
    <t>If yes, please specify</t>
  </si>
  <si>
    <t>SACRIFIEDORGANS1,SACRIFIEDORGANS2,...SACRIFIEDORGANS9,SACRIFIEDORGANS_OTHER</t>
  </si>
  <si>
    <t>SACRIFIEDORGANS1=1 =&gt; Spleen
SACRIFIEDORGANS2=1 =&gt; Kidney
SACRIFIEDORGANS3=1 =&gt; Eye
SACRIFIEDORGANS4=1 =&gt; Lung
SACRIFIEDORGANS5=1 =&gt; Ovary
SACRIFIEDORGANS6=1 =&gt; Hypothalamus/hypophysis
SACRIFIEDORGANS7=1 =&gt; Thyroid
SACRIFIEDORGANS8=1 =&gt; Bladder
SACRIFIEDORGANS9=1  =&gt; uterus SACRIFIEDORGANS_OTHER=1 =&gt; Other</t>
  </si>
  <si>
    <t>Yes, if SACR_ORGANS = 1</t>
  </si>
  <si>
    <t xml:space="preserve"> Please specify which organ has been sacrified. Multiple answers are possible</t>
  </si>
  <si>
    <t>If other, please specify</t>
  </si>
  <si>
    <t>SACRIFIEDORGANS_DESC</t>
  </si>
  <si>
    <t>Yes, if  SACRIFIEDORGANS_OTHER=1</t>
  </si>
  <si>
    <t>Please report any other organ sacrified, not included in the previous list</t>
  </si>
  <si>
    <t xml:space="preserve"> Shunt application </t>
  </si>
  <si>
    <t>SHUNT</t>
  </si>
  <si>
    <t>1 =&gt; Yes 
2 =&gt; No
 -9911 =&gt; NA
 -9922 =&gt; NK</t>
  </si>
  <si>
    <t xml:space="preserve">Please report if a cerebrovascular shunt was inserted </t>
  </si>
  <si>
    <t xml:space="preserve">Type of shunt
</t>
  </si>
  <si>
    <t>SHUNT_TYPE</t>
  </si>
  <si>
    <t xml:space="preserve">1 =&gt; Ventriculo-peritoneal
2 =&gt; Ventriculo atrial
3 =&gt; Subdural_peritoneal
4 =&gt;  Cisternostomy (III ventricule)
5 =&gt; Other
-9922 =&gt; NK
</t>
  </si>
  <si>
    <t>Yes, if SHUNT = 1</t>
  </si>
  <si>
    <t xml:space="preserve">This is a free text section in which it is possible to specify the type (e.g. ventriculo-peritoneal) of shunt used </t>
  </si>
  <si>
    <t xml:space="preserve">Laterality of shunt
</t>
  </si>
  <si>
    <t>SHUNT_LAT</t>
  </si>
  <si>
    <t>1 = right
2= left
3 = midline
-9911 = not applicable
-9922 =&gt; NK</t>
  </si>
  <si>
    <t>Please specify the laterality of the shunt</t>
  </si>
  <si>
    <t>If yes,</t>
  </si>
  <si>
    <t>SHUNT_DESC</t>
  </si>
  <si>
    <t>1 =&gt; Still in place
2 =&gt; Removed
 -9911 =&gt; NA
 -9922 =&gt; NK</t>
  </si>
  <si>
    <t xml:space="preserve">Define if it is still in place or is already removed </t>
  </si>
  <si>
    <t xml:space="preserve">Amputation </t>
  </si>
  <si>
    <t>AMPUT</t>
  </si>
  <si>
    <t xml:space="preserve">1 =&gt; Yes
2 =&gt; No
-9911 =&gt; Not applicable
-9922 =&gt; NK 
</t>
  </si>
  <si>
    <t xml:space="preserve">Here it is requested only a yes or no. Details should be reported in the surgery description </t>
  </si>
  <si>
    <t xml:space="preserve">Prothesis </t>
  </si>
  <si>
    <t>PROTHESIS</t>
  </si>
  <si>
    <t>1 =&gt; Yes
2 =&gt; No
-9911 =&gt; Not applicable
-9922 =&gt; NK</t>
  </si>
  <si>
    <t xml:space="preserve"> Yes</t>
  </si>
  <si>
    <t>Please state if the survivor has a prosthesis either internal (e.g. hip replacement) or external (e.g. artificial arm)</t>
  </si>
  <si>
    <t xml:space="preserve">If yes </t>
  </si>
  <si>
    <t>PROTHESIS_DESC</t>
  </si>
  <si>
    <r>
      <t>1 =&gt; Internal
2 =&gt; External</t>
    </r>
    <r>
      <rPr>
        <strike/>
        <sz val="14"/>
        <rFont val="Calibri"/>
        <family val="2"/>
        <scheme val="minor"/>
      </rPr>
      <t xml:space="preserve">
</t>
    </r>
    <r>
      <rPr>
        <sz val="14"/>
        <rFont val="Calibri"/>
        <family val="2"/>
        <scheme val="minor"/>
      </rPr>
      <t xml:space="preserve">-9922 =&gt; NK
</t>
    </r>
  </si>
  <si>
    <t>Yes, if PROTHESIS = 1</t>
  </si>
  <si>
    <t xml:space="preserve">Please define if prosthesis is internal (e.g. titanium bone) or external (e.g. artificial limb). Also in this case, details should be reported in the surgery description </t>
  </si>
  <si>
    <t xml:space="preserve">Colostomy </t>
  </si>
  <si>
    <t>COLOST</t>
  </si>
  <si>
    <t xml:space="preserve">1 =&gt; Yes
2 =&gt; No
-9911 =&gt; Not applicable
-9922 =&gt;NK 
</t>
  </si>
  <si>
    <t>State if a colostomy was created. Details should be reported in the surgery section.</t>
  </si>
  <si>
    <t>COLOST_DESC</t>
  </si>
  <si>
    <t>1 =&gt; Still in place
2 =&gt; Removed
-9922 =&gt;NK</t>
  </si>
  <si>
    <t>Yes, if COLOST = 1</t>
  </si>
  <si>
    <t>If colostomy was performed, please state if it is still present or no</t>
  </si>
  <si>
    <t xml:space="preserve">Gastrostomy </t>
  </si>
  <si>
    <t>GASTROST</t>
  </si>
  <si>
    <t xml:space="preserve">1 =&gt; Yes
2 =&gt; No
-9911 =&gt; Not applicable
-9922 =&gt;NK
</t>
  </si>
  <si>
    <t>State if a gastrostomy was created. Details should be reported in the surgery section.</t>
  </si>
  <si>
    <t>Progressive number of diagnosis (1=first; 2= second; 3 = third; …).  
In this field must be reported the ordinal number of the tumor diagnosis in which progression/relapse ocuured during front line treatment.</t>
  </si>
  <si>
    <t>Progression/relapse during FLT number</t>
  </si>
  <si>
    <t>PROGREL_NUM</t>
  </si>
  <si>
    <t>Progressive number of progression/relapse (1=first; 2= second; 3 = third; …).
In this field must be reported the ordinal number of the progression/relapse during front line treatment for each diagnosis</t>
  </si>
  <si>
    <t>Type of event  </t>
  </si>
  <si>
    <t>TYPE</t>
  </si>
  <si>
    <t>1 =&gt; Relapse
2 =&gt; Progression 
-9922= NK</t>
  </si>
  <si>
    <t>The type of event should be reported</t>
  </si>
  <si>
    <t>Date  </t>
  </si>
  <si>
    <t>RP_DT</t>
  </si>
  <si>
    <t>Report the date of the event in DD/MM/YYYY format. If the date is unkown or partially missed insert the year at the best of your knowledge.</t>
  </si>
  <si>
    <t>Type  </t>
  </si>
  <si>
    <t>TYPE_RELPR</t>
  </si>
  <si>
    <t xml:space="preserve">1 =&gt; Local
2 =&gt; Distant
3 =&gt; Combined
-9922 = NK
</t>
  </si>
  <si>
    <t>Yes, if TYPE = 1  or 2</t>
  </si>
  <si>
    <t>Please state if the relapse or progression was local, distant or combined</t>
  </si>
  <si>
    <t>If distant, site of metastases</t>
  </si>
  <si>
    <t>METAST</t>
  </si>
  <si>
    <t>Yes, if TYPE_RELPR = 2 or 3</t>
  </si>
  <si>
    <t>If distant, specify site</t>
  </si>
  <si>
    <t>Progressive number of diagnosis (1=first; 2= second; 3 = third; …).  
In this field must be reported the ordinal number of the tumor diagnosis in which other info or relevant events occurred</t>
  </si>
  <si>
    <t>Relevant event number</t>
  </si>
  <si>
    <t>RELEV_NUM</t>
  </si>
  <si>
    <t>Progressive number of relevant event  (1=first; 2= second; 3 = third; …).
In this field must be reported the ordinal number of relevant event to be described.</t>
  </si>
  <si>
    <t>Important toxicity during treatment  </t>
  </si>
  <si>
    <t>TOXICITY</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</si>
  <si>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t>
  </si>
  <si>
    <t>Number of toxicity</t>
  </si>
  <si>
    <t>TOXICITY_TOT</t>
  </si>
  <si>
    <t>1 =&gt; 1
2 =&gt; 1 
….
10 =&gt; 10 
-9922=&gt; NK</t>
  </si>
  <si>
    <t>Yes, if TOXICITY = 1</t>
  </si>
  <si>
    <t>Date of event  </t>
  </si>
  <si>
    <t>EVENT_DT,EVENT_DT_2...EVENT_DT_10</t>
  </si>
  <si>
    <t>Yes, if TOXICITY_TOT = 1…10</t>
  </si>
  <si>
    <t>Date (dd/mm/yyyy) of the event. If the date is unkown or partially missed insert the year at the best of your knowledge.</t>
  </si>
  <si>
    <t xml:space="preserve">Description </t>
  </si>
  <si>
    <t>DESCR,DESCR_2…DESCR_10</t>
  </si>
  <si>
    <t>Please describe any significant event (e.g. admission to the intensive care for a metabolic problem, seizures, severe toxic complication) occurring during therapy that might have fully recovered or be still remaining or with sequelae</t>
  </si>
  <si>
    <t>Resolved ?</t>
  </si>
  <si>
    <t>RESOLVE,RESOLVE_2…RESOLVE_10</t>
  </si>
  <si>
    <r>
      <t>1 =&gt; Yes (Resolved)
2 =&gt; No (Persisting)
-9922 =&gt;</t>
    </r>
    <r>
      <rPr>
        <strike/>
        <sz val="14"/>
        <rFont val="Calibri"/>
        <family val="2"/>
        <scheme val="minor"/>
      </rPr>
      <t xml:space="preserve"> </t>
    </r>
    <r>
      <rPr>
        <sz val="14"/>
        <rFont val="Calibri"/>
        <family val="2"/>
        <scheme val="minor"/>
      </rPr>
      <t>NK  </t>
    </r>
  </si>
  <si>
    <t>Please specify if the event is resolved or not</t>
  </si>
  <si>
    <t>Hypogonadal ?</t>
  </si>
  <si>
    <t>HYPOGON</t>
  </si>
  <si>
    <t>Please specify if hypogonadal occured during therapy</t>
  </si>
  <si>
    <t>Growth hormone deficiency ?</t>
  </si>
  <si>
    <t>GROWTH_DEF</t>
  </si>
  <si>
    <t>Please specify if growth hormon deficiency occured during therapy</t>
  </si>
  <si>
    <t>Hydrocephalus ?</t>
  </si>
  <si>
    <t>HYDROCEPH</t>
  </si>
  <si>
    <t>Please specify if hydrocephalus occured during therapy</t>
  </si>
  <si>
    <t>Chronic viral hepatitis ?</t>
  </si>
  <si>
    <t>CHRON_HEPAT</t>
  </si>
  <si>
    <t>Please specify if chronic viral hepatitis occured during therapy</t>
  </si>
  <si>
    <t>Sinusoidal obstruction syndrome ?</t>
  </si>
  <si>
    <t>SOS</t>
  </si>
  <si>
    <t>Please specify if sinusoidal obstruction syndrome occured during therapy</t>
  </si>
  <si>
    <t>CVC positioning  </t>
  </si>
  <si>
    <t>CVCPOS</t>
  </si>
  <si>
    <t xml:space="preserve">1 =&gt; Yes
2 =&gt; No
-9922 =&gt; NK  
</t>
  </si>
  <si>
    <t>Please report if at least one central venous line (catheter) was positioned</t>
  </si>
  <si>
    <t>If yes  </t>
  </si>
  <si>
    <t>CVC_DESC</t>
  </si>
  <si>
    <t>1 =&gt; Still in place
2 =&gt; Removed
-9922 =&gt; NK</t>
  </si>
  <si>
    <t>Yes, if CVCPOS = 1</t>
  </si>
  <si>
    <t>Report if the CVC is still in place or was removed</t>
  </si>
  <si>
    <t>Specify the site</t>
  </si>
  <si>
    <t>CVCPOS_DESCR</t>
  </si>
  <si>
    <t>Report where (in which vein) the CVC was positioned</t>
  </si>
  <si>
    <t>Catheter-related thrombosis</t>
  </si>
  <si>
    <t>CATHETER_THROMB</t>
  </si>
  <si>
    <t>Report if there was a catheter-related thrombosis due to a central venous catheter.</t>
  </si>
  <si>
    <t>Catheter-related thrombosis specification</t>
  </si>
  <si>
    <t>CATHETER_THROMB_DESC</t>
  </si>
  <si>
    <t>Yes, if CATHETER_THROMB = 1</t>
  </si>
  <si>
    <t>Specify the details of the catheter-related thrombosis, including the location (vessel and laterality), treatment and status at the end of cancer treatment.</t>
  </si>
  <si>
    <t>Transfusion  </t>
  </si>
  <si>
    <t>TRANSFUSION</t>
  </si>
  <si>
    <t xml:space="preserve">1 =&gt; Yes
2 =&gt; No
-9922=&gt;NK
</t>
  </si>
  <si>
    <t>Please state if at least one blood (any component) transfusion was made</t>
  </si>
  <si>
    <t>Last transfusion date  </t>
  </si>
  <si>
    <t>TRANSFUSION_DT</t>
  </si>
  <si>
    <t>Yes, if TRANSFUSION = 1</t>
  </si>
  <si>
    <t>Please  report the date of the last transfusion given. If the date is unkown or partially missed insert the year at the best of your knowledge.</t>
  </si>
  <si>
    <t>&gt;= 10 Transfusions ?</t>
  </si>
  <si>
    <t>TRANSFMORE10</t>
  </si>
  <si>
    <t>Please specify if patient recieved 10 or more than 10 trasfusions during therapy</t>
  </si>
  <si>
    <t>Fertility preservation  </t>
  </si>
  <si>
    <t>FERTILITY</t>
  </si>
  <si>
    <t>Please state if any procedure was performed for fertility preservation</t>
  </si>
  <si>
    <t>If yes, describe  </t>
  </si>
  <si>
    <t>FERT_DESCR</t>
  </si>
  <si>
    <t>Yes, if FERTILITY = 1</t>
  </si>
  <si>
    <t>If fertility preservation was performed,please  describe it</t>
  </si>
  <si>
    <t>Storage Institution</t>
  </si>
  <si>
    <t>FERT_DESCR2</t>
  </si>
  <si>
    <t>If fertility preservation was performed, describe with details of the institution where either sperm or ovarian tissue/oocytes have been stored</t>
  </si>
  <si>
    <t>Other oncological treatments</t>
  </si>
  <si>
    <t>OTH_ONCOLOGICAL_TREATMENTS</t>
  </si>
  <si>
    <t>Report here if any other treatment (not included in the chemotherapy, surgery or radiotherapy sections) was adminstered to the survivor</t>
  </si>
  <si>
    <t>Discharge letter</t>
  </si>
  <si>
    <t>DIMISSIONE</t>
  </si>
  <si>
    <t>binary</t>
  </si>
  <si>
    <t>Progressive number of medical suggestion</t>
  </si>
  <si>
    <t>MEDSUG_NUM</t>
  </si>
  <si>
    <t>Progressive number of mdical suggestion (1=first; 2= second; 3 = third; …).  
In this field must be reported the ordinal number of the end of tretment status achieved by the survivor at the moment of delivery of the passport</t>
  </si>
  <si>
    <t>Medications prescribed  </t>
  </si>
  <si>
    <t>MEDICATIONS</t>
  </si>
  <si>
    <t xml:space="preserve">Report here if at the moment of the end of treatment or of passport delivery the survivor has already some medical prescriptions (e.g. for persistent hypertension, hypothyroidism, diabetes).  If possible, for each drug report name, dose and schedule. </t>
  </si>
  <si>
    <t>Date of prescription  </t>
  </si>
  <si>
    <t>PRECR_DT</t>
  </si>
  <si>
    <t>Date (DD/MM/YYYY) in which the specific prescription was first given. If the date is unkown or partially missed insert the year at the best of your knowledge.</t>
  </si>
  <si>
    <t>Comments and suggestions  </t>
  </si>
  <si>
    <t>COMMENTS</t>
  </si>
  <si>
    <t>This is a free text section for any further comment or recommendation</t>
  </si>
  <si>
    <t>Progression-relapse after FLT number</t>
  </si>
  <si>
    <t>PROGRRELA_NUM</t>
  </si>
  <si>
    <t>Progressive number of progression/relapse (1=first; 2= second; 3 = third; …) after the end of treatment.
In this field must be reported the ordinal number of the progression/relapse after the end of treatment.</t>
  </si>
  <si>
    <t>1 =&gt; Relapse
2 =&gt; Progression
-9922= &gt; NK</t>
  </si>
  <si>
    <t>Report here if a relapse or progression occurred after the elective end of therapies.
Please note that "progressions" may occurr since in some cases (e.g. stage 3 unoperable residual neuroblastoma or residual CNS tumor) that were considered as "non active" may progress</t>
  </si>
  <si>
    <t>Report here the date (dd/mm/yyyy ) of the relapse/progression. If the date is unkown or partially missed insert the year at the best of your knowledge.</t>
  </si>
  <si>
    <t>1 =&gt; Local
2 =&gt; Distant
3 =&gt; Combined
 - 9922= &gt; NK </t>
  </si>
  <si>
    <t xml:space="preserve">Please define if the relapse/progression was local, distant or combined.
</t>
  </si>
  <si>
    <t>If distant, please specify site</t>
  </si>
  <si>
    <t>The salvage treatment has been executed following  </t>
  </si>
  <si>
    <t>FLTREATA</t>
  </si>
  <si>
    <t xml:space="preserve">1 =&gt; A trial/protocol
2 =&gt; Personalized
3 =&gt; Guidelines
-9922 =&gt; NK 
</t>
  </si>
  <si>
    <t>Specify here (using the available codes) if because of the relapse/progression the patient was treated according to a protocol/trial or other treatment plans</t>
  </si>
  <si>
    <t>First line treatment trial/protocol</t>
  </si>
  <si>
    <t>PROTOCOL_PREV</t>
  </si>
  <si>
    <t>The system automatic display the trial/protocol executed during front line treatment</t>
  </si>
  <si>
    <t xml:space="preserve">Yes, if FLTREATA = 1 </t>
  </si>
  <si>
    <t>Specify the salvage trial/protocol (s) that was (were) used.  Free text</t>
  </si>
  <si>
    <t xml:space="preserve">If personalized, please specify
</t>
  </si>
  <si>
    <t xml:space="preserve">Yes, if FLTREATA = 2 </t>
  </si>
  <si>
    <t>If a personalized treatment was used, please specify.</t>
  </si>
  <si>
    <t>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t>
  </si>
  <si>
    <t xml:space="preserve">Please specify if the survivor received any hematopoietic stem cell transplant. Details will be given in the appropriate section </t>
  </si>
  <si>
    <t>Radiotherapy  </t>
  </si>
  <si>
    <t xml:space="preserve">Please specify if the survivor received any radiotherapeutic treatment. Details will be given in the appropriate section </t>
  </si>
  <si>
    <t>Date of end of treatment  </t>
  </si>
  <si>
    <t>This is the date of the second (or further) end of treatment after the first one. If the date is unkown or partially missed insert the year at the best of your knowledge.</t>
  </si>
  <si>
    <t>Progression-Relapse after FLT</t>
  </si>
  <si>
    <t>RelapseAfterFLT</t>
  </si>
  <si>
    <t>date of relapse</t>
  </si>
  <si>
    <t>relapseOrProgression</t>
  </si>
  <si>
    <t>relapse | progression</t>
  </si>
  <si>
    <t>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t>
  </si>
  <si>
    <t>local | distant | combined</t>
  </si>
  <si>
    <t>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t>
  </si>
  <si>
    <t>.extension('http://hl7.org/fhir/StructureDefinition/condition-occurredFollowing')</t>
  </si>
  <si>
    <t>.extension('http://hl7.org/fhir/StructureDefinition/condition-assertedDate')</t>
  </si>
  <si>
    <t>.extension('http://hl7.eu/fhir/ig/pcsp/StructureDefinition/condition-previousStatus').valueCodeableConcept OR Condition.where( clinicalStatus = #relapse or clinicalStatus = #recurrence).clinicalStatus</t>
  </si>
  <si>
    <t>.extension('http://hl7.eu/fhir/ig/pcsp/StructureDefinition/condition-relapseType').valueCodeableConcept</t>
  </si>
  <si>
    <t>Progression-Relapse after FLT
Maturity Level: 2 - Ready for Review</t>
  </si>
  <si>
    <t>RelapseAfterFLTPcsp</t>
  </si>
  <si>
    <t>canonical</t>
  </si>
  <si>
    <t>http://hl7.eu/fhir/ig/pcsp</t>
  </si>
  <si>
    <t>Treatment Summary</t>
  </si>
  <si>
    <t>Treatment Summary data model - Maturity Level: 2 - Ready for Review</t>
  </si>
  <si>
    <t>Publisher</t>
  </si>
  <si>
    <t>PanCareSurPass project</t>
  </si>
  <si>
    <t>TreatmentSummary</t>
  </si>
  <si>
    <t>PanCareSurPass Treatment Summary</t>
  </si>
  <si>
    <t>x</t>
  </si>
  <si>
    <t>subject</t>
  </si>
  <si>
    <t>Subject</t>
  </si>
  <si>
    <t>http://hl7.eu/fhir/ig/pcsp/StructureDefinition/Subject</t>
  </si>
  <si>
    <t>diagnosis</t>
  </si>
  <si>
    <t>BackboneElement</t>
  </si>
  <si>
    <t>diagnosis.details</t>
  </si>
  <si>
    <t>Details about this diagnosis</t>
  </si>
  <si>
    <t>http://hl7.eu/fhir/ig/pcsp/StructureDefinition/Diagnosis</t>
  </si>
  <si>
    <t>diagnosis.frontLineTreatment</t>
  </si>
  <si>
    <t>http://hl7.eu/fhir/ig/pcsp/StructureDefinition/FrontLineTreatment</t>
  </si>
  <si>
    <t>diagnosis.chemotherapy</t>
  </si>
  <si>
    <t>Chemotherapy</t>
  </si>
  <si>
    <t>http://hl7.eu/fhir/ig/pcsp/StructureDefinition/Chemotherapy</t>
  </si>
  <si>
    <t>diagnosis.stemCellTransplantation</t>
  </si>
  <si>
    <t>Stem Cell transplantation</t>
  </si>
  <si>
    <t>*</t>
  </si>
  <si>
    <t>http://hl7.eu/fhir/ig/pcsp/StructureDefinition/StemCellTransplantation</t>
  </si>
  <si>
    <t>diagnosis.radiotherapy</t>
  </si>
  <si>
    <t>Radiotherapy</t>
  </si>
  <si>
    <t>http://hl7.eu/fhir/ig/pcsp/StructureDefinition/Radiotherapy</t>
  </si>
  <si>
    <t>diagnosis.majorSurgery</t>
  </si>
  <si>
    <t>Major Surgery</t>
  </si>
  <si>
    <t>http://hl7.eu/fhir/ig/pcsp/StructureDefinition/MajorSurgery</t>
  </si>
  <si>
    <t>diagnosis.otherInfos</t>
  </si>
  <si>
    <t>http://hl7.eu/fhir/ig/pcsp/StructureDefinition/OtherInfos</t>
  </si>
  <si>
    <t>diagnosis.medicalSuggestion</t>
  </si>
  <si>
    <t>diagnosis.relapseDuringFLT</t>
  </si>
  <si>
    <t>Progression-Relapse during Front line treatment</t>
  </si>
  <si>
    <t>http://hl7.eu/fhir/ig/pcsp/StructureDefinition/RelapseDuringFLT</t>
  </si>
  <si>
    <t>diagnosis.relapseAfterEOT</t>
  </si>
  <si>
    <t>diagnosis.relapseAfterEOT.details</t>
  </si>
  <si>
    <t>Details  about this relapse-progression</t>
  </si>
  <si>
    <t>http://hl7.eu/fhir/ig/pcsp/StructureDefinition/RelapseAfterFLT</t>
  </si>
  <si>
    <t>diagnosis.relapseAfterEOT.frontLineTreatment</t>
  </si>
  <si>
    <t>Salvage treatment</t>
  </si>
  <si>
    <t>The salvage treatment has been executed following</t>
  </si>
  <si>
    <t>diagnosis.relapseAfterEOT.frontLineTreatment.notForRelapse</t>
  </si>
  <si>
    <t>Details not provided for relapses after EOT</t>
  </si>
  <si>
    <t>diagnosis.relapseAfterEOT.chemotherapy</t>
  </si>
  <si>
    <t>diagnosis.relapseAfterEOT.stemCellTransplantation</t>
  </si>
  <si>
    <t>diagnosis.relapseAfterEOT.radiotherapy</t>
  </si>
  <si>
    <t>diagnosis.relapseAfterEOT.majorSurgery</t>
  </si>
  <si>
    <t>diagnosis.relapseAfterEOT.otherInfos</t>
  </si>
  <si>
    <t>diagnosis.relapseAfterEOT.medicalSuggestion</t>
  </si>
  <si>
    <t>diagnosis.otherConditions</t>
  </si>
  <si>
    <t>Other medical conditions, not cancer associated</t>
  </si>
  <si>
    <t>cda</t>
  </si>
  <si>
    <t>//-------------------------------------------------------------------</t>
  </si>
  <si>
    <t>FHIR</t>
  </si>
  <si>
    <t>http://hl7.org/v3/cda</t>
  </si>
  <si>
    <t>Map1</t>
  </si>
  <si>
    <t>* differential.element[11].id = "Vaccination-new.administration.date"</t>
  </si>
  <si>
    <t>note</t>
  </si>
  <si>
    <t>diagnosis identifier</t>
  </si>
  <si>
    <t>dateOfDiagnosis</t>
  </si>
  <si>
    <t>Date of diagnosis</t>
  </si>
  <si>
    <t>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</si>
  <si>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centerOfDiagnosis</t>
  </si>
  <si>
    <t>Center of diagnosis</t>
  </si>
  <si>
    <t>Institution in which the diagnosis was made.</t>
  </si>
  <si>
    <t>centerOfDiagnosis.identifier</t>
  </si>
  <si>
    <t>Center code</t>
  </si>
  <si>
    <t>centerOfDiagnosis.name</t>
  </si>
  <si>
    <t>Center name</t>
  </si>
  <si>
    <t>centerOfDiagnosis.city</t>
  </si>
  <si>
    <t>Center city</t>
  </si>
  <si>
    <t>centerOfDiagnosis.country</t>
  </si>
  <si>
    <t>Center country</t>
  </si>
  <si>
    <t>primaryTreatmentCenter</t>
  </si>
  <si>
    <t>Primary treatment center</t>
  </si>
  <si>
    <t>primaryTreatmentCenter.name</t>
  </si>
  <si>
    <t>Primary treatment center name</t>
  </si>
  <si>
    <t>primaryTreatmentCenter.city</t>
  </si>
  <si>
    <t>Primary treatment center city</t>
  </si>
  <si>
    <t>primaryTreatmentCenter.country</t>
  </si>
  <si>
    <t>Primary treatment center country</t>
  </si>
  <si>
    <t>dateOfArrivalAtCenter</t>
  </si>
  <si>
    <t>dateTime</t>
  </si>
  <si>
    <t>diagnosticGroup</t>
  </si>
  <si>
    <t>Diagnostic Group. ICCC-3 Classification (Main and Extended classification tables)</t>
  </si>
  <si>
    <t>morphologyCode</t>
  </si>
  <si>
    <t>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t>
  </si>
  <si>
    <t>tumorBehaviour</t>
  </si>
  <si>
    <t>Tumour behaviour (ICD-O-3 type)</t>
  </si>
  <si>
    <t>Tumour behaviour. Automatically generated by the system for benign tumors</t>
  </si>
  <si>
    <t>description</t>
  </si>
  <si>
    <t>Diagnosis description</t>
  </si>
  <si>
    <t>Site</t>
  </si>
  <si>
    <t>Site of the tumor</t>
  </si>
  <si>
    <t>site.code</t>
  </si>
  <si>
    <t>Site(ICD-O-3 topography)</t>
  </si>
  <si>
    <t>Site . Report the site of the tumor using the ICD-O-3 Topography (an help tool is built into the system). If also ICD-O-3 Morphology data have been reported, the system will automatically define the tumor also according to ICCC-3 classic pediatric classification (see: Cancer category)</t>
  </si>
  <si>
    <t>site.description</t>
  </si>
  <si>
    <t>Site description</t>
  </si>
  <si>
    <t>Site description . Free text to report the site of the tumor</t>
  </si>
  <si>
    <t>laterality</t>
  </si>
  <si>
    <t>Laterality</t>
  </si>
  <si>
    <t>metastasis</t>
  </si>
  <si>
    <t>metastasis.identifier</t>
  </si>
  <si>
    <t>Metastasis id</t>
  </si>
  <si>
    <t>integer</t>
  </si>
  <si>
    <t>metastasis.site</t>
  </si>
  <si>
    <t>Metastasis site</t>
  </si>
  <si>
    <t>Please report here the site(s) of metastases detected at diagnosis.</t>
  </si>
  <si>
    <t>metastasis.site.code</t>
  </si>
  <si>
    <t>Metastasis site code</t>
  </si>
  <si>
    <t>Metastases detected at diagnosis (using ICD-O-3 Topography). If site(s) is unknown, code C80.9</t>
  </si>
  <si>
    <t>metastasis.site.description</t>
  </si>
  <si>
    <t>geneticMarkers</t>
  </si>
  <si>
    <t>Genetic markers(text)</t>
  </si>
  <si>
    <t>stage</t>
  </si>
  <si>
    <t>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</si>
  <si>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t>
  </si>
  <si>
    <t>Immunology</t>
  </si>
  <si>
    <t>Immunology . This is a free text field. Report here, if applicable (e.g. leukemias) the immunophenotype of the disease (sometimes already reported in the ICD-O-3 Morphology coding). If immunology is unknown, specify 'NK'</t>
  </si>
  <si>
    <t>hereditaryPredisposition</t>
  </si>
  <si>
    <t>Hereditary Cancer Predisposition</t>
  </si>
  <si>
    <t>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</si>
  <si>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notes</t>
  </si>
  <si>
    <t>Condition.conformsTo('http://hl7.eu/fhir/ig/pcsp/StructureDefinition/Condition-primaryCancer-eu-pcsp')</t>
  </si>
  <si>
    <t>.extension('condition-assertedDate').valueDateTime</t>
  </si>
  <si>
    <t>Observation.conformsTo('http://hl7.eu/fhir/ig/pcsp/StructureDefinition/Observation-diagnosis-eu-pcsp').performer</t>
  </si>
  <si>
    <t>Observation.performer.resolve().address.city</t>
  </si>
  <si>
    <t>Observation.performer.resolve().address.country</t>
  </si>
  <si>
    <t>Encounter.period.start</t>
  </si>
  <si>
    <t>Condition.code.coding</t>
  </si>
  <si>
    <t>Condition.extension('mcode-histology-morphology-behavior').valueCodeableConcept</t>
  </si>
  <si>
    <t>Condition.bodySite</t>
  </si>
  <si>
    <t>Condition.bodySite.coding</t>
  </si>
  <si>
    <t>Condition.bodySite.text</t>
  </si>
  <si>
    <t>Condition.bodySite.extension('mcode-laterality-qualifier').valueCodeableConcept</t>
  </si>
  <si>
    <t>Condition.conformsTo('http://hl7.eu/fhir/ig/pcsp/StructureDefinition/Condition-secondaryCancer-eu-pcsp')</t>
  </si>
  <si>
    <t>.bodySite.coding</t>
  </si>
  <si>
    <t>.bodySite.text</t>
  </si>
  <si>
    <t>Condition.evidence.where(code = http://snomed.info/sct#106221001 'Genetic finding')</t>
  </si>
  <si>
    <t>Condition.stage</t>
  </si>
  <si>
    <t>Condition.evidence.where(code = http://snomed.info/sct#365861007 'Finding of immune status')</t>
  </si>
  <si>
    <t>Condition.evidence.where(code = http://snomed.info/sct#32895009 'Hereditary disease')</t>
  </si>
  <si>
    <t>Condition.note</t>
  </si>
  <si>
    <t>Subject of care</t>
  </si>
  <si>
    <t>Subject of care
Maturity Level: 2 - Ready for Review</t>
  </si>
  <si>
    <t>name</t>
  </si>
  <si>
    <t>Subject Name</t>
  </si>
  <si>
    <t>name.lastname</t>
  </si>
  <si>
    <t>Lastname</t>
  </si>
  <si>
    <t>name.middleName</t>
  </si>
  <si>
    <t>Middlename</t>
  </si>
  <si>
    <t>name.firstName</t>
  </si>
  <si>
    <t>Firstname</t>
  </si>
  <si>
    <t>lastnameAtDiagnosis</t>
  </si>
  <si>
    <t>Lastname at diagnosis (if different from the actual one)</t>
  </si>
  <si>
    <t>gender</t>
  </si>
  <si>
    <t>dateOfBirth</t>
  </si>
  <si>
    <t>Date of birth</t>
  </si>
  <si>
    <t>placeOfBirth</t>
  </si>
  <si>
    <t>Place of birth</t>
  </si>
  <si>
    <t>Address</t>
  </si>
  <si>
    <t>contact</t>
  </si>
  <si>
    <t>Contact - receiver of the passport</t>
  </si>
  <si>
    <t>contact.email</t>
  </si>
  <si>
    <t>E-mail</t>
  </si>
  <si>
    <t>uri</t>
  </si>
  <si>
    <t>contact.mobile</t>
  </si>
  <si>
    <t>Mobile phone</t>
  </si>
  <si>
    <t>contact.relationship</t>
  </si>
  <si>
    <t>Relationship with the subject</t>
  </si>
  <si>
    <t>Patient</t>
  </si>
  <si>
    <t>Patient.identifier</t>
  </si>
  <si>
    <t>Patient.name</t>
  </si>
  <si>
    <t>Patient.name.given</t>
  </si>
  <si>
    <t>Patient.name.family</t>
  </si>
  <si>
    <t>Patient.gender</t>
  </si>
  <si>
    <t>Patient.birthDate</t>
  </si>
  <si>
    <t>Patient.extension(http://hl7.org/fhir/StructureDefinition/patient-birthPlace')</t>
  </si>
  <si>
    <t>DiagnosisPcsp</t>
  </si>
  <si>
    <t>pcsp-relAftFlt.fsh</t>
  </si>
  <si>
    <t>pcsp-diagnosis.fsh</t>
  </si>
  <si>
    <t>Observation.performer.resolve().name</t>
  </si>
  <si>
    <t>Observation.performer.display</t>
  </si>
  <si>
    <t>Observation.performer.resolve().identifier</t>
  </si>
  <si>
    <t>Observation.performer.identifier</t>
  </si>
  <si>
    <t>Patient.generalPractitioner</t>
  </si>
  <si>
    <t>Encounter.serviceProvider</t>
  </si>
  <si>
    <t>Patient.generalPractitioner.display</t>
  </si>
  <si>
    <t>Encounter.serviceProvider.resolve().name</t>
  </si>
  <si>
    <t>Encounter.serviceProvider.display</t>
  </si>
  <si>
    <t>Patient.generalPractitioner.resolve().name</t>
  </si>
  <si>
    <t>Patient.generalPractitioner.resolve().address.city</t>
  </si>
  <si>
    <t>Encounter.serviceProvider.resolve().address.city</t>
  </si>
  <si>
    <t>Encounter.serviceProvider.resolve().address.country</t>
  </si>
  <si>
    <t>Patient.generalPractitioner.resolve().address.country</t>
  </si>
  <si>
    <t>Condition.text</t>
  </si>
  <si>
    <t>Condition.code.text</t>
  </si>
  <si>
    <t>RelAfterFLT2Fhir</t>
  </si>
  <si>
    <t>Diagnosis2Fhir</t>
  </si>
  <si>
    <t>SubjectPcsp</t>
  </si>
  <si>
    <t>Patient.contact (if not the patient)</t>
  </si>
  <si>
    <t>DocumentManifest.recipient (if intended recipient)</t>
  </si>
  <si>
    <t>Patient.telecom (if the patient)</t>
  </si>
  <si>
    <t>Patient.contact.telecom (if not the patient)</t>
  </si>
  <si>
    <t>DocumentManifest.recipient.resolve().telecom (if intended recipient)</t>
  </si>
  <si>
    <t>DocumentManifest.recipient.resolve().relationship (if intended recipient - not patient)</t>
  </si>
  <si>
    <t>Patient.contact.relationship (if not the patient)</t>
  </si>
  <si>
    <t>N/A (if the patient)</t>
  </si>
  <si>
    <t>pcsp-subject.fsh</t>
  </si>
  <si>
    <t>Subject2Fhir</t>
  </si>
  <si>
    <t>Chemotherapy 
Maturity Level: 2 - Ready for Review</t>
  </si>
  <si>
    <t>Related Diagnosis</t>
  </si>
  <si>
    <t>Identifier of the diagnosis for which this chemotherapy is performed</t>
  </si>
  <si>
    <t>startDate</t>
  </si>
  <si>
    <t>Start date</t>
  </si>
  <si>
    <t>endDate</t>
  </si>
  <si>
    <t>End date</t>
  </si>
  <si>
    <t>istitutionOfTreatment</t>
  </si>
  <si>
    <t>Institution of treatment</t>
  </si>
  <si>
    <t>istitutionOfTreatment.description</t>
  </si>
  <si>
    <t>Institution description</t>
  </si>
  <si>
    <t>Please provide name, city and countryof the institution</t>
  </si>
  <si>
    <t>istitutionOfTreatment.name</t>
  </si>
  <si>
    <t>Institution name</t>
  </si>
  <si>
    <t>istitutionOfTreatment.address</t>
  </si>
  <si>
    <t>Institution address</t>
  </si>
  <si>
    <t>istitutionOfTreatment.address.name</t>
  </si>
  <si>
    <t>Institution city</t>
  </si>
  <si>
    <t>istitutionOfTreatment.address.country</t>
  </si>
  <si>
    <t>Institution country</t>
  </si>
  <si>
    <t>productAdministration</t>
  </si>
  <si>
    <t>Product(s) administartion data</t>
  </si>
  <si>
    <t>Information about the product(s) administered</t>
  </si>
  <si>
    <t>productAdministration.agent</t>
  </si>
  <si>
    <t>Antineoplastic and immunostimulating agents</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</si>
  <si>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</si>
  <si>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productAdministration.dose</t>
  </si>
  <si>
    <t>Dose (NOT in PCSP DB)</t>
  </si>
  <si>
    <t>Dose received of each drug for this administration</t>
  </si>
  <si>
    <t>Quantity</t>
  </si>
  <si>
    <t>productAdministration.cumulativeDose</t>
  </si>
  <si>
    <t>Cumulative Dose</t>
  </si>
  <si>
    <t xml:space="preserve">Report the total cumulative dose received of each drug. </t>
  </si>
  <si>
    <t>productAdministration.cumulativeDose.notAvailable</t>
  </si>
  <si>
    <t>Not calculated or not known dose</t>
  </si>
  <si>
    <t>Flag indicating if the dose was not calculated or it was not known</t>
  </si>
  <si>
    <t>productAdministration.cumulativeDose.measureType</t>
  </si>
  <si>
    <t>How the dose was determined (estimation or calculation)</t>
  </si>
  <si>
    <t>Specify if the cumulative dose reported has been all calculated on real data or  estimated based on the expected dose prescribed by the protocol.  If some part of the calculation was based on estimated values, the whole field should be 'estimated'</t>
  </si>
  <si>
    <t>productAdministration.cumulativeDose.completionStatus</t>
  </si>
  <si>
    <t>productAdministration.cumulativeDose.statusReason</t>
  </si>
  <si>
    <t>productAdministration.cumulativeDose.value</t>
  </si>
  <si>
    <t>Total cumulative dose</t>
  </si>
  <si>
    <t>Report the total cumulative dose received of each drug.</t>
  </si>
  <si>
    <t>decimal</t>
  </si>
  <si>
    <t>productAdministration.cumulativeDose.unit</t>
  </si>
  <si>
    <t>If the dose was calculated, please report the measure unit of the calculation
1 =&gt; mg/m2
2 =&gt; gr/m2
3 =&gt; UI/m2
4 =&gt; NK
5 =&gt; NC (not calculated)</t>
  </si>
  <si>
    <t>corticosteroids</t>
  </si>
  <si>
    <t>Report 'yes' if the survivor was treated with steroids for at least 4 weeks continuously
1 =&gt; Yes
2 =&gt; No
-9922 =&gt; NK</t>
  </si>
  <si>
    <t>intrathecalInjections</t>
  </si>
  <si>
    <t>Intrathecal injections</t>
  </si>
  <si>
    <t>intrathecalInjections.status</t>
  </si>
  <si>
    <t>Did the survivor receive therapeutic intrathecal injections ?</t>
  </si>
  <si>
    <t>Please state if the survivor received any therapeutic intrathecal injections
1 =&gt; Yes
2 =&gt; No
-9922 =&gt; NK</t>
  </si>
  <si>
    <t>intrathecalInjections.number</t>
  </si>
  <si>
    <t>Total number</t>
  </si>
  <si>
    <t>intrathecalInjections.productName</t>
  </si>
  <si>
    <t>Drug(s) administered</t>
  </si>
  <si>
    <t>otherTreatments</t>
  </si>
  <si>
    <t>Other chemothrapeutic treatments</t>
  </si>
  <si>
    <t>otherTreatments.productName</t>
  </si>
  <si>
    <t>MedicationAdministration.conformsTo('http://hl7.eu/fhir/ig/pcsp/StructureDefinition/MedicationAdministration-eu-pcsp')</t>
  </si>
  <si>
    <t>.reasonReference</t>
  </si>
  <si>
    <t>.effectivePeriod.start</t>
  </si>
  <si>
    <t>.effectivePeriod.end</t>
  </si>
  <si>
    <t>.extension(http://hl7.eu/fhir/ig/pcsp/StructureDefinition/ActLocation-eu-pcsp).conformsTo(http://hl7.eu/fhir/ig/pcsp/StructureDefinition/Location-eu-pcsp)</t>
  </si>
  <si>
    <t>Location.description</t>
  </si>
  <si>
    <t>Location.name</t>
  </si>
  <si>
    <t>Location.address.city</t>
  </si>
  <si>
    <t>Location.address.country</t>
  </si>
  <si>
    <t>.medication[x]</t>
  </si>
  <si>
    <t>.medicationCodeableConcept</t>
  </si>
  <si>
    <t>.dosage.dose</t>
  </si>
  <si>
    <t>.extension(http://hl7.eu/fhir/ig/pcsp/StructureDefinition/ResourceRelatedInfo-eu-pcsp).conformsTo(http://hl7.eu/fhir/ig/pcsp/StructureDefinition/Observation-cumulativeDoseChemo-eu-pcsp)</t>
  </si>
  <si>
    <t>.valueCodeableConcept = http://terminology.hl7.org/CodeSystem/data-absent-reason#unknown</t>
  </si>
  <si>
    <t>.dataAbsentReason</t>
  </si>
  <si>
    <t>.method</t>
  </si>
  <si>
    <t>.status = #preliminary</t>
  </si>
  <si>
    <t>.extension('http://hl7.org/fhir/StructureDefinition/event-statusReason')</t>
  </si>
  <si>
    <t>.valueQuantity.value</t>
  </si>
  <si>
    <t>.valueQuantity.unit (human readeable)</t>
  </si>
  <si>
    <t>.valueQuantity.code (code)</t>
  </si>
  <si>
    <t>MedicationStatement.where(medicationCodeableConcept = 'http://www.whocc.no/atc|H02' and dosage.timing.repeat.boundsDuration.where( value='4' and code = 'w' and comparator ='&gt;' )</t>
  </si>
  <si>
    <t>MedicationStatement.where(dosage.route = https://standardterms.edqm.eu|20042000)</t>
  </si>
  <si>
    <t>.exists()</t>
  </si>
  <si>
    <t>.dosage.timing.repeat.count</t>
  </si>
  <si>
    <t>.count()</t>
  </si>
  <si>
    <t>.medicationCodeableConcept.text</t>
  </si>
  <si>
    <t>MedicationStatement</t>
  </si>
  <si>
    <t>Radiotherapy
Maturity Level: 2 - Ready for Review</t>
  </si>
  <si>
    <t>binding</t>
  </si>
  <si>
    <t>Identifier of the diagnosis for which this radiotherapy is performed</t>
  </si>
  <si>
    <t>relatedRelapse</t>
  </si>
  <si>
    <t>Related relapse/progression (after FLT)</t>
  </si>
  <si>
    <t>Identifier of the relapse/progression (after FLT) for which this radiotherapy is performed</t>
  </si>
  <si>
    <t>Identifier of the radotherapy episode</t>
  </si>
  <si>
    <t>enddate</t>
  </si>
  <si>
    <t>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t>
  </si>
  <si>
    <t>deviceType</t>
  </si>
  <si>
    <t>type of machine (If external beam)</t>
  </si>
  <si>
    <t xml:space="preserve">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t>
  </si>
  <si>
    <t>brachytherapyType</t>
  </si>
  <si>
    <t>type of brachytherapy (if brachytherapy)</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</si>
  <si>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t>
  </si>
  <si>
    <t>isotopes</t>
  </si>
  <si>
    <t>Radioactive materials (if brachytherapy)</t>
  </si>
  <si>
    <t>Specify the radioactive material (isotopes) used: If not listed, select 'Other then specify'
1 =&gt; Iridium (Ir)
2 =&gt; Gold (Au)
3 =&gt; Iodine (I)
4 =&gt; Caesium (Cs)
5 =&gt; Other
-9922 =&gt; Unknown</t>
  </si>
  <si>
    <t>radionuclides</t>
  </si>
  <si>
    <t>radionuclides (required If metabolic/radionuclide)</t>
  </si>
  <si>
    <t>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t>
  </si>
  <si>
    <t>numberOfCourses</t>
  </si>
  <si>
    <t>Number of courses  (If metabolic/radionuclide)</t>
  </si>
  <si>
    <t>target</t>
  </si>
  <si>
    <t xml:space="preserve">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t>
  </si>
  <si>
    <t>target.site</t>
  </si>
  <si>
    <t>Body Site Code</t>
  </si>
  <si>
    <t xml:space="preserve">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t>
  </si>
  <si>
    <t>http://hl7.eu/fhir/ig/pcsp/ValueSet/vs-radiotherapy-pcsp</t>
  </si>
  <si>
    <t>required</t>
  </si>
  <si>
    <t>target.laterality</t>
  </si>
  <si>
    <t>Report laterality of the radiation.
 R = right,
 L = left,
 B = bilateral</t>
  </si>
  <si>
    <t>target.details</t>
  </si>
  <si>
    <t>target.from</t>
  </si>
  <si>
    <t>Start point</t>
  </si>
  <si>
    <t>target.to</t>
  </si>
  <si>
    <t>End point</t>
  </si>
  <si>
    <t>target.position</t>
  </si>
  <si>
    <t>Specify whether the radiation was anterior or posterior. 
1 =&gt; Anterior
2 =&gt; Posterior
-9922 = NK</t>
  </si>
  <si>
    <t>target.totalDose</t>
  </si>
  <si>
    <t>Total dose</t>
  </si>
  <si>
    <t>Specify the total dose given to the primary radiation therapy site.
If the dose is not known, write NK.</t>
  </si>
  <si>
    <t>target.totalDose.completionStatus</t>
  </si>
  <si>
    <t>target.totalDose.statusReason</t>
  </si>
  <si>
    <t>target.totalDose.notKnown</t>
  </si>
  <si>
    <t>Not known dose</t>
  </si>
  <si>
    <t>target.totalDose.dose</t>
  </si>
  <si>
    <t>Dose</t>
  </si>
  <si>
    <t>Specify the total dose given to the primary radiation therapy site.</t>
  </si>
  <si>
    <t>target.totalDose.unit</t>
  </si>
  <si>
    <t>External Beam Radiation Therapy (EBRT) and Brachytherapy doses are in Gy. If doses are reported in cGY, roughly two zeroes need to be deleted (e.g. 100 cGy = 1 Gy).
specify if dose is recorded in bequerels (MBq or GBq) or curies (Ci) or Unkwnon</t>
  </si>
  <si>
    <t>target.totalDose.fractions</t>
  </si>
  <si>
    <t>Number of fractions (if  external beam)</t>
  </si>
  <si>
    <t>A FRACTION of radiation treatment is a single attendance for treatment; if 'not known' insert NK</t>
  </si>
  <si>
    <t>target.boost</t>
  </si>
  <si>
    <t>A boost is an extra dose of radiotherapy directed to a smaller area inside the primary radiation field. (only if type is External Beam)</t>
  </si>
  <si>
    <t>target.boost.type</t>
  </si>
  <si>
    <t>Type of Boost</t>
  </si>
  <si>
    <t>Specify radiation type of the boost.
1 =&gt; External Beam
2 =&gt; Brachytherapy
-9922 =&gt; NK  </t>
  </si>
  <si>
    <t>target.boost.given</t>
  </si>
  <si>
    <t>Boost given</t>
  </si>
  <si>
    <t>Flag indicating if a boost was given, not given or unknown</t>
  </si>
  <si>
    <t>target.boost.site</t>
  </si>
  <si>
    <t>Boost site</t>
  </si>
  <si>
    <t>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t>
  </si>
  <si>
    <t>target.boost.laterality</t>
  </si>
  <si>
    <t>target.boost.details</t>
  </si>
  <si>
    <t>target.boost.from</t>
  </si>
  <si>
    <t>target.boost.to</t>
  </si>
  <si>
    <t>target.boost.position</t>
  </si>
  <si>
    <t>target.boost.totalDose</t>
  </si>
  <si>
    <t>Specify the total dose given to the boost site.</t>
  </si>
  <si>
    <t>target.boost.totalDose.completionStatus</t>
  </si>
  <si>
    <t>target.boost.totalDose.statusReason</t>
  </si>
  <si>
    <t>target.boost.totalDose.notKnown</t>
  </si>
  <si>
    <t>target.boost.totalDose.dose</t>
  </si>
  <si>
    <t>target.boost.totalDose.unit</t>
  </si>
  <si>
    <t>Unit</t>
  </si>
  <si>
    <t>Specify the unit of the boost in case of external beam radiotherapy as  Gy. 
specify if dose is recorded in bequerels (MBq or GBq) or curies (Ci) or Unkwnon</t>
  </si>
  <si>
    <t>target.boost.totalDose.fractions</t>
  </si>
  <si>
    <t>target.shielding</t>
  </si>
  <si>
    <t xml:space="preserve">Shielding, in some records this is called “blocking” or “blocks”. </t>
  </si>
  <si>
    <t>target.shielding.status</t>
  </si>
  <si>
    <t>Shielding status</t>
  </si>
  <si>
    <t>Specify if shielding was used or not. 
Yes;  No;  NK  </t>
  </si>
  <si>
    <t>target.shielding.position</t>
  </si>
  <si>
    <t>target.site.notes</t>
  </si>
  <si>
    <t>organAtRisk</t>
  </si>
  <si>
    <t>Organ at Risk</t>
  </si>
  <si>
    <t>Organs at Risk</t>
  </si>
  <si>
    <t>organAtRisk.dosimetry</t>
  </si>
  <si>
    <t>Specify if there is available information on Dosimetry of Organs at Risk [Yes/No]</t>
  </si>
  <si>
    <t>organAtRisk.dosimetryDocument</t>
  </si>
  <si>
    <t>Electronic / scanned version(s) of relevant document(s)</t>
  </si>
  <si>
    <t>Binary</t>
  </si>
  <si>
    <t>files</t>
  </si>
  <si>
    <t>Upload radiotherapy file (1)</t>
  </si>
  <si>
    <t>Procedure.conformsTo('http://hl7.eu/fhir/ig/pcsp/StructureDefinition/Procedure-radiotheraphy-eu-pcsp')</t>
  </si>
  <si>
    <t>.location.resolve().conformsTo(http://hl7.eu/fhir/ig/pcsp/StructureDefinition/Location-eu-pcsp)</t>
  </si>
  <si>
    <t>.performedPeriod.start</t>
  </si>
  <si>
    <t>.performedPeriod.end</t>
  </si>
  <si>
    <t>.code</t>
  </si>
  <si>
    <t>.usedCode</t>
  </si>
  <si>
    <t>.extension('http://hl7.org/fhir/StructureDefinition/procedure-method').valueCodeableConcept</t>
  </si>
  <si>
    <t>.extension('http://hl7.eu/fhir/ig/pcsp/StructureDefinition/radiotherapy-energy-or-isotope').valueCodeableConcept</t>
  </si>
  <si>
    <t>.extension(http://hl7.eu/fhir/ig/pcsp/StructureDefinition/procedure-performedTiming).valueTiming.repeat.count</t>
  </si>
  <si>
    <t>.extension(http://hl7.eu/fhir/ig/pcsp/StructureDefinition/ResourceRelatedInfo-eu-pcsp).resolve().conformsTo(http://hl7.eu/fhir/ig/pcsp/StructureDefinition/Observation-cumulativeDoseRad-eu-pcsp)</t>
  </si>
  <si>
    <t>.extension(http://hl7.eu/fhir/ig/pcsp/StructureDefinition/mcode-laterality-qualifier).valueCodeableConcept</t>
  </si>
  <si>
    <t>.text</t>
  </si>
  <si>
    <t>.bodySite.where(extension('mcode-body-location-qualifier').valueCodeableConcept = http://snomed.info/sct#272488003 'From-structure')</t>
  </si>
  <si>
    <t>.bodySite.where(extension('mcode-body-location-qualifier').valueCodeableConcept = http://hl7.eu/fhir/ig/pcsp/CodeSystem/cs-generic-eu-pcsp#to-structure 'To-structure')</t>
  </si>
  <si>
    <t>.extension('http://hl7.org/fhir/us/mcode/StructureDefinition/mcode-body-location-qualifier').valueCodeableConcept</t>
  </si>
  <si>
    <t>.valueQuantity.code</t>
  </si>
  <si>
    <t>Procedure.conformsTo('http://hl7.eu/fhir/ig/pcsp/StructureDefinition/Procedure-radiotheraphyBoost-eu-pcsp')</t>
  </si>
  <si>
    <t>.partOf.resolve().code</t>
  </si>
  <si>
    <t>.status</t>
  </si>
  <si>
    <t>.extension(http://hl7.eu/fhir/ig/pcsp/StructureDefinition/ResourceRelatedInfo-eu-pcsp).resolve().conformsTo(http://hl7.eu/fhir/ig/pcsp/StructureDefinition/Observation-cumulativeDoseRad-eu-pcsp).bodySite</t>
  </si>
  <si>
    <t>.note</t>
  </si>
  <si>
    <t>.bodySite.where(extension(http://hl7.org/fhir/us/mcode/StructureDefinition/mcode-body-location-qualifier).valueCodeableConcept = http://snomed.info/sct#272488003 'From-structure')</t>
  </si>
  <si>
    <t>.bodySite.where(extension(http://hl7.org/fhir/us/mcode/StructureDefinition/mcode-body-location-qualifier).valueCodeableConcept = http://hl7.eu/fhir/ig/pcsp/CodeSystem/cs-generic-eu-pcsp#to-structure 'To-structure')</t>
  </si>
  <si>
    <t>.extension(http://hl7.org/fhir/us/mcode/StructureDefinition/mcode-body-location-qualifier).valueCodeableConcept</t>
  </si>
  <si>
    <t>Procedure.conformsTo('http://hl7.eu/fhir/ig/pcsp/StructureDefinition/Procedure-radiotheraphyShield-eu-pcsp')</t>
  </si>
  <si>
    <t>.extension(http://hl7.org/fhir/StructureDefinition/workflow-supportingInfo).ofType(DocumentReference)</t>
  </si>
  <si>
    <t>.</t>
  </si>
  <si>
    <t>ChemotherapyPcsp</t>
  </si>
  <si>
    <t>Chemo2Fhir</t>
  </si>
  <si>
    <t>pcsp-chemo.fsh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</si>
</sst>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0"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sz val="11"/>
      <color rgb="FF000000"/>
      <name val="Calibri"/>
      <family val="2"/>
    </font>
    <font>
      <sz val="14"/>
      <color theme="1"/>
      <name val="Calibri"/>
      <family val="2"/>
      <scheme val="minor"/>
    </font>
    <font>
      <sz val="14"/>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4"/>
      <name val="Calibri"/>
      <family val="2"/>
      <scheme val="minor"/>
    </font>
    <font>
      <b/>
      <sz val="14"/>
      <color rgb="FFFF0000"/>
      <name val="Calibri"/>
      <family val="2"/>
      <scheme val="minor"/>
    </font>
    <font>
      <sz val="14"/>
      <color rgb="FFFF0000"/>
      <name val="Calibri"/>
      <family val="2"/>
      <scheme val="minor"/>
    </font>
    <font>
      <b/>
      <sz val="14"/>
      <color theme="1"/>
      <name val="Calibri"/>
      <family val="2"/>
      <scheme val="minor"/>
    </font>
    <font>
      <sz val="11"/>
      <color rgb="FF00B0F0"/>
      <name val="Calibri"/>
      <family val="2"/>
      <scheme val="minor"/>
    </font>
    <font>
      <sz val="11"/>
      <color rgb="FF00B050"/>
      <name val="Calibri"/>
      <family val="2"/>
      <scheme val="minor"/>
    </font>
    <font>
      <sz val="14"/>
      <color rgb="FF000000"/>
      <name val="Calibri"/>
      <family val="2"/>
      <scheme val="minor"/>
    </font>
    <font>
      <strike/>
      <sz val="14"/>
      <name val="Calibri"/>
      <family val="2"/>
      <scheme val="minor"/>
    </font>
    <font>
      <sz val="11"/>
      <color rgb="FF000000"/>
      <name val="Calibri"/>
      <family val="2"/>
      <scheme val="minor"/>
    </font>
    <font>
      <b/>
      <sz val="10"/>
      <color theme="1"/>
      <name val="Calibri"/>
      <family val="2"/>
      <scheme val="minor"/>
    </font>
    <font>
      <sz val="11"/>
      <name val="Calibri"/>
      <family val="2"/>
      <scheme val="minor"/>
    </font>
    <font>
      <sz val="10"/>
      <name val="Calibri"/>
      <family val="2"/>
      <scheme val="minor"/>
    </font>
    <font>
      <sz val="10"/>
      <color theme="1"/>
      <name val="Calibri"/>
      <family val="2"/>
      <scheme val="minor"/>
    </font>
    <font>
      <b/>
      <sz val="12"/>
      <color theme="0"/>
      <name val="Calibri"/>
      <family val="2"/>
      <scheme val="minor"/>
    </font>
    <font>
      <sz val="11"/>
      <color rgb="FFFF0000"/>
      <name val="Calibri"/>
      <family val="2"/>
      <scheme val="minor"/>
    </font>
    <font>
      <sz val="9"/>
      <color rgb="FFFF0000"/>
      <name val="Calibri"/>
      <family val="2"/>
      <scheme val="minor"/>
    </font>
    <font>
      <sz val="8"/>
      <color rgb="FFFF0000"/>
      <name val="Calibri"/>
      <family val="2"/>
      <scheme val="minor"/>
    </font>
    <font>
      <u/>
      <sz val="9"/>
      <color rgb="FFFF0000"/>
      <name val="Calibri"/>
      <family val="2"/>
      <scheme val="minor"/>
    </font>
  </fonts>
  <fills count="19">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rgb="FF92D050"/>
        <bgColor indexed="64"/>
      </patternFill>
    </fill>
    <fill>
      <patternFill patternType="solid">
        <fgColor theme="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5"/>
      </patternFill>
    </fill>
    <fill>
      <patternFill patternType="solid">
        <fgColor theme="7" tint="0.39997558519241921"/>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2" tint="-9.9978637043366805E-2"/>
        <bgColor indexed="64"/>
      </patternFill>
    </fill>
  </fills>
  <borders count="28">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4">
    <xf numFmtId="0" fontId="0" fillId="0" borderId="0"/>
    <xf numFmtId="0" fontId="2" fillId="0" borderId="0" applyNumberFormat="0" applyFill="0" applyBorder="0" applyAlignment="0" applyProtection="0"/>
    <xf numFmtId="0" fontId="9" fillId="11" borderId="0" applyNumberFormat="0" applyBorder="0" applyAlignment="0" applyProtection="0"/>
    <xf numFmtId="0" fontId="9" fillId="14" borderId="0" applyNumberFormat="0" applyBorder="0" applyAlignment="0" applyProtection="0"/>
  </cellStyleXfs>
  <cellXfs count="155">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2"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Fill="1" applyBorder="1"/>
    <xf numFmtId="0" fontId="0" fillId="0" borderId="0" xfId="0"/>
    <xf numFmtId="0" fontId="0" fillId="0" borderId="1" xfId="0" applyBorder="1"/>
    <xf numFmtId="0" fontId="3" fillId="0" borderId="0" xfId="0" applyFont="1"/>
    <xf numFmtId="0" fontId="2" fillId="0" borderId="9" xfId="1" applyBorder="1"/>
    <xf numFmtId="0" fontId="0" fillId="6" borderId="1" xfId="0" applyFill="1" applyBorder="1"/>
    <xf numFmtId="0" fontId="4" fillId="2" borderId="0" xfId="0" applyFont="1" applyFill="1" applyAlignment="1">
      <alignment horizontal="center" vertical="top" wrapText="1"/>
    </xf>
    <xf numFmtId="0" fontId="7" fillId="0" borderId="1" xfId="0" applyFont="1" applyBorder="1" applyAlignment="1">
      <alignment horizontal="left" vertical="top" wrapText="1"/>
    </xf>
    <xf numFmtId="0" fontId="6" fillId="0" borderId="1" xfId="0" applyFont="1" applyBorder="1" applyAlignment="1">
      <alignment horizontal="left" vertical="top" wrapText="1"/>
    </xf>
    <xf numFmtId="0" fontId="7" fillId="0" borderId="2" xfId="0" applyFont="1" applyBorder="1" applyAlignment="1">
      <alignment horizontal="left" vertical="top" wrapText="1"/>
    </xf>
    <xf numFmtId="0" fontId="1" fillId="8" borderId="5" xfId="0" applyFont="1" applyFill="1" applyBorder="1"/>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0" fillId="0" borderId="0" xfId="0" applyBorder="1"/>
    <xf numFmtId="0" fontId="0" fillId="5" borderId="1" xfId="0" applyFill="1" applyBorder="1" applyAlignment="1">
      <alignment wrapText="1"/>
    </xf>
    <xf numFmtId="0" fontId="0" fillId="0" borderId="9" xfId="0" applyBorder="1" applyAlignment="1">
      <alignment wrapText="1"/>
    </xf>
    <xf numFmtId="0" fontId="0" fillId="6" borderId="1" xfId="0" applyFill="1" applyBorder="1" applyAlignment="1">
      <alignment wrapText="1"/>
    </xf>
    <xf numFmtId="0" fontId="0" fillId="0" borderId="10" xfId="0" applyBorder="1"/>
    <xf numFmtId="0" fontId="1" fillId="0" borderId="7" xfId="0" applyFont="1" applyFill="1" applyBorder="1"/>
    <xf numFmtId="0" fontId="1" fillId="0" borderId="7" xfId="0" applyFont="1" applyBorder="1"/>
    <xf numFmtId="0" fontId="1" fillId="0" borderId="12" xfId="0" applyFont="1" applyBorder="1"/>
    <xf numFmtId="0" fontId="3" fillId="0" borderId="0" xfId="0" applyFont="1" applyAlignment="1">
      <alignment wrapText="1"/>
    </xf>
    <xf numFmtId="0" fontId="0" fillId="0" borderId="14" xfId="0" applyBorder="1"/>
    <xf numFmtId="0" fontId="9" fillId="11" borderId="15" xfId="2" applyBorder="1" applyAlignment="1">
      <alignment wrapText="1"/>
    </xf>
    <xf numFmtId="0" fontId="1" fillId="0" borderId="1" xfId="0" applyFont="1" applyBorder="1" applyAlignment="1">
      <alignment wrapText="1"/>
    </xf>
    <xf numFmtId="0" fontId="10" fillId="0" borderId="1" xfId="0" applyFont="1" applyBorder="1" applyAlignment="1">
      <alignment wrapText="1"/>
    </xf>
    <xf numFmtId="0" fontId="1" fillId="8"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9" fillId="11" borderId="0" xfId="2" applyBorder="1" applyAlignment="1">
      <alignment wrapText="1"/>
    </xf>
    <xf numFmtId="0" fontId="11" fillId="11" borderId="15" xfId="2" applyFont="1" applyBorder="1" applyAlignment="1">
      <alignment wrapText="1"/>
    </xf>
    <xf numFmtId="0" fontId="11" fillId="11" borderId="0" xfId="2" applyFont="1" applyBorder="1" applyAlignment="1">
      <alignment wrapText="1"/>
    </xf>
    <xf numFmtId="0" fontId="0" fillId="0" borderId="1" xfId="0" applyFont="1" applyBorder="1" applyAlignment="1">
      <alignment wrapText="1"/>
    </xf>
    <xf numFmtId="0" fontId="3" fillId="0" borderId="11" xfId="0" applyFont="1" applyFill="1" applyBorder="1"/>
    <xf numFmtId="0" fontId="6" fillId="0" borderId="0" xfId="0" applyFont="1" applyAlignment="1">
      <alignment horizontal="left" vertical="top"/>
    </xf>
    <xf numFmtId="0" fontId="6" fillId="9" borderId="0" xfId="0" applyFont="1" applyFill="1" applyAlignment="1">
      <alignment horizontal="left" vertical="top" wrapText="1"/>
    </xf>
    <xf numFmtId="0" fontId="12" fillId="12" borderId="1" xfId="0" applyFont="1" applyFill="1" applyBorder="1" applyAlignment="1">
      <alignment horizontal="left" vertical="top" wrapText="1"/>
    </xf>
    <xf numFmtId="0" fontId="6" fillId="0" borderId="6" xfId="0" applyFont="1" applyBorder="1" applyAlignment="1">
      <alignment horizontal="left" vertical="top" wrapText="1"/>
    </xf>
    <xf numFmtId="0" fontId="12" fillId="13" borderId="10" xfId="0" applyFont="1" applyFill="1" applyBorder="1" applyAlignment="1">
      <alignment horizontal="left" vertical="top" wrapText="1"/>
    </xf>
    <xf numFmtId="0" fontId="12" fillId="13" borderId="1" xfId="0" applyFont="1" applyFill="1" applyBorder="1" applyAlignment="1">
      <alignment horizontal="left" vertical="top" wrapText="1"/>
    </xf>
    <xf numFmtId="0" fontId="7" fillId="13" borderId="1" xfId="0" applyFont="1" applyFill="1" applyBorder="1" applyAlignment="1">
      <alignment horizontal="left" vertical="top" wrapText="1"/>
    </xf>
    <xf numFmtId="0" fontId="6" fillId="0" borderId="11" xfId="0" applyFont="1" applyBorder="1" applyAlignment="1">
      <alignment horizontal="left" vertical="top" wrapText="1"/>
    </xf>
    <xf numFmtId="0" fontId="7" fillId="0" borderId="10" xfId="0" applyFont="1" applyBorder="1" applyAlignment="1">
      <alignment horizontal="left" vertical="top" wrapText="1"/>
    </xf>
    <xf numFmtId="0" fontId="6" fillId="0" borderId="1" xfId="0" applyFont="1" applyBorder="1" applyAlignment="1">
      <alignment horizontal="left" vertical="top"/>
    </xf>
    <xf numFmtId="0" fontId="6" fillId="0" borderId="10" xfId="0" applyFont="1" applyBorder="1" applyAlignment="1">
      <alignment horizontal="left" vertical="top" wrapText="1"/>
    </xf>
    <xf numFmtId="0" fontId="7" fillId="3" borderId="1" xfId="0" applyFont="1" applyFill="1" applyBorder="1" applyAlignment="1">
      <alignment horizontal="left" vertical="top" wrapText="1"/>
    </xf>
    <xf numFmtId="0" fontId="15" fillId="13" borderId="1" xfId="0" applyFont="1" applyFill="1" applyBorder="1" applyAlignment="1">
      <alignment horizontal="left" vertical="top" wrapText="1"/>
    </xf>
    <xf numFmtId="0" fontId="6" fillId="6" borderId="11" xfId="0" applyFont="1" applyFill="1" applyBorder="1" applyAlignment="1">
      <alignment horizontal="left" vertical="top" wrapText="1"/>
    </xf>
    <xf numFmtId="0" fontId="6" fillId="6" borderId="0" xfId="0" applyFont="1" applyFill="1" applyAlignment="1">
      <alignment horizontal="left" vertical="top"/>
    </xf>
    <xf numFmtId="0" fontId="6" fillId="0" borderId="2" xfId="0" applyFont="1" applyBorder="1" applyAlignment="1">
      <alignment horizontal="left" vertical="top"/>
    </xf>
    <xf numFmtId="0" fontId="7" fillId="0" borderId="11" xfId="0" applyFont="1" applyBorder="1" applyAlignment="1">
      <alignment horizontal="left" vertical="top" wrapText="1"/>
    </xf>
    <xf numFmtId="0" fontId="7" fillId="0" borderId="1" xfId="0" applyFont="1" applyBorder="1" applyAlignment="1">
      <alignment horizontal="left" vertical="top"/>
    </xf>
    <xf numFmtId="0" fontId="7" fillId="0" borderId="0" xfId="0" applyFont="1" applyAlignment="1">
      <alignment horizontal="left" vertical="top"/>
    </xf>
    <xf numFmtId="49" fontId="7" fillId="0" borderId="1" xfId="0" applyNumberFormat="1" applyFont="1" applyBorder="1" applyAlignment="1">
      <alignment horizontal="left" vertical="top" wrapText="1"/>
    </xf>
    <xf numFmtId="0" fontId="6" fillId="9" borderId="11" xfId="0" applyFont="1" applyFill="1" applyBorder="1" applyAlignment="1">
      <alignment horizontal="left" vertical="top" wrapText="1"/>
    </xf>
    <xf numFmtId="49" fontId="7" fillId="0" borderId="10" xfId="0" applyNumberFormat="1" applyFont="1" applyBorder="1" applyAlignment="1">
      <alignment horizontal="left" vertical="top" wrapText="1"/>
    </xf>
    <xf numFmtId="0" fontId="6" fillId="0" borderId="13" xfId="0" applyFont="1" applyBorder="1" applyAlignment="1">
      <alignment horizontal="left" vertical="top" wrapText="1"/>
    </xf>
    <xf numFmtId="0" fontId="15" fillId="13" borderId="1" xfId="0" applyFont="1" applyFill="1" applyBorder="1" applyAlignment="1">
      <alignment horizontal="left" vertical="top"/>
    </xf>
    <xf numFmtId="0" fontId="6" fillId="13" borderId="1" xfId="0" applyFont="1" applyFill="1" applyBorder="1" applyAlignment="1">
      <alignment horizontal="left" vertical="top"/>
    </xf>
    <xf numFmtId="0" fontId="7" fillId="13" borderId="1" xfId="0" applyFont="1" applyFill="1" applyBorder="1" applyAlignment="1">
      <alignment horizontal="left" vertical="top"/>
    </xf>
    <xf numFmtId="0" fontId="6" fillId="13" borderId="1" xfId="0" applyFont="1" applyFill="1" applyBorder="1" applyAlignment="1">
      <alignment horizontal="left" vertical="top" wrapText="1"/>
    </xf>
    <xf numFmtId="0" fontId="6" fillId="0" borderId="5" xfId="0" applyFont="1" applyBorder="1" applyAlignment="1">
      <alignment horizontal="left" vertical="top"/>
    </xf>
    <xf numFmtId="0" fontId="6" fillId="9" borderId="6" xfId="0" applyFont="1" applyFill="1" applyBorder="1" applyAlignment="1">
      <alignment horizontal="left" vertical="top" wrapText="1"/>
    </xf>
    <xf numFmtId="0" fontId="6" fillId="0" borderId="7" xfId="0" applyFont="1" applyBorder="1" applyAlignment="1">
      <alignment horizontal="left" vertical="top"/>
    </xf>
    <xf numFmtId="0" fontId="6" fillId="0" borderId="12" xfId="0" applyFont="1" applyBorder="1" applyAlignment="1">
      <alignment horizontal="left" vertical="top"/>
    </xf>
    <xf numFmtId="0" fontId="6" fillId="0" borderId="0" xfId="0" applyFont="1" applyAlignment="1">
      <alignment horizontal="left" vertical="top" wrapText="1"/>
    </xf>
    <xf numFmtId="0" fontId="6" fillId="0" borderId="2" xfId="0" applyFont="1" applyBorder="1" applyAlignment="1">
      <alignment horizontal="left" vertical="top" wrapText="1"/>
    </xf>
    <xf numFmtId="0" fontId="7" fillId="0" borderId="7" xfId="0" applyFont="1" applyBorder="1" applyAlignment="1">
      <alignment horizontal="left" vertical="top"/>
    </xf>
    <xf numFmtId="0" fontId="7" fillId="0" borderId="0" xfId="0" applyFont="1" applyAlignment="1">
      <alignment horizontal="left" vertical="top" wrapText="1"/>
    </xf>
    <xf numFmtId="0" fontId="7" fillId="0" borderId="2" xfId="0" applyFont="1" applyBorder="1" applyAlignment="1">
      <alignment horizontal="left" vertical="top"/>
    </xf>
    <xf numFmtId="0" fontId="7" fillId="0" borderId="1" xfId="0" quotePrefix="1" applyFont="1" applyBorder="1" applyAlignment="1">
      <alignment horizontal="left" vertical="top" wrapText="1"/>
    </xf>
    <xf numFmtId="0" fontId="6" fillId="6" borderId="0" xfId="0" applyFont="1" applyFill="1" applyAlignment="1">
      <alignment horizontal="left" vertical="top" wrapText="1"/>
    </xf>
    <xf numFmtId="0" fontId="18" fillId="0" borderId="2" xfId="0" applyFont="1" applyBorder="1" applyAlignment="1">
      <alignment horizontal="left" vertical="top" wrapText="1"/>
    </xf>
    <xf numFmtId="0" fontId="18" fillId="0" borderId="1" xfId="0" applyFont="1" applyBorder="1" applyAlignment="1">
      <alignment horizontal="left" vertical="top" wrapText="1"/>
    </xf>
    <xf numFmtId="0" fontId="6" fillId="10" borderId="0" xfId="0" applyFont="1" applyFill="1" applyAlignment="1">
      <alignment horizontal="left" vertical="top" wrapText="1"/>
    </xf>
    <xf numFmtId="0" fontId="6" fillId="10" borderId="0" xfId="0" applyFont="1" applyFill="1" applyAlignment="1">
      <alignment horizontal="left" vertical="top"/>
    </xf>
    <xf numFmtId="0" fontId="6" fillId="9" borderId="1" xfId="0" applyFont="1" applyFill="1" applyBorder="1" applyAlignment="1">
      <alignment horizontal="left" vertical="top" wrapText="1"/>
    </xf>
    <xf numFmtId="0" fontId="0" fillId="0" borderId="13" xfId="0" applyFill="1" applyBorder="1" applyAlignment="1">
      <alignment wrapText="1"/>
    </xf>
    <xf numFmtId="0" fontId="1" fillId="0" borderId="5" xfId="0" applyFont="1" applyBorder="1" applyAlignment="1">
      <alignment wrapText="1"/>
    </xf>
    <xf numFmtId="0" fontId="1" fillId="0" borderId="4" xfId="0" applyFont="1" applyBorder="1"/>
    <xf numFmtId="0" fontId="1" fillId="0" borderId="6" xfId="0" applyFont="1" applyBorder="1"/>
    <xf numFmtId="0" fontId="0" fillId="0" borderId="7" xfId="0" applyBorder="1" applyAlignment="1">
      <alignment wrapText="1"/>
    </xf>
    <xf numFmtId="0" fontId="1" fillId="0" borderId="23" xfId="0" applyFont="1" applyBorder="1" applyAlignment="1">
      <alignment wrapText="1"/>
    </xf>
    <xf numFmtId="0" fontId="1" fillId="0" borderId="0" xfId="0" applyFont="1"/>
    <xf numFmtId="0" fontId="0" fillId="0" borderId="24" xfId="0" applyBorder="1"/>
    <xf numFmtId="0" fontId="0" fillId="0" borderId="25" xfId="0" applyBorder="1" applyAlignment="1">
      <alignment wrapText="1"/>
    </xf>
    <xf numFmtId="0" fontId="0" fillId="0" borderId="26" xfId="0" applyBorder="1"/>
    <xf numFmtId="0" fontId="21" fillId="2" borderId="0" xfId="0" applyFont="1" applyFill="1" applyAlignment="1">
      <alignment horizontal="center" vertical="top" wrapText="1"/>
    </xf>
    <xf numFmtId="0" fontId="0" fillId="3" borderId="1" xfId="0" applyFill="1" applyBorder="1"/>
    <xf numFmtId="0" fontId="0" fillId="3" borderId="2" xfId="0" applyFill="1" applyBorder="1"/>
    <xf numFmtId="0" fontId="0" fillId="15" borderId="1" xfId="0" applyFill="1" applyBorder="1" applyAlignment="1">
      <alignment wrapText="1"/>
    </xf>
    <xf numFmtId="0" fontId="22" fillId="3" borderId="1" xfId="0" applyFont="1" applyFill="1" applyBorder="1" applyAlignment="1">
      <alignment wrapText="1"/>
    </xf>
    <xf numFmtId="0" fontId="23" fillId="3" borderId="1" xfId="0" applyFont="1" applyFill="1" applyBorder="1" applyAlignment="1">
      <alignment horizontal="left" vertical="top" wrapText="1"/>
    </xf>
    <xf numFmtId="0" fontId="22" fillId="0" borderId="1" xfId="0" applyFont="1" applyBorder="1" applyAlignment="1">
      <alignment wrapText="1"/>
    </xf>
    <xf numFmtId="0" fontId="20" fillId="0" borderId="1" xfId="0" applyFont="1" applyBorder="1"/>
    <xf numFmtId="0" fontId="22" fillId="0" borderId="1" xfId="0" applyFont="1" applyBorder="1" applyAlignment="1">
      <alignment horizontal="left" vertical="top" wrapText="1"/>
    </xf>
    <xf numFmtId="0" fontId="0" fillId="8" borderId="5" xfId="0" applyFill="1" applyBorder="1"/>
    <xf numFmtId="0" fontId="2" fillId="0" borderId="0" xfId="1"/>
    <xf numFmtId="0" fontId="0" fillId="16" borderId="1" xfId="0" applyFill="1" applyBorder="1"/>
    <xf numFmtId="0" fontId="0" fillId="17" borderId="1" xfId="0" applyFill="1" applyBorder="1"/>
    <xf numFmtId="0" fontId="0" fillId="0" borderId="9" xfId="0" applyBorder="1"/>
    <xf numFmtId="0" fontId="3" fillId="0" borderId="1" xfId="0" applyFont="1" applyBorder="1"/>
    <xf numFmtId="0" fontId="24" fillId="0" borderId="1" xfId="0" applyFont="1" applyBorder="1" applyAlignment="1">
      <alignment horizontal="left" vertical="top" wrapText="1"/>
    </xf>
    <xf numFmtId="0" fontId="0" fillId="0" borderId="0" xfId="0" applyBorder="1" applyAlignment="1">
      <alignment wrapText="1"/>
    </xf>
    <xf numFmtId="0" fontId="1" fillId="0" borderId="4" xfId="0" applyFont="1" applyFill="1" applyBorder="1" applyAlignment="1">
      <alignment wrapText="1"/>
    </xf>
    <xf numFmtId="0" fontId="2" fillId="0" borderId="9" xfId="1" applyBorder="1" applyAlignment="1">
      <alignment wrapText="1"/>
    </xf>
    <xf numFmtId="0" fontId="25" fillId="14" borderId="27" xfId="3" applyFont="1" applyBorder="1" applyAlignment="1">
      <alignment horizontal="center" vertical="center"/>
    </xf>
    <xf numFmtId="0" fontId="3" fillId="5" borderId="1" xfId="0" applyFont="1" applyFill="1" applyBorder="1" applyAlignment="1">
      <alignment wrapText="1"/>
    </xf>
    <xf numFmtId="0" fontId="1" fillId="0" borderId="4" xfId="0" applyFont="1" applyBorder="1" applyAlignment="1">
      <alignment wrapText="1"/>
    </xf>
    <xf numFmtId="0" fontId="1" fillId="0" borderId="0" xfId="0" applyFont="1" applyAlignment="1">
      <alignment wrapText="1"/>
    </xf>
    <xf numFmtId="0" fontId="0" fillId="3" borderId="0" xfId="0" applyFill="1"/>
    <xf numFmtId="0" fontId="26" fillId="0" borderId="1" xfId="0" applyFont="1" applyBorder="1" applyAlignment="1">
      <alignment horizontal="left" vertical="top" wrapText="1"/>
    </xf>
    <xf numFmtId="0" fontId="0" fillId="0" borderId="1" xfId="0" applyBorder="1" applyAlignment="1">
      <alignment horizontal="left" vertical="top" wrapText="1"/>
    </xf>
    <xf numFmtId="0" fontId="1" fillId="8" borderId="5" xfId="0" applyFont="1" applyFill="1" applyBorder="1" applyAlignment="1">
      <alignment wrapText="1"/>
    </xf>
    <xf numFmtId="0" fontId="2" fillId="8" borderId="7" xfId="1" applyFill="1" applyBorder="1" applyAlignment="1">
      <alignment wrapText="1"/>
    </xf>
    <xf numFmtId="0" fontId="0" fillId="6" borderId="8" xfId="0" applyFill="1" applyBorder="1"/>
    <xf numFmtId="0" fontId="0" fillId="7" borderId="1" xfId="0" applyFill="1" applyBorder="1" applyAlignment="1">
      <alignment wrapText="1"/>
    </xf>
    <xf numFmtId="0" fontId="0" fillId="0" borderId="1" xfId="0" quotePrefix="1" applyBorder="1" applyAlignment="1">
      <alignment wrapText="1"/>
    </xf>
    <xf numFmtId="0" fontId="2" fillId="0" borderId="1" xfId="1" applyBorder="1"/>
    <xf numFmtId="0" fontId="27" fillId="0" borderId="1" xfId="0" applyFont="1" applyBorder="1" applyAlignment="1">
      <alignment horizontal="left" vertical="top" wrapText="1"/>
    </xf>
    <xf numFmtId="0" fontId="27" fillId="0" borderId="0" xfId="0" applyFont="1"/>
    <xf numFmtId="0" fontId="27" fillId="0" borderId="2" xfId="0" applyFont="1" applyBorder="1" applyAlignment="1">
      <alignment horizontal="left" vertical="top" wrapText="1"/>
    </xf>
    <xf numFmtId="0" fontId="28" fillId="0" borderId="1" xfId="0" applyFont="1" applyBorder="1" applyAlignment="1">
      <alignment horizontal="left" vertical="top" wrapText="1"/>
    </xf>
    <xf numFmtId="0" fontId="28" fillId="0" borderId="0" xfId="0" applyFont="1"/>
    <xf numFmtId="0" fontId="29" fillId="0" borderId="0" xfId="0" applyFont="1"/>
    <xf numFmtId="0" fontId="0" fillId="2" borderId="1" xfId="0" applyFill="1" applyBorder="1"/>
    <xf numFmtId="0" fontId="0" fillId="2" borderId="1" xfId="0" applyFill="1" applyBorder="1" applyAlignment="1">
      <alignment wrapText="1"/>
    </xf>
    <xf numFmtId="0" fontId="0" fillId="18" borderId="1" xfId="0" applyFill="1" applyBorder="1"/>
    <xf numFmtId="0" fontId="0" fillId="0" borderId="3" xfId="0" applyBorder="1"/>
    <xf numFmtId="0" fontId="1" fillId="8" borderId="16" xfId="0" applyFont="1" applyFill="1" applyBorder="1" applyAlignment="1">
      <alignment wrapText="1"/>
    </xf>
    <xf numFmtId="0" fontId="0" fillId="0" borderId="0" xfId="0" applyFont="1" applyBorder="1" applyAlignment="1">
      <alignment wrapText="1"/>
    </xf>
    <xf numFmtId="0" fontId="6" fillId="9" borderId="2" xfId="0" applyFont="1" applyFill="1" applyBorder="1" applyAlignment="1">
      <alignment horizontal="center" vertical="center" wrapText="1"/>
    </xf>
    <xf numFmtId="0" fontId="6" fillId="9" borderId="8" xfId="0" applyFont="1" applyFill="1" applyBorder="1" applyAlignment="1">
      <alignment horizontal="center" vertical="center" wrapText="1"/>
    </xf>
    <xf numFmtId="0" fontId="6" fillId="9" borderId="3" xfId="0" applyFont="1" applyFill="1" applyBorder="1" applyAlignment="1">
      <alignment horizontal="center" vertical="center" wrapText="1"/>
    </xf>
    <xf numFmtId="0" fontId="6" fillId="7" borderId="5" xfId="0" applyFont="1" applyFill="1" applyBorder="1" applyAlignment="1">
      <alignment horizontal="center" vertical="center" wrapText="1"/>
    </xf>
    <xf numFmtId="0" fontId="6" fillId="7" borderId="7" xfId="0" applyFont="1" applyFill="1" applyBorder="1" applyAlignment="1">
      <alignment horizontal="center" vertical="center" wrapText="1"/>
    </xf>
    <xf numFmtId="0" fontId="6" fillId="7" borderId="12" xfId="0" applyFont="1" applyFill="1" applyBorder="1" applyAlignment="1">
      <alignment horizontal="center" vertical="center" wrapText="1"/>
    </xf>
    <xf numFmtId="0" fontId="6" fillId="9" borderId="11" xfId="0" applyFont="1" applyFill="1" applyBorder="1" applyAlignment="1">
      <alignment horizontal="center" vertical="center" wrapText="1"/>
    </xf>
    <xf numFmtId="0" fontId="6" fillId="9" borderId="20" xfId="0" applyFont="1" applyFill="1" applyBorder="1" applyAlignment="1">
      <alignment horizontal="center" vertical="center" wrapText="1"/>
    </xf>
    <xf numFmtId="0" fontId="6" fillId="9" borderId="21" xfId="0" applyFont="1" applyFill="1" applyBorder="1" applyAlignment="1">
      <alignment horizontal="center" vertical="center" wrapText="1"/>
    </xf>
    <xf numFmtId="0" fontId="6" fillId="9" borderId="22" xfId="0" applyFont="1" applyFill="1" applyBorder="1" applyAlignment="1">
      <alignment horizontal="center" vertical="center" wrapText="1"/>
    </xf>
    <xf numFmtId="0" fontId="6" fillId="0" borderId="5" xfId="0" applyFont="1" applyBorder="1" applyAlignment="1">
      <alignment horizontal="center" vertical="center" wrapText="1"/>
    </xf>
    <xf numFmtId="0" fontId="6" fillId="0" borderId="7" xfId="0" applyFont="1" applyBorder="1" applyAlignment="1">
      <alignment horizontal="center" vertical="center" wrapText="1"/>
    </xf>
    <xf numFmtId="0" fontId="6" fillId="0" borderId="12" xfId="0" applyFont="1" applyBorder="1" applyAlignment="1">
      <alignment horizontal="center" vertical="center" wrapText="1"/>
    </xf>
    <xf numFmtId="0" fontId="0" fillId="0" borderId="1" xfId="0" applyBorder="1" applyAlignment="1">
      <alignment horizontal="center"/>
    </xf>
  </cellXfs>
  <cellStyles count="4">
    <cellStyle name="Collegamento ipertestuale" xfId="1" builtinId="8"/>
    <cellStyle name="Colore 1" xfId="2" builtinId="29"/>
    <cellStyle name="Colore 2" xfId="3" builtinId="33"/>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3</xdr:col>
      <xdr:colOff>0</xdr:colOff>
      <xdr:row>14</xdr:row>
      <xdr:rowOff>0</xdr:rowOff>
    </xdr:from>
    <xdr:ext cx="15875" cy="395534"/>
    <xdr:pic>
      <xdr:nvPicPr>
        <xdr:cNvPr id="2" name="Picture 6" descr=".">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3" name="Picture 7" descr=".">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4"/>
    <xdr:pic>
      <xdr:nvPicPr>
        <xdr:cNvPr id="4" name="Picture 8" descr=".">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5" name="Picture 9" descr=".">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3"/>
    <xdr:pic>
      <xdr:nvPicPr>
        <xdr:cNvPr id="6" name="Picture 10" descr=".">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6"/>
    <xdr:pic>
      <xdr:nvPicPr>
        <xdr:cNvPr id="7" name="Picture 11" descr=".">
          <a:extLst>
            <a:ext uri="{FF2B5EF4-FFF2-40B4-BE49-F238E27FC236}">
              <a16:creationId xmlns:a16="http://schemas.microsoft.com/office/drawing/2014/main" id="{00000000-0008-0000-01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8" name="Picture 6" descr=".">
          <a:extLst>
            <a:ext uri="{FF2B5EF4-FFF2-40B4-BE49-F238E27FC236}">
              <a16:creationId xmlns:a16="http://schemas.microsoft.com/office/drawing/2014/main" id="{00000000-0008-0000-01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9" name="Picture 7" descr=".">
          <a:extLst>
            <a:ext uri="{FF2B5EF4-FFF2-40B4-BE49-F238E27FC236}">
              <a16:creationId xmlns:a16="http://schemas.microsoft.com/office/drawing/2014/main" id="{00000000-0008-0000-01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10" name="Picture 8" descr=".">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11" name="Picture 9" descr=".">
          <a:extLst>
            <a:ext uri="{FF2B5EF4-FFF2-40B4-BE49-F238E27FC236}">
              <a16:creationId xmlns:a16="http://schemas.microsoft.com/office/drawing/2014/main" id="{00000000-0008-0000-01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3"/>
    <xdr:pic>
      <xdr:nvPicPr>
        <xdr:cNvPr id="12" name="Picture 10" descr=".">
          <a:extLst>
            <a:ext uri="{FF2B5EF4-FFF2-40B4-BE49-F238E27FC236}">
              <a16:creationId xmlns:a16="http://schemas.microsoft.com/office/drawing/2014/main" id="{00000000-0008-0000-01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6"/>
    <xdr:pic>
      <xdr:nvPicPr>
        <xdr:cNvPr id="13" name="Picture 11" descr=".">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14" name="Picture 6" descr=".">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15" name="Picture 7" descr=".">
          <a:extLst>
            <a:ext uri="{FF2B5EF4-FFF2-40B4-BE49-F238E27FC236}">
              <a16:creationId xmlns:a16="http://schemas.microsoft.com/office/drawing/2014/main" id="{00000000-0008-0000-01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16" name="Picture 8" descr=".">
          <a:extLst>
            <a:ext uri="{FF2B5EF4-FFF2-40B4-BE49-F238E27FC236}">
              <a16:creationId xmlns:a16="http://schemas.microsoft.com/office/drawing/2014/main" id="{00000000-0008-0000-01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17" name="Picture 9" descr=".">
          <a:extLst>
            <a:ext uri="{FF2B5EF4-FFF2-40B4-BE49-F238E27FC236}">
              <a16:creationId xmlns:a16="http://schemas.microsoft.com/office/drawing/2014/main" id="{00000000-0008-0000-01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3"/>
    <xdr:pic>
      <xdr:nvPicPr>
        <xdr:cNvPr id="18" name="Picture 10" descr=".">
          <a:extLst>
            <a:ext uri="{FF2B5EF4-FFF2-40B4-BE49-F238E27FC236}">
              <a16:creationId xmlns:a16="http://schemas.microsoft.com/office/drawing/2014/main" id="{00000000-0008-0000-01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6"/>
    <xdr:pic>
      <xdr:nvPicPr>
        <xdr:cNvPr id="19" name="Picture 11" descr=".">
          <a:extLst>
            <a:ext uri="{FF2B5EF4-FFF2-40B4-BE49-F238E27FC236}">
              <a16:creationId xmlns:a16="http://schemas.microsoft.com/office/drawing/2014/main" id="{00000000-0008-0000-01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20" name="Picture 6" descr=".">
          <a:extLst>
            <a:ext uri="{FF2B5EF4-FFF2-40B4-BE49-F238E27FC236}">
              <a16:creationId xmlns:a16="http://schemas.microsoft.com/office/drawing/2014/main" id="{00000000-0008-0000-01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21" name="Picture 7" descr=".">
          <a:extLst>
            <a:ext uri="{FF2B5EF4-FFF2-40B4-BE49-F238E27FC236}">
              <a16:creationId xmlns:a16="http://schemas.microsoft.com/office/drawing/2014/main" id="{00000000-0008-0000-01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22" name="Picture 8" descr=".">
          <a:extLst>
            <a:ext uri="{FF2B5EF4-FFF2-40B4-BE49-F238E27FC236}">
              <a16:creationId xmlns:a16="http://schemas.microsoft.com/office/drawing/2014/main" id="{00000000-0008-0000-01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23" name="Picture 9" descr=".">
          <a:extLst>
            <a:ext uri="{FF2B5EF4-FFF2-40B4-BE49-F238E27FC236}">
              <a16:creationId xmlns:a16="http://schemas.microsoft.com/office/drawing/2014/main" id="{00000000-0008-0000-01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3"/>
    <xdr:pic>
      <xdr:nvPicPr>
        <xdr:cNvPr id="24" name="Picture 10" descr=".">
          <a:extLst>
            <a:ext uri="{FF2B5EF4-FFF2-40B4-BE49-F238E27FC236}">
              <a16:creationId xmlns:a16="http://schemas.microsoft.com/office/drawing/2014/main" id="{00000000-0008-0000-01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6"/>
    <xdr:pic>
      <xdr:nvPicPr>
        <xdr:cNvPr id="25" name="Picture 11" descr=".">
          <a:extLst>
            <a:ext uri="{FF2B5EF4-FFF2-40B4-BE49-F238E27FC236}">
              <a16:creationId xmlns:a16="http://schemas.microsoft.com/office/drawing/2014/main" id="{00000000-0008-0000-01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899"/>
    <xdr:pic>
      <xdr:nvPicPr>
        <xdr:cNvPr id="26" name="Picture 6" descr=".">
          <a:extLst>
            <a:ext uri="{FF2B5EF4-FFF2-40B4-BE49-F238E27FC236}">
              <a16:creationId xmlns:a16="http://schemas.microsoft.com/office/drawing/2014/main" id="{00000000-0008-0000-01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900"/>
    <xdr:pic>
      <xdr:nvPicPr>
        <xdr:cNvPr id="27" name="Picture 7" descr=".">
          <a:extLst>
            <a:ext uri="{FF2B5EF4-FFF2-40B4-BE49-F238E27FC236}">
              <a16:creationId xmlns:a16="http://schemas.microsoft.com/office/drawing/2014/main" id="{00000000-0008-0000-01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899"/>
    <xdr:pic>
      <xdr:nvPicPr>
        <xdr:cNvPr id="28" name="Picture 8" descr=".">
          <a:extLst>
            <a:ext uri="{FF2B5EF4-FFF2-40B4-BE49-F238E27FC236}">
              <a16:creationId xmlns:a16="http://schemas.microsoft.com/office/drawing/2014/main" id="{00000000-0008-0000-01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900"/>
    <xdr:pic>
      <xdr:nvPicPr>
        <xdr:cNvPr id="29" name="Picture 9" descr=".">
          <a:extLst>
            <a:ext uri="{FF2B5EF4-FFF2-40B4-BE49-F238E27FC236}">
              <a16:creationId xmlns:a16="http://schemas.microsoft.com/office/drawing/2014/main" id="{00000000-0008-0000-01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898"/>
    <xdr:pic>
      <xdr:nvPicPr>
        <xdr:cNvPr id="30" name="Picture 10" descr=".">
          <a:extLst>
            <a:ext uri="{FF2B5EF4-FFF2-40B4-BE49-F238E27FC236}">
              <a16:creationId xmlns:a16="http://schemas.microsoft.com/office/drawing/2014/main" id="{00000000-0008-0000-01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901"/>
    <xdr:pic>
      <xdr:nvPicPr>
        <xdr:cNvPr id="31" name="Picture 11" descr=".">
          <a:extLst>
            <a:ext uri="{FF2B5EF4-FFF2-40B4-BE49-F238E27FC236}">
              <a16:creationId xmlns:a16="http://schemas.microsoft.com/office/drawing/2014/main" id="{00000000-0008-0000-01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14</xdr:row>
      <xdr:rowOff>0</xdr:rowOff>
    </xdr:from>
    <xdr:to>
      <xdr:col>2</xdr:col>
      <xdr:colOff>13970</xdr:colOff>
      <xdr:row>16</xdr:row>
      <xdr:rowOff>17709</xdr:rowOff>
    </xdr:to>
    <xdr:pic>
      <xdr:nvPicPr>
        <xdr:cNvPr id="32" name="Picture 6" descr=".">
          <a:extLst>
            <a:ext uri="{FF2B5EF4-FFF2-40B4-BE49-F238E27FC236}">
              <a16:creationId xmlns:a16="http://schemas.microsoft.com/office/drawing/2014/main" id="{00000000-0008-0000-01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673350"/>
          <a:ext cx="1397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17710</xdr:rowOff>
    </xdr:to>
    <xdr:pic>
      <xdr:nvPicPr>
        <xdr:cNvPr id="33" name="Picture 7" descr=".">
          <a:extLst>
            <a:ext uri="{FF2B5EF4-FFF2-40B4-BE49-F238E27FC236}">
              <a16:creationId xmlns:a16="http://schemas.microsoft.com/office/drawing/2014/main" id="{00000000-0008-0000-01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673350"/>
          <a:ext cx="1397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17709</xdr:rowOff>
    </xdr:to>
    <xdr:pic>
      <xdr:nvPicPr>
        <xdr:cNvPr id="34" name="Picture 8" descr=".">
          <a:extLst>
            <a:ext uri="{FF2B5EF4-FFF2-40B4-BE49-F238E27FC236}">
              <a16:creationId xmlns:a16="http://schemas.microsoft.com/office/drawing/2014/main" id="{00000000-0008-0000-01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673350"/>
          <a:ext cx="1397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17710</xdr:rowOff>
    </xdr:to>
    <xdr:pic>
      <xdr:nvPicPr>
        <xdr:cNvPr id="35" name="Picture 9" descr=".">
          <a:extLst>
            <a:ext uri="{FF2B5EF4-FFF2-40B4-BE49-F238E27FC236}">
              <a16:creationId xmlns:a16="http://schemas.microsoft.com/office/drawing/2014/main" id="{00000000-0008-0000-01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673350"/>
          <a:ext cx="1397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17708</xdr:rowOff>
    </xdr:to>
    <xdr:pic>
      <xdr:nvPicPr>
        <xdr:cNvPr id="36" name="Picture 10" descr=".">
          <a:extLst>
            <a:ext uri="{FF2B5EF4-FFF2-40B4-BE49-F238E27FC236}">
              <a16:creationId xmlns:a16="http://schemas.microsoft.com/office/drawing/2014/main" id="{00000000-0008-0000-01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673350"/>
          <a:ext cx="13970" cy="398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17711</xdr:rowOff>
    </xdr:to>
    <xdr:pic>
      <xdr:nvPicPr>
        <xdr:cNvPr id="37" name="Picture 11" descr=".">
          <a:extLst>
            <a:ext uri="{FF2B5EF4-FFF2-40B4-BE49-F238E27FC236}">
              <a16:creationId xmlns:a16="http://schemas.microsoft.com/office/drawing/2014/main" id="{00000000-0008-0000-01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673350"/>
          <a:ext cx="13970" cy="398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14</xdr:row>
      <xdr:rowOff>0</xdr:rowOff>
    </xdr:from>
    <xdr:ext cx="15875" cy="395534"/>
    <xdr:pic>
      <xdr:nvPicPr>
        <xdr:cNvPr id="38" name="Picture 6" descr=".">
          <a:extLst>
            <a:ext uri="{FF2B5EF4-FFF2-40B4-BE49-F238E27FC236}">
              <a16:creationId xmlns:a16="http://schemas.microsoft.com/office/drawing/2014/main" id="{00000000-0008-0000-01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39" name="Picture 7" descr=".">
          <a:extLst>
            <a:ext uri="{FF2B5EF4-FFF2-40B4-BE49-F238E27FC236}">
              <a16:creationId xmlns:a16="http://schemas.microsoft.com/office/drawing/2014/main" id="{00000000-0008-0000-01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4"/>
    <xdr:pic>
      <xdr:nvPicPr>
        <xdr:cNvPr id="40" name="Picture 8" descr=".">
          <a:extLst>
            <a:ext uri="{FF2B5EF4-FFF2-40B4-BE49-F238E27FC236}">
              <a16:creationId xmlns:a16="http://schemas.microsoft.com/office/drawing/2014/main" id="{00000000-0008-0000-01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41" name="Picture 9" descr=".">
          <a:extLst>
            <a:ext uri="{FF2B5EF4-FFF2-40B4-BE49-F238E27FC236}">
              <a16:creationId xmlns:a16="http://schemas.microsoft.com/office/drawing/2014/main" id="{00000000-0008-0000-01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3"/>
    <xdr:pic>
      <xdr:nvPicPr>
        <xdr:cNvPr id="42" name="Picture 10" descr=".">
          <a:extLst>
            <a:ext uri="{FF2B5EF4-FFF2-40B4-BE49-F238E27FC236}">
              <a16:creationId xmlns:a16="http://schemas.microsoft.com/office/drawing/2014/main" id="{00000000-0008-0000-01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6"/>
    <xdr:pic>
      <xdr:nvPicPr>
        <xdr:cNvPr id="43" name="Picture 11" descr=".">
          <a:extLst>
            <a:ext uri="{FF2B5EF4-FFF2-40B4-BE49-F238E27FC236}">
              <a16:creationId xmlns:a16="http://schemas.microsoft.com/office/drawing/2014/main" id="{00000000-0008-0000-01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899"/>
    <xdr:pic>
      <xdr:nvPicPr>
        <xdr:cNvPr id="44" name="Picture 6" descr=".">
          <a:extLst>
            <a:ext uri="{FF2B5EF4-FFF2-40B4-BE49-F238E27FC236}">
              <a16:creationId xmlns:a16="http://schemas.microsoft.com/office/drawing/2014/main" id="{00000000-0008-0000-01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900"/>
    <xdr:pic>
      <xdr:nvPicPr>
        <xdr:cNvPr id="45" name="Picture 7" descr=".">
          <a:extLst>
            <a:ext uri="{FF2B5EF4-FFF2-40B4-BE49-F238E27FC236}">
              <a16:creationId xmlns:a16="http://schemas.microsoft.com/office/drawing/2014/main" id="{00000000-0008-0000-01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899"/>
    <xdr:pic>
      <xdr:nvPicPr>
        <xdr:cNvPr id="46" name="Picture 8" descr=".">
          <a:extLst>
            <a:ext uri="{FF2B5EF4-FFF2-40B4-BE49-F238E27FC236}">
              <a16:creationId xmlns:a16="http://schemas.microsoft.com/office/drawing/2014/main" id="{00000000-0008-0000-01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900"/>
    <xdr:pic>
      <xdr:nvPicPr>
        <xdr:cNvPr id="47" name="Picture 9" descr=".">
          <a:extLst>
            <a:ext uri="{FF2B5EF4-FFF2-40B4-BE49-F238E27FC236}">
              <a16:creationId xmlns:a16="http://schemas.microsoft.com/office/drawing/2014/main" id="{00000000-0008-0000-01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898"/>
    <xdr:pic>
      <xdr:nvPicPr>
        <xdr:cNvPr id="48" name="Picture 10" descr=".">
          <a:extLst>
            <a:ext uri="{FF2B5EF4-FFF2-40B4-BE49-F238E27FC236}">
              <a16:creationId xmlns:a16="http://schemas.microsoft.com/office/drawing/2014/main" id="{00000000-0008-0000-01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901"/>
    <xdr:pic>
      <xdr:nvPicPr>
        <xdr:cNvPr id="49" name="Picture 11" descr=".">
          <a:extLst>
            <a:ext uri="{FF2B5EF4-FFF2-40B4-BE49-F238E27FC236}">
              <a16:creationId xmlns:a16="http://schemas.microsoft.com/office/drawing/2014/main" id="{00000000-0008-0000-01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14</xdr:row>
      <xdr:rowOff>0</xdr:rowOff>
    </xdr:from>
    <xdr:to>
      <xdr:col>2</xdr:col>
      <xdr:colOff>19050</xdr:colOff>
      <xdr:row>16</xdr:row>
      <xdr:rowOff>17709</xdr:rowOff>
    </xdr:to>
    <xdr:pic>
      <xdr:nvPicPr>
        <xdr:cNvPr id="50" name="Picture 6" descr=".">
          <a:extLst>
            <a:ext uri="{FF2B5EF4-FFF2-40B4-BE49-F238E27FC236}">
              <a16:creationId xmlns:a16="http://schemas.microsoft.com/office/drawing/2014/main" id="{00000000-0008-0000-01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6733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17710</xdr:rowOff>
    </xdr:to>
    <xdr:pic>
      <xdr:nvPicPr>
        <xdr:cNvPr id="51" name="Picture 7" descr=".">
          <a:extLst>
            <a:ext uri="{FF2B5EF4-FFF2-40B4-BE49-F238E27FC236}">
              <a16:creationId xmlns:a16="http://schemas.microsoft.com/office/drawing/2014/main" id="{00000000-0008-0000-01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6733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17709</xdr:rowOff>
    </xdr:to>
    <xdr:pic>
      <xdr:nvPicPr>
        <xdr:cNvPr id="52" name="Picture 8" descr=".">
          <a:extLst>
            <a:ext uri="{FF2B5EF4-FFF2-40B4-BE49-F238E27FC236}">
              <a16:creationId xmlns:a16="http://schemas.microsoft.com/office/drawing/2014/main" id="{00000000-0008-0000-01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6733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17710</xdr:rowOff>
    </xdr:to>
    <xdr:pic>
      <xdr:nvPicPr>
        <xdr:cNvPr id="53" name="Picture 9" descr=".">
          <a:extLst>
            <a:ext uri="{FF2B5EF4-FFF2-40B4-BE49-F238E27FC236}">
              <a16:creationId xmlns:a16="http://schemas.microsoft.com/office/drawing/2014/main" id="{00000000-0008-0000-01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6733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17708</xdr:rowOff>
    </xdr:to>
    <xdr:pic>
      <xdr:nvPicPr>
        <xdr:cNvPr id="54" name="Picture 10" descr=".">
          <a:extLst>
            <a:ext uri="{FF2B5EF4-FFF2-40B4-BE49-F238E27FC236}">
              <a16:creationId xmlns:a16="http://schemas.microsoft.com/office/drawing/2014/main" id="{00000000-0008-0000-01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6733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17711</xdr:rowOff>
    </xdr:to>
    <xdr:pic>
      <xdr:nvPicPr>
        <xdr:cNvPr id="55" name="Picture 11" descr=".">
          <a:extLst>
            <a:ext uri="{FF2B5EF4-FFF2-40B4-BE49-F238E27FC236}">
              <a16:creationId xmlns:a16="http://schemas.microsoft.com/office/drawing/2014/main" id="{00000000-0008-0000-01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6733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14</xdr:row>
      <xdr:rowOff>0</xdr:rowOff>
    </xdr:from>
    <xdr:ext cx="15875" cy="395534"/>
    <xdr:pic>
      <xdr:nvPicPr>
        <xdr:cNvPr id="56" name="Picture 6" descr=".">
          <a:extLst>
            <a:ext uri="{FF2B5EF4-FFF2-40B4-BE49-F238E27FC236}">
              <a16:creationId xmlns:a16="http://schemas.microsoft.com/office/drawing/2014/main" id="{00000000-0008-0000-01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57" name="Picture 7" descr=".">
          <a:extLst>
            <a:ext uri="{FF2B5EF4-FFF2-40B4-BE49-F238E27FC236}">
              <a16:creationId xmlns:a16="http://schemas.microsoft.com/office/drawing/2014/main" id="{00000000-0008-0000-01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4"/>
    <xdr:pic>
      <xdr:nvPicPr>
        <xdr:cNvPr id="58" name="Picture 8" descr=".">
          <a:extLst>
            <a:ext uri="{FF2B5EF4-FFF2-40B4-BE49-F238E27FC236}">
              <a16:creationId xmlns:a16="http://schemas.microsoft.com/office/drawing/2014/main" id="{00000000-0008-0000-01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59" name="Picture 9" descr=".">
          <a:extLst>
            <a:ext uri="{FF2B5EF4-FFF2-40B4-BE49-F238E27FC236}">
              <a16:creationId xmlns:a16="http://schemas.microsoft.com/office/drawing/2014/main" id="{00000000-0008-0000-01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3"/>
    <xdr:pic>
      <xdr:nvPicPr>
        <xdr:cNvPr id="60" name="Picture 10" descr=".">
          <a:extLst>
            <a:ext uri="{FF2B5EF4-FFF2-40B4-BE49-F238E27FC236}">
              <a16:creationId xmlns:a16="http://schemas.microsoft.com/office/drawing/2014/main" id="{00000000-0008-0000-01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6"/>
    <xdr:pic>
      <xdr:nvPicPr>
        <xdr:cNvPr id="61" name="Picture 11" descr=".">
          <a:extLst>
            <a:ext uri="{FF2B5EF4-FFF2-40B4-BE49-F238E27FC236}">
              <a16:creationId xmlns:a16="http://schemas.microsoft.com/office/drawing/2014/main" id="{00000000-0008-0000-01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62" name="Picture 6" descr=".">
          <a:extLst>
            <a:ext uri="{FF2B5EF4-FFF2-40B4-BE49-F238E27FC236}">
              <a16:creationId xmlns:a16="http://schemas.microsoft.com/office/drawing/2014/main" id="{00000000-0008-0000-01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63" name="Picture 7" descr=".">
          <a:extLst>
            <a:ext uri="{FF2B5EF4-FFF2-40B4-BE49-F238E27FC236}">
              <a16:creationId xmlns:a16="http://schemas.microsoft.com/office/drawing/2014/main" id="{00000000-0008-0000-01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64" name="Picture 8" descr=".">
          <a:extLst>
            <a:ext uri="{FF2B5EF4-FFF2-40B4-BE49-F238E27FC236}">
              <a16:creationId xmlns:a16="http://schemas.microsoft.com/office/drawing/2014/main" id="{00000000-0008-0000-01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65" name="Picture 9" descr=".">
          <a:extLst>
            <a:ext uri="{FF2B5EF4-FFF2-40B4-BE49-F238E27FC236}">
              <a16:creationId xmlns:a16="http://schemas.microsoft.com/office/drawing/2014/main" id="{00000000-0008-0000-01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3"/>
    <xdr:pic>
      <xdr:nvPicPr>
        <xdr:cNvPr id="66" name="Picture 10" descr=".">
          <a:extLst>
            <a:ext uri="{FF2B5EF4-FFF2-40B4-BE49-F238E27FC236}">
              <a16:creationId xmlns:a16="http://schemas.microsoft.com/office/drawing/2014/main" id="{00000000-0008-0000-01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6"/>
    <xdr:pic>
      <xdr:nvPicPr>
        <xdr:cNvPr id="67" name="Picture 11" descr=".">
          <a:extLst>
            <a:ext uri="{FF2B5EF4-FFF2-40B4-BE49-F238E27FC236}">
              <a16:creationId xmlns:a16="http://schemas.microsoft.com/office/drawing/2014/main" id="{00000000-0008-0000-01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899"/>
    <xdr:pic>
      <xdr:nvPicPr>
        <xdr:cNvPr id="68" name="Picture 6" descr=".">
          <a:extLst>
            <a:ext uri="{FF2B5EF4-FFF2-40B4-BE49-F238E27FC236}">
              <a16:creationId xmlns:a16="http://schemas.microsoft.com/office/drawing/2014/main" id="{00000000-0008-0000-01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900"/>
    <xdr:pic>
      <xdr:nvPicPr>
        <xdr:cNvPr id="69" name="Picture 7" descr=".">
          <a:extLst>
            <a:ext uri="{FF2B5EF4-FFF2-40B4-BE49-F238E27FC236}">
              <a16:creationId xmlns:a16="http://schemas.microsoft.com/office/drawing/2014/main" id="{00000000-0008-0000-01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899"/>
    <xdr:pic>
      <xdr:nvPicPr>
        <xdr:cNvPr id="70" name="Picture 8" descr=".">
          <a:extLst>
            <a:ext uri="{FF2B5EF4-FFF2-40B4-BE49-F238E27FC236}">
              <a16:creationId xmlns:a16="http://schemas.microsoft.com/office/drawing/2014/main" id="{00000000-0008-0000-01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900"/>
    <xdr:pic>
      <xdr:nvPicPr>
        <xdr:cNvPr id="71" name="Picture 9" descr=".">
          <a:extLst>
            <a:ext uri="{FF2B5EF4-FFF2-40B4-BE49-F238E27FC236}">
              <a16:creationId xmlns:a16="http://schemas.microsoft.com/office/drawing/2014/main" id="{00000000-0008-0000-01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898"/>
    <xdr:pic>
      <xdr:nvPicPr>
        <xdr:cNvPr id="72" name="Picture 10" descr=".">
          <a:extLst>
            <a:ext uri="{FF2B5EF4-FFF2-40B4-BE49-F238E27FC236}">
              <a16:creationId xmlns:a16="http://schemas.microsoft.com/office/drawing/2014/main" id="{00000000-0008-0000-01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901"/>
    <xdr:pic>
      <xdr:nvPicPr>
        <xdr:cNvPr id="73" name="Picture 11" descr=".">
          <a:extLst>
            <a:ext uri="{FF2B5EF4-FFF2-40B4-BE49-F238E27FC236}">
              <a16:creationId xmlns:a16="http://schemas.microsoft.com/office/drawing/2014/main" id="{00000000-0008-0000-01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09"/>
    <xdr:pic>
      <xdr:nvPicPr>
        <xdr:cNvPr id="74" name="Picture 6" descr=".">
          <a:extLst>
            <a:ext uri="{FF2B5EF4-FFF2-40B4-BE49-F238E27FC236}">
              <a16:creationId xmlns:a16="http://schemas.microsoft.com/office/drawing/2014/main" id="{00000000-0008-0000-01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4953000"/>
          <a:ext cx="1397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10"/>
    <xdr:pic>
      <xdr:nvPicPr>
        <xdr:cNvPr id="75" name="Picture 7" descr=".">
          <a:extLst>
            <a:ext uri="{FF2B5EF4-FFF2-40B4-BE49-F238E27FC236}">
              <a16:creationId xmlns:a16="http://schemas.microsoft.com/office/drawing/2014/main" id="{00000000-0008-0000-01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4953000"/>
          <a:ext cx="1397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09"/>
    <xdr:pic>
      <xdr:nvPicPr>
        <xdr:cNvPr id="76" name="Picture 8" descr=".">
          <a:extLst>
            <a:ext uri="{FF2B5EF4-FFF2-40B4-BE49-F238E27FC236}">
              <a16:creationId xmlns:a16="http://schemas.microsoft.com/office/drawing/2014/main" id="{00000000-0008-0000-01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4953000"/>
          <a:ext cx="1397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10"/>
    <xdr:pic>
      <xdr:nvPicPr>
        <xdr:cNvPr id="77" name="Picture 9" descr=".">
          <a:extLst>
            <a:ext uri="{FF2B5EF4-FFF2-40B4-BE49-F238E27FC236}">
              <a16:creationId xmlns:a16="http://schemas.microsoft.com/office/drawing/2014/main" id="{00000000-0008-0000-01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4953000"/>
          <a:ext cx="1397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08"/>
    <xdr:pic>
      <xdr:nvPicPr>
        <xdr:cNvPr id="78" name="Picture 10" descr=".">
          <a:extLst>
            <a:ext uri="{FF2B5EF4-FFF2-40B4-BE49-F238E27FC236}">
              <a16:creationId xmlns:a16="http://schemas.microsoft.com/office/drawing/2014/main" id="{00000000-0008-0000-01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4953000"/>
          <a:ext cx="1397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11"/>
    <xdr:pic>
      <xdr:nvPicPr>
        <xdr:cNvPr id="79" name="Picture 11" descr=".">
          <a:extLst>
            <a:ext uri="{FF2B5EF4-FFF2-40B4-BE49-F238E27FC236}">
              <a16:creationId xmlns:a16="http://schemas.microsoft.com/office/drawing/2014/main" id="{00000000-0008-0000-01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4953000"/>
          <a:ext cx="1397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80" name="Picture 6" descr=".">
          <a:extLst>
            <a:ext uri="{FF2B5EF4-FFF2-40B4-BE49-F238E27FC236}">
              <a16:creationId xmlns:a16="http://schemas.microsoft.com/office/drawing/2014/main" id="{00000000-0008-0000-01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81" name="Picture 7" descr=".">
          <a:extLst>
            <a:ext uri="{FF2B5EF4-FFF2-40B4-BE49-F238E27FC236}">
              <a16:creationId xmlns:a16="http://schemas.microsoft.com/office/drawing/2014/main" id="{00000000-0008-0000-01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82" name="Picture 8" descr=".">
          <a:extLst>
            <a:ext uri="{FF2B5EF4-FFF2-40B4-BE49-F238E27FC236}">
              <a16:creationId xmlns:a16="http://schemas.microsoft.com/office/drawing/2014/main" id="{00000000-0008-0000-01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83" name="Picture 9" descr=".">
          <a:extLst>
            <a:ext uri="{FF2B5EF4-FFF2-40B4-BE49-F238E27FC236}">
              <a16:creationId xmlns:a16="http://schemas.microsoft.com/office/drawing/2014/main" id="{00000000-0008-0000-01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3"/>
    <xdr:pic>
      <xdr:nvPicPr>
        <xdr:cNvPr id="84" name="Picture 10" descr=".">
          <a:extLst>
            <a:ext uri="{FF2B5EF4-FFF2-40B4-BE49-F238E27FC236}">
              <a16:creationId xmlns:a16="http://schemas.microsoft.com/office/drawing/2014/main" id="{00000000-0008-0000-01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6"/>
    <xdr:pic>
      <xdr:nvPicPr>
        <xdr:cNvPr id="85" name="Picture 11" descr=".">
          <a:extLst>
            <a:ext uri="{FF2B5EF4-FFF2-40B4-BE49-F238E27FC236}">
              <a16:creationId xmlns:a16="http://schemas.microsoft.com/office/drawing/2014/main" id="{00000000-0008-0000-01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899"/>
    <xdr:pic>
      <xdr:nvPicPr>
        <xdr:cNvPr id="86" name="Picture 6" descr=".">
          <a:extLst>
            <a:ext uri="{FF2B5EF4-FFF2-40B4-BE49-F238E27FC236}">
              <a16:creationId xmlns:a16="http://schemas.microsoft.com/office/drawing/2014/main" id="{00000000-0008-0000-01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900"/>
    <xdr:pic>
      <xdr:nvPicPr>
        <xdr:cNvPr id="87" name="Picture 7" descr=".">
          <a:extLst>
            <a:ext uri="{FF2B5EF4-FFF2-40B4-BE49-F238E27FC236}">
              <a16:creationId xmlns:a16="http://schemas.microsoft.com/office/drawing/2014/main" id="{00000000-0008-0000-01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899"/>
    <xdr:pic>
      <xdr:nvPicPr>
        <xdr:cNvPr id="88" name="Picture 8" descr=".">
          <a:extLst>
            <a:ext uri="{FF2B5EF4-FFF2-40B4-BE49-F238E27FC236}">
              <a16:creationId xmlns:a16="http://schemas.microsoft.com/office/drawing/2014/main" id="{00000000-0008-0000-01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900"/>
    <xdr:pic>
      <xdr:nvPicPr>
        <xdr:cNvPr id="89" name="Picture 9" descr=".">
          <a:extLst>
            <a:ext uri="{FF2B5EF4-FFF2-40B4-BE49-F238E27FC236}">
              <a16:creationId xmlns:a16="http://schemas.microsoft.com/office/drawing/2014/main" id="{00000000-0008-0000-01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898"/>
    <xdr:pic>
      <xdr:nvPicPr>
        <xdr:cNvPr id="90" name="Picture 10" descr=".">
          <a:extLst>
            <a:ext uri="{FF2B5EF4-FFF2-40B4-BE49-F238E27FC236}">
              <a16:creationId xmlns:a16="http://schemas.microsoft.com/office/drawing/2014/main" id="{00000000-0008-0000-01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901"/>
    <xdr:pic>
      <xdr:nvPicPr>
        <xdr:cNvPr id="91" name="Picture 11" descr=".">
          <a:extLst>
            <a:ext uri="{FF2B5EF4-FFF2-40B4-BE49-F238E27FC236}">
              <a16:creationId xmlns:a16="http://schemas.microsoft.com/office/drawing/2014/main" id="{00000000-0008-0000-01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09"/>
    <xdr:pic>
      <xdr:nvPicPr>
        <xdr:cNvPr id="92" name="Picture 6" descr=".">
          <a:extLst>
            <a:ext uri="{FF2B5EF4-FFF2-40B4-BE49-F238E27FC236}">
              <a16:creationId xmlns:a16="http://schemas.microsoft.com/office/drawing/2014/main" id="{00000000-0008-0000-01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49530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10"/>
    <xdr:pic>
      <xdr:nvPicPr>
        <xdr:cNvPr id="93" name="Picture 7" descr=".">
          <a:extLst>
            <a:ext uri="{FF2B5EF4-FFF2-40B4-BE49-F238E27FC236}">
              <a16:creationId xmlns:a16="http://schemas.microsoft.com/office/drawing/2014/main" id="{00000000-0008-0000-01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49530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09"/>
    <xdr:pic>
      <xdr:nvPicPr>
        <xdr:cNvPr id="94" name="Picture 8" descr=".">
          <a:extLst>
            <a:ext uri="{FF2B5EF4-FFF2-40B4-BE49-F238E27FC236}">
              <a16:creationId xmlns:a16="http://schemas.microsoft.com/office/drawing/2014/main" id="{00000000-0008-0000-01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49530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10"/>
    <xdr:pic>
      <xdr:nvPicPr>
        <xdr:cNvPr id="95" name="Picture 9" descr=".">
          <a:extLst>
            <a:ext uri="{FF2B5EF4-FFF2-40B4-BE49-F238E27FC236}">
              <a16:creationId xmlns:a16="http://schemas.microsoft.com/office/drawing/2014/main" id="{00000000-0008-0000-01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49530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08"/>
    <xdr:pic>
      <xdr:nvPicPr>
        <xdr:cNvPr id="96" name="Picture 10" descr=".">
          <a:extLst>
            <a:ext uri="{FF2B5EF4-FFF2-40B4-BE49-F238E27FC236}">
              <a16:creationId xmlns:a16="http://schemas.microsoft.com/office/drawing/2014/main" id="{00000000-0008-0000-01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495300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11"/>
    <xdr:pic>
      <xdr:nvPicPr>
        <xdr:cNvPr id="97" name="Picture 11" descr=".">
          <a:extLst>
            <a:ext uri="{FF2B5EF4-FFF2-40B4-BE49-F238E27FC236}">
              <a16:creationId xmlns:a16="http://schemas.microsoft.com/office/drawing/2014/main" id="{00000000-0008-0000-01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495300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98" name="Picture 6" descr=".">
          <a:extLst>
            <a:ext uri="{FF2B5EF4-FFF2-40B4-BE49-F238E27FC236}">
              <a16:creationId xmlns:a16="http://schemas.microsoft.com/office/drawing/2014/main" id="{00000000-0008-0000-01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99" name="Picture 7" descr=".">
          <a:extLst>
            <a:ext uri="{FF2B5EF4-FFF2-40B4-BE49-F238E27FC236}">
              <a16:creationId xmlns:a16="http://schemas.microsoft.com/office/drawing/2014/main" id="{00000000-0008-0000-01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100" name="Picture 8" descr=".">
          <a:extLst>
            <a:ext uri="{FF2B5EF4-FFF2-40B4-BE49-F238E27FC236}">
              <a16:creationId xmlns:a16="http://schemas.microsoft.com/office/drawing/2014/main" id="{00000000-0008-0000-01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101" name="Picture 9" descr=".">
          <a:extLst>
            <a:ext uri="{FF2B5EF4-FFF2-40B4-BE49-F238E27FC236}">
              <a16:creationId xmlns:a16="http://schemas.microsoft.com/office/drawing/2014/main" id="{00000000-0008-0000-01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3"/>
    <xdr:pic>
      <xdr:nvPicPr>
        <xdr:cNvPr id="102" name="Picture 10" descr=".">
          <a:extLst>
            <a:ext uri="{FF2B5EF4-FFF2-40B4-BE49-F238E27FC236}">
              <a16:creationId xmlns:a16="http://schemas.microsoft.com/office/drawing/2014/main" id="{00000000-0008-0000-01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6"/>
    <xdr:pic>
      <xdr:nvPicPr>
        <xdr:cNvPr id="103" name="Picture 11" descr=".">
          <a:extLst>
            <a:ext uri="{FF2B5EF4-FFF2-40B4-BE49-F238E27FC236}">
              <a16:creationId xmlns:a16="http://schemas.microsoft.com/office/drawing/2014/main" id="{00000000-0008-0000-01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158750</xdr:colOff>
          <xdr:row>0</xdr:row>
          <xdr:rowOff>0</xdr:rowOff>
        </xdr:from>
        <xdr:to>
          <xdr:col>1</xdr:col>
          <xdr:colOff>222250</xdr:colOff>
          <xdr:row>1</xdr:row>
          <xdr:rowOff>101600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700-00000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273050</xdr:colOff>
          <xdr:row>0</xdr:row>
          <xdr:rowOff>0</xdr:rowOff>
        </xdr:from>
        <xdr:to>
          <xdr:col>2</xdr:col>
          <xdr:colOff>336550</xdr:colOff>
          <xdr:row>1</xdr:row>
          <xdr:rowOff>101600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700-000008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Calibri"/>
                  <a:ea typeface="Calibri"/>
                  <a:cs typeface="Calibri"/>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511175</xdr:colOff>
          <xdr:row>0</xdr:row>
          <xdr:rowOff>0</xdr:rowOff>
        </xdr:from>
        <xdr:to>
          <xdr:col>13</xdr:col>
          <xdr:colOff>361950</xdr:colOff>
          <xdr:row>1</xdr:row>
          <xdr:rowOff>101600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700-000009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Calibri"/>
                  <a:ea typeface="Calibri"/>
                  <a:cs typeface="Calibri"/>
                </a:rPr>
                <a:t>Subject-map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403225</xdr:colOff>
          <xdr:row>0</xdr:row>
          <xdr:rowOff>0</xdr:rowOff>
        </xdr:from>
        <xdr:to>
          <xdr:col>4</xdr:col>
          <xdr:colOff>0</xdr:colOff>
          <xdr:row>1</xdr:row>
          <xdr:rowOff>95250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700-00000A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Chemo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257175</xdr:colOff>
          <xdr:row>0</xdr:row>
          <xdr:rowOff>0</xdr:rowOff>
        </xdr:from>
        <xdr:to>
          <xdr:col>9</xdr:col>
          <xdr:colOff>387350</xdr:colOff>
          <xdr:row>1</xdr:row>
          <xdr:rowOff>101600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700-00000B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SimpleOrg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60325</xdr:colOff>
          <xdr:row>0</xdr:row>
          <xdr:rowOff>0</xdr:rowOff>
        </xdr:from>
        <xdr:to>
          <xdr:col>6</xdr:col>
          <xdr:colOff>266700</xdr:colOff>
          <xdr:row>1</xdr:row>
          <xdr:rowOff>95250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700-00000D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Diag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0</xdr:row>
          <xdr:rowOff>0</xdr:rowOff>
        </xdr:from>
        <xdr:to>
          <xdr:col>8</xdr:col>
          <xdr:colOff>209550</xdr:colOff>
          <xdr:row>1</xdr:row>
          <xdr:rowOff>101600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700-00000F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Diagn-map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0</xdr:row>
          <xdr:rowOff>0</xdr:rowOff>
        </xdr:from>
        <xdr:to>
          <xdr:col>11</xdr:col>
          <xdr:colOff>400050</xdr:colOff>
          <xdr:row>1</xdr:row>
          <xdr:rowOff>95250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700-00001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Radio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511175</xdr:colOff>
          <xdr:row>0</xdr:row>
          <xdr:rowOff>0</xdr:rowOff>
        </xdr:from>
        <xdr:to>
          <xdr:col>16</xdr:col>
          <xdr:colOff>361950</xdr:colOff>
          <xdr:row>1</xdr:row>
          <xdr:rowOff>101600</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700-000012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Chemo-map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511175</xdr:colOff>
          <xdr:row>0</xdr:row>
          <xdr:rowOff>0</xdr:rowOff>
        </xdr:from>
        <xdr:to>
          <xdr:col>19</xdr:col>
          <xdr:colOff>361950</xdr:colOff>
          <xdr:row>1</xdr:row>
          <xdr:rowOff>101600</xdr:rowOff>
        </xdr:to>
        <xdr:sp macro="" textlink="">
          <xdr:nvSpPr>
            <xdr:cNvPr id="6164" name="Button 20" hidden="1">
              <a:extLst>
                <a:ext uri="{63B3BB69-23CF-44E3-9099-C40C66FF867C}">
                  <a14:compatExt spid="_x0000_s6164"/>
                </a:ext>
                <a:ext uri="{FF2B5EF4-FFF2-40B4-BE49-F238E27FC236}">
                  <a16:creationId xmlns:a16="http://schemas.microsoft.com/office/drawing/2014/main" id="{00000000-0008-0000-0700-000014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Radio-map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0</xdr:colOff>
      <xdr:row>19</xdr:row>
      <xdr:rowOff>0</xdr:rowOff>
    </xdr:from>
    <xdr:to>
      <xdr:col>2</xdr:col>
      <xdr:colOff>19050</xdr:colOff>
      <xdr:row>19</xdr:row>
      <xdr:rowOff>398709</xdr:rowOff>
    </xdr:to>
    <xdr:pic>
      <xdr:nvPicPr>
        <xdr:cNvPr id="2" name="Picture 6" descr=".">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7371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398710</xdr:rowOff>
    </xdr:to>
    <xdr:pic>
      <xdr:nvPicPr>
        <xdr:cNvPr id="3" name="Picture 7" descr=".">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7371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398709</xdr:rowOff>
    </xdr:to>
    <xdr:pic>
      <xdr:nvPicPr>
        <xdr:cNvPr id="4" name="Picture 8" descr=".">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7371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398710</xdr:rowOff>
    </xdr:to>
    <xdr:pic>
      <xdr:nvPicPr>
        <xdr:cNvPr id="5" name="Picture 9" descr=".">
          <a:extLst>
            <a:ext uri="{FF2B5EF4-FFF2-40B4-BE49-F238E27FC236}">
              <a16:creationId xmlns:a16="http://schemas.microsoft.com/office/drawing/2014/main" id="{00000000-0008-0000-06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7371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398708</xdr:rowOff>
    </xdr:to>
    <xdr:pic>
      <xdr:nvPicPr>
        <xdr:cNvPr id="6" name="Picture 10" descr=".">
          <a:extLst>
            <a:ext uri="{FF2B5EF4-FFF2-40B4-BE49-F238E27FC236}">
              <a16:creationId xmlns:a16="http://schemas.microsoft.com/office/drawing/2014/main" id="{00000000-0008-0000-06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73710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398711</xdr:rowOff>
    </xdr:to>
    <xdr:pic>
      <xdr:nvPicPr>
        <xdr:cNvPr id="7" name="Picture 11" descr=".">
          <a:extLst>
            <a:ext uri="{FF2B5EF4-FFF2-40B4-BE49-F238E27FC236}">
              <a16:creationId xmlns:a16="http://schemas.microsoft.com/office/drawing/2014/main" id="{00000000-0008-0000-06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73710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19</xdr:row>
      <xdr:rowOff>0</xdr:rowOff>
    </xdr:from>
    <xdr:ext cx="15875" cy="397439"/>
    <xdr:pic>
      <xdr:nvPicPr>
        <xdr:cNvPr id="8" name="Picture 6" descr=".">
          <a:extLst>
            <a:ext uri="{FF2B5EF4-FFF2-40B4-BE49-F238E27FC236}">
              <a16:creationId xmlns:a16="http://schemas.microsoft.com/office/drawing/2014/main" id="{00000000-0008-0000-06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7371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9" name="Picture 7" descr=".">
          <a:extLst>
            <a:ext uri="{FF2B5EF4-FFF2-40B4-BE49-F238E27FC236}">
              <a16:creationId xmlns:a16="http://schemas.microsoft.com/office/drawing/2014/main" id="{00000000-0008-0000-06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7371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0" name="Picture 8" descr=".">
          <a:extLst>
            <a:ext uri="{FF2B5EF4-FFF2-40B4-BE49-F238E27FC236}">
              <a16:creationId xmlns:a16="http://schemas.microsoft.com/office/drawing/2014/main" id="{00000000-0008-0000-06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7371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1" name="Picture 9" descr=".">
          <a:extLst>
            <a:ext uri="{FF2B5EF4-FFF2-40B4-BE49-F238E27FC236}">
              <a16:creationId xmlns:a16="http://schemas.microsoft.com/office/drawing/2014/main" id="{00000000-0008-0000-06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7371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2" name="Picture 10" descr=".">
          <a:extLst>
            <a:ext uri="{FF2B5EF4-FFF2-40B4-BE49-F238E27FC236}">
              <a16:creationId xmlns:a16="http://schemas.microsoft.com/office/drawing/2014/main" id="{00000000-0008-0000-06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7371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3" name="Picture 11" descr=".">
          <a:extLst>
            <a:ext uri="{FF2B5EF4-FFF2-40B4-BE49-F238E27FC236}">
              <a16:creationId xmlns:a16="http://schemas.microsoft.com/office/drawing/2014/main" id="{00000000-0008-0000-06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7371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4" name="Picture 6" descr=".">
          <a:extLst>
            <a:ext uri="{FF2B5EF4-FFF2-40B4-BE49-F238E27FC236}">
              <a16:creationId xmlns:a16="http://schemas.microsoft.com/office/drawing/2014/main" id="{00000000-0008-0000-06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5" name="Picture 7" descr=".">
          <a:extLst>
            <a:ext uri="{FF2B5EF4-FFF2-40B4-BE49-F238E27FC236}">
              <a16:creationId xmlns:a16="http://schemas.microsoft.com/office/drawing/2014/main" id="{00000000-0008-0000-06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6" name="Picture 8" descr=".">
          <a:extLst>
            <a:ext uri="{FF2B5EF4-FFF2-40B4-BE49-F238E27FC236}">
              <a16:creationId xmlns:a16="http://schemas.microsoft.com/office/drawing/2014/main" id="{00000000-0008-0000-06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7" name="Picture 9" descr=".">
          <a:extLst>
            <a:ext uri="{FF2B5EF4-FFF2-40B4-BE49-F238E27FC236}">
              <a16:creationId xmlns:a16="http://schemas.microsoft.com/office/drawing/2014/main" id="{00000000-0008-0000-06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18" name="Picture 10" descr=".">
          <a:extLst>
            <a:ext uri="{FF2B5EF4-FFF2-40B4-BE49-F238E27FC236}">
              <a16:creationId xmlns:a16="http://schemas.microsoft.com/office/drawing/2014/main" id="{00000000-0008-0000-06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19" name="Picture 11" descr=".">
          <a:extLst>
            <a:ext uri="{FF2B5EF4-FFF2-40B4-BE49-F238E27FC236}">
              <a16:creationId xmlns:a16="http://schemas.microsoft.com/office/drawing/2014/main" id="{00000000-0008-0000-06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 name="Picture 6" descr=".">
          <a:extLst>
            <a:ext uri="{FF2B5EF4-FFF2-40B4-BE49-F238E27FC236}">
              <a16:creationId xmlns:a16="http://schemas.microsoft.com/office/drawing/2014/main" id="{00000000-0008-0000-06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 name="Picture 7" descr=".">
          <a:extLst>
            <a:ext uri="{FF2B5EF4-FFF2-40B4-BE49-F238E27FC236}">
              <a16:creationId xmlns:a16="http://schemas.microsoft.com/office/drawing/2014/main" id="{00000000-0008-0000-06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2" name="Picture 8" descr=".">
          <a:extLst>
            <a:ext uri="{FF2B5EF4-FFF2-40B4-BE49-F238E27FC236}">
              <a16:creationId xmlns:a16="http://schemas.microsoft.com/office/drawing/2014/main" id="{00000000-0008-0000-06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3" name="Picture 9" descr=".">
          <a:extLst>
            <a:ext uri="{FF2B5EF4-FFF2-40B4-BE49-F238E27FC236}">
              <a16:creationId xmlns:a16="http://schemas.microsoft.com/office/drawing/2014/main" id="{00000000-0008-0000-06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4" name="Picture 10" descr=".">
          <a:extLst>
            <a:ext uri="{FF2B5EF4-FFF2-40B4-BE49-F238E27FC236}">
              <a16:creationId xmlns:a16="http://schemas.microsoft.com/office/drawing/2014/main" id="{00000000-0008-0000-06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5" name="Picture 11" descr=".">
          <a:extLst>
            <a:ext uri="{FF2B5EF4-FFF2-40B4-BE49-F238E27FC236}">
              <a16:creationId xmlns:a16="http://schemas.microsoft.com/office/drawing/2014/main" id="{00000000-0008-0000-06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6" name="Picture 6" descr=".">
          <a:extLst>
            <a:ext uri="{FF2B5EF4-FFF2-40B4-BE49-F238E27FC236}">
              <a16:creationId xmlns:a16="http://schemas.microsoft.com/office/drawing/2014/main" id="{00000000-0008-0000-06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7" name="Picture 7" descr=".">
          <a:extLst>
            <a:ext uri="{FF2B5EF4-FFF2-40B4-BE49-F238E27FC236}">
              <a16:creationId xmlns:a16="http://schemas.microsoft.com/office/drawing/2014/main" id="{00000000-0008-0000-06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8" name="Picture 8" descr=".">
          <a:extLst>
            <a:ext uri="{FF2B5EF4-FFF2-40B4-BE49-F238E27FC236}">
              <a16:creationId xmlns:a16="http://schemas.microsoft.com/office/drawing/2014/main" id="{00000000-0008-0000-06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9" name="Picture 9" descr=".">
          <a:extLst>
            <a:ext uri="{FF2B5EF4-FFF2-40B4-BE49-F238E27FC236}">
              <a16:creationId xmlns:a16="http://schemas.microsoft.com/office/drawing/2014/main" id="{00000000-0008-0000-06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30" name="Picture 10" descr=".">
          <a:extLst>
            <a:ext uri="{FF2B5EF4-FFF2-40B4-BE49-F238E27FC236}">
              <a16:creationId xmlns:a16="http://schemas.microsoft.com/office/drawing/2014/main" id="{00000000-0008-0000-06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31" name="Picture 11" descr=".">
          <a:extLst>
            <a:ext uri="{FF2B5EF4-FFF2-40B4-BE49-F238E27FC236}">
              <a16:creationId xmlns:a16="http://schemas.microsoft.com/office/drawing/2014/main" id="{00000000-0008-0000-06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20</xdr:row>
      <xdr:rowOff>0</xdr:rowOff>
    </xdr:from>
    <xdr:to>
      <xdr:col>2</xdr:col>
      <xdr:colOff>13970</xdr:colOff>
      <xdr:row>20</xdr:row>
      <xdr:rowOff>208209</xdr:rowOff>
    </xdr:to>
    <xdr:pic>
      <xdr:nvPicPr>
        <xdr:cNvPr id="32" name="Picture 6" descr=".">
          <a:extLst>
            <a:ext uri="{FF2B5EF4-FFF2-40B4-BE49-F238E27FC236}">
              <a16:creationId xmlns:a16="http://schemas.microsoft.com/office/drawing/2014/main" id="{00000000-0008-0000-06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3" name="Picture 7" descr=".">
          <a:extLst>
            <a:ext uri="{FF2B5EF4-FFF2-40B4-BE49-F238E27FC236}">
              <a16:creationId xmlns:a16="http://schemas.microsoft.com/office/drawing/2014/main" id="{00000000-0008-0000-06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208209</xdr:rowOff>
    </xdr:to>
    <xdr:pic>
      <xdr:nvPicPr>
        <xdr:cNvPr id="34" name="Picture 8" descr=".">
          <a:extLst>
            <a:ext uri="{FF2B5EF4-FFF2-40B4-BE49-F238E27FC236}">
              <a16:creationId xmlns:a16="http://schemas.microsoft.com/office/drawing/2014/main" id="{00000000-0008-0000-06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5" name="Picture 9" descr=".">
          <a:extLst>
            <a:ext uri="{FF2B5EF4-FFF2-40B4-BE49-F238E27FC236}">
              <a16:creationId xmlns:a16="http://schemas.microsoft.com/office/drawing/2014/main" id="{00000000-0008-0000-06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208208</xdr:rowOff>
    </xdr:to>
    <xdr:pic>
      <xdr:nvPicPr>
        <xdr:cNvPr id="36" name="Picture 10" descr=".">
          <a:extLst>
            <a:ext uri="{FF2B5EF4-FFF2-40B4-BE49-F238E27FC236}">
              <a16:creationId xmlns:a16="http://schemas.microsoft.com/office/drawing/2014/main" id="{00000000-0008-0000-06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208211</xdr:rowOff>
    </xdr:to>
    <xdr:pic>
      <xdr:nvPicPr>
        <xdr:cNvPr id="37" name="Picture 11" descr=".">
          <a:extLst>
            <a:ext uri="{FF2B5EF4-FFF2-40B4-BE49-F238E27FC236}">
              <a16:creationId xmlns:a16="http://schemas.microsoft.com/office/drawing/2014/main" id="{00000000-0008-0000-06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20</xdr:row>
      <xdr:rowOff>0</xdr:rowOff>
    </xdr:from>
    <xdr:ext cx="15875" cy="395534"/>
    <xdr:pic>
      <xdr:nvPicPr>
        <xdr:cNvPr id="38" name="Picture 6" descr=".">
          <a:extLst>
            <a:ext uri="{FF2B5EF4-FFF2-40B4-BE49-F238E27FC236}">
              <a16:creationId xmlns:a16="http://schemas.microsoft.com/office/drawing/2014/main" id="{00000000-0008-0000-06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39" name="Picture 7" descr=".">
          <a:extLst>
            <a:ext uri="{FF2B5EF4-FFF2-40B4-BE49-F238E27FC236}">
              <a16:creationId xmlns:a16="http://schemas.microsoft.com/office/drawing/2014/main" id="{00000000-0008-0000-06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40" name="Picture 8" descr=".">
          <a:extLst>
            <a:ext uri="{FF2B5EF4-FFF2-40B4-BE49-F238E27FC236}">
              <a16:creationId xmlns:a16="http://schemas.microsoft.com/office/drawing/2014/main" id="{00000000-0008-0000-06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41" name="Picture 9" descr=".">
          <a:extLst>
            <a:ext uri="{FF2B5EF4-FFF2-40B4-BE49-F238E27FC236}">
              <a16:creationId xmlns:a16="http://schemas.microsoft.com/office/drawing/2014/main" id="{00000000-0008-0000-06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42" name="Picture 10" descr=".">
          <a:extLst>
            <a:ext uri="{FF2B5EF4-FFF2-40B4-BE49-F238E27FC236}">
              <a16:creationId xmlns:a16="http://schemas.microsoft.com/office/drawing/2014/main" id="{00000000-0008-0000-06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43" name="Picture 11" descr=".">
          <a:extLst>
            <a:ext uri="{FF2B5EF4-FFF2-40B4-BE49-F238E27FC236}">
              <a16:creationId xmlns:a16="http://schemas.microsoft.com/office/drawing/2014/main" id="{00000000-0008-0000-06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4" name="Picture 6" descr=".">
          <a:extLst>
            <a:ext uri="{FF2B5EF4-FFF2-40B4-BE49-F238E27FC236}">
              <a16:creationId xmlns:a16="http://schemas.microsoft.com/office/drawing/2014/main" id="{00000000-0008-0000-06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49276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5" name="Picture 7" descr=".">
          <a:extLst>
            <a:ext uri="{FF2B5EF4-FFF2-40B4-BE49-F238E27FC236}">
              <a16:creationId xmlns:a16="http://schemas.microsoft.com/office/drawing/2014/main" id="{00000000-0008-0000-06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49276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6" name="Picture 8" descr=".">
          <a:extLst>
            <a:ext uri="{FF2B5EF4-FFF2-40B4-BE49-F238E27FC236}">
              <a16:creationId xmlns:a16="http://schemas.microsoft.com/office/drawing/2014/main" id="{00000000-0008-0000-06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49276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7" name="Picture 9" descr=".">
          <a:extLst>
            <a:ext uri="{FF2B5EF4-FFF2-40B4-BE49-F238E27FC236}">
              <a16:creationId xmlns:a16="http://schemas.microsoft.com/office/drawing/2014/main" id="{00000000-0008-0000-06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49276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48" name="Picture 10" descr=".">
          <a:extLst>
            <a:ext uri="{FF2B5EF4-FFF2-40B4-BE49-F238E27FC236}">
              <a16:creationId xmlns:a16="http://schemas.microsoft.com/office/drawing/2014/main" id="{00000000-0008-0000-06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49276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49" name="Picture 11" descr=".">
          <a:extLst>
            <a:ext uri="{FF2B5EF4-FFF2-40B4-BE49-F238E27FC236}">
              <a16:creationId xmlns:a16="http://schemas.microsoft.com/office/drawing/2014/main" id="{00000000-0008-0000-06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49276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0" name="Picture 6" descr=".">
          <a:extLst>
            <a:ext uri="{FF2B5EF4-FFF2-40B4-BE49-F238E27FC236}">
              <a16:creationId xmlns:a16="http://schemas.microsoft.com/office/drawing/2014/main" id="{00000000-0008-0000-06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1" name="Picture 7" descr=".">
          <a:extLst>
            <a:ext uri="{FF2B5EF4-FFF2-40B4-BE49-F238E27FC236}">
              <a16:creationId xmlns:a16="http://schemas.microsoft.com/office/drawing/2014/main" id="{00000000-0008-0000-06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2" name="Picture 8" descr=".">
          <a:extLst>
            <a:ext uri="{FF2B5EF4-FFF2-40B4-BE49-F238E27FC236}">
              <a16:creationId xmlns:a16="http://schemas.microsoft.com/office/drawing/2014/main" id="{00000000-0008-0000-06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3" name="Picture 9" descr=".">
          <a:extLst>
            <a:ext uri="{FF2B5EF4-FFF2-40B4-BE49-F238E27FC236}">
              <a16:creationId xmlns:a16="http://schemas.microsoft.com/office/drawing/2014/main" id="{00000000-0008-0000-06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8"/>
    <xdr:pic>
      <xdr:nvPicPr>
        <xdr:cNvPr id="54" name="Picture 10" descr=".">
          <a:extLst>
            <a:ext uri="{FF2B5EF4-FFF2-40B4-BE49-F238E27FC236}">
              <a16:creationId xmlns:a16="http://schemas.microsoft.com/office/drawing/2014/main" id="{00000000-0008-0000-06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1"/>
    <xdr:pic>
      <xdr:nvPicPr>
        <xdr:cNvPr id="55" name="Picture 11" descr=".">
          <a:extLst>
            <a:ext uri="{FF2B5EF4-FFF2-40B4-BE49-F238E27FC236}">
              <a16:creationId xmlns:a16="http://schemas.microsoft.com/office/drawing/2014/main" id="{00000000-0008-0000-06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6" name="Picture 6" descr=".">
          <a:extLst>
            <a:ext uri="{FF2B5EF4-FFF2-40B4-BE49-F238E27FC236}">
              <a16:creationId xmlns:a16="http://schemas.microsoft.com/office/drawing/2014/main" id="{00000000-0008-0000-06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7" name="Picture 7" descr=".">
          <a:extLst>
            <a:ext uri="{FF2B5EF4-FFF2-40B4-BE49-F238E27FC236}">
              <a16:creationId xmlns:a16="http://schemas.microsoft.com/office/drawing/2014/main" id="{00000000-0008-0000-06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8" name="Picture 8" descr=".">
          <a:extLst>
            <a:ext uri="{FF2B5EF4-FFF2-40B4-BE49-F238E27FC236}">
              <a16:creationId xmlns:a16="http://schemas.microsoft.com/office/drawing/2014/main" id="{00000000-0008-0000-06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9" name="Picture 9" descr=".">
          <a:extLst>
            <a:ext uri="{FF2B5EF4-FFF2-40B4-BE49-F238E27FC236}">
              <a16:creationId xmlns:a16="http://schemas.microsoft.com/office/drawing/2014/main" id="{00000000-0008-0000-06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0" name="Picture 10" descr=".">
          <a:extLst>
            <a:ext uri="{FF2B5EF4-FFF2-40B4-BE49-F238E27FC236}">
              <a16:creationId xmlns:a16="http://schemas.microsoft.com/office/drawing/2014/main" id="{00000000-0008-0000-06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1" name="Picture 11" descr=".">
          <a:extLst>
            <a:ext uri="{FF2B5EF4-FFF2-40B4-BE49-F238E27FC236}">
              <a16:creationId xmlns:a16="http://schemas.microsoft.com/office/drawing/2014/main" id="{00000000-0008-0000-06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2" name="Picture 6" descr=".">
          <a:extLst>
            <a:ext uri="{FF2B5EF4-FFF2-40B4-BE49-F238E27FC236}">
              <a16:creationId xmlns:a16="http://schemas.microsoft.com/office/drawing/2014/main" id="{00000000-0008-0000-06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3" name="Picture 7" descr=".">
          <a:extLst>
            <a:ext uri="{FF2B5EF4-FFF2-40B4-BE49-F238E27FC236}">
              <a16:creationId xmlns:a16="http://schemas.microsoft.com/office/drawing/2014/main" id="{00000000-0008-0000-06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4" name="Picture 8" descr=".">
          <a:extLst>
            <a:ext uri="{FF2B5EF4-FFF2-40B4-BE49-F238E27FC236}">
              <a16:creationId xmlns:a16="http://schemas.microsoft.com/office/drawing/2014/main" id="{00000000-0008-0000-06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5" name="Picture 9" descr=".">
          <a:extLst>
            <a:ext uri="{FF2B5EF4-FFF2-40B4-BE49-F238E27FC236}">
              <a16:creationId xmlns:a16="http://schemas.microsoft.com/office/drawing/2014/main" id="{00000000-0008-0000-06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6" name="Picture 10" descr=".">
          <a:extLst>
            <a:ext uri="{FF2B5EF4-FFF2-40B4-BE49-F238E27FC236}">
              <a16:creationId xmlns:a16="http://schemas.microsoft.com/office/drawing/2014/main" id="{00000000-0008-0000-06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7" name="Picture 11" descr=".">
          <a:extLst>
            <a:ext uri="{FF2B5EF4-FFF2-40B4-BE49-F238E27FC236}">
              <a16:creationId xmlns:a16="http://schemas.microsoft.com/office/drawing/2014/main" id="{00000000-0008-0000-06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8" name="Picture 6" descr=".">
          <a:extLst>
            <a:ext uri="{FF2B5EF4-FFF2-40B4-BE49-F238E27FC236}">
              <a16:creationId xmlns:a16="http://schemas.microsoft.com/office/drawing/2014/main" id="{00000000-0008-0000-06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9" name="Picture 7" descr=".">
          <a:extLst>
            <a:ext uri="{FF2B5EF4-FFF2-40B4-BE49-F238E27FC236}">
              <a16:creationId xmlns:a16="http://schemas.microsoft.com/office/drawing/2014/main" id="{00000000-0008-0000-06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70" name="Picture 8" descr=".">
          <a:extLst>
            <a:ext uri="{FF2B5EF4-FFF2-40B4-BE49-F238E27FC236}">
              <a16:creationId xmlns:a16="http://schemas.microsoft.com/office/drawing/2014/main" id="{00000000-0008-0000-06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71" name="Picture 9" descr=".">
          <a:extLst>
            <a:ext uri="{FF2B5EF4-FFF2-40B4-BE49-F238E27FC236}">
              <a16:creationId xmlns:a16="http://schemas.microsoft.com/office/drawing/2014/main" id="{00000000-0008-0000-06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72" name="Picture 10" descr=".">
          <a:extLst>
            <a:ext uri="{FF2B5EF4-FFF2-40B4-BE49-F238E27FC236}">
              <a16:creationId xmlns:a16="http://schemas.microsoft.com/office/drawing/2014/main" id="{00000000-0008-0000-06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73" name="Picture 11" descr=".">
          <a:extLst>
            <a:ext uri="{FF2B5EF4-FFF2-40B4-BE49-F238E27FC236}">
              <a16:creationId xmlns:a16="http://schemas.microsoft.com/office/drawing/2014/main" id="{00000000-0008-0000-06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4" name="Picture 6" descr=".">
          <a:extLst>
            <a:ext uri="{FF2B5EF4-FFF2-40B4-BE49-F238E27FC236}">
              <a16:creationId xmlns:a16="http://schemas.microsoft.com/office/drawing/2014/main" id="{00000000-0008-0000-06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5118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5" name="Picture 7" descr=".">
          <a:extLst>
            <a:ext uri="{FF2B5EF4-FFF2-40B4-BE49-F238E27FC236}">
              <a16:creationId xmlns:a16="http://schemas.microsoft.com/office/drawing/2014/main" id="{00000000-0008-0000-06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5118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6" name="Picture 8" descr=".">
          <a:extLst>
            <a:ext uri="{FF2B5EF4-FFF2-40B4-BE49-F238E27FC236}">
              <a16:creationId xmlns:a16="http://schemas.microsoft.com/office/drawing/2014/main" id="{00000000-0008-0000-06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5118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7" name="Picture 9" descr=".">
          <a:extLst>
            <a:ext uri="{FF2B5EF4-FFF2-40B4-BE49-F238E27FC236}">
              <a16:creationId xmlns:a16="http://schemas.microsoft.com/office/drawing/2014/main" id="{00000000-0008-0000-06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5118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8" name="Picture 10" descr=".">
          <a:extLst>
            <a:ext uri="{FF2B5EF4-FFF2-40B4-BE49-F238E27FC236}">
              <a16:creationId xmlns:a16="http://schemas.microsoft.com/office/drawing/2014/main" id="{00000000-0008-0000-06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5118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9" name="Picture 11" descr=".">
          <a:extLst>
            <a:ext uri="{FF2B5EF4-FFF2-40B4-BE49-F238E27FC236}">
              <a16:creationId xmlns:a16="http://schemas.microsoft.com/office/drawing/2014/main" id="{00000000-0008-0000-06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5118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0" name="Picture 6" descr=".">
          <a:extLst>
            <a:ext uri="{FF2B5EF4-FFF2-40B4-BE49-F238E27FC236}">
              <a16:creationId xmlns:a16="http://schemas.microsoft.com/office/drawing/2014/main" id="{00000000-0008-0000-06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5118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1" name="Picture 7" descr=".">
          <a:extLst>
            <a:ext uri="{FF2B5EF4-FFF2-40B4-BE49-F238E27FC236}">
              <a16:creationId xmlns:a16="http://schemas.microsoft.com/office/drawing/2014/main" id="{00000000-0008-0000-06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5118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2" name="Picture 8" descr=".">
          <a:extLst>
            <a:ext uri="{FF2B5EF4-FFF2-40B4-BE49-F238E27FC236}">
              <a16:creationId xmlns:a16="http://schemas.microsoft.com/office/drawing/2014/main" id="{00000000-0008-0000-06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5118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3" name="Picture 9" descr=".">
          <a:extLst>
            <a:ext uri="{FF2B5EF4-FFF2-40B4-BE49-F238E27FC236}">
              <a16:creationId xmlns:a16="http://schemas.microsoft.com/office/drawing/2014/main" id="{00000000-0008-0000-06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5118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8"/>
    <xdr:pic>
      <xdr:nvPicPr>
        <xdr:cNvPr id="84" name="Picture 10" descr=".">
          <a:extLst>
            <a:ext uri="{FF2B5EF4-FFF2-40B4-BE49-F238E27FC236}">
              <a16:creationId xmlns:a16="http://schemas.microsoft.com/office/drawing/2014/main" id="{00000000-0008-0000-06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5118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1"/>
    <xdr:pic>
      <xdr:nvPicPr>
        <xdr:cNvPr id="85" name="Picture 11" descr=".">
          <a:extLst>
            <a:ext uri="{FF2B5EF4-FFF2-40B4-BE49-F238E27FC236}">
              <a16:creationId xmlns:a16="http://schemas.microsoft.com/office/drawing/2014/main" id="{00000000-0008-0000-06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5118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6" name="Picture 6" descr=".">
          <a:extLst>
            <a:ext uri="{FF2B5EF4-FFF2-40B4-BE49-F238E27FC236}">
              <a16:creationId xmlns:a16="http://schemas.microsoft.com/office/drawing/2014/main" id="{00000000-0008-0000-06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7" name="Picture 7" descr=".">
          <a:extLst>
            <a:ext uri="{FF2B5EF4-FFF2-40B4-BE49-F238E27FC236}">
              <a16:creationId xmlns:a16="http://schemas.microsoft.com/office/drawing/2014/main" id="{00000000-0008-0000-06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8" name="Picture 8" descr=".">
          <a:extLst>
            <a:ext uri="{FF2B5EF4-FFF2-40B4-BE49-F238E27FC236}">
              <a16:creationId xmlns:a16="http://schemas.microsoft.com/office/drawing/2014/main" id="{00000000-0008-0000-06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9" name="Picture 9" descr=".">
          <a:extLst>
            <a:ext uri="{FF2B5EF4-FFF2-40B4-BE49-F238E27FC236}">
              <a16:creationId xmlns:a16="http://schemas.microsoft.com/office/drawing/2014/main" id="{00000000-0008-0000-06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0" name="Picture 10" descr=".">
          <a:extLst>
            <a:ext uri="{FF2B5EF4-FFF2-40B4-BE49-F238E27FC236}">
              <a16:creationId xmlns:a16="http://schemas.microsoft.com/office/drawing/2014/main" id="{00000000-0008-0000-06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1" name="Picture 11" descr=".">
          <a:extLst>
            <a:ext uri="{FF2B5EF4-FFF2-40B4-BE49-F238E27FC236}">
              <a16:creationId xmlns:a16="http://schemas.microsoft.com/office/drawing/2014/main" id="{00000000-0008-0000-06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2" name="Picture 6" descr=".">
          <a:extLst>
            <a:ext uri="{FF2B5EF4-FFF2-40B4-BE49-F238E27FC236}">
              <a16:creationId xmlns:a16="http://schemas.microsoft.com/office/drawing/2014/main" id="{00000000-0008-0000-06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3" name="Picture 7" descr=".">
          <a:extLst>
            <a:ext uri="{FF2B5EF4-FFF2-40B4-BE49-F238E27FC236}">
              <a16:creationId xmlns:a16="http://schemas.microsoft.com/office/drawing/2014/main" id="{00000000-0008-0000-06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4" name="Picture 8" descr=".">
          <a:extLst>
            <a:ext uri="{FF2B5EF4-FFF2-40B4-BE49-F238E27FC236}">
              <a16:creationId xmlns:a16="http://schemas.microsoft.com/office/drawing/2014/main" id="{00000000-0008-0000-06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5" name="Picture 9" descr=".">
          <a:extLst>
            <a:ext uri="{FF2B5EF4-FFF2-40B4-BE49-F238E27FC236}">
              <a16:creationId xmlns:a16="http://schemas.microsoft.com/office/drawing/2014/main" id="{00000000-0008-0000-06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6" name="Picture 10" descr=".">
          <a:extLst>
            <a:ext uri="{FF2B5EF4-FFF2-40B4-BE49-F238E27FC236}">
              <a16:creationId xmlns:a16="http://schemas.microsoft.com/office/drawing/2014/main" id="{00000000-0008-0000-06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7" name="Picture 11" descr=".">
          <a:extLst>
            <a:ext uri="{FF2B5EF4-FFF2-40B4-BE49-F238E27FC236}">
              <a16:creationId xmlns:a16="http://schemas.microsoft.com/office/drawing/2014/main" id="{00000000-0008-0000-06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8" name="Picture 6" descr=".">
          <a:extLst>
            <a:ext uri="{FF2B5EF4-FFF2-40B4-BE49-F238E27FC236}">
              <a16:creationId xmlns:a16="http://schemas.microsoft.com/office/drawing/2014/main" id="{00000000-0008-0000-06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9" name="Picture 7" descr=".">
          <a:extLst>
            <a:ext uri="{FF2B5EF4-FFF2-40B4-BE49-F238E27FC236}">
              <a16:creationId xmlns:a16="http://schemas.microsoft.com/office/drawing/2014/main" id="{00000000-0008-0000-06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100" name="Picture 8" descr=".">
          <a:extLst>
            <a:ext uri="{FF2B5EF4-FFF2-40B4-BE49-F238E27FC236}">
              <a16:creationId xmlns:a16="http://schemas.microsoft.com/office/drawing/2014/main" id="{00000000-0008-0000-06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101" name="Picture 9" descr=".">
          <a:extLst>
            <a:ext uri="{FF2B5EF4-FFF2-40B4-BE49-F238E27FC236}">
              <a16:creationId xmlns:a16="http://schemas.microsoft.com/office/drawing/2014/main" id="{00000000-0008-0000-06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102" name="Picture 10" descr=".">
          <a:extLst>
            <a:ext uri="{FF2B5EF4-FFF2-40B4-BE49-F238E27FC236}">
              <a16:creationId xmlns:a16="http://schemas.microsoft.com/office/drawing/2014/main" id="{00000000-0008-0000-06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103" name="Picture 11" descr=".">
          <a:extLst>
            <a:ext uri="{FF2B5EF4-FFF2-40B4-BE49-F238E27FC236}">
              <a16:creationId xmlns:a16="http://schemas.microsoft.com/office/drawing/2014/main" id="{00000000-0008-0000-06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4" name="Picture 6" descr=".">
          <a:extLst>
            <a:ext uri="{FF2B5EF4-FFF2-40B4-BE49-F238E27FC236}">
              <a16:creationId xmlns:a16="http://schemas.microsoft.com/office/drawing/2014/main" id="{00000000-0008-0000-06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5" name="Picture 7" descr=".">
          <a:extLst>
            <a:ext uri="{FF2B5EF4-FFF2-40B4-BE49-F238E27FC236}">
              <a16:creationId xmlns:a16="http://schemas.microsoft.com/office/drawing/2014/main" id="{00000000-0008-0000-06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6" name="Picture 8" descr=".">
          <a:extLst>
            <a:ext uri="{FF2B5EF4-FFF2-40B4-BE49-F238E27FC236}">
              <a16:creationId xmlns:a16="http://schemas.microsoft.com/office/drawing/2014/main" id="{00000000-0008-0000-06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7" name="Picture 9" descr=".">
          <a:extLst>
            <a:ext uri="{FF2B5EF4-FFF2-40B4-BE49-F238E27FC236}">
              <a16:creationId xmlns:a16="http://schemas.microsoft.com/office/drawing/2014/main" id="{00000000-0008-0000-06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8" name="Picture 10" descr=".">
          <a:extLst>
            <a:ext uri="{FF2B5EF4-FFF2-40B4-BE49-F238E27FC236}">
              <a16:creationId xmlns:a16="http://schemas.microsoft.com/office/drawing/2014/main" id="{00000000-0008-0000-06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9" name="Picture 11" descr=".">
          <a:extLst>
            <a:ext uri="{FF2B5EF4-FFF2-40B4-BE49-F238E27FC236}">
              <a16:creationId xmlns:a16="http://schemas.microsoft.com/office/drawing/2014/main" id="{00000000-0008-0000-06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0" name="Picture 6" descr=".">
          <a:extLst>
            <a:ext uri="{FF2B5EF4-FFF2-40B4-BE49-F238E27FC236}">
              <a16:creationId xmlns:a16="http://schemas.microsoft.com/office/drawing/2014/main" id="{00000000-0008-0000-06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1" name="Picture 7" descr=".">
          <a:extLst>
            <a:ext uri="{FF2B5EF4-FFF2-40B4-BE49-F238E27FC236}">
              <a16:creationId xmlns:a16="http://schemas.microsoft.com/office/drawing/2014/main" id="{00000000-0008-0000-06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2" name="Picture 8" descr=".">
          <a:extLst>
            <a:ext uri="{FF2B5EF4-FFF2-40B4-BE49-F238E27FC236}">
              <a16:creationId xmlns:a16="http://schemas.microsoft.com/office/drawing/2014/main" id="{00000000-0008-0000-06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3" name="Picture 9" descr=".">
          <a:extLst>
            <a:ext uri="{FF2B5EF4-FFF2-40B4-BE49-F238E27FC236}">
              <a16:creationId xmlns:a16="http://schemas.microsoft.com/office/drawing/2014/main" id="{00000000-0008-0000-06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114" name="Picture 10" descr=".">
          <a:extLst>
            <a:ext uri="{FF2B5EF4-FFF2-40B4-BE49-F238E27FC236}">
              <a16:creationId xmlns:a16="http://schemas.microsoft.com/office/drawing/2014/main" id="{00000000-0008-0000-06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115" name="Picture 11" descr=".">
          <a:extLst>
            <a:ext uri="{FF2B5EF4-FFF2-40B4-BE49-F238E27FC236}">
              <a16:creationId xmlns:a16="http://schemas.microsoft.com/office/drawing/2014/main" id="{00000000-0008-0000-06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6" name="Picture 6" descr=".">
          <a:extLst>
            <a:ext uri="{FF2B5EF4-FFF2-40B4-BE49-F238E27FC236}">
              <a16:creationId xmlns:a16="http://schemas.microsoft.com/office/drawing/2014/main" id="{00000000-0008-0000-06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7" name="Picture 7" descr=".">
          <a:extLst>
            <a:ext uri="{FF2B5EF4-FFF2-40B4-BE49-F238E27FC236}">
              <a16:creationId xmlns:a16="http://schemas.microsoft.com/office/drawing/2014/main" id="{00000000-0008-0000-06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8" name="Picture 8" descr=".">
          <a:extLst>
            <a:ext uri="{FF2B5EF4-FFF2-40B4-BE49-F238E27FC236}">
              <a16:creationId xmlns:a16="http://schemas.microsoft.com/office/drawing/2014/main" id="{00000000-0008-0000-06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9" name="Picture 9" descr=".">
          <a:extLst>
            <a:ext uri="{FF2B5EF4-FFF2-40B4-BE49-F238E27FC236}">
              <a16:creationId xmlns:a16="http://schemas.microsoft.com/office/drawing/2014/main" id="{00000000-0008-0000-06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0" name="Picture 10" descr=".">
          <a:extLst>
            <a:ext uri="{FF2B5EF4-FFF2-40B4-BE49-F238E27FC236}">
              <a16:creationId xmlns:a16="http://schemas.microsoft.com/office/drawing/2014/main" id="{00000000-0008-0000-06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1" name="Picture 11" descr=".">
          <a:extLst>
            <a:ext uri="{FF2B5EF4-FFF2-40B4-BE49-F238E27FC236}">
              <a16:creationId xmlns:a16="http://schemas.microsoft.com/office/drawing/2014/main" id="{00000000-0008-0000-06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2" name="Picture 6" descr=".">
          <a:extLst>
            <a:ext uri="{FF2B5EF4-FFF2-40B4-BE49-F238E27FC236}">
              <a16:creationId xmlns:a16="http://schemas.microsoft.com/office/drawing/2014/main" id="{00000000-0008-0000-06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3" name="Picture 7" descr=".">
          <a:extLst>
            <a:ext uri="{FF2B5EF4-FFF2-40B4-BE49-F238E27FC236}">
              <a16:creationId xmlns:a16="http://schemas.microsoft.com/office/drawing/2014/main" id="{00000000-0008-0000-06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4" name="Picture 8" descr=".">
          <a:extLst>
            <a:ext uri="{FF2B5EF4-FFF2-40B4-BE49-F238E27FC236}">
              <a16:creationId xmlns:a16="http://schemas.microsoft.com/office/drawing/2014/main" id="{00000000-0008-0000-06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5" name="Picture 9" descr=".">
          <a:extLst>
            <a:ext uri="{FF2B5EF4-FFF2-40B4-BE49-F238E27FC236}">
              <a16:creationId xmlns:a16="http://schemas.microsoft.com/office/drawing/2014/main" id="{00000000-0008-0000-06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6" name="Picture 10" descr=".">
          <a:extLst>
            <a:ext uri="{FF2B5EF4-FFF2-40B4-BE49-F238E27FC236}">
              <a16:creationId xmlns:a16="http://schemas.microsoft.com/office/drawing/2014/main" id="{00000000-0008-0000-06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7" name="Picture 11" descr=".">
          <a:extLst>
            <a:ext uri="{FF2B5EF4-FFF2-40B4-BE49-F238E27FC236}">
              <a16:creationId xmlns:a16="http://schemas.microsoft.com/office/drawing/2014/main" id="{00000000-0008-0000-06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8" name="Picture 6" descr=".">
          <a:extLst>
            <a:ext uri="{FF2B5EF4-FFF2-40B4-BE49-F238E27FC236}">
              <a16:creationId xmlns:a16="http://schemas.microsoft.com/office/drawing/2014/main" id="{00000000-0008-0000-06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9" name="Picture 7" descr=".">
          <a:extLst>
            <a:ext uri="{FF2B5EF4-FFF2-40B4-BE49-F238E27FC236}">
              <a16:creationId xmlns:a16="http://schemas.microsoft.com/office/drawing/2014/main" id="{00000000-0008-0000-06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30" name="Picture 8" descr=".">
          <a:extLst>
            <a:ext uri="{FF2B5EF4-FFF2-40B4-BE49-F238E27FC236}">
              <a16:creationId xmlns:a16="http://schemas.microsoft.com/office/drawing/2014/main" id="{00000000-0008-0000-06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31" name="Picture 9" descr=".">
          <a:extLst>
            <a:ext uri="{FF2B5EF4-FFF2-40B4-BE49-F238E27FC236}">
              <a16:creationId xmlns:a16="http://schemas.microsoft.com/office/drawing/2014/main" id="{00000000-0008-0000-06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32" name="Picture 10" descr=".">
          <a:extLst>
            <a:ext uri="{FF2B5EF4-FFF2-40B4-BE49-F238E27FC236}">
              <a16:creationId xmlns:a16="http://schemas.microsoft.com/office/drawing/2014/main" id="{00000000-0008-0000-06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33" name="Picture 11" descr=".">
          <a:extLst>
            <a:ext uri="{FF2B5EF4-FFF2-40B4-BE49-F238E27FC236}">
              <a16:creationId xmlns:a16="http://schemas.microsoft.com/office/drawing/2014/main" id="{00000000-0008-0000-06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4" name="Picture 6" descr=".">
          <a:extLst>
            <a:ext uri="{FF2B5EF4-FFF2-40B4-BE49-F238E27FC236}">
              <a16:creationId xmlns:a16="http://schemas.microsoft.com/office/drawing/2014/main" id="{00000000-0008-0000-06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5118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5" name="Picture 7" descr=".">
          <a:extLst>
            <a:ext uri="{FF2B5EF4-FFF2-40B4-BE49-F238E27FC236}">
              <a16:creationId xmlns:a16="http://schemas.microsoft.com/office/drawing/2014/main" id="{00000000-0008-0000-06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5118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6" name="Picture 8" descr=".">
          <a:extLst>
            <a:ext uri="{FF2B5EF4-FFF2-40B4-BE49-F238E27FC236}">
              <a16:creationId xmlns:a16="http://schemas.microsoft.com/office/drawing/2014/main" id="{00000000-0008-0000-06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5118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7" name="Picture 9" descr=".">
          <a:extLst>
            <a:ext uri="{FF2B5EF4-FFF2-40B4-BE49-F238E27FC236}">
              <a16:creationId xmlns:a16="http://schemas.microsoft.com/office/drawing/2014/main" id="{00000000-0008-0000-06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5118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8" name="Picture 10" descr=".">
          <a:extLst>
            <a:ext uri="{FF2B5EF4-FFF2-40B4-BE49-F238E27FC236}">
              <a16:creationId xmlns:a16="http://schemas.microsoft.com/office/drawing/2014/main" id="{00000000-0008-0000-06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5118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9" name="Picture 11" descr=".">
          <a:extLst>
            <a:ext uri="{FF2B5EF4-FFF2-40B4-BE49-F238E27FC236}">
              <a16:creationId xmlns:a16="http://schemas.microsoft.com/office/drawing/2014/main" id="{00000000-0008-0000-06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5118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0" name="Picture 6" descr=".">
          <a:extLst>
            <a:ext uri="{FF2B5EF4-FFF2-40B4-BE49-F238E27FC236}">
              <a16:creationId xmlns:a16="http://schemas.microsoft.com/office/drawing/2014/main" id="{00000000-0008-0000-06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5118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1" name="Picture 7" descr=".">
          <a:extLst>
            <a:ext uri="{FF2B5EF4-FFF2-40B4-BE49-F238E27FC236}">
              <a16:creationId xmlns:a16="http://schemas.microsoft.com/office/drawing/2014/main" id="{00000000-0008-0000-06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5118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2" name="Picture 8" descr=".">
          <a:extLst>
            <a:ext uri="{FF2B5EF4-FFF2-40B4-BE49-F238E27FC236}">
              <a16:creationId xmlns:a16="http://schemas.microsoft.com/office/drawing/2014/main" id="{00000000-0008-0000-06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5118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3" name="Picture 9" descr=".">
          <a:extLst>
            <a:ext uri="{FF2B5EF4-FFF2-40B4-BE49-F238E27FC236}">
              <a16:creationId xmlns:a16="http://schemas.microsoft.com/office/drawing/2014/main" id="{00000000-0008-0000-06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5118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8"/>
    <xdr:pic>
      <xdr:nvPicPr>
        <xdr:cNvPr id="144" name="Picture 10" descr=".">
          <a:extLst>
            <a:ext uri="{FF2B5EF4-FFF2-40B4-BE49-F238E27FC236}">
              <a16:creationId xmlns:a16="http://schemas.microsoft.com/office/drawing/2014/main" id="{00000000-0008-0000-06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5118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1"/>
    <xdr:pic>
      <xdr:nvPicPr>
        <xdr:cNvPr id="145" name="Picture 11" descr=".">
          <a:extLst>
            <a:ext uri="{FF2B5EF4-FFF2-40B4-BE49-F238E27FC236}">
              <a16:creationId xmlns:a16="http://schemas.microsoft.com/office/drawing/2014/main" id="{00000000-0008-0000-06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5118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6" name="Picture 6" descr=".">
          <a:extLst>
            <a:ext uri="{FF2B5EF4-FFF2-40B4-BE49-F238E27FC236}">
              <a16:creationId xmlns:a16="http://schemas.microsoft.com/office/drawing/2014/main" id="{00000000-0008-0000-06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5153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7" name="Picture 7" descr=".">
          <a:extLst>
            <a:ext uri="{FF2B5EF4-FFF2-40B4-BE49-F238E27FC236}">
              <a16:creationId xmlns:a16="http://schemas.microsoft.com/office/drawing/2014/main" id="{00000000-0008-0000-06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5153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8" name="Picture 8" descr=".">
          <a:extLst>
            <a:ext uri="{FF2B5EF4-FFF2-40B4-BE49-F238E27FC236}">
              <a16:creationId xmlns:a16="http://schemas.microsoft.com/office/drawing/2014/main" id="{00000000-0008-0000-06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5153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9" name="Picture 9" descr=".">
          <a:extLst>
            <a:ext uri="{FF2B5EF4-FFF2-40B4-BE49-F238E27FC236}">
              <a16:creationId xmlns:a16="http://schemas.microsoft.com/office/drawing/2014/main" id="{00000000-0008-0000-06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5153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8"/>
    <xdr:pic>
      <xdr:nvPicPr>
        <xdr:cNvPr id="150" name="Picture 10" descr=".">
          <a:extLst>
            <a:ext uri="{FF2B5EF4-FFF2-40B4-BE49-F238E27FC236}">
              <a16:creationId xmlns:a16="http://schemas.microsoft.com/office/drawing/2014/main" id="{00000000-0008-0000-06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5153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1"/>
    <xdr:pic>
      <xdr:nvPicPr>
        <xdr:cNvPr id="151" name="Picture 11" descr=".">
          <a:extLst>
            <a:ext uri="{FF2B5EF4-FFF2-40B4-BE49-F238E27FC236}">
              <a16:creationId xmlns:a16="http://schemas.microsoft.com/office/drawing/2014/main" id="{00000000-0008-0000-06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5153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06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5153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06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5153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06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5153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06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5153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06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5153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06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5153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58" name="Picture 6" descr=".">
          <a:extLst>
            <a:ext uri="{FF2B5EF4-FFF2-40B4-BE49-F238E27FC236}">
              <a16:creationId xmlns:a16="http://schemas.microsoft.com/office/drawing/2014/main" id="{00000000-0008-0000-0600-00009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59" name="Picture 7" descr=".">
          <a:extLst>
            <a:ext uri="{FF2B5EF4-FFF2-40B4-BE49-F238E27FC236}">
              <a16:creationId xmlns:a16="http://schemas.microsoft.com/office/drawing/2014/main" id="{00000000-0008-0000-0600-00009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0" name="Picture 8" descr=".">
          <a:extLst>
            <a:ext uri="{FF2B5EF4-FFF2-40B4-BE49-F238E27FC236}">
              <a16:creationId xmlns:a16="http://schemas.microsoft.com/office/drawing/2014/main" id="{00000000-0008-0000-0600-0000A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1" name="Picture 9" descr=".">
          <a:extLst>
            <a:ext uri="{FF2B5EF4-FFF2-40B4-BE49-F238E27FC236}">
              <a16:creationId xmlns:a16="http://schemas.microsoft.com/office/drawing/2014/main" id="{00000000-0008-0000-0600-0000A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2" name="Picture 10" descr=".">
          <a:extLst>
            <a:ext uri="{FF2B5EF4-FFF2-40B4-BE49-F238E27FC236}">
              <a16:creationId xmlns:a16="http://schemas.microsoft.com/office/drawing/2014/main" id="{00000000-0008-0000-0600-0000A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3" name="Picture 11" descr=".">
          <a:extLst>
            <a:ext uri="{FF2B5EF4-FFF2-40B4-BE49-F238E27FC236}">
              <a16:creationId xmlns:a16="http://schemas.microsoft.com/office/drawing/2014/main" id="{00000000-0008-0000-0600-0000A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4" name="Picture 6" descr=".">
          <a:extLst>
            <a:ext uri="{FF2B5EF4-FFF2-40B4-BE49-F238E27FC236}">
              <a16:creationId xmlns:a16="http://schemas.microsoft.com/office/drawing/2014/main" id="{00000000-0008-0000-0600-0000A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5" name="Picture 7" descr=".">
          <a:extLst>
            <a:ext uri="{FF2B5EF4-FFF2-40B4-BE49-F238E27FC236}">
              <a16:creationId xmlns:a16="http://schemas.microsoft.com/office/drawing/2014/main" id="{00000000-0008-0000-06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6" name="Picture 8" descr=".">
          <a:extLst>
            <a:ext uri="{FF2B5EF4-FFF2-40B4-BE49-F238E27FC236}">
              <a16:creationId xmlns:a16="http://schemas.microsoft.com/office/drawing/2014/main" id="{00000000-0008-0000-0600-0000A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7" name="Picture 9" descr=".">
          <a:extLst>
            <a:ext uri="{FF2B5EF4-FFF2-40B4-BE49-F238E27FC236}">
              <a16:creationId xmlns:a16="http://schemas.microsoft.com/office/drawing/2014/main" id="{00000000-0008-0000-0600-0000A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8" name="Picture 10" descr=".">
          <a:extLst>
            <a:ext uri="{FF2B5EF4-FFF2-40B4-BE49-F238E27FC236}">
              <a16:creationId xmlns:a16="http://schemas.microsoft.com/office/drawing/2014/main" id="{00000000-0008-0000-0600-0000A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9" name="Picture 11" descr=".">
          <a:extLst>
            <a:ext uri="{FF2B5EF4-FFF2-40B4-BE49-F238E27FC236}">
              <a16:creationId xmlns:a16="http://schemas.microsoft.com/office/drawing/2014/main" id="{00000000-0008-0000-0600-0000A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0" name="Picture 6" descr=".">
          <a:extLst>
            <a:ext uri="{FF2B5EF4-FFF2-40B4-BE49-F238E27FC236}">
              <a16:creationId xmlns:a16="http://schemas.microsoft.com/office/drawing/2014/main" id="{00000000-0008-0000-0600-0000A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1" name="Picture 7" descr=".">
          <a:extLst>
            <a:ext uri="{FF2B5EF4-FFF2-40B4-BE49-F238E27FC236}">
              <a16:creationId xmlns:a16="http://schemas.microsoft.com/office/drawing/2014/main" id="{00000000-0008-0000-0600-0000A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2" name="Picture 8" descr=".">
          <a:extLst>
            <a:ext uri="{FF2B5EF4-FFF2-40B4-BE49-F238E27FC236}">
              <a16:creationId xmlns:a16="http://schemas.microsoft.com/office/drawing/2014/main" id="{00000000-0008-0000-0600-0000A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3" name="Picture 9" descr=".">
          <a:extLst>
            <a:ext uri="{FF2B5EF4-FFF2-40B4-BE49-F238E27FC236}">
              <a16:creationId xmlns:a16="http://schemas.microsoft.com/office/drawing/2014/main" id="{00000000-0008-0000-0600-0000A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74" name="Picture 10" descr=".">
          <a:extLst>
            <a:ext uri="{FF2B5EF4-FFF2-40B4-BE49-F238E27FC236}">
              <a16:creationId xmlns:a16="http://schemas.microsoft.com/office/drawing/2014/main" id="{00000000-0008-0000-0600-0000A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75" name="Picture 11" descr=".">
          <a:extLst>
            <a:ext uri="{FF2B5EF4-FFF2-40B4-BE49-F238E27FC236}">
              <a16:creationId xmlns:a16="http://schemas.microsoft.com/office/drawing/2014/main" id="{00000000-0008-0000-0600-0000A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6" name="Picture 6" descr=".">
          <a:extLst>
            <a:ext uri="{FF2B5EF4-FFF2-40B4-BE49-F238E27FC236}">
              <a16:creationId xmlns:a16="http://schemas.microsoft.com/office/drawing/2014/main" id="{00000000-0008-0000-0600-0000B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7" name="Picture 7" descr=".">
          <a:extLst>
            <a:ext uri="{FF2B5EF4-FFF2-40B4-BE49-F238E27FC236}">
              <a16:creationId xmlns:a16="http://schemas.microsoft.com/office/drawing/2014/main" id="{00000000-0008-0000-0600-0000B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8" name="Picture 8" descr=".">
          <a:extLst>
            <a:ext uri="{FF2B5EF4-FFF2-40B4-BE49-F238E27FC236}">
              <a16:creationId xmlns:a16="http://schemas.microsoft.com/office/drawing/2014/main" id="{00000000-0008-0000-0600-0000B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9" name="Picture 9" descr=".">
          <a:extLst>
            <a:ext uri="{FF2B5EF4-FFF2-40B4-BE49-F238E27FC236}">
              <a16:creationId xmlns:a16="http://schemas.microsoft.com/office/drawing/2014/main" id="{00000000-0008-0000-0600-0000B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8"/>
    <xdr:pic>
      <xdr:nvPicPr>
        <xdr:cNvPr id="180" name="Picture 10" descr=".">
          <a:extLst>
            <a:ext uri="{FF2B5EF4-FFF2-40B4-BE49-F238E27FC236}">
              <a16:creationId xmlns:a16="http://schemas.microsoft.com/office/drawing/2014/main" id="{00000000-0008-0000-0600-0000B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1"/>
    <xdr:pic>
      <xdr:nvPicPr>
        <xdr:cNvPr id="181" name="Picture 11" descr=".">
          <a:extLst>
            <a:ext uri="{FF2B5EF4-FFF2-40B4-BE49-F238E27FC236}">
              <a16:creationId xmlns:a16="http://schemas.microsoft.com/office/drawing/2014/main" id="{00000000-0008-0000-0600-0000B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2" name="Picture 6" descr=".">
          <a:extLst>
            <a:ext uri="{FF2B5EF4-FFF2-40B4-BE49-F238E27FC236}">
              <a16:creationId xmlns:a16="http://schemas.microsoft.com/office/drawing/2014/main" id="{00000000-0008-0000-0600-0000B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705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3" name="Picture 7" descr=".">
          <a:extLst>
            <a:ext uri="{FF2B5EF4-FFF2-40B4-BE49-F238E27FC236}">
              <a16:creationId xmlns:a16="http://schemas.microsoft.com/office/drawing/2014/main" id="{00000000-0008-0000-0600-0000B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705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4" name="Picture 8" descr=".">
          <a:extLst>
            <a:ext uri="{FF2B5EF4-FFF2-40B4-BE49-F238E27FC236}">
              <a16:creationId xmlns:a16="http://schemas.microsoft.com/office/drawing/2014/main" id="{00000000-0008-0000-0600-0000B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705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5" name="Picture 9" descr=".">
          <a:extLst>
            <a:ext uri="{FF2B5EF4-FFF2-40B4-BE49-F238E27FC236}">
              <a16:creationId xmlns:a16="http://schemas.microsoft.com/office/drawing/2014/main" id="{00000000-0008-0000-0600-0000B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705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86" name="Picture 10" descr=".">
          <a:extLst>
            <a:ext uri="{FF2B5EF4-FFF2-40B4-BE49-F238E27FC236}">
              <a16:creationId xmlns:a16="http://schemas.microsoft.com/office/drawing/2014/main" id="{00000000-0008-0000-0600-0000B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7058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87" name="Picture 11" descr=".">
          <a:extLst>
            <a:ext uri="{FF2B5EF4-FFF2-40B4-BE49-F238E27FC236}">
              <a16:creationId xmlns:a16="http://schemas.microsoft.com/office/drawing/2014/main" id="{00000000-0008-0000-0600-0000B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7058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88" name="Picture 6" descr=".">
          <a:extLst>
            <a:ext uri="{FF2B5EF4-FFF2-40B4-BE49-F238E27FC236}">
              <a16:creationId xmlns:a16="http://schemas.microsoft.com/office/drawing/2014/main" id="{00000000-0008-0000-0600-0000B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7058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89" name="Picture 7" descr=".">
          <a:extLst>
            <a:ext uri="{FF2B5EF4-FFF2-40B4-BE49-F238E27FC236}">
              <a16:creationId xmlns:a16="http://schemas.microsoft.com/office/drawing/2014/main" id="{00000000-0008-0000-0600-0000B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7058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90" name="Picture 8" descr=".">
          <a:extLst>
            <a:ext uri="{FF2B5EF4-FFF2-40B4-BE49-F238E27FC236}">
              <a16:creationId xmlns:a16="http://schemas.microsoft.com/office/drawing/2014/main" id="{00000000-0008-0000-0600-0000B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7058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91" name="Picture 9" descr=".">
          <a:extLst>
            <a:ext uri="{FF2B5EF4-FFF2-40B4-BE49-F238E27FC236}">
              <a16:creationId xmlns:a16="http://schemas.microsoft.com/office/drawing/2014/main" id="{00000000-0008-0000-0600-0000B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7058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192" name="Picture 10" descr=".">
          <a:extLst>
            <a:ext uri="{FF2B5EF4-FFF2-40B4-BE49-F238E27FC236}">
              <a16:creationId xmlns:a16="http://schemas.microsoft.com/office/drawing/2014/main" id="{00000000-0008-0000-0600-0000C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7058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193" name="Picture 11" descr=".">
          <a:extLst>
            <a:ext uri="{FF2B5EF4-FFF2-40B4-BE49-F238E27FC236}">
              <a16:creationId xmlns:a16="http://schemas.microsoft.com/office/drawing/2014/main" id="{00000000-0008-0000-0600-0000C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7058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4" name="Picture 6" descr=".">
          <a:extLst>
            <a:ext uri="{FF2B5EF4-FFF2-40B4-BE49-F238E27FC236}">
              <a16:creationId xmlns:a16="http://schemas.microsoft.com/office/drawing/2014/main" id="{00000000-0008-0000-0600-0000C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7058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5" name="Picture 7" descr=".">
          <a:extLst>
            <a:ext uri="{FF2B5EF4-FFF2-40B4-BE49-F238E27FC236}">
              <a16:creationId xmlns:a16="http://schemas.microsoft.com/office/drawing/2014/main" id="{00000000-0008-0000-0600-0000C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7058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6" name="Picture 8" descr=".">
          <a:extLst>
            <a:ext uri="{FF2B5EF4-FFF2-40B4-BE49-F238E27FC236}">
              <a16:creationId xmlns:a16="http://schemas.microsoft.com/office/drawing/2014/main" id="{00000000-0008-0000-0600-0000C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7058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7" name="Picture 9" descr=".">
          <a:extLst>
            <a:ext uri="{FF2B5EF4-FFF2-40B4-BE49-F238E27FC236}">
              <a16:creationId xmlns:a16="http://schemas.microsoft.com/office/drawing/2014/main" id="{00000000-0008-0000-0600-0000C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7058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98" name="Picture 10" descr=".">
          <a:extLst>
            <a:ext uri="{FF2B5EF4-FFF2-40B4-BE49-F238E27FC236}">
              <a16:creationId xmlns:a16="http://schemas.microsoft.com/office/drawing/2014/main" id="{00000000-0008-0000-0600-0000C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7058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99" name="Picture 11" descr=".">
          <a:extLst>
            <a:ext uri="{FF2B5EF4-FFF2-40B4-BE49-F238E27FC236}">
              <a16:creationId xmlns:a16="http://schemas.microsoft.com/office/drawing/2014/main" id="{00000000-0008-0000-0600-0000C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7058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0" name="Picture 6" descr=".">
          <a:extLst>
            <a:ext uri="{FF2B5EF4-FFF2-40B4-BE49-F238E27FC236}">
              <a16:creationId xmlns:a16="http://schemas.microsoft.com/office/drawing/2014/main" id="{00000000-0008-0000-0600-0000C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1" name="Picture 7" descr=".">
          <a:extLst>
            <a:ext uri="{FF2B5EF4-FFF2-40B4-BE49-F238E27FC236}">
              <a16:creationId xmlns:a16="http://schemas.microsoft.com/office/drawing/2014/main" id="{00000000-0008-0000-0600-0000C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2" name="Picture 8" descr=".">
          <a:extLst>
            <a:ext uri="{FF2B5EF4-FFF2-40B4-BE49-F238E27FC236}">
              <a16:creationId xmlns:a16="http://schemas.microsoft.com/office/drawing/2014/main" id="{00000000-0008-0000-0600-0000C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3" name="Picture 9" descr=".">
          <a:extLst>
            <a:ext uri="{FF2B5EF4-FFF2-40B4-BE49-F238E27FC236}">
              <a16:creationId xmlns:a16="http://schemas.microsoft.com/office/drawing/2014/main" id="{00000000-0008-0000-0600-0000C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04" name="Picture 10" descr=".">
          <a:extLst>
            <a:ext uri="{FF2B5EF4-FFF2-40B4-BE49-F238E27FC236}">
              <a16:creationId xmlns:a16="http://schemas.microsoft.com/office/drawing/2014/main" id="{00000000-0008-0000-0600-0000C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05" name="Picture 11" descr=".">
          <a:extLst>
            <a:ext uri="{FF2B5EF4-FFF2-40B4-BE49-F238E27FC236}">
              <a16:creationId xmlns:a16="http://schemas.microsoft.com/office/drawing/2014/main" id="{00000000-0008-0000-0600-0000C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6" name="Picture 6" descr=".">
          <a:extLst>
            <a:ext uri="{FF2B5EF4-FFF2-40B4-BE49-F238E27FC236}">
              <a16:creationId xmlns:a16="http://schemas.microsoft.com/office/drawing/2014/main" id="{00000000-0008-0000-0600-0000C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7" name="Picture 7" descr=".">
          <a:extLst>
            <a:ext uri="{FF2B5EF4-FFF2-40B4-BE49-F238E27FC236}">
              <a16:creationId xmlns:a16="http://schemas.microsoft.com/office/drawing/2014/main" id="{00000000-0008-0000-0600-0000C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8" name="Picture 8" descr=".">
          <a:extLst>
            <a:ext uri="{FF2B5EF4-FFF2-40B4-BE49-F238E27FC236}">
              <a16:creationId xmlns:a16="http://schemas.microsoft.com/office/drawing/2014/main" id="{00000000-0008-0000-0600-0000D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9" name="Picture 9" descr=".">
          <a:extLst>
            <a:ext uri="{FF2B5EF4-FFF2-40B4-BE49-F238E27FC236}">
              <a16:creationId xmlns:a16="http://schemas.microsoft.com/office/drawing/2014/main" id="{00000000-0008-0000-0600-0000D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0" name="Picture 10" descr=".">
          <a:extLst>
            <a:ext uri="{FF2B5EF4-FFF2-40B4-BE49-F238E27FC236}">
              <a16:creationId xmlns:a16="http://schemas.microsoft.com/office/drawing/2014/main" id="{00000000-0008-0000-0600-0000D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1" name="Picture 11" descr=".">
          <a:extLst>
            <a:ext uri="{FF2B5EF4-FFF2-40B4-BE49-F238E27FC236}">
              <a16:creationId xmlns:a16="http://schemas.microsoft.com/office/drawing/2014/main" id="{00000000-0008-0000-0600-0000D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2" name="Picture 6" descr=".">
          <a:extLst>
            <a:ext uri="{FF2B5EF4-FFF2-40B4-BE49-F238E27FC236}">
              <a16:creationId xmlns:a16="http://schemas.microsoft.com/office/drawing/2014/main" id="{00000000-0008-0000-0600-0000D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3" name="Picture 7" descr=".">
          <a:extLst>
            <a:ext uri="{FF2B5EF4-FFF2-40B4-BE49-F238E27FC236}">
              <a16:creationId xmlns:a16="http://schemas.microsoft.com/office/drawing/2014/main" id="{00000000-0008-0000-0600-0000D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4" name="Picture 8" descr=".">
          <a:extLst>
            <a:ext uri="{FF2B5EF4-FFF2-40B4-BE49-F238E27FC236}">
              <a16:creationId xmlns:a16="http://schemas.microsoft.com/office/drawing/2014/main" id="{00000000-0008-0000-0600-0000D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5" name="Picture 9" descr=".">
          <a:extLst>
            <a:ext uri="{FF2B5EF4-FFF2-40B4-BE49-F238E27FC236}">
              <a16:creationId xmlns:a16="http://schemas.microsoft.com/office/drawing/2014/main" id="{00000000-0008-0000-0600-0000D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6" name="Picture 10" descr=".">
          <a:extLst>
            <a:ext uri="{FF2B5EF4-FFF2-40B4-BE49-F238E27FC236}">
              <a16:creationId xmlns:a16="http://schemas.microsoft.com/office/drawing/2014/main" id="{00000000-0008-0000-0600-0000D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7" name="Picture 11" descr=".">
          <a:extLst>
            <a:ext uri="{FF2B5EF4-FFF2-40B4-BE49-F238E27FC236}">
              <a16:creationId xmlns:a16="http://schemas.microsoft.com/office/drawing/2014/main" id="{00000000-0008-0000-0600-0000D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18" name="Picture 6" descr=".">
          <a:extLst>
            <a:ext uri="{FF2B5EF4-FFF2-40B4-BE49-F238E27FC236}">
              <a16:creationId xmlns:a16="http://schemas.microsoft.com/office/drawing/2014/main" id="{00000000-0008-0000-0600-0000D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896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9" name="Picture 7" descr=".">
          <a:extLst>
            <a:ext uri="{FF2B5EF4-FFF2-40B4-BE49-F238E27FC236}">
              <a16:creationId xmlns:a16="http://schemas.microsoft.com/office/drawing/2014/main" id="{00000000-0008-0000-0600-0000D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896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0" name="Picture 8" descr=".">
          <a:extLst>
            <a:ext uri="{FF2B5EF4-FFF2-40B4-BE49-F238E27FC236}">
              <a16:creationId xmlns:a16="http://schemas.microsoft.com/office/drawing/2014/main" id="{00000000-0008-0000-0600-0000D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896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21" name="Picture 9" descr=".">
          <a:extLst>
            <a:ext uri="{FF2B5EF4-FFF2-40B4-BE49-F238E27FC236}">
              <a16:creationId xmlns:a16="http://schemas.microsoft.com/office/drawing/2014/main" id="{00000000-0008-0000-0600-0000D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896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22" name="Picture 10" descr=".">
          <a:extLst>
            <a:ext uri="{FF2B5EF4-FFF2-40B4-BE49-F238E27FC236}">
              <a16:creationId xmlns:a16="http://schemas.microsoft.com/office/drawing/2014/main" id="{00000000-0008-0000-0600-0000D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896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23" name="Picture 11" descr=".">
          <a:extLst>
            <a:ext uri="{FF2B5EF4-FFF2-40B4-BE49-F238E27FC236}">
              <a16:creationId xmlns:a16="http://schemas.microsoft.com/office/drawing/2014/main" id="{00000000-0008-0000-0600-0000D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896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4" name="Picture 6" descr=".">
          <a:extLst>
            <a:ext uri="{FF2B5EF4-FFF2-40B4-BE49-F238E27FC236}">
              <a16:creationId xmlns:a16="http://schemas.microsoft.com/office/drawing/2014/main" id="{00000000-0008-0000-0600-0000E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8963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5" name="Picture 7" descr=".">
          <a:extLst>
            <a:ext uri="{FF2B5EF4-FFF2-40B4-BE49-F238E27FC236}">
              <a16:creationId xmlns:a16="http://schemas.microsoft.com/office/drawing/2014/main" id="{00000000-0008-0000-0600-0000E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8963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6" name="Picture 8" descr=".">
          <a:extLst>
            <a:ext uri="{FF2B5EF4-FFF2-40B4-BE49-F238E27FC236}">
              <a16:creationId xmlns:a16="http://schemas.microsoft.com/office/drawing/2014/main" id="{00000000-0008-0000-0600-0000E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8963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7" name="Picture 9" descr=".">
          <a:extLst>
            <a:ext uri="{FF2B5EF4-FFF2-40B4-BE49-F238E27FC236}">
              <a16:creationId xmlns:a16="http://schemas.microsoft.com/office/drawing/2014/main" id="{00000000-0008-0000-0600-0000E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8963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228" name="Picture 10" descr=".">
          <a:extLst>
            <a:ext uri="{FF2B5EF4-FFF2-40B4-BE49-F238E27FC236}">
              <a16:creationId xmlns:a16="http://schemas.microsoft.com/office/drawing/2014/main" id="{00000000-0008-0000-0600-0000E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8963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229" name="Picture 11" descr=".">
          <a:extLst>
            <a:ext uri="{FF2B5EF4-FFF2-40B4-BE49-F238E27FC236}">
              <a16:creationId xmlns:a16="http://schemas.microsoft.com/office/drawing/2014/main" id="{00000000-0008-0000-0600-0000E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8963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0" name="Picture 6" descr=".">
          <a:extLst>
            <a:ext uri="{FF2B5EF4-FFF2-40B4-BE49-F238E27FC236}">
              <a16:creationId xmlns:a16="http://schemas.microsoft.com/office/drawing/2014/main" id="{00000000-0008-0000-0600-0000E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1" name="Picture 7" descr=".">
          <a:extLst>
            <a:ext uri="{FF2B5EF4-FFF2-40B4-BE49-F238E27FC236}">
              <a16:creationId xmlns:a16="http://schemas.microsoft.com/office/drawing/2014/main" id="{00000000-0008-0000-0600-0000E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2" name="Picture 8" descr=".">
          <a:extLst>
            <a:ext uri="{FF2B5EF4-FFF2-40B4-BE49-F238E27FC236}">
              <a16:creationId xmlns:a16="http://schemas.microsoft.com/office/drawing/2014/main" id="{00000000-0008-0000-0600-0000E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3" name="Picture 9" descr=".">
          <a:extLst>
            <a:ext uri="{FF2B5EF4-FFF2-40B4-BE49-F238E27FC236}">
              <a16:creationId xmlns:a16="http://schemas.microsoft.com/office/drawing/2014/main" id="{00000000-0008-0000-0600-0000E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34" name="Picture 10" descr=".">
          <a:extLst>
            <a:ext uri="{FF2B5EF4-FFF2-40B4-BE49-F238E27FC236}">
              <a16:creationId xmlns:a16="http://schemas.microsoft.com/office/drawing/2014/main" id="{00000000-0008-0000-0600-0000E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35" name="Picture 11" descr=".">
          <a:extLst>
            <a:ext uri="{FF2B5EF4-FFF2-40B4-BE49-F238E27FC236}">
              <a16:creationId xmlns:a16="http://schemas.microsoft.com/office/drawing/2014/main" id="{00000000-0008-0000-0600-0000E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6" name="Picture 6" descr=".">
          <a:extLst>
            <a:ext uri="{FF2B5EF4-FFF2-40B4-BE49-F238E27FC236}">
              <a16:creationId xmlns:a16="http://schemas.microsoft.com/office/drawing/2014/main" id="{00000000-0008-0000-0600-0000E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7" name="Picture 7" descr=".">
          <a:extLst>
            <a:ext uri="{FF2B5EF4-FFF2-40B4-BE49-F238E27FC236}">
              <a16:creationId xmlns:a16="http://schemas.microsoft.com/office/drawing/2014/main" id="{00000000-0008-0000-0600-0000E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8" name="Picture 8" descr=".">
          <a:extLst>
            <a:ext uri="{FF2B5EF4-FFF2-40B4-BE49-F238E27FC236}">
              <a16:creationId xmlns:a16="http://schemas.microsoft.com/office/drawing/2014/main" id="{00000000-0008-0000-0600-0000E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9" name="Picture 9" descr=".">
          <a:extLst>
            <a:ext uri="{FF2B5EF4-FFF2-40B4-BE49-F238E27FC236}">
              <a16:creationId xmlns:a16="http://schemas.microsoft.com/office/drawing/2014/main" id="{00000000-0008-0000-0600-0000E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0" name="Picture 10" descr=".">
          <a:extLst>
            <a:ext uri="{FF2B5EF4-FFF2-40B4-BE49-F238E27FC236}">
              <a16:creationId xmlns:a16="http://schemas.microsoft.com/office/drawing/2014/main" id="{00000000-0008-0000-0600-0000F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1" name="Picture 11" descr=".">
          <a:extLst>
            <a:ext uri="{FF2B5EF4-FFF2-40B4-BE49-F238E27FC236}">
              <a16:creationId xmlns:a16="http://schemas.microsoft.com/office/drawing/2014/main" id="{00000000-0008-0000-0600-0000F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2" name="Picture 6" descr=".">
          <a:extLst>
            <a:ext uri="{FF2B5EF4-FFF2-40B4-BE49-F238E27FC236}">
              <a16:creationId xmlns:a16="http://schemas.microsoft.com/office/drawing/2014/main" id="{00000000-0008-0000-0600-0000F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3" name="Picture 7" descr=".">
          <a:extLst>
            <a:ext uri="{FF2B5EF4-FFF2-40B4-BE49-F238E27FC236}">
              <a16:creationId xmlns:a16="http://schemas.microsoft.com/office/drawing/2014/main" id="{00000000-0008-0000-0600-0000F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4" name="Picture 8" descr=".">
          <a:extLst>
            <a:ext uri="{FF2B5EF4-FFF2-40B4-BE49-F238E27FC236}">
              <a16:creationId xmlns:a16="http://schemas.microsoft.com/office/drawing/2014/main" id="{00000000-0008-0000-0600-0000F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5" name="Picture 9" descr=".">
          <a:extLst>
            <a:ext uri="{FF2B5EF4-FFF2-40B4-BE49-F238E27FC236}">
              <a16:creationId xmlns:a16="http://schemas.microsoft.com/office/drawing/2014/main" id="{00000000-0008-0000-0600-0000F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6" name="Picture 10" descr=".">
          <a:extLst>
            <a:ext uri="{FF2B5EF4-FFF2-40B4-BE49-F238E27FC236}">
              <a16:creationId xmlns:a16="http://schemas.microsoft.com/office/drawing/2014/main" id="{00000000-0008-0000-0600-0000F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7" name="Picture 11" descr=".">
          <a:extLst>
            <a:ext uri="{FF2B5EF4-FFF2-40B4-BE49-F238E27FC236}">
              <a16:creationId xmlns:a16="http://schemas.microsoft.com/office/drawing/2014/main" id="{00000000-0008-0000-0600-0000F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48" name="Picture 6" descr=".">
          <a:extLst>
            <a:ext uri="{FF2B5EF4-FFF2-40B4-BE49-F238E27FC236}">
              <a16:creationId xmlns:a16="http://schemas.microsoft.com/office/drawing/2014/main" id="{00000000-0008-0000-06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49" name="Picture 7" descr=".">
          <a:extLst>
            <a:ext uri="{FF2B5EF4-FFF2-40B4-BE49-F238E27FC236}">
              <a16:creationId xmlns:a16="http://schemas.microsoft.com/office/drawing/2014/main" id="{00000000-0008-0000-0600-0000F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50" name="Picture 8" descr=".">
          <a:extLst>
            <a:ext uri="{FF2B5EF4-FFF2-40B4-BE49-F238E27FC236}">
              <a16:creationId xmlns:a16="http://schemas.microsoft.com/office/drawing/2014/main" id="{00000000-0008-0000-0600-0000F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51" name="Picture 9" descr=".">
          <a:extLst>
            <a:ext uri="{FF2B5EF4-FFF2-40B4-BE49-F238E27FC236}">
              <a16:creationId xmlns:a16="http://schemas.microsoft.com/office/drawing/2014/main" id="{00000000-0008-0000-0600-0000F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52" name="Picture 10" descr=".">
          <a:extLst>
            <a:ext uri="{FF2B5EF4-FFF2-40B4-BE49-F238E27FC236}">
              <a16:creationId xmlns:a16="http://schemas.microsoft.com/office/drawing/2014/main" id="{00000000-0008-0000-0600-0000F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53" name="Picture 11" descr=".">
          <a:extLst>
            <a:ext uri="{FF2B5EF4-FFF2-40B4-BE49-F238E27FC236}">
              <a16:creationId xmlns:a16="http://schemas.microsoft.com/office/drawing/2014/main" id="{00000000-0008-0000-0600-0000F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4" name="Picture 6" descr=".">
          <a:extLst>
            <a:ext uri="{FF2B5EF4-FFF2-40B4-BE49-F238E27FC236}">
              <a16:creationId xmlns:a16="http://schemas.microsoft.com/office/drawing/2014/main" id="{00000000-0008-0000-0600-0000F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5" name="Picture 7" descr=".">
          <a:extLst>
            <a:ext uri="{FF2B5EF4-FFF2-40B4-BE49-F238E27FC236}">
              <a16:creationId xmlns:a16="http://schemas.microsoft.com/office/drawing/2014/main" id="{00000000-0008-0000-0600-0000F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6" name="Picture 8" descr=".">
          <a:extLst>
            <a:ext uri="{FF2B5EF4-FFF2-40B4-BE49-F238E27FC236}">
              <a16:creationId xmlns:a16="http://schemas.microsoft.com/office/drawing/2014/main" id="{00000000-0008-0000-0600-00000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7" name="Picture 9" descr=".">
          <a:extLst>
            <a:ext uri="{FF2B5EF4-FFF2-40B4-BE49-F238E27FC236}">
              <a16:creationId xmlns:a16="http://schemas.microsoft.com/office/drawing/2014/main" id="{00000000-0008-0000-0600-00000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258" name="Picture 10" descr=".">
          <a:extLst>
            <a:ext uri="{FF2B5EF4-FFF2-40B4-BE49-F238E27FC236}">
              <a16:creationId xmlns:a16="http://schemas.microsoft.com/office/drawing/2014/main" id="{00000000-0008-0000-0600-00000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259" name="Picture 11" descr=".">
          <a:extLst>
            <a:ext uri="{FF2B5EF4-FFF2-40B4-BE49-F238E27FC236}">
              <a16:creationId xmlns:a16="http://schemas.microsoft.com/office/drawing/2014/main" id="{00000000-0008-0000-0600-00000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0" name="Picture 6" descr=".">
          <a:extLst>
            <a:ext uri="{FF2B5EF4-FFF2-40B4-BE49-F238E27FC236}">
              <a16:creationId xmlns:a16="http://schemas.microsoft.com/office/drawing/2014/main" id="{00000000-0008-0000-0600-00000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1" name="Picture 7" descr=".">
          <a:extLst>
            <a:ext uri="{FF2B5EF4-FFF2-40B4-BE49-F238E27FC236}">
              <a16:creationId xmlns:a16="http://schemas.microsoft.com/office/drawing/2014/main" id="{00000000-0008-0000-0600-00000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2" name="Picture 8" descr=".">
          <a:extLst>
            <a:ext uri="{FF2B5EF4-FFF2-40B4-BE49-F238E27FC236}">
              <a16:creationId xmlns:a16="http://schemas.microsoft.com/office/drawing/2014/main" id="{00000000-0008-0000-0600-00000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3" name="Picture 9" descr=".">
          <a:extLst>
            <a:ext uri="{FF2B5EF4-FFF2-40B4-BE49-F238E27FC236}">
              <a16:creationId xmlns:a16="http://schemas.microsoft.com/office/drawing/2014/main" id="{00000000-0008-0000-0600-00000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64" name="Picture 10" descr=".">
          <a:extLst>
            <a:ext uri="{FF2B5EF4-FFF2-40B4-BE49-F238E27FC236}">
              <a16:creationId xmlns:a16="http://schemas.microsoft.com/office/drawing/2014/main" id="{00000000-0008-0000-0600-00000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65" name="Picture 11" descr=".">
          <a:extLst>
            <a:ext uri="{FF2B5EF4-FFF2-40B4-BE49-F238E27FC236}">
              <a16:creationId xmlns:a16="http://schemas.microsoft.com/office/drawing/2014/main" id="{00000000-0008-0000-0600-00000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6" name="Picture 6" descr=".">
          <a:extLst>
            <a:ext uri="{FF2B5EF4-FFF2-40B4-BE49-F238E27FC236}">
              <a16:creationId xmlns:a16="http://schemas.microsoft.com/office/drawing/2014/main" id="{00000000-0008-0000-0600-00000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7" name="Picture 7" descr=".">
          <a:extLst>
            <a:ext uri="{FF2B5EF4-FFF2-40B4-BE49-F238E27FC236}">
              <a16:creationId xmlns:a16="http://schemas.microsoft.com/office/drawing/2014/main" id="{00000000-0008-0000-0600-00000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8" name="Picture 8" descr=".">
          <a:extLst>
            <a:ext uri="{FF2B5EF4-FFF2-40B4-BE49-F238E27FC236}">
              <a16:creationId xmlns:a16="http://schemas.microsoft.com/office/drawing/2014/main" id="{00000000-0008-0000-0600-00000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9" name="Picture 9" descr=".">
          <a:extLst>
            <a:ext uri="{FF2B5EF4-FFF2-40B4-BE49-F238E27FC236}">
              <a16:creationId xmlns:a16="http://schemas.microsoft.com/office/drawing/2014/main" id="{00000000-0008-0000-0600-00000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0" name="Picture 10" descr=".">
          <a:extLst>
            <a:ext uri="{FF2B5EF4-FFF2-40B4-BE49-F238E27FC236}">
              <a16:creationId xmlns:a16="http://schemas.microsoft.com/office/drawing/2014/main" id="{00000000-0008-0000-0600-00000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1" name="Picture 11" descr=".">
          <a:extLst>
            <a:ext uri="{FF2B5EF4-FFF2-40B4-BE49-F238E27FC236}">
              <a16:creationId xmlns:a16="http://schemas.microsoft.com/office/drawing/2014/main" id="{00000000-0008-0000-0600-00000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2" name="Picture 6" descr=".">
          <a:extLst>
            <a:ext uri="{FF2B5EF4-FFF2-40B4-BE49-F238E27FC236}">
              <a16:creationId xmlns:a16="http://schemas.microsoft.com/office/drawing/2014/main" id="{00000000-0008-0000-0600-00001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3" name="Picture 7" descr=".">
          <a:extLst>
            <a:ext uri="{FF2B5EF4-FFF2-40B4-BE49-F238E27FC236}">
              <a16:creationId xmlns:a16="http://schemas.microsoft.com/office/drawing/2014/main" id="{00000000-0008-0000-0600-00001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4" name="Picture 8" descr=".">
          <a:extLst>
            <a:ext uri="{FF2B5EF4-FFF2-40B4-BE49-F238E27FC236}">
              <a16:creationId xmlns:a16="http://schemas.microsoft.com/office/drawing/2014/main" id="{00000000-0008-0000-0600-00001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5" name="Picture 9" descr=".">
          <a:extLst>
            <a:ext uri="{FF2B5EF4-FFF2-40B4-BE49-F238E27FC236}">
              <a16:creationId xmlns:a16="http://schemas.microsoft.com/office/drawing/2014/main" id="{00000000-0008-0000-0600-00001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6" name="Picture 10" descr=".">
          <a:extLst>
            <a:ext uri="{FF2B5EF4-FFF2-40B4-BE49-F238E27FC236}">
              <a16:creationId xmlns:a16="http://schemas.microsoft.com/office/drawing/2014/main" id="{00000000-0008-0000-0600-00001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7" name="Picture 11" descr=".">
          <a:extLst>
            <a:ext uri="{FF2B5EF4-FFF2-40B4-BE49-F238E27FC236}">
              <a16:creationId xmlns:a16="http://schemas.microsoft.com/office/drawing/2014/main" id="{00000000-0008-0000-0600-00001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78" name="Picture 6" descr=".">
          <a:extLst>
            <a:ext uri="{FF2B5EF4-FFF2-40B4-BE49-F238E27FC236}">
              <a16:creationId xmlns:a16="http://schemas.microsoft.com/office/drawing/2014/main" id="{00000000-0008-0000-0600-00001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896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79" name="Picture 7" descr=".">
          <a:extLst>
            <a:ext uri="{FF2B5EF4-FFF2-40B4-BE49-F238E27FC236}">
              <a16:creationId xmlns:a16="http://schemas.microsoft.com/office/drawing/2014/main" id="{00000000-0008-0000-0600-00001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896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80" name="Picture 8" descr=".">
          <a:extLst>
            <a:ext uri="{FF2B5EF4-FFF2-40B4-BE49-F238E27FC236}">
              <a16:creationId xmlns:a16="http://schemas.microsoft.com/office/drawing/2014/main" id="{00000000-0008-0000-0600-00001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896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81" name="Picture 9" descr=".">
          <a:extLst>
            <a:ext uri="{FF2B5EF4-FFF2-40B4-BE49-F238E27FC236}">
              <a16:creationId xmlns:a16="http://schemas.microsoft.com/office/drawing/2014/main" id="{00000000-0008-0000-0600-00001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896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282" name="Picture 10" descr=".">
          <a:extLst>
            <a:ext uri="{FF2B5EF4-FFF2-40B4-BE49-F238E27FC236}">
              <a16:creationId xmlns:a16="http://schemas.microsoft.com/office/drawing/2014/main" id="{00000000-0008-0000-0600-00001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896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283" name="Picture 11" descr=".">
          <a:extLst>
            <a:ext uri="{FF2B5EF4-FFF2-40B4-BE49-F238E27FC236}">
              <a16:creationId xmlns:a16="http://schemas.microsoft.com/office/drawing/2014/main" id="{00000000-0008-0000-0600-00001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896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4" name="Picture 6" descr=".">
          <a:extLst>
            <a:ext uri="{FF2B5EF4-FFF2-40B4-BE49-F238E27FC236}">
              <a16:creationId xmlns:a16="http://schemas.microsoft.com/office/drawing/2014/main" id="{00000000-0008-0000-0600-00001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8963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5" name="Picture 7" descr=".">
          <a:extLst>
            <a:ext uri="{FF2B5EF4-FFF2-40B4-BE49-F238E27FC236}">
              <a16:creationId xmlns:a16="http://schemas.microsoft.com/office/drawing/2014/main" id="{00000000-0008-0000-0600-00001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8963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6" name="Picture 8" descr=".">
          <a:extLst>
            <a:ext uri="{FF2B5EF4-FFF2-40B4-BE49-F238E27FC236}">
              <a16:creationId xmlns:a16="http://schemas.microsoft.com/office/drawing/2014/main" id="{00000000-0008-0000-0600-00001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8963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7" name="Picture 9" descr=".">
          <a:extLst>
            <a:ext uri="{FF2B5EF4-FFF2-40B4-BE49-F238E27FC236}">
              <a16:creationId xmlns:a16="http://schemas.microsoft.com/office/drawing/2014/main" id="{00000000-0008-0000-0600-00001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8963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288" name="Picture 10" descr=".">
          <a:extLst>
            <a:ext uri="{FF2B5EF4-FFF2-40B4-BE49-F238E27FC236}">
              <a16:creationId xmlns:a16="http://schemas.microsoft.com/office/drawing/2014/main" id="{00000000-0008-0000-0600-00002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8963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289" name="Picture 11" descr=".">
          <a:extLst>
            <a:ext uri="{FF2B5EF4-FFF2-40B4-BE49-F238E27FC236}">
              <a16:creationId xmlns:a16="http://schemas.microsoft.com/office/drawing/2014/main" id="{00000000-0008-0000-0600-00002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8963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254000</xdr:colOff>
          <xdr:row>1</xdr:row>
          <xdr:rowOff>0</xdr:rowOff>
        </xdr:from>
        <xdr:to>
          <xdr:col>5</xdr:col>
          <xdr:colOff>317500</xdr:colOff>
          <xdr:row>2</xdr:row>
          <xdr:rowOff>76200</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0A00-0000029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Calibri"/>
                  <a:ea typeface="Calibri"/>
                  <a:cs typeface="Calibri"/>
                </a:rPr>
                <a:t>Export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2</xdr:col>
      <xdr:colOff>0</xdr:colOff>
      <xdr:row>19</xdr:row>
      <xdr:rowOff>0</xdr:rowOff>
    </xdr:from>
    <xdr:to>
      <xdr:col>2</xdr:col>
      <xdr:colOff>19050</xdr:colOff>
      <xdr:row>20</xdr:row>
      <xdr:rowOff>208209</xdr:rowOff>
    </xdr:to>
    <xdr:pic>
      <xdr:nvPicPr>
        <xdr:cNvPr id="2" name="Picture 6" descr=".">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20</xdr:row>
      <xdr:rowOff>208210</xdr:rowOff>
    </xdr:to>
    <xdr:pic>
      <xdr:nvPicPr>
        <xdr:cNvPr id="3" name="Picture 7" descr=".">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20</xdr:row>
      <xdr:rowOff>208209</xdr:rowOff>
    </xdr:to>
    <xdr:pic>
      <xdr:nvPicPr>
        <xdr:cNvPr id="4" name="Picture 8" descr=".">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20</xdr:row>
      <xdr:rowOff>208210</xdr:rowOff>
    </xdr:to>
    <xdr:pic>
      <xdr:nvPicPr>
        <xdr:cNvPr id="5" name="Picture 9" descr=".">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20</xdr:row>
      <xdr:rowOff>208208</xdr:rowOff>
    </xdr:to>
    <xdr:pic>
      <xdr:nvPicPr>
        <xdr:cNvPr id="6" name="Picture 10" descr=".">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20</xdr:row>
      <xdr:rowOff>208211</xdr:rowOff>
    </xdr:to>
    <xdr:pic>
      <xdr:nvPicPr>
        <xdr:cNvPr id="7" name="Picture 11" descr=".">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19</xdr:row>
      <xdr:rowOff>0</xdr:rowOff>
    </xdr:from>
    <xdr:ext cx="15875" cy="397439"/>
    <xdr:pic>
      <xdr:nvPicPr>
        <xdr:cNvPr id="8" name="Picture 6" descr=".">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99453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9" name="Picture 7" descr=".">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99453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0" name="Picture 8" descr=".">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99453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1" name="Picture 9" descr=".">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99453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2" name="Picture 10" descr=".">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99453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3" name="Picture 11" descr=".">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99453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4" name="Picture 6" descr=".">
          <a:extLst>
            <a:ext uri="{FF2B5EF4-FFF2-40B4-BE49-F238E27FC236}">
              <a16:creationId xmlns:a16="http://schemas.microsoft.com/office/drawing/2014/main" id="{00000000-0008-0000-09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5" name="Picture 7" descr=".">
          <a:extLst>
            <a:ext uri="{FF2B5EF4-FFF2-40B4-BE49-F238E27FC236}">
              <a16:creationId xmlns:a16="http://schemas.microsoft.com/office/drawing/2014/main" id="{00000000-0008-0000-09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6" name="Picture 8" descr=".">
          <a:extLst>
            <a:ext uri="{FF2B5EF4-FFF2-40B4-BE49-F238E27FC236}">
              <a16:creationId xmlns:a16="http://schemas.microsoft.com/office/drawing/2014/main" id="{00000000-0008-0000-09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7" name="Picture 9" descr=".">
          <a:extLst>
            <a:ext uri="{FF2B5EF4-FFF2-40B4-BE49-F238E27FC236}">
              <a16:creationId xmlns:a16="http://schemas.microsoft.com/office/drawing/2014/main" id="{00000000-0008-0000-09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18" name="Picture 10" descr=".">
          <a:extLst>
            <a:ext uri="{FF2B5EF4-FFF2-40B4-BE49-F238E27FC236}">
              <a16:creationId xmlns:a16="http://schemas.microsoft.com/office/drawing/2014/main" id="{00000000-0008-0000-09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19" name="Picture 11" descr=".">
          <a:extLst>
            <a:ext uri="{FF2B5EF4-FFF2-40B4-BE49-F238E27FC236}">
              <a16:creationId xmlns:a16="http://schemas.microsoft.com/office/drawing/2014/main" id="{00000000-0008-0000-09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 name="Picture 6" descr=".">
          <a:extLst>
            <a:ext uri="{FF2B5EF4-FFF2-40B4-BE49-F238E27FC236}">
              <a16:creationId xmlns:a16="http://schemas.microsoft.com/office/drawing/2014/main" id="{00000000-0008-0000-09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 name="Picture 7" descr=".">
          <a:extLst>
            <a:ext uri="{FF2B5EF4-FFF2-40B4-BE49-F238E27FC236}">
              <a16:creationId xmlns:a16="http://schemas.microsoft.com/office/drawing/2014/main" id="{00000000-0008-0000-09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2" name="Picture 8" descr=".">
          <a:extLst>
            <a:ext uri="{FF2B5EF4-FFF2-40B4-BE49-F238E27FC236}">
              <a16:creationId xmlns:a16="http://schemas.microsoft.com/office/drawing/2014/main" id="{00000000-0008-0000-09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3" name="Picture 9" descr=".">
          <a:extLst>
            <a:ext uri="{FF2B5EF4-FFF2-40B4-BE49-F238E27FC236}">
              <a16:creationId xmlns:a16="http://schemas.microsoft.com/office/drawing/2014/main" id="{00000000-0008-0000-09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4" name="Picture 10" descr=".">
          <a:extLst>
            <a:ext uri="{FF2B5EF4-FFF2-40B4-BE49-F238E27FC236}">
              <a16:creationId xmlns:a16="http://schemas.microsoft.com/office/drawing/2014/main" id="{00000000-0008-0000-09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5" name="Picture 11" descr=".">
          <a:extLst>
            <a:ext uri="{FF2B5EF4-FFF2-40B4-BE49-F238E27FC236}">
              <a16:creationId xmlns:a16="http://schemas.microsoft.com/office/drawing/2014/main" id="{00000000-0008-0000-09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6" name="Picture 6" descr=".">
          <a:extLst>
            <a:ext uri="{FF2B5EF4-FFF2-40B4-BE49-F238E27FC236}">
              <a16:creationId xmlns:a16="http://schemas.microsoft.com/office/drawing/2014/main" id="{00000000-0008-0000-09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7" name="Picture 7" descr=".">
          <a:extLst>
            <a:ext uri="{FF2B5EF4-FFF2-40B4-BE49-F238E27FC236}">
              <a16:creationId xmlns:a16="http://schemas.microsoft.com/office/drawing/2014/main" id="{00000000-0008-0000-09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8" name="Picture 8" descr=".">
          <a:extLst>
            <a:ext uri="{FF2B5EF4-FFF2-40B4-BE49-F238E27FC236}">
              <a16:creationId xmlns:a16="http://schemas.microsoft.com/office/drawing/2014/main" id="{00000000-0008-0000-09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9" name="Picture 9" descr=".">
          <a:extLst>
            <a:ext uri="{FF2B5EF4-FFF2-40B4-BE49-F238E27FC236}">
              <a16:creationId xmlns:a16="http://schemas.microsoft.com/office/drawing/2014/main" id="{00000000-0008-0000-09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30" name="Picture 10" descr=".">
          <a:extLst>
            <a:ext uri="{FF2B5EF4-FFF2-40B4-BE49-F238E27FC236}">
              <a16:creationId xmlns:a16="http://schemas.microsoft.com/office/drawing/2014/main" id="{00000000-0008-0000-09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31" name="Picture 11" descr=".">
          <a:extLst>
            <a:ext uri="{FF2B5EF4-FFF2-40B4-BE49-F238E27FC236}">
              <a16:creationId xmlns:a16="http://schemas.microsoft.com/office/drawing/2014/main" id="{00000000-0008-0000-09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20</xdr:row>
      <xdr:rowOff>0</xdr:rowOff>
    </xdr:from>
    <xdr:to>
      <xdr:col>2</xdr:col>
      <xdr:colOff>13970</xdr:colOff>
      <xdr:row>20</xdr:row>
      <xdr:rowOff>208209</xdr:rowOff>
    </xdr:to>
    <xdr:pic>
      <xdr:nvPicPr>
        <xdr:cNvPr id="32" name="Picture 6" descr=".">
          <a:extLst>
            <a:ext uri="{FF2B5EF4-FFF2-40B4-BE49-F238E27FC236}">
              <a16:creationId xmlns:a16="http://schemas.microsoft.com/office/drawing/2014/main" id="{00000000-0008-0000-09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3" name="Picture 7" descr=".">
          <a:extLst>
            <a:ext uri="{FF2B5EF4-FFF2-40B4-BE49-F238E27FC236}">
              <a16:creationId xmlns:a16="http://schemas.microsoft.com/office/drawing/2014/main" id="{00000000-0008-0000-09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208209</xdr:rowOff>
    </xdr:to>
    <xdr:pic>
      <xdr:nvPicPr>
        <xdr:cNvPr id="34" name="Picture 8" descr=".">
          <a:extLst>
            <a:ext uri="{FF2B5EF4-FFF2-40B4-BE49-F238E27FC236}">
              <a16:creationId xmlns:a16="http://schemas.microsoft.com/office/drawing/2014/main" id="{00000000-0008-0000-09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5" name="Picture 9" descr=".">
          <a:extLst>
            <a:ext uri="{FF2B5EF4-FFF2-40B4-BE49-F238E27FC236}">
              <a16:creationId xmlns:a16="http://schemas.microsoft.com/office/drawing/2014/main" id="{00000000-0008-0000-09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208208</xdr:rowOff>
    </xdr:to>
    <xdr:pic>
      <xdr:nvPicPr>
        <xdr:cNvPr id="36" name="Picture 10" descr=".">
          <a:extLst>
            <a:ext uri="{FF2B5EF4-FFF2-40B4-BE49-F238E27FC236}">
              <a16:creationId xmlns:a16="http://schemas.microsoft.com/office/drawing/2014/main" id="{00000000-0008-0000-09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208211</xdr:rowOff>
    </xdr:to>
    <xdr:pic>
      <xdr:nvPicPr>
        <xdr:cNvPr id="37" name="Picture 11" descr=".">
          <a:extLst>
            <a:ext uri="{FF2B5EF4-FFF2-40B4-BE49-F238E27FC236}">
              <a16:creationId xmlns:a16="http://schemas.microsoft.com/office/drawing/2014/main" id="{00000000-0008-0000-09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20</xdr:row>
      <xdr:rowOff>0</xdr:rowOff>
    </xdr:from>
    <xdr:ext cx="15875" cy="395534"/>
    <xdr:pic>
      <xdr:nvPicPr>
        <xdr:cNvPr id="38" name="Picture 6" descr=".">
          <a:extLst>
            <a:ext uri="{FF2B5EF4-FFF2-40B4-BE49-F238E27FC236}">
              <a16:creationId xmlns:a16="http://schemas.microsoft.com/office/drawing/2014/main" id="{00000000-0008-0000-09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39" name="Picture 7" descr=".">
          <a:extLst>
            <a:ext uri="{FF2B5EF4-FFF2-40B4-BE49-F238E27FC236}">
              <a16:creationId xmlns:a16="http://schemas.microsoft.com/office/drawing/2014/main" id="{00000000-0008-0000-09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40" name="Picture 8" descr=".">
          <a:extLst>
            <a:ext uri="{FF2B5EF4-FFF2-40B4-BE49-F238E27FC236}">
              <a16:creationId xmlns:a16="http://schemas.microsoft.com/office/drawing/2014/main" id="{00000000-0008-0000-09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41" name="Picture 9" descr=".">
          <a:extLst>
            <a:ext uri="{FF2B5EF4-FFF2-40B4-BE49-F238E27FC236}">
              <a16:creationId xmlns:a16="http://schemas.microsoft.com/office/drawing/2014/main" id="{00000000-0008-0000-09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42" name="Picture 10" descr=".">
          <a:extLst>
            <a:ext uri="{FF2B5EF4-FFF2-40B4-BE49-F238E27FC236}">
              <a16:creationId xmlns:a16="http://schemas.microsoft.com/office/drawing/2014/main" id="{00000000-0008-0000-09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43" name="Picture 11" descr=".">
          <a:extLst>
            <a:ext uri="{FF2B5EF4-FFF2-40B4-BE49-F238E27FC236}">
              <a16:creationId xmlns:a16="http://schemas.microsoft.com/office/drawing/2014/main" id="{00000000-0008-0000-09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4" name="Picture 6" descr=".">
          <a:extLst>
            <a:ext uri="{FF2B5EF4-FFF2-40B4-BE49-F238E27FC236}">
              <a16:creationId xmlns:a16="http://schemas.microsoft.com/office/drawing/2014/main" id="{00000000-0008-0000-09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5" name="Picture 7" descr=".">
          <a:extLst>
            <a:ext uri="{FF2B5EF4-FFF2-40B4-BE49-F238E27FC236}">
              <a16:creationId xmlns:a16="http://schemas.microsoft.com/office/drawing/2014/main" id="{00000000-0008-0000-09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6" name="Picture 8" descr=".">
          <a:extLst>
            <a:ext uri="{FF2B5EF4-FFF2-40B4-BE49-F238E27FC236}">
              <a16:creationId xmlns:a16="http://schemas.microsoft.com/office/drawing/2014/main" id="{00000000-0008-0000-09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7" name="Picture 9" descr=".">
          <a:extLst>
            <a:ext uri="{FF2B5EF4-FFF2-40B4-BE49-F238E27FC236}">
              <a16:creationId xmlns:a16="http://schemas.microsoft.com/office/drawing/2014/main" id="{00000000-0008-0000-09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48" name="Picture 10" descr=".">
          <a:extLst>
            <a:ext uri="{FF2B5EF4-FFF2-40B4-BE49-F238E27FC236}">
              <a16:creationId xmlns:a16="http://schemas.microsoft.com/office/drawing/2014/main" id="{00000000-0008-0000-09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49" name="Picture 11" descr=".">
          <a:extLst>
            <a:ext uri="{FF2B5EF4-FFF2-40B4-BE49-F238E27FC236}">
              <a16:creationId xmlns:a16="http://schemas.microsoft.com/office/drawing/2014/main" id="{00000000-0008-0000-09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0" name="Picture 6" descr=".">
          <a:extLst>
            <a:ext uri="{FF2B5EF4-FFF2-40B4-BE49-F238E27FC236}">
              <a16:creationId xmlns:a16="http://schemas.microsoft.com/office/drawing/2014/main" id="{00000000-0008-0000-09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163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1" name="Picture 7" descr=".">
          <a:extLst>
            <a:ext uri="{FF2B5EF4-FFF2-40B4-BE49-F238E27FC236}">
              <a16:creationId xmlns:a16="http://schemas.microsoft.com/office/drawing/2014/main" id="{00000000-0008-0000-09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163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2" name="Picture 8" descr=".">
          <a:extLst>
            <a:ext uri="{FF2B5EF4-FFF2-40B4-BE49-F238E27FC236}">
              <a16:creationId xmlns:a16="http://schemas.microsoft.com/office/drawing/2014/main" id="{00000000-0008-0000-09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163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3" name="Picture 9" descr=".">
          <a:extLst>
            <a:ext uri="{FF2B5EF4-FFF2-40B4-BE49-F238E27FC236}">
              <a16:creationId xmlns:a16="http://schemas.microsoft.com/office/drawing/2014/main" id="{00000000-0008-0000-09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163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8"/>
    <xdr:pic>
      <xdr:nvPicPr>
        <xdr:cNvPr id="54" name="Picture 10" descr=".">
          <a:extLst>
            <a:ext uri="{FF2B5EF4-FFF2-40B4-BE49-F238E27FC236}">
              <a16:creationId xmlns:a16="http://schemas.microsoft.com/office/drawing/2014/main" id="{00000000-0008-0000-09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16344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1"/>
    <xdr:pic>
      <xdr:nvPicPr>
        <xdr:cNvPr id="55" name="Picture 11" descr=".">
          <a:extLst>
            <a:ext uri="{FF2B5EF4-FFF2-40B4-BE49-F238E27FC236}">
              <a16:creationId xmlns:a16="http://schemas.microsoft.com/office/drawing/2014/main" id="{00000000-0008-0000-09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16344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6" name="Picture 6" descr=".">
          <a:extLst>
            <a:ext uri="{FF2B5EF4-FFF2-40B4-BE49-F238E27FC236}">
              <a16:creationId xmlns:a16="http://schemas.microsoft.com/office/drawing/2014/main" id="{00000000-0008-0000-09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7" name="Picture 7" descr=".">
          <a:extLst>
            <a:ext uri="{FF2B5EF4-FFF2-40B4-BE49-F238E27FC236}">
              <a16:creationId xmlns:a16="http://schemas.microsoft.com/office/drawing/2014/main" id="{00000000-0008-0000-09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8" name="Picture 8" descr=".">
          <a:extLst>
            <a:ext uri="{FF2B5EF4-FFF2-40B4-BE49-F238E27FC236}">
              <a16:creationId xmlns:a16="http://schemas.microsoft.com/office/drawing/2014/main" id="{00000000-0008-0000-09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9" name="Picture 9" descr=".">
          <a:extLst>
            <a:ext uri="{FF2B5EF4-FFF2-40B4-BE49-F238E27FC236}">
              <a16:creationId xmlns:a16="http://schemas.microsoft.com/office/drawing/2014/main" id="{00000000-0008-0000-09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0" name="Picture 10" descr=".">
          <a:extLst>
            <a:ext uri="{FF2B5EF4-FFF2-40B4-BE49-F238E27FC236}">
              <a16:creationId xmlns:a16="http://schemas.microsoft.com/office/drawing/2014/main" id="{00000000-0008-0000-09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1" name="Picture 11" descr=".">
          <a:extLst>
            <a:ext uri="{FF2B5EF4-FFF2-40B4-BE49-F238E27FC236}">
              <a16:creationId xmlns:a16="http://schemas.microsoft.com/office/drawing/2014/main" id="{00000000-0008-0000-09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2" name="Picture 6" descr=".">
          <a:extLst>
            <a:ext uri="{FF2B5EF4-FFF2-40B4-BE49-F238E27FC236}">
              <a16:creationId xmlns:a16="http://schemas.microsoft.com/office/drawing/2014/main" id="{00000000-0008-0000-09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3" name="Picture 7" descr=".">
          <a:extLst>
            <a:ext uri="{FF2B5EF4-FFF2-40B4-BE49-F238E27FC236}">
              <a16:creationId xmlns:a16="http://schemas.microsoft.com/office/drawing/2014/main" id="{00000000-0008-0000-09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4" name="Picture 8" descr=".">
          <a:extLst>
            <a:ext uri="{FF2B5EF4-FFF2-40B4-BE49-F238E27FC236}">
              <a16:creationId xmlns:a16="http://schemas.microsoft.com/office/drawing/2014/main" id="{00000000-0008-0000-09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5" name="Picture 9" descr=".">
          <a:extLst>
            <a:ext uri="{FF2B5EF4-FFF2-40B4-BE49-F238E27FC236}">
              <a16:creationId xmlns:a16="http://schemas.microsoft.com/office/drawing/2014/main" id="{00000000-0008-0000-09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6" name="Picture 10" descr=".">
          <a:extLst>
            <a:ext uri="{FF2B5EF4-FFF2-40B4-BE49-F238E27FC236}">
              <a16:creationId xmlns:a16="http://schemas.microsoft.com/office/drawing/2014/main" id="{00000000-0008-0000-09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7" name="Picture 11" descr=".">
          <a:extLst>
            <a:ext uri="{FF2B5EF4-FFF2-40B4-BE49-F238E27FC236}">
              <a16:creationId xmlns:a16="http://schemas.microsoft.com/office/drawing/2014/main" id="{00000000-0008-0000-09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8" name="Picture 6" descr=".">
          <a:extLst>
            <a:ext uri="{FF2B5EF4-FFF2-40B4-BE49-F238E27FC236}">
              <a16:creationId xmlns:a16="http://schemas.microsoft.com/office/drawing/2014/main" id="{00000000-0008-0000-09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9" name="Picture 7" descr=".">
          <a:extLst>
            <a:ext uri="{FF2B5EF4-FFF2-40B4-BE49-F238E27FC236}">
              <a16:creationId xmlns:a16="http://schemas.microsoft.com/office/drawing/2014/main" id="{00000000-0008-0000-09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70" name="Picture 8" descr=".">
          <a:extLst>
            <a:ext uri="{FF2B5EF4-FFF2-40B4-BE49-F238E27FC236}">
              <a16:creationId xmlns:a16="http://schemas.microsoft.com/office/drawing/2014/main" id="{00000000-0008-0000-09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71" name="Picture 9" descr=".">
          <a:extLst>
            <a:ext uri="{FF2B5EF4-FFF2-40B4-BE49-F238E27FC236}">
              <a16:creationId xmlns:a16="http://schemas.microsoft.com/office/drawing/2014/main" id="{00000000-0008-0000-09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72" name="Picture 10" descr=".">
          <a:extLst>
            <a:ext uri="{FF2B5EF4-FFF2-40B4-BE49-F238E27FC236}">
              <a16:creationId xmlns:a16="http://schemas.microsoft.com/office/drawing/2014/main" id="{00000000-0008-0000-09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73" name="Picture 11" descr=".">
          <a:extLst>
            <a:ext uri="{FF2B5EF4-FFF2-40B4-BE49-F238E27FC236}">
              <a16:creationId xmlns:a16="http://schemas.microsoft.com/office/drawing/2014/main" id="{00000000-0008-0000-09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4" name="Picture 6" descr=".">
          <a:extLst>
            <a:ext uri="{FF2B5EF4-FFF2-40B4-BE49-F238E27FC236}">
              <a16:creationId xmlns:a16="http://schemas.microsoft.com/office/drawing/2014/main" id="{00000000-0008-0000-09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5" name="Picture 7" descr=".">
          <a:extLst>
            <a:ext uri="{FF2B5EF4-FFF2-40B4-BE49-F238E27FC236}">
              <a16:creationId xmlns:a16="http://schemas.microsoft.com/office/drawing/2014/main" id="{00000000-0008-0000-09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6" name="Picture 8" descr=".">
          <a:extLst>
            <a:ext uri="{FF2B5EF4-FFF2-40B4-BE49-F238E27FC236}">
              <a16:creationId xmlns:a16="http://schemas.microsoft.com/office/drawing/2014/main" id="{00000000-0008-0000-09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7" name="Picture 9" descr=".">
          <a:extLst>
            <a:ext uri="{FF2B5EF4-FFF2-40B4-BE49-F238E27FC236}">
              <a16:creationId xmlns:a16="http://schemas.microsoft.com/office/drawing/2014/main" id="{00000000-0008-0000-09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8" name="Picture 10" descr=".">
          <a:extLst>
            <a:ext uri="{FF2B5EF4-FFF2-40B4-BE49-F238E27FC236}">
              <a16:creationId xmlns:a16="http://schemas.microsoft.com/office/drawing/2014/main" id="{00000000-0008-0000-09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9" name="Picture 11" descr=".">
          <a:extLst>
            <a:ext uri="{FF2B5EF4-FFF2-40B4-BE49-F238E27FC236}">
              <a16:creationId xmlns:a16="http://schemas.microsoft.com/office/drawing/2014/main" id="{00000000-0008-0000-09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0" name="Picture 6" descr=".">
          <a:extLst>
            <a:ext uri="{FF2B5EF4-FFF2-40B4-BE49-F238E27FC236}">
              <a16:creationId xmlns:a16="http://schemas.microsoft.com/office/drawing/2014/main" id="{00000000-0008-0000-09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1" name="Picture 7" descr=".">
          <a:extLst>
            <a:ext uri="{FF2B5EF4-FFF2-40B4-BE49-F238E27FC236}">
              <a16:creationId xmlns:a16="http://schemas.microsoft.com/office/drawing/2014/main" id="{00000000-0008-0000-09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2" name="Picture 8" descr=".">
          <a:extLst>
            <a:ext uri="{FF2B5EF4-FFF2-40B4-BE49-F238E27FC236}">
              <a16:creationId xmlns:a16="http://schemas.microsoft.com/office/drawing/2014/main" id="{00000000-0008-0000-09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3" name="Picture 9" descr=".">
          <a:extLst>
            <a:ext uri="{FF2B5EF4-FFF2-40B4-BE49-F238E27FC236}">
              <a16:creationId xmlns:a16="http://schemas.microsoft.com/office/drawing/2014/main" id="{00000000-0008-0000-09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8"/>
    <xdr:pic>
      <xdr:nvPicPr>
        <xdr:cNvPr id="84" name="Picture 10" descr=".">
          <a:extLst>
            <a:ext uri="{FF2B5EF4-FFF2-40B4-BE49-F238E27FC236}">
              <a16:creationId xmlns:a16="http://schemas.microsoft.com/office/drawing/2014/main" id="{00000000-0008-0000-09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1"/>
    <xdr:pic>
      <xdr:nvPicPr>
        <xdr:cNvPr id="85" name="Picture 11" descr=".">
          <a:extLst>
            <a:ext uri="{FF2B5EF4-FFF2-40B4-BE49-F238E27FC236}">
              <a16:creationId xmlns:a16="http://schemas.microsoft.com/office/drawing/2014/main" id="{00000000-0008-0000-09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6" name="Picture 6" descr=".">
          <a:extLst>
            <a:ext uri="{FF2B5EF4-FFF2-40B4-BE49-F238E27FC236}">
              <a16:creationId xmlns:a16="http://schemas.microsoft.com/office/drawing/2014/main" id="{00000000-0008-0000-09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7" name="Picture 7" descr=".">
          <a:extLst>
            <a:ext uri="{FF2B5EF4-FFF2-40B4-BE49-F238E27FC236}">
              <a16:creationId xmlns:a16="http://schemas.microsoft.com/office/drawing/2014/main" id="{00000000-0008-0000-09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8" name="Picture 8" descr=".">
          <a:extLst>
            <a:ext uri="{FF2B5EF4-FFF2-40B4-BE49-F238E27FC236}">
              <a16:creationId xmlns:a16="http://schemas.microsoft.com/office/drawing/2014/main" id="{00000000-0008-0000-09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9" name="Picture 9" descr=".">
          <a:extLst>
            <a:ext uri="{FF2B5EF4-FFF2-40B4-BE49-F238E27FC236}">
              <a16:creationId xmlns:a16="http://schemas.microsoft.com/office/drawing/2014/main" id="{00000000-0008-0000-09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0" name="Picture 10" descr=".">
          <a:extLst>
            <a:ext uri="{FF2B5EF4-FFF2-40B4-BE49-F238E27FC236}">
              <a16:creationId xmlns:a16="http://schemas.microsoft.com/office/drawing/2014/main" id="{00000000-0008-0000-09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1" name="Picture 11" descr=".">
          <a:extLst>
            <a:ext uri="{FF2B5EF4-FFF2-40B4-BE49-F238E27FC236}">
              <a16:creationId xmlns:a16="http://schemas.microsoft.com/office/drawing/2014/main" id="{00000000-0008-0000-09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2" name="Picture 6" descr=".">
          <a:extLst>
            <a:ext uri="{FF2B5EF4-FFF2-40B4-BE49-F238E27FC236}">
              <a16:creationId xmlns:a16="http://schemas.microsoft.com/office/drawing/2014/main" id="{00000000-0008-0000-09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3" name="Picture 7" descr=".">
          <a:extLst>
            <a:ext uri="{FF2B5EF4-FFF2-40B4-BE49-F238E27FC236}">
              <a16:creationId xmlns:a16="http://schemas.microsoft.com/office/drawing/2014/main" id="{00000000-0008-0000-09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4" name="Picture 8" descr=".">
          <a:extLst>
            <a:ext uri="{FF2B5EF4-FFF2-40B4-BE49-F238E27FC236}">
              <a16:creationId xmlns:a16="http://schemas.microsoft.com/office/drawing/2014/main" id="{00000000-0008-0000-09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5" name="Picture 9" descr=".">
          <a:extLst>
            <a:ext uri="{FF2B5EF4-FFF2-40B4-BE49-F238E27FC236}">
              <a16:creationId xmlns:a16="http://schemas.microsoft.com/office/drawing/2014/main" id="{00000000-0008-0000-09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6" name="Picture 10" descr=".">
          <a:extLst>
            <a:ext uri="{FF2B5EF4-FFF2-40B4-BE49-F238E27FC236}">
              <a16:creationId xmlns:a16="http://schemas.microsoft.com/office/drawing/2014/main" id="{00000000-0008-0000-09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7" name="Picture 11" descr=".">
          <a:extLst>
            <a:ext uri="{FF2B5EF4-FFF2-40B4-BE49-F238E27FC236}">
              <a16:creationId xmlns:a16="http://schemas.microsoft.com/office/drawing/2014/main" id="{00000000-0008-0000-09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8" name="Picture 6" descr=".">
          <a:extLst>
            <a:ext uri="{FF2B5EF4-FFF2-40B4-BE49-F238E27FC236}">
              <a16:creationId xmlns:a16="http://schemas.microsoft.com/office/drawing/2014/main" id="{00000000-0008-0000-09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9" name="Picture 7" descr=".">
          <a:extLst>
            <a:ext uri="{FF2B5EF4-FFF2-40B4-BE49-F238E27FC236}">
              <a16:creationId xmlns:a16="http://schemas.microsoft.com/office/drawing/2014/main" id="{00000000-0008-0000-09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100" name="Picture 8" descr=".">
          <a:extLst>
            <a:ext uri="{FF2B5EF4-FFF2-40B4-BE49-F238E27FC236}">
              <a16:creationId xmlns:a16="http://schemas.microsoft.com/office/drawing/2014/main" id="{00000000-0008-0000-09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101" name="Picture 9" descr=".">
          <a:extLst>
            <a:ext uri="{FF2B5EF4-FFF2-40B4-BE49-F238E27FC236}">
              <a16:creationId xmlns:a16="http://schemas.microsoft.com/office/drawing/2014/main" id="{00000000-0008-0000-09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102" name="Picture 10" descr=".">
          <a:extLst>
            <a:ext uri="{FF2B5EF4-FFF2-40B4-BE49-F238E27FC236}">
              <a16:creationId xmlns:a16="http://schemas.microsoft.com/office/drawing/2014/main" id="{00000000-0008-0000-09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103" name="Picture 11" descr=".">
          <a:extLst>
            <a:ext uri="{FF2B5EF4-FFF2-40B4-BE49-F238E27FC236}">
              <a16:creationId xmlns:a16="http://schemas.microsoft.com/office/drawing/2014/main" id="{00000000-0008-0000-09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4" name="Picture 6" descr=".">
          <a:extLst>
            <a:ext uri="{FF2B5EF4-FFF2-40B4-BE49-F238E27FC236}">
              <a16:creationId xmlns:a16="http://schemas.microsoft.com/office/drawing/2014/main" id="{00000000-0008-0000-09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5" name="Picture 7" descr=".">
          <a:extLst>
            <a:ext uri="{FF2B5EF4-FFF2-40B4-BE49-F238E27FC236}">
              <a16:creationId xmlns:a16="http://schemas.microsoft.com/office/drawing/2014/main" id="{00000000-0008-0000-09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6" name="Picture 8" descr=".">
          <a:extLst>
            <a:ext uri="{FF2B5EF4-FFF2-40B4-BE49-F238E27FC236}">
              <a16:creationId xmlns:a16="http://schemas.microsoft.com/office/drawing/2014/main" id="{00000000-0008-0000-09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7" name="Picture 9" descr=".">
          <a:extLst>
            <a:ext uri="{FF2B5EF4-FFF2-40B4-BE49-F238E27FC236}">
              <a16:creationId xmlns:a16="http://schemas.microsoft.com/office/drawing/2014/main" id="{00000000-0008-0000-09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8" name="Picture 10" descr=".">
          <a:extLst>
            <a:ext uri="{FF2B5EF4-FFF2-40B4-BE49-F238E27FC236}">
              <a16:creationId xmlns:a16="http://schemas.microsoft.com/office/drawing/2014/main" id="{00000000-0008-0000-09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9" name="Picture 11" descr=".">
          <a:extLst>
            <a:ext uri="{FF2B5EF4-FFF2-40B4-BE49-F238E27FC236}">
              <a16:creationId xmlns:a16="http://schemas.microsoft.com/office/drawing/2014/main" id="{00000000-0008-0000-09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0" name="Picture 6" descr=".">
          <a:extLst>
            <a:ext uri="{FF2B5EF4-FFF2-40B4-BE49-F238E27FC236}">
              <a16:creationId xmlns:a16="http://schemas.microsoft.com/office/drawing/2014/main" id="{00000000-0008-0000-09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1" name="Picture 7" descr=".">
          <a:extLst>
            <a:ext uri="{FF2B5EF4-FFF2-40B4-BE49-F238E27FC236}">
              <a16:creationId xmlns:a16="http://schemas.microsoft.com/office/drawing/2014/main" id="{00000000-0008-0000-09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2" name="Picture 8" descr=".">
          <a:extLst>
            <a:ext uri="{FF2B5EF4-FFF2-40B4-BE49-F238E27FC236}">
              <a16:creationId xmlns:a16="http://schemas.microsoft.com/office/drawing/2014/main" id="{00000000-0008-0000-09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3" name="Picture 9" descr=".">
          <a:extLst>
            <a:ext uri="{FF2B5EF4-FFF2-40B4-BE49-F238E27FC236}">
              <a16:creationId xmlns:a16="http://schemas.microsoft.com/office/drawing/2014/main" id="{00000000-0008-0000-09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114" name="Picture 10" descr=".">
          <a:extLst>
            <a:ext uri="{FF2B5EF4-FFF2-40B4-BE49-F238E27FC236}">
              <a16:creationId xmlns:a16="http://schemas.microsoft.com/office/drawing/2014/main" id="{00000000-0008-0000-09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115" name="Picture 11" descr=".">
          <a:extLst>
            <a:ext uri="{FF2B5EF4-FFF2-40B4-BE49-F238E27FC236}">
              <a16:creationId xmlns:a16="http://schemas.microsoft.com/office/drawing/2014/main" id="{00000000-0008-0000-09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6" name="Picture 6" descr=".">
          <a:extLst>
            <a:ext uri="{FF2B5EF4-FFF2-40B4-BE49-F238E27FC236}">
              <a16:creationId xmlns:a16="http://schemas.microsoft.com/office/drawing/2014/main" id="{00000000-0008-0000-09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7" name="Picture 7" descr=".">
          <a:extLst>
            <a:ext uri="{FF2B5EF4-FFF2-40B4-BE49-F238E27FC236}">
              <a16:creationId xmlns:a16="http://schemas.microsoft.com/office/drawing/2014/main" id="{00000000-0008-0000-09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8" name="Picture 8" descr=".">
          <a:extLst>
            <a:ext uri="{FF2B5EF4-FFF2-40B4-BE49-F238E27FC236}">
              <a16:creationId xmlns:a16="http://schemas.microsoft.com/office/drawing/2014/main" id="{00000000-0008-0000-09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9" name="Picture 9" descr=".">
          <a:extLst>
            <a:ext uri="{FF2B5EF4-FFF2-40B4-BE49-F238E27FC236}">
              <a16:creationId xmlns:a16="http://schemas.microsoft.com/office/drawing/2014/main" id="{00000000-0008-0000-09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0" name="Picture 10" descr=".">
          <a:extLst>
            <a:ext uri="{FF2B5EF4-FFF2-40B4-BE49-F238E27FC236}">
              <a16:creationId xmlns:a16="http://schemas.microsoft.com/office/drawing/2014/main" id="{00000000-0008-0000-09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1" name="Picture 11" descr=".">
          <a:extLst>
            <a:ext uri="{FF2B5EF4-FFF2-40B4-BE49-F238E27FC236}">
              <a16:creationId xmlns:a16="http://schemas.microsoft.com/office/drawing/2014/main" id="{00000000-0008-0000-09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2" name="Picture 6" descr=".">
          <a:extLst>
            <a:ext uri="{FF2B5EF4-FFF2-40B4-BE49-F238E27FC236}">
              <a16:creationId xmlns:a16="http://schemas.microsoft.com/office/drawing/2014/main" id="{00000000-0008-0000-09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3" name="Picture 7" descr=".">
          <a:extLst>
            <a:ext uri="{FF2B5EF4-FFF2-40B4-BE49-F238E27FC236}">
              <a16:creationId xmlns:a16="http://schemas.microsoft.com/office/drawing/2014/main" id="{00000000-0008-0000-09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4" name="Picture 8" descr=".">
          <a:extLst>
            <a:ext uri="{FF2B5EF4-FFF2-40B4-BE49-F238E27FC236}">
              <a16:creationId xmlns:a16="http://schemas.microsoft.com/office/drawing/2014/main" id="{00000000-0008-0000-09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5" name="Picture 9" descr=".">
          <a:extLst>
            <a:ext uri="{FF2B5EF4-FFF2-40B4-BE49-F238E27FC236}">
              <a16:creationId xmlns:a16="http://schemas.microsoft.com/office/drawing/2014/main" id="{00000000-0008-0000-09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6" name="Picture 10" descr=".">
          <a:extLst>
            <a:ext uri="{FF2B5EF4-FFF2-40B4-BE49-F238E27FC236}">
              <a16:creationId xmlns:a16="http://schemas.microsoft.com/office/drawing/2014/main" id="{00000000-0008-0000-09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7" name="Picture 11" descr=".">
          <a:extLst>
            <a:ext uri="{FF2B5EF4-FFF2-40B4-BE49-F238E27FC236}">
              <a16:creationId xmlns:a16="http://schemas.microsoft.com/office/drawing/2014/main" id="{00000000-0008-0000-09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8" name="Picture 6" descr=".">
          <a:extLst>
            <a:ext uri="{FF2B5EF4-FFF2-40B4-BE49-F238E27FC236}">
              <a16:creationId xmlns:a16="http://schemas.microsoft.com/office/drawing/2014/main" id="{00000000-0008-0000-09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9" name="Picture 7" descr=".">
          <a:extLst>
            <a:ext uri="{FF2B5EF4-FFF2-40B4-BE49-F238E27FC236}">
              <a16:creationId xmlns:a16="http://schemas.microsoft.com/office/drawing/2014/main" id="{00000000-0008-0000-09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30" name="Picture 8" descr=".">
          <a:extLst>
            <a:ext uri="{FF2B5EF4-FFF2-40B4-BE49-F238E27FC236}">
              <a16:creationId xmlns:a16="http://schemas.microsoft.com/office/drawing/2014/main" id="{00000000-0008-0000-09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31" name="Picture 9" descr=".">
          <a:extLst>
            <a:ext uri="{FF2B5EF4-FFF2-40B4-BE49-F238E27FC236}">
              <a16:creationId xmlns:a16="http://schemas.microsoft.com/office/drawing/2014/main" id="{00000000-0008-0000-09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32" name="Picture 10" descr=".">
          <a:extLst>
            <a:ext uri="{FF2B5EF4-FFF2-40B4-BE49-F238E27FC236}">
              <a16:creationId xmlns:a16="http://schemas.microsoft.com/office/drawing/2014/main" id="{00000000-0008-0000-09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33" name="Picture 11" descr=".">
          <a:extLst>
            <a:ext uri="{FF2B5EF4-FFF2-40B4-BE49-F238E27FC236}">
              <a16:creationId xmlns:a16="http://schemas.microsoft.com/office/drawing/2014/main" id="{00000000-0008-0000-09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4" name="Picture 6" descr=".">
          <a:extLst>
            <a:ext uri="{FF2B5EF4-FFF2-40B4-BE49-F238E27FC236}">
              <a16:creationId xmlns:a16="http://schemas.microsoft.com/office/drawing/2014/main" id="{00000000-0008-0000-09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5" name="Picture 7" descr=".">
          <a:extLst>
            <a:ext uri="{FF2B5EF4-FFF2-40B4-BE49-F238E27FC236}">
              <a16:creationId xmlns:a16="http://schemas.microsoft.com/office/drawing/2014/main" id="{00000000-0008-0000-09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6" name="Picture 8" descr=".">
          <a:extLst>
            <a:ext uri="{FF2B5EF4-FFF2-40B4-BE49-F238E27FC236}">
              <a16:creationId xmlns:a16="http://schemas.microsoft.com/office/drawing/2014/main" id="{00000000-0008-0000-09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7" name="Picture 9" descr=".">
          <a:extLst>
            <a:ext uri="{FF2B5EF4-FFF2-40B4-BE49-F238E27FC236}">
              <a16:creationId xmlns:a16="http://schemas.microsoft.com/office/drawing/2014/main" id="{00000000-0008-0000-09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8" name="Picture 10" descr=".">
          <a:extLst>
            <a:ext uri="{FF2B5EF4-FFF2-40B4-BE49-F238E27FC236}">
              <a16:creationId xmlns:a16="http://schemas.microsoft.com/office/drawing/2014/main" id="{00000000-0008-0000-09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9" name="Picture 11" descr=".">
          <a:extLst>
            <a:ext uri="{FF2B5EF4-FFF2-40B4-BE49-F238E27FC236}">
              <a16:creationId xmlns:a16="http://schemas.microsoft.com/office/drawing/2014/main" id="{00000000-0008-0000-09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0" name="Picture 6" descr=".">
          <a:extLst>
            <a:ext uri="{FF2B5EF4-FFF2-40B4-BE49-F238E27FC236}">
              <a16:creationId xmlns:a16="http://schemas.microsoft.com/office/drawing/2014/main" id="{00000000-0008-0000-09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1" name="Picture 7" descr=".">
          <a:extLst>
            <a:ext uri="{FF2B5EF4-FFF2-40B4-BE49-F238E27FC236}">
              <a16:creationId xmlns:a16="http://schemas.microsoft.com/office/drawing/2014/main" id="{00000000-0008-0000-09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2" name="Picture 8" descr=".">
          <a:extLst>
            <a:ext uri="{FF2B5EF4-FFF2-40B4-BE49-F238E27FC236}">
              <a16:creationId xmlns:a16="http://schemas.microsoft.com/office/drawing/2014/main" id="{00000000-0008-0000-09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3" name="Picture 9" descr=".">
          <a:extLst>
            <a:ext uri="{FF2B5EF4-FFF2-40B4-BE49-F238E27FC236}">
              <a16:creationId xmlns:a16="http://schemas.microsoft.com/office/drawing/2014/main" id="{00000000-0008-0000-09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8"/>
    <xdr:pic>
      <xdr:nvPicPr>
        <xdr:cNvPr id="144" name="Picture 10" descr=".">
          <a:extLst>
            <a:ext uri="{FF2B5EF4-FFF2-40B4-BE49-F238E27FC236}">
              <a16:creationId xmlns:a16="http://schemas.microsoft.com/office/drawing/2014/main" id="{00000000-0008-0000-09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1"/>
    <xdr:pic>
      <xdr:nvPicPr>
        <xdr:cNvPr id="145" name="Picture 11" descr=".">
          <a:extLst>
            <a:ext uri="{FF2B5EF4-FFF2-40B4-BE49-F238E27FC236}">
              <a16:creationId xmlns:a16="http://schemas.microsoft.com/office/drawing/2014/main" id="{00000000-0008-0000-09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6" name="Picture 6" descr=".">
          <a:extLst>
            <a:ext uri="{FF2B5EF4-FFF2-40B4-BE49-F238E27FC236}">
              <a16:creationId xmlns:a16="http://schemas.microsoft.com/office/drawing/2014/main" id="{00000000-0008-0000-09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82562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7" name="Picture 7" descr=".">
          <a:extLst>
            <a:ext uri="{FF2B5EF4-FFF2-40B4-BE49-F238E27FC236}">
              <a16:creationId xmlns:a16="http://schemas.microsoft.com/office/drawing/2014/main" id="{00000000-0008-0000-09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82562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8" name="Picture 8" descr=".">
          <a:extLst>
            <a:ext uri="{FF2B5EF4-FFF2-40B4-BE49-F238E27FC236}">
              <a16:creationId xmlns:a16="http://schemas.microsoft.com/office/drawing/2014/main" id="{00000000-0008-0000-09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82562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9" name="Picture 9" descr=".">
          <a:extLst>
            <a:ext uri="{FF2B5EF4-FFF2-40B4-BE49-F238E27FC236}">
              <a16:creationId xmlns:a16="http://schemas.microsoft.com/office/drawing/2014/main" id="{00000000-0008-0000-09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82562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8"/>
    <xdr:pic>
      <xdr:nvPicPr>
        <xdr:cNvPr id="150" name="Picture 10" descr=".">
          <a:extLst>
            <a:ext uri="{FF2B5EF4-FFF2-40B4-BE49-F238E27FC236}">
              <a16:creationId xmlns:a16="http://schemas.microsoft.com/office/drawing/2014/main" id="{00000000-0008-0000-09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82562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1"/>
    <xdr:pic>
      <xdr:nvPicPr>
        <xdr:cNvPr id="151" name="Picture 11" descr=".">
          <a:extLst>
            <a:ext uri="{FF2B5EF4-FFF2-40B4-BE49-F238E27FC236}">
              <a16:creationId xmlns:a16="http://schemas.microsoft.com/office/drawing/2014/main" id="{00000000-0008-0000-09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82562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09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82562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09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82562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09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82562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09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82562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09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82562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09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82562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58" name="Picture 6" descr=".">
          <a:extLst>
            <a:ext uri="{FF2B5EF4-FFF2-40B4-BE49-F238E27FC236}">
              <a16:creationId xmlns:a16="http://schemas.microsoft.com/office/drawing/2014/main" id="{00000000-0008-0000-0900-00009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59" name="Picture 7" descr=".">
          <a:extLst>
            <a:ext uri="{FF2B5EF4-FFF2-40B4-BE49-F238E27FC236}">
              <a16:creationId xmlns:a16="http://schemas.microsoft.com/office/drawing/2014/main" id="{00000000-0008-0000-0900-00009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0" name="Picture 8" descr=".">
          <a:extLst>
            <a:ext uri="{FF2B5EF4-FFF2-40B4-BE49-F238E27FC236}">
              <a16:creationId xmlns:a16="http://schemas.microsoft.com/office/drawing/2014/main" id="{00000000-0008-0000-0900-0000A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1" name="Picture 9" descr=".">
          <a:extLst>
            <a:ext uri="{FF2B5EF4-FFF2-40B4-BE49-F238E27FC236}">
              <a16:creationId xmlns:a16="http://schemas.microsoft.com/office/drawing/2014/main" id="{00000000-0008-0000-0900-0000A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2" name="Picture 10" descr=".">
          <a:extLst>
            <a:ext uri="{FF2B5EF4-FFF2-40B4-BE49-F238E27FC236}">
              <a16:creationId xmlns:a16="http://schemas.microsoft.com/office/drawing/2014/main" id="{00000000-0008-0000-0900-0000A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3" name="Picture 11" descr=".">
          <a:extLst>
            <a:ext uri="{FF2B5EF4-FFF2-40B4-BE49-F238E27FC236}">
              <a16:creationId xmlns:a16="http://schemas.microsoft.com/office/drawing/2014/main" id="{00000000-0008-0000-0900-0000A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4" name="Picture 6" descr=".">
          <a:extLst>
            <a:ext uri="{FF2B5EF4-FFF2-40B4-BE49-F238E27FC236}">
              <a16:creationId xmlns:a16="http://schemas.microsoft.com/office/drawing/2014/main" id="{00000000-0008-0000-0900-0000A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5" name="Picture 7" descr=".">
          <a:extLst>
            <a:ext uri="{FF2B5EF4-FFF2-40B4-BE49-F238E27FC236}">
              <a16:creationId xmlns:a16="http://schemas.microsoft.com/office/drawing/2014/main" id="{00000000-0008-0000-09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6" name="Picture 8" descr=".">
          <a:extLst>
            <a:ext uri="{FF2B5EF4-FFF2-40B4-BE49-F238E27FC236}">
              <a16:creationId xmlns:a16="http://schemas.microsoft.com/office/drawing/2014/main" id="{00000000-0008-0000-0900-0000A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7" name="Picture 9" descr=".">
          <a:extLst>
            <a:ext uri="{FF2B5EF4-FFF2-40B4-BE49-F238E27FC236}">
              <a16:creationId xmlns:a16="http://schemas.microsoft.com/office/drawing/2014/main" id="{00000000-0008-0000-0900-0000A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8" name="Picture 10" descr=".">
          <a:extLst>
            <a:ext uri="{FF2B5EF4-FFF2-40B4-BE49-F238E27FC236}">
              <a16:creationId xmlns:a16="http://schemas.microsoft.com/office/drawing/2014/main" id="{00000000-0008-0000-0900-0000A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9" name="Picture 11" descr=".">
          <a:extLst>
            <a:ext uri="{FF2B5EF4-FFF2-40B4-BE49-F238E27FC236}">
              <a16:creationId xmlns:a16="http://schemas.microsoft.com/office/drawing/2014/main" id="{00000000-0008-0000-0900-0000A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0" name="Picture 6" descr=".">
          <a:extLst>
            <a:ext uri="{FF2B5EF4-FFF2-40B4-BE49-F238E27FC236}">
              <a16:creationId xmlns:a16="http://schemas.microsoft.com/office/drawing/2014/main" id="{00000000-0008-0000-0900-0000A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1" name="Picture 7" descr=".">
          <a:extLst>
            <a:ext uri="{FF2B5EF4-FFF2-40B4-BE49-F238E27FC236}">
              <a16:creationId xmlns:a16="http://schemas.microsoft.com/office/drawing/2014/main" id="{00000000-0008-0000-0900-0000A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2" name="Picture 8" descr=".">
          <a:extLst>
            <a:ext uri="{FF2B5EF4-FFF2-40B4-BE49-F238E27FC236}">
              <a16:creationId xmlns:a16="http://schemas.microsoft.com/office/drawing/2014/main" id="{00000000-0008-0000-0900-0000A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3" name="Picture 9" descr=".">
          <a:extLst>
            <a:ext uri="{FF2B5EF4-FFF2-40B4-BE49-F238E27FC236}">
              <a16:creationId xmlns:a16="http://schemas.microsoft.com/office/drawing/2014/main" id="{00000000-0008-0000-0900-0000A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74" name="Picture 10" descr=".">
          <a:extLst>
            <a:ext uri="{FF2B5EF4-FFF2-40B4-BE49-F238E27FC236}">
              <a16:creationId xmlns:a16="http://schemas.microsoft.com/office/drawing/2014/main" id="{00000000-0008-0000-0900-0000A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75" name="Picture 11" descr=".">
          <a:extLst>
            <a:ext uri="{FF2B5EF4-FFF2-40B4-BE49-F238E27FC236}">
              <a16:creationId xmlns:a16="http://schemas.microsoft.com/office/drawing/2014/main" id="{00000000-0008-0000-0900-0000A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6" name="Picture 6" descr=".">
          <a:extLst>
            <a:ext uri="{FF2B5EF4-FFF2-40B4-BE49-F238E27FC236}">
              <a16:creationId xmlns:a16="http://schemas.microsoft.com/office/drawing/2014/main" id="{00000000-0008-0000-0900-0000B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7" name="Picture 7" descr=".">
          <a:extLst>
            <a:ext uri="{FF2B5EF4-FFF2-40B4-BE49-F238E27FC236}">
              <a16:creationId xmlns:a16="http://schemas.microsoft.com/office/drawing/2014/main" id="{00000000-0008-0000-0900-0000B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8" name="Picture 8" descr=".">
          <a:extLst>
            <a:ext uri="{FF2B5EF4-FFF2-40B4-BE49-F238E27FC236}">
              <a16:creationId xmlns:a16="http://schemas.microsoft.com/office/drawing/2014/main" id="{00000000-0008-0000-0900-0000B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9" name="Picture 9" descr=".">
          <a:extLst>
            <a:ext uri="{FF2B5EF4-FFF2-40B4-BE49-F238E27FC236}">
              <a16:creationId xmlns:a16="http://schemas.microsoft.com/office/drawing/2014/main" id="{00000000-0008-0000-0900-0000B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8"/>
    <xdr:pic>
      <xdr:nvPicPr>
        <xdr:cNvPr id="180" name="Picture 10" descr=".">
          <a:extLst>
            <a:ext uri="{FF2B5EF4-FFF2-40B4-BE49-F238E27FC236}">
              <a16:creationId xmlns:a16="http://schemas.microsoft.com/office/drawing/2014/main" id="{00000000-0008-0000-0900-0000B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1"/>
    <xdr:pic>
      <xdr:nvPicPr>
        <xdr:cNvPr id="181" name="Picture 11" descr=".">
          <a:extLst>
            <a:ext uri="{FF2B5EF4-FFF2-40B4-BE49-F238E27FC236}">
              <a16:creationId xmlns:a16="http://schemas.microsoft.com/office/drawing/2014/main" id="{00000000-0008-0000-0900-0000B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2" name="Picture 6" descr=".">
          <a:extLst>
            <a:ext uri="{FF2B5EF4-FFF2-40B4-BE49-F238E27FC236}">
              <a16:creationId xmlns:a16="http://schemas.microsoft.com/office/drawing/2014/main" id="{00000000-0008-0000-0900-0000B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9945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3" name="Picture 7" descr=".">
          <a:extLst>
            <a:ext uri="{FF2B5EF4-FFF2-40B4-BE49-F238E27FC236}">
              <a16:creationId xmlns:a16="http://schemas.microsoft.com/office/drawing/2014/main" id="{00000000-0008-0000-0900-0000B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9945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4" name="Picture 8" descr=".">
          <a:extLst>
            <a:ext uri="{FF2B5EF4-FFF2-40B4-BE49-F238E27FC236}">
              <a16:creationId xmlns:a16="http://schemas.microsoft.com/office/drawing/2014/main" id="{00000000-0008-0000-0900-0000B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9945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5" name="Picture 9" descr=".">
          <a:extLst>
            <a:ext uri="{FF2B5EF4-FFF2-40B4-BE49-F238E27FC236}">
              <a16:creationId xmlns:a16="http://schemas.microsoft.com/office/drawing/2014/main" id="{00000000-0008-0000-0900-0000B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9945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86" name="Picture 10" descr=".">
          <a:extLst>
            <a:ext uri="{FF2B5EF4-FFF2-40B4-BE49-F238E27FC236}">
              <a16:creationId xmlns:a16="http://schemas.microsoft.com/office/drawing/2014/main" id="{00000000-0008-0000-0900-0000B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9945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87" name="Picture 11" descr=".">
          <a:extLst>
            <a:ext uri="{FF2B5EF4-FFF2-40B4-BE49-F238E27FC236}">
              <a16:creationId xmlns:a16="http://schemas.microsoft.com/office/drawing/2014/main" id="{00000000-0008-0000-0900-0000B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9945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88" name="Picture 6" descr=".">
          <a:extLst>
            <a:ext uri="{FF2B5EF4-FFF2-40B4-BE49-F238E27FC236}">
              <a16:creationId xmlns:a16="http://schemas.microsoft.com/office/drawing/2014/main" id="{00000000-0008-0000-0900-0000B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99453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89" name="Picture 7" descr=".">
          <a:extLst>
            <a:ext uri="{FF2B5EF4-FFF2-40B4-BE49-F238E27FC236}">
              <a16:creationId xmlns:a16="http://schemas.microsoft.com/office/drawing/2014/main" id="{00000000-0008-0000-0900-0000B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99453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90" name="Picture 8" descr=".">
          <a:extLst>
            <a:ext uri="{FF2B5EF4-FFF2-40B4-BE49-F238E27FC236}">
              <a16:creationId xmlns:a16="http://schemas.microsoft.com/office/drawing/2014/main" id="{00000000-0008-0000-0900-0000B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99453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91" name="Picture 9" descr=".">
          <a:extLst>
            <a:ext uri="{FF2B5EF4-FFF2-40B4-BE49-F238E27FC236}">
              <a16:creationId xmlns:a16="http://schemas.microsoft.com/office/drawing/2014/main" id="{00000000-0008-0000-0900-0000B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99453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192" name="Picture 10" descr=".">
          <a:extLst>
            <a:ext uri="{FF2B5EF4-FFF2-40B4-BE49-F238E27FC236}">
              <a16:creationId xmlns:a16="http://schemas.microsoft.com/office/drawing/2014/main" id="{00000000-0008-0000-0900-0000C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99453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193" name="Picture 11" descr=".">
          <a:extLst>
            <a:ext uri="{FF2B5EF4-FFF2-40B4-BE49-F238E27FC236}">
              <a16:creationId xmlns:a16="http://schemas.microsoft.com/office/drawing/2014/main" id="{00000000-0008-0000-0900-0000C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99453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4" name="Picture 6" descr=".">
          <a:extLst>
            <a:ext uri="{FF2B5EF4-FFF2-40B4-BE49-F238E27FC236}">
              <a16:creationId xmlns:a16="http://schemas.microsoft.com/office/drawing/2014/main" id="{00000000-0008-0000-0900-0000C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99453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5" name="Picture 7" descr=".">
          <a:extLst>
            <a:ext uri="{FF2B5EF4-FFF2-40B4-BE49-F238E27FC236}">
              <a16:creationId xmlns:a16="http://schemas.microsoft.com/office/drawing/2014/main" id="{00000000-0008-0000-0900-0000C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99453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6" name="Picture 8" descr=".">
          <a:extLst>
            <a:ext uri="{FF2B5EF4-FFF2-40B4-BE49-F238E27FC236}">
              <a16:creationId xmlns:a16="http://schemas.microsoft.com/office/drawing/2014/main" id="{00000000-0008-0000-0900-0000C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99453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7" name="Picture 9" descr=".">
          <a:extLst>
            <a:ext uri="{FF2B5EF4-FFF2-40B4-BE49-F238E27FC236}">
              <a16:creationId xmlns:a16="http://schemas.microsoft.com/office/drawing/2014/main" id="{00000000-0008-0000-0900-0000C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99453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98" name="Picture 10" descr=".">
          <a:extLst>
            <a:ext uri="{FF2B5EF4-FFF2-40B4-BE49-F238E27FC236}">
              <a16:creationId xmlns:a16="http://schemas.microsoft.com/office/drawing/2014/main" id="{00000000-0008-0000-0900-0000C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99453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99" name="Picture 11" descr=".">
          <a:extLst>
            <a:ext uri="{FF2B5EF4-FFF2-40B4-BE49-F238E27FC236}">
              <a16:creationId xmlns:a16="http://schemas.microsoft.com/office/drawing/2014/main" id="{00000000-0008-0000-0900-0000C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99453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0" name="Picture 6" descr=".">
          <a:extLst>
            <a:ext uri="{FF2B5EF4-FFF2-40B4-BE49-F238E27FC236}">
              <a16:creationId xmlns:a16="http://schemas.microsoft.com/office/drawing/2014/main" id="{00000000-0008-0000-0900-0000C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1" name="Picture 7" descr=".">
          <a:extLst>
            <a:ext uri="{FF2B5EF4-FFF2-40B4-BE49-F238E27FC236}">
              <a16:creationId xmlns:a16="http://schemas.microsoft.com/office/drawing/2014/main" id="{00000000-0008-0000-0900-0000C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2" name="Picture 8" descr=".">
          <a:extLst>
            <a:ext uri="{FF2B5EF4-FFF2-40B4-BE49-F238E27FC236}">
              <a16:creationId xmlns:a16="http://schemas.microsoft.com/office/drawing/2014/main" id="{00000000-0008-0000-0900-0000C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3" name="Picture 9" descr=".">
          <a:extLst>
            <a:ext uri="{FF2B5EF4-FFF2-40B4-BE49-F238E27FC236}">
              <a16:creationId xmlns:a16="http://schemas.microsoft.com/office/drawing/2014/main" id="{00000000-0008-0000-0900-0000C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04" name="Picture 10" descr=".">
          <a:extLst>
            <a:ext uri="{FF2B5EF4-FFF2-40B4-BE49-F238E27FC236}">
              <a16:creationId xmlns:a16="http://schemas.microsoft.com/office/drawing/2014/main" id="{00000000-0008-0000-0900-0000C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05" name="Picture 11" descr=".">
          <a:extLst>
            <a:ext uri="{FF2B5EF4-FFF2-40B4-BE49-F238E27FC236}">
              <a16:creationId xmlns:a16="http://schemas.microsoft.com/office/drawing/2014/main" id="{00000000-0008-0000-0900-0000C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6" name="Picture 6" descr=".">
          <a:extLst>
            <a:ext uri="{FF2B5EF4-FFF2-40B4-BE49-F238E27FC236}">
              <a16:creationId xmlns:a16="http://schemas.microsoft.com/office/drawing/2014/main" id="{00000000-0008-0000-0900-0000C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7" name="Picture 7" descr=".">
          <a:extLst>
            <a:ext uri="{FF2B5EF4-FFF2-40B4-BE49-F238E27FC236}">
              <a16:creationId xmlns:a16="http://schemas.microsoft.com/office/drawing/2014/main" id="{00000000-0008-0000-0900-0000C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8" name="Picture 8" descr=".">
          <a:extLst>
            <a:ext uri="{FF2B5EF4-FFF2-40B4-BE49-F238E27FC236}">
              <a16:creationId xmlns:a16="http://schemas.microsoft.com/office/drawing/2014/main" id="{00000000-0008-0000-0900-0000D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9" name="Picture 9" descr=".">
          <a:extLst>
            <a:ext uri="{FF2B5EF4-FFF2-40B4-BE49-F238E27FC236}">
              <a16:creationId xmlns:a16="http://schemas.microsoft.com/office/drawing/2014/main" id="{00000000-0008-0000-0900-0000D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0" name="Picture 10" descr=".">
          <a:extLst>
            <a:ext uri="{FF2B5EF4-FFF2-40B4-BE49-F238E27FC236}">
              <a16:creationId xmlns:a16="http://schemas.microsoft.com/office/drawing/2014/main" id="{00000000-0008-0000-0900-0000D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1" name="Picture 11" descr=".">
          <a:extLst>
            <a:ext uri="{FF2B5EF4-FFF2-40B4-BE49-F238E27FC236}">
              <a16:creationId xmlns:a16="http://schemas.microsoft.com/office/drawing/2014/main" id="{00000000-0008-0000-0900-0000D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2" name="Picture 6" descr=".">
          <a:extLst>
            <a:ext uri="{FF2B5EF4-FFF2-40B4-BE49-F238E27FC236}">
              <a16:creationId xmlns:a16="http://schemas.microsoft.com/office/drawing/2014/main" id="{00000000-0008-0000-0900-0000D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3" name="Picture 7" descr=".">
          <a:extLst>
            <a:ext uri="{FF2B5EF4-FFF2-40B4-BE49-F238E27FC236}">
              <a16:creationId xmlns:a16="http://schemas.microsoft.com/office/drawing/2014/main" id="{00000000-0008-0000-0900-0000D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4" name="Picture 8" descr=".">
          <a:extLst>
            <a:ext uri="{FF2B5EF4-FFF2-40B4-BE49-F238E27FC236}">
              <a16:creationId xmlns:a16="http://schemas.microsoft.com/office/drawing/2014/main" id="{00000000-0008-0000-0900-0000D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5" name="Picture 9" descr=".">
          <a:extLst>
            <a:ext uri="{FF2B5EF4-FFF2-40B4-BE49-F238E27FC236}">
              <a16:creationId xmlns:a16="http://schemas.microsoft.com/office/drawing/2014/main" id="{00000000-0008-0000-0900-0000D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6" name="Picture 10" descr=".">
          <a:extLst>
            <a:ext uri="{FF2B5EF4-FFF2-40B4-BE49-F238E27FC236}">
              <a16:creationId xmlns:a16="http://schemas.microsoft.com/office/drawing/2014/main" id="{00000000-0008-0000-0900-0000D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7" name="Picture 11" descr=".">
          <a:extLst>
            <a:ext uri="{FF2B5EF4-FFF2-40B4-BE49-F238E27FC236}">
              <a16:creationId xmlns:a16="http://schemas.microsoft.com/office/drawing/2014/main" id="{00000000-0008-0000-0900-0000D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18" name="Picture 6" descr=".">
          <a:extLst>
            <a:ext uri="{FF2B5EF4-FFF2-40B4-BE49-F238E27FC236}">
              <a16:creationId xmlns:a16="http://schemas.microsoft.com/office/drawing/2014/main" id="{00000000-0008-0000-0900-0000D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9" name="Picture 7" descr=".">
          <a:extLst>
            <a:ext uri="{FF2B5EF4-FFF2-40B4-BE49-F238E27FC236}">
              <a16:creationId xmlns:a16="http://schemas.microsoft.com/office/drawing/2014/main" id="{00000000-0008-0000-0900-0000D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0" name="Picture 8" descr=".">
          <a:extLst>
            <a:ext uri="{FF2B5EF4-FFF2-40B4-BE49-F238E27FC236}">
              <a16:creationId xmlns:a16="http://schemas.microsoft.com/office/drawing/2014/main" id="{00000000-0008-0000-0900-0000D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21" name="Picture 9" descr=".">
          <a:extLst>
            <a:ext uri="{FF2B5EF4-FFF2-40B4-BE49-F238E27FC236}">
              <a16:creationId xmlns:a16="http://schemas.microsoft.com/office/drawing/2014/main" id="{00000000-0008-0000-0900-0000D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22" name="Picture 10" descr=".">
          <a:extLst>
            <a:ext uri="{FF2B5EF4-FFF2-40B4-BE49-F238E27FC236}">
              <a16:creationId xmlns:a16="http://schemas.microsoft.com/office/drawing/2014/main" id="{00000000-0008-0000-0900-0000D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23" name="Picture 11" descr=".">
          <a:extLst>
            <a:ext uri="{FF2B5EF4-FFF2-40B4-BE49-F238E27FC236}">
              <a16:creationId xmlns:a16="http://schemas.microsoft.com/office/drawing/2014/main" id="{00000000-0008-0000-0900-0000D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4" name="Picture 6" descr=".">
          <a:extLst>
            <a:ext uri="{FF2B5EF4-FFF2-40B4-BE49-F238E27FC236}">
              <a16:creationId xmlns:a16="http://schemas.microsoft.com/office/drawing/2014/main" id="{00000000-0008-0000-0900-0000E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5" name="Picture 7" descr=".">
          <a:extLst>
            <a:ext uri="{FF2B5EF4-FFF2-40B4-BE49-F238E27FC236}">
              <a16:creationId xmlns:a16="http://schemas.microsoft.com/office/drawing/2014/main" id="{00000000-0008-0000-0900-0000E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6" name="Picture 8" descr=".">
          <a:extLst>
            <a:ext uri="{FF2B5EF4-FFF2-40B4-BE49-F238E27FC236}">
              <a16:creationId xmlns:a16="http://schemas.microsoft.com/office/drawing/2014/main" id="{00000000-0008-0000-0900-0000E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7" name="Picture 9" descr=".">
          <a:extLst>
            <a:ext uri="{FF2B5EF4-FFF2-40B4-BE49-F238E27FC236}">
              <a16:creationId xmlns:a16="http://schemas.microsoft.com/office/drawing/2014/main" id="{00000000-0008-0000-0900-0000E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228" name="Picture 10" descr=".">
          <a:extLst>
            <a:ext uri="{FF2B5EF4-FFF2-40B4-BE49-F238E27FC236}">
              <a16:creationId xmlns:a16="http://schemas.microsoft.com/office/drawing/2014/main" id="{00000000-0008-0000-0900-0000E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229" name="Picture 11" descr=".">
          <a:extLst>
            <a:ext uri="{FF2B5EF4-FFF2-40B4-BE49-F238E27FC236}">
              <a16:creationId xmlns:a16="http://schemas.microsoft.com/office/drawing/2014/main" id="{00000000-0008-0000-0900-0000E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0" name="Picture 6" descr=".">
          <a:extLst>
            <a:ext uri="{FF2B5EF4-FFF2-40B4-BE49-F238E27FC236}">
              <a16:creationId xmlns:a16="http://schemas.microsoft.com/office/drawing/2014/main" id="{00000000-0008-0000-0900-0000E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1" name="Picture 7" descr=".">
          <a:extLst>
            <a:ext uri="{FF2B5EF4-FFF2-40B4-BE49-F238E27FC236}">
              <a16:creationId xmlns:a16="http://schemas.microsoft.com/office/drawing/2014/main" id="{00000000-0008-0000-0900-0000E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2" name="Picture 8" descr=".">
          <a:extLst>
            <a:ext uri="{FF2B5EF4-FFF2-40B4-BE49-F238E27FC236}">
              <a16:creationId xmlns:a16="http://schemas.microsoft.com/office/drawing/2014/main" id="{00000000-0008-0000-0900-0000E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3" name="Picture 9" descr=".">
          <a:extLst>
            <a:ext uri="{FF2B5EF4-FFF2-40B4-BE49-F238E27FC236}">
              <a16:creationId xmlns:a16="http://schemas.microsoft.com/office/drawing/2014/main" id="{00000000-0008-0000-0900-0000E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34" name="Picture 10" descr=".">
          <a:extLst>
            <a:ext uri="{FF2B5EF4-FFF2-40B4-BE49-F238E27FC236}">
              <a16:creationId xmlns:a16="http://schemas.microsoft.com/office/drawing/2014/main" id="{00000000-0008-0000-0900-0000E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35" name="Picture 11" descr=".">
          <a:extLst>
            <a:ext uri="{FF2B5EF4-FFF2-40B4-BE49-F238E27FC236}">
              <a16:creationId xmlns:a16="http://schemas.microsoft.com/office/drawing/2014/main" id="{00000000-0008-0000-0900-0000E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6" name="Picture 6" descr=".">
          <a:extLst>
            <a:ext uri="{FF2B5EF4-FFF2-40B4-BE49-F238E27FC236}">
              <a16:creationId xmlns:a16="http://schemas.microsoft.com/office/drawing/2014/main" id="{00000000-0008-0000-0900-0000E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7" name="Picture 7" descr=".">
          <a:extLst>
            <a:ext uri="{FF2B5EF4-FFF2-40B4-BE49-F238E27FC236}">
              <a16:creationId xmlns:a16="http://schemas.microsoft.com/office/drawing/2014/main" id="{00000000-0008-0000-0900-0000E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8" name="Picture 8" descr=".">
          <a:extLst>
            <a:ext uri="{FF2B5EF4-FFF2-40B4-BE49-F238E27FC236}">
              <a16:creationId xmlns:a16="http://schemas.microsoft.com/office/drawing/2014/main" id="{00000000-0008-0000-0900-0000E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9" name="Picture 9" descr=".">
          <a:extLst>
            <a:ext uri="{FF2B5EF4-FFF2-40B4-BE49-F238E27FC236}">
              <a16:creationId xmlns:a16="http://schemas.microsoft.com/office/drawing/2014/main" id="{00000000-0008-0000-0900-0000E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0" name="Picture 10" descr=".">
          <a:extLst>
            <a:ext uri="{FF2B5EF4-FFF2-40B4-BE49-F238E27FC236}">
              <a16:creationId xmlns:a16="http://schemas.microsoft.com/office/drawing/2014/main" id="{00000000-0008-0000-0900-0000F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1" name="Picture 11" descr=".">
          <a:extLst>
            <a:ext uri="{FF2B5EF4-FFF2-40B4-BE49-F238E27FC236}">
              <a16:creationId xmlns:a16="http://schemas.microsoft.com/office/drawing/2014/main" id="{00000000-0008-0000-0900-0000F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2" name="Picture 6" descr=".">
          <a:extLst>
            <a:ext uri="{FF2B5EF4-FFF2-40B4-BE49-F238E27FC236}">
              <a16:creationId xmlns:a16="http://schemas.microsoft.com/office/drawing/2014/main" id="{00000000-0008-0000-0900-0000F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3" name="Picture 7" descr=".">
          <a:extLst>
            <a:ext uri="{FF2B5EF4-FFF2-40B4-BE49-F238E27FC236}">
              <a16:creationId xmlns:a16="http://schemas.microsoft.com/office/drawing/2014/main" id="{00000000-0008-0000-0900-0000F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4" name="Picture 8" descr=".">
          <a:extLst>
            <a:ext uri="{FF2B5EF4-FFF2-40B4-BE49-F238E27FC236}">
              <a16:creationId xmlns:a16="http://schemas.microsoft.com/office/drawing/2014/main" id="{00000000-0008-0000-0900-0000F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5" name="Picture 9" descr=".">
          <a:extLst>
            <a:ext uri="{FF2B5EF4-FFF2-40B4-BE49-F238E27FC236}">
              <a16:creationId xmlns:a16="http://schemas.microsoft.com/office/drawing/2014/main" id="{00000000-0008-0000-0900-0000F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6" name="Picture 10" descr=".">
          <a:extLst>
            <a:ext uri="{FF2B5EF4-FFF2-40B4-BE49-F238E27FC236}">
              <a16:creationId xmlns:a16="http://schemas.microsoft.com/office/drawing/2014/main" id="{00000000-0008-0000-0900-0000F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7" name="Picture 11" descr=".">
          <a:extLst>
            <a:ext uri="{FF2B5EF4-FFF2-40B4-BE49-F238E27FC236}">
              <a16:creationId xmlns:a16="http://schemas.microsoft.com/office/drawing/2014/main" id="{00000000-0008-0000-0900-0000F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48" name="Picture 6" descr=".">
          <a:extLst>
            <a:ext uri="{FF2B5EF4-FFF2-40B4-BE49-F238E27FC236}">
              <a16:creationId xmlns:a16="http://schemas.microsoft.com/office/drawing/2014/main" id="{00000000-0008-0000-09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49" name="Picture 7" descr=".">
          <a:extLst>
            <a:ext uri="{FF2B5EF4-FFF2-40B4-BE49-F238E27FC236}">
              <a16:creationId xmlns:a16="http://schemas.microsoft.com/office/drawing/2014/main" id="{00000000-0008-0000-0900-0000F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50" name="Picture 8" descr=".">
          <a:extLst>
            <a:ext uri="{FF2B5EF4-FFF2-40B4-BE49-F238E27FC236}">
              <a16:creationId xmlns:a16="http://schemas.microsoft.com/office/drawing/2014/main" id="{00000000-0008-0000-0900-0000F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51" name="Picture 9" descr=".">
          <a:extLst>
            <a:ext uri="{FF2B5EF4-FFF2-40B4-BE49-F238E27FC236}">
              <a16:creationId xmlns:a16="http://schemas.microsoft.com/office/drawing/2014/main" id="{00000000-0008-0000-0900-0000F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52" name="Picture 10" descr=".">
          <a:extLst>
            <a:ext uri="{FF2B5EF4-FFF2-40B4-BE49-F238E27FC236}">
              <a16:creationId xmlns:a16="http://schemas.microsoft.com/office/drawing/2014/main" id="{00000000-0008-0000-0900-0000F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53" name="Picture 11" descr=".">
          <a:extLst>
            <a:ext uri="{FF2B5EF4-FFF2-40B4-BE49-F238E27FC236}">
              <a16:creationId xmlns:a16="http://schemas.microsoft.com/office/drawing/2014/main" id="{00000000-0008-0000-0900-0000F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4" name="Picture 6" descr=".">
          <a:extLst>
            <a:ext uri="{FF2B5EF4-FFF2-40B4-BE49-F238E27FC236}">
              <a16:creationId xmlns:a16="http://schemas.microsoft.com/office/drawing/2014/main" id="{00000000-0008-0000-0900-0000F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5" name="Picture 7" descr=".">
          <a:extLst>
            <a:ext uri="{FF2B5EF4-FFF2-40B4-BE49-F238E27FC236}">
              <a16:creationId xmlns:a16="http://schemas.microsoft.com/office/drawing/2014/main" id="{00000000-0008-0000-0900-0000F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6" name="Picture 8" descr=".">
          <a:extLst>
            <a:ext uri="{FF2B5EF4-FFF2-40B4-BE49-F238E27FC236}">
              <a16:creationId xmlns:a16="http://schemas.microsoft.com/office/drawing/2014/main" id="{00000000-0008-0000-0900-00000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7" name="Picture 9" descr=".">
          <a:extLst>
            <a:ext uri="{FF2B5EF4-FFF2-40B4-BE49-F238E27FC236}">
              <a16:creationId xmlns:a16="http://schemas.microsoft.com/office/drawing/2014/main" id="{00000000-0008-0000-0900-00000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258" name="Picture 10" descr=".">
          <a:extLst>
            <a:ext uri="{FF2B5EF4-FFF2-40B4-BE49-F238E27FC236}">
              <a16:creationId xmlns:a16="http://schemas.microsoft.com/office/drawing/2014/main" id="{00000000-0008-0000-0900-00000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259" name="Picture 11" descr=".">
          <a:extLst>
            <a:ext uri="{FF2B5EF4-FFF2-40B4-BE49-F238E27FC236}">
              <a16:creationId xmlns:a16="http://schemas.microsoft.com/office/drawing/2014/main" id="{00000000-0008-0000-0900-00000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0" name="Picture 6" descr=".">
          <a:extLst>
            <a:ext uri="{FF2B5EF4-FFF2-40B4-BE49-F238E27FC236}">
              <a16:creationId xmlns:a16="http://schemas.microsoft.com/office/drawing/2014/main" id="{00000000-0008-0000-0900-00000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1" name="Picture 7" descr=".">
          <a:extLst>
            <a:ext uri="{FF2B5EF4-FFF2-40B4-BE49-F238E27FC236}">
              <a16:creationId xmlns:a16="http://schemas.microsoft.com/office/drawing/2014/main" id="{00000000-0008-0000-0900-00000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2" name="Picture 8" descr=".">
          <a:extLst>
            <a:ext uri="{FF2B5EF4-FFF2-40B4-BE49-F238E27FC236}">
              <a16:creationId xmlns:a16="http://schemas.microsoft.com/office/drawing/2014/main" id="{00000000-0008-0000-0900-00000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3" name="Picture 9" descr=".">
          <a:extLst>
            <a:ext uri="{FF2B5EF4-FFF2-40B4-BE49-F238E27FC236}">
              <a16:creationId xmlns:a16="http://schemas.microsoft.com/office/drawing/2014/main" id="{00000000-0008-0000-0900-00000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64" name="Picture 10" descr=".">
          <a:extLst>
            <a:ext uri="{FF2B5EF4-FFF2-40B4-BE49-F238E27FC236}">
              <a16:creationId xmlns:a16="http://schemas.microsoft.com/office/drawing/2014/main" id="{00000000-0008-0000-0900-00000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65" name="Picture 11" descr=".">
          <a:extLst>
            <a:ext uri="{FF2B5EF4-FFF2-40B4-BE49-F238E27FC236}">
              <a16:creationId xmlns:a16="http://schemas.microsoft.com/office/drawing/2014/main" id="{00000000-0008-0000-0900-00000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6" name="Picture 6" descr=".">
          <a:extLst>
            <a:ext uri="{FF2B5EF4-FFF2-40B4-BE49-F238E27FC236}">
              <a16:creationId xmlns:a16="http://schemas.microsoft.com/office/drawing/2014/main" id="{00000000-0008-0000-0900-00000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7" name="Picture 7" descr=".">
          <a:extLst>
            <a:ext uri="{FF2B5EF4-FFF2-40B4-BE49-F238E27FC236}">
              <a16:creationId xmlns:a16="http://schemas.microsoft.com/office/drawing/2014/main" id="{00000000-0008-0000-0900-00000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8" name="Picture 8" descr=".">
          <a:extLst>
            <a:ext uri="{FF2B5EF4-FFF2-40B4-BE49-F238E27FC236}">
              <a16:creationId xmlns:a16="http://schemas.microsoft.com/office/drawing/2014/main" id="{00000000-0008-0000-0900-00000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9" name="Picture 9" descr=".">
          <a:extLst>
            <a:ext uri="{FF2B5EF4-FFF2-40B4-BE49-F238E27FC236}">
              <a16:creationId xmlns:a16="http://schemas.microsoft.com/office/drawing/2014/main" id="{00000000-0008-0000-0900-00000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0" name="Picture 10" descr=".">
          <a:extLst>
            <a:ext uri="{FF2B5EF4-FFF2-40B4-BE49-F238E27FC236}">
              <a16:creationId xmlns:a16="http://schemas.microsoft.com/office/drawing/2014/main" id="{00000000-0008-0000-0900-00000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1" name="Picture 11" descr=".">
          <a:extLst>
            <a:ext uri="{FF2B5EF4-FFF2-40B4-BE49-F238E27FC236}">
              <a16:creationId xmlns:a16="http://schemas.microsoft.com/office/drawing/2014/main" id="{00000000-0008-0000-0900-00000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2" name="Picture 6" descr=".">
          <a:extLst>
            <a:ext uri="{FF2B5EF4-FFF2-40B4-BE49-F238E27FC236}">
              <a16:creationId xmlns:a16="http://schemas.microsoft.com/office/drawing/2014/main" id="{00000000-0008-0000-0900-00001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3" name="Picture 7" descr=".">
          <a:extLst>
            <a:ext uri="{FF2B5EF4-FFF2-40B4-BE49-F238E27FC236}">
              <a16:creationId xmlns:a16="http://schemas.microsoft.com/office/drawing/2014/main" id="{00000000-0008-0000-0900-00001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4" name="Picture 8" descr=".">
          <a:extLst>
            <a:ext uri="{FF2B5EF4-FFF2-40B4-BE49-F238E27FC236}">
              <a16:creationId xmlns:a16="http://schemas.microsoft.com/office/drawing/2014/main" id="{00000000-0008-0000-0900-00001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5" name="Picture 9" descr=".">
          <a:extLst>
            <a:ext uri="{FF2B5EF4-FFF2-40B4-BE49-F238E27FC236}">
              <a16:creationId xmlns:a16="http://schemas.microsoft.com/office/drawing/2014/main" id="{00000000-0008-0000-0900-00001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6" name="Picture 10" descr=".">
          <a:extLst>
            <a:ext uri="{FF2B5EF4-FFF2-40B4-BE49-F238E27FC236}">
              <a16:creationId xmlns:a16="http://schemas.microsoft.com/office/drawing/2014/main" id="{00000000-0008-0000-0900-00001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7" name="Picture 11" descr=".">
          <a:extLst>
            <a:ext uri="{FF2B5EF4-FFF2-40B4-BE49-F238E27FC236}">
              <a16:creationId xmlns:a16="http://schemas.microsoft.com/office/drawing/2014/main" id="{00000000-0008-0000-0900-00001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78" name="Picture 6" descr=".">
          <a:extLst>
            <a:ext uri="{FF2B5EF4-FFF2-40B4-BE49-F238E27FC236}">
              <a16:creationId xmlns:a16="http://schemas.microsoft.com/office/drawing/2014/main" id="{00000000-0008-0000-0900-00001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79" name="Picture 7" descr=".">
          <a:extLst>
            <a:ext uri="{FF2B5EF4-FFF2-40B4-BE49-F238E27FC236}">
              <a16:creationId xmlns:a16="http://schemas.microsoft.com/office/drawing/2014/main" id="{00000000-0008-0000-0900-00001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80" name="Picture 8" descr=".">
          <a:extLst>
            <a:ext uri="{FF2B5EF4-FFF2-40B4-BE49-F238E27FC236}">
              <a16:creationId xmlns:a16="http://schemas.microsoft.com/office/drawing/2014/main" id="{00000000-0008-0000-0900-00001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81" name="Picture 9" descr=".">
          <a:extLst>
            <a:ext uri="{FF2B5EF4-FFF2-40B4-BE49-F238E27FC236}">
              <a16:creationId xmlns:a16="http://schemas.microsoft.com/office/drawing/2014/main" id="{00000000-0008-0000-0900-00001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282" name="Picture 10" descr=".">
          <a:extLst>
            <a:ext uri="{FF2B5EF4-FFF2-40B4-BE49-F238E27FC236}">
              <a16:creationId xmlns:a16="http://schemas.microsoft.com/office/drawing/2014/main" id="{00000000-0008-0000-0900-00001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283" name="Picture 11" descr=".">
          <a:extLst>
            <a:ext uri="{FF2B5EF4-FFF2-40B4-BE49-F238E27FC236}">
              <a16:creationId xmlns:a16="http://schemas.microsoft.com/office/drawing/2014/main" id="{00000000-0008-0000-0900-00001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4" name="Picture 6" descr=".">
          <a:extLst>
            <a:ext uri="{FF2B5EF4-FFF2-40B4-BE49-F238E27FC236}">
              <a16:creationId xmlns:a16="http://schemas.microsoft.com/office/drawing/2014/main" id="{00000000-0008-0000-0900-00001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5" name="Picture 7" descr=".">
          <a:extLst>
            <a:ext uri="{FF2B5EF4-FFF2-40B4-BE49-F238E27FC236}">
              <a16:creationId xmlns:a16="http://schemas.microsoft.com/office/drawing/2014/main" id="{00000000-0008-0000-0900-00001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6" name="Picture 8" descr=".">
          <a:extLst>
            <a:ext uri="{FF2B5EF4-FFF2-40B4-BE49-F238E27FC236}">
              <a16:creationId xmlns:a16="http://schemas.microsoft.com/office/drawing/2014/main" id="{00000000-0008-0000-0900-00001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7" name="Picture 9" descr=".">
          <a:extLst>
            <a:ext uri="{FF2B5EF4-FFF2-40B4-BE49-F238E27FC236}">
              <a16:creationId xmlns:a16="http://schemas.microsoft.com/office/drawing/2014/main" id="{00000000-0008-0000-0900-00001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288" name="Picture 10" descr=".">
          <a:extLst>
            <a:ext uri="{FF2B5EF4-FFF2-40B4-BE49-F238E27FC236}">
              <a16:creationId xmlns:a16="http://schemas.microsoft.com/office/drawing/2014/main" id="{00000000-0008-0000-0900-00002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289" name="Picture 11" descr=".">
          <a:extLst>
            <a:ext uri="{FF2B5EF4-FFF2-40B4-BE49-F238E27FC236}">
              <a16:creationId xmlns:a16="http://schemas.microsoft.com/office/drawing/2014/main" id="{00000000-0008-0000-0900-00002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0" name="Picture 6" descr=".">
          <a:extLst>
            <a:ext uri="{FF2B5EF4-FFF2-40B4-BE49-F238E27FC236}">
              <a16:creationId xmlns:a16="http://schemas.microsoft.com/office/drawing/2014/main" id="{00000000-0008-0000-0900-00002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765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1" name="Picture 7" descr=".">
          <a:extLst>
            <a:ext uri="{FF2B5EF4-FFF2-40B4-BE49-F238E27FC236}">
              <a16:creationId xmlns:a16="http://schemas.microsoft.com/office/drawing/2014/main" id="{00000000-0008-0000-0900-00002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765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2" name="Picture 8" descr=".">
          <a:extLst>
            <a:ext uri="{FF2B5EF4-FFF2-40B4-BE49-F238E27FC236}">
              <a16:creationId xmlns:a16="http://schemas.microsoft.com/office/drawing/2014/main" id="{00000000-0008-0000-0900-00002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765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3" name="Picture 9" descr=".">
          <a:extLst>
            <a:ext uri="{FF2B5EF4-FFF2-40B4-BE49-F238E27FC236}">
              <a16:creationId xmlns:a16="http://schemas.microsoft.com/office/drawing/2014/main" id="{00000000-0008-0000-0900-00002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765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294" name="Picture 10" descr=".">
          <a:extLst>
            <a:ext uri="{FF2B5EF4-FFF2-40B4-BE49-F238E27FC236}">
              <a16:creationId xmlns:a16="http://schemas.microsoft.com/office/drawing/2014/main" id="{00000000-0008-0000-0900-00002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765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295" name="Picture 11" descr=".">
          <a:extLst>
            <a:ext uri="{FF2B5EF4-FFF2-40B4-BE49-F238E27FC236}">
              <a16:creationId xmlns:a16="http://schemas.microsoft.com/office/drawing/2014/main" id="{00000000-0008-0000-0900-00002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765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6" name="Picture 6" descr=".">
          <a:extLst>
            <a:ext uri="{FF2B5EF4-FFF2-40B4-BE49-F238E27FC236}">
              <a16:creationId xmlns:a16="http://schemas.microsoft.com/office/drawing/2014/main" id="{00000000-0008-0000-0900-00002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6670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7" name="Picture 7" descr=".">
          <a:extLst>
            <a:ext uri="{FF2B5EF4-FFF2-40B4-BE49-F238E27FC236}">
              <a16:creationId xmlns:a16="http://schemas.microsoft.com/office/drawing/2014/main" id="{00000000-0008-0000-0900-00002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6670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8" name="Picture 8" descr=".">
          <a:extLst>
            <a:ext uri="{FF2B5EF4-FFF2-40B4-BE49-F238E27FC236}">
              <a16:creationId xmlns:a16="http://schemas.microsoft.com/office/drawing/2014/main" id="{00000000-0008-0000-0900-00002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6670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9" name="Picture 9" descr=".">
          <a:extLst>
            <a:ext uri="{FF2B5EF4-FFF2-40B4-BE49-F238E27FC236}">
              <a16:creationId xmlns:a16="http://schemas.microsoft.com/office/drawing/2014/main" id="{00000000-0008-0000-0900-00002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6670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8"/>
    <xdr:pic>
      <xdr:nvPicPr>
        <xdr:cNvPr id="300" name="Picture 10" descr=".">
          <a:extLst>
            <a:ext uri="{FF2B5EF4-FFF2-40B4-BE49-F238E27FC236}">
              <a16:creationId xmlns:a16="http://schemas.microsoft.com/office/drawing/2014/main" id="{00000000-0008-0000-0900-00002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6670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1"/>
    <xdr:pic>
      <xdr:nvPicPr>
        <xdr:cNvPr id="301" name="Picture 11" descr=".">
          <a:extLst>
            <a:ext uri="{FF2B5EF4-FFF2-40B4-BE49-F238E27FC236}">
              <a16:creationId xmlns:a16="http://schemas.microsoft.com/office/drawing/2014/main" id="{00000000-0008-0000-0900-00002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6670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254000</xdr:colOff>
          <xdr:row>1</xdr:row>
          <xdr:rowOff>0</xdr:rowOff>
        </xdr:from>
        <xdr:to>
          <xdr:col>5</xdr:col>
          <xdr:colOff>317500</xdr:colOff>
          <xdr:row>2</xdr:row>
          <xdr:rowOff>76200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D00-000001A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Calibri"/>
                  <a:ea typeface="Calibri"/>
                  <a:cs typeface="Calibri"/>
                </a:rPr>
                <a:t>Export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2</xdr:col>
      <xdr:colOff>0</xdr:colOff>
      <xdr:row>19</xdr:row>
      <xdr:rowOff>0</xdr:rowOff>
    </xdr:from>
    <xdr:to>
      <xdr:col>2</xdr:col>
      <xdr:colOff>19050</xdr:colOff>
      <xdr:row>19</xdr:row>
      <xdr:rowOff>398709</xdr:rowOff>
    </xdr:to>
    <xdr:pic>
      <xdr:nvPicPr>
        <xdr:cNvPr id="2" name="Picture 6" descr=".">
          <a:extLst>
            <a:ext uri="{FF2B5EF4-FFF2-40B4-BE49-F238E27FC236}">
              <a16:creationId xmlns:a16="http://schemas.microsoft.com/office/drawing/2014/main" id="{982ED1EA-C458-44EA-96ED-9F84D6017D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398710</xdr:rowOff>
    </xdr:to>
    <xdr:pic>
      <xdr:nvPicPr>
        <xdr:cNvPr id="3" name="Picture 7" descr=".">
          <a:extLst>
            <a:ext uri="{FF2B5EF4-FFF2-40B4-BE49-F238E27FC236}">
              <a16:creationId xmlns:a16="http://schemas.microsoft.com/office/drawing/2014/main" id="{4FB35AD8-6A2E-4E1C-BF7D-791B057AE5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398709</xdr:rowOff>
    </xdr:to>
    <xdr:pic>
      <xdr:nvPicPr>
        <xdr:cNvPr id="4" name="Picture 8" descr=".">
          <a:extLst>
            <a:ext uri="{FF2B5EF4-FFF2-40B4-BE49-F238E27FC236}">
              <a16:creationId xmlns:a16="http://schemas.microsoft.com/office/drawing/2014/main" id="{B1F121E8-6670-486D-A831-DB65490A50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398710</xdr:rowOff>
    </xdr:to>
    <xdr:pic>
      <xdr:nvPicPr>
        <xdr:cNvPr id="5" name="Picture 9" descr=".">
          <a:extLst>
            <a:ext uri="{FF2B5EF4-FFF2-40B4-BE49-F238E27FC236}">
              <a16:creationId xmlns:a16="http://schemas.microsoft.com/office/drawing/2014/main" id="{5D05CF04-BFDF-41BB-8592-050AEC30BA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398708</xdr:rowOff>
    </xdr:to>
    <xdr:pic>
      <xdr:nvPicPr>
        <xdr:cNvPr id="6" name="Picture 10" descr=".">
          <a:extLst>
            <a:ext uri="{FF2B5EF4-FFF2-40B4-BE49-F238E27FC236}">
              <a16:creationId xmlns:a16="http://schemas.microsoft.com/office/drawing/2014/main" id="{F4D2B8F0-B7E9-40E3-87D1-B334308B34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398711</xdr:rowOff>
    </xdr:to>
    <xdr:pic>
      <xdr:nvPicPr>
        <xdr:cNvPr id="7" name="Picture 11" descr=".">
          <a:extLst>
            <a:ext uri="{FF2B5EF4-FFF2-40B4-BE49-F238E27FC236}">
              <a16:creationId xmlns:a16="http://schemas.microsoft.com/office/drawing/2014/main" id="{2F5C4202-D5FF-468C-928F-F150A6CF27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19</xdr:row>
      <xdr:rowOff>0</xdr:rowOff>
    </xdr:from>
    <xdr:ext cx="15875" cy="397439"/>
    <xdr:pic>
      <xdr:nvPicPr>
        <xdr:cNvPr id="8" name="Picture 6" descr=".">
          <a:extLst>
            <a:ext uri="{FF2B5EF4-FFF2-40B4-BE49-F238E27FC236}">
              <a16:creationId xmlns:a16="http://schemas.microsoft.com/office/drawing/2014/main" id="{1EB9D114-86F2-4012-BFBF-2BC4452D339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6512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9" name="Picture 7" descr=".">
          <a:extLst>
            <a:ext uri="{FF2B5EF4-FFF2-40B4-BE49-F238E27FC236}">
              <a16:creationId xmlns:a16="http://schemas.microsoft.com/office/drawing/2014/main" id="{48310B24-F409-43EF-B200-D693107C74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6512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0" name="Picture 8" descr=".">
          <a:extLst>
            <a:ext uri="{FF2B5EF4-FFF2-40B4-BE49-F238E27FC236}">
              <a16:creationId xmlns:a16="http://schemas.microsoft.com/office/drawing/2014/main" id="{98209561-BD7D-480C-8FD6-2262903EC4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6512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1" name="Picture 9" descr=".">
          <a:extLst>
            <a:ext uri="{FF2B5EF4-FFF2-40B4-BE49-F238E27FC236}">
              <a16:creationId xmlns:a16="http://schemas.microsoft.com/office/drawing/2014/main" id="{A4B253B1-EB61-4897-996C-D6697F0AAB5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6512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2" name="Picture 10" descr=".">
          <a:extLst>
            <a:ext uri="{FF2B5EF4-FFF2-40B4-BE49-F238E27FC236}">
              <a16:creationId xmlns:a16="http://schemas.microsoft.com/office/drawing/2014/main" id="{198A1391-46C7-4C98-886A-406EFD0B2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6512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3" name="Picture 11" descr=".">
          <a:extLst>
            <a:ext uri="{FF2B5EF4-FFF2-40B4-BE49-F238E27FC236}">
              <a16:creationId xmlns:a16="http://schemas.microsoft.com/office/drawing/2014/main" id="{F940AF81-044B-462C-AF2C-764E77C4F5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6512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4" name="Picture 6" descr=".">
          <a:extLst>
            <a:ext uri="{FF2B5EF4-FFF2-40B4-BE49-F238E27FC236}">
              <a16:creationId xmlns:a16="http://schemas.microsoft.com/office/drawing/2014/main" id="{EE4D68A8-007C-474A-A0E3-BA2829E2F95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5" name="Picture 7" descr=".">
          <a:extLst>
            <a:ext uri="{FF2B5EF4-FFF2-40B4-BE49-F238E27FC236}">
              <a16:creationId xmlns:a16="http://schemas.microsoft.com/office/drawing/2014/main" id="{1CAD775A-C4A3-46AB-A60F-14B239967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6" name="Picture 8" descr=".">
          <a:extLst>
            <a:ext uri="{FF2B5EF4-FFF2-40B4-BE49-F238E27FC236}">
              <a16:creationId xmlns:a16="http://schemas.microsoft.com/office/drawing/2014/main" id="{CE9039F0-7599-4434-B9AD-D0A7C75A3E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7" name="Picture 9" descr=".">
          <a:extLst>
            <a:ext uri="{FF2B5EF4-FFF2-40B4-BE49-F238E27FC236}">
              <a16:creationId xmlns:a16="http://schemas.microsoft.com/office/drawing/2014/main" id="{C0D1F273-53F1-448D-9040-0F60E5FE7C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18" name="Picture 10" descr=".">
          <a:extLst>
            <a:ext uri="{FF2B5EF4-FFF2-40B4-BE49-F238E27FC236}">
              <a16:creationId xmlns:a16="http://schemas.microsoft.com/office/drawing/2014/main" id="{12EE88E4-0A63-49FE-8BD9-996D13447C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19" name="Picture 11" descr=".">
          <a:extLst>
            <a:ext uri="{FF2B5EF4-FFF2-40B4-BE49-F238E27FC236}">
              <a16:creationId xmlns:a16="http://schemas.microsoft.com/office/drawing/2014/main" id="{56D07544-3E03-4F42-843C-D76873033C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 name="Picture 6" descr=".">
          <a:extLst>
            <a:ext uri="{FF2B5EF4-FFF2-40B4-BE49-F238E27FC236}">
              <a16:creationId xmlns:a16="http://schemas.microsoft.com/office/drawing/2014/main" id="{4EBB5475-F77F-4944-81BD-D47064F3E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 name="Picture 7" descr=".">
          <a:extLst>
            <a:ext uri="{FF2B5EF4-FFF2-40B4-BE49-F238E27FC236}">
              <a16:creationId xmlns:a16="http://schemas.microsoft.com/office/drawing/2014/main" id="{9B4E0A42-9EEB-4F06-96CC-FCEF40D6FE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2" name="Picture 8" descr=".">
          <a:extLst>
            <a:ext uri="{FF2B5EF4-FFF2-40B4-BE49-F238E27FC236}">
              <a16:creationId xmlns:a16="http://schemas.microsoft.com/office/drawing/2014/main" id="{B41DF60C-2004-4462-9D65-EE5228634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3" name="Picture 9" descr=".">
          <a:extLst>
            <a:ext uri="{FF2B5EF4-FFF2-40B4-BE49-F238E27FC236}">
              <a16:creationId xmlns:a16="http://schemas.microsoft.com/office/drawing/2014/main" id="{CFCDDA72-1B19-4C1F-A18D-1CD7B18BD6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4" name="Picture 10" descr=".">
          <a:extLst>
            <a:ext uri="{FF2B5EF4-FFF2-40B4-BE49-F238E27FC236}">
              <a16:creationId xmlns:a16="http://schemas.microsoft.com/office/drawing/2014/main" id="{91F4B731-4AA1-47B7-AD20-F2CB0FF442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5" name="Picture 11" descr=".">
          <a:extLst>
            <a:ext uri="{FF2B5EF4-FFF2-40B4-BE49-F238E27FC236}">
              <a16:creationId xmlns:a16="http://schemas.microsoft.com/office/drawing/2014/main" id="{13F805F6-BBF5-4C08-A02F-4ACD6BD9F9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6" name="Picture 6" descr=".">
          <a:extLst>
            <a:ext uri="{FF2B5EF4-FFF2-40B4-BE49-F238E27FC236}">
              <a16:creationId xmlns:a16="http://schemas.microsoft.com/office/drawing/2014/main" id="{558A3721-6616-41D7-ADAE-AF07D515A4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7" name="Picture 7" descr=".">
          <a:extLst>
            <a:ext uri="{FF2B5EF4-FFF2-40B4-BE49-F238E27FC236}">
              <a16:creationId xmlns:a16="http://schemas.microsoft.com/office/drawing/2014/main" id="{28F3F201-0E6B-4921-AC6E-41D7145EF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8" name="Picture 8" descr=".">
          <a:extLst>
            <a:ext uri="{FF2B5EF4-FFF2-40B4-BE49-F238E27FC236}">
              <a16:creationId xmlns:a16="http://schemas.microsoft.com/office/drawing/2014/main" id="{6D8B4BF2-90FC-4D4A-8307-DF1BCAB818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9" name="Picture 9" descr=".">
          <a:extLst>
            <a:ext uri="{FF2B5EF4-FFF2-40B4-BE49-F238E27FC236}">
              <a16:creationId xmlns:a16="http://schemas.microsoft.com/office/drawing/2014/main" id="{43D541FB-AD75-486B-8380-C84473EB40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30" name="Picture 10" descr=".">
          <a:extLst>
            <a:ext uri="{FF2B5EF4-FFF2-40B4-BE49-F238E27FC236}">
              <a16:creationId xmlns:a16="http://schemas.microsoft.com/office/drawing/2014/main" id="{50331E3A-3409-4BD3-974B-792EC8F361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31" name="Picture 11" descr=".">
          <a:extLst>
            <a:ext uri="{FF2B5EF4-FFF2-40B4-BE49-F238E27FC236}">
              <a16:creationId xmlns:a16="http://schemas.microsoft.com/office/drawing/2014/main" id="{DEB5826A-B2C8-47E6-BD7A-DBDAF74785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20</xdr:row>
      <xdr:rowOff>0</xdr:rowOff>
    </xdr:from>
    <xdr:to>
      <xdr:col>2</xdr:col>
      <xdr:colOff>13970</xdr:colOff>
      <xdr:row>20</xdr:row>
      <xdr:rowOff>208209</xdr:rowOff>
    </xdr:to>
    <xdr:pic>
      <xdr:nvPicPr>
        <xdr:cNvPr id="32" name="Picture 6" descr=".">
          <a:extLst>
            <a:ext uri="{FF2B5EF4-FFF2-40B4-BE49-F238E27FC236}">
              <a16:creationId xmlns:a16="http://schemas.microsoft.com/office/drawing/2014/main" id="{5210F09E-C477-41B6-B31F-7845BAEA96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3" name="Picture 7" descr=".">
          <a:extLst>
            <a:ext uri="{FF2B5EF4-FFF2-40B4-BE49-F238E27FC236}">
              <a16:creationId xmlns:a16="http://schemas.microsoft.com/office/drawing/2014/main" id="{E3E9367D-29CA-4CCD-94C6-3CE7952B5D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208209</xdr:rowOff>
    </xdr:to>
    <xdr:pic>
      <xdr:nvPicPr>
        <xdr:cNvPr id="34" name="Picture 8" descr=".">
          <a:extLst>
            <a:ext uri="{FF2B5EF4-FFF2-40B4-BE49-F238E27FC236}">
              <a16:creationId xmlns:a16="http://schemas.microsoft.com/office/drawing/2014/main" id="{FFB185F0-2957-41B7-875C-226BDD8D7E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5" name="Picture 9" descr=".">
          <a:extLst>
            <a:ext uri="{FF2B5EF4-FFF2-40B4-BE49-F238E27FC236}">
              <a16:creationId xmlns:a16="http://schemas.microsoft.com/office/drawing/2014/main" id="{15CD7213-31EB-454F-8216-6608C319DE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208208</xdr:rowOff>
    </xdr:to>
    <xdr:pic>
      <xdr:nvPicPr>
        <xdr:cNvPr id="36" name="Picture 10" descr=".">
          <a:extLst>
            <a:ext uri="{FF2B5EF4-FFF2-40B4-BE49-F238E27FC236}">
              <a16:creationId xmlns:a16="http://schemas.microsoft.com/office/drawing/2014/main" id="{604E0EF5-CB23-4D01-A030-5472FBA6899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208211</xdr:rowOff>
    </xdr:to>
    <xdr:pic>
      <xdr:nvPicPr>
        <xdr:cNvPr id="37" name="Picture 11" descr=".">
          <a:extLst>
            <a:ext uri="{FF2B5EF4-FFF2-40B4-BE49-F238E27FC236}">
              <a16:creationId xmlns:a16="http://schemas.microsoft.com/office/drawing/2014/main" id="{DD33AA35-62FC-4CB7-9AF9-9A60FE54A2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20</xdr:row>
      <xdr:rowOff>0</xdr:rowOff>
    </xdr:from>
    <xdr:ext cx="15875" cy="395534"/>
    <xdr:pic>
      <xdr:nvPicPr>
        <xdr:cNvPr id="38" name="Picture 6" descr=".">
          <a:extLst>
            <a:ext uri="{FF2B5EF4-FFF2-40B4-BE49-F238E27FC236}">
              <a16:creationId xmlns:a16="http://schemas.microsoft.com/office/drawing/2014/main" id="{3DA78F77-3746-4EFF-8897-172A8A1298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39" name="Picture 7" descr=".">
          <a:extLst>
            <a:ext uri="{FF2B5EF4-FFF2-40B4-BE49-F238E27FC236}">
              <a16:creationId xmlns:a16="http://schemas.microsoft.com/office/drawing/2014/main" id="{FF189E73-FD1A-4334-BB7A-B379D17336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40" name="Picture 8" descr=".">
          <a:extLst>
            <a:ext uri="{FF2B5EF4-FFF2-40B4-BE49-F238E27FC236}">
              <a16:creationId xmlns:a16="http://schemas.microsoft.com/office/drawing/2014/main" id="{C8B45968-257C-4A4E-B91C-FA1F485CD4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41" name="Picture 9" descr=".">
          <a:extLst>
            <a:ext uri="{FF2B5EF4-FFF2-40B4-BE49-F238E27FC236}">
              <a16:creationId xmlns:a16="http://schemas.microsoft.com/office/drawing/2014/main" id="{35172856-4192-41DD-89A4-5A5AEA8AD6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42" name="Picture 10" descr=".">
          <a:extLst>
            <a:ext uri="{FF2B5EF4-FFF2-40B4-BE49-F238E27FC236}">
              <a16:creationId xmlns:a16="http://schemas.microsoft.com/office/drawing/2014/main" id="{750A3DEC-4918-4C94-9513-A5B8569029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43" name="Picture 11" descr=".">
          <a:extLst>
            <a:ext uri="{FF2B5EF4-FFF2-40B4-BE49-F238E27FC236}">
              <a16:creationId xmlns:a16="http://schemas.microsoft.com/office/drawing/2014/main" id="{335E031C-4477-427F-AC8B-6369F49078A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4" name="Picture 6" descr=".">
          <a:extLst>
            <a:ext uri="{FF2B5EF4-FFF2-40B4-BE49-F238E27FC236}">
              <a16:creationId xmlns:a16="http://schemas.microsoft.com/office/drawing/2014/main" id="{7182E943-8765-4294-8AA2-8C65637D68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5" name="Picture 7" descr=".">
          <a:extLst>
            <a:ext uri="{FF2B5EF4-FFF2-40B4-BE49-F238E27FC236}">
              <a16:creationId xmlns:a16="http://schemas.microsoft.com/office/drawing/2014/main" id="{13EE6681-8409-4992-8E53-0AC847E5B05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6" name="Picture 8" descr=".">
          <a:extLst>
            <a:ext uri="{FF2B5EF4-FFF2-40B4-BE49-F238E27FC236}">
              <a16:creationId xmlns:a16="http://schemas.microsoft.com/office/drawing/2014/main" id="{DD6C3B11-5763-4F18-83A3-9564C4DBD9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7" name="Picture 9" descr=".">
          <a:extLst>
            <a:ext uri="{FF2B5EF4-FFF2-40B4-BE49-F238E27FC236}">
              <a16:creationId xmlns:a16="http://schemas.microsoft.com/office/drawing/2014/main" id="{370593C3-5E55-4964-BCED-203ED680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48" name="Picture 10" descr=".">
          <a:extLst>
            <a:ext uri="{FF2B5EF4-FFF2-40B4-BE49-F238E27FC236}">
              <a16:creationId xmlns:a16="http://schemas.microsoft.com/office/drawing/2014/main" id="{487E600E-D27D-4CBA-A8B5-73294D8FA5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49" name="Picture 11" descr=".">
          <a:extLst>
            <a:ext uri="{FF2B5EF4-FFF2-40B4-BE49-F238E27FC236}">
              <a16:creationId xmlns:a16="http://schemas.microsoft.com/office/drawing/2014/main" id="{A487494B-DBDC-47C9-AB75-AD1D614E4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0" name="Picture 6" descr=".">
          <a:extLst>
            <a:ext uri="{FF2B5EF4-FFF2-40B4-BE49-F238E27FC236}">
              <a16:creationId xmlns:a16="http://schemas.microsoft.com/office/drawing/2014/main" id="{9263ACFE-0396-4889-A185-0E2D3FB951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8417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1" name="Picture 7" descr=".">
          <a:extLst>
            <a:ext uri="{FF2B5EF4-FFF2-40B4-BE49-F238E27FC236}">
              <a16:creationId xmlns:a16="http://schemas.microsoft.com/office/drawing/2014/main" id="{E4B6E380-B43E-4E5B-AE05-2D6763E98A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8417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2" name="Picture 8" descr=".">
          <a:extLst>
            <a:ext uri="{FF2B5EF4-FFF2-40B4-BE49-F238E27FC236}">
              <a16:creationId xmlns:a16="http://schemas.microsoft.com/office/drawing/2014/main" id="{399979B8-8524-44CB-8DD2-1B18816561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8417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3" name="Picture 9" descr=".">
          <a:extLst>
            <a:ext uri="{FF2B5EF4-FFF2-40B4-BE49-F238E27FC236}">
              <a16:creationId xmlns:a16="http://schemas.microsoft.com/office/drawing/2014/main" id="{E457C334-5263-4897-B5B9-A41CC34FEF8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8417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8"/>
    <xdr:pic>
      <xdr:nvPicPr>
        <xdr:cNvPr id="54" name="Picture 10" descr=".">
          <a:extLst>
            <a:ext uri="{FF2B5EF4-FFF2-40B4-BE49-F238E27FC236}">
              <a16:creationId xmlns:a16="http://schemas.microsoft.com/office/drawing/2014/main" id="{EAF8801C-1789-4EB8-85CA-6EB812AF9E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8417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1"/>
    <xdr:pic>
      <xdr:nvPicPr>
        <xdr:cNvPr id="55" name="Picture 11" descr=".">
          <a:extLst>
            <a:ext uri="{FF2B5EF4-FFF2-40B4-BE49-F238E27FC236}">
              <a16:creationId xmlns:a16="http://schemas.microsoft.com/office/drawing/2014/main" id="{E8BFA8B9-BA76-49D3-B961-800FEE1FCC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8417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6" name="Picture 6" descr=".">
          <a:extLst>
            <a:ext uri="{FF2B5EF4-FFF2-40B4-BE49-F238E27FC236}">
              <a16:creationId xmlns:a16="http://schemas.microsoft.com/office/drawing/2014/main" id="{13A060FC-BC5A-487F-B79F-82AB96CF05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7" name="Picture 7" descr=".">
          <a:extLst>
            <a:ext uri="{FF2B5EF4-FFF2-40B4-BE49-F238E27FC236}">
              <a16:creationId xmlns:a16="http://schemas.microsoft.com/office/drawing/2014/main" id="{F08FF7DA-8A4A-4981-8B94-A932EE893D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8" name="Picture 8" descr=".">
          <a:extLst>
            <a:ext uri="{FF2B5EF4-FFF2-40B4-BE49-F238E27FC236}">
              <a16:creationId xmlns:a16="http://schemas.microsoft.com/office/drawing/2014/main" id="{9411401F-7D63-43F3-A734-1CF7A67DCB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9" name="Picture 9" descr=".">
          <a:extLst>
            <a:ext uri="{FF2B5EF4-FFF2-40B4-BE49-F238E27FC236}">
              <a16:creationId xmlns:a16="http://schemas.microsoft.com/office/drawing/2014/main" id="{F8D4BEE2-EFFD-43EF-9400-2B9F5101C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0" name="Picture 10" descr=".">
          <a:extLst>
            <a:ext uri="{FF2B5EF4-FFF2-40B4-BE49-F238E27FC236}">
              <a16:creationId xmlns:a16="http://schemas.microsoft.com/office/drawing/2014/main" id="{0E327463-DF96-4B4D-AD8E-1F8ED926B65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1" name="Picture 11" descr=".">
          <a:extLst>
            <a:ext uri="{FF2B5EF4-FFF2-40B4-BE49-F238E27FC236}">
              <a16:creationId xmlns:a16="http://schemas.microsoft.com/office/drawing/2014/main" id="{32C6B46A-4F8A-479C-9BF3-C609F2D534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2" name="Picture 6" descr=".">
          <a:extLst>
            <a:ext uri="{FF2B5EF4-FFF2-40B4-BE49-F238E27FC236}">
              <a16:creationId xmlns:a16="http://schemas.microsoft.com/office/drawing/2014/main" id="{FE79DC23-4637-479D-8B50-1678419D7D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3" name="Picture 7" descr=".">
          <a:extLst>
            <a:ext uri="{FF2B5EF4-FFF2-40B4-BE49-F238E27FC236}">
              <a16:creationId xmlns:a16="http://schemas.microsoft.com/office/drawing/2014/main" id="{70CC340B-CD01-40C3-BF94-ECA05F012B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4" name="Picture 8" descr=".">
          <a:extLst>
            <a:ext uri="{FF2B5EF4-FFF2-40B4-BE49-F238E27FC236}">
              <a16:creationId xmlns:a16="http://schemas.microsoft.com/office/drawing/2014/main" id="{16889513-69A4-4EB8-A0B5-504BC9BDC3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5" name="Picture 9" descr=".">
          <a:extLst>
            <a:ext uri="{FF2B5EF4-FFF2-40B4-BE49-F238E27FC236}">
              <a16:creationId xmlns:a16="http://schemas.microsoft.com/office/drawing/2014/main" id="{C1CD7C89-D0DE-4293-94F9-7197E55163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6" name="Picture 10" descr=".">
          <a:extLst>
            <a:ext uri="{FF2B5EF4-FFF2-40B4-BE49-F238E27FC236}">
              <a16:creationId xmlns:a16="http://schemas.microsoft.com/office/drawing/2014/main" id="{8012BF64-963F-40A1-946D-FD81B53615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7" name="Picture 11" descr=".">
          <a:extLst>
            <a:ext uri="{FF2B5EF4-FFF2-40B4-BE49-F238E27FC236}">
              <a16:creationId xmlns:a16="http://schemas.microsoft.com/office/drawing/2014/main" id="{E9AE472F-7046-4E36-911A-CF7652DFB8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8" name="Picture 6" descr=".">
          <a:extLst>
            <a:ext uri="{FF2B5EF4-FFF2-40B4-BE49-F238E27FC236}">
              <a16:creationId xmlns:a16="http://schemas.microsoft.com/office/drawing/2014/main" id="{45649E1E-3431-4397-B3DE-CF3BDE097C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9" name="Picture 7" descr=".">
          <a:extLst>
            <a:ext uri="{FF2B5EF4-FFF2-40B4-BE49-F238E27FC236}">
              <a16:creationId xmlns:a16="http://schemas.microsoft.com/office/drawing/2014/main" id="{487C84AD-CB8F-414F-92DC-B545C08DE20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70" name="Picture 8" descr=".">
          <a:extLst>
            <a:ext uri="{FF2B5EF4-FFF2-40B4-BE49-F238E27FC236}">
              <a16:creationId xmlns:a16="http://schemas.microsoft.com/office/drawing/2014/main" id="{B39704AF-EC06-4155-A5AE-2A704D7040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71" name="Picture 9" descr=".">
          <a:extLst>
            <a:ext uri="{FF2B5EF4-FFF2-40B4-BE49-F238E27FC236}">
              <a16:creationId xmlns:a16="http://schemas.microsoft.com/office/drawing/2014/main" id="{7C4565C6-CC3B-475E-8871-1E22588552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72" name="Picture 10" descr=".">
          <a:extLst>
            <a:ext uri="{FF2B5EF4-FFF2-40B4-BE49-F238E27FC236}">
              <a16:creationId xmlns:a16="http://schemas.microsoft.com/office/drawing/2014/main" id="{F051F67E-747C-4711-B7CF-05854D19A1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73" name="Picture 11" descr=".">
          <a:extLst>
            <a:ext uri="{FF2B5EF4-FFF2-40B4-BE49-F238E27FC236}">
              <a16:creationId xmlns:a16="http://schemas.microsoft.com/office/drawing/2014/main" id="{5FDF5007-3B48-4817-A1BC-8C12BE4B7E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4" name="Picture 6" descr=".">
          <a:extLst>
            <a:ext uri="{FF2B5EF4-FFF2-40B4-BE49-F238E27FC236}">
              <a16:creationId xmlns:a16="http://schemas.microsoft.com/office/drawing/2014/main" id="{D8ECB31C-BE0B-482A-B030-0920377A97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5" name="Picture 7" descr=".">
          <a:extLst>
            <a:ext uri="{FF2B5EF4-FFF2-40B4-BE49-F238E27FC236}">
              <a16:creationId xmlns:a16="http://schemas.microsoft.com/office/drawing/2014/main" id="{BED9F4C8-0044-4F5D-852F-AC7A9B748C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6" name="Picture 8" descr=".">
          <a:extLst>
            <a:ext uri="{FF2B5EF4-FFF2-40B4-BE49-F238E27FC236}">
              <a16:creationId xmlns:a16="http://schemas.microsoft.com/office/drawing/2014/main" id="{2EC7D360-6F10-402E-A3F6-E03B5DAD54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7" name="Picture 9" descr=".">
          <a:extLst>
            <a:ext uri="{FF2B5EF4-FFF2-40B4-BE49-F238E27FC236}">
              <a16:creationId xmlns:a16="http://schemas.microsoft.com/office/drawing/2014/main" id="{87E5DE43-C602-468A-8D57-F1C5DC3931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8" name="Picture 10" descr=".">
          <a:extLst>
            <a:ext uri="{FF2B5EF4-FFF2-40B4-BE49-F238E27FC236}">
              <a16:creationId xmlns:a16="http://schemas.microsoft.com/office/drawing/2014/main" id="{22B15D36-CD98-4B46-9744-1B7585BA6C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9" name="Picture 11" descr=".">
          <a:extLst>
            <a:ext uri="{FF2B5EF4-FFF2-40B4-BE49-F238E27FC236}">
              <a16:creationId xmlns:a16="http://schemas.microsoft.com/office/drawing/2014/main" id="{F0B6552F-E0B5-45AE-9E71-A825E3B09EA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0" name="Picture 6" descr=".">
          <a:extLst>
            <a:ext uri="{FF2B5EF4-FFF2-40B4-BE49-F238E27FC236}">
              <a16:creationId xmlns:a16="http://schemas.microsoft.com/office/drawing/2014/main" id="{871294B5-3BBD-486D-84ED-39B94D6F69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1" name="Picture 7" descr=".">
          <a:extLst>
            <a:ext uri="{FF2B5EF4-FFF2-40B4-BE49-F238E27FC236}">
              <a16:creationId xmlns:a16="http://schemas.microsoft.com/office/drawing/2014/main" id="{44024BF6-0A24-49E8-9CC9-4ABEADC91C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2" name="Picture 8" descr=".">
          <a:extLst>
            <a:ext uri="{FF2B5EF4-FFF2-40B4-BE49-F238E27FC236}">
              <a16:creationId xmlns:a16="http://schemas.microsoft.com/office/drawing/2014/main" id="{1079EF28-982B-4A7C-9F3F-5DA011C96D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3" name="Picture 9" descr=".">
          <a:extLst>
            <a:ext uri="{FF2B5EF4-FFF2-40B4-BE49-F238E27FC236}">
              <a16:creationId xmlns:a16="http://schemas.microsoft.com/office/drawing/2014/main" id="{CB682070-968B-49EE-A594-A0B3D81481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8"/>
    <xdr:pic>
      <xdr:nvPicPr>
        <xdr:cNvPr id="84" name="Picture 10" descr=".">
          <a:extLst>
            <a:ext uri="{FF2B5EF4-FFF2-40B4-BE49-F238E27FC236}">
              <a16:creationId xmlns:a16="http://schemas.microsoft.com/office/drawing/2014/main" id="{845FD020-251D-425C-9FB1-14554D8DB6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1"/>
    <xdr:pic>
      <xdr:nvPicPr>
        <xdr:cNvPr id="85" name="Picture 11" descr=".">
          <a:extLst>
            <a:ext uri="{FF2B5EF4-FFF2-40B4-BE49-F238E27FC236}">
              <a16:creationId xmlns:a16="http://schemas.microsoft.com/office/drawing/2014/main" id="{24984C0D-EA5C-47AB-B870-CF387589A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6" name="Picture 6" descr=".">
          <a:extLst>
            <a:ext uri="{FF2B5EF4-FFF2-40B4-BE49-F238E27FC236}">
              <a16:creationId xmlns:a16="http://schemas.microsoft.com/office/drawing/2014/main" id="{5702FA33-FB52-4972-817A-8B689C210F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7" name="Picture 7" descr=".">
          <a:extLst>
            <a:ext uri="{FF2B5EF4-FFF2-40B4-BE49-F238E27FC236}">
              <a16:creationId xmlns:a16="http://schemas.microsoft.com/office/drawing/2014/main" id="{4CC2D071-F372-4FBE-91DB-9AA7BA01F7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8" name="Picture 8" descr=".">
          <a:extLst>
            <a:ext uri="{FF2B5EF4-FFF2-40B4-BE49-F238E27FC236}">
              <a16:creationId xmlns:a16="http://schemas.microsoft.com/office/drawing/2014/main" id="{2D37BCD7-8F45-4280-AA6E-1BBBC81D56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9" name="Picture 9" descr=".">
          <a:extLst>
            <a:ext uri="{FF2B5EF4-FFF2-40B4-BE49-F238E27FC236}">
              <a16:creationId xmlns:a16="http://schemas.microsoft.com/office/drawing/2014/main" id="{A3787BDF-1E2D-471F-B2B8-A88FC27F5A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0" name="Picture 10" descr=".">
          <a:extLst>
            <a:ext uri="{FF2B5EF4-FFF2-40B4-BE49-F238E27FC236}">
              <a16:creationId xmlns:a16="http://schemas.microsoft.com/office/drawing/2014/main" id="{754E1204-65E4-4FB2-9A91-F06608BE5D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1" name="Picture 11" descr=".">
          <a:extLst>
            <a:ext uri="{FF2B5EF4-FFF2-40B4-BE49-F238E27FC236}">
              <a16:creationId xmlns:a16="http://schemas.microsoft.com/office/drawing/2014/main" id="{AD263EEB-ADB8-4009-B351-F32A9C7F6D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2" name="Picture 6" descr=".">
          <a:extLst>
            <a:ext uri="{FF2B5EF4-FFF2-40B4-BE49-F238E27FC236}">
              <a16:creationId xmlns:a16="http://schemas.microsoft.com/office/drawing/2014/main" id="{BF466CE0-D455-44F4-8535-D0A8A9317D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3" name="Picture 7" descr=".">
          <a:extLst>
            <a:ext uri="{FF2B5EF4-FFF2-40B4-BE49-F238E27FC236}">
              <a16:creationId xmlns:a16="http://schemas.microsoft.com/office/drawing/2014/main" id="{F4290293-FDD0-4B0C-856C-519DD3F6BBA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4" name="Picture 8" descr=".">
          <a:extLst>
            <a:ext uri="{FF2B5EF4-FFF2-40B4-BE49-F238E27FC236}">
              <a16:creationId xmlns:a16="http://schemas.microsoft.com/office/drawing/2014/main" id="{92689BD4-E4EA-4EAF-B7E0-F2D0396D1D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5" name="Picture 9" descr=".">
          <a:extLst>
            <a:ext uri="{FF2B5EF4-FFF2-40B4-BE49-F238E27FC236}">
              <a16:creationId xmlns:a16="http://schemas.microsoft.com/office/drawing/2014/main" id="{588145BE-30C9-44DD-BA16-9DB6ED1D7C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6" name="Picture 10" descr=".">
          <a:extLst>
            <a:ext uri="{FF2B5EF4-FFF2-40B4-BE49-F238E27FC236}">
              <a16:creationId xmlns:a16="http://schemas.microsoft.com/office/drawing/2014/main" id="{955D5E62-34F9-4CAB-B6F8-979DEF237E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7" name="Picture 11" descr=".">
          <a:extLst>
            <a:ext uri="{FF2B5EF4-FFF2-40B4-BE49-F238E27FC236}">
              <a16:creationId xmlns:a16="http://schemas.microsoft.com/office/drawing/2014/main" id="{36286494-174E-4D93-912D-533A9AB083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8" name="Picture 6" descr=".">
          <a:extLst>
            <a:ext uri="{FF2B5EF4-FFF2-40B4-BE49-F238E27FC236}">
              <a16:creationId xmlns:a16="http://schemas.microsoft.com/office/drawing/2014/main" id="{02760F58-944E-4E4E-AC84-B46700149D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9" name="Picture 7" descr=".">
          <a:extLst>
            <a:ext uri="{FF2B5EF4-FFF2-40B4-BE49-F238E27FC236}">
              <a16:creationId xmlns:a16="http://schemas.microsoft.com/office/drawing/2014/main" id="{B510CC3D-6B9F-49F1-B5EB-0C57FA1DB4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100" name="Picture 8" descr=".">
          <a:extLst>
            <a:ext uri="{FF2B5EF4-FFF2-40B4-BE49-F238E27FC236}">
              <a16:creationId xmlns:a16="http://schemas.microsoft.com/office/drawing/2014/main" id="{8222DB42-88B2-48F0-98D3-A7468C4A5A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101" name="Picture 9" descr=".">
          <a:extLst>
            <a:ext uri="{FF2B5EF4-FFF2-40B4-BE49-F238E27FC236}">
              <a16:creationId xmlns:a16="http://schemas.microsoft.com/office/drawing/2014/main" id="{2C372A66-9AE3-4FE2-9DD0-5E589F0DD7A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102" name="Picture 10" descr=".">
          <a:extLst>
            <a:ext uri="{FF2B5EF4-FFF2-40B4-BE49-F238E27FC236}">
              <a16:creationId xmlns:a16="http://schemas.microsoft.com/office/drawing/2014/main" id="{E68CC314-35BD-4BFA-80C0-99661193BD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103" name="Picture 11" descr=".">
          <a:extLst>
            <a:ext uri="{FF2B5EF4-FFF2-40B4-BE49-F238E27FC236}">
              <a16:creationId xmlns:a16="http://schemas.microsoft.com/office/drawing/2014/main" id="{90A1B3DE-5261-4533-BFDE-3CC378D38B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4" name="Picture 6" descr=".">
          <a:extLst>
            <a:ext uri="{FF2B5EF4-FFF2-40B4-BE49-F238E27FC236}">
              <a16:creationId xmlns:a16="http://schemas.microsoft.com/office/drawing/2014/main" id="{3783E3E9-BCC0-42F6-9037-85C5813B42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5" name="Picture 7" descr=".">
          <a:extLst>
            <a:ext uri="{FF2B5EF4-FFF2-40B4-BE49-F238E27FC236}">
              <a16:creationId xmlns:a16="http://schemas.microsoft.com/office/drawing/2014/main" id="{D2ADD4D0-2E56-4713-A300-6D6D4991A1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6" name="Picture 8" descr=".">
          <a:extLst>
            <a:ext uri="{FF2B5EF4-FFF2-40B4-BE49-F238E27FC236}">
              <a16:creationId xmlns:a16="http://schemas.microsoft.com/office/drawing/2014/main" id="{911C6530-B040-4FD5-8D22-09D22033FF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7" name="Picture 9" descr=".">
          <a:extLst>
            <a:ext uri="{FF2B5EF4-FFF2-40B4-BE49-F238E27FC236}">
              <a16:creationId xmlns:a16="http://schemas.microsoft.com/office/drawing/2014/main" id="{16E2C5AC-9315-4D3C-BC0C-86A5180F84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8" name="Picture 10" descr=".">
          <a:extLst>
            <a:ext uri="{FF2B5EF4-FFF2-40B4-BE49-F238E27FC236}">
              <a16:creationId xmlns:a16="http://schemas.microsoft.com/office/drawing/2014/main" id="{DF1D67B7-BBCD-4621-BD3D-E141B43535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9" name="Picture 11" descr=".">
          <a:extLst>
            <a:ext uri="{FF2B5EF4-FFF2-40B4-BE49-F238E27FC236}">
              <a16:creationId xmlns:a16="http://schemas.microsoft.com/office/drawing/2014/main" id="{4B75F260-B380-436A-A1B1-B94F0CAD9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0" name="Picture 6" descr=".">
          <a:extLst>
            <a:ext uri="{FF2B5EF4-FFF2-40B4-BE49-F238E27FC236}">
              <a16:creationId xmlns:a16="http://schemas.microsoft.com/office/drawing/2014/main" id="{5FE80A06-FB70-47C6-8918-69E9987CF43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1" name="Picture 7" descr=".">
          <a:extLst>
            <a:ext uri="{FF2B5EF4-FFF2-40B4-BE49-F238E27FC236}">
              <a16:creationId xmlns:a16="http://schemas.microsoft.com/office/drawing/2014/main" id="{EC01820B-CF55-448E-B7A1-780EEF05A8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2" name="Picture 8" descr=".">
          <a:extLst>
            <a:ext uri="{FF2B5EF4-FFF2-40B4-BE49-F238E27FC236}">
              <a16:creationId xmlns:a16="http://schemas.microsoft.com/office/drawing/2014/main" id="{AC27755B-A8D4-431B-8F55-A38873734B5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3" name="Picture 9" descr=".">
          <a:extLst>
            <a:ext uri="{FF2B5EF4-FFF2-40B4-BE49-F238E27FC236}">
              <a16:creationId xmlns:a16="http://schemas.microsoft.com/office/drawing/2014/main" id="{43619E41-A2B1-42CC-A974-1A5CC15BA5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114" name="Picture 10" descr=".">
          <a:extLst>
            <a:ext uri="{FF2B5EF4-FFF2-40B4-BE49-F238E27FC236}">
              <a16:creationId xmlns:a16="http://schemas.microsoft.com/office/drawing/2014/main" id="{AB998F61-2E08-4AD2-B4D5-10B0F34F2D2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115" name="Picture 11" descr=".">
          <a:extLst>
            <a:ext uri="{FF2B5EF4-FFF2-40B4-BE49-F238E27FC236}">
              <a16:creationId xmlns:a16="http://schemas.microsoft.com/office/drawing/2014/main" id="{EDC2D523-6AC2-4749-990C-C8A8B80BBA9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6" name="Picture 6" descr=".">
          <a:extLst>
            <a:ext uri="{FF2B5EF4-FFF2-40B4-BE49-F238E27FC236}">
              <a16:creationId xmlns:a16="http://schemas.microsoft.com/office/drawing/2014/main" id="{22AF51DD-CF45-4881-94BD-D62139140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7" name="Picture 7" descr=".">
          <a:extLst>
            <a:ext uri="{FF2B5EF4-FFF2-40B4-BE49-F238E27FC236}">
              <a16:creationId xmlns:a16="http://schemas.microsoft.com/office/drawing/2014/main" id="{252ACA61-2657-4B90-96D4-A48A09350BF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8" name="Picture 8" descr=".">
          <a:extLst>
            <a:ext uri="{FF2B5EF4-FFF2-40B4-BE49-F238E27FC236}">
              <a16:creationId xmlns:a16="http://schemas.microsoft.com/office/drawing/2014/main" id="{FF41A18C-1852-4444-AC9F-48B060199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9" name="Picture 9" descr=".">
          <a:extLst>
            <a:ext uri="{FF2B5EF4-FFF2-40B4-BE49-F238E27FC236}">
              <a16:creationId xmlns:a16="http://schemas.microsoft.com/office/drawing/2014/main" id="{92B93871-9A33-4CF0-95A8-DCED68AFEF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0" name="Picture 10" descr=".">
          <a:extLst>
            <a:ext uri="{FF2B5EF4-FFF2-40B4-BE49-F238E27FC236}">
              <a16:creationId xmlns:a16="http://schemas.microsoft.com/office/drawing/2014/main" id="{90A733F8-E576-46F7-83A4-4D4570CC5D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1" name="Picture 11" descr=".">
          <a:extLst>
            <a:ext uri="{FF2B5EF4-FFF2-40B4-BE49-F238E27FC236}">
              <a16:creationId xmlns:a16="http://schemas.microsoft.com/office/drawing/2014/main" id="{EC06D19F-BC4C-47BE-9A2D-2A0ECEB158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2" name="Picture 6" descr=".">
          <a:extLst>
            <a:ext uri="{FF2B5EF4-FFF2-40B4-BE49-F238E27FC236}">
              <a16:creationId xmlns:a16="http://schemas.microsoft.com/office/drawing/2014/main" id="{F1A17332-8F1F-44BA-BA50-42598492EB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3" name="Picture 7" descr=".">
          <a:extLst>
            <a:ext uri="{FF2B5EF4-FFF2-40B4-BE49-F238E27FC236}">
              <a16:creationId xmlns:a16="http://schemas.microsoft.com/office/drawing/2014/main" id="{6C46CC6F-F7CE-4A5F-AA12-88B0A8F9E7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4" name="Picture 8" descr=".">
          <a:extLst>
            <a:ext uri="{FF2B5EF4-FFF2-40B4-BE49-F238E27FC236}">
              <a16:creationId xmlns:a16="http://schemas.microsoft.com/office/drawing/2014/main" id="{8E21293B-36DD-4959-851D-92DC4ECE60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5" name="Picture 9" descr=".">
          <a:extLst>
            <a:ext uri="{FF2B5EF4-FFF2-40B4-BE49-F238E27FC236}">
              <a16:creationId xmlns:a16="http://schemas.microsoft.com/office/drawing/2014/main" id="{FAF45393-BC7A-4BC0-9060-FDB14660E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6" name="Picture 10" descr=".">
          <a:extLst>
            <a:ext uri="{FF2B5EF4-FFF2-40B4-BE49-F238E27FC236}">
              <a16:creationId xmlns:a16="http://schemas.microsoft.com/office/drawing/2014/main" id="{D042EF7E-64DC-42A1-9C6E-D379F9C889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7" name="Picture 11" descr=".">
          <a:extLst>
            <a:ext uri="{FF2B5EF4-FFF2-40B4-BE49-F238E27FC236}">
              <a16:creationId xmlns:a16="http://schemas.microsoft.com/office/drawing/2014/main" id="{DA72D1F1-4FD8-4F7F-ABCD-8F630E839F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8" name="Picture 6" descr=".">
          <a:extLst>
            <a:ext uri="{FF2B5EF4-FFF2-40B4-BE49-F238E27FC236}">
              <a16:creationId xmlns:a16="http://schemas.microsoft.com/office/drawing/2014/main" id="{67A4C7F4-ABF5-4858-A8D9-9715D46656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9" name="Picture 7" descr=".">
          <a:extLst>
            <a:ext uri="{FF2B5EF4-FFF2-40B4-BE49-F238E27FC236}">
              <a16:creationId xmlns:a16="http://schemas.microsoft.com/office/drawing/2014/main" id="{35F1D27E-9BA9-4862-AD56-A2DB064F22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30" name="Picture 8" descr=".">
          <a:extLst>
            <a:ext uri="{FF2B5EF4-FFF2-40B4-BE49-F238E27FC236}">
              <a16:creationId xmlns:a16="http://schemas.microsoft.com/office/drawing/2014/main" id="{E5B73400-0769-48AC-BB05-312B8AFA26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31" name="Picture 9" descr=".">
          <a:extLst>
            <a:ext uri="{FF2B5EF4-FFF2-40B4-BE49-F238E27FC236}">
              <a16:creationId xmlns:a16="http://schemas.microsoft.com/office/drawing/2014/main" id="{FA92A838-387C-45B8-B230-FE50FF6EC3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32" name="Picture 10" descr=".">
          <a:extLst>
            <a:ext uri="{FF2B5EF4-FFF2-40B4-BE49-F238E27FC236}">
              <a16:creationId xmlns:a16="http://schemas.microsoft.com/office/drawing/2014/main" id="{40399464-39C9-4F49-B905-35E785E54E5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33" name="Picture 11" descr=".">
          <a:extLst>
            <a:ext uri="{FF2B5EF4-FFF2-40B4-BE49-F238E27FC236}">
              <a16:creationId xmlns:a16="http://schemas.microsoft.com/office/drawing/2014/main" id="{E3214FF7-5B1F-4807-B4C9-CDD0E6F69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4" name="Picture 6" descr=".">
          <a:extLst>
            <a:ext uri="{FF2B5EF4-FFF2-40B4-BE49-F238E27FC236}">
              <a16:creationId xmlns:a16="http://schemas.microsoft.com/office/drawing/2014/main" id="{AB51C134-95BA-418F-950F-38E9D195F0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5" name="Picture 7" descr=".">
          <a:extLst>
            <a:ext uri="{FF2B5EF4-FFF2-40B4-BE49-F238E27FC236}">
              <a16:creationId xmlns:a16="http://schemas.microsoft.com/office/drawing/2014/main" id="{43841C1D-8E7D-45D7-8FA5-9FF3C79149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6" name="Picture 8" descr=".">
          <a:extLst>
            <a:ext uri="{FF2B5EF4-FFF2-40B4-BE49-F238E27FC236}">
              <a16:creationId xmlns:a16="http://schemas.microsoft.com/office/drawing/2014/main" id="{3EEA7106-4262-471D-BE0C-F8CD9E92FE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7" name="Picture 9" descr=".">
          <a:extLst>
            <a:ext uri="{FF2B5EF4-FFF2-40B4-BE49-F238E27FC236}">
              <a16:creationId xmlns:a16="http://schemas.microsoft.com/office/drawing/2014/main" id="{60ED57CD-C23D-400D-AB2F-5A8A27071D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8" name="Picture 10" descr=".">
          <a:extLst>
            <a:ext uri="{FF2B5EF4-FFF2-40B4-BE49-F238E27FC236}">
              <a16:creationId xmlns:a16="http://schemas.microsoft.com/office/drawing/2014/main" id="{66A092D6-BB31-4115-AD0C-CB4942F271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9" name="Picture 11" descr=".">
          <a:extLst>
            <a:ext uri="{FF2B5EF4-FFF2-40B4-BE49-F238E27FC236}">
              <a16:creationId xmlns:a16="http://schemas.microsoft.com/office/drawing/2014/main" id="{C643169B-9769-4FDB-AC00-5A6F7354D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0" name="Picture 6" descr=".">
          <a:extLst>
            <a:ext uri="{FF2B5EF4-FFF2-40B4-BE49-F238E27FC236}">
              <a16:creationId xmlns:a16="http://schemas.microsoft.com/office/drawing/2014/main" id="{F57605DD-3E1E-4742-B89D-D093D60370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1" name="Picture 7" descr=".">
          <a:extLst>
            <a:ext uri="{FF2B5EF4-FFF2-40B4-BE49-F238E27FC236}">
              <a16:creationId xmlns:a16="http://schemas.microsoft.com/office/drawing/2014/main" id="{15A6B22A-0AF5-46DA-9EC2-C82F55D5C6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2" name="Picture 8" descr=".">
          <a:extLst>
            <a:ext uri="{FF2B5EF4-FFF2-40B4-BE49-F238E27FC236}">
              <a16:creationId xmlns:a16="http://schemas.microsoft.com/office/drawing/2014/main" id="{5F5D8581-79DE-4412-9E4B-1EFA2F13D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3" name="Picture 9" descr=".">
          <a:extLst>
            <a:ext uri="{FF2B5EF4-FFF2-40B4-BE49-F238E27FC236}">
              <a16:creationId xmlns:a16="http://schemas.microsoft.com/office/drawing/2014/main" id="{0EDCA113-75C0-4DB8-AD54-420563FF7B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8"/>
    <xdr:pic>
      <xdr:nvPicPr>
        <xdr:cNvPr id="144" name="Picture 10" descr=".">
          <a:extLst>
            <a:ext uri="{FF2B5EF4-FFF2-40B4-BE49-F238E27FC236}">
              <a16:creationId xmlns:a16="http://schemas.microsoft.com/office/drawing/2014/main" id="{3832F4DF-4C8F-47F4-87F3-91F488371F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1"/>
    <xdr:pic>
      <xdr:nvPicPr>
        <xdr:cNvPr id="145" name="Picture 11" descr=".">
          <a:extLst>
            <a:ext uri="{FF2B5EF4-FFF2-40B4-BE49-F238E27FC236}">
              <a16:creationId xmlns:a16="http://schemas.microsoft.com/office/drawing/2014/main" id="{7DBE42D5-472B-477A-9141-CAB2A56761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6" name="Picture 6" descr=".">
          <a:extLst>
            <a:ext uri="{FF2B5EF4-FFF2-40B4-BE49-F238E27FC236}">
              <a16:creationId xmlns:a16="http://schemas.microsoft.com/office/drawing/2014/main" id="{CF125447-2969-4784-B2BF-3944F4D3DB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4607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7" name="Picture 7" descr=".">
          <a:extLst>
            <a:ext uri="{FF2B5EF4-FFF2-40B4-BE49-F238E27FC236}">
              <a16:creationId xmlns:a16="http://schemas.microsoft.com/office/drawing/2014/main" id="{FDC0FE76-E1A3-4ACC-BEBE-B93EDF2791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4607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8" name="Picture 8" descr=".">
          <a:extLst>
            <a:ext uri="{FF2B5EF4-FFF2-40B4-BE49-F238E27FC236}">
              <a16:creationId xmlns:a16="http://schemas.microsoft.com/office/drawing/2014/main" id="{3F5F80FE-28F1-465C-8AD6-4520D3A0F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4607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9" name="Picture 9" descr=".">
          <a:extLst>
            <a:ext uri="{FF2B5EF4-FFF2-40B4-BE49-F238E27FC236}">
              <a16:creationId xmlns:a16="http://schemas.microsoft.com/office/drawing/2014/main" id="{86D193C3-4AB5-4BE3-AA1D-0FB0B8E155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4607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8"/>
    <xdr:pic>
      <xdr:nvPicPr>
        <xdr:cNvPr id="150" name="Picture 10" descr=".">
          <a:extLst>
            <a:ext uri="{FF2B5EF4-FFF2-40B4-BE49-F238E27FC236}">
              <a16:creationId xmlns:a16="http://schemas.microsoft.com/office/drawing/2014/main" id="{7414446A-6F74-4EA8-B89B-FDBF56E01D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4607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1"/>
    <xdr:pic>
      <xdr:nvPicPr>
        <xdr:cNvPr id="151" name="Picture 11" descr=".">
          <a:extLst>
            <a:ext uri="{FF2B5EF4-FFF2-40B4-BE49-F238E27FC236}">
              <a16:creationId xmlns:a16="http://schemas.microsoft.com/office/drawing/2014/main" id="{DFC2B5AF-7449-4FD1-80B3-A6AECCB785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4607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2" name="Picture 6" descr=".">
          <a:extLst>
            <a:ext uri="{FF2B5EF4-FFF2-40B4-BE49-F238E27FC236}">
              <a16:creationId xmlns:a16="http://schemas.microsoft.com/office/drawing/2014/main" id="{21F67614-A121-486C-9AAE-2DE64D6317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4607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3" name="Picture 7" descr=".">
          <a:extLst>
            <a:ext uri="{FF2B5EF4-FFF2-40B4-BE49-F238E27FC236}">
              <a16:creationId xmlns:a16="http://schemas.microsoft.com/office/drawing/2014/main" id="{02A4A597-7A09-4F25-A4E0-3336638C7F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4607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4" name="Picture 8" descr=".">
          <a:extLst>
            <a:ext uri="{FF2B5EF4-FFF2-40B4-BE49-F238E27FC236}">
              <a16:creationId xmlns:a16="http://schemas.microsoft.com/office/drawing/2014/main" id="{337D4F23-F5D7-45B9-BBA0-12772AEBBA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4607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5" name="Picture 9" descr=".">
          <a:extLst>
            <a:ext uri="{FF2B5EF4-FFF2-40B4-BE49-F238E27FC236}">
              <a16:creationId xmlns:a16="http://schemas.microsoft.com/office/drawing/2014/main" id="{6047AC5A-18AC-4D6A-987C-C1D0810830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4607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56" name="Picture 10" descr=".">
          <a:extLst>
            <a:ext uri="{FF2B5EF4-FFF2-40B4-BE49-F238E27FC236}">
              <a16:creationId xmlns:a16="http://schemas.microsoft.com/office/drawing/2014/main" id="{A8C37989-7E8E-4A44-8FBD-AEF6EF9393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4607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57" name="Picture 11" descr=".">
          <a:extLst>
            <a:ext uri="{FF2B5EF4-FFF2-40B4-BE49-F238E27FC236}">
              <a16:creationId xmlns:a16="http://schemas.microsoft.com/office/drawing/2014/main" id="{BC5E09A2-90DB-4386-B9AB-D1705CB8B30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4607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58" name="Picture 6" descr=".">
          <a:extLst>
            <a:ext uri="{FF2B5EF4-FFF2-40B4-BE49-F238E27FC236}">
              <a16:creationId xmlns:a16="http://schemas.microsoft.com/office/drawing/2014/main" id="{557E7F53-9308-4AF8-9F38-B6170C1F56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59" name="Picture 7" descr=".">
          <a:extLst>
            <a:ext uri="{FF2B5EF4-FFF2-40B4-BE49-F238E27FC236}">
              <a16:creationId xmlns:a16="http://schemas.microsoft.com/office/drawing/2014/main" id="{733FF7BD-DC92-4FF1-99DD-0CD7B25A5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0" name="Picture 8" descr=".">
          <a:extLst>
            <a:ext uri="{FF2B5EF4-FFF2-40B4-BE49-F238E27FC236}">
              <a16:creationId xmlns:a16="http://schemas.microsoft.com/office/drawing/2014/main" id="{23F576B4-E792-492A-B978-3D785B5191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1" name="Picture 9" descr=".">
          <a:extLst>
            <a:ext uri="{FF2B5EF4-FFF2-40B4-BE49-F238E27FC236}">
              <a16:creationId xmlns:a16="http://schemas.microsoft.com/office/drawing/2014/main" id="{21CC4D8C-1DB9-4362-9379-F3F0247A46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2" name="Picture 10" descr=".">
          <a:extLst>
            <a:ext uri="{FF2B5EF4-FFF2-40B4-BE49-F238E27FC236}">
              <a16:creationId xmlns:a16="http://schemas.microsoft.com/office/drawing/2014/main" id="{18AF4A44-588C-4C05-9359-DAD33308F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3" name="Picture 11" descr=".">
          <a:extLst>
            <a:ext uri="{FF2B5EF4-FFF2-40B4-BE49-F238E27FC236}">
              <a16:creationId xmlns:a16="http://schemas.microsoft.com/office/drawing/2014/main" id="{6794B44D-D673-49FD-BC17-45AE9CCEBF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4" name="Picture 6" descr=".">
          <a:extLst>
            <a:ext uri="{FF2B5EF4-FFF2-40B4-BE49-F238E27FC236}">
              <a16:creationId xmlns:a16="http://schemas.microsoft.com/office/drawing/2014/main" id="{65BC542E-8584-490C-9382-54540029FC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5" name="Picture 7" descr=".">
          <a:extLst>
            <a:ext uri="{FF2B5EF4-FFF2-40B4-BE49-F238E27FC236}">
              <a16:creationId xmlns:a16="http://schemas.microsoft.com/office/drawing/2014/main" id="{7BBB13A0-BC7F-423B-A5FE-8DE6342E1A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6" name="Picture 8" descr=".">
          <a:extLst>
            <a:ext uri="{FF2B5EF4-FFF2-40B4-BE49-F238E27FC236}">
              <a16:creationId xmlns:a16="http://schemas.microsoft.com/office/drawing/2014/main" id="{B9CFE31C-7D84-42BF-B1EA-CE010F5F30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7" name="Picture 9" descr=".">
          <a:extLst>
            <a:ext uri="{FF2B5EF4-FFF2-40B4-BE49-F238E27FC236}">
              <a16:creationId xmlns:a16="http://schemas.microsoft.com/office/drawing/2014/main" id="{C6487BE0-D7DF-4564-9086-8A264BC760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8" name="Picture 10" descr=".">
          <a:extLst>
            <a:ext uri="{FF2B5EF4-FFF2-40B4-BE49-F238E27FC236}">
              <a16:creationId xmlns:a16="http://schemas.microsoft.com/office/drawing/2014/main" id="{352F1476-A6DA-4F20-B095-2F5F48A77B4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9" name="Picture 11" descr=".">
          <a:extLst>
            <a:ext uri="{FF2B5EF4-FFF2-40B4-BE49-F238E27FC236}">
              <a16:creationId xmlns:a16="http://schemas.microsoft.com/office/drawing/2014/main" id="{11D8EF1E-853C-4514-8B78-7C00CA54B6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0" name="Picture 6" descr=".">
          <a:extLst>
            <a:ext uri="{FF2B5EF4-FFF2-40B4-BE49-F238E27FC236}">
              <a16:creationId xmlns:a16="http://schemas.microsoft.com/office/drawing/2014/main" id="{A1D59A7F-1227-4671-80B9-F85968E871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1" name="Picture 7" descr=".">
          <a:extLst>
            <a:ext uri="{FF2B5EF4-FFF2-40B4-BE49-F238E27FC236}">
              <a16:creationId xmlns:a16="http://schemas.microsoft.com/office/drawing/2014/main" id="{1E94BE0C-CD0C-4694-A6B5-FEA1DD0358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2" name="Picture 8" descr=".">
          <a:extLst>
            <a:ext uri="{FF2B5EF4-FFF2-40B4-BE49-F238E27FC236}">
              <a16:creationId xmlns:a16="http://schemas.microsoft.com/office/drawing/2014/main" id="{A62C1B2A-4EE6-4AAD-B054-1ABAB713C4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3" name="Picture 9" descr=".">
          <a:extLst>
            <a:ext uri="{FF2B5EF4-FFF2-40B4-BE49-F238E27FC236}">
              <a16:creationId xmlns:a16="http://schemas.microsoft.com/office/drawing/2014/main" id="{06F9C6F8-B64E-4342-AED0-8E0F237BA1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74" name="Picture 10" descr=".">
          <a:extLst>
            <a:ext uri="{FF2B5EF4-FFF2-40B4-BE49-F238E27FC236}">
              <a16:creationId xmlns:a16="http://schemas.microsoft.com/office/drawing/2014/main" id="{6255212D-BA08-4A82-843C-860A0335E7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75" name="Picture 11" descr=".">
          <a:extLst>
            <a:ext uri="{FF2B5EF4-FFF2-40B4-BE49-F238E27FC236}">
              <a16:creationId xmlns:a16="http://schemas.microsoft.com/office/drawing/2014/main" id="{AC357BC3-3566-4488-99A4-43EFD397A5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6" name="Picture 6" descr=".">
          <a:extLst>
            <a:ext uri="{FF2B5EF4-FFF2-40B4-BE49-F238E27FC236}">
              <a16:creationId xmlns:a16="http://schemas.microsoft.com/office/drawing/2014/main" id="{15B2AFA6-434A-49A3-8ACA-D05F52A61D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7" name="Picture 7" descr=".">
          <a:extLst>
            <a:ext uri="{FF2B5EF4-FFF2-40B4-BE49-F238E27FC236}">
              <a16:creationId xmlns:a16="http://schemas.microsoft.com/office/drawing/2014/main" id="{F394FF4F-9B10-47D9-9785-3295E8DA14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8" name="Picture 8" descr=".">
          <a:extLst>
            <a:ext uri="{FF2B5EF4-FFF2-40B4-BE49-F238E27FC236}">
              <a16:creationId xmlns:a16="http://schemas.microsoft.com/office/drawing/2014/main" id="{942BB47C-F2E8-4760-A77C-FE0764DDC42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9" name="Picture 9" descr=".">
          <a:extLst>
            <a:ext uri="{FF2B5EF4-FFF2-40B4-BE49-F238E27FC236}">
              <a16:creationId xmlns:a16="http://schemas.microsoft.com/office/drawing/2014/main" id="{E9D17060-BF35-478F-9A4C-B075F2F247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8"/>
    <xdr:pic>
      <xdr:nvPicPr>
        <xdr:cNvPr id="180" name="Picture 10" descr=".">
          <a:extLst>
            <a:ext uri="{FF2B5EF4-FFF2-40B4-BE49-F238E27FC236}">
              <a16:creationId xmlns:a16="http://schemas.microsoft.com/office/drawing/2014/main" id="{66ED85D4-D144-43E4-BEEF-4F0B04B24D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1"/>
    <xdr:pic>
      <xdr:nvPicPr>
        <xdr:cNvPr id="181" name="Picture 11" descr=".">
          <a:extLst>
            <a:ext uri="{FF2B5EF4-FFF2-40B4-BE49-F238E27FC236}">
              <a16:creationId xmlns:a16="http://schemas.microsoft.com/office/drawing/2014/main" id="{9DBB1BFA-4BCC-494A-8CE7-972752B6B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2" name="Picture 6" descr=".">
          <a:extLst>
            <a:ext uri="{FF2B5EF4-FFF2-40B4-BE49-F238E27FC236}">
              <a16:creationId xmlns:a16="http://schemas.microsoft.com/office/drawing/2014/main" id="{F0EE21F7-D47B-483E-BDBB-9C45A17920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6512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3" name="Picture 7" descr=".">
          <a:extLst>
            <a:ext uri="{FF2B5EF4-FFF2-40B4-BE49-F238E27FC236}">
              <a16:creationId xmlns:a16="http://schemas.microsoft.com/office/drawing/2014/main" id="{A8322CC9-F529-490C-B350-68F846C9F8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6512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4" name="Picture 8" descr=".">
          <a:extLst>
            <a:ext uri="{FF2B5EF4-FFF2-40B4-BE49-F238E27FC236}">
              <a16:creationId xmlns:a16="http://schemas.microsoft.com/office/drawing/2014/main" id="{AA90830C-B592-40DC-A51F-2E89B417EE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6512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5" name="Picture 9" descr=".">
          <a:extLst>
            <a:ext uri="{FF2B5EF4-FFF2-40B4-BE49-F238E27FC236}">
              <a16:creationId xmlns:a16="http://schemas.microsoft.com/office/drawing/2014/main" id="{BE6A69BD-6403-4850-A78C-5A0284A393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6512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86" name="Picture 10" descr=".">
          <a:extLst>
            <a:ext uri="{FF2B5EF4-FFF2-40B4-BE49-F238E27FC236}">
              <a16:creationId xmlns:a16="http://schemas.microsoft.com/office/drawing/2014/main" id="{F3052CE9-4E62-463D-B0CE-A818634B5B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6512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87" name="Picture 11" descr=".">
          <a:extLst>
            <a:ext uri="{FF2B5EF4-FFF2-40B4-BE49-F238E27FC236}">
              <a16:creationId xmlns:a16="http://schemas.microsoft.com/office/drawing/2014/main" id="{D8C4D1BC-6326-4374-A5F7-B05E2E17F8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6512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88" name="Picture 6" descr=".">
          <a:extLst>
            <a:ext uri="{FF2B5EF4-FFF2-40B4-BE49-F238E27FC236}">
              <a16:creationId xmlns:a16="http://schemas.microsoft.com/office/drawing/2014/main" id="{57D686C4-4CE3-4524-BC41-28984ABF39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6512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89" name="Picture 7" descr=".">
          <a:extLst>
            <a:ext uri="{FF2B5EF4-FFF2-40B4-BE49-F238E27FC236}">
              <a16:creationId xmlns:a16="http://schemas.microsoft.com/office/drawing/2014/main" id="{158B13CF-F582-4886-BE98-DD228D1686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6512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90" name="Picture 8" descr=".">
          <a:extLst>
            <a:ext uri="{FF2B5EF4-FFF2-40B4-BE49-F238E27FC236}">
              <a16:creationId xmlns:a16="http://schemas.microsoft.com/office/drawing/2014/main" id="{7FC4CCC5-7A07-4F3F-A682-1830A797CC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6512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91" name="Picture 9" descr=".">
          <a:extLst>
            <a:ext uri="{FF2B5EF4-FFF2-40B4-BE49-F238E27FC236}">
              <a16:creationId xmlns:a16="http://schemas.microsoft.com/office/drawing/2014/main" id="{C185081F-A70A-4947-8AF8-F3949CA20D0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6512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192" name="Picture 10" descr=".">
          <a:extLst>
            <a:ext uri="{FF2B5EF4-FFF2-40B4-BE49-F238E27FC236}">
              <a16:creationId xmlns:a16="http://schemas.microsoft.com/office/drawing/2014/main" id="{6D358C5A-2F61-4107-A478-BF0D72A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6512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193" name="Picture 11" descr=".">
          <a:extLst>
            <a:ext uri="{FF2B5EF4-FFF2-40B4-BE49-F238E27FC236}">
              <a16:creationId xmlns:a16="http://schemas.microsoft.com/office/drawing/2014/main" id="{410863D4-7ED5-4E1C-A302-35F8D11655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6512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4" name="Picture 6" descr=".">
          <a:extLst>
            <a:ext uri="{FF2B5EF4-FFF2-40B4-BE49-F238E27FC236}">
              <a16:creationId xmlns:a16="http://schemas.microsoft.com/office/drawing/2014/main" id="{F59D2B41-52D5-4846-8472-290974DA4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6512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5" name="Picture 7" descr=".">
          <a:extLst>
            <a:ext uri="{FF2B5EF4-FFF2-40B4-BE49-F238E27FC236}">
              <a16:creationId xmlns:a16="http://schemas.microsoft.com/office/drawing/2014/main" id="{8DEC4469-B55A-4836-9D1C-F5548D4E36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6512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6" name="Picture 8" descr=".">
          <a:extLst>
            <a:ext uri="{FF2B5EF4-FFF2-40B4-BE49-F238E27FC236}">
              <a16:creationId xmlns:a16="http://schemas.microsoft.com/office/drawing/2014/main" id="{535746D8-AB48-4FA3-AAE9-4A501F85FA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6512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7" name="Picture 9" descr=".">
          <a:extLst>
            <a:ext uri="{FF2B5EF4-FFF2-40B4-BE49-F238E27FC236}">
              <a16:creationId xmlns:a16="http://schemas.microsoft.com/office/drawing/2014/main" id="{26A28FDC-1C83-48AD-806D-31897F945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6512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98" name="Picture 10" descr=".">
          <a:extLst>
            <a:ext uri="{FF2B5EF4-FFF2-40B4-BE49-F238E27FC236}">
              <a16:creationId xmlns:a16="http://schemas.microsoft.com/office/drawing/2014/main" id="{DF12A06D-D887-49DD-A80E-25ECF51387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6512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99" name="Picture 11" descr=".">
          <a:extLst>
            <a:ext uri="{FF2B5EF4-FFF2-40B4-BE49-F238E27FC236}">
              <a16:creationId xmlns:a16="http://schemas.microsoft.com/office/drawing/2014/main" id="{5D89E13B-605A-4F31-9D54-A3D10523373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6512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0" name="Picture 6" descr=".">
          <a:extLst>
            <a:ext uri="{FF2B5EF4-FFF2-40B4-BE49-F238E27FC236}">
              <a16:creationId xmlns:a16="http://schemas.microsoft.com/office/drawing/2014/main" id="{94B8895A-0C4C-4ABD-A989-03024884B2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1" name="Picture 7" descr=".">
          <a:extLst>
            <a:ext uri="{FF2B5EF4-FFF2-40B4-BE49-F238E27FC236}">
              <a16:creationId xmlns:a16="http://schemas.microsoft.com/office/drawing/2014/main" id="{84543454-C950-47C0-AC06-6C9F57506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2" name="Picture 8" descr=".">
          <a:extLst>
            <a:ext uri="{FF2B5EF4-FFF2-40B4-BE49-F238E27FC236}">
              <a16:creationId xmlns:a16="http://schemas.microsoft.com/office/drawing/2014/main" id="{4C82253A-BC39-45E6-AB1C-D22C54F968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3" name="Picture 9" descr=".">
          <a:extLst>
            <a:ext uri="{FF2B5EF4-FFF2-40B4-BE49-F238E27FC236}">
              <a16:creationId xmlns:a16="http://schemas.microsoft.com/office/drawing/2014/main" id="{E70E3C32-243D-4094-8B1B-64E5621F8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04" name="Picture 10" descr=".">
          <a:extLst>
            <a:ext uri="{FF2B5EF4-FFF2-40B4-BE49-F238E27FC236}">
              <a16:creationId xmlns:a16="http://schemas.microsoft.com/office/drawing/2014/main" id="{31CD938A-127A-492D-B47A-C9F4654ED5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05" name="Picture 11" descr=".">
          <a:extLst>
            <a:ext uri="{FF2B5EF4-FFF2-40B4-BE49-F238E27FC236}">
              <a16:creationId xmlns:a16="http://schemas.microsoft.com/office/drawing/2014/main" id="{097C801B-0083-446A-BDC5-CABAEFE21E2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6" name="Picture 6" descr=".">
          <a:extLst>
            <a:ext uri="{FF2B5EF4-FFF2-40B4-BE49-F238E27FC236}">
              <a16:creationId xmlns:a16="http://schemas.microsoft.com/office/drawing/2014/main" id="{B5D140B5-E062-4387-BD25-97C6F66496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7" name="Picture 7" descr=".">
          <a:extLst>
            <a:ext uri="{FF2B5EF4-FFF2-40B4-BE49-F238E27FC236}">
              <a16:creationId xmlns:a16="http://schemas.microsoft.com/office/drawing/2014/main" id="{DDD28750-6143-4D3F-BE20-7C0000E2D6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8" name="Picture 8" descr=".">
          <a:extLst>
            <a:ext uri="{FF2B5EF4-FFF2-40B4-BE49-F238E27FC236}">
              <a16:creationId xmlns:a16="http://schemas.microsoft.com/office/drawing/2014/main" id="{013FB4BD-BDB3-4D18-890B-C44605CC47D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9" name="Picture 9" descr=".">
          <a:extLst>
            <a:ext uri="{FF2B5EF4-FFF2-40B4-BE49-F238E27FC236}">
              <a16:creationId xmlns:a16="http://schemas.microsoft.com/office/drawing/2014/main" id="{30EA4274-E721-4FD0-B116-37D3A0F7AE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0" name="Picture 10" descr=".">
          <a:extLst>
            <a:ext uri="{FF2B5EF4-FFF2-40B4-BE49-F238E27FC236}">
              <a16:creationId xmlns:a16="http://schemas.microsoft.com/office/drawing/2014/main" id="{E684EDF4-7437-4D55-9571-7758B909FB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1" name="Picture 11" descr=".">
          <a:extLst>
            <a:ext uri="{FF2B5EF4-FFF2-40B4-BE49-F238E27FC236}">
              <a16:creationId xmlns:a16="http://schemas.microsoft.com/office/drawing/2014/main" id="{E9289E34-C66C-4CDF-839C-08B89C774B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2" name="Picture 6" descr=".">
          <a:extLst>
            <a:ext uri="{FF2B5EF4-FFF2-40B4-BE49-F238E27FC236}">
              <a16:creationId xmlns:a16="http://schemas.microsoft.com/office/drawing/2014/main" id="{E2E50641-E8CB-4296-A080-2B20D43EFB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3" name="Picture 7" descr=".">
          <a:extLst>
            <a:ext uri="{FF2B5EF4-FFF2-40B4-BE49-F238E27FC236}">
              <a16:creationId xmlns:a16="http://schemas.microsoft.com/office/drawing/2014/main" id="{0901CBFA-963C-4AE8-B7F8-7E0678C25E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4" name="Picture 8" descr=".">
          <a:extLst>
            <a:ext uri="{FF2B5EF4-FFF2-40B4-BE49-F238E27FC236}">
              <a16:creationId xmlns:a16="http://schemas.microsoft.com/office/drawing/2014/main" id="{D1302BF9-F0C1-4195-AE9C-E358354CB1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5" name="Picture 9" descr=".">
          <a:extLst>
            <a:ext uri="{FF2B5EF4-FFF2-40B4-BE49-F238E27FC236}">
              <a16:creationId xmlns:a16="http://schemas.microsoft.com/office/drawing/2014/main" id="{C177E081-DBDA-4023-BE15-9FA2F8A5FA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6" name="Picture 10" descr=".">
          <a:extLst>
            <a:ext uri="{FF2B5EF4-FFF2-40B4-BE49-F238E27FC236}">
              <a16:creationId xmlns:a16="http://schemas.microsoft.com/office/drawing/2014/main" id="{EF0024BC-0BD0-4293-92BF-AC267F912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7" name="Picture 11" descr=".">
          <a:extLst>
            <a:ext uri="{FF2B5EF4-FFF2-40B4-BE49-F238E27FC236}">
              <a16:creationId xmlns:a16="http://schemas.microsoft.com/office/drawing/2014/main" id="{BE0C20C5-7386-4B8E-B6EA-1F2926B918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18" name="Picture 6" descr=".">
          <a:extLst>
            <a:ext uri="{FF2B5EF4-FFF2-40B4-BE49-F238E27FC236}">
              <a16:creationId xmlns:a16="http://schemas.microsoft.com/office/drawing/2014/main" id="{BEE95667-1F3F-4B1F-B275-8F0615F9898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9" name="Picture 7" descr=".">
          <a:extLst>
            <a:ext uri="{FF2B5EF4-FFF2-40B4-BE49-F238E27FC236}">
              <a16:creationId xmlns:a16="http://schemas.microsoft.com/office/drawing/2014/main" id="{0DBDFC84-6C55-4F1F-955A-FCF169B43A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0" name="Picture 8" descr=".">
          <a:extLst>
            <a:ext uri="{FF2B5EF4-FFF2-40B4-BE49-F238E27FC236}">
              <a16:creationId xmlns:a16="http://schemas.microsoft.com/office/drawing/2014/main" id="{77BBF213-A5D2-471E-B3BF-16D073344F8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21" name="Picture 9" descr=".">
          <a:extLst>
            <a:ext uri="{FF2B5EF4-FFF2-40B4-BE49-F238E27FC236}">
              <a16:creationId xmlns:a16="http://schemas.microsoft.com/office/drawing/2014/main" id="{FCFFE001-6D10-4C70-9A1A-65C62D64B4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22" name="Picture 10" descr=".">
          <a:extLst>
            <a:ext uri="{FF2B5EF4-FFF2-40B4-BE49-F238E27FC236}">
              <a16:creationId xmlns:a16="http://schemas.microsoft.com/office/drawing/2014/main" id="{28A9B515-B43B-4BB0-A0AA-BCA75B1356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23" name="Picture 11" descr=".">
          <a:extLst>
            <a:ext uri="{FF2B5EF4-FFF2-40B4-BE49-F238E27FC236}">
              <a16:creationId xmlns:a16="http://schemas.microsoft.com/office/drawing/2014/main" id="{053CE61A-60ED-448C-A7B8-2A45960B8A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4" name="Picture 6" descr=".">
          <a:extLst>
            <a:ext uri="{FF2B5EF4-FFF2-40B4-BE49-F238E27FC236}">
              <a16:creationId xmlns:a16="http://schemas.microsoft.com/office/drawing/2014/main" id="{062D9C18-65EF-4F92-806A-841605C67E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5" name="Picture 7" descr=".">
          <a:extLst>
            <a:ext uri="{FF2B5EF4-FFF2-40B4-BE49-F238E27FC236}">
              <a16:creationId xmlns:a16="http://schemas.microsoft.com/office/drawing/2014/main" id="{BCAEE62E-A6FD-4435-95C3-88940A94B5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6" name="Picture 8" descr=".">
          <a:extLst>
            <a:ext uri="{FF2B5EF4-FFF2-40B4-BE49-F238E27FC236}">
              <a16:creationId xmlns:a16="http://schemas.microsoft.com/office/drawing/2014/main" id="{665AE122-3236-4193-99C8-1691DAA3B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7" name="Picture 9" descr=".">
          <a:extLst>
            <a:ext uri="{FF2B5EF4-FFF2-40B4-BE49-F238E27FC236}">
              <a16:creationId xmlns:a16="http://schemas.microsoft.com/office/drawing/2014/main" id="{70DC0A68-7195-4F9E-992A-63CCCA26E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228" name="Picture 10" descr=".">
          <a:extLst>
            <a:ext uri="{FF2B5EF4-FFF2-40B4-BE49-F238E27FC236}">
              <a16:creationId xmlns:a16="http://schemas.microsoft.com/office/drawing/2014/main" id="{98D92A86-1645-4261-A9DF-A3C95E17B5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229" name="Picture 11" descr=".">
          <a:extLst>
            <a:ext uri="{FF2B5EF4-FFF2-40B4-BE49-F238E27FC236}">
              <a16:creationId xmlns:a16="http://schemas.microsoft.com/office/drawing/2014/main" id="{AD4B2597-110F-40F0-ADEB-C6DBBF24CC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0" name="Picture 6" descr=".">
          <a:extLst>
            <a:ext uri="{FF2B5EF4-FFF2-40B4-BE49-F238E27FC236}">
              <a16:creationId xmlns:a16="http://schemas.microsoft.com/office/drawing/2014/main" id="{5C1DE8CF-1DA6-4BF1-86E0-558217B1E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1" name="Picture 7" descr=".">
          <a:extLst>
            <a:ext uri="{FF2B5EF4-FFF2-40B4-BE49-F238E27FC236}">
              <a16:creationId xmlns:a16="http://schemas.microsoft.com/office/drawing/2014/main" id="{8C08A349-E5EC-4B67-9D26-C112CC61A3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2" name="Picture 8" descr=".">
          <a:extLst>
            <a:ext uri="{FF2B5EF4-FFF2-40B4-BE49-F238E27FC236}">
              <a16:creationId xmlns:a16="http://schemas.microsoft.com/office/drawing/2014/main" id="{7320CEB6-FBA0-4AA9-8CCA-461DF63FB7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3" name="Picture 9" descr=".">
          <a:extLst>
            <a:ext uri="{FF2B5EF4-FFF2-40B4-BE49-F238E27FC236}">
              <a16:creationId xmlns:a16="http://schemas.microsoft.com/office/drawing/2014/main" id="{38DD8DAC-8C1C-455F-BB95-656507FEA6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34" name="Picture 10" descr=".">
          <a:extLst>
            <a:ext uri="{FF2B5EF4-FFF2-40B4-BE49-F238E27FC236}">
              <a16:creationId xmlns:a16="http://schemas.microsoft.com/office/drawing/2014/main" id="{CAB58D33-7441-4199-9941-5DA0A1B2056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35" name="Picture 11" descr=".">
          <a:extLst>
            <a:ext uri="{FF2B5EF4-FFF2-40B4-BE49-F238E27FC236}">
              <a16:creationId xmlns:a16="http://schemas.microsoft.com/office/drawing/2014/main" id="{33CBC2B8-E6C8-4211-BC4F-04C180C5D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6" name="Picture 6" descr=".">
          <a:extLst>
            <a:ext uri="{FF2B5EF4-FFF2-40B4-BE49-F238E27FC236}">
              <a16:creationId xmlns:a16="http://schemas.microsoft.com/office/drawing/2014/main" id="{92979DFC-BD13-48FC-9799-0FEC8EF3BE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7" name="Picture 7" descr=".">
          <a:extLst>
            <a:ext uri="{FF2B5EF4-FFF2-40B4-BE49-F238E27FC236}">
              <a16:creationId xmlns:a16="http://schemas.microsoft.com/office/drawing/2014/main" id="{71516022-1666-4A00-84C0-B5685399A58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8" name="Picture 8" descr=".">
          <a:extLst>
            <a:ext uri="{FF2B5EF4-FFF2-40B4-BE49-F238E27FC236}">
              <a16:creationId xmlns:a16="http://schemas.microsoft.com/office/drawing/2014/main" id="{9EEE4B50-0F23-4D01-92DB-9E1502B9C5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9" name="Picture 9" descr=".">
          <a:extLst>
            <a:ext uri="{FF2B5EF4-FFF2-40B4-BE49-F238E27FC236}">
              <a16:creationId xmlns:a16="http://schemas.microsoft.com/office/drawing/2014/main" id="{E4E870C8-632E-43BA-A9AE-970681E5B1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0" name="Picture 10" descr=".">
          <a:extLst>
            <a:ext uri="{FF2B5EF4-FFF2-40B4-BE49-F238E27FC236}">
              <a16:creationId xmlns:a16="http://schemas.microsoft.com/office/drawing/2014/main" id="{C0151A75-E996-4F8B-BAAB-444F1A8A4E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1" name="Picture 11" descr=".">
          <a:extLst>
            <a:ext uri="{FF2B5EF4-FFF2-40B4-BE49-F238E27FC236}">
              <a16:creationId xmlns:a16="http://schemas.microsoft.com/office/drawing/2014/main" id="{21C19C64-938C-4805-A81F-8E992F42495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2" name="Picture 6" descr=".">
          <a:extLst>
            <a:ext uri="{FF2B5EF4-FFF2-40B4-BE49-F238E27FC236}">
              <a16:creationId xmlns:a16="http://schemas.microsoft.com/office/drawing/2014/main" id="{35269351-4236-4F2E-93B5-05D25B415A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3" name="Picture 7" descr=".">
          <a:extLst>
            <a:ext uri="{FF2B5EF4-FFF2-40B4-BE49-F238E27FC236}">
              <a16:creationId xmlns:a16="http://schemas.microsoft.com/office/drawing/2014/main" id="{4E65B6C2-FD66-4A8E-B0E4-CD02D276A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4" name="Picture 8" descr=".">
          <a:extLst>
            <a:ext uri="{FF2B5EF4-FFF2-40B4-BE49-F238E27FC236}">
              <a16:creationId xmlns:a16="http://schemas.microsoft.com/office/drawing/2014/main" id="{0AC329E6-8FFD-4594-81DB-64B084C51C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5" name="Picture 9" descr=".">
          <a:extLst>
            <a:ext uri="{FF2B5EF4-FFF2-40B4-BE49-F238E27FC236}">
              <a16:creationId xmlns:a16="http://schemas.microsoft.com/office/drawing/2014/main" id="{DC2B69B8-378A-4E41-9BC1-441D4A2CFC0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6" name="Picture 10" descr=".">
          <a:extLst>
            <a:ext uri="{FF2B5EF4-FFF2-40B4-BE49-F238E27FC236}">
              <a16:creationId xmlns:a16="http://schemas.microsoft.com/office/drawing/2014/main" id="{D3A283A9-3F63-4B61-A147-4EA6115AE7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7" name="Picture 11" descr=".">
          <a:extLst>
            <a:ext uri="{FF2B5EF4-FFF2-40B4-BE49-F238E27FC236}">
              <a16:creationId xmlns:a16="http://schemas.microsoft.com/office/drawing/2014/main" id="{22A8F49F-49E1-43A5-99E8-17FFC13905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48" name="Picture 6" descr=".">
          <a:extLst>
            <a:ext uri="{FF2B5EF4-FFF2-40B4-BE49-F238E27FC236}">
              <a16:creationId xmlns:a16="http://schemas.microsoft.com/office/drawing/2014/main" id="{83345114-1688-4840-BC15-22B6A53BA8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49" name="Picture 7" descr=".">
          <a:extLst>
            <a:ext uri="{FF2B5EF4-FFF2-40B4-BE49-F238E27FC236}">
              <a16:creationId xmlns:a16="http://schemas.microsoft.com/office/drawing/2014/main" id="{1CF1E0BE-CD3B-4697-AE34-0F8EB6C995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50" name="Picture 8" descr=".">
          <a:extLst>
            <a:ext uri="{FF2B5EF4-FFF2-40B4-BE49-F238E27FC236}">
              <a16:creationId xmlns:a16="http://schemas.microsoft.com/office/drawing/2014/main" id="{90818210-C984-4EF7-9DFE-1C2493DEFD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51" name="Picture 9" descr=".">
          <a:extLst>
            <a:ext uri="{FF2B5EF4-FFF2-40B4-BE49-F238E27FC236}">
              <a16:creationId xmlns:a16="http://schemas.microsoft.com/office/drawing/2014/main" id="{4420DE44-0037-4AA5-9BA9-51AC67DA16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52" name="Picture 10" descr=".">
          <a:extLst>
            <a:ext uri="{FF2B5EF4-FFF2-40B4-BE49-F238E27FC236}">
              <a16:creationId xmlns:a16="http://schemas.microsoft.com/office/drawing/2014/main" id="{E9EB1AA8-4CE3-40BC-A73C-0A492F631C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53" name="Picture 11" descr=".">
          <a:extLst>
            <a:ext uri="{FF2B5EF4-FFF2-40B4-BE49-F238E27FC236}">
              <a16:creationId xmlns:a16="http://schemas.microsoft.com/office/drawing/2014/main" id="{71DDF2D8-FB7A-4B7E-AA30-E65017BCD5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4" name="Picture 6" descr=".">
          <a:extLst>
            <a:ext uri="{FF2B5EF4-FFF2-40B4-BE49-F238E27FC236}">
              <a16:creationId xmlns:a16="http://schemas.microsoft.com/office/drawing/2014/main" id="{FFEF66C5-2C54-4CC9-B8F2-FDEE99B16F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5" name="Picture 7" descr=".">
          <a:extLst>
            <a:ext uri="{FF2B5EF4-FFF2-40B4-BE49-F238E27FC236}">
              <a16:creationId xmlns:a16="http://schemas.microsoft.com/office/drawing/2014/main" id="{DBEA008C-C9FE-4178-8410-C37722133B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6" name="Picture 8" descr=".">
          <a:extLst>
            <a:ext uri="{FF2B5EF4-FFF2-40B4-BE49-F238E27FC236}">
              <a16:creationId xmlns:a16="http://schemas.microsoft.com/office/drawing/2014/main" id="{7A7812FA-A769-41DC-B06C-497C9CA936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7" name="Picture 9" descr=".">
          <a:extLst>
            <a:ext uri="{FF2B5EF4-FFF2-40B4-BE49-F238E27FC236}">
              <a16:creationId xmlns:a16="http://schemas.microsoft.com/office/drawing/2014/main" id="{D4B210BF-96FC-41B7-8F23-98E3D0489A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258" name="Picture 10" descr=".">
          <a:extLst>
            <a:ext uri="{FF2B5EF4-FFF2-40B4-BE49-F238E27FC236}">
              <a16:creationId xmlns:a16="http://schemas.microsoft.com/office/drawing/2014/main" id="{B5C0D621-BDB1-4F6F-874B-D4E54B2912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259" name="Picture 11" descr=".">
          <a:extLst>
            <a:ext uri="{FF2B5EF4-FFF2-40B4-BE49-F238E27FC236}">
              <a16:creationId xmlns:a16="http://schemas.microsoft.com/office/drawing/2014/main" id="{DE9F12E4-9C7D-49A3-A6CA-3A46B9F402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0" name="Picture 6" descr=".">
          <a:extLst>
            <a:ext uri="{FF2B5EF4-FFF2-40B4-BE49-F238E27FC236}">
              <a16:creationId xmlns:a16="http://schemas.microsoft.com/office/drawing/2014/main" id="{389AD760-1303-4E64-BC18-4987A6F5A3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1" name="Picture 7" descr=".">
          <a:extLst>
            <a:ext uri="{FF2B5EF4-FFF2-40B4-BE49-F238E27FC236}">
              <a16:creationId xmlns:a16="http://schemas.microsoft.com/office/drawing/2014/main" id="{C4D8F03B-56F3-429A-ACF4-679F23FE20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2" name="Picture 8" descr=".">
          <a:extLst>
            <a:ext uri="{FF2B5EF4-FFF2-40B4-BE49-F238E27FC236}">
              <a16:creationId xmlns:a16="http://schemas.microsoft.com/office/drawing/2014/main" id="{AA929414-D9F6-4072-B833-FB08727C47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3" name="Picture 9" descr=".">
          <a:extLst>
            <a:ext uri="{FF2B5EF4-FFF2-40B4-BE49-F238E27FC236}">
              <a16:creationId xmlns:a16="http://schemas.microsoft.com/office/drawing/2014/main" id="{45BB1370-8A02-4DAC-8067-80CB54858D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64" name="Picture 10" descr=".">
          <a:extLst>
            <a:ext uri="{FF2B5EF4-FFF2-40B4-BE49-F238E27FC236}">
              <a16:creationId xmlns:a16="http://schemas.microsoft.com/office/drawing/2014/main" id="{07E44B8C-2969-4179-8901-65B6AAFC2B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65" name="Picture 11" descr=".">
          <a:extLst>
            <a:ext uri="{FF2B5EF4-FFF2-40B4-BE49-F238E27FC236}">
              <a16:creationId xmlns:a16="http://schemas.microsoft.com/office/drawing/2014/main" id="{F7421B72-06EE-4C9E-9159-11CD6E7817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6" name="Picture 6" descr=".">
          <a:extLst>
            <a:ext uri="{FF2B5EF4-FFF2-40B4-BE49-F238E27FC236}">
              <a16:creationId xmlns:a16="http://schemas.microsoft.com/office/drawing/2014/main" id="{781AB46D-2FC6-4798-B106-129AFFB938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7" name="Picture 7" descr=".">
          <a:extLst>
            <a:ext uri="{FF2B5EF4-FFF2-40B4-BE49-F238E27FC236}">
              <a16:creationId xmlns:a16="http://schemas.microsoft.com/office/drawing/2014/main" id="{CD956EC2-3B78-4EA2-845F-C49711CBE0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8" name="Picture 8" descr=".">
          <a:extLst>
            <a:ext uri="{FF2B5EF4-FFF2-40B4-BE49-F238E27FC236}">
              <a16:creationId xmlns:a16="http://schemas.microsoft.com/office/drawing/2014/main" id="{F2116512-E745-463D-89A3-FFEBBDCEE3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9" name="Picture 9" descr=".">
          <a:extLst>
            <a:ext uri="{FF2B5EF4-FFF2-40B4-BE49-F238E27FC236}">
              <a16:creationId xmlns:a16="http://schemas.microsoft.com/office/drawing/2014/main" id="{47DEB520-463F-4175-B593-6BD1F51F59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0" name="Picture 10" descr=".">
          <a:extLst>
            <a:ext uri="{FF2B5EF4-FFF2-40B4-BE49-F238E27FC236}">
              <a16:creationId xmlns:a16="http://schemas.microsoft.com/office/drawing/2014/main" id="{57B9645E-6263-4B8D-8E68-C0174E8837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1" name="Picture 11" descr=".">
          <a:extLst>
            <a:ext uri="{FF2B5EF4-FFF2-40B4-BE49-F238E27FC236}">
              <a16:creationId xmlns:a16="http://schemas.microsoft.com/office/drawing/2014/main" id="{6B0E1466-45E2-4227-8448-E034E5036A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2" name="Picture 6" descr=".">
          <a:extLst>
            <a:ext uri="{FF2B5EF4-FFF2-40B4-BE49-F238E27FC236}">
              <a16:creationId xmlns:a16="http://schemas.microsoft.com/office/drawing/2014/main" id="{8A88E5CD-DEAC-4247-BB84-D9EC13B725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3" name="Picture 7" descr=".">
          <a:extLst>
            <a:ext uri="{FF2B5EF4-FFF2-40B4-BE49-F238E27FC236}">
              <a16:creationId xmlns:a16="http://schemas.microsoft.com/office/drawing/2014/main" id="{72DACA3E-ABC7-459E-ACA8-2BD3D8C72C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4" name="Picture 8" descr=".">
          <a:extLst>
            <a:ext uri="{FF2B5EF4-FFF2-40B4-BE49-F238E27FC236}">
              <a16:creationId xmlns:a16="http://schemas.microsoft.com/office/drawing/2014/main" id="{35497678-0BB4-4581-AE44-AD147C3764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5" name="Picture 9" descr=".">
          <a:extLst>
            <a:ext uri="{FF2B5EF4-FFF2-40B4-BE49-F238E27FC236}">
              <a16:creationId xmlns:a16="http://schemas.microsoft.com/office/drawing/2014/main" id="{45EE7B28-5436-41ED-9250-498B7D21AC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6" name="Picture 10" descr=".">
          <a:extLst>
            <a:ext uri="{FF2B5EF4-FFF2-40B4-BE49-F238E27FC236}">
              <a16:creationId xmlns:a16="http://schemas.microsoft.com/office/drawing/2014/main" id="{10DE3D7F-47D7-4D4F-8CD3-BC359B89E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7" name="Picture 11" descr=".">
          <a:extLst>
            <a:ext uri="{FF2B5EF4-FFF2-40B4-BE49-F238E27FC236}">
              <a16:creationId xmlns:a16="http://schemas.microsoft.com/office/drawing/2014/main" id="{7A1BD8E6-DC61-47F3-A6EE-46B398C65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78" name="Picture 6" descr=".">
          <a:extLst>
            <a:ext uri="{FF2B5EF4-FFF2-40B4-BE49-F238E27FC236}">
              <a16:creationId xmlns:a16="http://schemas.microsoft.com/office/drawing/2014/main" id="{FCDFCB89-7D3C-4D9E-A6C1-737EEC4B91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79" name="Picture 7" descr=".">
          <a:extLst>
            <a:ext uri="{FF2B5EF4-FFF2-40B4-BE49-F238E27FC236}">
              <a16:creationId xmlns:a16="http://schemas.microsoft.com/office/drawing/2014/main" id="{AE0407F4-BD3C-468E-AC90-743E2B7B7E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80" name="Picture 8" descr=".">
          <a:extLst>
            <a:ext uri="{FF2B5EF4-FFF2-40B4-BE49-F238E27FC236}">
              <a16:creationId xmlns:a16="http://schemas.microsoft.com/office/drawing/2014/main" id="{582CE180-546D-450C-92F9-5990B244F3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81" name="Picture 9" descr=".">
          <a:extLst>
            <a:ext uri="{FF2B5EF4-FFF2-40B4-BE49-F238E27FC236}">
              <a16:creationId xmlns:a16="http://schemas.microsoft.com/office/drawing/2014/main" id="{5F0E1BB5-028C-404E-9548-9A26FEB5CC2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282" name="Picture 10" descr=".">
          <a:extLst>
            <a:ext uri="{FF2B5EF4-FFF2-40B4-BE49-F238E27FC236}">
              <a16:creationId xmlns:a16="http://schemas.microsoft.com/office/drawing/2014/main" id="{5331A50C-2649-45DE-A91A-2279465277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283" name="Picture 11" descr=".">
          <a:extLst>
            <a:ext uri="{FF2B5EF4-FFF2-40B4-BE49-F238E27FC236}">
              <a16:creationId xmlns:a16="http://schemas.microsoft.com/office/drawing/2014/main" id="{ACA146EE-6FE4-4321-A30C-C85B0692C1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4" name="Picture 6" descr=".">
          <a:extLst>
            <a:ext uri="{FF2B5EF4-FFF2-40B4-BE49-F238E27FC236}">
              <a16:creationId xmlns:a16="http://schemas.microsoft.com/office/drawing/2014/main" id="{715E7894-F879-4191-8925-59B400FC84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5" name="Picture 7" descr=".">
          <a:extLst>
            <a:ext uri="{FF2B5EF4-FFF2-40B4-BE49-F238E27FC236}">
              <a16:creationId xmlns:a16="http://schemas.microsoft.com/office/drawing/2014/main" id="{51B30386-F78D-4D1A-9143-A6A0D3DD272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6" name="Picture 8" descr=".">
          <a:extLst>
            <a:ext uri="{FF2B5EF4-FFF2-40B4-BE49-F238E27FC236}">
              <a16:creationId xmlns:a16="http://schemas.microsoft.com/office/drawing/2014/main" id="{71EBA0D6-3849-49DF-9F31-7EADD9053B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7" name="Picture 9" descr=".">
          <a:extLst>
            <a:ext uri="{FF2B5EF4-FFF2-40B4-BE49-F238E27FC236}">
              <a16:creationId xmlns:a16="http://schemas.microsoft.com/office/drawing/2014/main" id="{13801AA1-5013-4F0A-A82F-A311BA1BF64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288" name="Picture 10" descr=".">
          <a:extLst>
            <a:ext uri="{FF2B5EF4-FFF2-40B4-BE49-F238E27FC236}">
              <a16:creationId xmlns:a16="http://schemas.microsoft.com/office/drawing/2014/main" id="{A3B4C5C0-A8FA-4E90-AF04-B0296DA794D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289" name="Picture 11" descr=".">
          <a:extLst>
            <a:ext uri="{FF2B5EF4-FFF2-40B4-BE49-F238E27FC236}">
              <a16:creationId xmlns:a16="http://schemas.microsoft.com/office/drawing/2014/main" id="{BD0587E0-B4F7-439C-BD7E-E863AE2B28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0" name="Picture 6" descr=".">
          <a:extLst>
            <a:ext uri="{FF2B5EF4-FFF2-40B4-BE49-F238E27FC236}">
              <a16:creationId xmlns:a16="http://schemas.microsoft.com/office/drawing/2014/main" id="{FAB13461-6C20-40A3-9B97-61649671BB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5082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1" name="Picture 7" descr=".">
          <a:extLst>
            <a:ext uri="{FF2B5EF4-FFF2-40B4-BE49-F238E27FC236}">
              <a16:creationId xmlns:a16="http://schemas.microsoft.com/office/drawing/2014/main" id="{0518EDAC-C467-4725-B286-B1F83B5D95F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5082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2" name="Picture 8" descr=".">
          <a:extLst>
            <a:ext uri="{FF2B5EF4-FFF2-40B4-BE49-F238E27FC236}">
              <a16:creationId xmlns:a16="http://schemas.microsoft.com/office/drawing/2014/main" id="{45867BD8-D93B-421F-9E20-03C8200837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5082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3" name="Picture 9" descr=".">
          <a:extLst>
            <a:ext uri="{FF2B5EF4-FFF2-40B4-BE49-F238E27FC236}">
              <a16:creationId xmlns:a16="http://schemas.microsoft.com/office/drawing/2014/main" id="{BF231915-7394-44C5-A5F6-A050E83970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5082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294" name="Picture 10" descr=".">
          <a:extLst>
            <a:ext uri="{FF2B5EF4-FFF2-40B4-BE49-F238E27FC236}">
              <a16:creationId xmlns:a16="http://schemas.microsoft.com/office/drawing/2014/main" id="{89B09555-2376-4462-A337-6FA314C1DC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5082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295" name="Picture 11" descr=".">
          <a:extLst>
            <a:ext uri="{FF2B5EF4-FFF2-40B4-BE49-F238E27FC236}">
              <a16:creationId xmlns:a16="http://schemas.microsoft.com/office/drawing/2014/main" id="{DDEE43B6-8C5C-4F43-8852-F329C8AC768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5082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6" name="Picture 6" descr=".">
          <a:extLst>
            <a:ext uri="{FF2B5EF4-FFF2-40B4-BE49-F238E27FC236}">
              <a16:creationId xmlns:a16="http://schemas.microsoft.com/office/drawing/2014/main" id="{7FAD8B58-7CBD-4230-9F3F-0E63D9F5A3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6987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7" name="Picture 7" descr=".">
          <a:extLst>
            <a:ext uri="{FF2B5EF4-FFF2-40B4-BE49-F238E27FC236}">
              <a16:creationId xmlns:a16="http://schemas.microsoft.com/office/drawing/2014/main" id="{1F57A5A8-1214-4FF5-A5D2-2CE7D9A464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6987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8" name="Picture 8" descr=".">
          <a:extLst>
            <a:ext uri="{FF2B5EF4-FFF2-40B4-BE49-F238E27FC236}">
              <a16:creationId xmlns:a16="http://schemas.microsoft.com/office/drawing/2014/main" id="{D9FC1AD3-7311-4908-A2B5-90B6F730BB8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6987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9" name="Picture 9" descr=".">
          <a:extLst>
            <a:ext uri="{FF2B5EF4-FFF2-40B4-BE49-F238E27FC236}">
              <a16:creationId xmlns:a16="http://schemas.microsoft.com/office/drawing/2014/main" id="{FF7A81FE-44C8-41F1-95CC-97FE70E5B3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6987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8"/>
    <xdr:pic>
      <xdr:nvPicPr>
        <xdr:cNvPr id="300" name="Picture 10" descr=".">
          <a:extLst>
            <a:ext uri="{FF2B5EF4-FFF2-40B4-BE49-F238E27FC236}">
              <a16:creationId xmlns:a16="http://schemas.microsoft.com/office/drawing/2014/main" id="{5641B359-62D7-4095-B992-DAE23CB276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6987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1"/>
    <xdr:pic>
      <xdr:nvPicPr>
        <xdr:cNvPr id="301" name="Picture 11" descr=".">
          <a:extLst>
            <a:ext uri="{FF2B5EF4-FFF2-40B4-BE49-F238E27FC236}">
              <a16:creationId xmlns:a16="http://schemas.microsoft.com/office/drawing/2014/main" id="{779CB085-10B0-4F99-A927-BED9171348B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6987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254000</xdr:colOff>
          <xdr:row>1</xdr:row>
          <xdr:rowOff>0</xdr:rowOff>
        </xdr:from>
        <xdr:to>
          <xdr:col>5</xdr:col>
          <xdr:colOff>317500</xdr:colOff>
          <xdr:row>2</xdr:row>
          <xdr:rowOff>76200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1000-000001C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Calibri"/>
                  <a:ea typeface="Calibri"/>
                  <a:cs typeface="Calibri"/>
                </a:rPr>
                <a:t>Export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374650</xdr:colOff>
          <xdr:row>0</xdr:row>
          <xdr:rowOff>171450</xdr:rowOff>
        </xdr:from>
        <xdr:to>
          <xdr:col>5</xdr:col>
          <xdr:colOff>438150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1300-0000025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Calibri"/>
                  <a:ea typeface="Calibri"/>
                  <a:cs typeface="Calibri"/>
                </a:rPr>
                <a:t>Export </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csp-fhir-lm-sushi-part-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ariablesList"/>
      <sheetName val="Common"/>
      <sheetName val="Base-1"/>
      <sheetName val="Base-2"/>
      <sheetName val="Base-3"/>
      <sheetName val="BaseMap-1"/>
      <sheetName val="BaseMap-2"/>
      <sheetName val="Diag-1"/>
      <sheetName val="Diag-2"/>
      <sheetName val="Diag-3"/>
      <sheetName val="Diag-Map-1"/>
      <sheetName val="Diag-Map-2"/>
      <sheetName val="Diag-Map2-1"/>
      <sheetName val="Diag-Map2-2"/>
      <sheetName val="Diag-Map-all"/>
      <sheetName val="Subj-1"/>
      <sheetName val="Subj-2"/>
      <sheetName val="Subj-3"/>
      <sheetName val="Subj-Map-1"/>
      <sheetName val="Subj-Map-2"/>
      <sheetName val="Subj-Map2-1"/>
      <sheetName val="Subj-Map2-2"/>
      <sheetName val="Subj-Map-all"/>
      <sheetName val="Chemo-1"/>
      <sheetName val="Chemo-2"/>
      <sheetName val="Chemo-3"/>
      <sheetName val="Chemo-Map-1"/>
      <sheetName val="Chemo-Map-2"/>
      <sheetName val="Chemo-Map2-1"/>
      <sheetName val="Chemo-Map2-2"/>
      <sheetName val="Chemo-Map-all"/>
      <sheetName val="Rad-1"/>
      <sheetName val="Rad-2"/>
      <sheetName val="Rad-3"/>
      <sheetName val="Radio-Map-1"/>
      <sheetName val="Radio-Map-2"/>
      <sheetName val="Radio-Map2-1"/>
      <sheetName val="Radio-Map2-2"/>
      <sheetName val="Radio-Map-all"/>
    </sheetNames>
    <sheetDataSet>
      <sheetData sheetId="0" refreshError="1"/>
      <sheetData sheetId="1" refreshError="1"/>
      <sheetData sheetId="2">
        <row r="1">
          <cell r="B1" t="str">
            <v>canonical</v>
          </cell>
        </row>
        <row r="2">
          <cell r="B2" t="str">
            <v>http://hl7.eu/fhir/ig/pcsp</v>
          </cell>
        </row>
        <row r="3">
          <cell r="B3" t="str">
            <v>Publisher</v>
          </cell>
        </row>
        <row r="4">
          <cell r="B4" t="str">
            <v>PanCareSurPass project</v>
          </cell>
        </row>
        <row r="6">
          <cell r="A6">
            <v>0</v>
          </cell>
          <cell r="B6" t="str">
            <v>TreatmentSummary</v>
          </cell>
        </row>
        <row r="7">
          <cell r="A7">
            <v>1</v>
          </cell>
          <cell r="B7" t="str">
            <v>subject</v>
          </cell>
        </row>
        <row r="8">
          <cell r="A8">
            <v>2</v>
          </cell>
          <cell r="B8" t="str">
            <v>diagnosis</v>
          </cell>
        </row>
        <row r="10">
          <cell r="A10">
            <v>4</v>
          </cell>
          <cell r="B10" t="str">
            <v>diagnosis.frontLineTreatment</v>
          </cell>
        </row>
        <row r="11">
          <cell r="A11">
            <v>5</v>
          </cell>
          <cell r="B11" t="str">
            <v>diagnosis.chemotherapy</v>
          </cell>
        </row>
        <row r="12">
          <cell r="A12">
            <v>6</v>
          </cell>
          <cell r="B12" t="str">
            <v>diagnosis.stemCellTransplantation</v>
          </cell>
        </row>
        <row r="13">
          <cell r="A13">
            <v>7</v>
          </cell>
          <cell r="B13" t="str">
            <v>diagnosis.radiotherapy</v>
          </cell>
        </row>
        <row r="14">
          <cell r="A14">
            <v>8</v>
          </cell>
          <cell r="B14" t="str">
            <v>diagnosis.majorSurgery</v>
          </cell>
        </row>
        <row r="15">
          <cell r="A15">
            <v>9</v>
          </cell>
          <cell r="B15" t="str">
            <v>diagnosis.otherInfos</v>
          </cell>
        </row>
        <row r="16">
          <cell r="A16">
            <v>10</v>
          </cell>
          <cell r="B16" t="str">
            <v>diagnosis.medicalSuggestion</v>
          </cell>
        </row>
        <row r="17">
          <cell r="A17">
            <v>11</v>
          </cell>
          <cell r="B17" t="str">
            <v>diagnosis.relapseDuringFLT</v>
          </cell>
        </row>
        <row r="18">
          <cell r="A18">
            <v>12</v>
          </cell>
          <cell r="B18" t="str">
            <v>diagnosis.relapseAfterEOT</v>
          </cell>
        </row>
        <row r="28">
          <cell r="A28">
            <v>22</v>
          </cell>
          <cell r="B28" t="str">
            <v>diagnosis.otherConditions</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sheetData sheetId="27" refreshError="1"/>
      <sheetData sheetId="28" refreshError="1"/>
      <sheetData sheetId="29" refreshError="1"/>
      <sheetData sheetId="30" refreshError="1"/>
      <sheetData sheetId="31"/>
      <sheetData sheetId="32" refreshError="1"/>
      <sheetData sheetId="33" refreshError="1"/>
      <sheetData sheetId="34"/>
      <sheetData sheetId="35" refreshError="1"/>
      <sheetData sheetId="36" refreshError="1"/>
      <sheetData sheetId="37" refreshError="1"/>
      <sheetData sheetId="38"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06D2D05F-EBEA-41C2-92A1-6EF89573BC28}"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7" dT="2021-05-27T15:35:17.31" personId="{06D2D05F-EBEA-41C2-92A1-6EF89573BC28}" id="{B5A3BA87-696C-4150-A0DE-275CC80C25C0}">
    <text>Is an independent assertion ?</text>
  </threadedComment>
</ThreadedComments>
</file>

<file path=xl/threadedComments/threadedComment2.xml><?xml version="1.0" encoding="utf-8"?>
<ThreadedComments xmlns="http://schemas.microsoft.com/office/spreadsheetml/2018/threadedcomments" xmlns:x="http://schemas.openxmlformats.org/spreadsheetml/2006/main">
  <threadedComment ref="B37" dT="2021-07-16T16:00:13.77" personId="{06D2D05F-EBEA-41C2-92A1-6EF89573BC28}" id="{68FAD9A7-DE3D-4036-99BD-E088DBD394EF}">
    <text>To be clarified what it represents</text>
  </threadedComment>
  <threadedComment ref="B37" dT="2022-06-17T12:35:04.58" personId="{06D2D05F-EBEA-41C2-92A1-6EF89573BC28}" id="{04267E6A-29E9-4168-9231-B09105A05509}" parentId="{68FAD9A7-DE3D-4036-99BD-E088DBD394EF}">
    <text>number of doses administered</text>
  </threadedComment>
  <threadedComment ref="G37" dT="2021-07-16T16:00:56.92" personId="{06D2D05F-EBEA-41C2-92A1-6EF89573BC28}" id="{6CB94711-97CC-4034-91DC-CB335F5C381A}">
    <text>to be checked</text>
  </threadedComment>
  <threadedComment ref="D39" dT="2021-07-16T16:11:07.64" personId="{06D2D05F-EBEA-41C2-92A1-6EF89573BC28}" id="{7BF83DEC-75C2-49F4-9130-72A9D3982922}">
    <text>for my curiosity ...can be the boost of a different type of the main treatment ?</text>
  </threadedComment>
  <threadedComment ref="B53" dT="2021-07-16T16:00:13.77" personId="{06D2D05F-EBEA-41C2-92A1-6EF89573BC28}" id="{7DAE5295-B8DD-4862-A11D-0C2D05AA753B}">
    <text>To be clarified what it represents</text>
  </threadedComment>
</ThreadedComments>
</file>

<file path=xl/threadedComments/threadedComment3.xml><?xml version="1.0" encoding="utf-8"?>
<ThreadedComments xmlns="http://schemas.microsoft.com/office/spreadsheetml/2018/threadedcomments" xmlns:x="http://schemas.openxmlformats.org/spreadsheetml/2006/main">
  <threadedComment ref="B28" dT="2021-05-27T15:35:17.31" personId="{06D2D05F-EBEA-41C2-92A1-6EF89573BC28}" id="{BE8A5644-546E-4BBC-BA2A-1C7BE08EE96F}">
    <text>Is an independent assertion ?</text>
  </threadedComment>
</ThreadedComments>
</file>

<file path=xl/threadedComments/threadedComment4.xml><?xml version="1.0" encoding="utf-8"?>
<ThreadedComments xmlns="http://schemas.microsoft.com/office/spreadsheetml/2018/threadedcomments" xmlns:x="http://schemas.openxmlformats.org/spreadsheetml/2006/main">
  <threadedComment ref="C12" dT="2022-05-01T09:43:17.13" personId="{06D2D05F-EBEA-41C2-92A1-6EF89573BC28}" id="{FF4C762F-B796-4DD2-8422-BEB12F0237E6}">
    <text>if date of dignosis..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hyperlink" Target="http://hl7.org/v3/cda" TargetMode="Externa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hl7.eu/fhir/ig/pcsp/ValueSet/vs-radiotherapy-pcsp" TargetMode="External"/><Relationship Id="rId1" Type="http://schemas.openxmlformats.org/officeDocument/2006/relationships/hyperlink" Target="http://hl7.eu/fhir/ig/pcsp/ValueSet/vs-radiotherapy-pcsp" TargetMode="External"/><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3.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7.vml"/><Relationship Id="rId1" Type="http://schemas.openxmlformats.org/officeDocument/2006/relationships/drawing" Target="../drawings/drawing8.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3" Type="http://schemas.microsoft.com/office/2017/10/relationships/threadedComment" Target="../threadedComments/threadedComment4.xml"/><Relationship Id="rId2" Type="http://schemas.openxmlformats.org/officeDocument/2006/relationships/comments" Target="../comments4.xml"/><Relationship Id="rId1" Type="http://schemas.openxmlformats.org/officeDocument/2006/relationships/vmlDrawing" Target="../drawings/vmlDrawing8.v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053A30-6DEB-43DF-A84A-0BFBA8FBE2E2}">
  <sheetPr codeName="Foglio8">
    <pageSetUpPr fitToPage="1"/>
  </sheetPr>
  <dimension ref="A1:N254"/>
  <sheetViews>
    <sheetView topLeftCell="B240" zoomScale="60" zoomScaleNormal="60" workbookViewId="0"/>
  </sheetViews>
  <sheetFormatPr defaultColWidth="23" defaultRowHeight="40.5" customHeight="1" x14ac:dyDescent="0.75"/>
  <cols>
    <col min="1" max="1" width="33.1328125" style="44" customWidth="1"/>
    <col min="2" max="2" width="45.90625" style="75" customWidth="1"/>
    <col min="3" max="3" width="72" style="44" bestFit="1" customWidth="1"/>
    <col min="4" max="4" width="26.86328125" style="44" hidden="1" customWidth="1"/>
    <col min="5" max="5" width="21.1328125" style="44" hidden="1" customWidth="1"/>
    <col min="6" max="6" width="21.54296875" style="44" hidden="1" customWidth="1"/>
    <col min="7" max="7" width="17.1328125" style="62" hidden="1" customWidth="1"/>
    <col min="8" max="8" width="54.86328125" style="62" hidden="1" customWidth="1"/>
    <col min="9" max="9" width="23.7265625" style="75" hidden="1" customWidth="1"/>
    <col min="10" max="10" width="63.1328125" style="78" customWidth="1"/>
    <col min="11" max="11" width="54.86328125" style="44" customWidth="1"/>
    <col min="12" max="16384" width="23" style="44"/>
  </cols>
  <sheetData>
    <row r="1" spans="1:11" ht="60" customHeight="1" thickBot="1" x14ac:dyDescent="0.9">
      <c r="B1" s="45" t="s">
        <v>82</v>
      </c>
      <c r="C1" s="46" t="s">
        <v>83</v>
      </c>
      <c r="D1" s="46" t="s">
        <v>84</v>
      </c>
      <c r="E1" s="46" t="s">
        <v>85</v>
      </c>
      <c r="F1" s="46" t="s">
        <v>86</v>
      </c>
      <c r="G1" s="46" t="s">
        <v>87</v>
      </c>
      <c r="H1" s="46" t="s">
        <v>88</v>
      </c>
      <c r="I1" s="46" t="s">
        <v>89</v>
      </c>
      <c r="J1" s="46" t="s">
        <v>90</v>
      </c>
      <c r="K1" s="46" t="s">
        <v>91</v>
      </c>
    </row>
    <row r="2" spans="1:11" ht="40.5" customHeight="1" x14ac:dyDescent="0.75">
      <c r="A2" s="144" t="s">
        <v>92</v>
      </c>
      <c r="B2" s="47"/>
      <c r="C2" s="48" t="s">
        <v>93</v>
      </c>
      <c r="D2" s="49"/>
      <c r="E2" s="49"/>
      <c r="F2" s="49"/>
      <c r="G2" s="49"/>
      <c r="H2" s="49"/>
      <c r="I2" s="49"/>
      <c r="J2" s="50"/>
      <c r="K2" s="49"/>
    </row>
    <row r="3" spans="1:11" ht="40.5" customHeight="1" x14ac:dyDescent="0.75">
      <c r="A3" s="145"/>
      <c r="B3" s="51"/>
      <c r="C3" s="52" t="s">
        <v>10</v>
      </c>
      <c r="D3" s="14" t="s">
        <v>10</v>
      </c>
      <c r="E3" s="14" t="s">
        <v>94</v>
      </c>
      <c r="F3" s="14"/>
      <c r="G3" s="14" t="s">
        <v>95</v>
      </c>
      <c r="H3" s="14"/>
      <c r="I3" s="14" t="s">
        <v>96</v>
      </c>
      <c r="J3" s="14" t="s">
        <v>97</v>
      </c>
      <c r="K3" s="53" t="s">
        <v>96</v>
      </c>
    </row>
    <row r="4" spans="1:11" ht="40.5" customHeight="1" x14ac:dyDescent="0.75">
      <c r="A4" s="145"/>
      <c r="B4" s="51"/>
      <c r="C4" s="54" t="s">
        <v>98</v>
      </c>
      <c r="D4" s="15" t="s">
        <v>99</v>
      </c>
      <c r="E4" s="15" t="s">
        <v>94</v>
      </c>
      <c r="F4" s="15"/>
      <c r="G4" s="14" t="s">
        <v>100</v>
      </c>
      <c r="H4" s="14"/>
      <c r="I4" s="15" t="s">
        <v>101</v>
      </c>
      <c r="J4" s="14" t="s">
        <v>102</v>
      </c>
      <c r="K4" s="53" t="s">
        <v>103</v>
      </c>
    </row>
    <row r="5" spans="1:11" ht="40.5" customHeight="1" x14ac:dyDescent="0.75">
      <c r="A5" s="145"/>
      <c r="B5" s="51"/>
      <c r="C5" s="54" t="s">
        <v>104</v>
      </c>
      <c r="D5" s="15" t="s">
        <v>105</v>
      </c>
      <c r="E5" s="15" t="s">
        <v>94</v>
      </c>
      <c r="F5" s="15"/>
      <c r="G5" s="14" t="s">
        <v>100</v>
      </c>
      <c r="H5" s="14"/>
      <c r="I5" s="15" t="s">
        <v>106</v>
      </c>
      <c r="J5" s="14" t="s">
        <v>107</v>
      </c>
      <c r="K5" s="53" t="s">
        <v>103</v>
      </c>
    </row>
    <row r="6" spans="1:11" ht="40.5" customHeight="1" x14ac:dyDescent="0.75">
      <c r="A6" s="145"/>
      <c r="B6" s="51"/>
      <c r="C6" s="54" t="s">
        <v>108</v>
      </c>
      <c r="D6" s="15" t="s">
        <v>109</v>
      </c>
      <c r="E6" s="15" t="s">
        <v>94</v>
      </c>
      <c r="F6" s="15"/>
      <c r="G6" s="14" t="s">
        <v>100</v>
      </c>
      <c r="H6" s="14"/>
      <c r="I6" s="15" t="s">
        <v>106</v>
      </c>
      <c r="J6" s="14" t="s">
        <v>110</v>
      </c>
      <c r="K6" s="53" t="s">
        <v>103</v>
      </c>
    </row>
    <row r="7" spans="1:11" ht="40.5" customHeight="1" x14ac:dyDescent="0.75">
      <c r="A7" s="145"/>
      <c r="B7" s="51"/>
      <c r="C7" s="54" t="s">
        <v>111</v>
      </c>
      <c r="D7" s="15" t="s">
        <v>112</v>
      </c>
      <c r="E7" s="15" t="s">
        <v>94</v>
      </c>
      <c r="F7" s="15"/>
      <c r="G7" s="14" t="s">
        <v>100</v>
      </c>
      <c r="H7" s="14"/>
      <c r="I7" s="15" t="s">
        <v>101</v>
      </c>
      <c r="J7" s="14" t="s">
        <v>113</v>
      </c>
      <c r="K7" s="53" t="s">
        <v>103</v>
      </c>
    </row>
    <row r="8" spans="1:11" ht="55.5" x14ac:dyDescent="0.75">
      <c r="A8" s="145"/>
      <c r="B8" s="147" t="s">
        <v>114</v>
      </c>
      <c r="C8" s="54" t="s">
        <v>17</v>
      </c>
      <c r="D8" s="15" t="s">
        <v>115</v>
      </c>
      <c r="E8" s="15" t="s">
        <v>116</v>
      </c>
      <c r="F8" s="15"/>
      <c r="G8" s="55" t="s">
        <v>95</v>
      </c>
      <c r="H8" s="14" t="s">
        <v>117</v>
      </c>
      <c r="I8" s="15" t="s">
        <v>101</v>
      </c>
      <c r="J8" s="14" t="s">
        <v>118</v>
      </c>
      <c r="K8" s="53" t="s">
        <v>96</v>
      </c>
    </row>
    <row r="9" spans="1:11" ht="40.5" customHeight="1" x14ac:dyDescent="0.75">
      <c r="A9" s="145"/>
      <c r="B9" s="147"/>
      <c r="C9" s="52" t="s">
        <v>119</v>
      </c>
      <c r="D9" s="14" t="s">
        <v>120</v>
      </c>
      <c r="E9" s="15" t="s">
        <v>94</v>
      </c>
      <c r="F9" s="15"/>
      <c r="G9" s="55" t="s">
        <v>100</v>
      </c>
      <c r="H9" s="14"/>
      <c r="I9" s="14" t="s">
        <v>121</v>
      </c>
      <c r="J9" s="14" t="s">
        <v>122</v>
      </c>
      <c r="K9" s="53" t="s">
        <v>96</v>
      </c>
    </row>
    <row r="10" spans="1:11" ht="40.5" customHeight="1" x14ac:dyDescent="0.75">
      <c r="A10" s="145"/>
      <c r="B10" s="147" t="s">
        <v>123</v>
      </c>
      <c r="C10" s="54" t="s">
        <v>124</v>
      </c>
      <c r="D10" s="15" t="s">
        <v>125</v>
      </c>
      <c r="E10" s="15" t="s">
        <v>3</v>
      </c>
      <c r="F10" s="15"/>
      <c r="G10" s="14" t="s">
        <v>3</v>
      </c>
      <c r="H10" s="14" t="s">
        <v>126</v>
      </c>
      <c r="I10" s="15" t="s">
        <v>101</v>
      </c>
      <c r="J10" s="14" t="s">
        <v>127</v>
      </c>
      <c r="K10" s="53" t="s">
        <v>103</v>
      </c>
    </row>
    <row r="11" spans="1:11" ht="40.5" customHeight="1" x14ac:dyDescent="0.75">
      <c r="A11" s="145"/>
      <c r="B11" s="147"/>
      <c r="C11" s="54" t="s">
        <v>128</v>
      </c>
      <c r="D11" s="15" t="s">
        <v>129</v>
      </c>
      <c r="E11" s="15" t="s">
        <v>95</v>
      </c>
      <c r="F11" s="15" t="s">
        <v>96</v>
      </c>
      <c r="G11" s="14" t="s">
        <v>95</v>
      </c>
      <c r="H11" s="14"/>
      <c r="I11" s="15" t="s">
        <v>96</v>
      </c>
      <c r="J11" s="14" t="s">
        <v>130</v>
      </c>
      <c r="K11" s="53" t="s">
        <v>96</v>
      </c>
    </row>
    <row r="12" spans="1:11" ht="40.5" customHeight="1" x14ac:dyDescent="0.75">
      <c r="A12" s="145"/>
      <c r="B12" s="51"/>
      <c r="C12" s="54" t="s">
        <v>131</v>
      </c>
      <c r="D12" s="15" t="s">
        <v>132</v>
      </c>
      <c r="E12" s="15" t="s">
        <v>94</v>
      </c>
      <c r="F12" s="15"/>
      <c r="G12" s="14" t="s">
        <v>100</v>
      </c>
      <c r="H12" s="14"/>
      <c r="I12" s="15" t="s">
        <v>106</v>
      </c>
      <c r="J12" s="14" t="s">
        <v>133</v>
      </c>
      <c r="K12" s="53" t="s">
        <v>103</v>
      </c>
    </row>
    <row r="13" spans="1:11" ht="40.5" customHeight="1" x14ac:dyDescent="0.75">
      <c r="A13" s="145"/>
      <c r="B13" s="148" t="s">
        <v>134</v>
      </c>
      <c r="C13" s="54" t="s">
        <v>135</v>
      </c>
      <c r="D13" s="15" t="s">
        <v>136</v>
      </c>
      <c r="E13" s="15" t="s">
        <v>116</v>
      </c>
      <c r="F13" s="15"/>
      <c r="G13" s="14" t="s">
        <v>95</v>
      </c>
      <c r="H13" s="14" t="s">
        <v>137</v>
      </c>
      <c r="I13" s="15" t="s">
        <v>101</v>
      </c>
      <c r="J13" s="14" t="s">
        <v>138</v>
      </c>
      <c r="K13" s="53" t="s">
        <v>103</v>
      </c>
    </row>
    <row r="14" spans="1:11" ht="40.5" customHeight="1" x14ac:dyDescent="0.75">
      <c r="A14" s="145"/>
      <c r="B14" s="149"/>
      <c r="C14" s="54" t="s">
        <v>139</v>
      </c>
      <c r="D14" s="15" t="s">
        <v>140</v>
      </c>
      <c r="E14" s="15" t="s">
        <v>94</v>
      </c>
      <c r="F14" s="15"/>
      <c r="G14" s="14" t="s">
        <v>100</v>
      </c>
      <c r="H14" s="14"/>
      <c r="I14" s="15" t="s">
        <v>141</v>
      </c>
      <c r="J14" s="14" t="s">
        <v>142</v>
      </c>
      <c r="K14" s="15" t="s">
        <v>103</v>
      </c>
    </row>
    <row r="15" spans="1:11" ht="40.5" customHeight="1" thickBot="1" x14ac:dyDescent="0.9">
      <c r="A15" s="146"/>
      <c r="B15" s="150"/>
      <c r="C15" s="54" t="s">
        <v>143</v>
      </c>
      <c r="D15" s="15" t="s">
        <v>144</v>
      </c>
      <c r="E15" s="15" t="s">
        <v>94</v>
      </c>
      <c r="F15" s="15"/>
      <c r="G15" s="14" t="s">
        <v>100</v>
      </c>
      <c r="H15" s="14"/>
      <c r="I15" s="15" t="s">
        <v>145</v>
      </c>
      <c r="J15" s="14" t="s">
        <v>146</v>
      </c>
      <c r="K15" s="15" t="s">
        <v>103</v>
      </c>
    </row>
    <row r="16" spans="1:11" ht="40.5" customHeight="1" thickBot="1" x14ac:dyDescent="0.9">
      <c r="B16" s="45" t="s">
        <v>147</v>
      </c>
      <c r="C16" s="56" t="s">
        <v>18</v>
      </c>
      <c r="D16" s="56"/>
      <c r="E16" s="56"/>
      <c r="F16" s="56"/>
      <c r="G16" s="49"/>
      <c r="H16" s="49"/>
      <c r="I16" s="56"/>
      <c r="J16" s="50"/>
      <c r="K16" s="56"/>
    </row>
    <row r="17" spans="1:14" ht="40.5" customHeight="1" x14ac:dyDescent="0.75">
      <c r="A17" s="151" t="s">
        <v>148</v>
      </c>
      <c r="B17" s="47"/>
      <c r="C17" s="52" t="s">
        <v>149</v>
      </c>
      <c r="D17" s="14" t="s">
        <v>150</v>
      </c>
      <c r="E17" s="14" t="s">
        <v>95</v>
      </c>
      <c r="F17" s="14" t="s">
        <v>96</v>
      </c>
      <c r="G17" s="14" t="s">
        <v>95</v>
      </c>
      <c r="H17" s="14"/>
      <c r="I17" s="14" t="s">
        <v>96</v>
      </c>
      <c r="J17" s="14" t="s">
        <v>151</v>
      </c>
      <c r="K17" s="53" t="s">
        <v>96</v>
      </c>
    </row>
    <row r="18" spans="1:14" ht="40.5" customHeight="1" x14ac:dyDescent="0.75">
      <c r="A18" s="152"/>
      <c r="B18" s="51"/>
      <c r="C18" s="54" t="s">
        <v>152</v>
      </c>
      <c r="D18" s="15" t="s">
        <v>153</v>
      </c>
      <c r="E18" s="15" t="s">
        <v>3</v>
      </c>
      <c r="F18" s="15"/>
      <c r="G18" s="14" t="s">
        <v>3</v>
      </c>
      <c r="H18" s="14" t="s">
        <v>126</v>
      </c>
      <c r="I18" s="15" t="s">
        <v>101</v>
      </c>
      <c r="J18" s="14" t="s">
        <v>154</v>
      </c>
      <c r="K18" s="53" t="s">
        <v>96</v>
      </c>
    </row>
    <row r="19" spans="1:14" s="58" customFormat="1" ht="40.5" customHeight="1" x14ac:dyDescent="0.75">
      <c r="A19" s="152"/>
      <c r="B19" s="57"/>
      <c r="C19" s="52" t="s">
        <v>155</v>
      </c>
      <c r="D19" s="14" t="s">
        <v>156</v>
      </c>
      <c r="E19" s="15" t="s">
        <v>116</v>
      </c>
      <c r="F19" s="15" t="s">
        <v>96</v>
      </c>
      <c r="G19" s="14" t="s">
        <v>95</v>
      </c>
      <c r="H19" s="15" t="s">
        <v>157</v>
      </c>
      <c r="I19" s="14" t="s">
        <v>96</v>
      </c>
      <c r="J19" s="14" t="s">
        <v>24</v>
      </c>
      <c r="K19" s="53" t="s">
        <v>158</v>
      </c>
      <c r="L19" s="44"/>
      <c r="M19" s="44"/>
      <c r="N19" s="44"/>
    </row>
    <row r="20" spans="1:14" ht="40.5" customHeight="1" x14ac:dyDescent="0.75">
      <c r="A20" s="152"/>
      <c r="B20" s="51"/>
      <c r="C20" s="54" t="s">
        <v>159</v>
      </c>
      <c r="D20" s="15" t="s">
        <v>160</v>
      </c>
      <c r="E20" s="15" t="s">
        <v>94</v>
      </c>
      <c r="F20" s="15" t="s">
        <v>96</v>
      </c>
      <c r="G20" s="15" t="s">
        <v>100</v>
      </c>
      <c r="H20" s="15"/>
      <c r="I20" s="15" t="s">
        <v>96</v>
      </c>
      <c r="J20" s="14" t="s">
        <v>161</v>
      </c>
      <c r="K20" s="59" t="s">
        <v>96</v>
      </c>
    </row>
    <row r="21" spans="1:14" ht="40.5" customHeight="1" x14ac:dyDescent="0.75">
      <c r="A21" s="152"/>
      <c r="B21" s="51"/>
      <c r="C21" s="54" t="s">
        <v>162</v>
      </c>
      <c r="D21" s="15" t="s">
        <v>163</v>
      </c>
      <c r="E21" s="15" t="s">
        <v>116</v>
      </c>
      <c r="F21" s="15"/>
      <c r="G21" s="14" t="s">
        <v>95</v>
      </c>
      <c r="H21" s="14" t="s">
        <v>164</v>
      </c>
      <c r="I21" s="15" t="s">
        <v>101</v>
      </c>
      <c r="J21" s="14" t="s">
        <v>25</v>
      </c>
      <c r="K21" s="53" t="s">
        <v>96</v>
      </c>
    </row>
    <row r="22" spans="1:14" s="62" customFormat="1" ht="40.5" customHeight="1" x14ac:dyDescent="0.75">
      <c r="A22" s="152"/>
      <c r="B22" s="60"/>
      <c r="C22" s="52" t="s">
        <v>165</v>
      </c>
      <c r="D22" s="14" t="s">
        <v>166</v>
      </c>
      <c r="E22" s="15" t="s">
        <v>94</v>
      </c>
      <c r="F22" s="15"/>
      <c r="G22" s="14" t="s">
        <v>100</v>
      </c>
      <c r="H22" s="14"/>
      <c r="I22" s="14" t="s">
        <v>167</v>
      </c>
      <c r="J22" s="14" t="s">
        <v>168</v>
      </c>
      <c r="K22" s="61" t="s">
        <v>96</v>
      </c>
    </row>
    <row r="23" spans="1:14" ht="40.5" customHeight="1" x14ac:dyDescent="0.75">
      <c r="A23" s="152"/>
      <c r="B23" s="51"/>
      <c r="C23" s="54" t="s">
        <v>26</v>
      </c>
      <c r="D23" s="15" t="s">
        <v>169</v>
      </c>
      <c r="E23" s="15" t="s">
        <v>3</v>
      </c>
      <c r="F23" s="15"/>
      <c r="G23" s="14" t="s">
        <v>3</v>
      </c>
      <c r="H23" s="14" t="s">
        <v>126</v>
      </c>
      <c r="I23" s="15" t="s">
        <v>170</v>
      </c>
      <c r="J23" s="14" t="s">
        <v>171</v>
      </c>
      <c r="K23" s="15" t="s">
        <v>103</v>
      </c>
    </row>
    <row r="24" spans="1:14" ht="40.5" customHeight="1" x14ac:dyDescent="0.75">
      <c r="A24" s="152"/>
      <c r="B24" s="51"/>
      <c r="C24" s="54" t="s">
        <v>27</v>
      </c>
      <c r="D24" s="15" t="s">
        <v>172</v>
      </c>
      <c r="E24" s="15" t="s">
        <v>116</v>
      </c>
      <c r="F24" s="15" t="s">
        <v>96</v>
      </c>
      <c r="G24" s="14" t="s">
        <v>100</v>
      </c>
      <c r="H24" s="14" t="s">
        <v>173</v>
      </c>
      <c r="I24" s="15" t="s">
        <v>96</v>
      </c>
      <c r="J24" s="14" t="s">
        <v>174</v>
      </c>
      <c r="K24" s="53" t="s">
        <v>96</v>
      </c>
    </row>
    <row r="25" spans="1:14" ht="40.5" customHeight="1" x14ac:dyDescent="0.75">
      <c r="A25" s="152"/>
      <c r="B25" s="51"/>
      <c r="C25" s="54" t="s">
        <v>18</v>
      </c>
      <c r="D25" s="15" t="s">
        <v>175</v>
      </c>
      <c r="E25" s="15" t="s">
        <v>116</v>
      </c>
      <c r="F25" s="15"/>
      <c r="G25" s="14" t="s">
        <v>100</v>
      </c>
      <c r="H25" s="14" t="s">
        <v>176</v>
      </c>
      <c r="I25" s="15" t="s">
        <v>101</v>
      </c>
      <c r="J25" s="14" t="s">
        <v>177</v>
      </c>
      <c r="K25" s="53" t="s">
        <v>96</v>
      </c>
    </row>
    <row r="26" spans="1:14" ht="40.5" customHeight="1" x14ac:dyDescent="0.75">
      <c r="A26" s="152"/>
      <c r="B26" s="51"/>
      <c r="C26" s="54" t="s">
        <v>178</v>
      </c>
      <c r="D26" s="15" t="s">
        <v>179</v>
      </c>
      <c r="E26" s="15" t="s">
        <v>116</v>
      </c>
      <c r="F26" s="15" t="s">
        <v>96</v>
      </c>
      <c r="G26" s="14" t="s">
        <v>95</v>
      </c>
      <c r="H26" s="14"/>
      <c r="I26" s="15" t="s">
        <v>96</v>
      </c>
      <c r="J26" s="14" t="s">
        <v>180</v>
      </c>
      <c r="K26" s="53" t="s">
        <v>103</v>
      </c>
    </row>
    <row r="27" spans="1:14" ht="40.5" customHeight="1" x14ac:dyDescent="0.75">
      <c r="A27" s="152"/>
      <c r="B27" s="51"/>
      <c r="C27" s="54" t="s">
        <v>181</v>
      </c>
      <c r="D27" s="15" t="s">
        <v>182</v>
      </c>
      <c r="E27" s="15" t="s">
        <v>94</v>
      </c>
      <c r="F27" s="15"/>
      <c r="G27" s="14" t="s">
        <v>100</v>
      </c>
      <c r="H27" s="14"/>
      <c r="I27" s="15" t="s">
        <v>106</v>
      </c>
      <c r="J27" s="14" t="s">
        <v>183</v>
      </c>
      <c r="K27" s="53" t="s">
        <v>96</v>
      </c>
    </row>
    <row r="28" spans="1:14" ht="40.5" customHeight="1" x14ac:dyDescent="0.75">
      <c r="A28" s="152"/>
      <c r="B28" s="51"/>
      <c r="C28" s="54" t="s">
        <v>184</v>
      </c>
      <c r="D28" s="14" t="s">
        <v>185</v>
      </c>
      <c r="E28" s="15" t="s">
        <v>116</v>
      </c>
      <c r="F28" s="15"/>
      <c r="G28" s="14" t="s">
        <v>100</v>
      </c>
      <c r="H28" s="14" t="s">
        <v>186</v>
      </c>
      <c r="I28" s="15" t="s">
        <v>101</v>
      </c>
      <c r="J28" s="14" t="s">
        <v>187</v>
      </c>
      <c r="K28" s="53" t="s">
        <v>96</v>
      </c>
    </row>
    <row r="29" spans="1:14" ht="40.5" customHeight="1" x14ac:dyDescent="0.75">
      <c r="A29" s="152"/>
      <c r="B29" s="51"/>
      <c r="C29" s="54" t="s">
        <v>188</v>
      </c>
      <c r="D29" s="15" t="s">
        <v>189</v>
      </c>
      <c r="E29" s="15" t="s">
        <v>94</v>
      </c>
      <c r="F29" s="15"/>
      <c r="G29" s="14" t="s">
        <v>100</v>
      </c>
      <c r="H29" s="14"/>
      <c r="I29" s="15" t="s">
        <v>106</v>
      </c>
      <c r="J29" s="14" t="s">
        <v>190</v>
      </c>
      <c r="K29" s="53" t="s">
        <v>96</v>
      </c>
    </row>
    <row r="30" spans="1:14" ht="111" x14ac:dyDescent="0.75">
      <c r="A30" s="152"/>
      <c r="B30" s="51"/>
      <c r="C30" s="54" t="s">
        <v>191</v>
      </c>
      <c r="D30" s="15" t="s">
        <v>192</v>
      </c>
      <c r="E30" s="15" t="s">
        <v>116</v>
      </c>
      <c r="F30" s="15"/>
      <c r="G30" s="14" t="s">
        <v>95</v>
      </c>
      <c r="H30" s="14" t="s">
        <v>193</v>
      </c>
      <c r="I30" s="14" t="s">
        <v>96</v>
      </c>
      <c r="J30" s="14" t="s">
        <v>194</v>
      </c>
      <c r="K30" s="53" t="s">
        <v>96</v>
      </c>
    </row>
    <row r="31" spans="1:14" ht="40.5" customHeight="1" x14ac:dyDescent="0.75">
      <c r="A31" s="152"/>
      <c r="B31" s="51"/>
      <c r="C31" s="54" t="s">
        <v>28</v>
      </c>
      <c r="D31" s="15" t="s">
        <v>195</v>
      </c>
      <c r="E31" s="15" t="s">
        <v>116</v>
      </c>
      <c r="F31" s="15"/>
      <c r="G31" s="14" t="s">
        <v>95</v>
      </c>
      <c r="H31" s="14" t="s">
        <v>196</v>
      </c>
      <c r="I31" s="14" t="s">
        <v>96</v>
      </c>
      <c r="J31" s="14" t="s">
        <v>29</v>
      </c>
      <c r="K31" s="53" t="s">
        <v>96</v>
      </c>
    </row>
    <row r="32" spans="1:14" ht="40.5" customHeight="1" x14ac:dyDescent="0.75">
      <c r="A32" s="152"/>
      <c r="B32" s="51"/>
      <c r="C32" s="54" t="s">
        <v>30</v>
      </c>
      <c r="D32" s="15" t="s">
        <v>197</v>
      </c>
      <c r="E32" s="15" t="s">
        <v>116</v>
      </c>
      <c r="F32" s="15"/>
      <c r="G32" s="14" t="s">
        <v>95</v>
      </c>
      <c r="H32" s="14" t="s">
        <v>198</v>
      </c>
      <c r="I32" s="14" t="s">
        <v>199</v>
      </c>
      <c r="J32" s="14"/>
      <c r="K32" s="53" t="s">
        <v>103</v>
      </c>
    </row>
    <row r="33" spans="1:11" ht="40.5" customHeight="1" x14ac:dyDescent="0.75">
      <c r="A33" s="152"/>
      <c r="B33" s="51"/>
      <c r="C33" s="54" t="s">
        <v>200</v>
      </c>
      <c r="D33" s="15" t="s">
        <v>201</v>
      </c>
      <c r="E33" s="15" t="s">
        <v>116</v>
      </c>
      <c r="F33" s="15"/>
      <c r="G33" s="14" t="s">
        <v>100</v>
      </c>
      <c r="H33" s="14"/>
      <c r="I33" s="15" t="s">
        <v>202</v>
      </c>
      <c r="J33" s="14" t="s">
        <v>203</v>
      </c>
      <c r="K33" s="53" t="s">
        <v>96</v>
      </c>
    </row>
    <row r="34" spans="1:11" ht="40.5" customHeight="1" x14ac:dyDescent="0.75">
      <c r="A34" s="152"/>
      <c r="B34" s="51"/>
      <c r="C34" s="54" t="s">
        <v>31</v>
      </c>
      <c r="D34" s="15" t="s">
        <v>204</v>
      </c>
      <c r="E34" s="15" t="s">
        <v>94</v>
      </c>
      <c r="F34" s="15"/>
      <c r="G34" s="14" t="s">
        <v>100</v>
      </c>
      <c r="H34" s="14"/>
      <c r="I34" s="15" t="s">
        <v>205</v>
      </c>
      <c r="J34" s="14" t="s">
        <v>206</v>
      </c>
      <c r="K34" s="53" t="s">
        <v>96</v>
      </c>
    </row>
    <row r="35" spans="1:11" ht="40.5" customHeight="1" x14ac:dyDescent="0.75">
      <c r="A35" s="152"/>
      <c r="B35" s="51"/>
      <c r="C35" s="54" t="s">
        <v>207</v>
      </c>
      <c r="D35" s="15" t="s">
        <v>208</v>
      </c>
      <c r="E35" s="15" t="s">
        <v>94</v>
      </c>
      <c r="F35" s="15"/>
      <c r="G35" s="14" t="s">
        <v>100</v>
      </c>
      <c r="H35" s="14"/>
      <c r="I35" s="15" t="s">
        <v>106</v>
      </c>
      <c r="J35" s="14" t="s">
        <v>32</v>
      </c>
      <c r="K35" s="53" t="s">
        <v>96</v>
      </c>
    </row>
    <row r="36" spans="1:11" ht="40.5" customHeight="1" x14ac:dyDescent="0.75">
      <c r="A36" s="152"/>
      <c r="B36" s="51"/>
      <c r="C36" s="54" t="s">
        <v>33</v>
      </c>
      <c r="D36" s="15" t="s">
        <v>209</v>
      </c>
      <c r="E36" s="15" t="s">
        <v>94</v>
      </c>
      <c r="F36" s="15"/>
      <c r="G36" s="14" t="s">
        <v>100</v>
      </c>
      <c r="H36" s="14"/>
      <c r="I36" s="15" t="s">
        <v>106</v>
      </c>
      <c r="J36" s="14" t="s">
        <v>210</v>
      </c>
      <c r="K36" s="53" t="s">
        <v>96</v>
      </c>
    </row>
    <row r="37" spans="1:11" ht="40.5" customHeight="1" x14ac:dyDescent="0.75">
      <c r="A37" s="152"/>
      <c r="B37" s="51"/>
      <c r="C37" s="54" t="s">
        <v>211</v>
      </c>
      <c r="D37" s="15" t="s">
        <v>212</v>
      </c>
      <c r="E37" s="15" t="s">
        <v>94</v>
      </c>
      <c r="F37" s="15"/>
      <c r="G37" s="14" t="s">
        <v>100</v>
      </c>
      <c r="H37" s="14"/>
      <c r="I37" s="15" t="s">
        <v>106</v>
      </c>
      <c r="J37" s="14" t="s">
        <v>213</v>
      </c>
      <c r="K37" s="53" t="s">
        <v>96</v>
      </c>
    </row>
    <row r="38" spans="1:11" ht="40.5" customHeight="1" x14ac:dyDescent="0.75">
      <c r="A38" s="152"/>
      <c r="B38" s="51"/>
      <c r="C38" s="54" t="s">
        <v>214</v>
      </c>
      <c r="D38" s="15" t="s">
        <v>215</v>
      </c>
      <c r="E38" s="15" t="s">
        <v>116</v>
      </c>
      <c r="F38" s="15"/>
      <c r="G38" s="14" t="s">
        <v>95</v>
      </c>
      <c r="H38" s="63" t="s">
        <v>216</v>
      </c>
      <c r="I38" s="15" t="s">
        <v>101</v>
      </c>
      <c r="J38" s="14" t="s">
        <v>217</v>
      </c>
      <c r="K38" s="53" t="s">
        <v>96</v>
      </c>
    </row>
    <row r="39" spans="1:11" ht="40.5" customHeight="1" x14ac:dyDescent="0.75">
      <c r="A39" s="152"/>
      <c r="B39" s="51"/>
      <c r="C39" s="54" t="s">
        <v>218</v>
      </c>
      <c r="D39" s="14" t="s">
        <v>219</v>
      </c>
      <c r="E39" s="15" t="s">
        <v>116</v>
      </c>
      <c r="F39" s="15"/>
      <c r="G39" s="14" t="s">
        <v>100</v>
      </c>
      <c r="H39" s="14" t="s">
        <v>220</v>
      </c>
      <c r="I39" s="14" t="s">
        <v>221</v>
      </c>
      <c r="J39" s="14" t="s">
        <v>222</v>
      </c>
      <c r="K39" s="53" t="s">
        <v>96</v>
      </c>
    </row>
    <row r="40" spans="1:11" ht="40.5" customHeight="1" x14ac:dyDescent="0.75">
      <c r="A40" s="152"/>
      <c r="B40" s="51"/>
      <c r="C40" s="54" t="s">
        <v>223</v>
      </c>
      <c r="D40" s="14" t="s">
        <v>224</v>
      </c>
      <c r="E40" s="15" t="s">
        <v>94</v>
      </c>
      <c r="F40" s="15"/>
      <c r="G40" s="14" t="s">
        <v>100</v>
      </c>
      <c r="H40" s="14"/>
      <c r="I40" s="14" t="s">
        <v>225</v>
      </c>
      <c r="J40" s="14" t="s">
        <v>226</v>
      </c>
      <c r="K40" s="53" t="s">
        <v>96</v>
      </c>
    </row>
    <row r="41" spans="1:11" ht="40.5" customHeight="1" x14ac:dyDescent="0.75">
      <c r="A41" s="152"/>
      <c r="B41" s="64" t="s">
        <v>227</v>
      </c>
      <c r="C41" s="54" t="s">
        <v>228</v>
      </c>
      <c r="D41" s="15" t="s">
        <v>229</v>
      </c>
      <c r="E41" s="15" t="s">
        <v>116</v>
      </c>
      <c r="F41" s="15"/>
      <c r="G41" s="14" t="s">
        <v>95</v>
      </c>
      <c r="H41" s="14" t="s">
        <v>216</v>
      </c>
      <c r="I41" s="15" t="s">
        <v>101</v>
      </c>
      <c r="J41" s="14" t="s">
        <v>34</v>
      </c>
      <c r="K41" s="53" t="s">
        <v>96</v>
      </c>
    </row>
    <row r="42" spans="1:11" ht="40.5" customHeight="1" x14ac:dyDescent="0.75">
      <c r="A42" s="152"/>
      <c r="B42" s="64" t="s">
        <v>230</v>
      </c>
      <c r="C42" s="65" t="s">
        <v>231</v>
      </c>
      <c r="D42" s="63" t="s">
        <v>232</v>
      </c>
      <c r="E42" s="14" t="s">
        <v>233</v>
      </c>
      <c r="F42" s="14"/>
      <c r="G42" s="14" t="s">
        <v>100</v>
      </c>
      <c r="H42" s="61"/>
      <c r="I42" s="14" t="s">
        <v>234</v>
      </c>
      <c r="J42" s="63" t="s">
        <v>235</v>
      </c>
      <c r="K42" s="53" t="s">
        <v>96</v>
      </c>
    </row>
    <row r="43" spans="1:11" ht="40.5" customHeight="1" thickBot="1" x14ac:dyDescent="0.9">
      <c r="A43" s="153"/>
      <c r="B43" s="66"/>
      <c r="C43" s="54" t="s">
        <v>236</v>
      </c>
      <c r="D43" s="15" t="s">
        <v>237</v>
      </c>
      <c r="E43" s="14" t="s">
        <v>233</v>
      </c>
      <c r="F43" s="14"/>
      <c r="G43" s="14" t="s">
        <v>100</v>
      </c>
      <c r="H43" s="14" t="s">
        <v>238</v>
      </c>
      <c r="I43" s="15" t="s">
        <v>106</v>
      </c>
      <c r="J43" s="14" t="s">
        <v>35</v>
      </c>
      <c r="K43" s="15" t="s">
        <v>96</v>
      </c>
    </row>
    <row r="44" spans="1:11" ht="130.25" thickBot="1" x14ac:dyDescent="0.9">
      <c r="B44" s="45" t="s">
        <v>239</v>
      </c>
      <c r="C44" s="67" t="s">
        <v>19</v>
      </c>
      <c r="D44" s="68"/>
      <c r="E44" s="68"/>
      <c r="F44" s="68"/>
      <c r="G44" s="69"/>
      <c r="H44" s="69"/>
      <c r="I44" s="70"/>
      <c r="J44" s="50"/>
      <c r="K44" s="68"/>
    </row>
    <row r="45" spans="1:11" ht="40.5" customHeight="1" x14ac:dyDescent="0.75">
      <c r="A45" s="71"/>
      <c r="B45" s="72" t="s">
        <v>240</v>
      </c>
      <c r="C45" s="52" t="s">
        <v>149</v>
      </c>
      <c r="D45" s="14" t="s">
        <v>150</v>
      </c>
      <c r="E45" s="14" t="s">
        <v>95</v>
      </c>
      <c r="F45" s="14" t="s">
        <v>96</v>
      </c>
      <c r="G45" s="14" t="s">
        <v>95</v>
      </c>
      <c r="H45" s="14"/>
      <c r="I45" s="14" t="s">
        <v>96</v>
      </c>
      <c r="J45" s="14" t="s">
        <v>241</v>
      </c>
      <c r="K45" s="61" t="s">
        <v>103</v>
      </c>
    </row>
    <row r="46" spans="1:11" ht="40.5" customHeight="1" x14ac:dyDescent="0.75">
      <c r="A46" s="73"/>
      <c r="B46" s="148" t="s">
        <v>242</v>
      </c>
      <c r="C46" s="54" t="s">
        <v>243</v>
      </c>
      <c r="D46" s="15" t="s">
        <v>244</v>
      </c>
      <c r="E46" s="15" t="s">
        <v>116</v>
      </c>
      <c r="F46" s="15"/>
      <c r="G46" s="14" t="s">
        <v>95</v>
      </c>
      <c r="H46" s="14" t="s">
        <v>245</v>
      </c>
      <c r="I46" s="15" t="s">
        <v>101</v>
      </c>
      <c r="J46" s="14" t="s">
        <v>246</v>
      </c>
      <c r="K46" s="53" t="s">
        <v>96</v>
      </c>
    </row>
    <row r="47" spans="1:11" ht="40.5" customHeight="1" x14ac:dyDescent="0.75">
      <c r="A47" s="73"/>
      <c r="B47" s="149"/>
      <c r="C47" s="54" t="s">
        <v>247</v>
      </c>
      <c r="D47" s="15" t="s">
        <v>248</v>
      </c>
      <c r="E47" s="15" t="s">
        <v>94</v>
      </c>
      <c r="F47" s="15"/>
      <c r="G47" s="14" t="s">
        <v>100</v>
      </c>
      <c r="H47" s="14"/>
      <c r="I47" s="14" t="s">
        <v>249</v>
      </c>
      <c r="J47" s="14" t="s">
        <v>250</v>
      </c>
      <c r="K47" s="53" t="s">
        <v>96</v>
      </c>
    </row>
    <row r="48" spans="1:11" ht="40.5" customHeight="1" x14ac:dyDescent="0.75">
      <c r="A48" s="73"/>
      <c r="B48" s="150"/>
      <c r="C48" s="54" t="s">
        <v>251</v>
      </c>
      <c r="D48" s="15" t="s">
        <v>252</v>
      </c>
      <c r="E48" s="15" t="s">
        <v>94</v>
      </c>
      <c r="F48" s="15"/>
      <c r="G48" s="14" t="s">
        <v>100</v>
      </c>
      <c r="H48" s="14"/>
      <c r="I48" s="14" t="s">
        <v>253</v>
      </c>
      <c r="J48" s="14" t="s">
        <v>254</v>
      </c>
      <c r="K48" s="53" t="s">
        <v>96</v>
      </c>
    </row>
    <row r="49" spans="1:11" ht="40.5" customHeight="1" x14ac:dyDescent="0.75">
      <c r="A49" s="73"/>
      <c r="B49" s="51"/>
      <c r="C49" s="54" t="s">
        <v>255</v>
      </c>
      <c r="D49" s="15" t="s">
        <v>256</v>
      </c>
      <c r="E49" s="15" t="s">
        <v>94</v>
      </c>
      <c r="F49" s="15"/>
      <c r="G49" s="14" t="s">
        <v>100</v>
      </c>
      <c r="H49" s="14"/>
      <c r="I49" s="14" t="s">
        <v>257</v>
      </c>
      <c r="J49" s="14" t="s">
        <v>258</v>
      </c>
      <c r="K49" s="53" t="s">
        <v>96</v>
      </c>
    </row>
    <row r="50" spans="1:11" ht="40.5" customHeight="1" x14ac:dyDescent="0.75">
      <c r="A50" s="73"/>
      <c r="B50" s="64"/>
      <c r="C50" s="54" t="s">
        <v>259</v>
      </c>
      <c r="D50" s="15" t="s">
        <v>260</v>
      </c>
      <c r="E50" s="15" t="s">
        <v>116</v>
      </c>
      <c r="F50" s="15"/>
      <c r="G50" s="14" t="s">
        <v>95</v>
      </c>
      <c r="H50" s="14" t="s">
        <v>196</v>
      </c>
      <c r="I50" s="15" t="s">
        <v>101</v>
      </c>
      <c r="J50" s="14" t="s">
        <v>261</v>
      </c>
      <c r="K50" s="53" t="s">
        <v>96</v>
      </c>
    </row>
    <row r="51" spans="1:11" ht="40.5" customHeight="1" x14ac:dyDescent="0.75">
      <c r="A51" s="73"/>
      <c r="B51" s="64"/>
      <c r="C51" s="54" t="s">
        <v>262</v>
      </c>
      <c r="D51" s="15" t="s">
        <v>263</v>
      </c>
      <c r="E51" s="15" t="s">
        <v>116</v>
      </c>
      <c r="F51" s="15"/>
      <c r="G51" s="14" t="s">
        <v>95</v>
      </c>
      <c r="H51" s="14" t="s">
        <v>216</v>
      </c>
      <c r="I51" s="15" t="s">
        <v>101</v>
      </c>
      <c r="J51" s="14" t="s">
        <v>264</v>
      </c>
      <c r="K51" s="53" t="s">
        <v>96</v>
      </c>
    </row>
    <row r="52" spans="1:11" ht="40.5" customHeight="1" x14ac:dyDescent="0.75">
      <c r="A52" s="73"/>
      <c r="B52" s="64"/>
      <c r="C52" s="54" t="s">
        <v>265</v>
      </c>
      <c r="D52" s="15" t="s">
        <v>266</v>
      </c>
      <c r="E52" s="15" t="s">
        <v>116</v>
      </c>
      <c r="F52" s="15"/>
      <c r="G52" s="14" t="s">
        <v>95</v>
      </c>
      <c r="H52" s="14" t="s">
        <v>196</v>
      </c>
      <c r="I52" s="15" t="s">
        <v>101</v>
      </c>
      <c r="J52" s="14" t="s">
        <v>267</v>
      </c>
      <c r="K52" s="53" t="s">
        <v>96</v>
      </c>
    </row>
    <row r="53" spans="1:11" ht="40.5" customHeight="1" x14ac:dyDescent="0.75">
      <c r="A53" s="73"/>
      <c r="B53" s="64"/>
      <c r="C53" s="54" t="s">
        <v>268</v>
      </c>
      <c r="D53" s="15" t="s">
        <v>269</v>
      </c>
      <c r="E53" s="15" t="s">
        <v>116</v>
      </c>
      <c r="F53" s="15"/>
      <c r="G53" s="14" t="s">
        <v>95</v>
      </c>
      <c r="H53" s="14" t="s">
        <v>270</v>
      </c>
      <c r="I53" s="15" t="s">
        <v>101</v>
      </c>
      <c r="J53" s="14" t="s">
        <v>271</v>
      </c>
      <c r="K53" s="53" t="s">
        <v>96</v>
      </c>
    </row>
    <row r="54" spans="1:11" ht="55.5" x14ac:dyDescent="0.75">
      <c r="A54" s="73"/>
      <c r="B54" s="64"/>
      <c r="C54" s="54" t="s">
        <v>272</v>
      </c>
      <c r="D54" s="15" t="s">
        <v>273</v>
      </c>
      <c r="E54" s="15" t="s">
        <v>116</v>
      </c>
      <c r="F54" s="15"/>
      <c r="G54" s="14" t="s">
        <v>95</v>
      </c>
      <c r="H54" s="14" t="s">
        <v>270</v>
      </c>
      <c r="I54" s="15" t="s">
        <v>101</v>
      </c>
      <c r="J54" s="14" t="s">
        <v>274</v>
      </c>
      <c r="K54" s="53" t="s">
        <v>96</v>
      </c>
    </row>
    <row r="55" spans="1:11" ht="40.5" customHeight="1" x14ac:dyDescent="0.75">
      <c r="A55" s="73"/>
      <c r="B55" s="51"/>
      <c r="C55" s="54" t="s">
        <v>275</v>
      </c>
      <c r="D55" s="15" t="s">
        <v>276</v>
      </c>
      <c r="E55" s="15" t="s">
        <v>3</v>
      </c>
      <c r="F55" s="15"/>
      <c r="G55" s="14" t="s">
        <v>3</v>
      </c>
      <c r="H55" s="14" t="s">
        <v>126</v>
      </c>
      <c r="I55" s="15" t="s">
        <v>101</v>
      </c>
      <c r="J55" s="14" t="s">
        <v>277</v>
      </c>
      <c r="K55" s="53" t="s">
        <v>96</v>
      </c>
    </row>
    <row r="56" spans="1:11" ht="40.5" customHeight="1" x14ac:dyDescent="0.75">
      <c r="A56" s="73"/>
      <c r="B56" s="51"/>
      <c r="C56" s="52" t="s">
        <v>278</v>
      </c>
      <c r="D56" s="14" t="s">
        <v>279</v>
      </c>
      <c r="E56" s="15" t="s">
        <v>116</v>
      </c>
      <c r="F56" s="15"/>
      <c r="G56" s="14" t="s">
        <v>95</v>
      </c>
      <c r="H56" s="14" t="s">
        <v>280</v>
      </c>
      <c r="I56" s="14" t="s">
        <v>96</v>
      </c>
      <c r="J56" s="14" t="s">
        <v>281</v>
      </c>
      <c r="K56" s="53" t="s">
        <v>96</v>
      </c>
    </row>
    <row r="57" spans="1:11" ht="40.5" customHeight="1" x14ac:dyDescent="0.75">
      <c r="A57" s="73"/>
      <c r="B57" s="51"/>
      <c r="C57" s="52" t="s">
        <v>282</v>
      </c>
      <c r="D57" s="14" t="s">
        <v>283</v>
      </c>
      <c r="E57" s="15" t="s">
        <v>94</v>
      </c>
      <c r="F57" s="15"/>
      <c r="G57" s="14" t="s">
        <v>100</v>
      </c>
      <c r="H57" s="14"/>
      <c r="I57" s="14" t="s">
        <v>284</v>
      </c>
      <c r="J57" s="14" t="s">
        <v>285</v>
      </c>
      <c r="K57" s="53" t="s">
        <v>96</v>
      </c>
    </row>
    <row r="58" spans="1:11" ht="54.25" customHeight="1" thickBot="1" x14ac:dyDescent="0.9">
      <c r="A58" s="74"/>
      <c r="B58" s="66"/>
      <c r="C58" s="52" t="s">
        <v>286</v>
      </c>
      <c r="D58" s="14" t="s">
        <v>287</v>
      </c>
      <c r="E58" s="15" t="s">
        <v>116</v>
      </c>
      <c r="F58" s="15"/>
      <c r="G58" s="14" t="s">
        <v>95</v>
      </c>
      <c r="H58" s="14" t="s">
        <v>280</v>
      </c>
      <c r="I58" s="14" t="s">
        <v>96</v>
      </c>
      <c r="J58" s="14" t="s">
        <v>288</v>
      </c>
      <c r="K58" s="61" t="s">
        <v>96</v>
      </c>
    </row>
    <row r="59" spans="1:11" ht="40.5" customHeight="1" thickBot="1" x14ac:dyDescent="0.9">
      <c r="B59" s="75" t="s">
        <v>289</v>
      </c>
      <c r="C59" s="67" t="s">
        <v>259</v>
      </c>
      <c r="D59" s="68"/>
      <c r="E59" s="68"/>
      <c r="F59" s="68"/>
      <c r="G59" s="69"/>
      <c r="H59" s="69"/>
      <c r="I59" s="70"/>
      <c r="J59" s="50"/>
      <c r="K59" s="68"/>
    </row>
    <row r="60" spans="1:11" ht="40.5" customHeight="1" x14ac:dyDescent="0.75">
      <c r="A60" s="71"/>
      <c r="B60" s="72" t="s">
        <v>240</v>
      </c>
      <c r="C60" s="52" t="s">
        <v>149</v>
      </c>
      <c r="D60" s="14" t="s">
        <v>150</v>
      </c>
      <c r="E60" s="14" t="s">
        <v>95</v>
      </c>
      <c r="F60" s="14" t="s">
        <v>96</v>
      </c>
      <c r="G60" s="14" t="s">
        <v>95</v>
      </c>
      <c r="H60" s="14"/>
      <c r="I60" s="14" t="s">
        <v>96</v>
      </c>
      <c r="J60" s="14" t="s">
        <v>290</v>
      </c>
      <c r="K60" s="61" t="s">
        <v>103</v>
      </c>
    </row>
    <row r="61" spans="1:11" ht="40.5" customHeight="1" x14ac:dyDescent="0.75">
      <c r="A61" s="73"/>
      <c r="B61" s="51"/>
      <c r="C61" s="52" t="s">
        <v>291</v>
      </c>
      <c r="D61" s="14" t="s">
        <v>292</v>
      </c>
      <c r="E61" s="14" t="s">
        <v>95</v>
      </c>
      <c r="F61" s="14" t="s">
        <v>96</v>
      </c>
      <c r="G61" s="14" t="s">
        <v>95</v>
      </c>
      <c r="H61" s="14"/>
      <c r="I61" s="14" t="s">
        <v>96</v>
      </c>
      <c r="J61" s="14"/>
      <c r="K61" s="61" t="s">
        <v>103</v>
      </c>
    </row>
    <row r="62" spans="1:11" ht="40.5" customHeight="1" x14ac:dyDescent="0.75">
      <c r="A62" s="73"/>
      <c r="B62" s="51"/>
      <c r="C62" s="54" t="s">
        <v>293</v>
      </c>
      <c r="D62" s="15" t="s">
        <v>163</v>
      </c>
      <c r="E62" s="15" t="s">
        <v>116</v>
      </c>
      <c r="F62" s="15"/>
      <c r="G62" s="14" t="s">
        <v>95</v>
      </c>
      <c r="H62" s="14" t="s">
        <v>294</v>
      </c>
      <c r="I62" s="15" t="s">
        <v>101</v>
      </c>
      <c r="J62" s="14" t="s">
        <v>36</v>
      </c>
      <c r="K62" s="53" t="s">
        <v>96</v>
      </c>
    </row>
    <row r="63" spans="1:11" ht="40.5" customHeight="1" x14ac:dyDescent="0.75">
      <c r="A63" s="73"/>
      <c r="B63" s="51"/>
      <c r="C63" s="54" t="s">
        <v>165</v>
      </c>
      <c r="D63" s="15" t="s">
        <v>166</v>
      </c>
      <c r="E63" s="15" t="s">
        <v>94</v>
      </c>
      <c r="F63" s="15"/>
      <c r="G63" s="14" t="s">
        <v>100</v>
      </c>
      <c r="H63" s="14"/>
      <c r="I63" s="14" t="s">
        <v>295</v>
      </c>
      <c r="J63" s="14" t="s">
        <v>296</v>
      </c>
      <c r="K63" s="53" t="s">
        <v>96</v>
      </c>
    </row>
    <row r="64" spans="1:11" ht="40.5" customHeight="1" x14ac:dyDescent="0.75">
      <c r="A64" s="73"/>
      <c r="B64" s="51"/>
      <c r="C64" s="54" t="s">
        <v>297</v>
      </c>
      <c r="D64" s="15" t="s">
        <v>298</v>
      </c>
      <c r="E64" s="15" t="s">
        <v>3</v>
      </c>
      <c r="F64" s="15"/>
      <c r="G64" s="14" t="s">
        <v>3</v>
      </c>
      <c r="H64" s="14" t="s">
        <v>126</v>
      </c>
      <c r="I64" s="15" t="s">
        <v>101</v>
      </c>
      <c r="J64" s="14" t="s">
        <v>37</v>
      </c>
      <c r="K64" s="53" t="s">
        <v>96</v>
      </c>
    </row>
    <row r="65" spans="1:11" ht="40.5" customHeight="1" x14ac:dyDescent="0.75">
      <c r="A65" s="73"/>
      <c r="B65" s="51"/>
      <c r="C65" s="54" t="s">
        <v>299</v>
      </c>
      <c r="D65" s="15" t="s">
        <v>300</v>
      </c>
      <c r="E65" s="15" t="s">
        <v>3</v>
      </c>
      <c r="F65" s="15"/>
      <c r="G65" s="14" t="s">
        <v>3</v>
      </c>
      <c r="H65" s="14" t="s">
        <v>126</v>
      </c>
      <c r="I65" s="15" t="s">
        <v>101</v>
      </c>
      <c r="J65" s="14" t="s">
        <v>38</v>
      </c>
      <c r="K65" s="53" t="s">
        <v>96</v>
      </c>
    </row>
    <row r="66" spans="1:11" ht="40.5" customHeight="1" x14ac:dyDescent="0.75">
      <c r="A66" s="73"/>
      <c r="B66" s="51"/>
      <c r="C66" s="54" t="s">
        <v>301</v>
      </c>
      <c r="D66" s="15" t="s">
        <v>302</v>
      </c>
      <c r="E66" s="15" t="s">
        <v>116</v>
      </c>
      <c r="F66" s="15"/>
      <c r="G66" s="14" t="s">
        <v>100</v>
      </c>
      <c r="H66" s="14"/>
      <c r="I66" s="15" t="s">
        <v>101</v>
      </c>
      <c r="J66" s="14" t="s">
        <v>303</v>
      </c>
      <c r="K66" s="53" t="s">
        <v>96</v>
      </c>
    </row>
    <row r="67" spans="1:11" ht="40.5" customHeight="1" x14ac:dyDescent="0.75">
      <c r="A67" s="73"/>
      <c r="B67" s="51"/>
      <c r="C67" s="54" t="s">
        <v>304</v>
      </c>
      <c r="D67" s="15" t="s">
        <v>305</v>
      </c>
      <c r="E67" s="15" t="s">
        <v>94</v>
      </c>
      <c r="F67" s="15"/>
      <c r="G67" s="14" t="s">
        <v>100</v>
      </c>
      <c r="H67" s="14"/>
      <c r="I67" s="15" t="s">
        <v>101</v>
      </c>
      <c r="J67" s="14" t="s">
        <v>306</v>
      </c>
      <c r="K67" s="53" t="s">
        <v>96</v>
      </c>
    </row>
    <row r="68" spans="1:11" ht="40.5" customHeight="1" x14ac:dyDescent="0.75">
      <c r="A68" s="73"/>
      <c r="B68" s="51"/>
      <c r="C68" s="54" t="s">
        <v>307</v>
      </c>
      <c r="D68" s="15" t="s">
        <v>308</v>
      </c>
      <c r="E68" s="15" t="s">
        <v>116</v>
      </c>
      <c r="F68" s="15"/>
      <c r="G68" s="14" t="s">
        <v>95</v>
      </c>
      <c r="H68" s="14" t="s">
        <v>309</v>
      </c>
      <c r="I68" s="76" t="s">
        <v>101</v>
      </c>
      <c r="J68" s="14" t="s">
        <v>310</v>
      </c>
      <c r="K68" s="53" t="s">
        <v>96</v>
      </c>
    </row>
    <row r="69" spans="1:11" ht="40.5" customHeight="1" x14ac:dyDescent="0.75">
      <c r="A69" s="73"/>
      <c r="B69" s="51"/>
      <c r="C69" s="54" t="s">
        <v>311</v>
      </c>
      <c r="D69" s="15" t="s">
        <v>312</v>
      </c>
      <c r="E69" s="15" t="s">
        <v>116</v>
      </c>
      <c r="F69" s="15"/>
      <c r="G69" s="14" t="s">
        <v>95</v>
      </c>
      <c r="H69" s="14" t="s">
        <v>313</v>
      </c>
      <c r="I69" s="15" t="s">
        <v>101</v>
      </c>
      <c r="J69" s="14" t="s">
        <v>314</v>
      </c>
      <c r="K69" s="53" t="s">
        <v>96</v>
      </c>
    </row>
    <row r="70" spans="1:11" ht="40.5" customHeight="1" x14ac:dyDescent="0.75">
      <c r="A70" s="73"/>
      <c r="B70" s="64"/>
      <c r="C70" s="52" t="s">
        <v>39</v>
      </c>
      <c r="D70" s="14" t="s">
        <v>315</v>
      </c>
      <c r="E70" s="15" t="s">
        <v>116</v>
      </c>
      <c r="F70" s="15"/>
      <c r="G70" s="14" t="s">
        <v>95</v>
      </c>
      <c r="H70" s="14" t="s">
        <v>196</v>
      </c>
      <c r="I70" s="14" t="s">
        <v>96</v>
      </c>
      <c r="J70" s="14" t="s">
        <v>316</v>
      </c>
      <c r="K70" s="61" t="s">
        <v>96</v>
      </c>
    </row>
    <row r="71" spans="1:11" s="62" customFormat="1" ht="40.5" customHeight="1" x14ac:dyDescent="0.75">
      <c r="A71" s="77"/>
      <c r="B71" s="60"/>
      <c r="C71" s="52" t="s">
        <v>40</v>
      </c>
      <c r="D71" s="14" t="s">
        <v>317</v>
      </c>
      <c r="E71" s="14" t="s">
        <v>318</v>
      </c>
      <c r="F71" s="14"/>
      <c r="G71" s="14" t="s">
        <v>95</v>
      </c>
      <c r="H71" s="15" t="s">
        <v>319</v>
      </c>
      <c r="I71" s="14" t="s">
        <v>103</v>
      </c>
      <c r="J71" s="14" t="s">
        <v>41</v>
      </c>
      <c r="K71" s="61" t="s">
        <v>103</v>
      </c>
    </row>
    <row r="72" spans="1:11" s="62" customFormat="1" ht="40.5" customHeight="1" x14ac:dyDescent="0.75">
      <c r="A72" s="77"/>
      <c r="B72" s="60"/>
      <c r="C72" s="52" t="s">
        <v>42</v>
      </c>
      <c r="D72" s="14" t="s">
        <v>320</v>
      </c>
      <c r="E72" s="15" t="s">
        <v>94</v>
      </c>
      <c r="F72" s="15"/>
      <c r="G72" s="14" t="s">
        <v>100</v>
      </c>
      <c r="H72" s="14"/>
      <c r="I72" s="15" t="s">
        <v>321</v>
      </c>
      <c r="J72" s="14" t="s">
        <v>43</v>
      </c>
      <c r="K72" s="61" t="s">
        <v>103</v>
      </c>
    </row>
    <row r="73" spans="1:11" ht="40.5" customHeight="1" x14ac:dyDescent="0.75">
      <c r="A73" s="73"/>
      <c r="B73" s="51"/>
      <c r="C73" s="54" t="s">
        <v>322</v>
      </c>
      <c r="D73" s="15" t="s">
        <v>323</v>
      </c>
      <c r="E73" s="15" t="s">
        <v>116</v>
      </c>
      <c r="F73" s="15"/>
      <c r="G73" s="14" t="s">
        <v>95</v>
      </c>
      <c r="H73" s="14" t="s">
        <v>216</v>
      </c>
      <c r="I73" s="15" t="s">
        <v>101</v>
      </c>
      <c r="J73" s="14" t="s">
        <v>324</v>
      </c>
      <c r="K73" s="53" t="s">
        <v>96</v>
      </c>
    </row>
    <row r="74" spans="1:11" ht="40.5" customHeight="1" x14ac:dyDescent="0.75">
      <c r="A74" s="73"/>
      <c r="B74" s="51"/>
      <c r="C74" s="54" t="s">
        <v>325</v>
      </c>
      <c r="D74" s="15" t="s">
        <v>326</v>
      </c>
      <c r="E74" s="15" t="s">
        <v>94</v>
      </c>
      <c r="F74" s="15"/>
      <c r="G74" s="14" t="s">
        <v>100</v>
      </c>
      <c r="H74" s="14"/>
      <c r="I74" s="14" t="s">
        <v>327</v>
      </c>
      <c r="J74" s="14" t="s">
        <v>44</v>
      </c>
      <c r="K74" s="15" t="s">
        <v>328</v>
      </c>
    </row>
    <row r="75" spans="1:11" ht="40.5" customHeight="1" x14ac:dyDescent="0.75">
      <c r="A75" s="73"/>
      <c r="B75" s="51"/>
      <c r="C75" s="52" t="s">
        <v>329</v>
      </c>
      <c r="D75" s="14" t="s">
        <v>330</v>
      </c>
      <c r="E75" s="15" t="s">
        <v>94</v>
      </c>
      <c r="F75" s="15"/>
      <c r="G75" s="14" t="s">
        <v>100</v>
      </c>
      <c r="H75" s="14"/>
      <c r="I75" s="14" t="s">
        <v>327</v>
      </c>
      <c r="J75" s="14" t="s">
        <v>45</v>
      </c>
      <c r="K75" s="53" t="s">
        <v>96</v>
      </c>
    </row>
    <row r="76" spans="1:11" ht="40.5" customHeight="1" x14ac:dyDescent="0.75">
      <c r="A76" s="73"/>
      <c r="B76" s="51"/>
      <c r="C76" s="54" t="s">
        <v>331</v>
      </c>
      <c r="D76" s="15" t="s">
        <v>332</v>
      </c>
      <c r="E76" s="15" t="s">
        <v>116</v>
      </c>
      <c r="F76" s="15"/>
      <c r="G76" s="14" t="s">
        <v>95</v>
      </c>
      <c r="H76" s="14" t="s">
        <v>333</v>
      </c>
      <c r="I76" s="15" t="s">
        <v>101</v>
      </c>
      <c r="J76" s="14" t="s">
        <v>46</v>
      </c>
      <c r="K76" s="53" t="s">
        <v>96</v>
      </c>
    </row>
    <row r="77" spans="1:11" ht="40.5" customHeight="1" thickBot="1" x14ac:dyDescent="0.9">
      <c r="A77" s="74"/>
      <c r="B77" s="66"/>
      <c r="C77" s="54" t="s">
        <v>47</v>
      </c>
      <c r="D77" s="15" t="s">
        <v>334</v>
      </c>
      <c r="E77" s="14" t="s">
        <v>233</v>
      </c>
      <c r="F77" s="14"/>
      <c r="G77" s="14" t="s">
        <v>100</v>
      </c>
      <c r="H77" s="14"/>
      <c r="I77" s="14" t="s">
        <v>335</v>
      </c>
      <c r="J77" s="14" t="s">
        <v>48</v>
      </c>
      <c r="K77" s="53" t="s">
        <v>96</v>
      </c>
    </row>
    <row r="78" spans="1:11" ht="40.5" customHeight="1" x14ac:dyDescent="0.75">
      <c r="B78" s="45" t="s">
        <v>336</v>
      </c>
      <c r="C78" s="67" t="s">
        <v>263</v>
      </c>
      <c r="D78" s="68"/>
      <c r="E78" s="68"/>
      <c r="F78" s="68"/>
      <c r="G78" s="69"/>
      <c r="H78" s="69"/>
      <c r="I78" s="70"/>
      <c r="J78" s="50"/>
      <c r="K78" s="68"/>
    </row>
    <row r="79" spans="1:11" ht="40.5" customHeight="1" x14ac:dyDescent="0.75">
      <c r="B79" s="45" t="s">
        <v>337</v>
      </c>
      <c r="C79" s="14" t="s">
        <v>149</v>
      </c>
      <c r="D79" s="14" t="s">
        <v>150</v>
      </c>
      <c r="E79" s="14" t="s">
        <v>95</v>
      </c>
      <c r="F79" s="14" t="s">
        <v>96</v>
      </c>
      <c r="G79" s="14" t="s">
        <v>95</v>
      </c>
      <c r="H79" s="14"/>
      <c r="I79" s="14" t="s">
        <v>96</v>
      </c>
      <c r="J79" s="14" t="s">
        <v>338</v>
      </c>
      <c r="K79" s="61" t="s">
        <v>103</v>
      </c>
    </row>
    <row r="80" spans="1:11" ht="40.5" customHeight="1" x14ac:dyDescent="0.75">
      <c r="C80" s="14" t="s">
        <v>291</v>
      </c>
      <c r="D80" s="14" t="s">
        <v>292</v>
      </c>
      <c r="E80" s="14" t="s">
        <v>95</v>
      </c>
      <c r="F80" s="14" t="s">
        <v>96</v>
      </c>
      <c r="G80" s="14" t="s">
        <v>95</v>
      </c>
      <c r="H80" s="14"/>
      <c r="I80" s="14" t="s">
        <v>96</v>
      </c>
      <c r="J80" s="14"/>
      <c r="K80" s="61" t="s">
        <v>103</v>
      </c>
    </row>
    <row r="81" spans="2:11" ht="40.5" customHeight="1" x14ac:dyDescent="0.75">
      <c r="C81" s="14" t="s">
        <v>339</v>
      </c>
      <c r="D81" s="14" t="s">
        <v>340</v>
      </c>
      <c r="E81" s="14" t="s">
        <v>95</v>
      </c>
      <c r="F81" s="14" t="s">
        <v>96</v>
      </c>
      <c r="G81" s="14" t="s">
        <v>95</v>
      </c>
      <c r="H81" s="14"/>
      <c r="I81" s="14" t="s">
        <v>96</v>
      </c>
      <c r="J81" s="14" t="s">
        <v>341</v>
      </c>
      <c r="K81" s="61" t="s">
        <v>103</v>
      </c>
    </row>
    <row r="82" spans="2:11" ht="40.5" customHeight="1" x14ac:dyDescent="0.75">
      <c r="C82" s="15" t="s">
        <v>293</v>
      </c>
      <c r="D82" s="15" t="s">
        <v>163</v>
      </c>
      <c r="E82" s="15" t="s">
        <v>116</v>
      </c>
      <c r="F82" s="15"/>
      <c r="G82" s="14" t="s">
        <v>95</v>
      </c>
      <c r="H82" s="14" t="s">
        <v>342</v>
      </c>
      <c r="I82" s="15" t="s">
        <v>101</v>
      </c>
      <c r="J82" s="14" t="s">
        <v>343</v>
      </c>
      <c r="K82" s="53" t="s">
        <v>96</v>
      </c>
    </row>
    <row r="83" spans="2:11" ht="40.5" customHeight="1" x14ac:dyDescent="0.75">
      <c r="C83" s="15" t="s">
        <v>165</v>
      </c>
      <c r="D83" s="15" t="s">
        <v>166</v>
      </c>
      <c r="E83" s="15" t="s">
        <v>94</v>
      </c>
      <c r="F83" s="15"/>
      <c r="G83" s="14" t="s">
        <v>100</v>
      </c>
      <c r="H83" s="14"/>
      <c r="I83" s="14" t="s">
        <v>344</v>
      </c>
      <c r="J83" s="14" t="s">
        <v>296</v>
      </c>
      <c r="K83" s="53" t="s">
        <v>96</v>
      </c>
    </row>
    <row r="84" spans="2:11" ht="40.5" customHeight="1" x14ac:dyDescent="0.75">
      <c r="C84" s="15" t="s">
        <v>345</v>
      </c>
      <c r="D84" s="15" t="s">
        <v>346</v>
      </c>
      <c r="E84" s="15" t="s">
        <v>3</v>
      </c>
      <c r="F84" s="15"/>
      <c r="G84" s="14" t="s">
        <v>3</v>
      </c>
      <c r="H84" s="14" t="s">
        <v>126</v>
      </c>
      <c r="I84" s="15" t="s">
        <v>101</v>
      </c>
      <c r="J84" s="14" t="s">
        <v>347</v>
      </c>
      <c r="K84" s="53" t="s">
        <v>96</v>
      </c>
    </row>
    <row r="85" spans="2:11" s="62" customFormat="1" ht="40.5" customHeight="1" x14ac:dyDescent="0.75">
      <c r="B85" s="78"/>
      <c r="C85" s="14" t="s">
        <v>348</v>
      </c>
      <c r="D85" s="14" t="s">
        <v>349</v>
      </c>
      <c r="E85" s="15" t="s">
        <v>116</v>
      </c>
      <c r="F85" s="15"/>
      <c r="G85" s="14" t="s">
        <v>95</v>
      </c>
      <c r="H85" s="14" t="s">
        <v>350</v>
      </c>
      <c r="I85" s="15" t="s">
        <v>101</v>
      </c>
      <c r="J85" s="14" t="s">
        <v>351</v>
      </c>
      <c r="K85" s="61" t="s">
        <v>96</v>
      </c>
    </row>
    <row r="86" spans="2:11" ht="40.5" customHeight="1" x14ac:dyDescent="0.75">
      <c r="C86" s="16" t="s">
        <v>352</v>
      </c>
      <c r="D86" s="16" t="s">
        <v>353</v>
      </c>
      <c r="E86" s="14" t="s">
        <v>116</v>
      </c>
      <c r="F86" s="14"/>
      <c r="G86" s="14" t="s">
        <v>95</v>
      </c>
      <c r="H86" s="14" t="s">
        <v>354</v>
      </c>
      <c r="I86" s="16" t="s">
        <v>355</v>
      </c>
      <c r="J86" s="16" t="s">
        <v>356</v>
      </c>
      <c r="K86" s="79" t="s">
        <v>96</v>
      </c>
    </row>
    <row r="87" spans="2:11" ht="40.5" customHeight="1" x14ac:dyDescent="0.75">
      <c r="C87" s="16" t="s">
        <v>357</v>
      </c>
      <c r="D87" s="16" t="s">
        <v>358</v>
      </c>
      <c r="E87" s="14" t="s">
        <v>116</v>
      </c>
      <c r="F87" s="14"/>
      <c r="G87" s="14" t="s">
        <v>95</v>
      </c>
      <c r="H87" s="14" t="s">
        <v>359</v>
      </c>
      <c r="I87" s="16" t="s">
        <v>360</v>
      </c>
      <c r="J87" s="16" t="s">
        <v>361</v>
      </c>
      <c r="K87" s="79" t="s">
        <v>96</v>
      </c>
    </row>
    <row r="88" spans="2:11" ht="40.5" customHeight="1" x14ac:dyDescent="0.75">
      <c r="C88" s="14" t="s">
        <v>362</v>
      </c>
      <c r="D88" s="14" t="s">
        <v>363</v>
      </c>
      <c r="E88" s="15" t="s">
        <v>116</v>
      </c>
      <c r="F88" s="15"/>
      <c r="G88" s="14" t="s">
        <v>95</v>
      </c>
      <c r="H88" s="14" t="s">
        <v>364</v>
      </c>
      <c r="I88" s="14" t="s">
        <v>365</v>
      </c>
      <c r="J88" s="14" t="s">
        <v>366</v>
      </c>
      <c r="K88" s="53" t="s">
        <v>96</v>
      </c>
    </row>
    <row r="89" spans="2:11" ht="40.5" customHeight="1" x14ac:dyDescent="0.75">
      <c r="C89" s="15" t="s">
        <v>367</v>
      </c>
      <c r="D89" s="15" t="s">
        <v>368</v>
      </c>
      <c r="E89" s="15" t="s">
        <v>94</v>
      </c>
      <c r="F89" s="15"/>
      <c r="G89" s="14" t="s">
        <v>100</v>
      </c>
      <c r="H89" s="14"/>
      <c r="I89" s="15" t="s">
        <v>101</v>
      </c>
      <c r="J89" s="14" t="s">
        <v>369</v>
      </c>
      <c r="K89" s="53" t="s">
        <v>96</v>
      </c>
    </row>
    <row r="90" spans="2:11" ht="40.5" customHeight="1" x14ac:dyDescent="0.75">
      <c r="C90" s="76" t="s">
        <v>370</v>
      </c>
      <c r="D90" s="76" t="s">
        <v>371</v>
      </c>
      <c r="E90" s="15" t="s">
        <v>116</v>
      </c>
      <c r="F90" s="15"/>
      <c r="G90" s="14" t="s">
        <v>95</v>
      </c>
      <c r="H90" s="14" t="s">
        <v>372</v>
      </c>
      <c r="I90" s="16" t="s">
        <v>373</v>
      </c>
      <c r="J90" s="16" t="s">
        <v>374</v>
      </c>
      <c r="K90" s="59" t="s">
        <v>96</v>
      </c>
    </row>
    <row r="91" spans="2:11" ht="40.5" customHeight="1" x14ac:dyDescent="0.75">
      <c r="C91" s="15" t="s">
        <v>375</v>
      </c>
      <c r="D91" s="15" t="s">
        <v>376</v>
      </c>
      <c r="E91" s="15" t="s">
        <v>116</v>
      </c>
      <c r="F91" s="15"/>
      <c r="G91" s="14" t="s">
        <v>95</v>
      </c>
      <c r="H91" s="14" t="s">
        <v>270</v>
      </c>
      <c r="I91" s="14" t="s">
        <v>373</v>
      </c>
      <c r="J91" s="14" t="s">
        <v>377</v>
      </c>
      <c r="K91" s="53" t="s">
        <v>96</v>
      </c>
    </row>
    <row r="92" spans="2:11" ht="40.5" customHeight="1" x14ac:dyDescent="0.75">
      <c r="C92" s="15" t="s">
        <v>378</v>
      </c>
      <c r="D92" s="15" t="s">
        <v>379</v>
      </c>
      <c r="E92" s="15" t="s">
        <v>116</v>
      </c>
      <c r="F92" s="15"/>
      <c r="G92" s="14" t="s">
        <v>95</v>
      </c>
      <c r="H92" s="14" t="s">
        <v>380</v>
      </c>
      <c r="I92" s="14" t="s">
        <v>381</v>
      </c>
      <c r="J92" s="14" t="s">
        <v>382</v>
      </c>
      <c r="K92" s="53" t="s">
        <v>96</v>
      </c>
    </row>
    <row r="93" spans="2:11" ht="40.5" customHeight="1" x14ac:dyDescent="0.75">
      <c r="C93" s="15" t="s">
        <v>297</v>
      </c>
      <c r="D93" s="15" t="s">
        <v>383</v>
      </c>
      <c r="E93" s="15" t="s">
        <v>3</v>
      </c>
      <c r="F93" s="15"/>
      <c r="G93" s="14" t="s">
        <v>3</v>
      </c>
      <c r="H93" s="14" t="s">
        <v>126</v>
      </c>
      <c r="I93" s="15" t="s">
        <v>384</v>
      </c>
      <c r="J93" s="14" t="s">
        <v>385</v>
      </c>
      <c r="K93" s="15" t="s">
        <v>103</v>
      </c>
    </row>
    <row r="94" spans="2:11" ht="40.5" customHeight="1" x14ac:dyDescent="0.75">
      <c r="C94" s="15" t="s">
        <v>299</v>
      </c>
      <c r="D94" s="15" t="s">
        <v>386</v>
      </c>
      <c r="E94" s="15" t="s">
        <v>3</v>
      </c>
      <c r="F94" s="15"/>
      <c r="G94" s="14" t="s">
        <v>3</v>
      </c>
      <c r="H94" s="14" t="s">
        <v>126</v>
      </c>
      <c r="I94" s="15" t="s">
        <v>387</v>
      </c>
      <c r="J94" s="14" t="s">
        <v>388</v>
      </c>
      <c r="K94" s="15" t="s">
        <v>103</v>
      </c>
    </row>
    <row r="95" spans="2:11" ht="40.5" customHeight="1" x14ac:dyDescent="0.75">
      <c r="C95" s="76" t="s">
        <v>389</v>
      </c>
      <c r="D95" s="76" t="s">
        <v>390</v>
      </c>
      <c r="E95" s="15" t="s">
        <v>116</v>
      </c>
      <c r="F95" s="15"/>
      <c r="G95" s="14" t="s">
        <v>95</v>
      </c>
      <c r="H95" s="14" t="s">
        <v>270</v>
      </c>
      <c r="I95" s="16" t="s">
        <v>373</v>
      </c>
      <c r="J95" s="16" t="s">
        <v>391</v>
      </c>
      <c r="K95" s="59" t="s">
        <v>96</v>
      </c>
    </row>
    <row r="96" spans="2:11" ht="40.5" customHeight="1" x14ac:dyDescent="0.75">
      <c r="C96" s="15" t="s">
        <v>378</v>
      </c>
      <c r="D96" s="15" t="s">
        <v>392</v>
      </c>
      <c r="E96" s="15" t="s">
        <v>116</v>
      </c>
      <c r="F96" s="15"/>
      <c r="G96" s="14" t="s">
        <v>95</v>
      </c>
      <c r="H96" s="14" t="s">
        <v>393</v>
      </c>
      <c r="I96" s="14" t="s">
        <v>394</v>
      </c>
      <c r="J96" s="14" t="s">
        <v>395</v>
      </c>
      <c r="K96" s="53" t="s">
        <v>96</v>
      </c>
    </row>
    <row r="97" spans="1:11" ht="40.5" customHeight="1" x14ac:dyDescent="0.75">
      <c r="C97" s="15" t="s">
        <v>297</v>
      </c>
      <c r="D97" s="15" t="s">
        <v>396</v>
      </c>
      <c r="E97" s="15" t="s">
        <v>3</v>
      </c>
      <c r="F97" s="15"/>
      <c r="G97" s="14" t="s">
        <v>3</v>
      </c>
      <c r="H97" s="14" t="s">
        <v>126</v>
      </c>
      <c r="I97" s="14" t="s">
        <v>103</v>
      </c>
      <c r="J97" s="14" t="s">
        <v>397</v>
      </c>
      <c r="K97" s="53" t="s">
        <v>96</v>
      </c>
    </row>
    <row r="98" spans="1:11" ht="40.5" customHeight="1" x14ac:dyDescent="0.75">
      <c r="C98" s="15" t="s">
        <v>299</v>
      </c>
      <c r="D98" s="15" t="s">
        <v>398</v>
      </c>
      <c r="E98" s="15" t="s">
        <v>3</v>
      </c>
      <c r="F98" s="15"/>
      <c r="G98" s="14" t="s">
        <v>3</v>
      </c>
      <c r="H98" s="14" t="s">
        <v>126</v>
      </c>
      <c r="I98" s="15" t="s">
        <v>387</v>
      </c>
      <c r="J98" s="14" t="s">
        <v>399</v>
      </c>
      <c r="K98" s="15" t="s">
        <v>103</v>
      </c>
    </row>
    <row r="99" spans="1:11" ht="40.5" customHeight="1" x14ac:dyDescent="0.75">
      <c r="C99" s="15" t="s">
        <v>400</v>
      </c>
      <c r="D99" s="15" t="s">
        <v>401</v>
      </c>
      <c r="E99" s="15" t="s">
        <v>94</v>
      </c>
      <c r="F99" s="15"/>
      <c r="G99" s="14" t="s">
        <v>100</v>
      </c>
      <c r="H99" s="14"/>
      <c r="I99" s="14" t="s">
        <v>402</v>
      </c>
      <c r="J99" s="14" t="s">
        <v>403</v>
      </c>
      <c r="K99" s="53" t="s">
        <v>96</v>
      </c>
    </row>
    <row r="100" spans="1:11" ht="40.5" customHeight="1" x14ac:dyDescent="0.75">
      <c r="A100" s="53"/>
      <c r="B100" s="141" t="s">
        <v>404</v>
      </c>
      <c r="C100" s="15" t="s">
        <v>405</v>
      </c>
      <c r="D100" s="15" t="s">
        <v>406</v>
      </c>
      <c r="E100" s="15" t="s">
        <v>116</v>
      </c>
      <c r="F100" s="15"/>
      <c r="G100" s="14" t="s">
        <v>95</v>
      </c>
      <c r="H100" s="15" t="s">
        <v>407</v>
      </c>
      <c r="I100" s="15" t="s">
        <v>106</v>
      </c>
      <c r="J100" s="14" t="s">
        <v>405</v>
      </c>
      <c r="K100" s="53" t="s">
        <v>103</v>
      </c>
    </row>
    <row r="101" spans="1:11" ht="40.5" customHeight="1" x14ac:dyDescent="0.75">
      <c r="A101" s="53"/>
      <c r="B101" s="142"/>
      <c r="C101" s="14" t="s">
        <v>408</v>
      </c>
      <c r="D101" s="14" t="s">
        <v>409</v>
      </c>
      <c r="E101" s="15" t="s">
        <v>116</v>
      </c>
      <c r="F101" s="15"/>
      <c r="G101" s="14" t="s">
        <v>95</v>
      </c>
      <c r="H101" s="14" t="s">
        <v>410</v>
      </c>
      <c r="I101" s="15" t="s">
        <v>106</v>
      </c>
      <c r="J101" s="14" t="s">
        <v>411</v>
      </c>
      <c r="K101" s="53" t="s">
        <v>103</v>
      </c>
    </row>
    <row r="102" spans="1:11" ht="40.5" customHeight="1" x14ac:dyDescent="0.75">
      <c r="A102" s="53"/>
      <c r="B102" s="142"/>
      <c r="C102" s="15" t="s">
        <v>412</v>
      </c>
      <c r="D102" s="15" t="s">
        <v>413</v>
      </c>
      <c r="E102" s="15" t="s">
        <v>116</v>
      </c>
      <c r="F102" s="15"/>
      <c r="G102" s="14" t="s">
        <v>95</v>
      </c>
      <c r="H102" s="15" t="s">
        <v>414</v>
      </c>
      <c r="I102" s="15" t="s">
        <v>415</v>
      </c>
      <c r="J102" s="14" t="s">
        <v>412</v>
      </c>
      <c r="K102" s="53" t="s">
        <v>103</v>
      </c>
    </row>
    <row r="103" spans="1:11" ht="40.5" customHeight="1" x14ac:dyDescent="0.75">
      <c r="A103" s="53"/>
      <c r="B103" s="143"/>
      <c r="C103" s="16" t="s">
        <v>408</v>
      </c>
      <c r="D103" s="16" t="s">
        <v>416</v>
      </c>
      <c r="E103" s="15" t="s">
        <v>116</v>
      </c>
      <c r="F103" s="15"/>
      <c r="G103" s="14" t="s">
        <v>95</v>
      </c>
      <c r="H103" s="14" t="s">
        <v>410</v>
      </c>
      <c r="I103" s="76" t="s">
        <v>106</v>
      </c>
      <c r="J103" s="16" t="s">
        <v>417</v>
      </c>
      <c r="K103" s="59" t="s">
        <v>103</v>
      </c>
    </row>
    <row r="104" spans="1:11" ht="40.5" customHeight="1" x14ac:dyDescent="0.75">
      <c r="C104" s="15" t="s">
        <v>418</v>
      </c>
      <c r="D104" s="15" t="s">
        <v>419</v>
      </c>
      <c r="E104" s="15" t="s">
        <v>3</v>
      </c>
      <c r="F104" s="15"/>
      <c r="G104" s="14" t="s">
        <v>3</v>
      </c>
      <c r="H104" s="14" t="s">
        <v>126</v>
      </c>
      <c r="I104" s="14" t="s">
        <v>420</v>
      </c>
      <c r="J104" s="14" t="s">
        <v>421</v>
      </c>
      <c r="K104" s="53" t="s">
        <v>96</v>
      </c>
    </row>
    <row r="105" spans="1:11" ht="40.5" customHeight="1" x14ac:dyDescent="0.75">
      <c r="C105" s="67" t="s">
        <v>265</v>
      </c>
      <c r="D105" s="68"/>
      <c r="E105" s="68"/>
      <c r="F105" s="68"/>
      <c r="G105" s="69"/>
      <c r="H105" s="69"/>
      <c r="I105" s="70"/>
      <c r="J105" s="50"/>
      <c r="K105" s="68"/>
    </row>
    <row r="106" spans="1:11" ht="40.5" customHeight="1" x14ac:dyDescent="0.75">
      <c r="B106" s="45"/>
      <c r="C106" s="14" t="s">
        <v>149</v>
      </c>
      <c r="D106" s="14" t="s">
        <v>150</v>
      </c>
      <c r="E106" s="14" t="s">
        <v>95</v>
      </c>
      <c r="F106" s="14" t="s">
        <v>96</v>
      </c>
      <c r="G106" s="14" t="s">
        <v>95</v>
      </c>
      <c r="H106" s="14"/>
      <c r="I106" s="14" t="s">
        <v>96</v>
      </c>
      <c r="J106" s="14" t="s">
        <v>422</v>
      </c>
      <c r="K106" s="61" t="s">
        <v>103</v>
      </c>
    </row>
    <row r="107" spans="1:11" ht="40.5" customHeight="1" x14ac:dyDescent="0.75">
      <c r="C107" s="14" t="s">
        <v>291</v>
      </c>
      <c r="D107" s="14" t="s">
        <v>292</v>
      </c>
      <c r="E107" s="14" t="s">
        <v>95</v>
      </c>
      <c r="F107" s="14" t="s">
        <v>96</v>
      </c>
      <c r="G107" s="14" t="s">
        <v>95</v>
      </c>
      <c r="H107" s="14"/>
      <c r="I107" s="14" t="s">
        <v>96</v>
      </c>
      <c r="J107" s="14"/>
      <c r="K107" s="61" t="s">
        <v>103</v>
      </c>
    </row>
    <row r="108" spans="1:11" ht="40.5" customHeight="1" x14ac:dyDescent="0.75">
      <c r="C108" s="14" t="s">
        <v>423</v>
      </c>
      <c r="D108" s="14" t="s">
        <v>424</v>
      </c>
      <c r="E108" s="14" t="s">
        <v>95</v>
      </c>
      <c r="F108" s="14" t="s">
        <v>96</v>
      </c>
      <c r="G108" s="14" t="s">
        <v>95</v>
      </c>
      <c r="H108" s="14"/>
      <c r="I108" s="14" t="s">
        <v>96</v>
      </c>
      <c r="J108" s="14" t="s">
        <v>49</v>
      </c>
      <c r="K108" s="61" t="s">
        <v>103</v>
      </c>
    </row>
    <row r="109" spans="1:11" ht="40.5" customHeight="1" x14ac:dyDescent="0.75">
      <c r="C109" s="15" t="s">
        <v>293</v>
      </c>
      <c r="D109" s="15" t="s">
        <v>163</v>
      </c>
      <c r="E109" s="15" t="s">
        <v>116</v>
      </c>
      <c r="F109" s="15"/>
      <c r="G109" s="14" t="s">
        <v>95</v>
      </c>
      <c r="H109" s="14" t="s">
        <v>294</v>
      </c>
      <c r="I109" s="15" t="s">
        <v>96</v>
      </c>
      <c r="J109" s="14" t="s">
        <v>50</v>
      </c>
      <c r="K109" s="53" t="s">
        <v>96</v>
      </c>
    </row>
    <row r="110" spans="1:11" ht="40.5" customHeight="1" x14ac:dyDescent="0.75">
      <c r="C110" s="15" t="s">
        <v>165</v>
      </c>
      <c r="D110" s="15" t="s">
        <v>166</v>
      </c>
      <c r="E110" s="15" t="s">
        <v>94</v>
      </c>
      <c r="F110" s="15"/>
      <c r="G110" s="14" t="s">
        <v>100</v>
      </c>
      <c r="H110" s="14"/>
      <c r="I110" s="14" t="s">
        <v>425</v>
      </c>
      <c r="J110" s="14" t="s">
        <v>296</v>
      </c>
      <c r="K110" s="53" t="s">
        <v>96</v>
      </c>
    </row>
    <row r="111" spans="1:11" ht="40.5" customHeight="1" x14ac:dyDescent="0.75">
      <c r="C111" s="15" t="s">
        <v>426</v>
      </c>
      <c r="D111" s="15" t="s">
        <v>427</v>
      </c>
      <c r="E111" s="15" t="s">
        <v>116</v>
      </c>
      <c r="F111" s="15"/>
      <c r="G111" s="14" t="s">
        <v>95</v>
      </c>
      <c r="H111" s="14" t="s">
        <v>428</v>
      </c>
      <c r="I111" s="15" t="s">
        <v>96</v>
      </c>
      <c r="J111" s="14" t="s">
        <v>429</v>
      </c>
      <c r="K111" s="53" t="s">
        <v>96</v>
      </c>
    </row>
    <row r="112" spans="1:11" ht="40.5" customHeight="1" x14ac:dyDescent="0.75">
      <c r="C112" s="16" t="s">
        <v>430</v>
      </c>
      <c r="D112" s="76" t="s">
        <v>431</v>
      </c>
      <c r="E112" s="15" t="s">
        <v>116</v>
      </c>
      <c r="F112" s="15"/>
      <c r="G112" s="14" t="s">
        <v>95</v>
      </c>
      <c r="H112" s="14" t="s">
        <v>432</v>
      </c>
      <c r="I112" s="14" t="s">
        <v>433</v>
      </c>
      <c r="J112" s="16" t="s">
        <v>434</v>
      </c>
      <c r="K112" s="59" t="s">
        <v>96</v>
      </c>
    </row>
    <row r="113" spans="2:14" ht="40.5" customHeight="1" x14ac:dyDescent="0.75">
      <c r="C113" s="15" t="s">
        <v>435</v>
      </c>
      <c r="D113" s="15" t="s">
        <v>436</v>
      </c>
      <c r="E113" s="15" t="s">
        <v>94</v>
      </c>
      <c r="F113" s="15"/>
      <c r="G113" s="14" t="s">
        <v>100</v>
      </c>
      <c r="H113" s="14"/>
      <c r="I113" s="14" t="s">
        <v>437</v>
      </c>
      <c r="J113" s="14" t="s">
        <v>438</v>
      </c>
      <c r="K113" s="53" t="s">
        <v>96</v>
      </c>
    </row>
    <row r="114" spans="2:14" ht="40.5" customHeight="1" x14ac:dyDescent="0.75">
      <c r="C114" s="15" t="s">
        <v>439</v>
      </c>
      <c r="D114" s="15" t="s">
        <v>440</v>
      </c>
      <c r="E114" s="15" t="s">
        <v>116</v>
      </c>
      <c r="F114" s="15"/>
      <c r="G114" s="14" t="s">
        <v>95</v>
      </c>
      <c r="H114" s="14" t="s">
        <v>441</v>
      </c>
      <c r="I114" s="14" t="s">
        <v>442</v>
      </c>
      <c r="J114" s="80" t="s">
        <v>443</v>
      </c>
      <c r="K114" s="53" t="s">
        <v>96</v>
      </c>
    </row>
    <row r="115" spans="2:14" ht="40.5" customHeight="1" x14ac:dyDescent="0.75">
      <c r="C115" s="15" t="s">
        <v>444</v>
      </c>
      <c r="D115" s="15" t="s">
        <v>445</v>
      </c>
      <c r="E115" s="15" t="s">
        <v>116</v>
      </c>
      <c r="F115" s="15"/>
      <c r="G115" s="14" t="s">
        <v>95</v>
      </c>
      <c r="H115" s="14" t="s">
        <v>446</v>
      </c>
      <c r="I115" s="14" t="s">
        <v>447</v>
      </c>
      <c r="J115" s="14" t="s">
        <v>448</v>
      </c>
      <c r="K115" s="53" t="s">
        <v>96</v>
      </c>
    </row>
    <row r="116" spans="2:14" ht="40.5" customHeight="1" x14ac:dyDescent="0.75">
      <c r="C116" s="15" t="s">
        <v>435</v>
      </c>
      <c r="D116" s="15" t="s">
        <v>449</v>
      </c>
      <c r="E116" s="15" t="s">
        <v>94</v>
      </c>
      <c r="F116" s="15"/>
      <c r="G116" s="14" t="s">
        <v>100</v>
      </c>
      <c r="H116" s="14"/>
      <c r="I116" s="14" t="s">
        <v>450</v>
      </c>
      <c r="J116" s="14" t="s">
        <v>451</v>
      </c>
      <c r="K116" s="53" t="s">
        <v>96</v>
      </c>
    </row>
    <row r="117" spans="2:14" ht="40.5" customHeight="1" x14ac:dyDescent="0.75">
      <c r="C117" s="76" t="s">
        <v>452</v>
      </c>
      <c r="D117" s="76" t="s">
        <v>453</v>
      </c>
      <c r="E117" s="15" t="s">
        <v>116</v>
      </c>
      <c r="F117" s="15"/>
      <c r="G117" s="14" t="s">
        <v>95</v>
      </c>
      <c r="H117" s="14" t="s">
        <v>454</v>
      </c>
      <c r="I117" s="16" t="s">
        <v>455</v>
      </c>
      <c r="J117" s="16" t="s">
        <v>456</v>
      </c>
      <c r="K117" s="59" t="s">
        <v>96</v>
      </c>
    </row>
    <row r="118" spans="2:14" ht="40.5" customHeight="1" x14ac:dyDescent="0.75">
      <c r="C118" s="15" t="s">
        <v>435</v>
      </c>
      <c r="D118" s="15" t="s">
        <v>457</v>
      </c>
      <c r="E118" s="15" t="s">
        <v>94</v>
      </c>
      <c r="F118" s="15"/>
      <c r="G118" s="14" t="s">
        <v>100</v>
      </c>
      <c r="H118" s="14"/>
      <c r="I118" s="14" t="s">
        <v>458</v>
      </c>
      <c r="J118" s="14" t="s">
        <v>459</v>
      </c>
      <c r="K118" s="53" t="s">
        <v>96</v>
      </c>
    </row>
    <row r="119" spans="2:14" ht="40.5" customHeight="1" x14ac:dyDescent="0.75">
      <c r="C119" s="15" t="s">
        <v>460</v>
      </c>
      <c r="D119" s="15" t="s">
        <v>461</v>
      </c>
      <c r="E119" s="15" t="s">
        <v>95</v>
      </c>
      <c r="F119" s="15"/>
      <c r="G119" s="14" t="s">
        <v>95</v>
      </c>
      <c r="H119" s="14"/>
      <c r="I119" s="14" t="s">
        <v>462</v>
      </c>
      <c r="J119" s="14" t="s">
        <v>51</v>
      </c>
      <c r="K119" s="53" t="s">
        <v>96</v>
      </c>
    </row>
    <row r="120" spans="2:14" ht="40.5" customHeight="1" x14ac:dyDescent="0.75">
      <c r="C120" s="15" t="s">
        <v>297</v>
      </c>
      <c r="D120" s="15" t="s">
        <v>463</v>
      </c>
      <c r="E120" s="15" t="s">
        <v>3</v>
      </c>
      <c r="F120" s="15"/>
      <c r="G120" s="14" t="s">
        <v>3</v>
      </c>
      <c r="H120" s="14" t="s">
        <v>126</v>
      </c>
      <c r="I120" s="14" t="s">
        <v>96</v>
      </c>
      <c r="J120" s="14" t="s">
        <v>52</v>
      </c>
      <c r="K120" s="53" t="s">
        <v>96</v>
      </c>
    </row>
    <row r="121" spans="2:14" ht="40.5" customHeight="1" x14ac:dyDescent="0.75">
      <c r="C121" s="15" t="s">
        <v>299</v>
      </c>
      <c r="D121" s="15" t="s">
        <v>464</v>
      </c>
      <c r="E121" s="15" t="s">
        <v>3</v>
      </c>
      <c r="F121" s="15"/>
      <c r="G121" s="14" t="s">
        <v>3</v>
      </c>
      <c r="H121" s="14" t="s">
        <v>126</v>
      </c>
      <c r="I121" s="14" t="s">
        <v>96</v>
      </c>
      <c r="J121" s="14" t="s">
        <v>53</v>
      </c>
      <c r="K121" s="53" t="s">
        <v>96</v>
      </c>
    </row>
    <row r="122" spans="2:14" ht="40.5" customHeight="1" x14ac:dyDescent="0.75">
      <c r="C122" s="15" t="s">
        <v>465</v>
      </c>
      <c r="D122" s="15" t="s">
        <v>466</v>
      </c>
      <c r="E122" s="15" t="s">
        <v>116</v>
      </c>
      <c r="F122" s="15"/>
      <c r="G122" s="14" t="s">
        <v>100</v>
      </c>
      <c r="H122" s="14" t="s">
        <v>467</v>
      </c>
      <c r="I122" s="15" t="s">
        <v>468</v>
      </c>
      <c r="J122" s="14" t="s">
        <v>469</v>
      </c>
      <c r="K122" s="53" t="s">
        <v>96</v>
      </c>
    </row>
    <row r="123" spans="2:14" ht="40.5" customHeight="1" x14ac:dyDescent="0.75">
      <c r="C123" s="15" t="s">
        <v>470</v>
      </c>
      <c r="D123" s="15" t="s">
        <v>471</v>
      </c>
      <c r="E123" s="15" t="s">
        <v>95</v>
      </c>
      <c r="F123" s="15" t="s">
        <v>96</v>
      </c>
      <c r="G123" s="14" t="s">
        <v>95</v>
      </c>
      <c r="H123" s="14"/>
      <c r="I123" s="15" t="s">
        <v>468</v>
      </c>
      <c r="J123" s="14" t="s">
        <v>472</v>
      </c>
      <c r="K123" s="53" t="s">
        <v>103</v>
      </c>
    </row>
    <row r="124" spans="2:14" ht="40.5" customHeight="1" x14ac:dyDescent="0.75">
      <c r="C124" s="15" t="s">
        <v>473</v>
      </c>
      <c r="D124" s="15" t="s">
        <v>474</v>
      </c>
      <c r="E124" s="15" t="s">
        <v>95</v>
      </c>
      <c r="F124" s="15" t="s">
        <v>96</v>
      </c>
      <c r="G124" s="14" t="s">
        <v>95</v>
      </c>
      <c r="H124" s="14"/>
      <c r="I124" s="15" t="s">
        <v>468</v>
      </c>
      <c r="J124" s="14" t="s">
        <v>475</v>
      </c>
      <c r="K124" s="53" t="s">
        <v>103</v>
      </c>
    </row>
    <row r="125" spans="2:14" ht="40.5" customHeight="1" x14ac:dyDescent="0.75">
      <c r="C125" s="15" t="s">
        <v>476</v>
      </c>
      <c r="D125" s="15" t="s">
        <v>477</v>
      </c>
      <c r="E125" s="15" t="s">
        <v>95</v>
      </c>
      <c r="F125" s="15" t="s">
        <v>96</v>
      </c>
      <c r="G125" s="14" t="s">
        <v>95</v>
      </c>
      <c r="H125" s="14"/>
      <c r="I125" s="15" t="s">
        <v>468</v>
      </c>
      <c r="J125" s="14" t="s">
        <v>478</v>
      </c>
      <c r="K125" s="53" t="s">
        <v>103</v>
      </c>
    </row>
    <row r="126" spans="2:14" s="58" customFormat="1" ht="40.5" customHeight="1" x14ac:dyDescent="0.75">
      <c r="B126" s="81"/>
      <c r="C126" s="16" t="s">
        <v>479</v>
      </c>
      <c r="D126" s="16" t="s">
        <v>480</v>
      </c>
      <c r="E126" s="15" t="s">
        <v>116</v>
      </c>
      <c r="F126" s="15" t="s">
        <v>96</v>
      </c>
      <c r="G126" s="14" t="s">
        <v>100</v>
      </c>
      <c r="H126" s="14" t="s">
        <v>481</v>
      </c>
      <c r="I126" s="15" t="s">
        <v>103</v>
      </c>
      <c r="J126" s="16" t="s">
        <v>482</v>
      </c>
      <c r="K126" s="59" t="s">
        <v>96</v>
      </c>
      <c r="L126" s="44"/>
      <c r="M126" s="44"/>
      <c r="N126" s="44"/>
    </row>
    <row r="127" spans="2:14" s="58" customFormat="1" ht="40.5" customHeight="1" x14ac:dyDescent="0.75">
      <c r="B127" s="81"/>
      <c r="C127" s="14" t="s">
        <v>483</v>
      </c>
      <c r="D127" s="14" t="s">
        <v>484</v>
      </c>
      <c r="E127" s="15" t="s">
        <v>94</v>
      </c>
      <c r="F127" s="15"/>
      <c r="G127" s="14" t="s">
        <v>100</v>
      </c>
      <c r="H127" s="14"/>
      <c r="I127" s="14" t="s">
        <v>485</v>
      </c>
      <c r="J127" s="14" t="s">
        <v>486</v>
      </c>
      <c r="K127" s="53" t="s">
        <v>96</v>
      </c>
      <c r="L127" s="44"/>
      <c r="M127" s="44"/>
      <c r="N127" s="44"/>
    </row>
    <row r="128" spans="2:14" s="58" customFormat="1" ht="40.5" customHeight="1" x14ac:dyDescent="0.75">
      <c r="B128" s="81"/>
      <c r="C128" s="14" t="s">
        <v>54</v>
      </c>
      <c r="D128" s="14" t="s">
        <v>487</v>
      </c>
      <c r="E128" s="15" t="s">
        <v>94</v>
      </c>
      <c r="F128" s="15"/>
      <c r="G128" s="14" t="s">
        <v>100</v>
      </c>
      <c r="H128" s="14"/>
      <c r="I128" s="14" t="s">
        <v>103</v>
      </c>
      <c r="J128" s="14" t="s">
        <v>55</v>
      </c>
      <c r="K128" s="53" t="s">
        <v>103</v>
      </c>
      <c r="L128" s="44"/>
      <c r="M128" s="44"/>
      <c r="N128" s="44"/>
    </row>
    <row r="129" spans="2:14" ht="40.5" customHeight="1" x14ac:dyDescent="0.75">
      <c r="C129" s="15" t="s">
        <v>488</v>
      </c>
      <c r="D129" s="15" t="s">
        <v>489</v>
      </c>
      <c r="E129" s="15" t="s">
        <v>116</v>
      </c>
      <c r="F129" s="15"/>
      <c r="G129" s="14" t="s">
        <v>100</v>
      </c>
      <c r="H129" s="14"/>
      <c r="I129" s="14" t="s">
        <v>490</v>
      </c>
      <c r="J129" s="14" t="s">
        <v>56</v>
      </c>
      <c r="K129" s="53" t="s">
        <v>96</v>
      </c>
    </row>
    <row r="130" spans="2:14" ht="40.5" customHeight="1" x14ac:dyDescent="0.75">
      <c r="C130" s="15" t="s">
        <v>483</v>
      </c>
      <c r="D130" s="15" t="s">
        <v>491</v>
      </c>
      <c r="E130" s="15" t="s">
        <v>94</v>
      </c>
      <c r="F130" s="15"/>
      <c r="G130" s="14" t="s">
        <v>100</v>
      </c>
      <c r="H130" s="14"/>
      <c r="I130" s="15" t="s">
        <v>492</v>
      </c>
      <c r="J130" s="14"/>
      <c r="K130" s="53" t="s">
        <v>103</v>
      </c>
    </row>
    <row r="131" spans="2:14" ht="40.5" customHeight="1" x14ac:dyDescent="0.75">
      <c r="C131" s="15" t="s">
        <v>493</v>
      </c>
      <c r="D131" s="15" t="s">
        <v>494</v>
      </c>
      <c r="E131" s="15" t="s">
        <v>116</v>
      </c>
      <c r="F131" s="15"/>
      <c r="G131" s="14" t="s">
        <v>100</v>
      </c>
      <c r="H131" s="14"/>
      <c r="I131" s="14" t="s">
        <v>490</v>
      </c>
      <c r="J131" s="14" t="s">
        <v>57</v>
      </c>
      <c r="K131" s="53" t="s">
        <v>96</v>
      </c>
    </row>
    <row r="132" spans="2:14" ht="40.5" customHeight="1" x14ac:dyDescent="0.75">
      <c r="C132" s="15" t="s">
        <v>483</v>
      </c>
      <c r="D132" s="15" t="s">
        <v>495</v>
      </c>
      <c r="E132" s="15" t="s">
        <v>94</v>
      </c>
      <c r="F132" s="15"/>
      <c r="G132" s="14" t="s">
        <v>100</v>
      </c>
      <c r="H132" s="14"/>
      <c r="I132" s="15" t="s">
        <v>492</v>
      </c>
      <c r="J132" s="14"/>
      <c r="K132" s="53" t="s">
        <v>103</v>
      </c>
    </row>
    <row r="133" spans="2:14" ht="40.5" customHeight="1" x14ac:dyDescent="0.75">
      <c r="C133" s="15" t="s">
        <v>58</v>
      </c>
      <c r="D133" s="15" t="s">
        <v>496</v>
      </c>
      <c r="E133" s="15" t="s">
        <v>116</v>
      </c>
      <c r="F133" s="15"/>
      <c r="G133" s="14" t="s">
        <v>95</v>
      </c>
      <c r="H133" s="14" t="s">
        <v>497</v>
      </c>
      <c r="I133" s="15" t="s">
        <v>498</v>
      </c>
      <c r="J133" s="14" t="s">
        <v>499</v>
      </c>
      <c r="K133" s="53" t="s">
        <v>96</v>
      </c>
    </row>
    <row r="134" spans="2:14" ht="40.5" customHeight="1" x14ac:dyDescent="0.75">
      <c r="C134" s="15" t="s">
        <v>500</v>
      </c>
      <c r="D134" s="15" t="s">
        <v>501</v>
      </c>
      <c r="E134" s="15" t="s">
        <v>95</v>
      </c>
      <c r="F134" s="15"/>
      <c r="G134" s="14" t="s">
        <v>95</v>
      </c>
      <c r="H134" s="15" t="s">
        <v>502</v>
      </c>
      <c r="I134" s="15" t="s">
        <v>96</v>
      </c>
      <c r="J134" s="14" t="s">
        <v>503</v>
      </c>
      <c r="K134" s="53" t="s">
        <v>96</v>
      </c>
    </row>
    <row r="135" spans="2:14" ht="40.5" customHeight="1" x14ac:dyDescent="0.75">
      <c r="C135" s="15" t="s">
        <v>59</v>
      </c>
      <c r="D135" s="15" t="s">
        <v>504</v>
      </c>
      <c r="E135" s="15" t="s">
        <v>505</v>
      </c>
      <c r="F135" s="15"/>
      <c r="G135" s="14" t="s">
        <v>95</v>
      </c>
      <c r="H135" s="15" t="s">
        <v>506</v>
      </c>
      <c r="I135" s="15" t="s">
        <v>507</v>
      </c>
      <c r="J135" s="14" t="s">
        <v>508</v>
      </c>
      <c r="K135" s="53" t="s">
        <v>96</v>
      </c>
    </row>
    <row r="136" spans="2:14" ht="40.5" customHeight="1" x14ac:dyDescent="0.75">
      <c r="C136" s="15" t="s">
        <v>59</v>
      </c>
      <c r="D136" s="15" t="s">
        <v>509</v>
      </c>
      <c r="E136" s="15" t="s">
        <v>116</v>
      </c>
      <c r="F136" s="15"/>
      <c r="G136" s="14" t="s">
        <v>95</v>
      </c>
      <c r="H136" s="15" t="s">
        <v>510</v>
      </c>
      <c r="I136" s="14" t="s">
        <v>511</v>
      </c>
      <c r="J136" s="14" t="s">
        <v>512</v>
      </c>
      <c r="K136" s="53" t="s">
        <v>96</v>
      </c>
    </row>
    <row r="137" spans="2:14" ht="40.5" customHeight="1" x14ac:dyDescent="0.75">
      <c r="C137" s="15" t="s">
        <v>513</v>
      </c>
      <c r="D137" s="15" t="s">
        <v>514</v>
      </c>
      <c r="E137" s="15" t="s">
        <v>95</v>
      </c>
      <c r="F137" s="15"/>
      <c r="G137" s="14" t="s">
        <v>95</v>
      </c>
      <c r="H137" s="15" t="s">
        <v>502</v>
      </c>
      <c r="I137" s="14" t="s">
        <v>515</v>
      </c>
      <c r="J137" s="14" t="s">
        <v>516</v>
      </c>
      <c r="K137" s="53" t="s">
        <v>96</v>
      </c>
    </row>
    <row r="138" spans="2:14" ht="40.5" customHeight="1" x14ac:dyDescent="0.75">
      <c r="C138" s="15" t="s">
        <v>60</v>
      </c>
      <c r="D138" s="15" t="s">
        <v>517</v>
      </c>
      <c r="E138" s="15" t="s">
        <v>116</v>
      </c>
      <c r="F138" s="15"/>
      <c r="G138" s="14" t="s">
        <v>95</v>
      </c>
      <c r="H138" s="14" t="s">
        <v>518</v>
      </c>
      <c r="I138" s="14" t="s">
        <v>515</v>
      </c>
      <c r="J138" s="14" t="s">
        <v>519</v>
      </c>
      <c r="K138" s="53" t="s">
        <v>96</v>
      </c>
    </row>
    <row r="139" spans="2:14" ht="40.5" customHeight="1" x14ac:dyDescent="0.75">
      <c r="C139" s="15" t="s">
        <v>520</v>
      </c>
      <c r="D139" s="15" t="s">
        <v>521</v>
      </c>
      <c r="E139" s="15" t="s">
        <v>116</v>
      </c>
      <c r="F139" s="15"/>
      <c r="G139" s="14" t="s">
        <v>100</v>
      </c>
      <c r="H139" s="14"/>
      <c r="I139" s="15" t="s">
        <v>522</v>
      </c>
      <c r="J139" s="14" t="s">
        <v>523</v>
      </c>
      <c r="K139" s="53" t="s">
        <v>96</v>
      </c>
    </row>
    <row r="140" spans="2:14" ht="40.5" customHeight="1" x14ac:dyDescent="0.75">
      <c r="C140" s="15" t="s">
        <v>483</v>
      </c>
      <c r="D140" s="15" t="s">
        <v>524</v>
      </c>
      <c r="E140" s="15" t="s">
        <v>94</v>
      </c>
      <c r="F140" s="15"/>
      <c r="G140" s="14" t="s">
        <v>100</v>
      </c>
      <c r="H140" s="14"/>
      <c r="I140" s="15" t="s">
        <v>525</v>
      </c>
      <c r="J140" s="14"/>
      <c r="K140" s="53" t="s">
        <v>96</v>
      </c>
    </row>
    <row r="141" spans="2:14" s="58" customFormat="1" ht="40.5" customHeight="1" x14ac:dyDescent="0.75">
      <c r="B141" s="81"/>
      <c r="C141" s="14" t="s">
        <v>526</v>
      </c>
      <c r="D141" s="14" t="s">
        <v>527</v>
      </c>
      <c r="E141" s="15" t="s">
        <v>94</v>
      </c>
      <c r="F141" s="15"/>
      <c r="G141" s="14" t="s">
        <v>100</v>
      </c>
      <c r="H141" s="14"/>
      <c r="I141" s="14" t="s">
        <v>528</v>
      </c>
      <c r="J141" s="14"/>
      <c r="K141" s="53" t="s">
        <v>103</v>
      </c>
      <c r="L141" s="44"/>
      <c r="M141" s="44"/>
      <c r="N141" s="44"/>
    </row>
    <row r="142" spans="2:14" ht="40.5" customHeight="1" x14ac:dyDescent="0.75">
      <c r="C142" s="15" t="s">
        <v>488</v>
      </c>
      <c r="D142" s="15" t="s">
        <v>529</v>
      </c>
      <c r="E142" s="15" t="s">
        <v>116</v>
      </c>
      <c r="F142" s="15"/>
      <c r="G142" s="14" t="s">
        <v>100</v>
      </c>
      <c r="H142" s="14"/>
      <c r="I142" s="15" t="s">
        <v>530</v>
      </c>
      <c r="J142" s="14" t="s">
        <v>56</v>
      </c>
      <c r="K142" s="53" t="s">
        <v>103</v>
      </c>
    </row>
    <row r="143" spans="2:14" ht="40.5" customHeight="1" x14ac:dyDescent="0.75">
      <c r="C143" s="15" t="s">
        <v>483</v>
      </c>
      <c r="D143" s="15" t="s">
        <v>531</v>
      </c>
      <c r="E143" s="15" t="s">
        <v>94</v>
      </c>
      <c r="F143" s="15"/>
      <c r="G143" s="14" t="s">
        <v>100</v>
      </c>
      <c r="H143" s="14"/>
      <c r="I143" s="15" t="s">
        <v>525</v>
      </c>
      <c r="J143" s="14"/>
      <c r="K143" s="53" t="s">
        <v>103</v>
      </c>
    </row>
    <row r="144" spans="2:14" ht="40.5" customHeight="1" x14ac:dyDescent="0.75">
      <c r="C144" s="15" t="s">
        <v>493</v>
      </c>
      <c r="D144" s="15" t="s">
        <v>532</v>
      </c>
      <c r="E144" s="15" t="s">
        <v>116</v>
      </c>
      <c r="F144" s="15"/>
      <c r="G144" s="14" t="s">
        <v>100</v>
      </c>
      <c r="H144" s="14"/>
      <c r="I144" s="15" t="s">
        <v>530</v>
      </c>
      <c r="J144" s="14" t="s">
        <v>57</v>
      </c>
      <c r="K144" s="53" t="s">
        <v>103</v>
      </c>
    </row>
    <row r="145" spans="2:14" ht="40.5" customHeight="1" x14ac:dyDescent="0.75">
      <c r="C145" s="15" t="s">
        <v>483</v>
      </c>
      <c r="D145" s="15" t="s">
        <v>533</v>
      </c>
      <c r="E145" s="15" t="s">
        <v>94</v>
      </c>
      <c r="F145" s="15"/>
      <c r="G145" s="14" t="s">
        <v>100</v>
      </c>
      <c r="H145" s="14"/>
      <c r="I145" s="15" t="s">
        <v>525</v>
      </c>
      <c r="J145" s="14"/>
      <c r="K145" s="53" t="s">
        <v>103</v>
      </c>
    </row>
    <row r="146" spans="2:14" ht="40.5" customHeight="1" x14ac:dyDescent="0.75">
      <c r="C146" s="16" t="s">
        <v>58</v>
      </c>
      <c r="D146" s="16" t="s">
        <v>534</v>
      </c>
      <c r="E146" s="16" t="s">
        <v>116</v>
      </c>
      <c r="F146" s="16"/>
      <c r="G146" s="14" t="s">
        <v>95</v>
      </c>
      <c r="H146" s="14" t="s">
        <v>535</v>
      </c>
      <c r="I146" s="16" t="s">
        <v>536</v>
      </c>
      <c r="J146" s="16" t="s">
        <v>499</v>
      </c>
      <c r="K146" s="59" t="s">
        <v>96</v>
      </c>
    </row>
    <row r="147" spans="2:14" s="58" customFormat="1" ht="40.5" customHeight="1" x14ac:dyDescent="0.75">
      <c r="B147" s="81"/>
      <c r="C147" s="16" t="s">
        <v>537</v>
      </c>
      <c r="D147" s="16" t="s">
        <v>538</v>
      </c>
      <c r="E147" s="14" t="s">
        <v>116</v>
      </c>
      <c r="F147" s="14" t="s">
        <v>96</v>
      </c>
      <c r="G147" s="14" t="s">
        <v>95</v>
      </c>
      <c r="H147" s="14" t="s">
        <v>481</v>
      </c>
      <c r="I147" s="16" t="s">
        <v>103</v>
      </c>
      <c r="J147" s="16" t="s">
        <v>539</v>
      </c>
      <c r="K147" s="59" t="s">
        <v>96</v>
      </c>
      <c r="L147" s="44"/>
      <c r="M147" s="44"/>
      <c r="N147" s="44"/>
    </row>
    <row r="148" spans="2:14" ht="40.5" customHeight="1" x14ac:dyDescent="0.75">
      <c r="C148" s="15" t="s">
        <v>61</v>
      </c>
      <c r="D148" s="15" t="s">
        <v>540</v>
      </c>
      <c r="E148" s="15" t="s">
        <v>116</v>
      </c>
      <c r="F148" s="15"/>
      <c r="G148" s="14" t="s">
        <v>95</v>
      </c>
      <c r="H148" s="14" t="s">
        <v>541</v>
      </c>
      <c r="I148" s="15" t="s">
        <v>542</v>
      </c>
      <c r="J148" s="16" t="s">
        <v>543</v>
      </c>
      <c r="K148" s="53" t="s">
        <v>96</v>
      </c>
    </row>
    <row r="149" spans="2:14" ht="40.5" customHeight="1" x14ac:dyDescent="0.75">
      <c r="C149" s="15" t="s">
        <v>500</v>
      </c>
      <c r="D149" s="15" t="s">
        <v>544</v>
      </c>
      <c r="E149" s="15" t="s">
        <v>95</v>
      </c>
      <c r="F149" s="15"/>
      <c r="G149" s="14" t="s">
        <v>95</v>
      </c>
      <c r="H149" s="15" t="s">
        <v>502</v>
      </c>
      <c r="I149" s="15" t="s">
        <v>545</v>
      </c>
      <c r="J149" s="14" t="s">
        <v>546</v>
      </c>
      <c r="K149" s="53" t="s">
        <v>96</v>
      </c>
    </row>
    <row r="150" spans="2:14" ht="40.5" customHeight="1" x14ac:dyDescent="0.75">
      <c r="C150" s="14" t="s">
        <v>547</v>
      </c>
      <c r="D150" s="14" t="s">
        <v>548</v>
      </c>
      <c r="E150" s="14" t="s">
        <v>549</v>
      </c>
      <c r="F150" s="14"/>
      <c r="G150" s="14" t="s">
        <v>95</v>
      </c>
      <c r="H150" s="15" t="s">
        <v>550</v>
      </c>
      <c r="I150" s="15" t="s">
        <v>551</v>
      </c>
      <c r="J150" s="14" t="s">
        <v>552</v>
      </c>
      <c r="K150" s="53" t="s">
        <v>96</v>
      </c>
    </row>
    <row r="151" spans="2:14" ht="40.5" customHeight="1" x14ac:dyDescent="0.75">
      <c r="C151" s="14" t="s">
        <v>553</v>
      </c>
      <c r="D151" s="14" t="s">
        <v>554</v>
      </c>
      <c r="E151" s="14" t="s">
        <v>116</v>
      </c>
      <c r="F151" s="14"/>
      <c r="G151" s="14" t="s">
        <v>95</v>
      </c>
      <c r="H151" s="14" t="s">
        <v>555</v>
      </c>
      <c r="I151" s="15" t="s">
        <v>545</v>
      </c>
      <c r="J151" s="14"/>
      <c r="K151" s="53" t="s">
        <v>96</v>
      </c>
    </row>
    <row r="152" spans="2:14" ht="40.5" customHeight="1" x14ac:dyDescent="0.75">
      <c r="C152" s="15" t="s">
        <v>513</v>
      </c>
      <c r="D152" s="15" t="s">
        <v>556</v>
      </c>
      <c r="E152" s="15" t="s">
        <v>95</v>
      </c>
      <c r="F152" s="15"/>
      <c r="G152" s="14" t="s">
        <v>95</v>
      </c>
      <c r="H152" s="15" t="s">
        <v>502</v>
      </c>
      <c r="I152" s="14" t="s">
        <v>557</v>
      </c>
      <c r="J152" s="14" t="s">
        <v>62</v>
      </c>
      <c r="K152" s="53" t="s">
        <v>96</v>
      </c>
    </row>
    <row r="153" spans="2:14" ht="40.5" customHeight="1" x14ac:dyDescent="0.75">
      <c r="C153" s="15" t="s">
        <v>63</v>
      </c>
      <c r="D153" s="15" t="s">
        <v>558</v>
      </c>
      <c r="E153" s="15" t="s">
        <v>116</v>
      </c>
      <c r="F153" s="15"/>
      <c r="G153" s="14" t="s">
        <v>95</v>
      </c>
      <c r="H153" s="14" t="s">
        <v>270</v>
      </c>
      <c r="I153" s="14" t="s">
        <v>559</v>
      </c>
      <c r="J153" s="14" t="s">
        <v>560</v>
      </c>
      <c r="K153" s="53" t="s">
        <v>96</v>
      </c>
    </row>
    <row r="154" spans="2:14" ht="40.5" customHeight="1" x14ac:dyDescent="0.75">
      <c r="C154" s="15" t="s">
        <v>64</v>
      </c>
      <c r="D154" s="15" t="s">
        <v>561</v>
      </c>
      <c r="E154" s="15" t="s">
        <v>94</v>
      </c>
      <c r="F154" s="15"/>
      <c r="G154" s="14" t="s">
        <v>100</v>
      </c>
      <c r="H154" s="14"/>
      <c r="I154" s="14" t="s">
        <v>562</v>
      </c>
      <c r="J154" s="14" t="s">
        <v>65</v>
      </c>
      <c r="K154" s="53" t="s">
        <v>96</v>
      </c>
    </row>
    <row r="155" spans="2:14" ht="40.5" customHeight="1" x14ac:dyDescent="0.75">
      <c r="C155" s="15" t="s">
        <v>66</v>
      </c>
      <c r="D155" s="15" t="s">
        <v>563</v>
      </c>
      <c r="E155" s="15" t="s">
        <v>233</v>
      </c>
      <c r="F155" s="15"/>
      <c r="G155" s="14" t="s">
        <v>100</v>
      </c>
      <c r="H155" s="14"/>
      <c r="I155" s="15" t="s">
        <v>106</v>
      </c>
      <c r="J155" s="14" t="s">
        <v>67</v>
      </c>
      <c r="K155" s="53" t="s">
        <v>96</v>
      </c>
    </row>
    <row r="156" spans="2:14" ht="40.5" customHeight="1" x14ac:dyDescent="0.75">
      <c r="C156" s="15" t="s">
        <v>564</v>
      </c>
      <c r="D156" s="15" t="s">
        <v>565</v>
      </c>
      <c r="E156" s="15" t="s">
        <v>116</v>
      </c>
      <c r="F156" s="15"/>
      <c r="G156" s="14" t="s">
        <v>95</v>
      </c>
      <c r="H156" s="14" t="s">
        <v>270</v>
      </c>
      <c r="I156" s="15" t="s">
        <v>103</v>
      </c>
      <c r="J156" s="14" t="s">
        <v>566</v>
      </c>
      <c r="K156" s="53" t="s">
        <v>103</v>
      </c>
    </row>
    <row r="157" spans="2:14" ht="40.5" customHeight="1" x14ac:dyDescent="0.75">
      <c r="C157" s="15" t="s">
        <v>40</v>
      </c>
      <c r="D157" s="15" t="s">
        <v>317</v>
      </c>
      <c r="E157" s="15" t="s">
        <v>318</v>
      </c>
      <c r="F157" s="15"/>
      <c r="G157" s="14" t="s">
        <v>95</v>
      </c>
      <c r="H157" s="15" t="s">
        <v>567</v>
      </c>
      <c r="I157" s="14" t="s">
        <v>103</v>
      </c>
      <c r="J157" s="14"/>
      <c r="K157" s="53" t="s">
        <v>103</v>
      </c>
    </row>
    <row r="158" spans="2:14" ht="40.5" customHeight="1" x14ac:dyDescent="0.75">
      <c r="C158" s="15" t="s">
        <v>42</v>
      </c>
      <c r="D158" s="15" t="s">
        <v>320</v>
      </c>
      <c r="E158" s="15" t="s">
        <v>94</v>
      </c>
      <c r="F158" s="15"/>
      <c r="G158" s="14" t="s">
        <v>100</v>
      </c>
      <c r="H158" s="14"/>
      <c r="I158" s="14" t="s">
        <v>321</v>
      </c>
      <c r="J158" s="14"/>
      <c r="K158" s="53" t="s">
        <v>103</v>
      </c>
    </row>
    <row r="159" spans="2:14" ht="40.5" customHeight="1" x14ac:dyDescent="0.75">
      <c r="C159" s="15" t="s">
        <v>68</v>
      </c>
      <c r="D159" s="15" t="s">
        <v>568</v>
      </c>
      <c r="E159" s="15" t="s">
        <v>116</v>
      </c>
      <c r="F159" s="15"/>
      <c r="G159" s="14" t="s">
        <v>95</v>
      </c>
      <c r="H159" s="14" t="s">
        <v>569</v>
      </c>
      <c r="I159" s="15" t="s">
        <v>106</v>
      </c>
      <c r="J159" s="14" t="s">
        <v>570</v>
      </c>
      <c r="K159" s="53" t="s">
        <v>103</v>
      </c>
    </row>
    <row r="160" spans="2:14" ht="40.5" customHeight="1" x14ac:dyDescent="0.75">
      <c r="C160" s="15" t="s">
        <v>571</v>
      </c>
      <c r="D160" s="15" t="s">
        <v>572</v>
      </c>
      <c r="E160" s="15" t="s">
        <v>573</v>
      </c>
      <c r="F160" s="15"/>
      <c r="G160" s="14" t="s">
        <v>573</v>
      </c>
      <c r="H160" s="14"/>
      <c r="I160" s="15" t="s">
        <v>106</v>
      </c>
      <c r="J160" s="14" t="s">
        <v>69</v>
      </c>
      <c r="K160" s="53" t="s">
        <v>103</v>
      </c>
    </row>
    <row r="161" spans="3:11" ht="40.5" customHeight="1" x14ac:dyDescent="0.75">
      <c r="C161" s="15" t="s">
        <v>574</v>
      </c>
      <c r="D161" s="15" t="s">
        <v>575</v>
      </c>
      <c r="E161" s="15" t="s">
        <v>573</v>
      </c>
      <c r="F161" s="15"/>
      <c r="G161" s="14" t="s">
        <v>573</v>
      </c>
      <c r="H161" s="14"/>
      <c r="I161" s="15" t="s">
        <v>106</v>
      </c>
      <c r="J161" s="14" t="s">
        <v>69</v>
      </c>
      <c r="K161" s="53" t="s">
        <v>103</v>
      </c>
    </row>
    <row r="162" spans="3:11" ht="40.5" customHeight="1" x14ac:dyDescent="0.75">
      <c r="C162" s="15" t="s">
        <v>576</v>
      </c>
      <c r="D162" s="15" t="s">
        <v>577</v>
      </c>
      <c r="E162" s="15" t="s">
        <v>573</v>
      </c>
      <c r="F162" s="15"/>
      <c r="G162" s="14" t="s">
        <v>573</v>
      </c>
      <c r="H162" s="14"/>
      <c r="I162" s="15" t="s">
        <v>106</v>
      </c>
      <c r="J162" s="14" t="s">
        <v>70</v>
      </c>
      <c r="K162" s="53" t="s">
        <v>103</v>
      </c>
    </row>
    <row r="163" spans="3:11" ht="40.5" customHeight="1" x14ac:dyDescent="0.75">
      <c r="C163" s="15" t="s">
        <v>578</v>
      </c>
      <c r="D163" s="15" t="s">
        <v>579</v>
      </c>
      <c r="E163" s="15" t="s">
        <v>573</v>
      </c>
      <c r="F163" s="15"/>
      <c r="G163" s="14" t="s">
        <v>573</v>
      </c>
      <c r="H163" s="14"/>
      <c r="I163" s="15" t="s">
        <v>106</v>
      </c>
      <c r="J163" s="14" t="s">
        <v>70</v>
      </c>
      <c r="K163" s="53" t="s">
        <v>103</v>
      </c>
    </row>
    <row r="164" spans="3:11" ht="40.5" customHeight="1" x14ac:dyDescent="0.75">
      <c r="C164" s="15" t="s">
        <v>580</v>
      </c>
      <c r="D164" s="15" t="s">
        <v>581</v>
      </c>
      <c r="E164" s="15" t="s">
        <v>580</v>
      </c>
      <c r="F164" s="15" t="s">
        <v>96</v>
      </c>
      <c r="G164" s="15" t="s">
        <v>580</v>
      </c>
      <c r="H164" s="15" t="s">
        <v>580</v>
      </c>
      <c r="I164" s="15" t="s">
        <v>580</v>
      </c>
      <c r="J164" s="14" t="s">
        <v>582</v>
      </c>
      <c r="K164" s="61" t="s">
        <v>103</v>
      </c>
    </row>
    <row r="165" spans="3:11" ht="40.5" customHeight="1" x14ac:dyDescent="0.75">
      <c r="C165" s="15" t="s">
        <v>236</v>
      </c>
      <c r="D165" s="15" t="s">
        <v>237</v>
      </c>
      <c r="E165" s="15" t="s">
        <v>233</v>
      </c>
      <c r="F165" s="15"/>
      <c r="G165" s="14" t="s">
        <v>100</v>
      </c>
      <c r="H165" s="14"/>
      <c r="I165" s="15" t="s">
        <v>106</v>
      </c>
      <c r="J165" s="14" t="s">
        <v>35</v>
      </c>
      <c r="K165" s="53" t="s">
        <v>103</v>
      </c>
    </row>
    <row r="166" spans="3:11" ht="40.5" customHeight="1" x14ac:dyDescent="0.75">
      <c r="C166" s="67" t="s">
        <v>268</v>
      </c>
      <c r="D166" s="68"/>
      <c r="E166" s="68"/>
      <c r="F166" s="68"/>
      <c r="G166" s="69"/>
      <c r="H166" s="69"/>
      <c r="I166" s="70"/>
      <c r="J166" s="50"/>
      <c r="K166" s="68"/>
    </row>
    <row r="167" spans="3:11" ht="40.5" customHeight="1" x14ac:dyDescent="0.75">
      <c r="C167" s="14" t="s">
        <v>149</v>
      </c>
      <c r="D167" s="14" t="s">
        <v>150</v>
      </c>
      <c r="E167" s="14" t="s">
        <v>95</v>
      </c>
      <c r="F167" s="14" t="s">
        <v>96</v>
      </c>
      <c r="G167" s="14" t="s">
        <v>95</v>
      </c>
      <c r="H167" s="14"/>
      <c r="I167" s="14" t="s">
        <v>96</v>
      </c>
      <c r="J167" s="14" t="s">
        <v>583</v>
      </c>
      <c r="K167" s="61" t="s">
        <v>103</v>
      </c>
    </row>
    <row r="168" spans="3:11" ht="40.5" customHeight="1" x14ac:dyDescent="0.75">
      <c r="C168" s="14" t="s">
        <v>291</v>
      </c>
      <c r="D168" s="14" t="s">
        <v>292</v>
      </c>
      <c r="E168" s="14" t="s">
        <v>95</v>
      </c>
      <c r="F168" s="14" t="s">
        <v>96</v>
      </c>
      <c r="G168" s="14" t="s">
        <v>95</v>
      </c>
      <c r="H168" s="14"/>
      <c r="I168" s="14" t="s">
        <v>96</v>
      </c>
      <c r="J168" s="14"/>
      <c r="K168" s="61" t="s">
        <v>103</v>
      </c>
    </row>
    <row r="169" spans="3:11" ht="40.5" customHeight="1" x14ac:dyDescent="0.75">
      <c r="C169" s="14" t="s">
        <v>584</v>
      </c>
      <c r="D169" s="14" t="s">
        <v>585</v>
      </c>
      <c r="E169" s="14" t="s">
        <v>95</v>
      </c>
      <c r="F169" s="14" t="s">
        <v>96</v>
      </c>
      <c r="G169" s="14" t="s">
        <v>95</v>
      </c>
      <c r="H169" s="14"/>
      <c r="I169" s="14" t="s">
        <v>96</v>
      </c>
      <c r="J169" s="14" t="s">
        <v>586</v>
      </c>
      <c r="K169" s="61" t="s">
        <v>103</v>
      </c>
    </row>
    <row r="170" spans="3:11" ht="40.5" customHeight="1" x14ac:dyDescent="0.75">
      <c r="C170" s="15" t="s">
        <v>293</v>
      </c>
      <c r="D170" s="15" t="s">
        <v>163</v>
      </c>
      <c r="E170" s="15" t="s">
        <v>116</v>
      </c>
      <c r="F170" s="15"/>
      <c r="G170" s="14" t="s">
        <v>95</v>
      </c>
      <c r="H170" s="14" t="s">
        <v>164</v>
      </c>
      <c r="I170" s="15" t="s">
        <v>587</v>
      </c>
      <c r="J170" s="14" t="s">
        <v>588</v>
      </c>
      <c r="K170" s="53" t="s">
        <v>96</v>
      </c>
    </row>
    <row r="171" spans="3:11" ht="40.5" customHeight="1" x14ac:dyDescent="0.75">
      <c r="C171" s="15" t="s">
        <v>165</v>
      </c>
      <c r="D171" s="15" t="s">
        <v>166</v>
      </c>
      <c r="E171" s="15" t="s">
        <v>94</v>
      </c>
      <c r="F171" s="15"/>
      <c r="G171" s="14" t="s">
        <v>100</v>
      </c>
      <c r="H171" s="14"/>
      <c r="I171" s="15" t="s">
        <v>589</v>
      </c>
      <c r="J171" s="14" t="s">
        <v>296</v>
      </c>
      <c r="K171" s="53" t="s">
        <v>96</v>
      </c>
    </row>
    <row r="172" spans="3:11" ht="40.5" customHeight="1" x14ac:dyDescent="0.75">
      <c r="C172" s="15" t="s">
        <v>590</v>
      </c>
      <c r="D172" s="15" t="s">
        <v>591</v>
      </c>
      <c r="E172" s="15" t="s">
        <v>3</v>
      </c>
      <c r="F172" s="15"/>
      <c r="G172" s="14" t="s">
        <v>3</v>
      </c>
      <c r="H172" s="14" t="s">
        <v>126</v>
      </c>
      <c r="I172" s="15" t="s">
        <v>587</v>
      </c>
      <c r="J172" s="14" t="s">
        <v>592</v>
      </c>
      <c r="K172" s="53" t="s">
        <v>96</v>
      </c>
    </row>
    <row r="173" spans="3:11" ht="40.5" customHeight="1" x14ac:dyDescent="0.75">
      <c r="C173" s="15" t="s">
        <v>593</v>
      </c>
      <c r="D173" s="15" t="s">
        <v>594</v>
      </c>
      <c r="E173" s="15" t="s">
        <v>233</v>
      </c>
      <c r="F173" s="15"/>
      <c r="G173" s="14" t="s">
        <v>100</v>
      </c>
      <c r="H173" s="14"/>
      <c r="I173" s="15" t="s">
        <v>587</v>
      </c>
      <c r="J173" s="14" t="s">
        <v>595</v>
      </c>
      <c r="K173" s="61" t="s">
        <v>96</v>
      </c>
    </row>
    <row r="174" spans="3:11" ht="40.5" customHeight="1" x14ac:dyDescent="0.75">
      <c r="C174" s="14" t="s">
        <v>596</v>
      </c>
      <c r="D174" s="14" t="s">
        <v>597</v>
      </c>
      <c r="E174" s="15" t="s">
        <v>116</v>
      </c>
      <c r="F174" s="15"/>
      <c r="G174" s="14" t="s">
        <v>95</v>
      </c>
      <c r="H174" s="14" t="s">
        <v>280</v>
      </c>
      <c r="I174" s="15" t="s">
        <v>587</v>
      </c>
      <c r="J174" s="14" t="s">
        <v>598</v>
      </c>
      <c r="K174" s="61" t="s">
        <v>96</v>
      </c>
    </row>
    <row r="175" spans="3:11" ht="40.5" customHeight="1" x14ac:dyDescent="0.75">
      <c r="C175" s="16" t="s">
        <v>599</v>
      </c>
      <c r="D175" s="16" t="s">
        <v>600</v>
      </c>
      <c r="E175" s="15" t="s">
        <v>116</v>
      </c>
      <c r="F175" s="15"/>
      <c r="G175" s="14" t="s">
        <v>95</v>
      </c>
      <c r="H175" s="14" t="s">
        <v>280</v>
      </c>
      <c r="I175" s="15" t="s">
        <v>587</v>
      </c>
      <c r="J175" s="16" t="s">
        <v>601</v>
      </c>
      <c r="K175" s="61" t="s">
        <v>96</v>
      </c>
    </row>
    <row r="176" spans="3:11" ht="40.5" customHeight="1" x14ac:dyDescent="0.75">
      <c r="C176" s="14" t="s">
        <v>602</v>
      </c>
      <c r="D176" s="14" t="s">
        <v>603</v>
      </c>
      <c r="E176" s="15" t="s">
        <v>116</v>
      </c>
      <c r="F176" s="15"/>
      <c r="G176" s="14" t="s">
        <v>95</v>
      </c>
      <c r="H176" s="14" t="s">
        <v>280</v>
      </c>
      <c r="I176" s="15" t="s">
        <v>587</v>
      </c>
      <c r="J176" s="14" t="s">
        <v>604</v>
      </c>
      <c r="K176" s="61" t="s">
        <v>96</v>
      </c>
    </row>
    <row r="177" spans="2:14" ht="40.5" customHeight="1" x14ac:dyDescent="0.75">
      <c r="C177" s="16" t="s">
        <v>605</v>
      </c>
      <c r="D177" s="16" t="s">
        <v>606</v>
      </c>
      <c r="E177" s="15" t="s">
        <v>116</v>
      </c>
      <c r="F177" s="15"/>
      <c r="G177" s="14" t="s">
        <v>95</v>
      </c>
      <c r="H177" s="14" t="s">
        <v>280</v>
      </c>
      <c r="I177" s="15" t="s">
        <v>587</v>
      </c>
      <c r="J177" s="16" t="s">
        <v>607</v>
      </c>
      <c r="K177" s="61" t="s">
        <v>96</v>
      </c>
    </row>
    <row r="178" spans="2:14" ht="40.5" customHeight="1" x14ac:dyDescent="0.75">
      <c r="C178" s="16" t="s">
        <v>608</v>
      </c>
      <c r="D178" s="16" t="s">
        <v>609</v>
      </c>
      <c r="E178" s="15" t="s">
        <v>116</v>
      </c>
      <c r="F178" s="15"/>
      <c r="G178" s="14" t="s">
        <v>95</v>
      </c>
      <c r="H178" s="14" t="s">
        <v>280</v>
      </c>
      <c r="I178" s="15" t="s">
        <v>587</v>
      </c>
      <c r="J178" s="16" t="s">
        <v>610</v>
      </c>
      <c r="K178" s="61" t="s">
        <v>96</v>
      </c>
    </row>
    <row r="179" spans="2:14" ht="40.5" customHeight="1" x14ac:dyDescent="0.75">
      <c r="C179" s="16" t="s">
        <v>611</v>
      </c>
      <c r="D179" s="16" t="s">
        <v>612</v>
      </c>
      <c r="E179" s="15" t="s">
        <v>116</v>
      </c>
      <c r="F179" s="15"/>
      <c r="G179" s="14" t="s">
        <v>95</v>
      </c>
      <c r="H179" s="14" t="s">
        <v>280</v>
      </c>
      <c r="I179" s="15" t="s">
        <v>587</v>
      </c>
      <c r="J179" s="16" t="s">
        <v>613</v>
      </c>
      <c r="K179" s="61" t="s">
        <v>96</v>
      </c>
    </row>
    <row r="180" spans="2:14" ht="40.5" customHeight="1" x14ac:dyDescent="0.75">
      <c r="C180" s="76" t="s">
        <v>614</v>
      </c>
      <c r="D180" s="76" t="s">
        <v>615</v>
      </c>
      <c r="E180" s="76" t="s">
        <v>116</v>
      </c>
      <c r="F180" s="76"/>
      <c r="G180" s="14" t="s">
        <v>95</v>
      </c>
      <c r="H180" s="14" t="s">
        <v>280</v>
      </c>
      <c r="I180" s="15" t="s">
        <v>587</v>
      </c>
      <c r="J180" s="16" t="s">
        <v>616</v>
      </c>
      <c r="K180" s="61" t="s">
        <v>96</v>
      </c>
    </row>
    <row r="181" spans="2:14" ht="40.5" customHeight="1" x14ac:dyDescent="0.75">
      <c r="C181" s="76" t="s">
        <v>617</v>
      </c>
      <c r="D181" s="76" t="s">
        <v>618</v>
      </c>
      <c r="E181" s="76" t="s">
        <v>116</v>
      </c>
      <c r="F181" s="76"/>
      <c r="G181" s="14" t="s">
        <v>95</v>
      </c>
      <c r="H181" s="14" t="s">
        <v>280</v>
      </c>
      <c r="I181" s="15" t="s">
        <v>587</v>
      </c>
      <c r="J181" s="16" t="s">
        <v>619</v>
      </c>
      <c r="K181" s="61" t="s">
        <v>96</v>
      </c>
    </row>
    <row r="182" spans="2:14" ht="40.5" customHeight="1" x14ac:dyDescent="0.75">
      <c r="C182" s="16" t="s">
        <v>620</v>
      </c>
      <c r="D182" s="16" t="s">
        <v>621</v>
      </c>
      <c r="E182" s="15" t="s">
        <v>116</v>
      </c>
      <c r="F182" s="15"/>
      <c r="G182" s="14" t="s">
        <v>95</v>
      </c>
      <c r="H182" s="14" t="s">
        <v>280</v>
      </c>
      <c r="I182" s="15" t="s">
        <v>587</v>
      </c>
      <c r="J182" s="16" t="s">
        <v>622</v>
      </c>
      <c r="K182" s="61" t="s">
        <v>96</v>
      </c>
    </row>
    <row r="183" spans="2:14" ht="40.5" customHeight="1" x14ac:dyDescent="0.75">
      <c r="C183" s="76" t="s">
        <v>623</v>
      </c>
      <c r="D183" s="76" t="s">
        <v>624</v>
      </c>
      <c r="E183" s="76" t="s">
        <v>116</v>
      </c>
      <c r="F183" s="76"/>
      <c r="G183" s="14" t="s">
        <v>95</v>
      </c>
      <c r="H183" s="14" t="s">
        <v>280</v>
      </c>
      <c r="I183" s="15" t="s">
        <v>587</v>
      </c>
      <c r="J183" s="16" t="s">
        <v>625</v>
      </c>
      <c r="K183" s="61" t="s">
        <v>96</v>
      </c>
    </row>
    <row r="184" spans="2:14" ht="40.5" customHeight="1" x14ac:dyDescent="0.75">
      <c r="C184" s="76" t="s">
        <v>626</v>
      </c>
      <c r="D184" s="76" t="s">
        <v>627</v>
      </c>
      <c r="E184" s="76" t="s">
        <v>116</v>
      </c>
      <c r="F184" s="76"/>
      <c r="G184" s="14" t="s">
        <v>95</v>
      </c>
      <c r="H184" s="14" t="s">
        <v>280</v>
      </c>
      <c r="I184" s="15" t="s">
        <v>587</v>
      </c>
      <c r="J184" s="14" t="s">
        <v>628</v>
      </c>
      <c r="K184" s="61" t="s">
        <v>96</v>
      </c>
    </row>
    <row r="185" spans="2:14" ht="40.5" customHeight="1" x14ac:dyDescent="0.75">
      <c r="C185" s="76" t="s">
        <v>629</v>
      </c>
      <c r="D185" s="76" t="s">
        <v>630</v>
      </c>
      <c r="E185" s="76" t="s">
        <v>116</v>
      </c>
      <c r="F185" s="76"/>
      <c r="G185" s="14" t="s">
        <v>95</v>
      </c>
      <c r="H185" s="14" t="s">
        <v>631</v>
      </c>
      <c r="I185" s="15" t="s">
        <v>632</v>
      </c>
      <c r="J185" s="14" t="s">
        <v>633</v>
      </c>
      <c r="K185" s="53" t="s">
        <v>96</v>
      </c>
    </row>
    <row r="186" spans="2:14" ht="40.5" customHeight="1" x14ac:dyDescent="0.75">
      <c r="C186" s="15" t="s">
        <v>634</v>
      </c>
      <c r="D186" s="15" t="s">
        <v>635</v>
      </c>
      <c r="E186" s="15" t="s">
        <v>94</v>
      </c>
      <c r="F186" s="15"/>
      <c r="G186" s="14" t="s">
        <v>100</v>
      </c>
      <c r="H186" s="14"/>
      <c r="I186" s="15" t="s">
        <v>636</v>
      </c>
      <c r="J186" s="14" t="s">
        <v>637</v>
      </c>
      <c r="K186" s="53" t="s">
        <v>96</v>
      </c>
    </row>
    <row r="187" spans="2:14" s="58" customFormat="1" ht="40.5" customHeight="1" x14ac:dyDescent="0.75">
      <c r="B187" s="81"/>
      <c r="C187" s="14" t="s">
        <v>638</v>
      </c>
      <c r="D187" s="14" t="s">
        <v>639</v>
      </c>
      <c r="E187" s="14" t="s">
        <v>505</v>
      </c>
      <c r="F187" s="14"/>
      <c r="G187" s="14" t="s">
        <v>95</v>
      </c>
      <c r="H187" s="14" t="s">
        <v>640</v>
      </c>
      <c r="I187" s="14" t="s">
        <v>96</v>
      </c>
      <c r="J187" s="14" t="s">
        <v>641</v>
      </c>
      <c r="K187" s="53" t="s">
        <v>96</v>
      </c>
      <c r="L187" s="44"/>
      <c r="M187" s="44"/>
      <c r="N187" s="44"/>
    </row>
    <row r="188" spans="2:14" ht="40.5" customHeight="1" x14ac:dyDescent="0.75">
      <c r="C188" s="82" t="s">
        <v>642</v>
      </c>
      <c r="D188" s="82" t="s">
        <v>643</v>
      </c>
      <c r="E188" s="15" t="s">
        <v>116</v>
      </c>
      <c r="F188" s="76"/>
      <c r="G188" s="16" t="s">
        <v>95</v>
      </c>
      <c r="H188" s="14" t="s">
        <v>644</v>
      </c>
      <c r="I188" s="16" t="s">
        <v>645</v>
      </c>
      <c r="J188" s="16" t="s">
        <v>646</v>
      </c>
      <c r="K188" s="59" t="s">
        <v>96</v>
      </c>
    </row>
    <row r="189" spans="2:14" ht="40.5" customHeight="1" x14ac:dyDescent="0.75">
      <c r="C189" s="16" t="s">
        <v>647</v>
      </c>
      <c r="D189" s="16" t="s">
        <v>648</v>
      </c>
      <c r="E189" s="16" t="s">
        <v>549</v>
      </c>
      <c r="F189" s="16"/>
      <c r="G189" s="14" t="s">
        <v>95</v>
      </c>
      <c r="H189" s="14" t="s">
        <v>649</v>
      </c>
      <c r="I189" s="16" t="s">
        <v>645</v>
      </c>
      <c r="J189" s="14" t="s">
        <v>650</v>
      </c>
      <c r="K189" s="53" t="s">
        <v>96</v>
      </c>
    </row>
    <row r="190" spans="2:14" ht="40.5" customHeight="1" x14ac:dyDescent="0.75">
      <c r="C190" s="82" t="s">
        <v>651</v>
      </c>
      <c r="D190" s="82" t="s">
        <v>652</v>
      </c>
      <c r="E190" s="82" t="s">
        <v>505</v>
      </c>
      <c r="F190" s="82"/>
      <c r="G190" s="14" t="s">
        <v>95</v>
      </c>
      <c r="H190" s="14" t="s">
        <v>653</v>
      </c>
      <c r="I190" s="16" t="s">
        <v>645</v>
      </c>
      <c r="J190" s="14" t="s">
        <v>654</v>
      </c>
      <c r="K190" s="53" t="s">
        <v>96</v>
      </c>
    </row>
    <row r="191" spans="2:14" ht="40.5" customHeight="1" x14ac:dyDescent="0.75">
      <c r="C191" s="82" t="s">
        <v>655</v>
      </c>
      <c r="D191" s="82" t="s">
        <v>656</v>
      </c>
      <c r="E191" s="82" t="s">
        <v>505</v>
      </c>
      <c r="F191" s="82"/>
      <c r="G191" s="14" t="s">
        <v>95</v>
      </c>
      <c r="H191" s="14" t="s">
        <v>657</v>
      </c>
      <c r="I191" s="14" t="s">
        <v>96</v>
      </c>
      <c r="J191" s="14" t="s">
        <v>658</v>
      </c>
      <c r="K191" s="53" t="s">
        <v>96</v>
      </c>
    </row>
    <row r="192" spans="2:14" ht="40.5" customHeight="1" x14ac:dyDescent="0.75">
      <c r="C192" s="82" t="s">
        <v>659</v>
      </c>
      <c r="D192" s="82" t="s">
        <v>660</v>
      </c>
      <c r="E192" s="82" t="s">
        <v>505</v>
      </c>
      <c r="F192" s="82"/>
      <c r="G192" s="14" t="s">
        <v>95</v>
      </c>
      <c r="H192" s="14" t="s">
        <v>661</v>
      </c>
      <c r="I192" s="15" t="s">
        <v>662</v>
      </c>
      <c r="J192" s="14" t="s">
        <v>663</v>
      </c>
      <c r="K192" s="53" t="s">
        <v>96</v>
      </c>
    </row>
    <row r="193" spans="2:14" ht="40.5" customHeight="1" x14ac:dyDescent="0.75">
      <c r="C193" s="82" t="s">
        <v>664</v>
      </c>
      <c r="D193" s="82" t="s">
        <v>665</v>
      </c>
      <c r="E193" s="82" t="s">
        <v>505</v>
      </c>
      <c r="F193" s="82"/>
      <c r="G193" s="14" t="s">
        <v>95</v>
      </c>
      <c r="H193" s="14" t="s">
        <v>666</v>
      </c>
      <c r="I193" s="14" t="s">
        <v>667</v>
      </c>
      <c r="J193" s="14" t="s">
        <v>668</v>
      </c>
      <c r="K193" s="53" t="s">
        <v>96</v>
      </c>
    </row>
    <row r="194" spans="2:14" ht="40.5" customHeight="1" x14ac:dyDescent="0.75">
      <c r="C194" s="82" t="s">
        <v>669</v>
      </c>
      <c r="D194" s="82" t="s">
        <v>670</v>
      </c>
      <c r="E194" s="82" t="s">
        <v>505</v>
      </c>
      <c r="F194" s="82"/>
      <c r="G194" s="14" t="s">
        <v>95</v>
      </c>
      <c r="H194" s="14" t="s">
        <v>671</v>
      </c>
      <c r="I194" s="14" t="s">
        <v>96</v>
      </c>
      <c r="J194" s="14" t="s">
        <v>672</v>
      </c>
      <c r="K194" s="53" t="s">
        <v>96</v>
      </c>
    </row>
    <row r="195" spans="2:14" ht="40.5" customHeight="1" x14ac:dyDescent="0.75">
      <c r="C195" s="82" t="s">
        <v>664</v>
      </c>
      <c r="D195" s="82" t="s">
        <v>673</v>
      </c>
      <c r="E195" s="82" t="s">
        <v>505</v>
      </c>
      <c r="F195" s="82"/>
      <c r="G195" s="14" t="s">
        <v>95</v>
      </c>
      <c r="H195" s="14" t="s">
        <v>674</v>
      </c>
      <c r="I195" s="83" t="s">
        <v>675</v>
      </c>
      <c r="J195" s="14" t="s">
        <v>676</v>
      </c>
      <c r="K195" s="53" t="s">
        <v>96</v>
      </c>
    </row>
    <row r="196" spans="2:14" ht="40.5" customHeight="1" x14ac:dyDescent="0.75">
      <c r="C196" s="82" t="s">
        <v>677</v>
      </c>
      <c r="D196" s="82" t="s">
        <v>678</v>
      </c>
      <c r="E196" s="82" t="s">
        <v>505</v>
      </c>
      <c r="F196" s="82"/>
      <c r="G196" s="14" t="s">
        <v>95</v>
      </c>
      <c r="H196" s="14" t="s">
        <v>679</v>
      </c>
      <c r="I196" s="14" t="s">
        <v>96</v>
      </c>
      <c r="J196" s="14" t="s">
        <v>680</v>
      </c>
      <c r="K196" s="53" t="s">
        <v>96</v>
      </c>
    </row>
    <row r="197" spans="2:14" ht="40.5" customHeight="1" x14ac:dyDescent="0.75">
      <c r="C197" s="67" t="s">
        <v>20</v>
      </c>
      <c r="D197" s="68"/>
      <c r="E197" s="68"/>
      <c r="F197" s="68"/>
      <c r="G197" s="69"/>
      <c r="H197" s="69"/>
      <c r="I197" s="70"/>
      <c r="J197" s="50"/>
      <c r="K197" s="68"/>
    </row>
    <row r="198" spans="2:14" ht="40.5" customHeight="1" x14ac:dyDescent="0.75">
      <c r="C198" s="14" t="s">
        <v>149</v>
      </c>
      <c r="D198" s="14" t="s">
        <v>150</v>
      </c>
      <c r="E198" s="14" t="s">
        <v>95</v>
      </c>
      <c r="F198" s="14" t="s">
        <v>96</v>
      </c>
      <c r="G198" s="14" t="s">
        <v>95</v>
      </c>
      <c r="H198" s="14"/>
      <c r="I198" s="14" t="s">
        <v>96</v>
      </c>
      <c r="J198" s="14" t="s">
        <v>681</v>
      </c>
      <c r="K198" s="61" t="s">
        <v>103</v>
      </c>
    </row>
    <row r="199" spans="2:14" ht="40.5" customHeight="1" x14ac:dyDescent="0.75">
      <c r="C199" s="14" t="s">
        <v>682</v>
      </c>
      <c r="D199" s="14" t="s">
        <v>683</v>
      </c>
      <c r="E199" s="14" t="s">
        <v>95</v>
      </c>
      <c r="F199" s="14" t="s">
        <v>96</v>
      </c>
      <c r="G199" s="14" t="s">
        <v>95</v>
      </c>
      <c r="H199" s="14"/>
      <c r="I199" s="14" t="s">
        <v>96</v>
      </c>
      <c r="J199" s="14" t="s">
        <v>684</v>
      </c>
      <c r="K199" s="61" t="s">
        <v>96</v>
      </c>
    </row>
    <row r="200" spans="2:14" ht="40.5" customHeight="1" x14ac:dyDescent="0.75">
      <c r="C200" s="76" t="s">
        <v>685</v>
      </c>
      <c r="D200" s="76" t="s">
        <v>686</v>
      </c>
      <c r="E200" s="76" t="s">
        <v>116</v>
      </c>
      <c r="F200" s="76"/>
      <c r="G200" s="14" t="s">
        <v>95</v>
      </c>
      <c r="H200" s="14" t="s">
        <v>687</v>
      </c>
      <c r="I200" s="15" t="s">
        <v>96</v>
      </c>
      <c r="J200" s="14" t="s">
        <v>688</v>
      </c>
      <c r="K200" s="53" t="s">
        <v>96</v>
      </c>
    </row>
    <row r="201" spans="2:14" ht="40.5" customHeight="1" x14ac:dyDescent="0.75">
      <c r="C201" s="15" t="s">
        <v>689</v>
      </c>
      <c r="D201" s="15" t="s">
        <v>690</v>
      </c>
      <c r="E201" s="15" t="s">
        <v>3</v>
      </c>
      <c r="F201" s="15"/>
      <c r="G201" s="14" t="s">
        <v>3</v>
      </c>
      <c r="H201" s="14" t="s">
        <v>126</v>
      </c>
      <c r="I201" s="15" t="s">
        <v>96</v>
      </c>
      <c r="J201" s="14" t="s">
        <v>691</v>
      </c>
      <c r="K201" s="53" t="s">
        <v>96</v>
      </c>
    </row>
    <row r="202" spans="2:14" ht="40.5" customHeight="1" x14ac:dyDescent="0.75">
      <c r="C202" s="76" t="s">
        <v>692</v>
      </c>
      <c r="D202" s="76" t="s">
        <v>693</v>
      </c>
      <c r="E202" s="76" t="s">
        <v>116</v>
      </c>
      <c r="F202" s="76"/>
      <c r="G202" s="14" t="s">
        <v>95</v>
      </c>
      <c r="H202" s="14" t="s">
        <v>694</v>
      </c>
      <c r="I202" s="15" t="s">
        <v>695</v>
      </c>
      <c r="J202" s="14" t="s">
        <v>696</v>
      </c>
      <c r="K202" s="53" t="s">
        <v>96</v>
      </c>
    </row>
    <row r="203" spans="2:14" ht="40.5" customHeight="1" x14ac:dyDescent="0.75">
      <c r="C203" s="15" t="s">
        <v>697</v>
      </c>
      <c r="D203" s="15" t="s">
        <v>698</v>
      </c>
      <c r="E203" s="15" t="s">
        <v>94</v>
      </c>
      <c r="F203" s="15"/>
      <c r="G203" s="14" t="s">
        <v>100</v>
      </c>
      <c r="H203" s="14"/>
      <c r="I203" s="15" t="s">
        <v>699</v>
      </c>
      <c r="J203" s="14" t="s">
        <v>700</v>
      </c>
      <c r="K203" s="53" t="s">
        <v>96</v>
      </c>
    </row>
    <row r="204" spans="2:14" ht="40.5" customHeight="1" x14ac:dyDescent="0.75">
      <c r="C204" s="67" t="s">
        <v>21</v>
      </c>
      <c r="D204" s="68"/>
      <c r="E204" s="68"/>
      <c r="F204" s="68"/>
      <c r="G204" s="69"/>
      <c r="H204" s="69"/>
      <c r="I204" s="70"/>
      <c r="J204" s="50"/>
      <c r="K204" s="68"/>
    </row>
    <row r="205" spans="2:14" ht="40.5" customHeight="1" x14ac:dyDescent="0.75">
      <c r="C205" s="14" t="s">
        <v>149</v>
      </c>
      <c r="D205" s="14" t="s">
        <v>150</v>
      </c>
      <c r="E205" s="14" t="s">
        <v>95</v>
      </c>
      <c r="F205" s="14" t="s">
        <v>96</v>
      </c>
      <c r="G205" s="14" t="s">
        <v>95</v>
      </c>
      <c r="H205" s="14"/>
      <c r="I205" s="14" t="s">
        <v>96</v>
      </c>
      <c r="J205" s="14" t="s">
        <v>701</v>
      </c>
      <c r="K205" s="61" t="s">
        <v>103</v>
      </c>
    </row>
    <row r="206" spans="2:14" s="85" customFormat="1" ht="40.5" customHeight="1" x14ac:dyDescent="0.75">
      <c r="B206" s="84"/>
      <c r="C206" s="14" t="s">
        <v>291</v>
      </c>
      <c r="D206" s="14" t="s">
        <v>292</v>
      </c>
      <c r="E206" s="14" t="s">
        <v>95</v>
      </c>
      <c r="F206" s="14" t="s">
        <v>96</v>
      </c>
      <c r="G206" s="14" t="s">
        <v>95</v>
      </c>
      <c r="H206" s="14"/>
      <c r="I206" s="14" t="s">
        <v>96</v>
      </c>
      <c r="J206" s="14"/>
      <c r="K206" s="61" t="s">
        <v>103</v>
      </c>
      <c r="L206" s="44"/>
      <c r="M206" s="44"/>
      <c r="N206" s="44"/>
    </row>
    <row r="207" spans="2:14" ht="40.5" customHeight="1" x14ac:dyDescent="0.75">
      <c r="C207" s="14" t="s">
        <v>702</v>
      </c>
      <c r="D207" s="14" t="s">
        <v>703</v>
      </c>
      <c r="E207" s="14" t="s">
        <v>95</v>
      </c>
      <c r="F207" s="14" t="s">
        <v>96</v>
      </c>
      <c r="G207" s="14" t="s">
        <v>95</v>
      </c>
      <c r="H207" s="14"/>
      <c r="I207" s="14" t="s">
        <v>96</v>
      </c>
      <c r="J207" s="14" t="s">
        <v>704</v>
      </c>
      <c r="K207" s="61" t="s">
        <v>96</v>
      </c>
    </row>
    <row r="208" spans="2:14" ht="40.5" customHeight="1" x14ac:dyDescent="0.75">
      <c r="B208" s="86"/>
      <c r="C208" s="76" t="s">
        <v>705</v>
      </c>
      <c r="D208" s="76" t="s">
        <v>706</v>
      </c>
      <c r="E208" s="76" t="s">
        <v>116</v>
      </c>
      <c r="F208" s="76"/>
      <c r="G208" s="14" t="s">
        <v>95</v>
      </c>
      <c r="H208" s="14" t="s">
        <v>216</v>
      </c>
      <c r="I208" s="15" t="s">
        <v>101</v>
      </c>
      <c r="J208" s="14" t="s">
        <v>707</v>
      </c>
      <c r="K208" s="53" t="s">
        <v>96</v>
      </c>
    </row>
    <row r="209" spans="2:11" ht="40.5" customHeight="1" x14ac:dyDescent="0.75">
      <c r="B209" s="86"/>
      <c r="C209" s="76" t="s">
        <v>708</v>
      </c>
      <c r="D209" s="76" t="s">
        <v>709</v>
      </c>
      <c r="E209" s="76" t="s">
        <v>116</v>
      </c>
      <c r="F209" s="76"/>
      <c r="G209" s="14" t="s">
        <v>95</v>
      </c>
      <c r="H209" s="14" t="s">
        <v>710</v>
      </c>
      <c r="I209" s="14" t="s">
        <v>711</v>
      </c>
      <c r="J209" s="14"/>
      <c r="K209" s="53" t="s">
        <v>103</v>
      </c>
    </row>
    <row r="210" spans="2:11" ht="40.5" customHeight="1" x14ac:dyDescent="0.75">
      <c r="B210" s="86"/>
      <c r="C210" s="15" t="s">
        <v>712</v>
      </c>
      <c r="D210" s="15" t="s">
        <v>713</v>
      </c>
      <c r="E210" s="15" t="s">
        <v>3</v>
      </c>
      <c r="F210" s="15"/>
      <c r="G210" s="14" t="s">
        <v>3</v>
      </c>
      <c r="H210" s="14" t="s">
        <v>126</v>
      </c>
      <c r="I210" s="14" t="s">
        <v>714</v>
      </c>
      <c r="J210" s="14" t="s">
        <v>715</v>
      </c>
      <c r="K210" s="53" t="s">
        <v>96</v>
      </c>
    </row>
    <row r="211" spans="2:11" ht="40.5" customHeight="1" x14ac:dyDescent="0.75">
      <c r="B211" s="86"/>
      <c r="C211" s="15" t="s">
        <v>716</v>
      </c>
      <c r="D211" s="15" t="s">
        <v>717</v>
      </c>
      <c r="E211" s="15" t="s">
        <v>233</v>
      </c>
      <c r="F211" s="15"/>
      <c r="G211" s="14" t="s">
        <v>100</v>
      </c>
      <c r="H211" s="14"/>
      <c r="I211" s="14" t="s">
        <v>714</v>
      </c>
      <c r="J211" s="14" t="s">
        <v>718</v>
      </c>
      <c r="K211" s="53" t="s">
        <v>96</v>
      </c>
    </row>
    <row r="212" spans="2:11" ht="40.5" customHeight="1" x14ac:dyDescent="0.75">
      <c r="B212" s="86"/>
      <c r="C212" s="76" t="s">
        <v>719</v>
      </c>
      <c r="D212" s="76" t="s">
        <v>720</v>
      </c>
      <c r="E212" s="76" t="s">
        <v>116</v>
      </c>
      <c r="F212" s="76"/>
      <c r="G212" s="14" t="s">
        <v>95</v>
      </c>
      <c r="H212" s="14" t="s">
        <v>721</v>
      </c>
      <c r="I212" s="14" t="s">
        <v>714</v>
      </c>
      <c r="J212" s="14" t="s">
        <v>722</v>
      </c>
      <c r="K212" s="53" t="s">
        <v>96</v>
      </c>
    </row>
    <row r="213" spans="2:11" ht="40.5" customHeight="1" x14ac:dyDescent="0.75">
      <c r="B213" s="86"/>
      <c r="C213" s="14" t="s">
        <v>723</v>
      </c>
      <c r="D213" s="76" t="s">
        <v>724</v>
      </c>
      <c r="E213" s="14" t="s">
        <v>116</v>
      </c>
      <c r="F213" s="14"/>
      <c r="G213" s="14" t="s">
        <v>95</v>
      </c>
      <c r="H213" s="14" t="s">
        <v>270</v>
      </c>
      <c r="I213" s="14" t="s">
        <v>96</v>
      </c>
      <c r="J213" s="14" t="s">
        <v>725</v>
      </c>
      <c r="K213" s="61" t="s">
        <v>103</v>
      </c>
    </row>
    <row r="214" spans="2:11" ht="40.5" customHeight="1" x14ac:dyDescent="0.75">
      <c r="B214" s="86"/>
      <c r="C214" s="14" t="s">
        <v>726</v>
      </c>
      <c r="D214" s="76" t="s">
        <v>727</v>
      </c>
      <c r="E214" s="14" t="s">
        <v>116</v>
      </c>
      <c r="F214" s="14"/>
      <c r="G214" s="14" t="s">
        <v>95</v>
      </c>
      <c r="H214" s="14" t="s">
        <v>270</v>
      </c>
      <c r="I214" s="14" t="s">
        <v>96</v>
      </c>
      <c r="J214" s="14" t="s">
        <v>728</v>
      </c>
      <c r="K214" s="61" t="s">
        <v>103</v>
      </c>
    </row>
    <row r="215" spans="2:11" ht="40.5" customHeight="1" x14ac:dyDescent="0.75">
      <c r="B215" s="86"/>
      <c r="C215" s="14" t="s">
        <v>729</v>
      </c>
      <c r="D215" s="14" t="s">
        <v>730</v>
      </c>
      <c r="E215" s="14" t="s">
        <v>116</v>
      </c>
      <c r="F215" s="14"/>
      <c r="G215" s="14" t="s">
        <v>95</v>
      </c>
      <c r="H215" s="14" t="s">
        <v>270</v>
      </c>
      <c r="I215" s="14" t="s">
        <v>96</v>
      </c>
      <c r="J215" s="14" t="s">
        <v>731</v>
      </c>
      <c r="K215" s="61" t="s">
        <v>103</v>
      </c>
    </row>
    <row r="216" spans="2:11" ht="40.5" customHeight="1" x14ac:dyDescent="0.75">
      <c r="B216" s="86"/>
      <c r="C216" s="14" t="s">
        <v>732</v>
      </c>
      <c r="D216" s="14" t="s">
        <v>733</v>
      </c>
      <c r="E216" s="14" t="s">
        <v>116</v>
      </c>
      <c r="F216" s="14"/>
      <c r="G216" s="14" t="s">
        <v>95</v>
      </c>
      <c r="H216" s="14" t="s">
        <v>270</v>
      </c>
      <c r="I216" s="14" t="s">
        <v>96</v>
      </c>
      <c r="J216" s="14" t="s">
        <v>734</v>
      </c>
      <c r="K216" s="61" t="s">
        <v>103</v>
      </c>
    </row>
    <row r="217" spans="2:11" ht="40.5" customHeight="1" x14ac:dyDescent="0.75">
      <c r="B217" s="86"/>
      <c r="C217" s="14" t="s">
        <v>735</v>
      </c>
      <c r="D217" s="14" t="s">
        <v>736</v>
      </c>
      <c r="E217" s="14" t="s">
        <v>116</v>
      </c>
      <c r="F217" s="14"/>
      <c r="G217" s="14" t="s">
        <v>95</v>
      </c>
      <c r="H217" s="14" t="s">
        <v>270</v>
      </c>
      <c r="I217" s="14" t="s">
        <v>96</v>
      </c>
      <c r="J217" s="14" t="s">
        <v>737</v>
      </c>
      <c r="K217" s="61" t="s">
        <v>103</v>
      </c>
    </row>
    <row r="218" spans="2:11" ht="40.5" customHeight="1" x14ac:dyDescent="0.75">
      <c r="B218" s="86"/>
      <c r="C218" s="76" t="s">
        <v>738</v>
      </c>
      <c r="D218" s="76" t="s">
        <v>739</v>
      </c>
      <c r="E218" s="76" t="s">
        <v>116</v>
      </c>
      <c r="F218" s="76"/>
      <c r="G218" s="14" t="s">
        <v>95</v>
      </c>
      <c r="H218" s="14" t="s">
        <v>740</v>
      </c>
      <c r="I218" s="14" t="s">
        <v>96</v>
      </c>
      <c r="J218" s="14" t="s">
        <v>741</v>
      </c>
      <c r="K218" s="53" t="s">
        <v>96</v>
      </c>
    </row>
    <row r="219" spans="2:11" ht="40.5" customHeight="1" x14ac:dyDescent="0.75">
      <c r="B219" s="86"/>
      <c r="C219" s="76" t="s">
        <v>742</v>
      </c>
      <c r="D219" s="76" t="s">
        <v>743</v>
      </c>
      <c r="E219" s="76" t="s">
        <v>116</v>
      </c>
      <c r="F219" s="76"/>
      <c r="G219" s="14" t="s">
        <v>95</v>
      </c>
      <c r="H219" s="14" t="s">
        <v>744</v>
      </c>
      <c r="I219" s="15" t="s">
        <v>745</v>
      </c>
      <c r="J219" s="14" t="s">
        <v>746</v>
      </c>
      <c r="K219" s="53" t="s">
        <v>103</v>
      </c>
    </row>
    <row r="220" spans="2:11" ht="40.5" customHeight="1" x14ac:dyDescent="0.75">
      <c r="B220" s="86"/>
      <c r="C220" s="15" t="s">
        <v>747</v>
      </c>
      <c r="D220" s="15" t="s">
        <v>748</v>
      </c>
      <c r="E220" s="15" t="s">
        <v>94</v>
      </c>
      <c r="F220" s="15"/>
      <c r="G220" s="14" t="s">
        <v>100</v>
      </c>
      <c r="H220" s="14"/>
      <c r="I220" s="15" t="s">
        <v>745</v>
      </c>
      <c r="J220" s="14" t="s">
        <v>749</v>
      </c>
      <c r="K220" s="53" t="s">
        <v>96</v>
      </c>
    </row>
    <row r="221" spans="2:11" ht="40.5" customHeight="1" x14ac:dyDescent="0.75">
      <c r="B221" s="86"/>
      <c r="C221" s="16" t="s">
        <v>750</v>
      </c>
      <c r="D221" s="16" t="s">
        <v>751</v>
      </c>
      <c r="E221" s="16" t="s">
        <v>549</v>
      </c>
      <c r="F221" s="16"/>
      <c r="G221" s="14" t="s">
        <v>95</v>
      </c>
      <c r="H221" s="14" t="s">
        <v>280</v>
      </c>
      <c r="I221" s="15" t="s">
        <v>745</v>
      </c>
      <c r="J221" s="14" t="s">
        <v>752</v>
      </c>
      <c r="K221" s="53" t="s">
        <v>96</v>
      </c>
    </row>
    <row r="222" spans="2:11" ht="40.5" customHeight="1" x14ac:dyDescent="0.75">
      <c r="B222" s="86"/>
      <c r="C222" s="14" t="s">
        <v>753</v>
      </c>
      <c r="D222" s="14" t="s">
        <v>754</v>
      </c>
      <c r="E222" s="15" t="s">
        <v>94</v>
      </c>
      <c r="F222" s="15"/>
      <c r="G222" s="14" t="s">
        <v>100</v>
      </c>
      <c r="H222" s="14"/>
      <c r="I222" s="14" t="s">
        <v>755</v>
      </c>
      <c r="J222" s="14" t="s">
        <v>756</v>
      </c>
      <c r="K222" s="53" t="s">
        <v>96</v>
      </c>
    </row>
    <row r="223" spans="2:11" ht="40.5" customHeight="1" x14ac:dyDescent="0.75">
      <c r="B223" s="86"/>
      <c r="C223" s="76" t="s">
        <v>757</v>
      </c>
      <c r="D223" s="76" t="s">
        <v>758</v>
      </c>
      <c r="E223" s="76" t="s">
        <v>116</v>
      </c>
      <c r="F223" s="76"/>
      <c r="G223" s="14" t="s">
        <v>95</v>
      </c>
      <c r="H223" s="14" t="s">
        <v>759</v>
      </c>
      <c r="I223" s="14" t="s">
        <v>96</v>
      </c>
      <c r="J223" s="14" t="s">
        <v>760</v>
      </c>
      <c r="K223" s="53" t="s">
        <v>103</v>
      </c>
    </row>
    <row r="224" spans="2:11" ht="40.5" customHeight="1" x14ac:dyDescent="0.75">
      <c r="B224" s="86"/>
      <c r="C224" s="15" t="s">
        <v>761</v>
      </c>
      <c r="D224" s="15" t="s">
        <v>762</v>
      </c>
      <c r="E224" s="15" t="s">
        <v>3</v>
      </c>
      <c r="F224" s="15"/>
      <c r="G224" s="14" t="s">
        <v>3</v>
      </c>
      <c r="H224" s="14" t="s">
        <v>126</v>
      </c>
      <c r="I224" s="15" t="s">
        <v>763</v>
      </c>
      <c r="J224" s="14" t="s">
        <v>764</v>
      </c>
      <c r="K224" s="53" t="s">
        <v>103</v>
      </c>
    </row>
    <row r="225" spans="2:11" ht="40.5" customHeight="1" x14ac:dyDescent="0.75">
      <c r="B225" s="86"/>
      <c r="C225" s="16" t="s">
        <v>765</v>
      </c>
      <c r="D225" s="16" t="s">
        <v>766</v>
      </c>
      <c r="E225" s="16" t="s">
        <v>116</v>
      </c>
      <c r="F225" s="16"/>
      <c r="G225" s="14" t="s">
        <v>95</v>
      </c>
      <c r="H225" s="14" t="s">
        <v>280</v>
      </c>
      <c r="I225" s="14" t="s">
        <v>763</v>
      </c>
      <c r="J225" s="14" t="s">
        <v>767</v>
      </c>
      <c r="K225" s="61" t="s">
        <v>103</v>
      </c>
    </row>
    <row r="226" spans="2:11" ht="40.5" customHeight="1" x14ac:dyDescent="0.75">
      <c r="B226" s="86"/>
      <c r="C226" s="76" t="s">
        <v>768</v>
      </c>
      <c r="D226" s="76" t="s">
        <v>769</v>
      </c>
      <c r="E226" s="76" t="s">
        <v>116</v>
      </c>
      <c r="F226" s="76"/>
      <c r="G226" s="14" t="s">
        <v>95</v>
      </c>
      <c r="H226" s="14" t="s">
        <v>280</v>
      </c>
      <c r="I226" s="15" t="s">
        <v>101</v>
      </c>
      <c r="J226" s="14" t="s">
        <v>770</v>
      </c>
      <c r="K226" s="53" t="s">
        <v>96</v>
      </c>
    </row>
    <row r="227" spans="2:11" ht="40.5" customHeight="1" x14ac:dyDescent="0.75">
      <c r="B227" s="86"/>
      <c r="C227" s="15" t="s">
        <v>771</v>
      </c>
      <c r="D227" s="15" t="s">
        <v>772</v>
      </c>
      <c r="E227" s="15" t="s">
        <v>233</v>
      </c>
      <c r="F227" s="15"/>
      <c r="G227" s="14" t="s">
        <v>100</v>
      </c>
      <c r="H227" s="14"/>
      <c r="I227" s="14" t="s">
        <v>773</v>
      </c>
      <c r="J227" s="14" t="s">
        <v>774</v>
      </c>
      <c r="K227" s="53" t="s">
        <v>96</v>
      </c>
    </row>
    <row r="228" spans="2:11" ht="40.5" customHeight="1" x14ac:dyDescent="0.75">
      <c r="B228" s="86"/>
      <c r="C228" s="15" t="s">
        <v>775</v>
      </c>
      <c r="D228" s="15" t="s">
        <v>776</v>
      </c>
      <c r="E228" s="15" t="s">
        <v>233</v>
      </c>
      <c r="F228" s="15"/>
      <c r="G228" s="14" t="s">
        <v>100</v>
      </c>
      <c r="H228" s="14"/>
      <c r="I228" s="15" t="s">
        <v>106</v>
      </c>
      <c r="J228" s="14" t="s">
        <v>777</v>
      </c>
      <c r="K228" s="53" t="s">
        <v>103</v>
      </c>
    </row>
    <row r="229" spans="2:11" ht="40.5" customHeight="1" x14ac:dyDescent="0.75">
      <c r="B229" s="86"/>
      <c r="C229" s="15" t="s">
        <v>778</v>
      </c>
      <c r="D229" s="15" t="s">
        <v>779</v>
      </c>
      <c r="E229" s="15" t="s">
        <v>233</v>
      </c>
      <c r="F229" s="15"/>
      <c r="G229" s="14" t="s">
        <v>100</v>
      </c>
      <c r="H229" s="14"/>
      <c r="I229" s="15" t="s">
        <v>106</v>
      </c>
      <c r="J229" s="14" t="s">
        <v>780</v>
      </c>
      <c r="K229" s="53" t="s">
        <v>96</v>
      </c>
    </row>
    <row r="230" spans="2:11" ht="40.5" customHeight="1" x14ac:dyDescent="0.75">
      <c r="B230" s="86"/>
      <c r="C230" s="15" t="s">
        <v>781</v>
      </c>
      <c r="D230" s="15" t="s">
        <v>782</v>
      </c>
      <c r="E230" s="15" t="s">
        <v>573</v>
      </c>
      <c r="F230" s="15"/>
      <c r="G230" s="14" t="s">
        <v>783</v>
      </c>
      <c r="H230" s="14"/>
      <c r="I230" s="15" t="s">
        <v>103</v>
      </c>
      <c r="J230" s="14"/>
      <c r="K230" s="53" t="s">
        <v>103</v>
      </c>
    </row>
    <row r="231" spans="2:11" ht="40.5" customHeight="1" x14ac:dyDescent="0.75">
      <c r="C231" s="67" t="s">
        <v>22</v>
      </c>
      <c r="D231" s="68"/>
      <c r="E231" s="68"/>
      <c r="F231" s="68"/>
      <c r="G231" s="69"/>
      <c r="H231" s="69"/>
      <c r="I231" s="70"/>
      <c r="J231" s="50"/>
      <c r="K231" s="68"/>
    </row>
    <row r="232" spans="2:11" s="62" customFormat="1" ht="40.5" customHeight="1" x14ac:dyDescent="0.75">
      <c r="B232" s="78"/>
      <c r="C232" s="14" t="s">
        <v>149</v>
      </c>
      <c r="D232" s="14" t="s">
        <v>150</v>
      </c>
      <c r="E232" s="14" t="s">
        <v>95</v>
      </c>
      <c r="F232" s="14" t="s">
        <v>96</v>
      </c>
      <c r="G232" s="14" t="s">
        <v>95</v>
      </c>
      <c r="H232" s="14"/>
      <c r="I232" s="14" t="s">
        <v>96</v>
      </c>
      <c r="J232" s="14" t="s">
        <v>701</v>
      </c>
      <c r="K232" s="61" t="s">
        <v>103</v>
      </c>
    </row>
    <row r="233" spans="2:11" ht="40.5" customHeight="1" x14ac:dyDescent="0.75">
      <c r="C233" s="14" t="s">
        <v>291</v>
      </c>
      <c r="D233" s="14" t="s">
        <v>292</v>
      </c>
      <c r="E233" s="14" t="s">
        <v>95</v>
      </c>
      <c r="F233" s="14" t="s">
        <v>96</v>
      </c>
      <c r="G233" s="14" t="s">
        <v>95</v>
      </c>
      <c r="H233" s="14"/>
      <c r="I233" s="14" t="s">
        <v>96</v>
      </c>
      <c r="J233" s="14"/>
      <c r="K233" s="61" t="s">
        <v>103</v>
      </c>
    </row>
    <row r="234" spans="2:11" ht="40.5" customHeight="1" x14ac:dyDescent="0.75">
      <c r="C234" s="14" t="s">
        <v>784</v>
      </c>
      <c r="D234" s="14" t="s">
        <v>785</v>
      </c>
      <c r="E234" s="14" t="s">
        <v>95</v>
      </c>
      <c r="F234" s="14" t="s">
        <v>96</v>
      </c>
      <c r="G234" s="14" t="s">
        <v>95</v>
      </c>
      <c r="H234" s="14"/>
      <c r="I234" s="14" t="s">
        <v>96</v>
      </c>
      <c r="J234" s="14" t="s">
        <v>786</v>
      </c>
      <c r="K234" s="61" t="s">
        <v>103</v>
      </c>
    </row>
    <row r="235" spans="2:11" ht="40.5" customHeight="1" x14ac:dyDescent="0.75">
      <c r="C235" s="15" t="s">
        <v>787</v>
      </c>
      <c r="D235" s="15" t="s">
        <v>788</v>
      </c>
      <c r="E235" s="15" t="s">
        <v>233</v>
      </c>
      <c r="F235" s="15"/>
      <c r="G235" s="14" t="s">
        <v>100</v>
      </c>
      <c r="H235" s="14"/>
      <c r="I235" s="15" t="s">
        <v>106</v>
      </c>
      <c r="J235" s="14" t="s">
        <v>789</v>
      </c>
      <c r="K235" s="53" t="s">
        <v>103</v>
      </c>
    </row>
    <row r="236" spans="2:11" ht="40.5" customHeight="1" x14ac:dyDescent="0.75">
      <c r="C236" s="15" t="s">
        <v>790</v>
      </c>
      <c r="D236" s="15" t="s">
        <v>791</v>
      </c>
      <c r="E236" s="15" t="s">
        <v>3</v>
      </c>
      <c r="F236" s="15"/>
      <c r="G236" s="14" t="s">
        <v>3</v>
      </c>
      <c r="H236" s="14" t="s">
        <v>126</v>
      </c>
      <c r="I236" s="15" t="s">
        <v>106</v>
      </c>
      <c r="J236" s="14" t="s">
        <v>792</v>
      </c>
      <c r="K236" s="53" t="s">
        <v>103</v>
      </c>
    </row>
    <row r="237" spans="2:11" ht="40.5" customHeight="1" x14ac:dyDescent="0.75">
      <c r="C237" s="15" t="s">
        <v>793</v>
      </c>
      <c r="D237" s="15" t="s">
        <v>794</v>
      </c>
      <c r="E237" s="15" t="s">
        <v>233</v>
      </c>
      <c r="F237" s="15"/>
      <c r="G237" s="14" t="s">
        <v>100</v>
      </c>
      <c r="H237" s="14"/>
      <c r="I237" s="15" t="s">
        <v>106</v>
      </c>
      <c r="J237" s="14" t="s">
        <v>795</v>
      </c>
      <c r="K237" s="53" t="s">
        <v>103</v>
      </c>
    </row>
    <row r="238" spans="2:11" ht="40.5" customHeight="1" x14ac:dyDescent="0.75">
      <c r="C238" s="67" t="s">
        <v>23</v>
      </c>
      <c r="D238" s="68"/>
      <c r="E238" s="68"/>
      <c r="F238" s="68"/>
      <c r="G238" s="69"/>
      <c r="H238" s="69"/>
      <c r="I238" s="70"/>
      <c r="J238" s="50"/>
      <c r="K238" s="68"/>
    </row>
    <row r="239" spans="2:11" ht="40.5" customHeight="1" x14ac:dyDescent="0.75">
      <c r="C239" s="14" t="s">
        <v>149</v>
      </c>
      <c r="D239" s="14" t="s">
        <v>150</v>
      </c>
      <c r="E239" s="14" t="s">
        <v>95</v>
      </c>
      <c r="F239" s="14" t="s">
        <v>96</v>
      </c>
      <c r="G239" s="14" t="s">
        <v>95</v>
      </c>
      <c r="H239" s="14"/>
      <c r="I239" s="14" t="s">
        <v>96</v>
      </c>
      <c r="J239" s="14" t="s">
        <v>681</v>
      </c>
      <c r="K239" s="61" t="s">
        <v>103</v>
      </c>
    </row>
    <row r="240" spans="2:11" ht="40.5" customHeight="1" x14ac:dyDescent="0.75">
      <c r="C240" s="14" t="s">
        <v>796</v>
      </c>
      <c r="D240" s="14" t="s">
        <v>797</v>
      </c>
      <c r="E240" s="14" t="s">
        <v>95</v>
      </c>
      <c r="F240" s="14" t="s">
        <v>96</v>
      </c>
      <c r="G240" s="14" t="s">
        <v>95</v>
      </c>
      <c r="H240" s="14"/>
      <c r="I240" s="14" t="s">
        <v>96</v>
      </c>
      <c r="J240" s="14" t="s">
        <v>798</v>
      </c>
      <c r="K240" s="61" t="s">
        <v>96</v>
      </c>
    </row>
    <row r="241" spans="3:11" ht="40.5" customHeight="1" x14ac:dyDescent="0.75">
      <c r="C241" s="15" t="s">
        <v>685</v>
      </c>
      <c r="D241" s="15" t="s">
        <v>686</v>
      </c>
      <c r="E241" s="76" t="s">
        <v>116</v>
      </c>
      <c r="F241" s="76"/>
      <c r="G241" s="14" t="s">
        <v>95</v>
      </c>
      <c r="H241" s="14" t="s">
        <v>799</v>
      </c>
      <c r="I241" s="15" t="s">
        <v>101</v>
      </c>
      <c r="J241" s="14" t="s">
        <v>800</v>
      </c>
      <c r="K241" s="53" t="s">
        <v>96</v>
      </c>
    </row>
    <row r="242" spans="3:11" ht="40.5" customHeight="1" x14ac:dyDescent="0.75">
      <c r="C242" s="15" t="s">
        <v>689</v>
      </c>
      <c r="D242" s="15" t="s">
        <v>690</v>
      </c>
      <c r="E242" s="15" t="s">
        <v>3</v>
      </c>
      <c r="F242" s="15"/>
      <c r="G242" s="14" t="s">
        <v>3</v>
      </c>
      <c r="H242" s="14" t="s">
        <v>126</v>
      </c>
      <c r="I242" s="15" t="s">
        <v>101</v>
      </c>
      <c r="J242" s="14" t="s">
        <v>801</v>
      </c>
      <c r="K242" s="53" t="s">
        <v>96</v>
      </c>
    </row>
    <row r="243" spans="3:11" ht="40.5" customHeight="1" x14ac:dyDescent="0.75">
      <c r="C243" s="76" t="s">
        <v>692</v>
      </c>
      <c r="D243" s="76" t="s">
        <v>693</v>
      </c>
      <c r="E243" s="76" t="s">
        <v>116</v>
      </c>
      <c r="F243" s="76"/>
      <c r="G243" s="14" t="s">
        <v>95</v>
      </c>
      <c r="H243" s="14" t="s">
        <v>802</v>
      </c>
      <c r="I243" s="15" t="s">
        <v>101</v>
      </c>
      <c r="J243" s="14" t="s">
        <v>803</v>
      </c>
      <c r="K243" s="53" t="s">
        <v>96</v>
      </c>
    </row>
    <row r="244" spans="3:11" ht="40.5" customHeight="1" x14ac:dyDescent="0.75">
      <c r="C244" s="15" t="s">
        <v>697</v>
      </c>
      <c r="D244" s="15" t="s">
        <v>698</v>
      </c>
      <c r="E244" s="15" t="s">
        <v>94</v>
      </c>
      <c r="F244" s="15"/>
      <c r="G244" s="14" t="s">
        <v>100</v>
      </c>
      <c r="H244" s="14"/>
      <c r="I244" s="14" t="s">
        <v>699</v>
      </c>
      <c r="J244" s="14" t="s">
        <v>804</v>
      </c>
      <c r="K244" s="53" t="s">
        <v>96</v>
      </c>
    </row>
    <row r="245" spans="3:11" ht="40.5" customHeight="1" x14ac:dyDescent="0.75">
      <c r="C245" s="76" t="s">
        <v>805</v>
      </c>
      <c r="D245" s="76" t="s">
        <v>806</v>
      </c>
      <c r="E245" s="76" t="s">
        <v>116</v>
      </c>
      <c r="F245" s="76"/>
      <c r="G245" s="14" t="s">
        <v>95</v>
      </c>
      <c r="H245" s="14" t="s">
        <v>807</v>
      </c>
      <c r="I245" s="15" t="s">
        <v>101</v>
      </c>
      <c r="J245" s="14" t="s">
        <v>808</v>
      </c>
      <c r="K245" s="53" t="s">
        <v>96</v>
      </c>
    </row>
    <row r="246" spans="3:11" ht="40.5" customHeight="1" x14ac:dyDescent="0.75">
      <c r="C246" s="15" t="s">
        <v>809</v>
      </c>
      <c r="D246" s="15" t="s">
        <v>810</v>
      </c>
      <c r="E246" s="15" t="s">
        <v>94</v>
      </c>
      <c r="F246" s="15"/>
      <c r="G246" s="14" t="s">
        <v>100</v>
      </c>
      <c r="H246" s="14"/>
      <c r="I246" s="15" t="s">
        <v>328</v>
      </c>
      <c r="J246" s="14" t="s">
        <v>811</v>
      </c>
      <c r="K246" s="53" t="s">
        <v>328</v>
      </c>
    </row>
    <row r="247" spans="3:11" ht="40.5" customHeight="1" x14ac:dyDescent="0.75">
      <c r="C247" s="15" t="s">
        <v>247</v>
      </c>
      <c r="D247" s="15" t="s">
        <v>248</v>
      </c>
      <c r="E247" s="15" t="s">
        <v>94</v>
      </c>
      <c r="F247" s="15"/>
      <c r="G247" s="14" t="s">
        <v>100</v>
      </c>
      <c r="H247" s="14"/>
      <c r="I247" s="14" t="s">
        <v>812</v>
      </c>
      <c r="J247" s="14" t="s">
        <v>813</v>
      </c>
      <c r="K247" s="53" t="s">
        <v>96</v>
      </c>
    </row>
    <row r="248" spans="3:11" ht="40.5" customHeight="1" x14ac:dyDescent="0.75">
      <c r="C248" s="15" t="s">
        <v>255</v>
      </c>
      <c r="D248" s="15" t="s">
        <v>256</v>
      </c>
      <c r="E248" s="15" t="s">
        <v>94</v>
      </c>
      <c r="F248" s="15"/>
      <c r="G248" s="14" t="s">
        <v>100</v>
      </c>
      <c r="H248" s="14"/>
      <c r="I248" s="14" t="s">
        <v>812</v>
      </c>
      <c r="J248" s="14" t="s">
        <v>258</v>
      </c>
      <c r="K248" s="53" t="s">
        <v>96</v>
      </c>
    </row>
    <row r="249" spans="3:11" ht="40.5" customHeight="1" x14ac:dyDescent="0.75">
      <c r="C249" s="14" t="s">
        <v>814</v>
      </c>
      <c r="D249" s="14" t="s">
        <v>252</v>
      </c>
      <c r="E249" s="15" t="s">
        <v>94</v>
      </c>
      <c r="F249" s="15"/>
      <c r="G249" s="14" t="s">
        <v>100</v>
      </c>
      <c r="H249" s="14"/>
      <c r="I249" s="14" t="s">
        <v>815</v>
      </c>
      <c r="J249" s="14" t="s">
        <v>816</v>
      </c>
      <c r="K249" s="53" t="s">
        <v>96</v>
      </c>
    </row>
    <row r="250" spans="3:11" ht="40.5" customHeight="1" x14ac:dyDescent="0.75">
      <c r="C250" s="76" t="s">
        <v>259</v>
      </c>
      <c r="D250" s="76" t="s">
        <v>260</v>
      </c>
      <c r="E250" s="76" t="s">
        <v>116</v>
      </c>
      <c r="F250" s="76"/>
      <c r="G250" s="14" t="s">
        <v>95</v>
      </c>
      <c r="H250" s="14" t="s">
        <v>270</v>
      </c>
      <c r="I250" s="15" t="s">
        <v>101</v>
      </c>
      <c r="J250" s="14" t="s">
        <v>817</v>
      </c>
      <c r="K250" s="53" t="s">
        <v>96</v>
      </c>
    </row>
    <row r="251" spans="3:11" ht="40.5" customHeight="1" x14ac:dyDescent="0.75">
      <c r="C251" s="15" t="s">
        <v>262</v>
      </c>
      <c r="D251" s="15" t="s">
        <v>263</v>
      </c>
      <c r="E251" s="15" t="s">
        <v>116</v>
      </c>
      <c r="F251" s="15"/>
      <c r="G251" s="14" t="s">
        <v>95</v>
      </c>
      <c r="H251" s="14" t="s">
        <v>216</v>
      </c>
      <c r="I251" s="15" t="s">
        <v>101</v>
      </c>
      <c r="J251" s="14" t="s">
        <v>818</v>
      </c>
      <c r="K251" s="53" t="s">
        <v>96</v>
      </c>
    </row>
    <row r="252" spans="3:11" ht="40.5" customHeight="1" x14ac:dyDescent="0.75">
      <c r="C252" s="15" t="s">
        <v>819</v>
      </c>
      <c r="D252" s="15" t="s">
        <v>266</v>
      </c>
      <c r="E252" s="15" t="s">
        <v>116</v>
      </c>
      <c r="F252" s="15"/>
      <c r="G252" s="14" t="s">
        <v>95</v>
      </c>
      <c r="H252" s="14" t="s">
        <v>216</v>
      </c>
      <c r="I252" s="15" t="s">
        <v>101</v>
      </c>
      <c r="J252" s="14" t="s">
        <v>820</v>
      </c>
      <c r="K252" s="53" t="s">
        <v>96</v>
      </c>
    </row>
    <row r="253" spans="3:11" ht="40.5" customHeight="1" x14ac:dyDescent="0.75">
      <c r="C253" s="15" t="s">
        <v>268</v>
      </c>
      <c r="D253" s="15" t="s">
        <v>269</v>
      </c>
      <c r="E253" s="15" t="s">
        <v>116</v>
      </c>
      <c r="F253" s="15"/>
      <c r="G253" s="14" t="s">
        <v>95</v>
      </c>
      <c r="H253" s="14" t="s">
        <v>216</v>
      </c>
      <c r="I253" s="15" t="s">
        <v>101</v>
      </c>
      <c r="J253" s="14" t="s">
        <v>271</v>
      </c>
      <c r="K253" s="53" t="s">
        <v>96</v>
      </c>
    </row>
    <row r="254" spans="3:11" ht="40.5" customHeight="1" x14ac:dyDescent="0.75">
      <c r="C254" s="15" t="s">
        <v>821</v>
      </c>
      <c r="D254" s="15" t="s">
        <v>276</v>
      </c>
      <c r="E254" s="15" t="s">
        <v>3</v>
      </c>
      <c r="F254" s="15"/>
      <c r="G254" s="14" t="s">
        <v>3</v>
      </c>
      <c r="H254" s="14" t="s">
        <v>126</v>
      </c>
      <c r="I254" s="15" t="s">
        <v>101</v>
      </c>
      <c r="J254" s="14" t="s">
        <v>822</v>
      </c>
      <c r="K254" s="53" t="s">
        <v>96</v>
      </c>
    </row>
  </sheetData>
  <autoFilter ref="C1:K254" xr:uid="{00000000-0009-0000-0000-000000000000}"/>
  <mergeCells count="7">
    <mergeCell ref="B100:B103"/>
    <mergeCell ref="A2:A15"/>
    <mergeCell ref="B8:B9"/>
    <mergeCell ref="B10:B11"/>
    <mergeCell ref="B13:B15"/>
    <mergeCell ref="A17:A43"/>
    <mergeCell ref="B46:B48"/>
  </mergeCells>
  <printOptions headings="1" gridLines="1"/>
  <pageMargins left="0.25" right="0.25" top="0.75" bottom="0.75" header="0.3" footer="0.3"/>
  <pageSetup paperSize="9" scale="10" fitToHeight="0"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2D05A-FF1F-4988-BCEF-41E2C53DE847}">
  <sheetPr codeName="Foglio1">
    <tabColor rgb="FFFF0000"/>
  </sheetPr>
  <dimension ref="A1:H31"/>
  <sheetViews>
    <sheetView workbookViewId="0">
      <selection activeCell="D3" sqref="D3"/>
    </sheetView>
  </sheetViews>
  <sheetFormatPr defaultRowHeight="14.75" x14ac:dyDescent="0.75"/>
  <cols>
    <col min="1" max="1" width="8.7265625" style="18"/>
    <col min="2" max="2" width="47.7265625" style="19" customWidth="1"/>
    <col min="3" max="3" width="44.6328125" style="18" customWidth="1"/>
    <col min="4" max="4" width="71.58984375" style="18" bestFit="1" customWidth="1"/>
    <col min="5" max="5" width="12.1796875" style="18" customWidth="1"/>
    <col min="6" max="6" width="20.7265625" style="18" customWidth="1"/>
    <col min="7" max="7" width="60.7265625" style="18" customWidth="1"/>
    <col min="8" max="8" width="33.90625" style="18" customWidth="1"/>
    <col min="9" max="9" width="19.31640625" style="18" customWidth="1"/>
    <col min="10" max="16384" width="8.7265625" style="18"/>
  </cols>
  <sheetData>
    <row r="1" spans="1:7" x14ac:dyDescent="0.75">
      <c r="B1" s="88" t="s">
        <v>837</v>
      </c>
      <c r="C1" s="89" t="s">
        <v>11</v>
      </c>
      <c r="D1" s="90" t="s">
        <v>4</v>
      </c>
    </row>
    <row r="2" spans="1:7" x14ac:dyDescent="0.75">
      <c r="B2" s="91" t="s">
        <v>838</v>
      </c>
      <c r="C2" s="5" t="s">
        <v>839</v>
      </c>
      <c r="D2" s="23" t="s">
        <v>840</v>
      </c>
    </row>
    <row r="3" spans="1:7" x14ac:dyDescent="0.75">
      <c r="B3" s="92" t="s">
        <v>841</v>
      </c>
      <c r="C3" s="93" t="s">
        <v>13</v>
      </c>
      <c r="D3" s="94"/>
    </row>
    <row r="4" spans="1:7" ht="15.5" thickBot="1" x14ac:dyDescent="0.9">
      <c r="B4" s="95" t="s">
        <v>842</v>
      </c>
      <c r="C4" s="5" t="s">
        <v>843</v>
      </c>
      <c r="D4" s="96"/>
    </row>
    <row r="5" spans="1:7" x14ac:dyDescent="0.75">
      <c r="C5" s="97" t="s">
        <v>5</v>
      </c>
      <c r="D5" s="2" t="s">
        <v>6</v>
      </c>
      <c r="E5" s="3" t="s">
        <v>7</v>
      </c>
      <c r="F5" s="3" t="s">
        <v>8</v>
      </c>
      <c r="G5" s="3" t="s">
        <v>9</v>
      </c>
    </row>
    <row r="6" spans="1:7" x14ac:dyDescent="0.75">
      <c r="A6" s="18">
        <v>0</v>
      </c>
      <c r="B6" s="5" t="s">
        <v>843</v>
      </c>
      <c r="C6" s="98" t="s">
        <v>839</v>
      </c>
      <c r="D6" s="98" t="s">
        <v>844</v>
      </c>
      <c r="E6" s="99">
        <v>1</v>
      </c>
      <c r="F6" s="99">
        <v>1</v>
      </c>
      <c r="G6" s="99" t="s">
        <v>845</v>
      </c>
    </row>
    <row r="7" spans="1:7" x14ac:dyDescent="0.75">
      <c r="A7" s="18">
        <v>1</v>
      </c>
      <c r="B7" s="21" t="s">
        <v>846</v>
      </c>
      <c r="C7" s="20" t="s">
        <v>847</v>
      </c>
      <c r="D7" s="20" t="s">
        <v>847</v>
      </c>
      <c r="E7" s="20">
        <v>1</v>
      </c>
      <c r="F7" s="20">
        <v>1</v>
      </c>
      <c r="G7" s="20" t="s">
        <v>848</v>
      </c>
    </row>
    <row r="8" spans="1:7" x14ac:dyDescent="0.75">
      <c r="A8" s="18">
        <v>2</v>
      </c>
      <c r="B8" s="21" t="s">
        <v>849</v>
      </c>
      <c r="C8" s="20" t="s">
        <v>18</v>
      </c>
      <c r="D8" s="20" t="s">
        <v>18</v>
      </c>
      <c r="E8" s="20">
        <v>0</v>
      </c>
      <c r="F8" s="20">
        <v>5</v>
      </c>
      <c r="G8" s="20" t="s">
        <v>850</v>
      </c>
    </row>
    <row r="9" spans="1:7" x14ac:dyDescent="0.75">
      <c r="A9" s="18">
        <v>3</v>
      </c>
      <c r="B9" s="21" t="s">
        <v>851</v>
      </c>
      <c r="C9" s="20" t="s">
        <v>852</v>
      </c>
      <c r="D9" s="20" t="s">
        <v>852</v>
      </c>
      <c r="E9" s="20">
        <v>0</v>
      </c>
      <c r="F9" s="20">
        <v>1</v>
      </c>
      <c r="G9" s="18" t="s">
        <v>853</v>
      </c>
    </row>
    <row r="10" spans="1:7" x14ac:dyDescent="0.75">
      <c r="A10" s="18">
        <v>4</v>
      </c>
      <c r="B10" s="21" t="s">
        <v>854</v>
      </c>
      <c r="C10" s="20" t="s">
        <v>19</v>
      </c>
      <c r="D10" s="20" t="s">
        <v>19</v>
      </c>
      <c r="E10" s="20">
        <v>0</v>
      </c>
      <c r="F10" s="20">
        <v>1</v>
      </c>
      <c r="G10" s="18" t="s">
        <v>855</v>
      </c>
    </row>
    <row r="11" spans="1:7" x14ac:dyDescent="0.75">
      <c r="A11" s="18">
        <v>5</v>
      </c>
      <c r="B11" s="21" t="s">
        <v>856</v>
      </c>
      <c r="C11" s="20" t="s">
        <v>857</v>
      </c>
      <c r="D11" s="20" t="s">
        <v>857</v>
      </c>
      <c r="E11" s="20">
        <v>0</v>
      </c>
      <c r="F11" s="20">
        <v>1</v>
      </c>
      <c r="G11" s="20" t="s">
        <v>858</v>
      </c>
    </row>
    <row r="12" spans="1:7" x14ac:dyDescent="0.75">
      <c r="A12" s="18">
        <v>6</v>
      </c>
      <c r="B12" s="21" t="s">
        <v>859</v>
      </c>
      <c r="C12" s="21" t="s">
        <v>860</v>
      </c>
      <c r="D12" s="20" t="s">
        <v>860</v>
      </c>
      <c r="E12" s="20">
        <v>0</v>
      </c>
      <c r="F12" s="20" t="s">
        <v>861</v>
      </c>
      <c r="G12" s="18" t="s">
        <v>862</v>
      </c>
    </row>
    <row r="13" spans="1:7" x14ac:dyDescent="0.75">
      <c r="A13" s="18">
        <v>7</v>
      </c>
      <c r="B13" s="21" t="s">
        <v>863</v>
      </c>
      <c r="C13" s="20" t="s">
        <v>864</v>
      </c>
      <c r="D13" s="20" t="s">
        <v>864</v>
      </c>
      <c r="E13" s="20">
        <v>0</v>
      </c>
      <c r="F13" s="20" t="s">
        <v>861</v>
      </c>
      <c r="G13" s="18" t="s">
        <v>865</v>
      </c>
    </row>
    <row r="14" spans="1:7" x14ac:dyDescent="0.75">
      <c r="A14" s="18">
        <v>8</v>
      </c>
      <c r="B14" s="21" t="s">
        <v>866</v>
      </c>
      <c r="C14" s="20" t="s">
        <v>867</v>
      </c>
      <c r="D14" s="20" t="s">
        <v>867</v>
      </c>
      <c r="E14" s="20">
        <v>0</v>
      </c>
      <c r="F14" s="20" t="s">
        <v>861</v>
      </c>
      <c r="G14" s="18" t="s">
        <v>868</v>
      </c>
    </row>
    <row r="15" spans="1:7" x14ac:dyDescent="0.75">
      <c r="A15" s="18">
        <v>9</v>
      </c>
      <c r="B15" s="21" t="s">
        <v>869</v>
      </c>
      <c r="C15" s="20" t="s">
        <v>21</v>
      </c>
      <c r="D15" s="20" t="s">
        <v>21</v>
      </c>
      <c r="E15" s="20">
        <v>0</v>
      </c>
      <c r="F15" s="20" t="s">
        <v>861</v>
      </c>
      <c r="G15" s="18" t="s">
        <v>870</v>
      </c>
    </row>
    <row r="16" spans="1:7" x14ac:dyDescent="0.75">
      <c r="A16" s="18">
        <v>10</v>
      </c>
      <c r="B16" s="21" t="s">
        <v>871</v>
      </c>
      <c r="C16" s="20" t="s">
        <v>22</v>
      </c>
      <c r="D16" s="20" t="s">
        <v>22</v>
      </c>
      <c r="E16" s="20">
        <v>0</v>
      </c>
      <c r="F16" s="20">
        <v>1</v>
      </c>
      <c r="G16" s="18" t="s">
        <v>2</v>
      </c>
    </row>
    <row r="17" spans="1:8" x14ac:dyDescent="0.75">
      <c r="A17" s="18">
        <v>11</v>
      </c>
      <c r="B17" s="21" t="s">
        <v>872</v>
      </c>
      <c r="C17" s="20" t="s">
        <v>20</v>
      </c>
      <c r="D17" s="20" t="s">
        <v>873</v>
      </c>
      <c r="E17" s="20">
        <v>0</v>
      </c>
      <c r="F17" s="20" t="s">
        <v>861</v>
      </c>
      <c r="G17" s="18" t="s">
        <v>874</v>
      </c>
    </row>
    <row r="18" spans="1:8" x14ac:dyDescent="0.75">
      <c r="A18" s="18">
        <v>12</v>
      </c>
      <c r="B18" s="21" t="s">
        <v>875</v>
      </c>
      <c r="C18" s="20" t="s">
        <v>23</v>
      </c>
      <c r="D18" s="20" t="s">
        <v>23</v>
      </c>
      <c r="E18" s="20">
        <v>0</v>
      </c>
      <c r="F18" s="20" t="s">
        <v>861</v>
      </c>
      <c r="G18" s="20" t="s">
        <v>850</v>
      </c>
    </row>
    <row r="19" spans="1:8" x14ac:dyDescent="0.75">
      <c r="A19" s="18">
        <v>13</v>
      </c>
      <c r="B19" s="21" t="s">
        <v>876</v>
      </c>
      <c r="C19" s="20" t="s">
        <v>877</v>
      </c>
      <c r="D19" s="20" t="s">
        <v>877</v>
      </c>
      <c r="E19" s="20">
        <v>0</v>
      </c>
      <c r="F19" s="20">
        <v>1</v>
      </c>
      <c r="G19" s="18" t="s">
        <v>878</v>
      </c>
    </row>
    <row r="20" spans="1:8" x14ac:dyDescent="0.75">
      <c r="A20" s="18">
        <v>14</v>
      </c>
      <c r="B20" s="21" t="s">
        <v>879</v>
      </c>
      <c r="C20" s="21" t="s">
        <v>880</v>
      </c>
      <c r="D20" s="21" t="s">
        <v>881</v>
      </c>
      <c r="E20" s="20">
        <v>0</v>
      </c>
      <c r="F20" s="20">
        <v>1</v>
      </c>
      <c r="G20" s="18" t="s">
        <v>855</v>
      </c>
    </row>
    <row r="21" spans="1:8" ht="29.5" x14ac:dyDescent="0.75">
      <c r="A21" s="18">
        <v>15</v>
      </c>
      <c r="B21" s="100" t="s">
        <v>882</v>
      </c>
      <c r="C21" s="100" t="s">
        <v>883</v>
      </c>
      <c r="D21" s="100" t="s">
        <v>883</v>
      </c>
      <c r="E21" s="20">
        <v>0</v>
      </c>
      <c r="F21" s="20">
        <v>0</v>
      </c>
      <c r="G21" s="20" t="s">
        <v>850</v>
      </c>
    </row>
    <row r="22" spans="1:8" x14ac:dyDescent="0.75">
      <c r="A22" s="18">
        <v>16</v>
      </c>
      <c r="B22" s="21" t="s">
        <v>884</v>
      </c>
      <c r="C22" s="20" t="s">
        <v>857</v>
      </c>
      <c r="D22" s="20" t="s">
        <v>857</v>
      </c>
      <c r="E22" s="20">
        <v>0</v>
      </c>
      <c r="F22" s="20">
        <v>1</v>
      </c>
      <c r="G22" s="20" t="s">
        <v>858</v>
      </c>
    </row>
    <row r="23" spans="1:8" x14ac:dyDescent="0.75">
      <c r="A23" s="18">
        <v>17</v>
      </c>
      <c r="B23" s="21" t="s">
        <v>885</v>
      </c>
      <c r="C23" s="21" t="s">
        <v>860</v>
      </c>
      <c r="D23" s="20" t="s">
        <v>860</v>
      </c>
      <c r="E23" s="20">
        <v>0</v>
      </c>
      <c r="F23" s="20" t="s">
        <v>861</v>
      </c>
      <c r="G23" s="18" t="s">
        <v>862</v>
      </c>
    </row>
    <row r="24" spans="1:8" x14ac:dyDescent="0.75">
      <c r="A24" s="18">
        <v>18</v>
      </c>
      <c r="B24" s="21" t="s">
        <v>886</v>
      </c>
      <c r="C24" s="20" t="s">
        <v>864</v>
      </c>
      <c r="D24" s="20" t="s">
        <v>864</v>
      </c>
      <c r="E24" s="20">
        <v>0</v>
      </c>
      <c r="F24" s="20" t="s">
        <v>861</v>
      </c>
      <c r="G24" s="18" t="s">
        <v>865</v>
      </c>
    </row>
    <row r="25" spans="1:8" x14ac:dyDescent="0.75">
      <c r="A25" s="18">
        <v>19</v>
      </c>
      <c r="B25" s="21" t="s">
        <v>887</v>
      </c>
      <c r="C25" s="20" t="s">
        <v>867</v>
      </c>
      <c r="D25" s="20" t="s">
        <v>867</v>
      </c>
      <c r="E25" s="20">
        <v>0</v>
      </c>
      <c r="F25" s="20" t="s">
        <v>861</v>
      </c>
      <c r="G25" s="18" t="s">
        <v>868</v>
      </c>
    </row>
    <row r="26" spans="1:8" x14ac:dyDescent="0.75">
      <c r="A26" s="18">
        <v>20</v>
      </c>
      <c r="B26" s="21" t="s">
        <v>888</v>
      </c>
      <c r="C26" s="20" t="s">
        <v>21</v>
      </c>
      <c r="D26" s="20" t="s">
        <v>21</v>
      </c>
      <c r="E26" s="20">
        <v>0</v>
      </c>
      <c r="F26" s="20" t="s">
        <v>861</v>
      </c>
      <c r="G26" s="18" t="s">
        <v>870</v>
      </c>
    </row>
    <row r="27" spans="1:8" x14ac:dyDescent="0.75">
      <c r="A27" s="18">
        <v>21</v>
      </c>
      <c r="B27" s="21" t="s">
        <v>889</v>
      </c>
      <c r="C27" s="20" t="s">
        <v>22</v>
      </c>
      <c r="D27" s="20" t="s">
        <v>22</v>
      </c>
      <c r="E27" s="20">
        <v>0</v>
      </c>
      <c r="F27" s="20">
        <v>1</v>
      </c>
      <c r="G27" s="18" t="s">
        <v>2</v>
      </c>
    </row>
    <row r="28" spans="1:8" ht="27" x14ac:dyDescent="0.75">
      <c r="A28" s="18">
        <v>22</v>
      </c>
      <c r="B28" s="101" t="s">
        <v>890</v>
      </c>
      <c r="C28" s="98" t="s">
        <v>891</v>
      </c>
      <c r="D28" s="102" t="s">
        <v>34</v>
      </c>
      <c r="E28" s="20">
        <v>0</v>
      </c>
      <c r="F28" s="20" t="s">
        <v>861</v>
      </c>
      <c r="G28" s="20" t="s">
        <v>2</v>
      </c>
    </row>
    <row r="29" spans="1:8" x14ac:dyDescent="0.75">
      <c r="B29" s="103"/>
      <c r="C29" s="104"/>
      <c r="D29" s="104"/>
      <c r="E29" s="20"/>
      <c r="F29" s="20"/>
      <c r="G29" s="20"/>
    </row>
    <row r="30" spans="1:8" x14ac:dyDescent="0.75">
      <c r="B30" s="103"/>
      <c r="C30" s="105"/>
      <c r="D30" s="105"/>
      <c r="E30" s="20"/>
      <c r="F30" s="20"/>
      <c r="G30" s="20"/>
    </row>
    <row r="31" spans="1:8" x14ac:dyDescent="0.75">
      <c r="B31" s="103"/>
      <c r="C31" s="105"/>
      <c r="D31" s="105"/>
      <c r="E31" s="20"/>
      <c r="F31" s="20"/>
      <c r="G31" s="20"/>
      <c r="H31" s="20"/>
    </row>
  </sheetData>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AF4E3C-76B2-4C1E-8151-CEE082A26C33}">
  <sheetPr codeName="Foglio4"/>
  <dimension ref="A1:M99"/>
  <sheetViews>
    <sheetView workbookViewId="0">
      <selection activeCell="G1" sqref="G1:G2"/>
    </sheetView>
  </sheetViews>
  <sheetFormatPr defaultRowHeight="14.75" x14ac:dyDescent="0.75"/>
  <cols>
    <col min="1" max="2" width="8.7265625" style="18"/>
    <col min="3" max="3" width="31.6796875" style="18" bestFit="1" customWidth="1"/>
    <col min="4" max="4" width="53.81640625" style="18" customWidth="1"/>
    <col min="5" max="5" width="24.81640625" style="18" customWidth="1"/>
    <col min="6" max="6" width="16.1328125" style="18" customWidth="1"/>
    <col min="7" max="7" width="10.76953125" style="18" customWidth="1"/>
    <col min="8" max="8" width="45.26953125" style="18" customWidth="1"/>
    <col min="9" max="9" width="40.1328125" style="19" customWidth="1"/>
    <col min="10" max="10" width="26.6328125" style="19" customWidth="1"/>
    <col min="11" max="11" width="48.54296875" style="19" customWidth="1"/>
    <col min="12" max="12" width="53.36328125" style="18" customWidth="1"/>
    <col min="13" max="13" width="51.5" style="18" customWidth="1"/>
    <col min="14" max="16384" width="8.7265625" style="18"/>
  </cols>
  <sheetData>
    <row r="1" spans="1:13" ht="15.5" thickBot="1" x14ac:dyDescent="0.9">
      <c r="C1" s="17" t="str">
        <f>'[1]Base-1'!B1</f>
        <v>canonical</v>
      </c>
      <c r="D1" s="89" t="s">
        <v>11</v>
      </c>
      <c r="E1" s="90"/>
      <c r="F1" s="93" t="s">
        <v>15</v>
      </c>
      <c r="G1" s="93" t="s">
        <v>892</v>
      </c>
      <c r="M1" s="18" t="s">
        <v>893</v>
      </c>
    </row>
    <row r="2" spans="1:13" ht="15.5" thickBot="1" x14ac:dyDescent="0.9">
      <c r="C2" s="106" t="str">
        <f>'[1]Base-1'!B2</f>
        <v>http://hl7.eu/fhir/ig/pcsp</v>
      </c>
      <c r="D2" s="5" t="s">
        <v>894</v>
      </c>
      <c r="E2" s="5"/>
      <c r="F2" s="18" t="s">
        <v>14</v>
      </c>
      <c r="G2" s="107" t="s">
        <v>895</v>
      </c>
      <c r="M2" s="18" t="str">
        <f>CONCATENATE("Mapping: ",E2)</f>
        <v xml:space="preserve">Mapping: </v>
      </c>
    </row>
    <row r="3" spans="1:13" ht="15.5" thickBot="1" x14ac:dyDescent="0.9">
      <c r="C3" s="17" t="str">
        <f>'[1]Base-1'!B3</f>
        <v>Publisher</v>
      </c>
      <c r="D3" s="10"/>
      <c r="E3" s="94"/>
      <c r="M3" s="18" t="str">
        <f>CONCATENATE("Id: ",E2)</f>
        <v xml:space="preserve">Id: </v>
      </c>
    </row>
    <row r="4" spans="1:13" ht="15.5" thickBot="1" x14ac:dyDescent="0.9">
      <c r="C4" s="106" t="str">
        <f>'[1]Base-1'!B4</f>
        <v>PanCareSurPass project</v>
      </c>
      <c r="D4" s="11"/>
      <c r="E4" s="96"/>
      <c r="M4" s="18" t="str">
        <f>CONCATENATE("Title: """,D2,"""")</f>
        <v>Title: "FHIR"</v>
      </c>
    </row>
    <row r="5" spans="1:13" x14ac:dyDescent="0.75">
      <c r="M5" s="18" t="str">
        <f>CONCATENATE("Source: ",C2,"/",C7)</f>
        <v>Source: http://hl7.eu/fhir/ig/pcsp/TreatmentSummary</v>
      </c>
    </row>
    <row r="6" spans="1:13" x14ac:dyDescent="0.75">
      <c r="D6" s="18" t="s">
        <v>896</v>
      </c>
      <c r="M6" s="18" t="str">
        <f>CONCATENATE("Target: """,D4,"""")</f>
        <v>Target: ""</v>
      </c>
    </row>
    <row r="7" spans="1:13" x14ac:dyDescent="0.75">
      <c r="A7" s="20"/>
      <c r="B7" s="20">
        <f>'[1]Base-1'!A6</f>
        <v>0</v>
      </c>
      <c r="C7" s="98" t="str">
        <f>'[1]Base-1'!B6</f>
        <v>TreatmentSummary</v>
      </c>
      <c r="D7" s="98"/>
      <c r="L7" s="18" t="s">
        <v>897</v>
      </c>
      <c r="M7" s="18" t="s">
        <v>893</v>
      </c>
    </row>
    <row r="8" spans="1:13" ht="44.25" x14ac:dyDescent="0.75">
      <c r="A8" s="20">
        <v>0</v>
      </c>
      <c r="B8" s="20">
        <f>'[1]Base-1'!A7</f>
        <v>1</v>
      </c>
      <c r="C8" s="20" t="str">
        <f>'[1]Base-1'!B7</f>
        <v>subject</v>
      </c>
      <c r="D8" s="20"/>
      <c r="E8" s="18" t="s">
        <v>898</v>
      </c>
      <c r="G8" s="18" t="b">
        <f>IF(D8&gt;"",TRUE,FALSE)</f>
        <v>0</v>
      </c>
      <c r="H8" s="19" t="str">
        <f>IF(G8,CONCATENATE("* differential.element[",$B8,"].mapping[",$A8,"].identity = """,$F$1,""""),"")</f>
        <v/>
      </c>
      <c r="I8" s="19" t="str">
        <f>IF(G8,CONCATENATE("* differential.element[",$B8,"].mapping[",$A8,"].map = """,D8,""""),"")</f>
        <v/>
      </c>
      <c r="J8" s="19" t="str">
        <f>IF(E8&gt;"",CONCATENATE("* differential.element[",$B8,"].mapping[",$A8,"].comment = """,E8,""""),"")</f>
        <v>* differential.element[1].mapping[0].comment = "note"</v>
      </c>
      <c r="M8" s="18" t="str">
        <f t="shared" ref="M8:M26" si="0">CONCATENATE("* ",C8," -&gt; """,D8,"""")</f>
        <v>* subject -&gt; ""</v>
      </c>
    </row>
    <row r="9" spans="1:13" x14ac:dyDescent="0.75">
      <c r="A9" s="20">
        <v>0</v>
      </c>
      <c r="B9" s="20">
        <f>'[1]Base-1'!A8</f>
        <v>2</v>
      </c>
      <c r="C9" s="20" t="str">
        <f>'[1]Base-1'!B8</f>
        <v>diagnosis</v>
      </c>
      <c r="D9" s="98"/>
      <c r="G9" s="18" t="b">
        <f t="shared" ref="G9:G59" si="1">IF(D9&gt;"",TRUE,FALSE)</f>
        <v>0</v>
      </c>
      <c r="H9" s="19" t="str">
        <f t="shared" ref="H9:H59" si="2">IF(G9,CONCATENATE("* differential.element[",$B9,"].mapping[",$A9,"].identity = """,$F$1,""""),"")</f>
        <v/>
      </c>
      <c r="I9" s="19" t="str">
        <f t="shared" ref="I9:I59" si="3">IF(G9,CONCATENATE("* differential.element[",$B9,"].mapping[",$A9,"].map = """,D9,""""),"")</f>
        <v/>
      </c>
      <c r="J9" s="19" t="str">
        <f t="shared" ref="J9:J59" si="4">IF(E9&gt;"",CONCATENATE("* differential.element[",$B9,"].mapping[",$A9,"].comment = """,E9,""""),"")</f>
        <v/>
      </c>
      <c r="M9" s="18" t="str">
        <f t="shared" si="0"/>
        <v>* diagnosis -&gt; ""</v>
      </c>
    </row>
    <row r="10" spans="1:13" x14ac:dyDescent="0.75">
      <c r="A10" s="20">
        <v>0</v>
      </c>
      <c r="B10" s="20">
        <f>'[1]Base-1'!A10</f>
        <v>4</v>
      </c>
      <c r="C10" s="20" t="str">
        <f>'[1]Base-1'!B10</f>
        <v>diagnosis.frontLineTreatment</v>
      </c>
      <c r="D10" s="20"/>
      <c r="G10" s="18" t="b">
        <f t="shared" si="1"/>
        <v>0</v>
      </c>
      <c r="H10" s="19" t="str">
        <f t="shared" si="2"/>
        <v/>
      </c>
      <c r="I10" s="19" t="str">
        <f t="shared" si="3"/>
        <v/>
      </c>
      <c r="J10" s="19" t="str">
        <f t="shared" si="4"/>
        <v/>
      </c>
      <c r="M10" s="18" t="str">
        <f t="shared" si="0"/>
        <v>* diagnosis.frontLineTreatment -&gt; ""</v>
      </c>
    </row>
    <row r="11" spans="1:13" x14ac:dyDescent="0.75">
      <c r="A11" s="20">
        <v>0</v>
      </c>
      <c r="B11" s="20" t="e">
        <f>'[1]Base-1'!#REF!</f>
        <v>#REF!</v>
      </c>
      <c r="C11" s="20" t="str">
        <f>'[1]Base-1'!B11</f>
        <v>diagnosis.chemotherapy</v>
      </c>
      <c r="D11" s="20"/>
      <c r="G11" s="18" t="b">
        <f t="shared" si="1"/>
        <v>0</v>
      </c>
      <c r="H11" s="19" t="str">
        <f t="shared" si="2"/>
        <v/>
      </c>
      <c r="I11" s="19" t="str">
        <f t="shared" si="3"/>
        <v/>
      </c>
      <c r="J11" s="19" t="str">
        <f t="shared" si="4"/>
        <v/>
      </c>
      <c r="M11" s="18" t="str">
        <f t="shared" si="0"/>
        <v>* diagnosis.chemotherapy -&gt; ""</v>
      </c>
    </row>
    <row r="12" spans="1:13" x14ac:dyDescent="0.75">
      <c r="A12" s="20">
        <v>0</v>
      </c>
      <c r="B12" s="20" t="e">
        <f>'[1]Base-1'!#REF!</f>
        <v>#REF!</v>
      </c>
      <c r="C12" s="20" t="str">
        <f>'[1]Base-1'!B12</f>
        <v>diagnosis.stemCellTransplantation</v>
      </c>
      <c r="D12" s="20"/>
      <c r="G12" s="18" t="b">
        <f t="shared" si="1"/>
        <v>0</v>
      </c>
      <c r="H12" s="19" t="str">
        <f t="shared" si="2"/>
        <v/>
      </c>
      <c r="I12" s="19" t="str">
        <f t="shared" si="3"/>
        <v/>
      </c>
      <c r="J12" s="19" t="str">
        <f t="shared" si="4"/>
        <v/>
      </c>
      <c r="M12" s="18" t="str">
        <f t="shared" si="0"/>
        <v>* diagnosis.stemCellTransplantation -&gt; ""</v>
      </c>
    </row>
    <row r="13" spans="1:13" x14ac:dyDescent="0.75">
      <c r="A13" s="20">
        <v>0</v>
      </c>
      <c r="B13" s="20" t="e">
        <f>'[1]Base-1'!#REF!</f>
        <v>#REF!</v>
      </c>
      <c r="C13" s="20" t="str">
        <f>'[1]Base-1'!B13</f>
        <v>diagnosis.radiotherapy</v>
      </c>
      <c r="D13" s="20"/>
      <c r="G13" s="18" t="b">
        <f t="shared" si="1"/>
        <v>0</v>
      </c>
      <c r="H13" s="19" t="str">
        <f t="shared" si="2"/>
        <v/>
      </c>
      <c r="I13" s="19" t="str">
        <f t="shared" si="3"/>
        <v/>
      </c>
      <c r="J13" s="19" t="str">
        <f t="shared" si="4"/>
        <v/>
      </c>
      <c r="M13" s="18" t="str">
        <f t="shared" si="0"/>
        <v>* diagnosis.radiotherapy -&gt; ""</v>
      </c>
    </row>
    <row r="14" spans="1:13" x14ac:dyDescent="0.75">
      <c r="A14" s="20">
        <v>0</v>
      </c>
      <c r="B14" s="20" t="e">
        <f>'[1]Base-1'!#REF!</f>
        <v>#REF!</v>
      </c>
      <c r="C14" s="20" t="str">
        <f>'[1]Base-1'!B14</f>
        <v>diagnosis.majorSurgery</v>
      </c>
      <c r="D14" s="20"/>
      <c r="G14" s="18" t="b">
        <f t="shared" si="1"/>
        <v>0</v>
      </c>
      <c r="H14" s="19" t="str">
        <f t="shared" si="2"/>
        <v/>
      </c>
      <c r="I14" s="19" t="str">
        <f t="shared" si="3"/>
        <v/>
      </c>
      <c r="J14" s="19" t="str">
        <f t="shared" si="4"/>
        <v/>
      </c>
      <c r="M14" s="18" t="str">
        <f t="shared" si="0"/>
        <v>* diagnosis.majorSurgery -&gt; ""</v>
      </c>
    </row>
    <row r="15" spans="1:13" x14ac:dyDescent="0.75">
      <c r="A15" s="20">
        <v>0</v>
      </c>
      <c r="B15" s="20" t="e">
        <f>'[1]Base-1'!#REF!</f>
        <v>#REF!</v>
      </c>
      <c r="C15" s="20" t="str">
        <f>'[1]Base-1'!B17</f>
        <v>diagnosis.relapseDuringFLT</v>
      </c>
      <c r="D15" s="20"/>
      <c r="G15" s="18" t="b">
        <f t="shared" si="1"/>
        <v>0</v>
      </c>
      <c r="H15" s="19" t="str">
        <f t="shared" si="2"/>
        <v/>
      </c>
      <c r="I15" s="19" t="str">
        <f t="shared" si="3"/>
        <v/>
      </c>
      <c r="J15" s="19" t="str">
        <f t="shared" si="4"/>
        <v/>
      </c>
      <c r="M15" s="18" t="str">
        <f t="shared" si="0"/>
        <v>* diagnosis.relapseDuringFLT -&gt; ""</v>
      </c>
    </row>
    <row r="16" spans="1:13" x14ac:dyDescent="0.75">
      <c r="A16" s="20">
        <v>0</v>
      </c>
      <c r="B16" s="20" t="e">
        <f>'[1]Base-1'!#REF!</f>
        <v>#REF!</v>
      </c>
      <c r="C16" s="20" t="str">
        <f>'[1]Base-1'!B15</f>
        <v>diagnosis.otherInfos</v>
      </c>
      <c r="D16" s="20"/>
      <c r="G16" s="18" t="b">
        <f t="shared" si="1"/>
        <v>0</v>
      </c>
      <c r="H16" s="19" t="str">
        <f t="shared" si="2"/>
        <v/>
      </c>
      <c r="I16" s="19" t="str">
        <f t="shared" si="3"/>
        <v/>
      </c>
      <c r="J16" s="19" t="str">
        <f t="shared" si="4"/>
        <v/>
      </c>
      <c r="M16" s="18" t="str">
        <f t="shared" si="0"/>
        <v>* diagnosis.otherInfos -&gt; ""</v>
      </c>
    </row>
    <row r="17" spans="1:13" x14ac:dyDescent="0.75">
      <c r="A17" s="20">
        <v>0</v>
      </c>
      <c r="B17" s="20" t="e">
        <f>'[1]Base-1'!#REF!</f>
        <v>#REF!</v>
      </c>
      <c r="C17" s="20" t="str">
        <f>'[1]Base-1'!B16</f>
        <v>diagnosis.medicalSuggestion</v>
      </c>
      <c r="D17" s="20"/>
      <c r="G17" s="18" t="b">
        <f t="shared" si="1"/>
        <v>0</v>
      </c>
      <c r="H17" s="19" t="str">
        <f t="shared" si="2"/>
        <v/>
      </c>
      <c r="I17" s="19" t="str">
        <f t="shared" si="3"/>
        <v/>
      </c>
      <c r="J17" s="19" t="str">
        <f t="shared" si="4"/>
        <v/>
      </c>
      <c r="M17" s="18" t="str">
        <f t="shared" si="0"/>
        <v>* diagnosis.medicalSuggestion -&gt; ""</v>
      </c>
    </row>
    <row r="18" spans="1:13" x14ac:dyDescent="0.75">
      <c r="A18" s="20">
        <v>0</v>
      </c>
      <c r="B18" s="20">
        <f>'[1]Base-1'!A11</f>
        <v>5</v>
      </c>
      <c r="C18" s="20" t="str">
        <f>'[1]Base-1'!B18</f>
        <v>diagnosis.relapseAfterEOT</v>
      </c>
      <c r="D18" s="98"/>
      <c r="G18" s="18" t="b">
        <f t="shared" si="1"/>
        <v>0</v>
      </c>
      <c r="H18" s="19" t="str">
        <f t="shared" si="2"/>
        <v/>
      </c>
      <c r="I18" s="19" t="str">
        <f t="shared" si="3"/>
        <v/>
      </c>
      <c r="J18" s="19" t="str">
        <f t="shared" si="4"/>
        <v/>
      </c>
      <c r="M18" s="18" t="str">
        <f t="shared" si="0"/>
        <v>* diagnosis.relapseAfterEOT -&gt; ""</v>
      </c>
    </row>
    <row r="19" spans="1:13" x14ac:dyDescent="0.75">
      <c r="A19" s="20">
        <v>0</v>
      </c>
      <c r="B19" s="20">
        <f>'[1]Base-1'!A12</f>
        <v>6</v>
      </c>
      <c r="C19" s="20" t="e">
        <f>'[1]Base-1'!#REF!</f>
        <v>#REF!</v>
      </c>
      <c r="D19" s="20"/>
      <c r="G19" s="18" t="b">
        <f t="shared" si="1"/>
        <v>0</v>
      </c>
      <c r="H19" s="19" t="str">
        <f t="shared" si="2"/>
        <v/>
      </c>
      <c r="I19" s="19" t="str">
        <f t="shared" si="3"/>
        <v/>
      </c>
      <c r="J19" s="19" t="str">
        <f t="shared" si="4"/>
        <v/>
      </c>
      <c r="M19" s="18" t="e">
        <f t="shared" si="0"/>
        <v>#REF!</v>
      </c>
    </row>
    <row r="20" spans="1:13" x14ac:dyDescent="0.75">
      <c r="A20" s="20">
        <v>0</v>
      </c>
      <c r="B20" s="20">
        <f>'[1]Base-1'!A13</f>
        <v>7</v>
      </c>
      <c r="C20" s="20" t="e">
        <f>'[1]Base-1'!#REF!</f>
        <v>#REF!</v>
      </c>
      <c r="D20" s="98"/>
      <c r="G20" s="18" t="b">
        <f t="shared" si="1"/>
        <v>0</v>
      </c>
      <c r="H20" s="19" t="str">
        <f t="shared" si="2"/>
        <v/>
      </c>
      <c r="I20" s="19" t="str">
        <f t="shared" si="3"/>
        <v/>
      </c>
      <c r="J20" s="19" t="str">
        <f t="shared" si="4"/>
        <v/>
      </c>
      <c r="M20" s="18" t="e">
        <f t="shared" si="0"/>
        <v>#REF!</v>
      </c>
    </row>
    <row r="21" spans="1:13" x14ac:dyDescent="0.75">
      <c r="A21" s="20">
        <v>0</v>
      </c>
      <c r="B21" s="20">
        <f>'[1]Base-1'!A14</f>
        <v>8</v>
      </c>
      <c r="C21" s="20" t="e">
        <f>'[1]Base-1'!#REF!</f>
        <v>#REF!</v>
      </c>
      <c r="D21" s="20"/>
      <c r="G21" s="18" t="b">
        <f t="shared" si="1"/>
        <v>0</v>
      </c>
      <c r="H21" s="19" t="str">
        <f t="shared" si="2"/>
        <v/>
      </c>
      <c r="I21" s="19" t="str">
        <f t="shared" si="3"/>
        <v/>
      </c>
      <c r="J21" s="19" t="str">
        <f t="shared" si="4"/>
        <v/>
      </c>
      <c r="M21" s="18" t="e">
        <f t="shared" si="0"/>
        <v>#REF!</v>
      </c>
    </row>
    <row r="22" spans="1:13" x14ac:dyDescent="0.75">
      <c r="A22" s="20">
        <v>0</v>
      </c>
      <c r="B22" s="20">
        <f>'[1]Base-1'!A17</f>
        <v>11</v>
      </c>
      <c r="C22" s="20" t="e">
        <f>'[1]Base-1'!#REF!</f>
        <v>#REF!</v>
      </c>
      <c r="D22" s="20"/>
      <c r="G22" s="18" t="b">
        <f t="shared" si="1"/>
        <v>0</v>
      </c>
      <c r="H22" s="19" t="str">
        <f t="shared" si="2"/>
        <v/>
      </c>
      <c r="I22" s="19" t="str">
        <f t="shared" si="3"/>
        <v/>
      </c>
      <c r="J22" s="19" t="str">
        <f t="shared" si="4"/>
        <v/>
      </c>
      <c r="M22" s="18" t="e">
        <f t="shared" si="0"/>
        <v>#REF!</v>
      </c>
    </row>
    <row r="23" spans="1:13" x14ac:dyDescent="0.75">
      <c r="A23" s="20">
        <v>0</v>
      </c>
      <c r="B23" s="20">
        <f>'[1]Base-1'!A15</f>
        <v>9</v>
      </c>
      <c r="C23" s="20" t="e">
        <f>'[1]Base-1'!#REF!</f>
        <v>#REF!</v>
      </c>
      <c r="D23" s="20"/>
      <c r="G23" s="18" t="b">
        <f t="shared" si="1"/>
        <v>0</v>
      </c>
      <c r="H23" s="19" t="str">
        <f t="shared" si="2"/>
        <v/>
      </c>
      <c r="I23" s="19" t="str">
        <f t="shared" si="3"/>
        <v/>
      </c>
      <c r="J23" s="19" t="str">
        <f t="shared" si="4"/>
        <v/>
      </c>
      <c r="M23" s="18" t="e">
        <f t="shared" si="0"/>
        <v>#REF!</v>
      </c>
    </row>
    <row r="24" spans="1:13" x14ac:dyDescent="0.75">
      <c r="A24" s="20">
        <v>0</v>
      </c>
      <c r="B24" s="20">
        <f>'[1]Base-1'!A16</f>
        <v>10</v>
      </c>
      <c r="C24" s="20" t="e">
        <f>'[1]Base-1'!#REF!</f>
        <v>#REF!</v>
      </c>
      <c r="D24" s="20"/>
      <c r="G24" s="18" t="b">
        <f t="shared" si="1"/>
        <v>0</v>
      </c>
      <c r="H24" s="19" t="str">
        <f t="shared" si="2"/>
        <v/>
      </c>
      <c r="I24" s="19" t="str">
        <f t="shared" si="3"/>
        <v/>
      </c>
      <c r="J24" s="19" t="str">
        <f t="shared" si="4"/>
        <v/>
      </c>
      <c r="M24" s="18" t="e">
        <f t="shared" si="0"/>
        <v>#REF!</v>
      </c>
    </row>
    <row r="25" spans="1:13" x14ac:dyDescent="0.75">
      <c r="A25" s="20">
        <v>0</v>
      </c>
      <c r="B25" s="20">
        <f>'[1]Base-1'!A18</f>
        <v>12</v>
      </c>
      <c r="C25" s="20" t="e">
        <f>'[1]Base-1'!#REF!</f>
        <v>#REF!</v>
      </c>
      <c r="D25" s="20"/>
      <c r="G25" s="18" t="b">
        <f t="shared" si="1"/>
        <v>0</v>
      </c>
      <c r="H25" s="19" t="str">
        <f t="shared" si="2"/>
        <v/>
      </c>
      <c r="I25" s="19" t="str">
        <f t="shared" si="3"/>
        <v/>
      </c>
      <c r="J25" s="19" t="str">
        <f t="shared" si="4"/>
        <v/>
      </c>
      <c r="M25" s="18" t="e">
        <f t="shared" si="0"/>
        <v>#REF!</v>
      </c>
    </row>
    <row r="26" spans="1:13" x14ac:dyDescent="0.75">
      <c r="A26" s="20">
        <v>0</v>
      </c>
      <c r="B26" s="20">
        <f>'[1]Base-1'!A28</f>
        <v>22</v>
      </c>
      <c r="C26" s="20" t="str">
        <f>'[1]Base-1'!B28</f>
        <v>diagnosis.otherConditions</v>
      </c>
      <c r="D26" s="20"/>
      <c r="G26" s="18" t="b">
        <f t="shared" si="1"/>
        <v>0</v>
      </c>
      <c r="H26" s="19" t="str">
        <f t="shared" si="2"/>
        <v/>
      </c>
      <c r="I26" s="19" t="str">
        <f t="shared" si="3"/>
        <v/>
      </c>
      <c r="J26" s="19" t="str">
        <f t="shared" si="4"/>
        <v/>
      </c>
      <c r="M26" s="18" t="str">
        <f t="shared" si="0"/>
        <v>* diagnosis.otherConditions -&gt; ""</v>
      </c>
    </row>
    <row r="27" spans="1:13" x14ac:dyDescent="0.75">
      <c r="A27" s="108">
        <v>0</v>
      </c>
      <c r="B27" s="108">
        <f>B28</f>
        <v>0</v>
      </c>
      <c r="C27" s="108">
        <f>C28</f>
        <v>0</v>
      </c>
      <c r="D27" s="108"/>
      <c r="G27" s="18" t="b">
        <f t="shared" si="1"/>
        <v>0</v>
      </c>
      <c r="H27" s="19" t="str">
        <f t="shared" si="2"/>
        <v/>
      </c>
      <c r="I27" s="19" t="str">
        <f t="shared" si="3"/>
        <v/>
      </c>
      <c r="J27" s="19" t="str">
        <f t="shared" si="4"/>
        <v/>
      </c>
    </row>
    <row r="28" spans="1:13" x14ac:dyDescent="0.75">
      <c r="A28" s="20">
        <v>1</v>
      </c>
      <c r="B28" s="20">
        <f>'[1]Base-1'!A29</f>
        <v>0</v>
      </c>
      <c r="C28" s="20">
        <f>'[1]Base-1'!B29</f>
        <v>0</v>
      </c>
      <c r="D28" s="20"/>
      <c r="G28" s="18" t="b">
        <f t="shared" si="1"/>
        <v>0</v>
      </c>
      <c r="H28" s="19" t="str">
        <f t="shared" si="2"/>
        <v/>
      </c>
      <c r="I28" s="19" t="str">
        <f t="shared" si="3"/>
        <v/>
      </c>
      <c r="J28" s="19" t="str">
        <f t="shared" si="4"/>
        <v/>
      </c>
      <c r="M28" s="18" t="str">
        <f t="shared" ref="M28:M36" si="5">CONCATENATE("* ",C28," -&gt; """,D28,"""")</f>
        <v>* 0 -&gt; ""</v>
      </c>
    </row>
    <row r="29" spans="1:13" x14ac:dyDescent="0.75">
      <c r="A29" s="20">
        <v>0</v>
      </c>
      <c r="B29" s="20">
        <f>'[1]Base-1'!A30</f>
        <v>0</v>
      </c>
      <c r="C29" s="20">
        <f>'[1]Base-1'!B30</f>
        <v>0</v>
      </c>
      <c r="D29" s="20"/>
      <c r="G29" s="18" t="b">
        <f t="shared" si="1"/>
        <v>0</v>
      </c>
      <c r="H29" s="19" t="str">
        <f t="shared" si="2"/>
        <v/>
      </c>
      <c r="I29" s="19" t="str">
        <f t="shared" si="3"/>
        <v/>
      </c>
      <c r="J29" s="19" t="str">
        <f t="shared" si="4"/>
        <v/>
      </c>
      <c r="M29" s="18" t="str">
        <f t="shared" si="5"/>
        <v>* 0 -&gt; ""</v>
      </c>
    </row>
    <row r="30" spans="1:13" x14ac:dyDescent="0.75">
      <c r="A30" s="20">
        <v>0</v>
      </c>
      <c r="B30" s="20">
        <f>'[1]Base-1'!A31</f>
        <v>0</v>
      </c>
      <c r="C30" s="20">
        <f>'[1]Base-1'!B31</f>
        <v>0</v>
      </c>
      <c r="D30" s="20"/>
      <c r="G30" s="18" t="b">
        <f t="shared" si="1"/>
        <v>0</v>
      </c>
      <c r="H30" s="19" t="str">
        <f t="shared" si="2"/>
        <v/>
      </c>
      <c r="I30" s="19" t="str">
        <f t="shared" si="3"/>
        <v/>
      </c>
      <c r="J30" s="19" t="str">
        <f t="shared" si="4"/>
        <v/>
      </c>
      <c r="M30" s="18" t="str">
        <f t="shared" si="5"/>
        <v>* 0 -&gt; ""</v>
      </c>
    </row>
    <row r="31" spans="1:13" x14ac:dyDescent="0.75">
      <c r="A31" s="20">
        <v>0</v>
      </c>
      <c r="B31" s="20" t="e">
        <f>'[1]Base-1'!#REF!</f>
        <v>#REF!</v>
      </c>
      <c r="C31" s="20" t="e">
        <f>'[1]Base-1'!#REF!</f>
        <v>#REF!</v>
      </c>
      <c r="D31" s="20"/>
      <c r="G31" s="18" t="b">
        <f t="shared" si="1"/>
        <v>0</v>
      </c>
      <c r="H31" s="19" t="str">
        <f t="shared" si="2"/>
        <v/>
      </c>
      <c r="I31" s="19" t="str">
        <f t="shared" si="3"/>
        <v/>
      </c>
      <c r="J31" s="19" t="str">
        <f t="shared" si="4"/>
        <v/>
      </c>
      <c r="M31" s="18" t="e">
        <f t="shared" si="5"/>
        <v>#REF!</v>
      </c>
    </row>
    <row r="32" spans="1:13" x14ac:dyDescent="0.75">
      <c r="A32" s="20">
        <v>0</v>
      </c>
      <c r="B32" s="20" t="e">
        <f>'[1]Base-1'!#REF!</f>
        <v>#REF!</v>
      </c>
      <c r="C32" s="20" t="e">
        <f>'[1]Base-1'!#REF!</f>
        <v>#REF!</v>
      </c>
      <c r="D32" s="20"/>
      <c r="G32" s="18" t="b">
        <f t="shared" si="1"/>
        <v>0</v>
      </c>
      <c r="H32" s="19" t="str">
        <f t="shared" si="2"/>
        <v/>
      </c>
      <c r="I32" s="19" t="str">
        <f t="shared" si="3"/>
        <v/>
      </c>
      <c r="J32" s="19" t="str">
        <f t="shared" si="4"/>
        <v/>
      </c>
      <c r="M32" s="18" t="e">
        <f t="shared" si="5"/>
        <v>#REF!</v>
      </c>
    </row>
    <row r="33" spans="1:13" x14ac:dyDescent="0.75">
      <c r="A33" s="20">
        <v>0</v>
      </c>
      <c r="B33" s="20" t="e">
        <f>'[1]Base-1'!#REF!</f>
        <v>#REF!</v>
      </c>
      <c r="C33" s="20" t="e">
        <f>'[1]Base-1'!#REF!</f>
        <v>#REF!</v>
      </c>
      <c r="D33" s="20"/>
      <c r="G33" s="18" t="b">
        <f t="shared" si="1"/>
        <v>0</v>
      </c>
      <c r="H33" s="19" t="str">
        <f t="shared" si="2"/>
        <v/>
      </c>
      <c r="I33" s="19" t="str">
        <f t="shared" si="3"/>
        <v/>
      </c>
      <c r="J33" s="19" t="str">
        <f t="shared" si="4"/>
        <v/>
      </c>
      <c r="M33" s="18" t="e">
        <f t="shared" si="5"/>
        <v>#REF!</v>
      </c>
    </row>
    <row r="34" spans="1:13" x14ac:dyDescent="0.75">
      <c r="A34" s="20">
        <v>0</v>
      </c>
      <c r="B34" s="20" t="e">
        <f>'[1]Base-1'!#REF!</f>
        <v>#REF!</v>
      </c>
      <c r="C34" s="20" t="e">
        <f>'[1]Base-1'!#REF!</f>
        <v>#REF!</v>
      </c>
      <c r="D34" s="20"/>
      <c r="G34" s="18" t="b">
        <f t="shared" si="1"/>
        <v>0</v>
      </c>
      <c r="H34" s="19" t="str">
        <f t="shared" si="2"/>
        <v/>
      </c>
      <c r="I34" s="19" t="str">
        <f t="shared" si="3"/>
        <v/>
      </c>
      <c r="J34" s="19" t="str">
        <f t="shared" si="4"/>
        <v/>
      </c>
      <c r="M34" s="18" t="e">
        <f t="shared" si="5"/>
        <v>#REF!</v>
      </c>
    </row>
    <row r="35" spans="1:13" x14ac:dyDescent="0.75">
      <c r="A35" s="20">
        <v>0</v>
      </c>
      <c r="B35" s="20" t="e">
        <f>'[1]Base-1'!#REF!</f>
        <v>#REF!</v>
      </c>
      <c r="C35" s="20" t="e">
        <f>'[1]Base-1'!#REF!</f>
        <v>#REF!</v>
      </c>
      <c r="D35" s="20"/>
      <c r="G35" s="18" t="b">
        <f t="shared" si="1"/>
        <v>0</v>
      </c>
      <c r="H35" s="19" t="str">
        <f t="shared" si="2"/>
        <v/>
      </c>
      <c r="I35" s="19" t="str">
        <f t="shared" si="3"/>
        <v/>
      </c>
      <c r="J35" s="19" t="str">
        <f t="shared" si="4"/>
        <v/>
      </c>
      <c r="M35" s="18" t="e">
        <f t="shared" si="5"/>
        <v>#REF!</v>
      </c>
    </row>
    <row r="36" spans="1:13" x14ac:dyDescent="0.75">
      <c r="A36" s="20">
        <v>0</v>
      </c>
      <c r="B36" s="20" t="e">
        <f>'[1]Base-1'!#REF!</f>
        <v>#REF!</v>
      </c>
      <c r="C36" s="20" t="e">
        <f>'[1]Base-1'!#REF!</f>
        <v>#REF!</v>
      </c>
      <c r="D36" s="20"/>
      <c r="G36" s="18" t="b">
        <f t="shared" si="1"/>
        <v>0</v>
      </c>
      <c r="H36" s="19" t="str">
        <f t="shared" si="2"/>
        <v/>
      </c>
      <c r="I36" s="19" t="str">
        <f t="shared" si="3"/>
        <v/>
      </c>
      <c r="J36" s="19" t="str">
        <f t="shared" si="4"/>
        <v/>
      </c>
      <c r="M36" s="18" t="e">
        <f t="shared" si="5"/>
        <v>#REF!</v>
      </c>
    </row>
    <row r="37" spans="1:13" x14ac:dyDescent="0.75">
      <c r="A37" s="20">
        <v>0</v>
      </c>
      <c r="B37" s="20" t="e">
        <f>'[1]Base-1'!#REF!</f>
        <v>#REF!</v>
      </c>
      <c r="C37" s="20" t="e">
        <f>'[1]Base-1'!#REF!</f>
        <v>#REF!</v>
      </c>
      <c r="D37" s="20"/>
      <c r="G37" s="18" t="b">
        <f t="shared" si="1"/>
        <v>0</v>
      </c>
      <c r="H37" s="19" t="str">
        <f t="shared" si="2"/>
        <v/>
      </c>
      <c r="I37" s="19" t="str">
        <f t="shared" si="3"/>
        <v/>
      </c>
      <c r="J37" s="19" t="str">
        <f t="shared" si="4"/>
        <v/>
      </c>
    </row>
    <row r="38" spans="1:13" x14ac:dyDescent="0.75">
      <c r="A38" s="20"/>
      <c r="B38" s="20"/>
      <c r="C38" s="20"/>
      <c r="D38" s="20"/>
      <c r="G38" s="18" t="b">
        <f t="shared" si="1"/>
        <v>0</v>
      </c>
      <c r="H38" s="19" t="str">
        <f t="shared" si="2"/>
        <v/>
      </c>
      <c r="I38" s="19" t="str">
        <f t="shared" si="3"/>
        <v/>
      </c>
      <c r="J38" s="19" t="str">
        <f t="shared" si="4"/>
        <v/>
      </c>
    </row>
    <row r="39" spans="1:13" x14ac:dyDescent="0.75">
      <c r="A39" s="20"/>
      <c r="B39" s="20"/>
      <c r="C39" s="20"/>
      <c r="D39" s="20"/>
      <c r="G39" s="18" t="b">
        <f t="shared" si="1"/>
        <v>0</v>
      </c>
      <c r="H39" s="19" t="str">
        <f t="shared" si="2"/>
        <v/>
      </c>
      <c r="I39" s="19" t="str">
        <f t="shared" si="3"/>
        <v/>
      </c>
      <c r="J39" s="19" t="str">
        <f t="shared" si="4"/>
        <v/>
      </c>
    </row>
    <row r="40" spans="1:13" x14ac:dyDescent="0.75">
      <c r="B40" s="18" t="e">
        <f>'[1]Base-1'!#REF!</f>
        <v>#REF!</v>
      </c>
      <c r="G40" s="18" t="b">
        <f t="shared" si="1"/>
        <v>0</v>
      </c>
      <c r="H40" s="19" t="str">
        <f t="shared" si="2"/>
        <v/>
      </c>
      <c r="I40" s="19" t="str">
        <f t="shared" si="3"/>
        <v/>
      </c>
      <c r="J40" s="19" t="str">
        <f t="shared" si="4"/>
        <v/>
      </c>
    </row>
    <row r="41" spans="1:13" x14ac:dyDescent="0.75">
      <c r="B41" s="18" t="e">
        <f>'[1]Base-1'!#REF!</f>
        <v>#REF!</v>
      </c>
      <c r="C41" s="18" t="e">
        <f>'[1]Base-1'!#REF!</f>
        <v>#REF!</v>
      </c>
      <c r="G41" s="18" t="b">
        <f t="shared" si="1"/>
        <v>0</v>
      </c>
      <c r="H41" s="19" t="str">
        <f t="shared" si="2"/>
        <v/>
      </c>
      <c r="I41" s="19" t="str">
        <f t="shared" si="3"/>
        <v/>
      </c>
      <c r="J41" s="19" t="str">
        <f t="shared" si="4"/>
        <v/>
      </c>
    </row>
    <row r="42" spans="1:13" x14ac:dyDescent="0.75">
      <c r="B42" s="18" t="e">
        <f>'[1]Base-1'!#REF!</f>
        <v>#REF!</v>
      </c>
      <c r="C42" s="18" t="e">
        <f>'[1]Base-1'!#REF!</f>
        <v>#REF!</v>
      </c>
      <c r="G42" s="18" t="b">
        <f t="shared" si="1"/>
        <v>0</v>
      </c>
      <c r="H42" s="19" t="str">
        <f t="shared" si="2"/>
        <v/>
      </c>
      <c r="I42" s="19" t="str">
        <f t="shared" si="3"/>
        <v/>
      </c>
      <c r="J42" s="19" t="str">
        <f t="shared" si="4"/>
        <v/>
      </c>
    </row>
    <row r="43" spans="1:13" x14ac:dyDescent="0.75">
      <c r="B43" s="18" t="e">
        <f>'[1]Base-1'!#REF!</f>
        <v>#REF!</v>
      </c>
      <c r="C43" s="18" t="e">
        <f>'[1]Base-1'!#REF!</f>
        <v>#REF!</v>
      </c>
      <c r="D43" s="109"/>
      <c r="G43" s="18" t="b">
        <f t="shared" si="1"/>
        <v>0</v>
      </c>
      <c r="H43" s="19" t="str">
        <f t="shared" si="2"/>
        <v/>
      </c>
      <c r="I43" s="19" t="str">
        <f t="shared" si="3"/>
        <v/>
      </c>
      <c r="J43" s="19" t="str">
        <f t="shared" si="4"/>
        <v/>
      </c>
    </row>
    <row r="44" spans="1:13" x14ac:dyDescent="0.75">
      <c r="B44" s="18" t="e">
        <f>'[1]Base-1'!#REF!</f>
        <v>#REF!</v>
      </c>
      <c r="C44" s="18" t="e">
        <f>'[1]Base-1'!#REF!</f>
        <v>#REF!</v>
      </c>
      <c r="D44" s="20"/>
      <c r="G44" s="18" t="b">
        <f t="shared" si="1"/>
        <v>0</v>
      </c>
      <c r="H44" s="19" t="str">
        <f t="shared" si="2"/>
        <v/>
      </c>
      <c r="I44" s="19" t="str">
        <f t="shared" si="3"/>
        <v/>
      </c>
      <c r="J44" s="19" t="str">
        <f t="shared" si="4"/>
        <v/>
      </c>
    </row>
    <row r="45" spans="1:13" x14ac:dyDescent="0.75">
      <c r="B45" s="18">
        <f>'[1]Base-1'!A32</f>
        <v>0</v>
      </c>
      <c r="C45" s="18">
        <f>'[1]Base-1'!B32</f>
        <v>0</v>
      </c>
      <c r="D45" s="109"/>
      <c r="G45" s="18" t="b">
        <f t="shared" si="1"/>
        <v>0</v>
      </c>
      <c r="H45" s="19" t="str">
        <f t="shared" si="2"/>
        <v/>
      </c>
      <c r="I45" s="19" t="str">
        <f t="shared" si="3"/>
        <v/>
      </c>
      <c r="J45" s="19" t="str">
        <f t="shared" si="4"/>
        <v/>
      </c>
    </row>
    <row r="46" spans="1:13" x14ac:dyDescent="0.75">
      <c r="B46" s="18">
        <f>'[1]Base-1'!A33</f>
        <v>0</v>
      </c>
      <c r="C46" s="18">
        <f>'[1]Base-1'!B33</f>
        <v>0</v>
      </c>
      <c r="G46" s="18" t="b">
        <f t="shared" si="1"/>
        <v>0</v>
      </c>
      <c r="H46" s="19" t="str">
        <f t="shared" si="2"/>
        <v/>
      </c>
      <c r="I46" s="19" t="str">
        <f t="shared" si="3"/>
        <v/>
      </c>
      <c r="J46" s="19" t="str">
        <f t="shared" si="4"/>
        <v/>
      </c>
    </row>
    <row r="47" spans="1:13" x14ac:dyDescent="0.75">
      <c r="B47" s="18">
        <f>'[1]Base-1'!A34</f>
        <v>0</v>
      </c>
      <c r="C47" s="18">
        <f>'[1]Base-1'!B34</f>
        <v>0</v>
      </c>
      <c r="G47" s="18" t="b">
        <f t="shared" si="1"/>
        <v>0</v>
      </c>
      <c r="H47" s="19" t="str">
        <f t="shared" si="2"/>
        <v/>
      </c>
      <c r="I47" s="19" t="str">
        <f t="shared" si="3"/>
        <v/>
      </c>
      <c r="J47" s="19" t="str">
        <f t="shared" si="4"/>
        <v/>
      </c>
    </row>
    <row r="48" spans="1:13" x14ac:dyDescent="0.75">
      <c r="B48" s="18">
        <f>'[1]Base-1'!A35</f>
        <v>0</v>
      </c>
      <c r="C48" s="18">
        <f>'[1]Base-1'!B35</f>
        <v>0</v>
      </c>
      <c r="G48" s="18" t="b">
        <f t="shared" si="1"/>
        <v>0</v>
      </c>
      <c r="H48" s="19" t="str">
        <f t="shared" si="2"/>
        <v/>
      </c>
      <c r="I48" s="19" t="str">
        <f t="shared" si="3"/>
        <v/>
      </c>
      <c r="J48" s="19" t="str">
        <f t="shared" si="4"/>
        <v/>
      </c>
    </row>
    <row r="49" spans="2:10" x14ac:dyDescent="0.75">
      <c r="B49" s="18">
        <f>'[1]Base-1'!A36</f>
        <v>0</v>
      </c>
      <c r="C49" s="18">
        <f>'[1]Base-1'!B36</f>
        <v>0</v>
      </c>
      <c r="G49" s="18" t="b">
        <f t="shared" si="1"/>
        <v>0</v>
      </c>
      <c r="H49" s="19" t="str">
        <f t="shared" si="2"/>
        <v/>
      </c>
      <c r="I49" s="19" t="str">
        <f t="shared" si="3"/>
        <v/>
      </c>
      <c r="J49" s="19" t="str">
        <f t="shared" si="4"/>
        <v/>
      </c>
    </row>
    <row r="50" spans="2:10" x14ac:dyDescent="0.75">
      <c r="B50" s="18">
        <f>'[1]Base-1'!A37</f>
        <v>0</v>
      </c>
      <c r="C50" s="18">
        <f>'[1]Base-1'!B37</f>
        <v>0</v>
      </c>
      <c r="G50" s="18" t="b">
        <f t="shared" si="1"/>
        <v>0</v>
      </c>
      <c r="H50" s="19" t="str">
        <f t="shared" si="2"/>
        <v/>
      </c>
      <c r="I50" s="19" t="str">
        <f t="shared" si="3"/>
        <v/>
      </c>
      <c r="J50" s="19" t="str">
        <f t="shared" si="4"/>
        <v/>
      </c>
    </row>
    <row r="51" spans="2:10" x14ac:dyDescent="0.75">
      <c r="B51" s="18">
        <f>'[1]Base-1'!A38</f>
        <v>0</v>
      </c>
      <c r="C51" s="18">
        <f>'[1]Base-1'!B38</f>
        <v>0</v>
      </c>
      <c r="G51" s="18" t="b">
        <f t="shared" si="1"/>
        <v>0</v>
      </c>
      <c r="H51" s="19" t="str">
        <f t="shared" si="2"/>
        <v/>
      </c>
      <c r="I51" s="19" t="str">
        <f t="shared" si="3"/>
        <v/>
      </c>
      <c r="J51" s="19" t="str">
        <f t="shared" si="4"/>
        <v/>
      </c>
    </row>
    <row r="52" spans="2:10" x14ac:dyDescent="0.75">
      <c r="B52" s="18">
        <f>'[1]Base-1'!A39</f>
        <v>0</v>
      </c>
      <c r="C52" s="18">
        <f>'[1]Base-1'!B39</f>
        <v>0</v>
      </c>
      <c r="G52" s="18" t="b">
        <f t="shared" si="1"/>
        <v>0</v>
      </c>
      <c r="H52" s="19" t="str">
        <f t="shared" si="2"/>
        <v/>
      </c>
      <c r="I52" s="19" t="str">
        <f t="shared" si="3"/>
        <v/>
      </c>
      <c r="J52" s="19" t="str">
        <f t="shared" si="4"/>
        <v/>
      </c>
    </row>
    <row r="53" spans="2:10" x14ac:dyDescent="0.75">
      <c r="B53" s="18">
        <f>'[1]Base-1'!A40</f>
        <v>0</v>
      </c>
      <c r="C53" s="18">
        <f>'[1]Base-1'!B40</f>
        <v>0</v>
      </c>
      <c r="G53" s="18" t="b">
        <f t="shared" si="1"/>
        <v>0</v>
      </c>
      <c r="H53" s="19" t="str">
        <f t="shared" si="2"/>
        <v/>
      </c>
      <c r="I53" s="19" t="str">
        <f t="shared" si="3"/>
        <v/>
      </c>
      <c r="J53" s="19" t="str">
        <f t="shared" si="4"/>
        <v/>
      </c>
    </row>
    <row r="54" spans="2:10" x14ac:dyDescent="0.75">
      <c r="B54" s="18">
        <f>'[1]Base-1'!A41</f>
        <v>0</v>
      </c>
      <c r="C54" s="18">
        <f>'[1]Base-1'!B41</f>
        <v>0</v>
      </c>
      <c r="G54" s="18" t="b">
        <f t="shared" si="1"/>
        <v>0</v>
      </c>
      <c r="H54" s="19" t="str">
        <f t="shared" si="2"/>
        <v/>
      </c>
      <c r="I54" s="19" t="str">
        <f t="shared" si="3"/>
        <v/>
      </c>
      <c r="J54" s="19" t="str">
        <f t="shared" si="4"/>
        <v/>
      </c>
    </row>
    <row r="55" spans="2:10" x14ac:dyDescent="0.75">
      <c r="B55" s="18">
        <f>'[1]Base-1'!A42</f>
        <v>0</v>
      </c>
      <c r="C55" s="18">
        <f>'[1]Base-1'!B42</f>
        <v>0</v>
      </c>
      <c r="G55" s="18" t="b">
        <f t="shared" si="1"/>
        <v>0</v>
      </c>
      <c r="H55" s="19" t="str">
        <f t="shared" si="2"/>
        <v/>
      </c>
      <c r="I55" s="19" t="str">
        <f t="shared" si="3"/>
        <v/>
      </c>
      <c r="J55" s="19" t="str">
        <f t="shared" si="4"/>
        <v/>
      </c>
    </row>
    <row r="56" spans="2:10" x14ac:dyDescent="0.75">
      <c r="B56" s="18">
        <f>'[1]Base-1'!A43</f>
        <v>0</v>
      </c>
      <c r="C56" s="18">
        <f>'[1]Base-1'!B43</f>
        <v>0</v>
      </c>
      <c r="G56" s="18" t="b">
        <f t="shared" si="1"/>
        <v>0</v>
      </c>
      <c r="H56" s="19" t="str">
        <f t="shared" si="2"/>
        <v/>
      </c>
      <c r="I56" s="19" t="str">
        <f t="shared" si="3"/>
        <v/>
      </c>
      <c r="J56" s="19" t="str">
        <f t="shared" si="4"/>
        <v/>
      </c>
    </row>
    <row r="57" spans="2:10" x14ac:dyDescent="0.75">
      <c r="B57" s="18">
        <f>'[1]Base-1'!A44</f>
        <v>0</v>
      </c>
      <c r="C57" s="18">
        <f>'[1]Base-1'!B44</f>
        <v>0</v>
      </c>
      <c r="G57" s="18" t="b">
        <f t="shared" si="1"/>
        <v>0</v>
      </c>
      <c r="H57" s="19" t="str">
        <f t="shared" si="2"/>
        <v/>
      </c>
      <c r="I57" s="19" t="str">
        <f t="shared" si="3"/>
        <v/>
      </c>
      <c r="J57" s="19" t="str">
        <f t="shared" si="4"/>
        <v/>
      </c>
    </row>
    <row r="58" spans="2:10" x14ac:dyDescent="0.75">
      <c r="B58" s="18">
        <f>'[1]Base-1'!A45</f>
        <v>0</v>
      </c>
      <c r="C58" s="18">
        <f>'[1]Base-1'!B45</f>
        <v>0</v>
      </c>
      <c r="G58" s="18" t="b">
        <f t="shared" si="1"/>
        <v>0</v>
      </c>
      <c r="H58" s="19" t="str">
        <f t="shared" si="2"/>
        <v/>
      </c>
      <c r="I58" s="19" t="str">
        <f t="shared" si="3"/>
        <v/>
      </c>
      <c r="J58" s="19" t="str">
        <f t="shared" si="4"/>
        <v/>
      </c>
    </row>
    <row r="59" spans="2:10" x14ac:dyDescent="0.75">
      <c r="B59" s="18">
        <f>'[1]Base-1'!A46</f>
        <v>0</v>
      </c>
      <c r="C59" s="18">
        <f>'[1]Base-1'!B46</f>
        <v>0</v>
      </c>
      <c r="G59" s="18" t="b">
        <f t="shared" si="1"/>
        <v>0</v>
      </c>
      <c r="H59" s="19" t="str">
        <f t="shared" si="2"/>
        <v/>
      </c>
      <c r="I59" s="19" t="str">
        <f t="shared" si="3"/>
        <v/>
      </c>
      <c r="J59" s="19" t="str">
        <f t="shared" si="4"/>
        <v/>
      </c>
    </row>
    <row r="60" spans="2:10" x14ac:dyDescent="0.75">
      <c r="B60" s="18">
        <f>'[1]Base-1'!A47</f>
        <v>0</v>
      </c>
      <c r="C60" s="18">
        <f>'[1]Base-1'!B47</f>
        <v>0</v>
      </c>
    </row>
    <row r="61" spans="2:10" x14ac:dyDescent="0.75">
      <c r="B61" s="18">
        <f>'[1]Base-1'!A48</f>
        <v>0</v>
      </c>
      <c r="C61" s="18">
        <f>'[1]Base-1'!B48</f>
        <v>0</v>
      </c>
    </row>
    <row r="62" spans="2:10" x14ac:dyDescent="0.75">
      <c r="B62" s="18">
        <f>'[1]Base-1'!A49</f>
        <v>0</v>
      </c>
      <c r="C62" s="18">
        <f>'[1]Base-1'!B49</f>
        <v>0</v>
      </c>
    </row>
    <row r="63" spans="2:10" x14ac:dyDescent="0.75">
      <c r="B63" s="18">
        <f>'[1]Base-1'!A50</f>
        <v>0</v>
      </c>
      <c r="C63" s="18">
        <f>'[1]Base-1'!B50</f>
        <v>0</v>
      </c>
    </row>
    <row r="64" spans="2:10" x14ac:dyDescent="0.75">
      <c r="B64" s="18">
        <f>'[1]Base-1'!A51</f>
        <v>0</v>
      </c>
      <c r="C64" s="18">
        <f>'[1]Base-1'!B51</f>
        <v>0</v>
      </c>
    </row>
    <row r="65" spans="2:3" x14ac:dyDescent="0.75">
      <c r="B65" s="18">
        <f>'[1]Base-1'!A52</f>
        <v>0</v>
      </c>
      <c r="C65" s="18">
        <f>'[1]Base-1'!B52</f>
        <v>0</v>
      </c>
    </row>
    <row r="66" spans="2:3" x14ac:dyDescent="0.75">
      <c r="B66" s="18">
        <f>'[1]Base-1'!A53</f>
        <v>0</v>
      </c>
      <c r="C66" s="18">
        <f>'[1]Base-1'!B53</f>
        <v>0</v>
      </c>
    </row>
    <row r="67" spans="2:3" x14ac:dyDescent="0.75">
      <c r="B67" s="18">
        <f>'[1]Base-1'!A54</f>
        <v>0</v>
      </c>
      <c r="C67" s="18">
        <f>'[1]Base-1'!B54</f>
        <v>0</v>
      </c>
    </row>
    <row r="68" spans="2:3" x14ac:dyDescent="0.75">
      <c r="B68" s="18">
        <f>'[1]Base-1'!A55</f>
        <v>0</v>
      </c>
      <c r="C68" s="18">
        <f>'[1]Base-1'!B55</f>
        <v>0</v>
      </c>
    </row>
    <row r="69" spans="2:3" x14ac:dyDescent="0.75">
      <c r="B69" s="18">
        <f>'[1]Base-1'!A56</f>
        <v>0</v>
      </c>
      <c r="C69" s="18">
        <f>'[1]Base-1'!B56</f>
        <v>0</v>
      </c>
    </row>
    <row r="70" spans="2:3" x14ac:dyDescent="0.75">
      <c r="B70" s="18">
        <f>'[1]Base-1'!A57</f>
        <v>0</v>
      </c>
      <c r="C70" s="18">
        <f>'[1]Base-1'!B57</f>
        <v>0</v>
      </c>
    </row>
    <row r="71" spans="2:3" x14ac:dyDescent="0.75">
      <c r="B71" s="18">
        <f>'[1]Base-1'!A58</f>
        <v>0</v>
      </c>
      <c r="C71" s="18">
        <f>'[1]Base-1'!B58</f>
        <v>0</v>
      </c>
    </row>
    <row r="72" spans="2:3" x14ac:dyDescent="0.75">
      <c r="B72" s="18">
        <f>'[1]Base-1'!A59</f>
        <v>0</v>
      </c>
      <c r="C72" s="18">
        <f>'[1]Base-1'!B59</f>
        <v>0</v>
      </c>
    </row>
    <row r="73" spans="2:3" x14ac:dyDescent="0.75">
      <c r="B73" s="18">
        <f>'[1]Base-1'!A60</f>
        <v>0</v>
      </c>
      <c r="C73" s="18">
        <f>'[1]Base-1'!B60</f>
        <v>0</v>
      </c>
    </row>
    <row r="74" spans="2:3" x14ac:dyDescent="0.75">
      <c r="B74" s="18">
        <f>'[1]Base-1'!A61</f>
        <v>0</v>
      </c>
      <c r="C74" s="18">
        <f>'[1]Base-1'!B61</f>
        <v>0</v>
      </c>
    </row>
    <row r="75" spans="2:3" x14ac:dyDescent="0.75">
      <c r="B75" s="18">
        <f>'[1]Base-1'!A62</f>
        <v>0</v>
      </c>
      <c r="C75" s="18">
        <f>'[1]Base-1'!B62</f>
        <v>0</v>
      </c>
    </row>
    <row r="76" spans="2:3" x14ac:dyDescent="0.75">
      <c r="B76" s="18">
        <f>'[1]Base-1'!A63</f>
        <v>0</v>
      </c>
      <c r="C76" s="18">
        <f>'[1]Base-1'!B63</f>
        <v>0</v>
      </c>
    </row>
    <row r="77" spans="2:3" x14ac:dyDescent="0.75">
      <c r="B77" s="18">
        <f>'[1]Base-1'!A64</f>
        <v>0</v>
      </c>
      <c r="C77" s="18">
        <f>'[1]Base-1'!B64</f>
        <v>0</v>
      </c>
    </row>
    <row r="78" spans="2:3" x14ac:dyDescent="0.75">
      <c r="B78" s="18">
        <f>'[1]Base-1'!A65</f>
        <v>0</v>
      </c>
      <c r="C78" s="18">
        <f>'[1]Base-1'!B65</f>
        <v>0</v>
      </c>
    </row>
    <row r="79" spans="2:3" x14ac:dyDescent="0.75">
      <c r="B79" s="18">
        <f>'[1]Base-1'!A66</f>
        <v>0</v>
      </c>
      <c r="C79" s="18">
        <f>'[1]Base-1'!B66</f>
        <v>0</v>
      </c>
    </row>
    <row r="80" spans="2:3" x14ac:dyDescent="0.75">
      <c r="B80" s="18">
        <f>'[1]Base-1'!A67</f>
        <v>0</v>
      </c>
      <c r="C80" s="18">
        <f>'[1]Base-1'!B67</f>
        <v>0</v>
      </c>
    </row>
    <row r="81" spans="2:3" x14ac:dyDescent="0.75">
      <c r="B81" s="18">
        <f>'[1]Base-1'!A68</f>
        <v>0</v>
      </c>
      <c r="C81" s="18">
        <f>'[1]Base-1'!B68</f>
        <v>0</v>
      </c>
    </row>
    <row r="82" spans="2:3" x14ac:dyDescent="0.75">
      <c r="B82" s="18">
        <f>'[1]Base-1'!A69</f>
        <v>0</v>
      </c>
      <c r="C82" s="18">
        <f>'[1]Base-1'!B69</f>
        <v>0</v>
      </c>
    </row>
    <row r="83" spans="2:3" x14ac:dyDescent="0.75">
      <c r="B83" s="18">
        <f>'[1]Base-1'!A70</f>
        <v>0</v>
      </c>
      <c r="C83" s="18">
        <f>'[1]Base-1'!B70</f>
        <v>0</v>
      </c>
    </row>
    <row r="84" spans="2:3" x14ac:dyDescent="0.75">
      <c r="B84" s="18">
        <f>'[1]Base-1'!A71</f>
        <v>0</v>
      </c>
      <c r="C84" s="18">
        <f>'[1]Base-1'!B71</f>
        <v>0</v>
      </c>
    </row>
    <row r="85" spans="2:3" x14ac:dyDescent="0.75">
      <c r="B85" s="18">
        <f>'[1]Base-1'!A72</f>
        <v>0</v>
      </c>
      <c r="C85" s="18">
        <f>'[1]Base-1'!B72</f>
        <v>0</v>
      </c>
    </row>
    <row r="86" spans="2:3" x14ac:dyDescent="0.75">
      <c r="B86" s="18">
        <f>'[1]Base-1'!A73</f>
        <v>0</v>
      </c>
      <c r="C86" s="18">
        <f>'[1]Base-1'!B73</f>
        <v>0</v>
      </c>
    </row>
    <row r="87" spans="2:3" x14ac:dyDescent="0.75">
      <c r="B87" s="18">
        <f>'[1]Base-1'!A74</f>
        <v>0</v>
      </c>
      <c r="C87" s="18">
        <f>'[1]Base-1'!B74</f>
        <v>0</v>
      </c>
    </row>
    <row r="88" spans="2:3" x14ac:dyDescent="0.75">
      <c r="B88" s="18">
        <f>'[1]Base-1'!A75</f>
        <v>0</v>
      </c>
      <c r="C88" s="18">
        <f>'[1]Base-1'!B75</f>
        <v>0</v>
      </c>
    </row>
    <row r="89" spans="2:3" x14ac:dyDescent="0.75">
      <c r="B89" s="18">
        <f>'[1]Base-1'!A76</f>
        <v>0</v>
      </c>
      <c r="C89" s="18">
        <f>'[1]Base-1'!B76</f>
        <v>0</v>
      </c>
    </row>
    <row r="90" spans="2:3" x14ac:dyDescent="0.75">
      <c r="B90" s="18">
        <f>'[1]Base-1'!A77</f>
        <v>0</v>
      </c>
      <c r="C90" s="18">
        <f>'[1]Base-1'!B77</f>
        <v>0</v>
      </c>
    </row>
    <row r="91" spans="2:3" x14ac:dyDescent="0.75">
      <c r="B91" s="18">
        <f>'[1]Base-1'!A78</f>
        <v>0</v>
      </c>
      <c r="C91" s="18">
        <f>'[1]Base-1'!B78</f>
        <v>0</v>
      </c>
    </row>
    <row r="92" spans="2:3" x14ac:dyDescent="0.75">
      <c r="B92" s="18">
        <f>'[1]Base-1'!A79</f>
        <v>0</v>
      </c>
      <c r="C92" s="18">
        <f>'[1]Base-1'!B79</f>
        <v>0</v>
      </c>
    </row>
    <row r="93" spans="2:3" x14ac:dyDescent="0.75">
      <c r="B93" s="18">
        <f>'[1]Base-1'!A80</f>
        <v>0</v>
      </c>
      <c r="C93" s="18">
        <f>'[1]Base-1'!B80</f>
        <v>0</v>
      </c>
    </row>
    <row r="94" spans="2:3" x14ac:dyDescent="0.75">
      <c r="B94" s="18">
        <f>'[1]Base-1'!A81</f>
        <v>0</v>
      </c>
      <c r="C94" s="18">
        <f>'[1]Base-1'!B81</f>
        <v>0</v>
      </c>
    </row>
    <row r="95" spans="2:3" x14ac:dyDescent="0.75">
      <c r="B95" s="18">
        <f>'[1]Base-1'!A82</f>
        <v>0</v>
      </c>
      <c r="C95" s="18">
        <f>'[1]Base-1'!B82</f>
        <v>0</v>
      </c>
    </row>
    <row r="96" spans="2:3" x14ac:dyDescent="0.75">
      <c r="B96" s="18">
        <f>'[1]Base-1'!A83</f>
        <v>0</v>
      </c>
      <c r="C96" s="18">
        <f>'[1]Base-1'!B83</f>
        <v>0</v>
      </c>
    </row>
    <row r="97" spans="2:3" x14ac:dyDescent="0.75">
      <c r="B97" s="18">
        <f>'[1]Base-1'!A84</f>
        <v>0</v>
      </c>
      <c r="C97" s="18">
        <f>'[1]Base-1'!B84</f>
        <v>0</v>
      </c>
    </row>
    <row r="98" spans="2:3" x14ac:dyDescent="0.75">
      <c r="B98" s="18">
        <f>'[1]Base-1'!A85</f>
        <v>0</v>
      </c>
      <c r="C98" s="18">
        <f>'[1]Base-1'!B85</f>
        <v>0</v>
      </c>
    </row>
    <row r="99" spans="2:3" x14ac:dyDescent="0.75">
      <c r="B99" s="18">
        <f>'[1]Base-1'!A86</f>
        <v>0</v>
      </c>
      <c r="C99" s="18">
        <f>'[1]Base-1'!B86</f>
        <v>0</v>
      </c>
    </row>
  </sheetData>
  <hyperlinks>
    <hyperlink ref="G2" r:id="rId1" xr:uid="{E49A9B20-67D3-45D1-B3CE-B69A6AA990B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9CD582-DFAE-423A-A505-9B62F49D02F1}">
  <sheetPr codeName="Foglio33"/>
  <dimension ref="A1:I43"/>
  <sheetViews>
    <sheetView workbookViewId="0">
      <selection activeCell="D2" sqref="D2"/>
    </sheetView>
  </sheetViews>
  <sheetFormatPr defaultRowHeight="14.75" x14ac:dyDescent="0.75"/>
  <cols>
    <col min="1" max="1" width="8.7265625" style="18"/>
    <col min="2" max="2" width="48" style="18" customWidth="1"/>
    <col min="3" max="3" width="44.6328125" style="18" customWidth="1"/>
    <col min="4" max="4" width="71.58984375" style="18" bestFit="1" customWidth="1"/>
    <col min="5" max="5" width="12.1796875" style="18" customWidth="1"/>
    <col min="6" max="6" width="20.7265625" style="18" customWidth="1"/>
    <col min="7" max="7" width="15.2265625" style="18" bestFit="1" customWidth="1"/>
    <col min="8" max="8" width="33.90625" style="18" customWidth="1"/>
    <col min="9" max="9" width="19.31640625" style="18" customWidth="1"/>
    <col min="10" max="16384" width="8.7265625" style="18"/>
  </cols>
  <sheetData>
    <row r="1" spans="1:9" x14ac:dyDescent="0.75">
      <c r="B1" s="88" t="s">
        <v>837</v>
      </c>
      <c r="C1" s="118" t="s">
        <v>11</v>
      </c>
      <c r="D1" s="90" t="s">
        <v>4</v>
      </c>
    </row>
    <row r="2" spans="1:9" ht="29.5" x14ac:dyDescent="0.75">
      <c r="B2" s="91" t="s">
        <v>838</v>
      </c>
      <c r="C2" s="23" t="s">
        <v>857</v>
      </c>
      <c r="D2" s="23" t="s">
        <v>1052</v>
      </c>
    </row>
    <row r="3" spans="1:9" x14ac:dyDescent="0.75">
      <c r="B3" s="92" t="s">
        <v>841</v>
      </c>
      <c r="C3" s="119" t="s">
        <v>13</v>
      </c>
      <c r="D3" s="94"/>
    </row>
    <row r="4" spans="1:9" ht="15.5" thickBot="1" x14ac:dyDescent="0.9">
      <c r="B4" s="95" t="s">
        <v>842</v>
      </c>
      <c r="C4" s="24" t="s">
        <v>857</v>
      </c>
      <c r="D4" s="96"/>
    </row>
    <row r="5" spans="1:9" x14ac:dyDescent="0.75">
      <c r="B5" s="19"/>
      <c r="C5" s="97" t="s">
        <v>5</v>
      </c>
      <c r="D5" s="2" t="s">
        <v>6</v>
      </c>
      <c r="E5" s="3" t="s">
        <v>7</v>
      </c>
      <c r="F5" s="3" t="s">
        <v>8</v>
      </c>
      <c r="G5" s="3" t="s">
        <v>9</v>
      </c>
    </row>
    <row r="6" spans="1:9" x14ac:dyDescent="0.75">
      <c r="A6" s="18">
        <v>0</v>
      </c>
      <c r="B6" s="120" t="s">
        <v>857</v>
      </c>
      <c r="C6" s="120" t="s">
        <v>857</v>
      </c>
      <c r="D6" s="5" t="s">
        <v>857</v>
      </c>
      <c r="E6" s="99">
        <v>1</v>
      </c>
      <c r="F6" s="99">
        <v>1</v>
      </c>
      <c r="G6" s="99"/>
    </row>
    <row r="7" spans="1:9" x14ac:dyDescent="0.75">
      <c r="A7" s="18">
        <v>1</v>
      </c>
      <c r="B7" s="20" t="s">
        <v>72</v>
      </c>
      <c r="C7" s="21" t="s">
        <v>1053</v>
      </c>
      <c r="D7" s="21" t="s">
        <v>1054</v>
      </c>
      <c r="E7" s="20">
        <v>1</v>
      </c>
      <c r="F7" s="20">
        <v>1</v>
      </c>
      <c r="G7" s="20" t="s">
        <v>0</v>
      </c>
      <c r="H7" s="20"/>
      <c r="I7" s="20"/>
    </row>
    <row r="8" spans="1:9" ht="29.5" x14ac:dyDescent="0.75">
      <c r="A8" s="18">
        <v>2</v>
      </c>
      <c r="B8" s="20" t="s">
        <v>1055</v>
      </c>
      <c r="C8" s="21" t="s">
        <v>1056</v>
      </c>
      <c r="D8" s="21" t="s">
        <v>37</v>
      </c>
      <c r="E8" s="20">
        <v>1</v>
      </c>
      <c r="F8" s="20">
        <v>1</v>
      </c>
      <c r="G8" s="20" t="s">
        <v>923</v>
      </c>
      <c r="H8" s="20"/>
      <c r="I8" s="20"/>
    </row>
    <row r="9" spans="1:9" ht="29.5" x14ac:dyDescent="0.75">
      <c r="A9" s="18">
        <v>3</v>
      </c>
      <c r="B9" s="20" t="s">
        <v>1057</v>
      </c>
      <c r="C9" s="21" t="s">
        <v>1058</v>
      </c>
      <c r="D9" s="21" t="s">
        <v>38</v>
      </c>
      <c r="E9" s="20">
        <v>1</v>
      </c>
      <c r="F9" s="20">
        <v>1</v>
      </c>
      <c r="G9" s="20" t="s">
        <v>923</v>
      </c>
      <c r="H9" s="20"/>
      <c r="I9" s="20"/>
    </row>
    <row r="10" spans="1:9" ht="29.5" x14ac:dyDescent="0.75">
      <c r="A10" s="18">
        <v>4</v>
      </c>
      <c r="B10" s="21" t="s">
        <v>1059</v>
      </c>
      <c r="C10" s="21" t="s">
        <v>1060</v>
      </c>
      <c r="D10" s="21" t="s">
        <v>36</v>
      </c>
      <c r="E10" s="20">
        <v>0</v>
      </c>
      <c r="F10" s="20">
        <v>1</v>
      </c>
      <c r="G10" s="20" t="s">
        <v>850</v>
      </c>
      <c r="H10" s="20"/>
      <c r="I10" s="20"/>
    </row>
    <row r="11" spans="1:9" x14ac:dyDescent="0.75">
      <c r="A11" s="18">
        <v>5</v>
      </c>
      <c r="B11" s="21" t="s">
        <v>1061</v>
      </c>
      <c r="C11" s="21" t="s">
        <v>1062</v>
      </c>
      <c r="D11" s="21" t="s">
        <v>1063</v>
      </c>
      <c r="E11" s="20">
        <v>0</v>
      </c>
      <c r="F11" s="20">
        <v>1</v>
      </c>
      <c r="G11" s="20" t="s">
        <v>2</v>
      </c>
      <c r="H11" s="20"/>
      <c r="I11" s="20"/>
    </row>
    <row r="12" spans="1:9" x14ac:dyDescent="0.75">
      <c r="A12" s="18">
        <v>6</v>
      </c>
      <c r="B12" s="21" t="s">
        <v>1064</v>
      </c>
      <c r="C12" s="21" t="s">
        <v>1065</v>
      </c>
      <c r="D12" s="21" t="s">
        <v>1065</v>
      </c>
      <c r="E12" s="20">
        <v>0</v>
      </c>
      <c r="F12" s="20">
        <v>1</v>
      </c>
      <c r="G12" s="20" t="s">
        <v>2</v>
      </c>
      <c r="H12" s="20"/>
      <c r="I12" s="20"/>
    </row>
    <row r="13" spans="1:9" x14ac:dyDescent="0.75">
      <c r="A13" s="18">
        <v>7</v>
      </c>
      <c r="B13" s="21" t="s">
        <v>1066</v>
      </c>
      <c r="C13" s="21" t="s">
        <v>1067</v>
      </c>
      <c r="D13" s="21" t="s">
        <v>1067</v>
      </c>
      <c r="E13" s="20">
        <v>0</v>
      </c>
      <c r="F13" s="20">
        <v>1</v>
      </c>
      <c r="G13" s="20" t="s">
        <v>850</v>
      </c>
      <c r="H13" s="20"/>
      <c r="I13" s="20"/>
    </row>
    <row r="14" spans="1:9" x14ac:dyDescent="0.75">
      <c r="A14" s="18">
        <v>8</v>
      </c>
      <c r="B14" s="21" t="s">
        <v>1068</v>
      </c>
      <c r="C14" s="21" t="s">
        <v>1069</v>
      </c>
      <c r="D14" s="21" t="s">
        <v>1069</v>
      </c>
      <c r="E14" s="20">
        <v>0</v>
      </c>
      <c r="F14" s="20">
        <v>1</v>
      </c>
      <c r="G14" s="20" t="s">
        <v>2</v>
      </c>
      <c r="H14" s="20"/>
      <c r="I14" s="20"/>
    </row>
    <row r="15" spans="1:9" x14ac:dyDescent="0.75">
      <c r="A15" s="18">
        <v>9</v>
      </c>
      <c r="B15" s="21" t="s">
        <v>1070</v>
      </c>
      <c r="C15" s="21" t="s">
        <v>1071</v>
      </c>
      <c r="D15" s="21" t="s">
        <v>1071</v>
      </c>
      <c r="E15" s="20">
        <v>0</v>
      </c>
      <c r="F15" s="20">
        <v>1</v>
      </c>
      <c r="G15" s="20" t="s">
        <v>2</v>
      </c>
      <c r="H15" s="20"/>
      <c r="I15" s="20"/>
    </row>
    <row r="16" spans="1:9" x14ac:dyDescent="0.75">
      <c r="A16" s="18">
        <v>10</v>
      </c>
      <c r="B16" s="21" t="s">
        <v>1072</v>
      </c>
      <c r="C16" s="21" t="s">
        <v>1073</v>
      </c>
      <c r="D16" s="21" t="s">
        <v>1074</v>
      </c>
      <c r="E16" s="20">
        <v>1</v>
      </c>
      <c r="F16" s="20">
        <v>20</v>
      </c>
      <c r="G16" s="20" t="s">
        <v>850</v>
      </c>
      <c r="H16" s="20"/>
      <c r="I16" s="20"/>
    </row>
    <row r="17" spans="1:9" ht="103.25" x14ac:dyDescent="0.75">
      <c r="A17" s="18">
        <v>11</v>
      </c>
      <c r="B17" s="21" t="s">
        <v>1075</v>
      </c>
      <c r="C17" s="21" t="s">
        <v>1076</v>
      </c>
      <c r="D17" s="21" t="s">
        <v>1077</v>
      </c>
      <c r="E17" s="20">
        <v>1</v>
      </c>
      <c r="F17" s="20">
        <v>1</v>
      </c>
      <c r="G17" s="20" t="s">
        <v>1</v>
      </c>
      <c r="H17" s="20"/>
      <c r="I17" s="20"/>
    </row>
    <row r="18" spans="1:9" x14ac:dyDescent="0.75">
      <c r="A18" s="18">
        <v>12</v>
      </c>
      <c r="B18" s="21" t="s">
        <v>1078</v>
      </c>
      <c r="C18" s="21" t="s">
        <v>1079</v>
      </c>
      <c r="D18" s="21" t="s">
        <v>1080</v>
      </c>
      <c r="E18" s="20">
        <v>0</v>
      </c>
      <c r="F18" s="20">
        <v>1</v>
      </c>
      <c r="G18" s="20" t="s">
        <v>1081</v>
      </c>
      <c r="H18" s="20"/>
      <c r="I18" s="20"/>
    </row>
    <row r="19" spans="1:9" x14ac:dyDescent="0.75">
      <c r="A19" s="18">
        <v>13</v>
      </c>
      <c r="B19" s="21" t="s">
        <v>1082</v>
      </c>
      <c r="C19" s="21" t="s">
        <v>1083</v>
      </c>
      <c r="D19" s="21" t="s">
        <v>1084</v>
      </c>
      <c r="E19" s="20">
        <v>0</v>
      </c>
      <c r="F19" s="20">
        <v>1</v>
      </c>
      <c r="G19" s="20" t="s">
        <v>850</v>
      </c>
      <c r="H19" s="20"/>
      <c r="I19" s="20"/>
    </row>
    <row r="20" spans="1:9" x14ac:dyDescent="0.75">
      <c r="A20" s="18">
        <v>14</v>
      </c>
      <c r="B20" s="21" t="s">
        <v>1085</v>
      </c>
      <c r="C20" s="21" t="s">
        <v>1086</v>
      </c>
      <c r="D20" s="20" t="s">
        <v>1087</v>
      </c>
      <c r="E20" s="20">
        <v>0</v>
      </c>
      <c r="F20" s="20">
        <v>1</v>
      </c>
      <c r="G20" s="20" t="s">
        <v>1</v>
      </c>
      <c r="H20" s="20"/>
      <c r="I20" s="20"/>
    </row>
    <row r="21" spans="1:9" ht="44.25" x14ac:dyDescent="0.75">
      <c r="A21" s="18">
        <v>15</v>
      </c>
      <c r="B21" s="21" t="s">
        <v>1088</v>
      </c>
      <c r="C21" s="21" t="s">
        <v>1089</v>
      </c>
      <c r="D21" s="21" t="s">
        <v>1090</v>
      </c>
      <c r="E21" s="20">
        <v>0</v>
      </c>
      <c r="F21" s="20">
        <v>1</v>
      </c>
      <c r="G21" s="20" t="s">
        <v>1</v>
      </c>
      <c r="H21" s="20"/>
      <c r="I21" s="20"/>
    </row>
    <row r="22" spans="1:9" ht="29.5" x14ac:dyDescent="0.75">
      <c r="A22" s="18">
        <v>16</v>
      </c>
      <c r="B22" s="21" t="s">
        <v>1091</v>
      </c>
      <c r="C22" s="21" t="s">
        <v>40</v>
      </c>
      <c r="D22" s="21" t="s">
        <v>41</v>
      </c>
      <c r="E22" s="20">
        <v>0</v>
      </c>
      <c r="F22" s="20">
        <v>1</v>
      </c>
      <c r="G22" s="20" t="s">
        <v>1</v>
      </c>
    </row>
    <row r="23" spans="1:9" x14ac:dyDescent="0.75">
      <c r="A23" s="18">
        <v>17</v>
      </c>
      <c r="B23" s="21" t="s">
        <v>1092</v>
      </c>
      <c r="C23" s="21" t="s">
        <v>42</v>
      </c>
      <c r="D23" s="21" t="s">
        <v>43</v>
      </c>
      <c r="E23" s="20">
        <v>0</v>
      </c>
      <c r="F23" s="20">
        <v>1</v>
      </c>
      <c r="G23" s="20" t="s">
        <v>2</v>
      </c>
    </row>
    <row r="24" spans="1:9" x14ac:dyDescent="0.75">
      <c r="A24" s="18">
        <v>18</v>
      </c>
      <c r="B24" s="21" t="s">
        <v>1093</v>
      </c>
      <c r="C24" s="21" t="s">
        <v>1094</v>
      </c>
      <c r="D24" s="21" t="s">
        <v>1095</v>
      </c>
      <c r="E24" s="20">
        <v>0</v>
      </c>
      <c r="F24" s="20">
        <v>1</v>
      </c>
      <c r="G24" s="20" t="s">
        <v>1096</v>
      </c>
      <c r="H24" s="20"/>
      <c r="I24" s="20"/>
    </row>
    <row r="25" spans="1:9" ht="88.5" x14ac:dyDescent="0.75">
      <c r="A25" s="18">
        <v>19</v>
      </c>
      <c r="B25" s="21" t="s">
        <v>1097</v>
      </c>
      <c r="C25" s="21" t="s">
        <v>59</v>
      </c>
      <c r="D25" s="21" t="s">
        <v>1098</v>
      </c>
      <c r="E25" s="20">
        <v>0</v>
      </c>
      <c r="F25" s="20">
        <v>1</v>
      </c>
      <c r="G25" s="20" t="s">
        <v>1</v>
      </c>
      <c r="H25" s="20"/>
      <c r="I25" s="20"/>
    </row>
    <row r="26" spans="1:9" ht="73.75" x14ac:dyDescent="0.75">
      <c r="A26" s="18">
        <v>20</v>
      </c>
      <c r="B26" s="21" t="s">
        <v>1099</v>
      </c>
      <c r="C26" s="21" t="s">
        <v>39</v>
      </c>
      <c r="D26" s="21" t="s">
        <v>1100</v>
      </c>
      <c r="E26" s="20">
        <v>0</v>
      </c>
      <c r="F26" s="20">
        <v>1</v>
      </c>
      <c r="G26" s="20" t="s">
        <v>1</v>
      </c>
      <c r="H26" s="20"/>
      <c r="I26" s="20"/>
    </row>
    <row r="27" spans="1:9" x14ac:dyDescent="0.75">
      <c r="A27" s="18">
        <v>21</v>
      </c>
      <c r="B27" s="4" t="s">
        <v>1101</v>
      </c>
      <c r="C27" s="21" t="s">
        <v>1102</v>
      </c>
      <c r="D27" s="21" t="s">
        <v>1102</v>
      </c>
      <c r="E27" s="20">
        <v>0</v>
      </c>
      <c r="F27" s="20">
        <v>1</v>
      </c>
      <c r="G27" s="20" t="s">
        <v>850</v>
      </c>
      <c r="H27" s="20"/>
      <c r="I27" s="20"/>
    </row>
    <row r="28" spans="1:9" ht="59" x14ac:dyDescent="0.75">
      <c r="A28" s="18">
        <v>22</v>
      </c>
      <c r="B28" s="20" t="s">
        <v>1103</v>
      </c>
      <c r="C28" s="21" t="s">
        <v>1104</v>
      </c>
      <c r="D28" s="21" t="s">
        <v>1105</v>
      </c>
      <c r="E28" s="20">
        <v>0</v>
      </c>
      <c r="F28" s="20">
        <v>1</v>
      </c>
      <c r="G28" s="20" t="s">
        <v>1</v>
      </c>
    </row>
    <row r="29" spans="1:9" x14ac:dyDescent="0.75">
      <c r="A29" s="18">
        <v>23</v>
      </c>
      <c r="B29" s="20" t="s">
        <v>1106</v>
      </c>
      <c r="C29" s="21" t="s">
        <v>1107</v>
      </c>
      <c r="D29" s="21" t="s">
        <v>44</v>
      </c>
      <c r="E29" s="20">
        <v>0</v>
      </c>
      <c r="F29" s="20">
        <v>1</v>
      </c>
      <c r="G29" s="20" t="s">
        <v>946</v>
      </c>
    </row>
    <row r="30" spans="1:9" x14ac:dyDescent="0.75">
      <c r="A30" s="18">
        <v>24</v>
      </c>
      <c r="B30" s="20" t="s">
        <v>1108</v>
      </c>
      <c r="C30" s="21" t="s">
        <v>1109</v>
      </c>
      <c r="D30" s="21" t="s">
        <v>45</v>
      </c>
      <c r="E30" s="20">
        <v>0</v>
      </c>
      <c r="F30" s="20" t="s">
        <v>861</v>
      </c>
      <c r="G30" s="20" t="s">
        <v>2</v>
      </c>
    </row>
    <row r="31" spans="1:9" x14ac:dyDescent="0.75">
      <c r="A31" s="18">
        <v>25</v>
      </c>
      <c r="B31" s="20" t="s">
        <v>1110</v>
      </c>
      <c r="C31" s="21" t="s">
        <v>1111</v>
      </c>
      <c r="D31" s="21" t="s">
        <v>46</v>
      </c>
      <c r="E31" s="20">
        <v>0</v>
      </c>
      <c r="F31" s="20">
        <v>1</v>
      </c>
      <c r="G31" s="20" t="s">
        <v>850</v>
      </c>
    </row>
    <row r="32" spans="1:9" x14ac:dyDescent="0.75">
      <c r="A32" s="18">
        <v>26</v>
      </c>
      <c r="B32" s="20" t="s">
        <v>1112</v>
      </c>
      <c r="C32" s="21" t="s">
        <v>47</v>
      </c>
      <c r="D32" s="21" t="s">
        <v>48</v>
      </c>
      <c r="E32" s="20">
        <v>1</v>
      </c>
      <c r="F32" s="20" t="s">
        <v>861</v>
      </c>
      <c r="G32" s="20" t="s">
        <v>2</v>
      </c>
    </row>
    <row r="33" spans="1:7" x14ac:dyDescent="0.75">
      <c r="A33" s="20"/>
      <c r="B33" s="20"/>
      <c r="E33" s="20"/>
      <c r="F33" s="20"/>
      <c r="G33" s="20"/>
    </row>
    <row r="34" spans="1:7" x14ac:dyDescent="0.75">
      <c r="A34" s="20"/>
      <c r="B34" s="20"/>
      <c r="C34" s="121"/>
      <c r="D34" s="112"/>
      <c r="E34" s="20"/>
      <c r="F34" s="20"/>
      <c r="G34" s="20"/>
    </row>
    <row r="35" spans="1:7" x14ac:dyDescent="0.75">
      <c r="A35" s="20"/>
      <c r="B35" s="20"/>
      <c r="C35" s="121"/>
      <c r="D35" s="121"/>
      <c r="E35" s="20"/>
      <c r="F35" s="20"/>
      <c r="G35" s="20"/>
    </row>
    <row r="36" spans="1:7" x14ac:dyDescent="0.75">
      <c r="A36" s="20"/>
      <c r="B36" s="20"/>
      <c r="C36" s="121"/>
      <c r="D36" s="121"/>
      <c r="E36" s="20"/>
      <c r="F36" s="20"/>
      <c r="G36" s="20"/>
    </row>
    <row r="37" spans="1:7" x14ac:dyDescent="0.75">
      <c r="A37" s="20"/>
      <c r="B37" s="20"/>
      <c r="C37" s="122"/>
      <c r="D37" s="112"/>
      <c r="E37" s="20"/>
      <c r="F37" s="20"/>
      <c r="G37" s="20"/>
    </row>
    <row r="38" spans="1:7" x14ac:dyDescent="0.75">
      <c r="A38" s="20"/>
      <c r="B38" s="20"/>
      <c r="C38" s="112"/>
      <c r="D38" s="112"/>
      <c r="E38" s="20"/>
      <c r="F38" s="20"/>
      <c r="G38" s="20"/>
    </row>
    <row r="39" spans="1:7" x14ac:dyDescent="0.75">
      <c r="A39" s="20"/>
      <c r="B39" s="20"/>
      <c r="C39" s="121"/>
      <c r="D39" s="112"/>
      <c r="E39" s="20"/>
      <c r="F39" s="20"/>
      <c r="G39" s="20"/>
    </row>
    <row r="40" spans="1:7" x14ac:dyDescent="0.75">
      <c r="A40" s="20"/>
      <c r="B40" s="20"/>
      <c r="C40" s="121"/>
      <c r="D40" s="112"/>
      <c r="E40" s="20"/>
      <c r="F40" s="20"/>
      <c r="G40" s="20"/>
    </row>
    <row r="41" spans="1:7" x14ac:dyDescent="0.75">
      <c r="A41" s="20"/>
      <c r="B41" s="20"/>
      <c r="C41" s="121"/>
      <c r="D41" s="112"/>
      <c r="E41" s="20"/>
      <c r="F41" s="20"/>
      <c r="G41" s="20"/>
    </row>
    <row r="42" spans="1:7" x14ac:dyDescent="0.75">
      <c r="A42" s="20"/>
      <c r="B42" s="20"/>
      <c r="C42" s="121"/>
      <c r="D42" s="112"/>
      <c r="E42" s="20"/>
      <c r="F42" s="20"/>
      <c r="G42" s="20"/>
    </row>
    <row r="43" spans="1:7" x14ac:dyDescent="0.75">
      <c r="A43" s="20"/>
      <c r="B43" s="20"/>
      <c r="C43" s="121"/>
      <c r="D43" s="112"/>
      <c r="E43" s="20"/>
      <c r="F43" s="20"/>
      <c r="G43" s="20"/>
    </row>
  </sheetData>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728D2-2E0D-4A66-8B0C-6C7656330B95}">
  <sheetPr codeName="Foglio35"/>
  <dimension ref="A1:N109"/>
  <sheetViews>
    <sheetView topLeftCell="A23" workbookViewId="0">
      <selection activeCell="C7" sqref="C7:D36"/>
    </sheetView>
  </sheetViews>
  <sheetFormatPr defaultRowHeight="14.75" x14ac:dyDescent="0.75"/>
  <cols>
    <col min="1" max="2" width="8.7265625" style="18"/>
    <col min="3" max="3" width="42.31640625" style="19" customWidth="1"/>
    <col min="4" max="4" width="89" style="18" customWidth="1"/>
    <col min="5" max="5" width="24.81640625" style="18" customWidth="1"/>
    <col min="6" max="6" width="15.5" style="18" customWidth="1"/>
    <col min="7" max="7" width="16.1328125" style="18" customWidth="1"/>
    <col min="8" max="8" width="10.76953125" style="18" customWidth="1"/>
    <col min="9" max="9" width="45.26953125" style="18" customWidth="1"/>
    <col min="10" max="10" width="40.1328125" style="19" customWidth="1"/>
    <col min="11" max="11" width="26.6328125" style="19" customWidth="1"/>
    <col min="12" max="12" width="48.54296875" style="19" customWidth="1"/>
    <col min="13" max="13" width="53.36328125" style="18" customWidth="1"/>
    <col min="14" max="14" width="51.5" style="18" customWidth="1"/>
    <col min="15" max="16384" width="8.7265625" style="18"/>
  </cols>
  <sheetData>
    <row r="1" spans="1:14" x14ac:dyDescent="0.75">
      <c r="C1" s="123" t="str">
        <f>'Chemo-1'!B1</f>
        <v>canonical</v>
      </c>
      <c r="D1" s="89" t="s">
        <v>11</v>
      </c>
      <c r="E1" s="90"/>
      <c r="G1" s="93" t="s">
        <v>15</v>
      </c>
      <c r="N1" s="18" t="s">
        <v>893</v>
      </c>
    </row>
    <row r="2" spans="1:14" ht="15.5" thickBot="1" x14ac:dyDescent="0.9">
      <c r="C2" s="124" t="str">
        <f>'Chemo-1'!B2</f>
        <v>http://hl7.eu/fhir/ig/pcsp</v>
      </c>
      <c r="D2" s="5" t="s">
        <v>894</v>
      </c>
      <c r="E2" s="5"/>
      <c r="G2" s="18" t="s">
        <v>14</v>
      </c>
      <c r="N2" s="18" t="str">
        <f>CONCATENATE("Mapping: ",E2)</f>
        <v xml:space="preserve">Mapping: </v>
      </c>
    </row>
    <row r="3" spans="1:14" x14ac:dyDescent="0.75">
      <c r="C3" s="123" t="str">
        <f>'Chemo-1'!B3</f>
        <v>Publisher</v>
      </c>
      <c r="D3" s="10"/>
      <c r="E3" s="94"/>
      <c r="N3" s="18" t="str">
        <f>CONCATENATE("Id: ",E2)</f>
        <v xml:space="preserve">Id: </v>
      </c>
    </row>
    <row r="4" spans="1:14" ht="15.5" thickBot="1" x14ac:dyDescent="0.9">
      <c r="C4" s="124" t="str">
        <f>'Chemo-1'!B4</f>
        <v>PanCareSurPass project</v>
      </c>
      <c r="D4" s="11"/>
      <c r="E4" s="96"/>
      <c r="N4" s="18" t="str">
        <f>CONCATENATE("Title: """,D2,"""")</f>
        <v>Title: "FHIR"</v>
      </c>
    </row>
    <row r="5" spans="1:14" x14ac:dyDescent="0.75">
      <c r="N5" s="18" t="str">
        <f>CONCATENATE("Source: ",C2,"/",C7)</f>
        <v>Source: http://hl7.eu/fhir/ig/pcsp/Chemotherapy</v>
      </c>
    </row>
    <row r="6" spans="1:14" x14ac:dyDescent="0.75">
      <c r="D6" s="18" t="s">
        <v>896</v>
      </c>
      <c r="N6" s="18" t="str">
        <f>CONCATENATE("Target: """,D4,"""")</f>
        <v>Target: ""</v>
      </c>
    </row>
    <row r="7" spans="1:14" ht="59" x14ac:dyDescent="0.75">
      <c r="A7" s="20">
        <v>0</v>
      </c>
      <c r="B7" s="20">
        <f>'Chemo-1'!A6</f>
        <v>0</v>
      </c>
      <c r="C7" s="21" t="str">
        <f>'Chemo-1'!B6</f>
        <v>Chemotherapy</v>
      </c>
      <c r="D7" s="98" t="s">
        <v>1113</v>
      </c>
      <c r="H7" s="18" t="b">
        <f>IF(D7&gt;"",TRUE,FALSE)</f>
        <v>1</v>
      </c>
      <c r="I7" s="19" t="str">
        <f>IF(H7,CONCATENATE("* differential.element[",$B7,"].mapping[",$A7,"].identity = """,$G$1,""""),"")</f>
        <v>* differential.element[0].mapping[0].identity = "fhir"</v>
      </c>
      <c r="J7" s="19" t="str">
        <f>IF(H7,CONCATENATE("* differential.element[",$B7,"].mapping[",$A7,"].map = """,D7,""""),"")</f>
        <v>* differential.element[0].mapping[0].map = "MedicationAdministration.conformsTo('http://hl7.eu/fhir/ig/pcsp/StructureDefinition/MedicationAdministration-eu-pcsp')"</v>
      </c>
      <c r="K7" s="19" t="str">
        <f>IF(E7&gt;"",CONCATENATE("* differential.element[",$B7,"].mapping[",$A7,"].comment = """,E7,""""),"")</f>
        <v/>
      </c>
      <c r="M7" s="18" t="s">
        <v>897</v>
      </c>
      <c r="N7" s="18" t="s">
        <v>893</v>
      </c>
    </row>
    <row r="8" spans="1:14" ht="29.5" x14ac:dyDescent="0.75">
      <c r="A8" s="20">
        <v>0</v>
      </c>
      <c r="B8" s="20">
        <f>'Chemo-1'!A7</f>
        <v>1</v>
      </c>
      <c r="C8" s="21" t="str">
        <f>'Chemo-1'!B7</f>
        <v>relatedDiagnosis</v>
      </c>
      <c r="D8" s="12" t="s">
        <v>1114</v>
      </c>
      <c r="H8" s="18" t="b">
        <f t="shared" ref="H8:H54" si="0">IF(D8&gt;"",TRUE,FALSE)</f>
        <v>1</v>
      </c>
      <c r="I8" s="19" t="str">
        <f t="shared" ref="I8:I54" si="1">IF(H8,CONCATENATE("* differential.element[",$B8,"].mapping[",$A8,"].identity = """,$G$1,""""),"")</f>
        <v>* differential.element[1].mapping[0].identity = "fhir"</v>
      </c>
      <c r="J8" s="19" t="str">
        <f t="shared" ref="J8:J54" si="2">IF(H8,CONCATENATE("* differential.element[",$B8,"].mapping[",$A8,"].map = """,D8,""""),"")</f>
        <v>* differential.element[1].mapping[0].map = ".reasonReference"</v>
      </c>
      <c r="K8" s="19" t="str">
        <f t="shared" ref="K8:K54" si="3">IF(E8&gt;"",CONCATENATE("* differential.element[",$B8,"].mapping[",$A8,"].comment = """,E8,""""),"")</f>
        <v/>
      </c>
      <c r="N8" s="18" t="str">
        <f t="shared" ref="N8:N45" si="4">CONCATENATE("* ",C8," -&gt; """,D8,"""")</f>
        <v>* relatedDiagnosis -&gt; ".reasonReference"</v>
      </c>
    </row>
    <row r="9" spans="1:14" ht="29.5" x14ac:dyDescent="0.75">
      <c r="A9" s="20">
        <v>0</v>
      </c>
      <c r="B9" s="20">
        <f>'Chemo-1'!A8</f>
        <v>2</v>
      </c>
      <c r="C9" s="21" t="str">
        <f>'Chemo-1'!B8</f>
        <v>startDate</v>
      </c>
      <c r="D9" s="12" t="s">
        <v>1115</v>
      </c>
      <c r="H9" s="18" t="b">
        <f t="shared" si="0"/>
        <v>1</v>
      </c>
      <c r="I9" s="19" t="str">
        <f t="shared" si="1"/>
        <v>* differential.element[2].mapping[0].identity = "fhir"</v>
      </c>
      <c r="J9" s="19" t="str">
        <f t="shared" si="2"/>
        <v>* differential.element[2].mapping[0].map = ".effectivePeriod.start"</v>
      </c>
      <c r="K9" s="19" t="str">
        <f t="shared" si="3"/>
        <v/>
      </c>
      <c r="N9" s="18" t="str">
        <f t="shared" si="4"/>
        <v>* startDate -&gt; ".effectivePeriod.start"</v>
      </c>
    </row>
    <row r="10" spans="1:14" ht="29.5" x14ac:dyDescent="0.75">
      <c r="A10" s="20">
        <v>0</v>
      </c>
      <c r="B10" s="20">
        <f>'Chemo-1'!A9</f>
        <v>3</v>
      </c>
      <c r="C10" s="21" t="str">
        <f>'Chemo-1'!B9</f>
        <v>endDate</v>
      </c>
      <c r="D10" s="12" t="s">
        <v>1116</v>
      </c>
      <c r="H10" s="18" t="b">
        <f t="shared" si="0"/>
        <v>1</v>
      </c>
      <c r="I10" s="19" t="str">
        <f t="shared" si="1"/>
        <v>* differential.element[3].mapping[0].identity = "fhir"</v>
      </c>
      <c r="J10" s="19" t="str">
        <f t="shared" si="2"/>
        <v>* differential.element[3].mapping[0].map = ".effectivePeriod.end"</v>
      </c>
      <c r="K10" s="19" t="str">
        <f t="shared" si="3"/>
        <v/>
      </c>
      <c r="N10" s="18" t="str">
        <f t="shared" si="4"/>
        <v>* endDate -&gt; ".effectivePeriod.end"</v>
      </c>
    </row>
    <row r="11" spans="1:14" ht="73.75" x14ac:dyDescent="0.75">
      <c r="A11" s="20">
        <v>0</v>
      </c>
      <c r="B11" s="20">
        <f>'Chemo-1'!A10</f>
        <v>4</v>
      </c>
      <c r="C11" s="21" t="str">
        <f>'Chemo-1'!B10</f>
        <v>istitutionOfTreatment</v>
      </c>
      <c r="D11" s="20" t="s">
        <v>1117</v>
      </c>
      <c r="H11" s="18" t="b">
        <f t="shared" si="0"/>
        <v>1</v>
      </c>
      <c r="I11" s="19" t="str">
        <f t="shared" si="1"/>
        <v>* differential.element[4].mapping[0].identity = "fhir"</v>
      </c>
      <c r="J11" s="19" t="str">
        <f t="shared" si="2"/>
        <v>* differential.element[4].mapping[0].map = ".extension(http://hl7.eu/fhir/ig/pcsp/StructureDefinition/ActLocation-eu-pcsp).conformsTo(http://hl7.eu/fhir/ig/pcsp/StructureDefinition/Location-eu-pcsp)"</v>
      </c>
      <c r="K11" s="19" t="str">
        <f t="shared" si="3"/>
        <v/>
      </c>
      <c r="N11" s="18" t="str">
        <f t="shared" si="4"/>
        <v>* istitutionOfTreatment -&gt; ".extension(http://hl7.eu/fhir/ig/pcsp/StructureDefinition/ActLocation-eu-pcsp).conformsTo(http://hl7.eu/fhir/ig/pcsp/StructureDefinition/Location-eu-pcsp)"</v>
      </c>
    </row>
    <row r="12" spans="1:14" ht="29.5" x14ac:dyDescent="0.75">
      <c r="A12" s="20">
        <v>0</v>
      </c>
      <c r="B12" s="20">
        <f>'Chemo-1'!A11</f>
        <v>5</v>
      </c>
      <c r="C12" s="21" t="str">
        <f>'Chemo-1'!B11</f>
        <v>istitutionOfTreatment.description</v>
      </c>
      <c r="D12" s="12" t="s">
        <v>1118</v>
      </c>
      <c r="H12" s="18" t="b">
        <f t="shared" si="0"/>
        <v>1</v>
      </c>
      <c r="I12" s="19" t="str">
        <f t="shared" si="1"/>
        <v>* differential.element[5].mapping[0].identity = "fhir"</v>
      </c>
      <c r="J12" s="19" t="str">
        <f t="shared" si="2"/>
        <v>* differential.element[5].mapping[0].map = "Location.description"</v>
      </c>
      <c r="K12" s="19" t="str">
        <f t="shared" si="3"/>
        <v/>
      </c>
      <c r="N12" s="18" t="str">
        <f t="shared" si="4"/>
        <v>* istitutionOfTreatment.description -&gt; "Location.description"</v>
      </c>
    </row>
    <row r="13" spans="1:14" ht="29.5" x14ac:dyDescent="0.75">
      <c r="A13" s="20">
        <v>0</v>
      </c>
      <c r="B13" s="20">
        <f>'Chemo-1'!A12</f>
        <v>6</v>
      </c>
      <c r="C13" s="21" t="str">
        <f>'Chemo-1'!B12</f>
        <v>istitutionOfTreatment.name</v>
      </c>
      <c r="D13" s="12" t="s">
        <v>1119</v>
      </c>
      <c r="H13" s="18" t="b">
        <f t="shared" si="0"/>
        <v>1</v>
      </c>
      <c r="I13" s="19" t="str">
        <f t="shared" si="1"/>
        <v>* differential.element[6].mapping[0].identity = "fhir"</v>
      </c>
      <c r="J13" s="19" t="str">
        <f t="shared" si="2"/>
        <v>* differential.element[6].mapping[0].map = "Location.name"</v>
      </c>
      <c r="K13" s="19" t="str">
        <f t="shared" si="3"/>
        <v/>
      </c>
      <c r="N13" s="18" t="str">
        <f t="shared" si="4"/>
        <v>* istitutionOfTreatment.name -&gt; "Location.name"</v>
      </c>
    </row>
    <row r="14" spans="1:14" ht="29.5" x14ac:dyDescent="0.75">
      <c r="A14" s="20">
        <v>0</v>
      </c>
      <c r="B14" s="20">
        <f>'Chemo-1'!A13</f>
        <v>7</v>
      </c>
      <c r="C14" s="21" t="str">
        <f>'Chemo-1'!B13</f>
        <v>istitutionOfTreatment.address</v>
      </c>
      <c r="D14" s="12" t="s">
        <v>1120</v>
      </c>
      <c r="H14" s="18" t="b">
        <f t="shared" si="0"/>
        <v>1</v>
      </c>
      <c r="I14" s="19" t="str">
        <f t="shared" si="1"/>
        <v>* differential.element[7].mapping[0].identity = "fhir"</v>
      </c>
      <c r="J14" s="19" t="str">
        <f t="shared" si="2"/>
        <v>* differential.element[7].mapping[0].map = "Location.address.city"</v>
      </c>
      <c r="K14" s="19" t="str">
        <f t="shared" si="3"/>
        <v/>
      </c>
      <c r="N14" s="18" t="str">
        <f t="shared" si="4"/>
        <v>* istitutionOfTreatment.address -&gt; "Location.address.city"</v>
      </c>
    </row>
    <row r="15" spans="1:14" x14ac:dyDescent="0.75">
      <c r="A15" s="20">
        <v>0</v>
      </c>
      <c r="B15" s="20">
        <f>'Chemo-1'!A14</f>
        <v>8</v>
      </c>
      <c r="C15" s="21" t="str">
        <f>'Chemo-1'!B14</f>
        <v>istitutionOfTreatment.address.name</v>
      </c>
      <c r="D15" s="12"/>
      <c r="H15" s="18" t="b">
        <f t="shared" si="0"/>
        <v>0</v>
      </c>
      <c r="I15" s="19" t="str">
        <f t="shared" si="1"/>
        <v/>
      </c>
      <c r="J15" s="19" t="str">
        <f t="shared" si="2"/>
        <v/>
      </c>
      <c r="K15" s="19" t="str">
        <f t="shared" si="3"/>
        <v/>
      </c>
      <c r="N15" s="18" t="str">
        <f t="shared" si="4"/>
        <v>* istitutionOfTreatment.address.name -&gt; ""</v>
      </c>
    </row>
    <row r="16" spans="1:14" ht="29.5" x14ac:dyDescent="0.75">
      <c r="A16" s="20">
        <v>0</v>
      </c>
      <c r="B16" s="20">
        <f>'Chemo-1'!A15</f>
        <v>9</v>
      </c>
      <c r="C16" s="21" t="str">
        <f>'Chemo-1'!B15</f>
        <v>istitutionOfTreatment.address.country</v>
      </c>
      <c r="D16" s="12" t="s">
        <v>1121</v>
      </c>
      <c r="H16" s="18" t="b">
        <f t="shared" si="0"/>
        <v>1</v>
      </c>
      <c r="I16" s="19" t="str">
        <f t="shared" si="1"/>
        <v>* differential.element[9].mapping[0].identity = "fhir"</v>
      </c>
      <c r="J16" s="19" t="str">
        <f t="shared" si="2"/>
        <v>* differential.element[9].mapping[0].map = "Location.address.country"</v>
      </c>
      <c r="K16" s="19" t="str">
        <f t="shared" si="3"/>
        <v/>
      </c>
      <c r="N16" s="18" t="str">
        <f t="shared" si="4"/>
        <v>* istitutionOfTreatment.address.country -&gt; "Location.address.country"</v>
      </c>
    </row>
    <row r="17" spans="1:14" ht="29.5" x14ac:dyDescent="0.75">
      <c r="A17" s="20">
        <v>0</v>
      </c>
      <c r="B17" s="20">
        <f>'Chemo-1'!A16</f>
        <v>10</v>
      </c>
      <c r="C17" s="21" t="str">
        <f>'Chemo-1'!B16</f>
        <v>productAdministration</v>
      </c>
      <c r="D17" s="20" t="s">
        <v>1122</v>
      </c>
      <c r="H17" s="18" t="b">
        <f t="shared" si="0"/>
        <v>1</v>
      </c>
      <c r="I17" s="19" t="str">
        <f t="shared" si="1"/>
        <v>* differential.element[10].mapping[0].identity = "fhir"</v>
      </c>
      <c r="J17" s="19" t="str">
        <f t="shared" si="2"/>
        <v>* differential.element[10].mapping[0].map = ".medication[x]"</v>
      </c>
      <c r="K17" s="19" t="str">
        <f t="shared" si="3"/>
        <v/>
      </c>
      <c r="N17" s="18" t="str">
        <f t="shared" si="4"/>
        <v>* productAdministration -&gt; ".medication[x]"</v>
      </c>
    </row>
    <row r="18" spans="1:14" ht="29.5" x14ac:dyDescent="0.75">
      <c r="A18" s="20">
        <v>0</v>
      </c>
      <c r="B18" s="20">
        <f>'Chemo-1'!A17</f>
        <v>11</v>
      </c>
      <c r="C18" s="21" t="str">
        <f>'Chemo-1'!B17</f>
        <v>productAdministration.agent</v>
      </c>
      <c r="D18" s="20" t="s">
        <v>1123</v>
      </c>
      <c r="H18" s="18" t="b">
        <f t="shared" si="0"/>
        <v>1</v>
      </c>
      <c r="I18" s="19" t="str">
        <f t="shared" si="1"/>
        <v>* differential.element[11].mapping[0].identity = "fhir"</v>
      </c>
      <c r="J18" s="19" t="str">
        <f t="shared" si="2"/>
        <v>* differential.element[11].mapping[0].map = ".medicationCodeableConcept"</v>
      </c>
      <c r="K18" s="19" t="str">
        <f t="shared" si="3"/>
        <v/>
      </c>
      <c r="N18" s="18" t="str">
        <f t="shared" si="4"/>
        <v>* productAdministration.agent -&gt; ".medicationCodeableConcept"</v>
      </c>
    </row>
    <row r="19" spans="1:14" ht="29.5" x14ac:dyDescent="0.75">
      <c r="A19" s="20">
        <v>0</v>
      </c>
      <c r="B19" s="20">
        <f>'Chemo-1'!A18</f>
        <v>12</v>
      </c>
      <c r="C19" s="21" t="str">
        <f>'Chemo-1'!B18</f>
        <v>productAdministration.dose</v>
      </c>
      <c r="D19" s="125" t="s">
        <v>1124</v>
      </c>
      <c r="H19" s="18" t="b">
        <f t="shared" si="0"/>
        <v>1</v>
      </c>
      <c r="I19" s="19" t="str">
        <f t="shared" si="1"/>
        <v>* differential.element[12].mapping[0].identity = "fhir"</v>
      </c>
      <c r="J19" s="19" t="str">
        <f t="shared" si="2"/>
        <v>* differential.element[12].mapping[0].map = ".dosage.dose"</v>
      </c>
      <c r="K19" s="19" t="str">
        <f t="shared" si="3"/>
        <v/>
      </c>
      <c r="N19" s="18" t="str">
        <f>CONCATENATE("* ",C19," -&gt; """,D20,"""")</f>
        <v>* productAdministration.dose -&gt; ".extension(http://hl7.eu/fhir/ig/pcsp/StructureDefinition/ResourceRelatedInfo-eu-pcsp).conformsTo(http://hl7.eu/fhir/ig/pcsp/StructureDefinition/Observation-cumulativeDoseChemo-eu-pcsp)"</v>
      </c>
    </row>
    <row r="20" spans="1:14" ht="88.5" x14ac:dyDescent="0.75">
      <c r="A20" s="20">
        <v>0</v>
      </c>
      <c r="B20" s="20">
        <f>'Chemo-1'!A19</f>
        <v>13</v>
      </c>
      <c r="C20" s="21" t="str">
        <f>'Chemo-1'!B19</f>
        <v>productAdministration.cumulativeDose</v>
      </c>
      <c r="D20" s="20" t="s">
        <v>1125</v>
      </c>
      <c r="H20" s="18" t="b">
        <f t="shared" si="0"/>
        <v>1</v>
      </c>
      <c r="I20" s="19" t="str">
        <f t="shared" si="1"/>
        <v>* differential.element[13].mapping[0].identity = "fhir"</v>
      </c>
      <c r="J20" s="19" t="str">
        <f t="shared" si="2"/>
        <v>* differential.element[13].mapping[0].map = ".extension(http://hl7.eu/fhir/ig/pcsp/StructureDefinition/ResourceRelatedInfo-eu-pcsp).conformsTo(http://hl7.eu/fhir/ig/pcsp/StructureDefinition/Observation-cumulativeDoseChemo-eu-pcsp)"</v>
      </c>
      <c r="K20" s="19" t="str">
        <f t="shared" si="3"/>
        <v/>
      </c>
      <c r="N20" s="18" t="e">
        <f>CONCATENATE("* ",C20," -&gt; """,#REF!,"""")</f>
        <v>#REF!</v>
      </c>
    </row>
    <row r="21" spans="1:14" ht="59" x14ac:dyDescent="0.75">
      <c r="A21" s="20">
        <v>0</v>
      </c>
      <c r="B21" s="20">
        <f>'Chemo-1'!A20</f>
        <v>14</v>
      </c>
      <c r="C21" s="21" t="str">
        <f>'Chemo-1'!B20</f>
        <v>productAdministration.cumulativeDose.notAvailable</v>
      </c>
      <c r="D21" s="20" t="s">
        <v>1126</v>
      </c>
      <c r="H21" s="18" t="b">
        <f t="shared" si="0"/>
        <v>1</v>
      </c>
      <c r="I21" s="19" t="str">
        <f t="shared" si="1"/>
        <v>* differential.element[14].mapping[0].identity = "fhir"</v>
      </c>
      <c r="J21" s="19" t="str">
        <f t="shared" si="2"/>
        <v>* differential.element[14].mapping[0].map = ".valueCodeableConcept = http://terminology.hl7.org/CodeSystem/data-absent-reason#unknown"</v>
      </c>
    </row>
    <row r="22" spans="1:14" ht="29.5" x14ac:dyDescent="0.75">
      <c r="A22" s="20">
        <v>0</v>
      </c>
      <c r="B22" s="20">
        <f>'Chemo-1'!A20</f>
        <v>14</v>
      </c>
      <c r="C22" s="21" t="str">
        <f>'Chemo-1'!B20</f>
        <v>productAdministration.cumulativeDose.notAvailable</v>
      </c>
      <c r="D22" s="20" t="s">
        <v>1127</v>
      </c>
      <c r="H22" s="18" t="b">
        <f t="shared" si="0"/>
        <v>1</v>
      </c>
      <c r="I22" s="19" t="str">
        <f t="shared" si="1"/>
        <v>* differential.element[14].mapping[0].identity = "fhir"</v>
      </c>
      <c r="J22" s="19" t="str">
        <f t="shared" si="2"/>
        <v>* differential.element[14].mapping[0].map = ".dataAbsentReason"</v>
      </c>
      <c r="K22" s="19" t="str">
        <f t="shared" si="3"/>
        <v/>
      </c>
      <c r="N22" s="18" t="str">
        <f t="shared" si="4"/>
        <v>* productAdministration.cumulativeDose.notAvailable -&gt; ".dataAbsentReason"</v>
      </c>
    </row>
    <row r="23" spans="1:14" ht="29.5" x14ac:dyDescent="0.75">
      <c r="A23" s="20">
        <v>0</v>
      </c>
      <c r="B23" s="20">
        <f>'Chemo-1'!A21</f>
        <v>15</v>
      </c>
      <c r="C23" s="21" t="str">
        <f>'Chemo-1'!B21</f>
        <v>productAdministration.cumulativeDose.measureType</v>
      </c>
      <c r="D23" s="20" t="s">
        <v>1128</v>
      </c>
      <c r="H23" s="18" t="b">
        <f t="shared" si="0"/>
        <v>1</v>
      </c>
      <c r="I23" s="19" t="str">
        <f t="shared" si="1"/>
        <v>* differential.element[15].mapping[0].identity = "fhir"</v>
      </c>
      <c r="J23" s="19" t="str">
        <f t="shared" si="2"/>
        <v>* differential.element[15].mapping[0].map = ".method"</v>
      </c>
      <c r="K23" s="19" t="str">
        <f t="shared" si="3"/>
        <v/>
      </c>
      <c r="N23" s="18" t="str">
        <f t="shared" si="4"/>
        <v>* productAdministration.cumulativeDose.measureType -&gt; ".method"</v>
      </c>
    </row>
    <row r="24" spans="1:14" ht="29.5" x14ac:dyDescent="0.75">
      <c r="A24" s="20">
        <v>0</v>
      </c>
      <c r="B24" s="20">
        <f>'Chemo-1'!A22</f>
        <v>16</v>
      </c>
      <c r="C24" s="21" t="str">
        <f>'Chemo-1'!B22</f>
        <v>productAdministration.cumulativeDose.completionStatus</v>
      </c>
      <c r="D24" s="20" t="s">
        <v>1129</v>
      </c>
      <c r="H24" s="18" t="b">
        <f t="shared" si="0"/>
        <v>1</v>
      </c>
      <c r="I24" s="19" t="str">
        <f t="shared" si="1"/>
        <v>* differential.element[16].mapping[0].identity = "fhir"</v>
      </c>
      <c r="J24" s="19" t="str">
        <f t="shared" si="2"/>
        <v>* differential.element[16].mapping[0].map = ".status = #preliminary"</v>
      </c>
      <c r="K24" s="19" t="str">
        <f t="shared" si="3"/>
        <v/>
      </c>
      <c r="N24" s="18" t="str">
        <f t="shared" si="4"/>
        <v>* productAdministration.cumulativeDose.completionStatus -&gt; ".status = #preliminary"</v>
      </c>
    </row>
    <row r="25" spans="1:14" ht="44.25" x14ac:dyDescent="0.75">
      <c r="A25" s="20">
        <v>0</v>
      </c>
      <c r="B25" s="20">
        <f>'Chemo-1'!A23</f>
        <v>17</v>
      </c>
      <c r="C25" s="21" t="str">
        <f>'Chemo-1'!B23</f>
        <v>productAdministration.cumulativeDose.statusReason</v>
      </c>
      <c r="D25" s="18" t="s">
        <v>1130</v>
      </c>
      <c r="H25" s="18" t="b">
        <f t="shared" si="0"/>
        <v>1</v>
      </c>
      <c r="I25" s="19" t="str">
        <f t="shared" si="1"/>
        <v>* differential.element[17].mapping[0].identity = "fhir"</v>
      </c>
      <c r="J25" s="19" t="str">
        <f t="shared" si="2"/>
        <v>* differential.element[17].mapping[0].map = ".extension('http://hl7.org/fhir/StructureDefinition/event-statusReason')"</v>
      </c>
      <c r="K25" s="19" t="str">
        <f t="shared" si="3"/>
        <v/>
      </c>
      <c r="N25" s="18" t="str">
        <f t="shared" si="4"/>
        <v>* productAdministration.cumulativeDose.statusReason -&gt; ".extension('http://hl7.org/fhir/StructureDefinition/event-statusReason')"</v>
      </c>
    </row>
    <row r="26" spans="1:14" ht="29.5" x14ac:dyDescent="0.75">
      <c r="A26" s="20">
        <v>0</v>
      </c>
      <c r="B26" s="20">
        <f>'Chemo-1'!A24</f>
        <v>18</v>
      </c>
      <c r="C26" s="21" t="str">
        <f>'Chemo-1'!B24</f>
        <v>productAdministration.cumulativeDose.value</v>
      </c>
      <c r="D26" s="20" t="s">
        <v>1131</v>
      </c>
      <c r="H26" s="18" t="b">
        <f t="shared" si="0"/>
        <v>1</v>
      </c>
      <c r="I26" s="19" t="str">
        <f t="shared" si="1"/>
        <v>* differential.element[18].mapping[0].identity = "fhir"</v>
      </c>
      <c r="J26" s="19" t="str">
        <f t="shared" si="2"/>
        <v>* differential.element[18].mapping[0].map = ".valueQuantity.value"</v>
      </c>
      <c r="K26" s="19" t="str">
        <f t="shared" si="3"/>
        <v/>
      </c>
      <c r="N26" s="18" t="str">
        <f t="shared" si="4"/>
        <v>* productAdministration.cumulativeDose.value -&gt; ".valueQuantity.value"</v>
      </c>
    </row>
    <row r="27" spans="1:14" ht="29.5" x14ac:dyDescent="0.75">
      <c r="A27" s="20">
        <v>0</v>
      </c>
      <c r="B27" s="20">
        <f>'Chemo-1'!A25</f>
        <v>19</v>
      </c>
      <c r="C27" s="21" t="str">
        <f>'Chemo-1'!B25</f>
        <v>productAdministration.cumulativeDose.unit</v>
      </c>
      <c r="D27" s="20" t="s">
        <v>1132</v>
      </c>
      <c r="H27" s="18" t="b">
        <f t="shared" si="0"/>
        <v>1</v>
      </c>
      <c r="I27" s="19" t="str">
        <f t="shared" si="1"/>
        <v>* differential.element[19].mapping[0].identity = "fhir"</v>
      </c>
      <c r="J27" s="19" t="str">
        <f t="shared" si="2"/>
        <v>* differential.element[19].mapping[0].map = ".valueQuantity.unit (human readeable)"</v>
      </c>
      <c r="K27" s="19" t="str">
        <f t="shared" si="3"/>
        <v/>
      </c>
    </row>
    <row r="28" spans="1:14" ht="29.5" x14ac:dyDescent="0.75">
      <c r="A28" s="20">
        <v>1</v>
      </c>
      <c r="B28" s="20">
        <f>'Chemo-1'!A25</f>
        <v>19</v>
      </c>
      <c r="C28" s="21" t="str">
        <f>'Chemo-1'!B25</f>
        <v>productAdministration.cumulativeDose.unit</v>
      </c>
      <c r="D28" s="20" t="s">
        <v>1133</v>
      </c>
      <c r="H28" s="18" t="b">
        <f t="shared" si="0"/>
        <v>1</v>
      </c>
      <c r="I28" s="19" t="str">
        <f t="shared" si="1"/>
        <v>* differential.element[19].mapping[1].identity = "fhir"</v>
      </c>
      <c r="J28" s="19" t="str">
        <f t="shared" si="2"/>
        <v>* differential.element[19].mapping[1].map = ".valueQuantity.code (code)"</v>
      </c>
      <c r="K28" s="19" t="str">
        <f t="shared" si="3"/>
        <v/>
      </c>
      <c r="N28" s="18" t="str">
        <f>CONCATENATE("* ",C28," -&gt; """,D29,"""")</f>
        <v>* productAdministration.cumulativeDose.unit -&gt; "MedicationStatement.where(medicationCodeableConcept = 'http://www.whocc.no/atc|H02' and dosage.timing.repeat.boundsDuration.where( value='4' and code = 'w' and comparator ='&gt;' )"</v>
      </c>
    </row>
    <row r="29" spans="1:14" ht="88.5" x14ac:dyDescent="0.75">
      <c r="A29" s="20">
        <v>0</v>
      </c>
      <c r="B29" s="20">
        <f>'Chemo-1'!A26</f>
        <v>20</v>
      </c>
      <c r="C29" s="21" t="str">
        <f>'Chemo-1'!B26</f>
        <v>corticosteroids</v>
      </c>
      <c r="D29" s="21" t="s">
        <v>1134</v>
      </c>
      <c r="H29" s="18" t="b">
        <f t="shared" si="0"/>
        <v>1</v>
      </c>
      <c r="I29" s="19" t="str">
        <f t="shared" si="1"/>
        <v>* differential.element[20].mapping[0].identity = "fhir"</v>
      </c>
      <c r="J29" s="19" t="str">
        <f t="shared" si="2"/>
        <v>* differential.element[20].mapping[0].map = "MedicationStatement.where(medicationCodeableConcept = 'http://www.whocc.no/atc|H02' and dosage.timing.repeat.boundsDuration.where( value='4' and code = 'w' and comparator ='&gt;' )"</v>
      </c>
      <c r="K29" s="19" t="str">
        <f t="shared" si="3"/>
        <v/>
      </c>
      <c r="N29" s="18" t="str">
        <f>CONCATENATE("* ",C29," -&gt; """,D31,"""")</f>
        <v>* corticosteroids -&gt; ".exists()"</v>
      </c>
    </row>
    <row r="30" spans="1:14" ht="44.25" x14ac:dyDescent="0.75">
      <c r="A30" s="20">
        <v>0</v>
      </c>
      <c r="B30" s="20">
        <f>'Chemo-1'!A27</f>
        <v>21</v>
      </c>
      <c r="C30" s="21" t="str">
        <f>'Chemo-1'!B27</f>
        <v>intrathecalInjections</v>
      </c>
      <c r="D30" s="20" t="s">
        <v>1135</v>
      </c>
      <c r="H30" s="18" t="b">
        <f t="shared" si="0"/>
        <v>1</v>
      </c>
      <c r="I30" s="19" t="str">
        <f t="shared" si="1"/>
        <v>* differential.element[21].mapping[0].identity = "fhir"</v>
      </c>
      <c r="J30" s="19" t="str">
        <f t="shared" si="2"/>
        <v>* differential.element[21].mapping[0].map = "MedicationStatement.where(dosage.route = https://standardterms.edqm.eu|20042000)"</v>
      </c>
      <c r="K30" s="19" t="str">
        <f t="shared" si="3"/>
        <v/>
      </c>
      <c r="N30" s="18" t="str">
        <f>CONCATENATE("* ",C30," -&gt; """,D30,"""")</f>
        <v>* intrathecalInjections -&gt; "MedicationStatement.where(dosage.route = https://standardterms.edqm.eu|20042000)"</v>
      </c>
    </row>
    <row r="31" spans="1:14" ht="29.5" x14ac:dyDescent="0.75">
      <c r="A31" s="20">
        <v>0</v>
      </c>
      <c r="B31" s="20">
        <f>'Chemo-1'!A28</f>
        <v>22</v>
      </c>
      <c r="C31" s="21" t="str">
        <f>'Chemo-1'!B28</f>
        <v>intrathecalInjections.status</v>
      </c>
      <c r="D31" s="20" t="s">
        <v>1136</v>
      </c>
      <c r="H31" s="18" t="b">
        <f t="shared" si="0"/>
        <v>1</v>
      </c>
      <c r="I31" s="19" t="str">
        <f t="shared" si="1"/>
        <v>* differential.element[22].mapping[0].identity = "fhir"</v>
      </c>
      <c r="J31" s="19" t="str">
        <f t="shared" si="2"/>
        <v>* differential.element[22].mapping[0].map = ".exists()"</v>
      </c>
      <c r="K31" s="19" t="str">
        <f t="shared" si="3"/>
        <v/>
      </c>
    </row>
    <row r="32" spans="1:14" ht="29.5" x14ac:dyDescent="0.75">
      <c r="A32" s="20">
        <v>0</v>
      </c>
      <c r="B32" s="20">
        <f>'Chemo-1'!A29</f>
        <v>23</v>
      </c>
      <c r="C32" s="21" t="str">
        <f>'Chemo-1'!B29</f>
        <v>intrathecalInjections.number</v>
      </c>
      <c r="D32" s="20" t="s">
        <v>1137</v>
      </c>
      <c r="H32" s="18" t="b">
        <f t="shared" si="0"/>
        <v>1</v>
      </c>
      <c r="I32" s="19" t="str">
        <f t="shared" si="1"/>
        <v>* differential.element[23].mapping[0].identity = "fhir"</v>
      </c>
      <c r="J32" s="19" t="str">
        <f t="shared" si="2"/>
        <v>* differential.element[23].mapping[0].map = ".dosage.timing.repeat.count"</v>
      </c>
      <c r="K32" s="19" t="str">
        <f t="shared" si="3"/>
        <v/>
      </c>
    </row>
    <row r="33" spans="1:14" ht="29.5" x14ac:dyDescent="0.75">
      <c r="A33" s="20">
        <v>1</v>
      </c>
      <c r="B33" s="20">
        <f>'Chemo-1'!A29</f>
        <v>23</v>
      </c>
      <c r="C33" s="21" t="str">
        <f>'Chemo-1'!B29</f>
        <v>intrathecalInjections.number</v>
      </c>
      <c r="D33" s="21" t="s">
        <v>1138</v>
      </c>
      <c r="H33" s="18" t="b">
        <f t="shared" si="0"/>
        <v>1</v>
      </c>
      <c r="I33" s="19" t="str">
        <f t="shared" si="1"/>
        <v>* differential.element[23].mapping[1].identity = "fhir"</v>
      </c>
      <c r="J33" s="19" t="str">
        <f t="shared" si="2"/>
        <v>* differential.element[23].mapping[1].map = ".count()"</v>
      </c>
      <c r="K33" s="19" t="str">
        <f t="shared" si="3"/>
        <v/>
      </c>
      <c r="N33" s="18" t="str">
        <f>CONCATENATE("* ",C33," -&gt; """,D33,"""")</f>
        <v>* intrathecalInjections.number -&gt; ".count()"</v>
      </c>
    </row>
    <row r="34" spans="1:14" ht="29.5" x14ac:dyDescent="0.75">
      <c r="A34" s="20">
        <v>0</v>
      </c>
      <c r="B34" s="20">
        <f>'Chemo-1'!A30</f>
        <v>24</v>
      </c>
      <c r="C34" s="21" t="str">
        <f>'Chemo-1'!B30</f>
        <v>intrathecalInjections.productName</v>
      </c>
      <c r="D34" s="20" t="s">
        <v>1139</v>
      </c>
      <c r="H34" s="18" t="b">
        <f t="shared" si="0"/>
        <v>1</v>
      </c>
      <c r="I34" s="19" t="str">
        <f t="shared" si="1"/>
        <v>* differential.element[24].mapping[0].identity = "fhir"</v>
      </c>
      <c r="J34" s="19" t="str">
        <f t="shared" si="2"/>
        <v>* differential.element[24].mapping[0].map = ".medicationCodeableConcept.text"</v>
      </c>
      <c r="K34" s="19" t="str">
        <f t="shared" si="3"/>
        <v/>
      </c>
      <c r="N34" s="18" t="str">
        <f>CONCATENATE("* ",C34," -&gt; """,D34,"""")</f>
        <v>* intrathecalInjections.productName -&gt; ".medicationCodeableConcept.text"</v>
      </c>
    </row>
    <row r="35" spans="1:14" ht="29.5" x14ac:dyDescent="0.75">
      <c r="A35" s="20">
        <v>0</v>
      </c>
      <c r="B35" s="20">
        <f>'Chemo-1'!A31</f>
        <v>25</v>
      </c>
      <c r="C35" s="21" t="str">
        <f>'Chemo-1'!B31</f>
        <v>otherTreatments</v>
      </c>
      <c r="D35" s="20" t="s">
        <v>1140</v>
      </c>
      <c r="H35" s="18" t="b">
        <f t="shared" si="0"/>
        <v>1</v>
      </c>
      <c r="I35" s="19" t="str">
        <f t="shared" si="1"/>
        <v>* differential.element[25].mapping[0].identity = "fhir"</v>
      </c>
      <c r="J35" s="19" t="str">
        <f t="shared" si="2"/>
        <v>* differential.element[25].mapping[0].map = "MedicationStatement"</v>
      </c>
      <c r="K35" s="19" t="str">
        <f t="shared" si="3"/>
        <v/>
      </c>
      <c r="N35" s="18" t="str">
        <f>CONCATENATE("* ",C35," -&gt; """,D35,"""")</f>
        <v>* otherTreatments -&gt; "MedicationStatement"</v>
      </c>
    </row>
    <row r="36" spans="1:14" ht="29.5" x14ac:dyDescent="0.75">
      <c r="A36" s="20">
        <v>0</v>
      </c>
      <c r="B36" s="20">
        <f>'Chemo-1'!A32</f>
        <v>26</v>
      </c>
      <c r="C36" s="21" t="str">
        <f>'Chemo-1'!B32</f>
        <v>otherTreatments.productName</v>
      </c>
      <c r="D36" s="20" t="s">
        <v>1139</v>
      </c>
      <c r="H36" s="18" t="b">
        <f t="shared" si="0"/>
        <v>1</v>
      </c>
      <c r="I36" s="19" t="str">
        <f t="shared" si="1"/>
        <v>* differential.element[26].mapping[0].identity = "fhir"</v>
      </c>
      <c r="J36" s="19" t="str">
        <f t="shared" si="2"/>
        <v>* differential.element[26].mapping[0].map = ".medicationCodeableConcept.text"</v>
      </c>
      <c r="K36" s="19" t="str">
        <f t="shared" si="3"/>
        <v/>
      </c>
      <c r="N36" s="18" t="str">
        <f>CONCATENATE("* ",C36," -&gt; """,D36,"""")</f>
        <v>* otherTreatments.productName -&gt; ".medicationCodeableConcept.text"</v>
      </c>
    </row>
    <row r="37" spans="1:14" x14ac:dyDescent="0.75">
      <c r="A37" s="20">
        <v>0</v>
      </c>
      <c r="B37" s="20"/>
      <c r="C37" s="21"/>
      <c r="H37" s="18" t="b">
        <f t="shared" si="0"/>
        <v>0</v>
      </c>
      <c r="I37" s="19" t="str">
        <f t="shared" si="1"/>
        <v/>
      </c>
      <c r="J37" s="19" t="str">
        <f t="shared" si="2"/>
        <v/>
      </c>
      <c r="K37" s="19" t="str">
        <f t="shared" si="3"/>
        <v/>
      </c>
      <c r="N37" s="18" t="e">
        <f>CONCATENATE("* ",C37," -&gt; """,#REF!,"""")</f>
        <v>#REF!</v>
      </c>
    </row>
    <row r="38" spans="1:14" x14ac:dyDescent="0.75">
      <c r="A38" s="20">
        <v>0</v>
      </c>
      <c r="B38" s="20"/>
      <c r="C38" s="21"/>
      <c r="D38" s="20"/>
      <c r="H38" s="18" t="b">
        <f t="shared" si="0"/>
        <v>0</v>
      </c>
      <c r="I38" s="19" t="str">
        <f t="shared" si="1"/>
        <v/>
      </c>
      <c r="J38" s="19" t="str">
        <f t="shared" si="2"/>
        <v/>
      </c>
      <c r="K38" s="19" t="str">
        <f t="shared" si="3"/>
        <v/>
      </c>
      <c r="N38" s="18" t="str">
        <f t="shared" si="4"/>
        <v>*  -&gt; ""</v>
      </c>
    </row>
    <row r="39" spans="1:14" x14ac:dyDescent="0.75">
      <c r="A39" s="20">
        <v>0</v>
      </c>
      <c r="B39" s="20"/>
      <c r="C39" s="21"/>
      <c r="D39" s="21"/>
      <c r="H39" s="18" t="b">
        <f t="shared" si="0"/>
        <v>0</v>
      </c>
      <c r="I39" s="19" t="str">
        <f t="shared" si="1"/>
        <v/>
      </c>
      <c r="J39" s="19" t="str">
        <f t="shared" si="2"/>
        <v/>
      </c>
      <c r="K39" s="19" t="str">
        <f t="shared" si="3"/>
        <v/>
      </c>
      <c r="N39" s="18" t="str">
        <f t="shared" si="4"/>
        <v>*  -&gt; ""</v>
      </c>
    </row>
    <row r="40" spans="1:14" x14ac:dyDescent="0.75">
      <c r="A40" s="20">
        <v>0</v>
      </c>
      <c r="B40" s="20"/>
      <c r="C40" s="21"/>
      <c r="D40" s="20"/>
      <c r="H40" s="18" t="b">
        <f t="shared" si="0"/>
        <v>0</v>
      </c>
      <c r="I40" s="19" t="str">
        <f t="shared" si="1"/>
        <v/>
      </c>
      <c r="J40" s="19" t="str">
        <f t="shared" si="2"/>
        <v/>
      </c>
      <c r="K40" s="19" t="str">
        <f t="shared" si="3"/>
        <v/>
      </c>
      <c r="N40" s="18" t="str">
        <f t="shared" si="4"/>
        <v>*  -&gt; ""</v>
      </c>
    </row>
    <row r="41" spans="1:14" x14ac:dyDescent="0.75">
      <c r="A41" s="20">
        <v>0</v>
      </c>
      <c r="B41" s="20"/>
      <c r="C41" s="21"/>
      <c r="D41" s="20"/>
      <c r="H41" s="18" t="b">
        <f t="shared" si="0"/>
        <v>0</v>
      </c>
      <c r="I41" s="19" t="str">
        <f t="shared" si="1"/>
        <v/>
      </c>
      <c r="J41" s="19" t="str">
        <f t="shared" si="2"/>
        <v/>
      </c>
      <c r="K41" s="19" t="str">
        <f t="shared" si="3"/>
        <v/>
      </c>
      <c r="N41" s="18" t="str">
        <f t="shared" si="4"/>
        <v>*  -&gt; ""</v>
      </c>
    </row>
    <row r="42" spans="1:14" x14ac:dyDescent="0.75">
      <c r="A42" s="20">
        <v>0</v>
      </c>
      <c r="B42" s="20"/>
      <c r="C42" s="21"/>
      <c r="D42" s="20"/>
      <c r="H42" s="18" t="b">
        <f t="shared" si="0"/>
        <v>0</v>
      </c>
      <c r="I42" s="19" t="str">
        <f t="shared" si="1"/>
        <v/>
      </c>
      <c r="J42" s="19" t="str">
        <f t="shared" si="2"/>
        <v/>
      </c>
      <c r="K42" s="19" t="str">
        <f t="shared" si="3"/>
        <v/>
      </c>
      <c r="N42" s="18" t="str">
        <f t="shared" si="4"/>
        <v>*  -&gt; ""</v>
      </c>
    </row>
    <row r="43" spans="1:14" x14ac:dyDescent="0.75">
      <c r="A43" s="20">
        <v>0</v>
      </c>
      <c r="B43" s="20"/>
      <c r="C43" s="21"/>
      <c r="D43" s="20"/>
      <c r="H43" s="18" t="b">
        <f t="shared" si="0"/>
        <v>0</v>
      </c>
      <c r="I43" s="19" t="str">
        <f t="shared" si="1"/>
        <v/>
      </c>
      <c r="J43" s="19" t="str">
        <f t="shared" si="2"/>
        <v/>
      </c>
      <c r="K43" s="19" t="str">
        <f t="shared" si="3"/>
        <v/>
      </c>
      <c r="N43" s="18" t="str">
        <f t="shared" si="4"/>
        <v>*  -&gt; ""</v>
      </c>
    </row>
    <row r="44" spans="1:14" x14ac:dyDescent="0.75">
      <c r="A44" s="20">
        <v>0</v>
      </c>
      <c r="B44" s="20"/>
      <c r="C44" s="21"/>
      <c r="D44" s="20"/>
      <c r="H44" s="18" t="b">
        <f t="shared" si="0"/>
        <v>0</v>
      </c>
      <c r="I44" s="19" t="str">
        <f t="shared" si="1"/>
        <v/>
      </c>
      <c r="J44" s="19" t="str">
        <f t="shared" si="2"/>
        <v/>
      </c>
      <c r="K44" s="19" t="str">
        <f t="shared" si="3"/>
        <v/>
      </c>
      <c r="N44" s="18" t="str">
        <f t="shared" si="4"/>
        <v>*  -&gt; ""</v>
      </c>
    </row>
    <row r="45" spans="1:14" x14ac:dyDescent="0.75">
      <c r="A45" s="20">
        <v>0</v>
      </c>
      <c r="B45" s="20"/>
      <c r="C45" s="21"/>
      <c r="D45" s="20"/>
      <c r="H45" s="18" t="b">
        <f t="shared" si="0"/>
        <v>0</v>
      </c>
      <c r="I45" s="19" t="str">
        <f t="shared" si="1"/>
        <v/>
      </c>
      <c r="J45" s="19" t="str">
        <f t="shared" si="2"/>
        <v/>
      </c>
      <c r="K45" s="19" t="str">
        <f t="shared" si="3"/>
        <v/>
      </c>
      <c r="N45" s="18" t="str">
        <f t="shared" si="4"/>
        <v>*  -&gt; ""</v>
      </c>
    </row>
    <row r="46" spans="1:14" x14ac:dyDescent="0.75">
      <c r="A46" s="20"/>
      <c r="B46" s="20"/>
      <c r="C46" s="21"/>
      <c r="D46" s="20"/>
      <c r="H46" s="18" t="b">
        <f t="shared" si="0"/>
        <v>0</v>
      </c>
      <c r="I46" s="19" t="str">
        <f t="shared" si="1"/>
        <v/>
      </c>
      <c r="J46" s="19" t="str">
        <f t="shared" si="2"/>
        <v/>
      </c>
      <c r="K46" s="19" t="str">
        <f t="shared" si="3"/>
        <v/>
      </c>
    </row>
    <row r="47" spans="1:14" x14ac:dyDescent="0.75">
      <c r="A47" s="20"/>
      <c r="B47" s="20"/>
      <c r="C47" s="21"/>
      <c r="D47" s="20"/>
      <c r="H47" s="18" t="b">
        <f t="shared" si="0"/>
        <v>0</v>
      </c>
      <c r="I47" s="19" t="str">
        <f t="shared" si="1"/>
        <v/>
      </c>
      <c r="J47" s="19" t="str">
        <f t="shared" si="2"/>
        <v/>
      </c>
      <c r="K47" s="19" t="str">
        <f t="shared" si="3"/>
        <v/>
      </c>
    </row>
    <row r="48" spans="1:14" x14ac:dyDescent="0.75">
      <c r="A48" s="20"/>
      <c r="B48" s="20"/>
      <c r="C48" s="21"/>
      <c r="D48" s="20"/>
      <c r="H48" s="18" t="b">
        <f t="shared" si="0"/>
        <v>0</v>
      </c>
      <c r="I48" s="19" t="str">
        <f t="shared" si="1"/>
        <v/>
      </c>
      <c r="J48" s="19" t="str">
        <f t="shared" si="2"/>
        <v/>
      </c>
      <c r="K48" s="19" t="str">
        <f t="shared" si="3"/>
        <v/>
      </c>
    </row>
    <row r="49" spans="1:11" x14ac:dyDescent="0.75">
      <c r="A49" s="20"/>
      <c r="B49" s="20"/>
      <c r="C49" s="21"/>
      <c r="D49" s="20"/>
      <c r="H49" s="18" t="b">
        <f t="shared" si="0"/>
        <v>0</v>
      </c>
      <c r="I49" s="19" t="str">
        <f t="shared" si="1"/>
        <v/>
      </c>
      <c r="J49" s="19" t="str">
        <f t="shared" si="2"/>
        <v/>
      </c>
      <c r="K49" s="19" t="str">
        <f t="shared" si="3"/>
        <v/>
      </c>
    </row>
    <row r="50" spans="1:11" x14ac:dyDescent="0.75">
      <c r="C50" s="18"/>
      <c r="H50" s="18" t="b">
        <f t="shared" si="0"/>
        <v>0</v>
      </c>
      <c r="I50" s="19" t="str">
        <f t="shared" si="1"/>
        <v/>
      </c>
      <c r="J50" s="19" t="str">
        <f t="shared" si="2"/>
        <v/>
      </c>
      <c r="K50" s="19" t="str">
        <f t="shared" si="3"/>
        <v/>
      </c>
    </row>
    <row r="51" spans="1:11" x14ac:dyDescent="0.75">
      <c r="C51" s="18"/>
      <c r="H51" s="18" t="b">
        <f t="shared" si="0"/>
        <v>0</v>
      </c>
      <c r="I51" s="19" t="str">
        <f t="shared" si="1"/>
        <v/>
      </c>
      <c r="J51" s="19" t="str">
        <f t="shared" si="2"/>
        <v/>
      </c>
      <c r="K51" s="19" t="str">
        <f t="shared" si="3"/>
        <v/>
      </c>
    </row>
    <row r="52" spans="1:11" x14ac:dyDescent="0.75">
      <c r="C52" s="18"/>
      <c r="H52" s="18" t="b">
        <f t="shared" si="0"/>
        <v>0</v>
      </c>
      <c r="I52" s="19" t="str">
        <f t="shared" si="1"/>
        <v/>
      </c>
      <c r="J52" s="19" t="str">
        <f t="shared" si="2"/>
        <v/>
      </c>
      <c r="K52" s="19" t="str">
        <f t="shared" si="3"/>
        <v/>
      </c>
    </row>
    <row r="53" spans="1:11" x14ac:dyDescent="0.75">
      <c r="C53" s="18"/>
      <c r="H53" s="18" t="b">
        <f t="shared" si="0"/>
        <v>0</v>
      </c>
      <c r="I53" s="19" t="str">
        <f t="shared" si="1"/>
        <v/>
      </c>
      <c r="J53" s="19" t="str">
        <f t="shared" si="2"/>
        <v/>
      </c>
      <c r="K53" s="19" t="str">
        <f t="shared" si="3"/>
        <v/>
      </c>
    </row>
    <row r="54" spans="1:11" x14ac:dyDescent="0.75">
      <c r="C54" s="18"/>
      <c r="H54" s="18" t="b">
        <f t="shared" si="0"/>
        <v>0</v>
      </c>
      <c r="I54" s="19" t="str">
        <f t="shared" si="1"/>
        <v/>
      </c>
      <c r="J54" s="19" t="str">
        <f t="shared" si="2"/>
        <v/>
      </c>
      <c r="K54" s="19" t="str">
        <f t="shared" si="3"/>
        <v/>
      </c>
    </row>
    <row r="55" spans="1:11" x14ac:dyDescent="0.75">
      <c r="C55" s="18"/>
    </row>
    <row r="56" spans="1:11" x14ac:dyDescent="0.75">
      <c r="C56" s="18"/>
    </row>
    <row r="57" spans="1:11" x14ac:dyDescent="0.75">
      <c r="C57" s="18"/>
    </row>
    <row r="58" spans="1:11" x14ac:dyDescent="0.75">
      <c r="C58" s="18"/>
    </row>
    <row r="59" spans="1:11" x14ac:dyDescent="0.75">
      <c r="C59" s="18"/>
    </row>
    <row r="60" spans="1:11" x14ac:dyDescent="0.75">
      <c r="C60" s="18"/>
    </row>
    <row r="61" spans="1:11" x14ac:dyDescent="0.75">
      <c r="C61" s="18"/>
    </row>
    <row r="62" spans="1:11" x14ac:dyDescent="0.75">
      <c r="C62" s="18"/>
    </row>
    <row r="63" spans="1:11" x14ac:dyDescent="0.75">
      <c r="C63" s="18"/>
    </row>
    <row r="64" spans="1:11" x14ac:dyDescent="0.75">
      <c r="C64" s="18"/>
    </row>
    <row r="65" spans="3:3" x14ac:dyDescent="0.75">
      <c r="C65" s="18"/>
    </row>
    <row r="66" spans="3:3" x14ac:dyDescent="0.75">
      <c r="C66" s="18"/>
    </row>
    <row r="67" spans="3:3" x14ac:dyDescent="0.75">
      <c r="C67" s="18"/>
    </row>
    <row r="68" spans="3:3" x14ac:dyDescent="0.75">
      <c r="C68" s="18"/>
    </row>
    <row r="69" spans="3:3" x14ac:dyDescent="0.75">
      <c r="C69" s="18"/>
    </row>
    <row r="70" spans="3:3" x14ac:dyDescent="0.75">
      <c r="C70" s="18"/>
    </row>
    <row r="71" spans="3:3" x14ac:dyDescent="0.75">
      <c r="C71" s="18"/>
    </row>
    <row r="72" spans="3:3" x14ac:dyDescent="0.75">
      <c r="C72" s="18"/>
    </row>
    <row r="73" spans="3:3" x14ac:dyDescent="0.75">
      <c r="C73" s="18"/>
    </row>
    <row r="74" spans="3:3" x14ac:dyDescent="0.75">
      <c r="C74" s="18"/>
    </row>
    <row r="75" spans="3:3" x14ac:dyDescent="0.75">
      <c r="C75" s="18"/>
    </row>
    <row r="76" spans="3:3" x14ac:dyDescent="0.75">
      <c r="C76" s="18"/>
    </row>
    <row r="77" spans="3:3" x14ac:dyDescent="0.75">
      <c r="C77" s="18"/>
    </row>
    <row r="78" spans="3:3" x14ac:dyDescent="0.75">
      <c r="C78" s="18"/>
    </row>
    <row r="79" spans="3:3" x14ac:dyDescent="0.75">
      <c r="C79" s="18"/>
    </row>
    <row r="80" spans="3:3" x14ac:dyDescent="0.75">
      <c r="C80" s="18"/>
    </row>
    <row r="81" spans="2:3" x14ac:dyDescent="0.75">
      <c r="C81" s="18"/>
    </row>
    <row r="82" spans="2:3" x14ac:dyDescent="0.75">
      <c r="C82" s="18"/>
    </row>
    <row r="83" spans="2:3" x14ac:dyDescent="0.75">
      <c r="C83" s="18"/>
    </row>
    <row r="84" spans="2:3" x14ac:dyDescent="0.75">
      <c r="B84" s="18">
        <f>'[1]Base-1'!A61</f>
        <v>0</v>
      </c>
      <c r="C84" s="19">
        <f>'[1]Base-1'!B61</f>
        <v>0</v>
      </c>
    </row>
    <row r="85" spans="2:3" x14ac:dyDescent="0.75">
      <c r="B85" s="18">
        <f>'[1]Base-1'!A62</f>
        <v>0</v>
      </c>
      <c r="C85" s="19">
        <f>'[1]Base-1'!B62</f>
        <v>0</v>
      </c>
    </row>
    <row r="86" spans="2:3" x14ac:dyDescent="0.75">
      <c r="B86" s="18">
        <f>'[1]Base-1'!A63</f>
        <v>0</v>
      </c>
      <c r="C86" s="19">
        <f>'[1]Base-1'!B63</f>
        <v>0</v>
      </c>
    </row>
    <row r="87" spans="2:3" x14ac:dyDescent="0.75">
      <c r="B87" s="18">
        <f>'[1]Base-1'!A64</f>
        <v>0</v>
      </c>
      <c r="C87" s="19">
        <f>'[1]Base-1'!B64</f>
        <v>0</v>
      </c>
    </row>
    <row r="88" spans="2:3" x14ac:dyDescent="0.75">
      <c r="B88" s="18">
        <f>'[1]Base-1'!A65</f>
        <v>0</v>
      </c>
      <c r="C88" s="19">
        <f>'[1]Base-1'!B65</f>
        <v>0</v>
      </c>
    </row>
    <row r="89" spans="2:3" x14ac:dyDescent="0.75">
      <c r="B89" s="18">
        <f>'[1]Base-1'!A66</f>
        <v>0</v>
      </c>
      <c r="C89" s="19">
        <f>'[1]Base-1'!B66</f>
        <v>0</v>
      </c>
    </row>
    <row r="90" spans="2:3" x14ac:dyDescent="0.75">
      <c r="B90" s="18">
        <f>'[1]Base-1'!A67</f>
        <v>0</v>
      </c>
      <c r="C90" s="19">
        <f>'[1]Base-1'!B67</f>
        <v>0</v>
      </c>
    </row>
    <row r="91" spans="2:3" x14ac:dyDescent="0.75">
      <c r="B91" s="18">
        <f>'[1]Base-1'!A68</f>
        <v>0</v>
      </c>
      <c r="C91" s="19">
        <f>'[1]Base-1'!B68</f>
        <v>0</v>
      </c>
    </row>
    <row r="92" spans="2:3" x14ac:dyDescent="0.75">
      <c r="B92" s="18">
        <f>'[1]Base-1'!A69</f>
        <v>0</v>
      </c>
      <c r="C92" s="19">
        <f>'[1]Base-1'!B69</f>
        <v>0</v>
      </c>
    </row>
    <row r="93" spans="2:3" x14ac:dyDescent="0.75">
      <c r="B93" s="18">
        <f>'[1]Base-1'!A70</f>
        <v>0</v>
      </c>
      <c r="C93" s="19">
        <f>'[1]Base-1'!B70</f>
        <v>0</v>
      </c>
    </row>
    <row r="94" spans="2:3" x14ac:dyDescent="0.75">
      <c r="B94" s="18">
        <f>'[1]Base-1'!A71</f>
        <v>0</v>
      </c>
      <c r="C94" s="19">
        <f>'[1]Base-1'!B71</f>
        <v>0</v>
      </c>
    </row>
    <row r="95" spans="2:3" x14ac:dyDescent="0.75">
      <c r="B95" s="18">
        <f>'[1]Base-1'!A72</f>
        <v>0</v>
      </c>
      <c r="C95" s="19">
        <f>'[1]Base-1'!B72</f>
        <v>0</v>
      </c>
    </row>
    <row r="96" spans="2:3" x14ac:dyDescent="0.75">
      <c r="B96" s="18">
        <f>'[1]Base-1'!A73</f>
        <v>0</v>
      </c>
      <c r="C96" s="19">
        <f>'[1]Base-1'!B73</f>
        <v>0</v>
      </c>
    </row>
    <row r="97" spans="2:3" x14ac:dyDescent="0.75">
      <c r="B97" s="18">
        <f>'[1]Base-1'!A74</f>
        <v>0</v>
      </c>
      <c r="C97" s="19">
        <f>'[1]Base-1'!B74</f>
        <v>0</v>
      </c>
    </row>
    <row r="98" spans="2:3" x14ac:dyDescent="0.75">
      <c r="B98" s="18">
        <f>'[1]Base-1'!A75</f>
        <v>0</v>
      </c>
      <c r="C98" s="19">
        <f>'[1]Base-1'!B75</f>
        <v>0</v>
      </c>
    </row>
    <row r="99" spans="2:3" x14ac:dyDescent="0.75">
      <c r="B99" s="18">
        <f>'[1]Base-1'!A76</f>
        <v>0</v>
      </c>
      <c r="C99" s="19">
        <f>'[1]Base-1'!B76</f>
        <v>0</v>
      </c>
    </row>
    <row r="100" spans="2:3" x14ac:dyDescent="0.75">
      <c r="B100" s="18">
        <f>'[1]Base-1'!A77</f>
        <v>0</v>
      </c>
      <c r="C100" s="19">
        <f>'[1]Base-1'!B77</f>
        <v>0</v>
      </c>
    </row>
    <row r="101" spans="2:3" x14ac:dyDescent="0.75">
      <c r="B101" s="18">
        <f>'[1]Base-1'!A78</f>
        <v>0</v>
      </c>
      <c r="C101" s="19">
        <f>'[1]Base-1'!B78</f>
        <v>0</v>
      </c>
    </row>
    <row r="102" spans="2:3" x14ac:dyDescent="0.75">
      <c r="B102" s="18">
        <f>'[1]Base-1'!A79</f>
        <v>0</v>
      </c>
      <c r="C102" s="19">
        <f>'[1]Base-1'!B79</f>
        <v>0</v>
      </c>
    </row>
    <row r="103" spans="2:3" x14ac:dyDescent="0.75">
      <c r="B103" s="18">
        <f>'[1]Base-1'!A80</f>
        <v>0</v>
      </c>
      <c r="C103" s="19">
        <f>'[1]Base-1'!B80</f>
        <v>0</v>
      </c>
    </row>
    <row r="104" spans="2:3" x14ac:dyDescent="0.75">
      <c r="B104" s="18">
        <f>'[1]Base-1'!A81</f>
        <v>0</v>
      </c>
      <c r="C104" s="19">
        <f>'[1]Base-1'!B81</f>
        <v>0</v>
      </c>
    </row>
    <row r="105" spans="2:3" x14ac:dyDescent="0.75">
      <c r="B105" s="18">
        <f>'[1]Base-1'!A82</f>
        <v>0</v>
      </c>
      <c r="C105" s="19">
        <f>'[1]Base-1'!B82</f>
        <v>0</v>
      </c>
    </row>
    <row r="106" spans="2:3" x14ac:dyDescent="0.75">
      <c r="B106" s="18">
        <f>'[1]Base-1'!A83</f>
        <v>0</v>
      </c>
      <c r="C106" s="19">
        <f>'[1]Base-1'!B83</f>
        <v>0</v>
      </c>
    </row>
    <row r="107" spans="2:3" x14ac:dyDescent="0.75">
      <c r="B107" s="18">
        <f>'[1]Base-1'!A84</f>
        <v>0</v>
      </c>
      <c r="C107" s="19">
        <f>'[1]Base-1'!B84</f>
        <v>0</v>
      </c>
    </row>
    <row r="108" spans="2:3" x14ac:dyDescent="0.75">
      <c r="B108" s="18">
        <f>'[1]Base-1'!A85</f>
        <v>0</v>
      </c>
      <c r="C108" s="19">
        <f>'[1]Base-1'!B85</f>
        <v>0</v>
      </c>
    </row>
    <row r="109" spans="2:3" x14ac:dyDescent="0.75">
      <c r="B109" s="18">
        <f>'[1]Base-1'!A86</f>
        <v>0</v>
      </c>
      <c r="C109" s="19">
        <f>'[1]Base-1'!B86</f>
        <v>0</v>
      </c>
    </row>
  </sheetData>
  <hyperlinks>
    <hyperlink ref="C2" r:id="rId1" display="http://iso.org/fhir/ts-5384" xr:uid="{09E1F257-EABD-437A-8CFD-4CF815427430}"/>
    <hyperlink ref="C4" r:id="rId2" display="http://iso.org/fhir/ts-5384" xr:uid="{3773D125-F718-4365-B01F-280D15A4D5E0}"/>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DAC0C2-00A6-4E80-9B8E-9DA4D5ACEF8C}">
  <sheetPr codeName="Foglio11">
    <tabColor rgb="FFFF0000"/>
  </sheetPr>
  <dimension ref="A1:I107"/>
  <sheetViews>
    <sheetView topLeftCell="A37" zoomScaleNormal="100" workbookViewId="0">
      <selection activeCell="D55" sqref="D55"/>
    </sheetView>
  </sheetViews>
  <sheetFormatPr defaultRowHeight="14.75" x14ac:dyDescent="0.75"/>
  <cols>
    <col min="1" max="1" width="8.7265625" style="18"/>
    <col min="2" max="2" width="52" style="19" customWidth="1"/>
    <col min="3" max="3" width="44.6328125" style="19" customWidth="1"/>
    <col min="4" max="4" width="71.58984375" style="18" bestFit="1" customWidth="1"/>
    <col min="5" max="5" width="12.1796875" style="18" customWidth="1"/>
    <col min="6" max="6" width="20.7265625" style="18" customWidth="1"/>
    <col min="7" max="7" width="56.453125" style="18" customWidth="1"/>
    <col min="8" max="8" width="55.953125" style="18" customWidth="1"/>
    <col min="9" max="9" width="19.31640625" style="18" customWidth="1"/>
    <col min="10" max="16384" width="8.7265625" style="18"/>
  </cols>
  <sheetData>
    <row r="1" spans="1:9" x14ac:dyDescent="0.75">
      <c r="B1" s="88" t="s">
        <v>837</v>
      </c>
      <c r="C1" s="118" t="s">
        <v>11</v>
      </c>
      <c r="D1" s="90" t="s">
        <v>4</v>
      </c>
    </row>
    <row r="2" spans="1:9" ht="29.5" x14ac:dyDescent="0.75">
      <c r="B2" s="91" t="s">
        <v>838</v>
      </c>
      <c r="C2" s="23" t="s">
        <v>864</v>
      </c>
      <c r="D2" s="23" t="s">
        <v>1141</v>
      </c>
    </row>
    <row r="3" spans="1:9" x14ac:dyDescent="0.75">
      <c r="B3" s="92" t="s">
        <v>841</v>
      </c>
      <c r="C3" s="119" t="s">
        <v>13</v>
      </c>
      <c r="D3" s="94"/>
    </row>
    <row r="4" spans="1:9" ht="15.5" thickBot="1" x14ac:dyDescent="0.9">
      <c r="B4" s="95" t="s">
        <v>842</v>
      </c>
      <c r="C4" s="24" t="s">
        <v>864</v>
      </c>
      <c r="D4" s="96"/>
    </row>
    <row r="5" spans="1:9" x14ac:dyDescent="0.75">
      <c r="C5" s="97" t="s">
        <v>5</v>
      </c>
      <c r="D5" s="2" t="s">
        <v>6</v>
      </c>
      <c r="E5" s="3" t="s">
        <v>7</v>
      </c>
      <c r="F5" s="3" t="s">
        <v>8</v>
      </c>
      <c r="G5" s="3" t="s">
        <v>9</v>
      </c>
      <c r="H5" s="154" t="s">
        <v>1142</v>
      </c>
      <c r="I5" s="154"/>
    </row>
    <row r="6" spans="1:9" ht="15.5" thickBot="1" x14ac:dyDescent="0.9">
      <c r="A6" s="18">
        <v>0</v>
      </c>
      <c r="B6" s="24" t="s">
        <v>864</v>
      </c>
      <c r="C6" s="120" t="s">
        <v>864</v>
      </c>
      <c r="D6" s="5" t="s">
        <v>864</v>
      </c>
      <c r="E6" s="99">
        <v>1</v>
      </c>
      <c r="F6" s="99">
        <v>1</v>
      </c>
      <c r="G6" s="99"/>
    </row>
    <row r="7" spans="1:9" x14ac:dyDescent="0.75">
      <c r="A7" s="18">
        <v>1</v>
      </c>
      <c r="B7" s="20" t="s">
        <v>72</v>
      </c>
      <c r="C7" s="21" t="s">
        <v>1053</v>
      </c>
      <c r="D7" s="21" t="s">
        <v>1143</v>
      </c>
      <c r="E7" s="20">
        <v>0</v>
      </c>
      <c r="F7" s="20">
        <v>1</v>
      </c>
      <c r="G7" s="20" t="s">
        <v>0</v>
      </c>
      <c r="H7" s="20"/>
      <c r="I7" s="20"/>
    </row>
    <row r="8" spans="1:9" ht="29.5" x14ac:dyDescent="0.75">
      <c r="A8" s="18">
        <v>2</v>
      </c>
      <c r="B8" s="20" t="s">
        <v>1144</v>
      </c>
      <c r="C8" s="21" t="s">
        <v>1145</v>
      </c>
      <c r="D8" s="21" t="s">
        <v>1146</v>
      </c>
      <c r="E8" s="20">
        <v>0</v>
      </c>
      <c r="F8" s="20">
        <v>1</v>
      </c>
      <c r="G8" s="20" t="s">
        <v>0</v>
      </c>
      <c r="H8" s="20"/>
      <c r="I8" s="20"/>
    </row>
    <row r="9" spans="1:9" ht="88.5" x14ac:dyDescent="0.75">
      <c r="A9" s="18">
        <v>3</v>
      </c>
      <c r="B9" s="20" t="s">
        <v>12</v>
      </c>
      <c r="C9" s="21" t="s">
        <v>1147</v>
      </c>
      <c r="D9" s="21" t="s">
        <v>49</v>
      </c>
      <c r="E9" s="20">
        <v>0</v>
      </c>
      <c r="F9" s="20" t="s">
        <v>861</v>
      </c>
      <c r="G9" s="20" t="s">
        <v>0</v>
      </c>
      <c r="H9" s="20"/>
      <c r="I9" s="20"/>
    </row>
    <row r="10" spans="1:9" x14ac:dyDescent="0.75">
      <c r="A10" s="18">
        <v>4</v>
      </c>
      <c r="B10" s="21" t="s">
        <v>1059</v>
      </c>
      <c r="C10" s="21" t="s">
        <v>1060</v>
      </c>
      <c r="D10" s="21" t="s">
        <v>50</v>
      </c>
      <c r="E10" s="20">
        <v>0</v>
      </c>
      <c r="F10" s="20">
        <v>1</v>
      </c>
      <c r="G10" s="20" t="s">
        <v>850</v>
      </c>
      <c r="H10" s="20"/>
      <c r="I10" s="20"/>
    </row>
    <row r="11" spans="1:9" x14ac:dyDescent="0.75">
      <c r="A11" s="18">
        <v>5</v>
      </c>
      <c r="B11" s="21" t="s">
        <v>1061</v>
      </c>
      <c r="C11" s="21" t="s">
        <v>1062</v>
      </c>
      <c r="D11" s="21" t="s">
        <v>1063</v>
      </c>
      <c r="E11" s="20">
        <v>0</v>
      </c>
      <c r="F11" s="20">
        <v>1</v>
      </c>
      <c r="G11" s="20" t="s">
        <v>2</v>
      </c>
      <c r="H11" s="20"/>
      <c r="I11" s="20"/>
    </row>
    <row r="12" spans="1:9" x14ac:dyDescent="0.75">
      <c r="A12" s="18">
        <v>6</v>
      </c>
      <c r="B12" s="21" t="s">
        <v>1064</v>
      </c>
      <c r="C12" s="21" t="s">
        <v>1065</v>
      </c>
      <c r="D12" s="21" t="s">
        <v>1065</v>
      </c>
      <c r="E12" s="20">
        <v>0</v>
      </c>
      <c r="F12" s="20">
        <v>1</v>
      </c>
      <c r="G12" s="20" t="s">
        <v>2</v>
      </c>
      <c r="H12" s="20"/>
      <c r="I12" s="20"/>
    </row>
    <row r="13" spans="1:9" x14ac:dyDescent="0.75">
      <c r="A13" s="18">
        <v>7</v>
      </c>
      <c r="B13" s="21" t="s">
        <v>1066</v>
      </c>
      <c r="C13" s="21" t="s">
        <v>1067</v>
      </c>
      <c r="D13" s="21" t="s">
        <v>1067</v>
      </c>
      <c r="E13" s="20">
        <v>0</v>
      </c>
      <c r="F13" s="20">
        <v>1</v>
      </c>
      <c r="G13" s="20" t="s">
        <v>850</v>
      </c>
      <c r="H13" s="20"/>
      <c r="I13" s="20"/>
    </row>
    <row r="14" spans="1:9" x14ac:dyDescent="0.75">
      <c r="A14" s="18">
        <v>8</v>
      </c>
      <c r="B14" s="21" t="s">
        <v>1068</v>
      </c>
      <c r="C14" s="21" t="s">
        <v>1069</v>
      </c>
      <c r="D14" s="21" t="s">
        <v>1069</v>
      </c>
      <c r="E14" s="20">
        <v>0</v>
      </c>
      <c r="F14" s="20">
        <v>1</v>
      </c>
      <c r="G14" s="20" t="s">
        <v>2</v>
      </c>
      <c r="H14" s="20"/>
      <c r="I14" s="20"/>
    </row>
    <row r="15" spans="1:9" x14ac:dyDescent="0.75">
      <c r="A15" s="18">
        <v>9</v>
      </c>
      <c r="B15" s="21" t="s">
        <v>1070</v>
      </c>
      <c r="C15" s="21" t="s">
        <v>1071</v>
      </c>
      <c r="D15" s="21" t="s">
        <v>1071</v>
      </c>
      <c r="E15" s="20">
        <v>0</v>
      </c>
      <c r="F15" s="20">
        <v>1</v>
      </c>
      <c r="G15" s="20" t="s">
        <v>2</v>
      </c>
      <c r="H15" s="20"/>
      <c r="I15" s="20"/>
    </row>
    <row r="16" spans="1:9" ht="51.5" customHeight="1" x14ac:dyDescent="0.75">
      <c r="A16" s="18">
        <v>10</v>
      </c>
      <c r="B16" s="21" t="s">
        <v>1055</v>
      </c>
      <c r="C16" s="126" t="s">
        <v>1056</v>
      </c>
      <c r="D16" s="21" t="s">
        <v>52</v>
      </c>
      <c r="E16" s="20">
        <v>1</v>
      </c>
      <c r="F16" s="20">
        <v>1</v>
      </c>
      <c r="G16" s="20" t="s">
        <v>923</v>
      </c>
      <c r="H16" s="20"/>
      <c r="I16" s="20"/>
    </row>
    <row r="17" spans="1:9" ht="73.75" x14ac:dyDescent="0.75">
      <c r="A17" s="18">
        <v>11</v>
      </c>
      <c r="B17" s="21" t="s">
        <v>1148</v>
      </c>
      <c r="C17" s="21" t="s">
        <v>1058</v>
      </c>
      <c r="D17" s="21" t="s">
        <v>53</v>
      </c>
      <c r="E17" s="20">
        <v>0</v>
      </c>
      <c r="F17" s="20">
        <v>1</v>
      </c>
      <c r="G17" s="20" t="s">
        <v>923</v>
      </c>
      <c r="H17" s="20"/>
      <c r="I17" s="20"/>
    </row>
    <row r="18" spans="1:9" ht="162.25" x14ac:dyDescent="0.75">
      <c r="A18" s="18">
        <v>12</v>
      </c>
      <c r="B18" s="21" t="s">
        <v>16</v>
      </c>
      <c r="C18" s="126" t="s">
        <v>61</v>
      </c>
      <c r="D18" s="21" t="s">
        <v>1149</v>
      </c>
      <c r="E18" s="20">
        <v>1</v>
      </c>
      <c r="F18" s="20">
        <v>1</v>
      </c>
      <c r="G18" s="20" t="s">
        <v>1</v>
      </c>
      <c r="H18" s="20"/>
      <c r="I18" s="20"/>
    </row>
    <row r="19" spans="1:9" ht="177" x14ac:dyDescent="0.75">
      <c r="A19" s="18">
        <v>13</v>
      </c>
      <c r="B19" s="21" t="s">
        <v>1150</v>
      </c>
      <c r="C19" s="21" t="s">
        <v>1151</v>
      </c>
      <c r="D19" s="21" t="s">
        <v>1152</v>
      </c>
      <c r="E19" s="20">
        <v>0</v>
      </c>
      <c r="F19" s="20">
        <v>1</v>
      </c>
      <c r="G19" s="20" t="s">
        <v>1</v>
      </c>
      <c r="H19" s="20"/>
      <c r="I19" s="20"/>
    </row>
    <row r="20" spans="1:9" ht="147.5" x14ac:dyDescent="0.75">
      <c r="A20" s="18">
        <v>14</v>
      </c>
      <c r="B20" s="21" t="s">
        <v>1153</v>
      </c>
      <c r="C20" s="21" t="s">
        <v>1154</v>
      </c>
      <c r="D20" s="21" t="s">
        <v>1155</v>
      </c>
      <c r="E20" s="20">
        <v>0</v>
      </c>
      <c r="F20" s="20">
        <v>1</v>
      </c>
      <c r="G20" s="20" t="s">
        <v>1</v>
      </c>
      <c r="H20" s="20"/>
      <c r="I20" s="20"/>
    </row>
    <row r="21" spans="1:9" ht="118" x14ac:dyDescent="0.75">
      <c r="A21" s="18">
        <v>15</v>
      </c>
      <c r="B21" s="21" t="s">
        <v>1156</v>
      </c>
      <c r="C21" s="21" t="s">
        <v>1157</v>
      </c>
      <c r="D21" s="21" t="s">
        <v>1158</v>
      </c>
      <c r="E21" s="20">
        <v>0</v>
      </c>
      <c r="F21" s="20">
        <v>1</v>
      </c>
      <c r="G21" s="20" t="s">
        <v>1</v>
      </c>
      <c r="H21" s="20"/>
      <c r="I21" s="20"/>
    </row>
    <row r="22" spans="1:9" ht="147.5" x14ac:dyDescent="0.75">
      <c r="A22" s="18">
        <v>16</v>
      </c>
      <c r="B22" s="21" t="s">
        <v>1159</v>
      </c>
      <c r="C22" s="21" t="s">
        <v>1160</v>
      </c>
      <c r="D22" s="21" t="s">
        <v>1161</v>
      </c>
      <c r="E22" s="20">
        <v>0</v>
      </c>
      <c r="F22" s="20">
        <v>1</v>
      </c>
      <c r="G22" s="20" t="s">
        <v>1</v>
      </c>
      <c r="H22" s="20"/>
      <c r="I22" s="20"/>
    </row>
    <row r="23" spans="1:9" x14ac:dyDescent="0.75">
      <c r="A23" s="18">
        <v>17</v>
      </c>
      <c r="B23" s="21" t="s">
        <v>1162</v>
      </c>
      <c r="C23" s="21" t="s">
        <v>1163</v>
      </c>
      <c r="D23" s="21" t="s">
        <v>51</v>
      </c>
      <c r="E23" s="20">
        <v>0</v>
      </c>
      <c r="F23" s="20">
        <v>1</v>
      </c>
      <c r="G23" s="20" t="s">
        <v>946</v>
      </c>
      <c r="H23" s="20"/>
      <c r="I23" s="20"/>
    </row>
    <row r="24" spans="1:9" ht="73.75" x14ac:dyDescent="0.75">
      <c r="A24" s="18">
        <v>18</v>
      </c>
      <c r="B24" s="21" t="s">
        <v>1164</v>
      </c>
      <c r="C24" s="126" t="s">
        <v>73</v>
      </c>
      <c r="D24" s="127" t="s">
        <v>1165</v>
      </c>
      <c r="E24" s="20">
        <v>0</v>
      </c>
      <c r="F24" s="20">
        <v>5</v>
      </c>
      <c r="G24" s="20" t="s">
        <v>850</v>
      </c>
      <c r="H24" s="20"/>
      <c r="I24" s="20"/>
    </row>
    <row r="25" spans="1:9" ht="191.75" x14ac:dyDescent="0.75">
      <c r="A25" s="18">
        <v>19</v>
      </c>
      <c r="B25" s="21" t="s">
        <v>1166</v>
      </c>
      <c r="C25" s="126" t="s">
        <v>1167</v>
      </c>
      <c r="D25" s="21" t="s">
        <v>1168</v>
      </c>
      <c r="E25" s="20">
        <v>1</v>
      </c>
      <c r="F25" s="20">
        <v>1</v>
      </c>
      <c r="G25" s="20" t="s">
        <v>1</v>
      </c>
      <c r="H25" s="128" t="s">
        <v>1169</v>
      </c>
      <c r="I25" s="20" t="s">
        <v>1170</v>
      </c>
    </row>
    <row r="26" spans="1:9" ht="59" x14ac:dyDescent="0.75">
      <c r="A26" s="18">
        <v>20</v>
      </c>
      <c r="B26" s="21" t="s">
        <v>1171</v>
      </c>
      <c r="C26" s="21" t="s">
        <v>942</v>
      </c>
      <c r="D26" s="21" t="s">
        <v>1172</v>
      </c>
      <c r="E26" s="20">
        <v>0</v>
      </c>
      <c r="F26" s="20">
        <v>1</v>
      </c>
      <c r="G26" s="20" t="s">
        <v>1</v>
      </c>
      <c r="H26" s="128"/>
      <c r="I26" s="20"/>
    </row>
    <row r="27" spans="1:9" x14ac:dyDescent="0.75">
      <c r="A27" s="18">
        <v>21</v>
      </c>
      <c r="B27" s="21" t="s">
        <v>1173</v>
      </c>
      <c r="C27" s="21" t="s">
        <v>54</v>
      </c>
      <c r="D27" s="21" t="s">
        <v>55</v>
      </c>
      <c r="E27" s="20">
        <v>0</v>
      </c>
      <c r="F27" s="20">
        <v>1</v>
      </c>
      <c r="G27" s="20" t="s">
        <v>2</v>
      </c>
      <c r="H27" s="128"/>
      <c r="I27" s="20"/>
    </row>
    <row r="28" spans="1:9" ht="59" x14ac:dyDescent="0.75">
      <c r="A28" s="18">
        <v>22</v>
      </c>
      <c r="B28" s="21" t="s">
        <v>1174</v>
      </c>
      <c r="C28" s="21" t="s">
        <v>1175</v>
      </c>
      <c r="D28" s="21" t="s">
        <v>56</v>
      </c>
      <c r="E28" s="20">
        <v>0</v>
      </c>
      <c r="F28" s="20">
        <v>1</v>
      </c>
      <c r="G28" s="20" t="s">
        <v>2</v>
      </c>
      <c r="H28" s="128"/>
      <c r="I28" s="20"/>
    </row>
    <row r="29" spans="1:9" ht="59" x14ac:dyDescent="0.75">
      <c r="A29" s="18">
        <v>23</v>
      </c>
      <c r="B29" s="21" t="s">
        <v>1176</v>
      </c>
      <c r="C29" s="21" t="s">
        <v>1177</v>
      </c>
      <c r="D29" s="21" t="s">
        <v>57</v>
      </c>
      <c r="E29" s="20">
        <v>0</v>
      </c>
      <c r="F29" s="20">
        <v>1</v>
      </c>
      <c r="G29" s="20" t="s">
        <v>2</v>
      </c>
      <c r="H29" s="128"/>
      <c r="I29" s="20"/>
    </row>
    <row r="30" spans="1:9" ht="59" x14ac:dyDescent="0.75">
      <c r="A30" s="18">
        <v>24</v>
      </c>
      <c r="B30" s="21" t="s">
        <v>1178</v>
      </c>
      <c r="C30" s="21" t="s">
        <v>58</v>
      </c>
      <c r="D30" s="21" t="s">
        <v>1179</v>
      </c>
      <c r="E30" s="20">
        <v>0</v>
      </c>
      <c r="F30" s="20">
        <v>1</v>
      </c>
      <c r="G30" s="20" t="s">
        <v>1</v>
      </c>
      <c r="H30" s="128"/>
      <c r="I30" s="20"/>
    </row>
    <row r="31" spans="1:9" ht="29.5" x14ac:dyDescent="0.75">
      <c r="A31" s="18">
        <v>25</v>
      </c>
      <c r="B31" s="21" t="s">
        <v>1180</v>
      </c>
      <c r="C31" s="21" t="s">
        <v>1181</v>
      </c>
      <c r="D31" s="21" t="s">
        <v>1182</v>
      </c>
      <c r="E31" s="20">
        <v>0</v>
      </c>
      <c r="F31" s="20">
        <v>1</v>
      </c>
      <c r="G31" s="20" t="s">
        <v>850</v>
      </c>
      <c r="H31" s="20"/>
      <c r="I31" s="20"/>
    </row>
    <row r="32" spans="1:9" ht="29.5" x14ac:dyDescent="0.75">
      <c r="A32" s="18">
        <v>26</v>
      </c>
      <c r="B32" s="21" t="s">
        <v>1183</v>
      </c>
      <c r="C32" s="21" t="s">
        <v>40</v>
      </c>
      <c r="D32" s="21" t="s">
        <v>41</v>
      </c>
      <c r="E32" s="20">
        <v>0</v>
      </c>
      <c r="F32" s="20">
        <v>1</v>
      </c>
      <c r="G32" s="20" t="s">
        <v>1</v>
      </c>
    </row>
    <row r="33" spans="1:9" x14ac:dyDescent="0.75">
      <c r="A33" s="18">
        <v>27</v>
      </c>
      <c r="B33" s="21" t="s">
        <v>1184</v>
      </c>
      <c r="C33" s="21" t="s">
        <v>42</v>
      </c>
      <c r="D33" s="21" t="s">
        <v>43</v>
      </c>
      <c r="E33" s="20">
        <v>0</v>
      </c>
      <c r="F33" s="20">
        <v>1</v>
      </c>
      <c r="G33" s="20" t="s">
        <v>1</v>
      </c>
    </row>
    <row r="34" spans="1:9" x14ac:dyDescent="0.75">
      <c r="A34" s="18">
        <v>28</v>
      </c>
      <c r="B34" s="21" t="s">
        <v>1185</v>
      </c>
      <c r="C34" s="21" t="s">
        <v>1186</v>
      </c>
      <c r="D34" s="21" t="s">
        <v>1186</v>
      </c>
      <c r="E34" s="20">
        <v>0</v>
      </c>
      <c r="F34" s="20">
        <v>1</v>
      </c>
      <c r="G34" s="20" t="s">
        <v>2</v>
      </c>
      <c r="H34" s="20"/>
      <c r="I34" s="20"/>
    </row>
    <row r="35" spans="1:9" x14ac:dyDescent="0.75">
      <c r="A35" s="18">
        <v>29</v>
      </c>
      <c r="B35" s="21" t="s">
        <v>1187</v>
      </c>
      <c r="C35" s="21" t="s">
        <v>1188</v>
      </c>
      <c r="D35" s="21" t="s">
        <v>1189</v>
      </c>
      <c r="E35" s="20">
        <v>0</v>
      </c>
      <c r="F35" s="20">
        <v>1</v>
      </c>
      <c r="G35" s="20" t="s">
        <v>1096</v>
      </c>
      <c r="H35" s="20"/>
      <c r="I35" s="20"/>
    </row>
    <row r="36" spans="1:9" ht="44.25" x14ac:dyDescent="0.75">
      <c r="A36" s="18">
        <v>30</v>
      </c>
      <c r="B36" s="21" t="s">
        <v>1190</v>
      </c>
      <c r="C36" s="21" t="s">
        <v>59</v>
      </c>
      <c r="D36" s="21" t="s">
        <v>1191</v>
      </c>
      <c r="E36" s="20">
        <v>0</v>
      </c>
      <c r="F36" s="20">
        <v>1</v>
      </c>
      <c r="G36" s="20" t="s">
        <v>1</v>
      </c>
      <c r="H36" s="20"/>
      <c r="I36" s="20"/>
    </row>
    <row r="37" spans="1:9" ht="29.5" x14ac:dyDescent="0.75">
      <c r="A37" s="18">
        <v>31</v>
      </c>
      <c r="B37" s="4" t="s">
        <v>1192</v>
      </c>
      <c r="C37" s="21" t="s">
        <v>1193</v>
      </c>
      <c r="D37" s="21" t="s">
        <v>1194</v>
      </c>
      <c r="E37" s="20">
        <v>0</v>
      </c>
      <c r="F37" s="20">
        <v>1</v>
      </c>
      <c r="G37" s="98" t="s">
        <v>946</v>
      </c>
    </row>
    <row r="38" spans="1:9" ht="29.5" x14ac:dyDescent="0.75">
      <c r="A38" s="18">
        <v>32</v>
      </c>
      <c r="B38" s="21" t="s">
        <v>1195</v>
      </c>
      <c r="C38" s="21" t="s">
        <v>60</v>
      </c>
      <c r="D38" s="21" t="s">
        <v>1196</v>
      </c>
      <c r="E38" s="20">
        <v>0</v>
      </c>
      <c r="F38" s="20">
        <v>5</v>
      </c>
      <c r="G38" s="20" t="s">
        <v>850</v>
      </c>
      <c r="H38" s="20"/>
      <c r="I38" s="20"/>
    </row>
    <row r="39" spans="1:9" ht="59" x14ac:dyDescent="0.75">
      <c r="A39" s="18">
        <v>33</v>
      </c>
      <c r="B39" s="21" t="s">
        <v>1197</v>
      </c>
      <c r="C39" s="21" t="s">
        <v>1198</v>
      </c>
      <c r="D39" s="4" t="s">
        <v>1199</v>
      </c>
      <c r="E39" s="20">
        <v>1</v>
      </c>
      <c r="F39" s="20">
        <v>1</v>
      </c>
      <c r="G39" s="20" t="s">
        <v>1</v>
      </c>
      <c r="H39" s="20"/>
      <c r="I39" s="20"/>
    </row>
    <row r="40" spans="1:9" x14ac:dyDescent="0.75">
      <c r="A40" s="18">
        <v>34</v>
      </c>
      <c r="B40" s="21" t="s">
        <v>1200</v>
      </c>
      <c r="C40" s="21" t="s">
        <v>1201</v>
      </c>
      <c r="D40" s="21" t="s">
        <v>1202</v>
      </c>
      <c r="E40" s="20">
        <v>0</v>
      </c>
      <c r="F40" s="20">
        <v>1</v>
      </c>
      <c r="G40" s="20" t="s">
        <v>1</v>
      </c>
      <c r="H40" s="20"/>
      <c r="I40" s="20"/>
    </row>
    <row r="41" spans="1:9" ht="88.5" x14ac:dyDescent="0.75">
      <c r="A41" s="18">
        <v>35</v>
      </c>
      <c r="B41" s="21" t="s">
        <v>1203</v>
      </c>
      <c r="C41" s="21" t="s">
        <v>1204</v>
      </c>
      <c r="D41" s="127" t="s">
        <v>1205</v>
      </c>
      <c r="E41" s="20">
        <v>0</v>
      </c>
      <c r="F41" s="20">
        <v>1</v>
      </c>
      <c r="G41" s="20" t="s">
        <v>1</v>
      </c>
      <c r="H41" s="128" t="s">
        <v>1169</v>
      </c>
      <c r="I41" s="20" t="s">
        <v>1170</v>
      </c>
    </row>
    <row r="42" spans="1:9" ht="59" x14ac:dyDescent="0.75">
      <c r="A42" s="18">
        <v>36</v>
      </c>
      <c r="B42" s="21" t="s">
        <v>1206</v>
      </c>
      <c r="C42" s="21" t="s">
        <v>942</v>
      </c>
      <c r="D42" s="21" t="s">
        <v>1172</v>
      </c>
      <c r="E42" s="20">
        <v>0</v>
      </c>
      <c r="F42" s="20">
        <v>1</v>
      </c>
      <c r="G42" s="20" t="s">
        <v>1</v>
      </c>
      <c r="H42" s="128"/>
      <c r="I42" s="20"/>
    </row>
    <row r="43" spans="1:9" x14ac:dyDescent="0.75">
      <c r="A43" s="18">
        <v>37</v>
      </c>
      <c r="B43" s="21" t="s">
        <v>1207</v>
      </c>
      <c r="C43" s="21" t="s">
        <v>54</v>
      </c>
      <c r="D43" s="21" t="s">
        <v>55</v>
      </c>
      <c r="E43" s="20">
        <v>0</v>
      </c>
      <c r="F43" s="20">
        <v>1</v>
      </c>
      <c r="G43" s="20" t="s">
        <v>2</v>
      </c>
      <c r="H43" s="128"/>
      <c r="I43" s="20"/>
    </row>
    <row r="44" spans="1:9" ht="59" x14ac:dyDescent="0.75">
      <c r="A44" s="18">
        <v>38</v>
      </c>
      <c r="B44" s="21" t="s">
        <v>1208</v>
      </c>
      <c r="C44" s="21" t="s">
        <v>1175</v>
      </c>
      <c r="D44" s="21" t="s">
        <v>56</v>
      </c>
      <c r="E44" s="20">
        <v>0</v>
      </c>
      <c r="F44" s="20">
        <v>1</v>
      </c>
      <c r="G44" s="20" t="s">
        <v>2</v>
      </c>
      <c r="H44" s="128"/>
      <c r="I44" s="20"/>
    </row>
    <row r="45" spans="1:9" ht="59" x14ac:dyDescent="0.75">
      <c r="A45" s="18">
        <v>39</v>
      </c>
      <c r="B45" s="21" t="s">
        <v>1209</v>
      </c>
      <c r="C45" s="21" t="s">
        <v>1177</v>
      </c>
      <c r="D45" s="21" t="s">
        <v>57</v>
      </c>
      <c r="E45" s="20">
        <v>0</v>
      </c>
      <c r="F45" s="20">
        <v>1</v>
      </c>
      <c r="G45" s="20" t="s">
        <v>2</v>
      </c>
      <c r="H45" s="128"/>
      <c r="I45" s="20"/>
    </row>
    <row r="46" spans="1:9" ht="59" x14ac:dyDescent="0.75">
      <c r="A46" s="18">
        <v>40</v>
      </c>
      <c r="B46" s="21" t="s">
        <v>1210</v>
      </c>
      <c r="C46" s="21" t="s">
        <v>58</v>
      </c>
      <c r="D46" s="21" t="s">
        <v>1179</v>
      </c>
      <c r="E46" s="20">
        <v>0</v>
      </c>
      <c r="F46" s="20">
        <v>1</v>
      </c>
      <c r="G46" s="20" t="s">
        <v>1</v>
      </c>
      <c r="H46" s="128"/>
      <c r="I46" s="20"/>
    </row>
    <row r="47" spans="1:9" x14ac:dyDescent="0.75">
      <c r="A47" s="18">
        <v>41</v>
      </c>
      <c r="B47" s="21" t="s">
        <v>1211</v>
      </c>
      <c r="C47" s="21" t="s">
        <v>1181</v>
      </c>
      <c r="D47" s="21" t="s">
        <v>1212</v>
      </c>
      <c r="E47" s="20">
        <v>1</v>
      </c>
      <c r="F47" s="20">
        <v>1</v>
      </c>
      <c r="G47" s="20" t="s">
        <v>850</v>
      </c>
      <c r="H47" s="20"/>
      <c r="I47" s="20"/>
    </row>
    <row r="48" spans="1:9" ht="29.5" x14ac:dyDescent="0.75">
      <c r="A48" s="18">
        <v>42</v>
      </c>
      <c r="B48" s="21" t="s">
        <v>1213</v>
      </c>
      <c r="C48" s="21" t="s">
        <v>40</v>
      </c>
      <c r="D48" s="21" t="s">
        <v>41</v>
      </c>
      <c r="E48" s="20">
        <v>0</v>
      </c>
      <c r="F48" s="20">
        <v>1</v>
      </c>
      <c r="G48" s="20" t="s">
        <v>1</v>
      </c>
    </row>
    <row r="49" spans="1:9" x14ac:dyDescent="0.75">
      <c r="A49" s="18">
        <v>43</v>
      </c>
      <c r="B49" s="21" t="s">
        <v>1214</v>
      </c>
      <c r="C49" s="21" t="s">
        <v>42</v>
      </c>
      <c r="D49" s="21" t="s">
        <v>43</v>
      </c>
      <c r="E49" s="20">
        <v>0</v>
      </c>
      <c r="F49" s="20">
        <v>1</v>
      </c>
      <c r="G49" s="20" t="s">
        <v>1</v>
      </c>
    </row>
    <row r="50" spans="1:9" x14ac:dyDescent="0.75">
      <c r="A50" s="18">
        <v>44</v>
      </c>
      <c r="B50" s="21" t="s">
        <v>1215</v>
      </c>
      <c r="C50" s="21" t="s">
        <v>1186</v>
      </c>
      <c r="D50" s="21" t="s">
        <v>1186</v>
      </c>
      <c r="E50" s="20">
        <v>0</v>
      </c>
      <c r="F50" s="20">
        <v>1</v>
      </c>
      <c r="G50" s="20" t="s">
        <v>1</v>
      </c>
      <c r="H50" s="20"/>
      <c r="I50" s="111"/>
    </row>
    <row r="51" spans="1:9" x14ac:dyDescent="0.75">
      <c r="A51" s="18">
        <v>45</v>
      </c>
      <c r="B51" s="21" t="s">
        <v>1216</v>
      </c>
      <c r="C51" s="21" t="s">
        <v>1188</v>
      </c>
      <c r="D51" s="21" t="s">
        <v>1212</v>
      </c>
      <c r="E51" s="20">
        <v>0</v>
      </c>
      <c r="F51" s="20">
        <v>1</v>
      </c>
      <c r="G51" s="20" t="s">
        <v>1096</v>
      </c>
      <c r="H51" s="20"/>
      <c r="I51" s="20"/>
    </row>
    <row r="52" spans="1:9" ht="29.5" x14ac:dyDescent="0.75">
      <c r="A52" s="18">
        <v>46</v>
      </c>
      <c r="B52" s="21" t="s">
        <v>1217</v>
      </c>
      <c r="C52" s="21" t="s">
        <v>1218</v>
      </c>
      <c r="D52" s="21" t="s">
        <v>1219</v>
      </c>
      <c r="E52" s="20">
        <v>0</v>
      </c>
      <c r="F52" s="20">
        <v>1</v>
      </c>
      <c r="G52" s="20" t="s">
        <v>1</v>
      </c>
      <c r="H52" s="20"/>
      <c r="I52" s="20"/>
    </row>
    <row r="53" spans="1:9" ht="29.5" x14ac:dyDescent="0.75">
      <c r="A53" s="18">
        <v>47</v>
      </c>
      <c r="B53" s="4" t="s">
        <v>1220</v>
      </c>
      <c r="C53" s="21" t="s">
        <v>1193</v>
      </c>
      <c r="D53" s="21" t="s">
        <v>62</v>
      </c>
      <c r="E53" s="20">
        <v>0</v>
      </c>
      <c r="F53" s="20">
        <v>1</v>
      </c>
      <c r="G53" s="98" t="s">
        <v>946</v>
      </c>
    </row>
    <row r="54" spans="1:9" x14ac:dyDescent="0.75">
      <c r="A54" s="18">
        <v>48</v>
      </c>
      <c r="B54" s="21" t="s">
        <v>1221</v>
      </c>
      <c r="C54" s="21" t="s">
        <v>63</v>
      </c>
      <c r="D54" s="20" t="s">
        <v>1222</v>
      </c>
      <c r="E54" s="20">
        <v>0</v>
      </c>
      <c r="F54" s="20">
        <v>1</v>
      </c>
      <c r="G54" s="20" t="s">
        <v>850</v>
      </c>
      <c r="H54" s="20"/>
      <c r="I54" s="20"/>
    </row>
    <row r="55" spans="1:9" ht="29.5" x14ac:dyDescent="0.75">
      <c r="A55" s="18">
        <v>49</v>
      </c>
      <c r="B55" s="21" t="s">
        <v>1223</v>
      </c>
      <c r="C55" s="21" t="s">
        <v>1224</v>
      </c>
      <c r="D55" s="21" t="s">
        <v>1225</v>
      </c>
      <c r="E55" s="20">
        <v>0</v>
      </c>
      <c r="F55" s="20">
        <v>1</v>
      </c>
      <c r="G55" s="20" t="s">
        <v>1</v>
      </c>
      <c r="H55" s="20"/>
      <c r="I55" s="20"/>
    </row>
    <row r="56" spans="1:9" x14ac:dyDescent="0.75">
      <c r="A56" s="18">
        <v>50</v>
      </c>
      <c r="B56" s="21" t="s">
        <v>1226</v>
      </c>
      <c r="C56" s="21" t="s">
        <v>64</v>
      </c>
      <c r="D56" s="21" t="s">
        <v>65</v>
      </c>
      <c r="E56" s="20">
        <v>0</v>
      </c>
      <c r="F56" s="20">
        <v>1</v>
      </c>
      <c r="G56" s="20" t="s">
        <v>2</v>
      </c>
      <c r="H56" s="20"/>
      <c r="I56" s="20"/>
    </row>
    <row r="57" spans="1:9" x14ac:dyDescent="0.75">
      <c r="A57" s="18">
        <v>51</v>
      </c>
      <c r="B57" s="21" t="s">
        <v>1227</v>
      </c>
      <c r="C57" s="21" t="s">
        <v>66</v>
      </c>
      <c r="D57" s="21" t="s">
        <v>67</v>
      </c>
      <c r="E57" s="20">
        <v>0</v>
      </c>
      <c r="F57" s="20">
        <v>1</v>
      </c>
      <c r="G57" s="20" t="s">
        <v>2</v>
      </c>
      <c r="H57" s="20"/>
      <c r="I57" s="20"/>
    </row>
    <row r="58" spans="1:9" x14ac:dyDescent="0.75">
      <c r="A58" s="18">
        <v>52</v>
      </c>
      <c r="B58" s="21" t="s">
        <v>1228</v>
      </c>
      <c r="C58" s="21" t="s">
        <v>1229</v>
      </c>
      <c r="D58" s="21" t="s">
        <v>1230</v>
      </c>
      <c r="E58" s="20">
        <v>0</v>
      </c>
      <c r="F58" s="20">
        <v>1</v>
      </c>
      <c r="G58" s="20" t="s">
        <v>850</v>
      </c>
      <c r="H58" s="20"/>
      <c r="I58" s="20"/>
    </row>
    <row r="59" spans="1:9" x14ac:dyDescent="0.75">
      <c r="A59" s="18">
        <v>53</v>
      </c>
      <c r="B59" s="21" t="s">
        <v>1231</v>
      </c>
      <c r="C59" s="21" t="s">
        <v>68</v>
      </c>
      <c r="D59" s="21" t="s">
        <v>1232</v>
      </c>
      <c r="E59" s="20">
        <v>0</v>
      </c>
      <c r="F59" s="20">
        <v>1</v>
      </c>
      <c r="G59" s="20" t="s">
        <v>1</v>
      </c>
      <c r="H59" s="20"/>
      <c r="I59" s="20"/>
    </row>
    <row r="60" spans="1:9" ht="29.5" x14ac:dyDescent="0.75">
      <c r="A60" s="18">
        <v>54</v>
      </c>
      <c r="B60" s="21" t="s">
        <v>1233</v>
      </c>
      <c r="C60" s="21" t="s">
        <v>1234</v>
      </c>
      <c r="D60" s="21" t="s">
        <v>69</v>
      </c>
      <c r="E60" s="20">
        <v>0</v>
      </c>
      <c r="F60" s="20">
        <v>2</v>
      </c>
      <c r="G60" s="20" t="s">
        <v>1235</v>
      </c>
      <c r="H60" s="20"/>
      <c r="I60" s="20"/>
    </row>
    <row r="61" spans="1:9" x14ac:dyDescent="0.75">
      <c r="A61" s="18">
        <v>55</v>
      </c>
      <c r="B61" s="21" t="s">
        <v>1236</v>
      </c>
      <c r="C61" s="21" t="s">
        <v>1237</v>
      </c>
      <c r="D61" s="21" t="s">
        <v>70</v>
      </c>
      <c r="E61" s="20">
        <v>0</v>
      </c>
      <c r="F61" s="20">
        <v>2</v>
      </c>
      <c r="G61" s="20" t="s">
        <v>1235</v>
      </c>
      <c r="H61" s="20"/>
      <c r="I61" s="20"/>
    </row>
    <row r="62" spans="1:9" x14ac:dyDescent="0.75">
      <c r="A62" s="18">
        <v>56</v>
      </c>
      <c r="B62" s="21" t="s">
        <v>964</v>
      </c>
      <c r="C62" s="21" t="s">
        <v>35</v>
      </c>
      <c r="D62" s="21" t="s">
        <v>35</v>
      </c>
      <c r="E62" s="20">
        <v>0</v>
      </c>
      <c r="F62" s="20">
        <v>1</v>
      </c>
      <c r="G62" s="20" t="s">
        <v>2</v>
      </c>
      <c r="H62" s="20"/>
      <c r="I62" s="20"/>
    </row>
    <row r="63" spans="1:9" x14ac:dyDescent="0.75">
      <c r="B63" s="21"/>
      <c r="C63" s="21"/>
      <c r="D63" s="21"/>
      <c r="E63" s="20"/>
      <c r="F63" s="20"/>
      <c r="G63" s="20"/>
      <c r="H63" s="20"/>
      <c r="I63" s="20"/>
    </row>
    <row r="64" spans="1:9" x14ac:dyDescent="0.75">
      <c r="B64" s="21"/>
      <c r="C64" s="21"/>
      <c r="D64" s="20"/>
      <c r="E64" s="20"/>
      <c r="F64" s="20"/>
      <c r="G64" s="20"/>
      <c r="H64" s="20"/>
      <c r="I64" s="20"/>
    </row>
    <row r="65" spans="2:7" ht="18.5" x14ac:dyDescent="0.75">
      <c r="B65" s="14"/>
      <c r="C65" s="15"/>
      <c r="D65" s="14"/>
      <c r="E65" s="14"/>
      <c r="F65" s="15"/>
      <c r="G65" s="14"/>
    </row>
    <row r="66" spans="2:7" ht="18.5" x14ac:dyDescent="0.75">
      <c r="B66" s="14"/>
      <c r="C66" s="15"/>
      <c r="D66" s="14"/>
      <c r="E66" s="14"/>
      <c r="F66" s="15"/>
      <c r="G66" s="14"/>
    </row>
    <row r="67" spans="2:7" ht="18.5" x14ac:dyDescent="0.75">
      <c r="B67" s="14"/>
      <c r="C67" s="15"/>
      <c r="D67" s="14"/>
      <c r="E67" s="14"/>
      <c r="F67" s="15"/>
      <c r="G67" s="14"/>
    </row>
    <row r="68" spans="2:7" ht="18.5" x14ac:dyDescent="0.75">
      <c r="B68" s="14"/>
      <c r="C68" s="15"/>
      <c r="D68" s="14"/>
      <c r="E68" s="14"/>
      <c r="F68" s="15"/>
      <c r="G68" s="14"/>
    </row>
    <row r="69" spans="2:7" ht="18.5" x14ac:dyDescent="0.75">
      <c r="B69" s="14"/>
      <c r="C69" s="16"/>
      <c r="D69" s="16"/>
      <c r="E69" s="14"/>
      <c r="F69" s="15"/>
      <c r="G69" s="16"/>
    </row>
    <row r="70" spans="2:7" ht="18.5" x14ac:dyDescent="0.75">
      <c r="B70" s="14"/>
      <c r="C70" s="14"/>
      <c r="D70" s="14"/>
      <c r="E70" s="14"/>
      <c r="F70" s="14"/>
      <c r="G70" s="14"/>
    </row>
    <row r="71" spans="2:7" ht="18.5" x14ac:dyDescent="0.75">
      <c r="B71" s="14"/>
      <c r="C71" s="14"/>
      <c r="D71" s="14"/>
      <c r="E71" s="14"/>
      <c r="F71" s="14"/>
      <c r="G71" s="14"/>
    </row>
    <row r="72" spans="2:7" ht="18.5" x14ac:dyDescent="0.75">
      <c r="B72" s="14"/>
      <c r="C72" s="15"/>
      <c r="D72" s="14"/>
      <c r="E72" s="14"/>
      <c r="F72" s="14"/>
      <c r="G72" s="14"/>
    </row>
    <row r="73" spans="2:7" ht="18.5" x14ac:dyDescent="0.75">
      <c r="B73" s="14"/>
      <c r="C73" s="15"/>
      <c r="D73" s="14"/>
      <c r="E73" s="14"/>
      <c r="F73" s="15"/>
      <c r="G73" s="14"/>
    </row>
    <row r="74" spans="2:7" ht="18.5" x14ac:dyDescent="0.75">
      <c r="B74" s="14"/>
      <c r="C74" s="15"/>
      <c r="D74" s="14"/>
      <c r="E74" s="14"/>
      <c r="F74" s="14"/>
      <c r="G74" s="14"/>
    </row>
    <row r="75" spans="2:7" ht="18.5" x14ac:dyDescent="0.75">
      <c r="B75" s="14"/>
      <c r="C75" s="15"/>
      <c r="D75" s="14"/>
      <c r="E75" s="14"/>
      <c r="F75" s="15"/>
      <c r="G75" s="14"/>
    </row>
    <row r="76" spans="2:7" ht="18.5" x14ac:dyDescent="0.75">
      <c r="B76" s="14"/>
      <c r="C76" s="15"/>
      <c r="D76" s="14"/>
      <c r="E76" s="14"/>
      <c r="F76" s="15"/>
      <c r="G76" s="14"/>
    </row>
    <row r="77" spans="2:7" s="130" customFormat="1" ht="12.25" x14ac:dyDescent="0.65">
      <c r="B77" s="129"/>
      <c r="C77" s="129"/>
      <c r="D77" s="129"/>
      <c r="E77" s="129"/>
      <c r="F77" s="129"/>
      <c r="G77" s="129"/>
    </row>
    <row r="78" spans="2:7" s="130" customFormat="1" ht="12.25" x14ac:dyDescent="0.65">
      <c r="B78" s="129"/>
      <c r="C78" s="129"/>
      <c r="D78" s="129"/>
      <c r="E78" s="129"/>
      <c r="F78" s="129"/>
      <c r="G78" s="129"/>
    </row>
    <row r="79" spans="2:7" s="130" customFormat="1" ht="12.25" x14ac:dyDescent="0.65">
      <c r="B79" s="129"/>
      <c r="C79" s="129"/>
      <c r="D79" s="129"/>
      <c r="E79" s="129"/>
      <c r="F79" s="129"/>
      <c r="G79" s="129"/>
    </row>
    <row r="80" spans="2:7" s="130" customFormat="1" ht="12.25" x14ac:dyDescent="0.65">
      <c r="B80" s="129"/>
      <c r="C80" s="129"/>
      <c r="D80" s="129"/>
      <c r="E80" s="129"/>
      <c r="F80" s="129"/>
      <c r="G80" s="129"/>
    </row>
    <row r="81" spans="2:8" s="130" customFormat="1" ht="45.75" customHeight="1" x14ac:dyDescent="0.65">
      <c r="B81" s="129"/>
      <c r="C81" s="129"/>
      <c r="D81" s="129"/>
      <c r="E81" s="129"/>
      <c r="F81" s="129"/>
      <c r="G81" s="129"/>
    </row>
    <row r="82" spans="2:8" ht="23.5" customHeight="1" x14ac:dyDescent="0.75">
      <c r="B82" s="14"/>
      <c r="C82" s="15"/>
      <c r="D82" s="14"/>
      <c r="E82" s="14"/>
      <c r="F82" s="15"/>
      <c r="G82" s="14"/>
    </row>
    <row r="83" spans="2:8" ht="23.5" customHeight="1" x14ac:dyDescent="0.75">
      <c r="B83" s="14"/>
      <c r="C83" s="15"/>
      <c r="D83" s="14"/>
      <c r="E83" s="14"/>
      <c r="F83" s="15"/>
      <c r="G83" s="14"/>
    </row>
    <row r="84" spans="2:8" ht="23.5" customHeight="1" x14ac:dyDescent="0.75">
      <c r="B84" s="14"/>
      <c r="C84" s="14"/>
      <c r="D84" s="14"/>
      <c r="E84" s="14"/>
      <c r="F84" s="14"/>
      <c r="G84" s="14"/>
    </row>
    <row r="85" spans="2:8" ht="23.5" customHeight="1" x14ac:dyDescent="0.75">
      <c r="B85" s="14"/>
      <c r="C85" s="15"/>
      <c r="D85" s="14"/>
      <c r="E85" s="14"/>
      <c r="F85" s="15"/>
      <c r="G85" s="14"/>
    </row>
    <row r="86" spans="2:8" ht="23.5" customHeight="1" x14ac:dyDescent="0.75">
      <c r="B86" s="14"/>
      <c r="C86" s="15"/>
      <c r="D86" s="14"/>
      <c r="E86" s="14"/>
      <c r="F86" s="15"/>
      <c r="G86" s="14"/>
    </row>
    <row r="87" spans="2:8" ht="23.5" customHeight="1" x14ac:dyDescent="0.75">
      <c r="B87" s="14"/>
      <c r="C87" s="15"/>
      <c r="D87" s="14"/>
      <c r="E87" s="14"/>
      <c r="F87" s="15"/>
      <c r="G87" s="14"/>
    </row>
    <row r="88" spans="2:8" ht="18.5" x14ac:dyDescent="0.75">
      <c r="B88" s="14"/>
      <c r="C88" s="15"/>
      <c r="D88" s="14"/>
      <c r="E88" s="14"/>
      <c r="F88" s="15"/>
      <c r="G88" s="14"/>
    </row>
    <row r="89" spans="2:8" ht="18.5" x14ac:dyDescent="0.75">
      <c r="B89" s="14"/>
      <c r="C89" s="16"/>
      <c r="D89" s="16"/>
      <c r="E89" s="14"/>
      <c r="F89" s="16"/>
      <c r="G89" s="16"/>
    </row>
    <row r="90" spans="2:8" ht="18.5" x14ac:dyDescent="0.75">
      <c r="B90" s="14"/>
      <c r="C90" s="16"/>
      <c r="D90" s="16"/>
      <c r="E90" s="14"/>
      <c r="F90" s="16"/>
      <c r="G90" s="16"/>
    </row>
    <row r="91" spans="2:8" s="130" customFormat="1" ht="12.25" x14ac:dyDescent="0.65">
      <c r="B91" s="129"/>
      <c r="C91" s="129"/>
      <c r="D91" s="131"/>
      <c r="E91" s="129"/>
      <c r="F91" s="129"/>
      <c r="G91" s="131"/>
    </row>
    <row r="92" spans="2:8" s="133" customFormat="1" ht="11" x14ac:dyDescent="0.6">
      <c r="B92" s="132"/>
      <c r="C92" s="132"/>
      <c r="D92" s="132"/>
      <c r="E92" s="132"/>
      <c r="F92" s="132"/>
      <c r="G92" s="132"/>
    </row>
    <row r="93" spans="2:8" s="130" customFormat="1" ht="12.25" x14ac:dyDescent="0.65">
      <c r="B93" s="129"/>
      <c r="C93" s="129"/>
      <c r="D93" s="129"/>
      <c r="E93" s="129"/>
      <c r="F93" s="129"/>
      <c r="G93" s="129"/>
      <c r="H93" s="134"/>
    </row>
    <row r="94" spans="2:8" s="130" customFormat="1" ht="12.25" x14ac:dyDescent="0.65">
      <c r="B94" s="129"/>
      <c r="C94" s="129"/>
      <c r="D94" s="129"/>
      <c r="E94" s="129"/>
      <c r="F94" s="129"/>
      <c r="G94" s="129"/>
    </row>
    <row r="95" spans="2:8" ht="18.5" x14ac:dyDescent="0.75">
      <c r="B95" s="14"/>
      <c r="C95" s="15"/>
      <c r="D95" s="14"/>
      <c r="E95" s="14"/>
      <c r="F95" s="14"/>
      <c r="G95" s="14"/>
    </row>
    <row r="96" spans="2:8" ht="18.5" x14ac:dyDescent="0.75">
      <c r="B96" s="14"/>
      <c r="C96" s="15"/>
      <c r="D96" s="14"/>
      <c r="E96" s="14"/>
      <c r="F96" s="14"/>
      <c r="G96" s="14"/>
    </row>
    <row r="97" spans="2:7" ht="18.5" x14ac:dyDescent="0.75">
      <c r="B97" s="14"/>
      <c r="C97" s="15"/>
      <c r="D97" s="14"/>
      <c r="E97" s="14"/>
      <c r="F97" s="15"/>
      <c r="G97" s="14"/>
    </row>
    <row r="98" spans="2:7" ht="18.5" x14ac:dyDescent="0.75">
      <c r="B98" s="14"/>
      <c r="C98" s="15"/>
      <c r="D98" s="14"/>
      <c r="E98" s="14"/>
      <c r="F98" s="15"/>
      <c r="G98" s="14"/>
    </row>
    <row r="99" spans="2:7" ht="18.5" x14ac:dyDescent="0.75">
      <c r="B99" s="15"/>
      <c r="C99" s="15"/>
      <c r="D99" s="14"/>
      <c r="E99" s="15"/>
      <c r="F99" s="14"/>
      <c r="G99" s="14"/>
    </row>
    <row r="100" spans="2:7" ht="18.5" x14ac:dyDescent="0.75">
      <c r="B100" s="14"/>
      <c r="C100" s="15"/>
      <c r="D100" s="14"/>
      <c r="E100" s="14"/>
      <c r="F100" s="14"/>
      <c r="G100" s="14"/>
    </row>
    <row r="101" spans="2:7" ht="18.5" x14ac:dyDescent="0.75">
      <c r="B101" s="14"/>
      <c r="C101" s="15"/>
      <c r="D101" s="14"/>
      <c r="E101" s="14"/>
      <c r="F101" s="15"/>
      <c r="G101" s="14"/>
    </row>
    <row r="102" spans="2:7" ht="18.5" x14ac:dyDescent="0.75">
      <c r="B102" s="14"/>
      <c r="C102" s="15"/>
      <c r="D102" s="14"/>
      <c r="E102" s="14"/>
      <c r="F102" s="15"/>
      <c r="G102" s="14"/>
    </row>
    <row r="103" spans="2:7" ht="18.5" x14ac:dyDescent="0.75">
      <c r="B103" s="14"/>
      <c r="C103" s="15"/>
      <c r="D103" s="14"/>
      <c r="E103" s="14"/>
      <c r="F103" s="15"/>
      <c r="G103" s="14"/>
    </row>
    <row r="104" spans="2:7" ht="18.5" x14ac:dyDescent="0.75">
      <c r="B104" s="14"/>
      <c r="C104" s="15"/>
      <c r="D104" s="14"/>
      <c r="E104" s="14"/>
      <c r="F104" s="15"/>
      <c r="G104" s="14"/>
    </row>
    <row r="105" spans="2:7" ht="18.5" x14ac:dyDescent="0.75">
      <c r="B105" s="14"/>
      <c r="C105" s="15"/>
      <c r="D105" s="14"/>
      <c r="E105" s="14"/>
      <c r="F105" s="15"/>
      <c r="G105" s="14"/>
    </row>
    <row r="106" spans="2:7" ht="18.5" x14ac:dyDescent="0.75">
      <c r="B106" s="15"/>
      <c r="C106" s="15"/>
      <c r="D106" s="14"/>
      <c r="E106" s="15"/>
      <c r="F106" s="15"/>
      <c r="G106" s="14"/>
    </row>
    <row r="107" spans="2:7" ht="18.5" x14ac:dyDescent="0.75">
      <c r="B107" s="15"/>
      <c r="C107" s="15"/>
      <c r="D107" s="14"/>
      <c r="E107" s="14"/>
      <c r="F107" s="15"/>
      <c r="G107" s="14"/>
    </row>
  </sheetData>
  <autoFilter ref="A5:I62" xr:uid="{4F74B7C0-0340-49A6-ADA9-451D69ACDDD8}">
    <filterColumn colId="7" showButton="0"/>
  </autoFilter>
  <mergeCells count="1">
    <mergeCell ref="H5:I5"/>
  </mergeCells>
  <hyperlinks>
    <hyperlink ref="H41" r:id="rId1" xr:uid="{A16E479E-DA13-4EFE-95D0-4CC03F1FED2E}"/>
    <hyperlink ref="H25" r:id="rId2" xr:uid="{3E3E949D-0410-48B9-9F45-9ABAE0E346FE}"/>
  </hyperlinks>
  <pageMargins left="0.7" right="0.7" top="0.75" bottom="0.75" header="0.3" footer="0.3"/>
  <pageSetup paperSize="9" orientation="portrait" r:id="rId3"/>
  <legacy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317640-35C2-48FE-9A08-71489972B47B}">
  <sheetPr codeName="Foglio12"/>
  <dimension ref="A1:M102"/>
  <sheetViews>
    <sheetView topLeftCell="A2" workbookViewId="0">
      <selection activeCell="D55" sqref="D55"/>
    </sheetView>
  </sheetViews>
  <sheetFormatPr defaultRowHeight="14.75" x14ac:dyDescent="0.75"/>
  <cols>
    <col min="1" max="2" width="8.7265625" style="18"/>
    <col min="3" max="3" width="51.953125" style="18" customWidth="1"/>
    <col min="4" max="4" width="101" style="18" customWidth="1"/>
    <col min="5" max="5" width="24.81640625" style="18" customWidth="1"/>
    <col min="6" max="6" width="16.1328125" style="18" customWidth="1"/>
    <col min="7" max="7" width="10.76953125" style="18" customWidth="1"/>
    <col min="8" max="8" width="45.26953125" style="18" customWidth="1"/>
    <col min="9" max="9" width="40.1328125" style="19" customWidth="1"/>
    <col min="10" max="10" width="26.6328125" style="19" customWidth="1"/>
    <col min="11" max="11" width="48.54296875" style="19" customWidth="1"/>
    <col min="12" max="12" width="53.36328125" style="18" customWidth="1"/>
    <col min="13" max="13" width="51.5" style="18" customWidth="1"/>
    <col min="14" max="16384" width="8.7265625" style="18"/>
  </cols>
  <sheetData>
    <row r="1" spans="1:13" ht="15.5" thickBot="1" x14ac:dyDescent="0.9">
      <c r="C1" s="17" t="str">
        <f>'Rad-1'!B1</f>
        <v>canonical</v>
      </c>
      <c r="D1" s="89" t="s">
        <v>11</v>
      </c>
      <c r="E1" s="90"/>
      <c r="F1" s="93" t="s">
        <v>15</v>
      </c>
      <c r="M1" s="18" t="s">
        <v>893</v>
      </c>
    </row>
    <row r="2" spans="1:13" ht="15.5" thickBot="1" x14ac:dyDescent="0.9">
      <c r="C2" s="106" t="str">
        <f>'Rad-1'!B2</f>
        <v>http://hl7.eu/fhir/ig/pcsp</v>
      </c>
      <c r="D2" s="5" t="s">
        <v>894</v>
      </c>
      <c r="E2" s="5"/>
      <c r="F2" s="18" t="s">
        <v>14</v>
      </c>
      <c r="M2" s="18" t="str">
        <f>CONCATENATE("Mapping: ",E2)</f>
        <v xml:space="preserve">Mapping: </v>
      </c>
    </row>
    <row r="3" spans="1:13" ht="15.5" thickBot="1" x14ac:dyDescent="0.9">
      <c r="C3" s="17" t="str">
        <f>'Rad-1'!B3</f>
        <v>Publisher</v>
      </c>
      <c r="D3" s="10"/>
      <c r="E3" s="94"/>
      <c r="M3" s="18" t="str">
        <f>CONCATENATE("Id: ",E2)</f>
        <v xml:space="preserve">Id: </v>
      </c>
    </row>
    <row r="4" spans="1:13" ht="15.5" thickBot="1" x14ac:dyDescent="0.9">
      <c r="C4" s="106" t="str">
        <f>'Rad-1'!B4</f>
        <v>PanCareSurPass project</v>
      </c>
      <c r="D4" s="11"/>
      <c r="E4" s="96"/>
      <c r="M4" s="18" t="str">
        <f>CONCATENATE("Title: """,D2,"""")</f>
        <v>Title: "FHIR"</v>
      </c>
    </row>
    <row r="5" spans="1:13" x14ac:dyDescent="0.75">
      <c r="M5" s="18" t="str">
        <f>CONCATENATE("Source: ",C2,"/",C7)</f>
        <v>Source: http://hl7.eu/fhir/ig/pcsp/Radiotherapy</v>
      </c>
    </row>
    <row r="6" spans="1:13" x14ac:dyDescent="0.75">
      <c r="D6" s="18" t="s">
        <v>896</v>
      </c>
      <c r="M6" s="18" t="str">
        <f>CONCATENATE("Target: """,D4,"""")</f>
        <v>Target: ""</v>
      </c>
    </row>
    <row r="7" spans="1:13" ht="59" x14ac:dyDescent="0.75">
      <c r="A7" s="20">
        <v>0</v>
      </c>
      <c r="B7" s="20">
        <f>'Rad-1'!A6</f>
        <v>0</v>
      </c>
      <c r="C7" s="98" t="str">
        <f>'Rad-1'!B6</f>
        <v>Radiotherapy</v>
      </c>
      <c r="D7" s="98" t="s">
        <v>1238</v>
      </c>
      <c r="G7" s="18" t="b">
        <f>IF(C7&gt;"",TRUE,FALSE)</f>
        <v>1</v>
      </c>
      <c r="H7" s="19" t="str">
        <f>IF(G7,CONCATENATE("* differential.element[",$B7,"].mapping[",$A7,"].identity = """,$F$1,""""),"")</f>
        <v>* differential.element[0].mapping[0].identity = "fhir"</v>
      </c>
      <c r="I7" s="19" t="str">
        <f>IF(G7,CONCATENATE("* differential.element[",$B7,"].mapping[",$A7,"].map = """,D7,""""),"")</f>
        <v>* differential.element[0].mapping[0].map = "Procedure.conformsTo('http://hl7.eu/fhir/ig/pcsp/StructureDefinition/Procedure-radiotheraphy-eu-pcsp')"</v>
      </c>
      <c r="J7" s="19" t="str">
        <f>IF(E7&gt;"",CONCATENATE("* differential.element[",$B7,"].mapping[",$A7,"].comment = """,E7,""""),"")</f>
        <v/>
      </c>
      <c r="L7" s="18" t="s">
        <v>897</v>
      </c>
      <c r="M7" s="18" t="s">
        <v>893</v>
      </c>
    </row>
    <row r="8" spans="1:13" ht="44.25" x14ac:dyDescent="0.75">
      <c r="A8" s="20">
        <v>0</v>
      </c>
      <c r="B8" s="20">
        <f>'Rad-1'!A7</f>
        <v>1</v>
      </c>
      <c r="C8" s="20" t="str">
        <f>'Rad-1'!B7</f>
        <v>relatedDiagnosis</v>
      </c>
      <c r="D8" s="20" t="s">
        <v>1114</v>
      </c>
      <c r="E8" s="18" t="s">
        <v>898</v>
      </c>
      <c r="G8" s="18" t="b">
        <f>IF(D8&gt;"",TRUE,FALSE)</f>
        <v>1</v>
      </c>
      <c r="H8" s="19" t="str">
        <f>IF(G8,CONCATENATE("* differential.element[",$B8,"].mapping[",$A8,"].identity = """,$F$1,""""),"")</f>
        <v>* differential.element[1].mapping[0].identity = "fhir"</v>
      </c>
      <c r="I8" s="19" t="str">
        <f>IF(G8,CONCATENATE("* differential.element[",$B8,"].mapping[",$A8,"].map = """,D8,""""),"")</f>
        <v>* differential.element[1].mapping[0].map = ".reasonReference"</v>
      </c>
      <c r="J8" s="19" t="str">
        <f>IF(E8&gt;"",CONCATENATE("* differential.element[",$B8,"].mapping[",$A8,"].comment = """,E8,""""),"")</f>
        <v>* differential.element[1].mapping[0].comment = "note"</v>
      </c>
      <c r="M8" s="18" t="str">
        <f t="shared" ref="M8:M28" si="0">CONCATENATE("* ",C8," -&gt; """,D8,"""")</f>
        <v>* relatedDiagnosis -&gt; ".reasonReference"</v>
      </c>
    </row>
    <row r="9" spans="1:13" ht="29.5" x14ac:dyDescent="0.75">
      <c r="A9" s="20">
        <v>0</v>
      </c>
      <c r="B9" s="20">
        <f>'Rad-1'!A8</f>
        <v>2</v>
      </c>
      <c r="C9" s="20" t="str">
        <f>'Rad-1'!B8</f>
        <v>relatedRelapse</v>
      </c>
      <c r="D9" s="20" t="s">
        <v>1114</v>
      </c>
      <c r="G9" s="18" t="b">
        <f t="shared" ref="G9:G70" si="1">IF(D9&gt;"",TRUE,FALSE)</f>
        <v>1</v>
      </c>
      <c r="H9" s="19" t="str">
        <f t="shared" ref="H9:H70" si="2">IF(G9,CONCATENATE("* differential.element[",$B9,"].mapping[",$A9,"].identity = """,$F$1,""""),"")</f>
        <v>* differential.element[2].mapping[0].identity = "fhir"</v>
      </c>
      <c r="I9" s="19" t="str">
        <f t="shared" ref="I9:I70" si="3">IF(G9,CONCATENATE("* differential.element[",$B9,"].mapping[",$A9,"].map = """,D9,""""),"")</f>
        <v>* differential.element[2].mapping[0].map = ".reasonReference"</v>
      </c>
      <c r="J9" s="19" t="str">
        <f t="shared" ref="J9:J62" si="4">IF(E9&gt;"",CONCATENATE("* differential.element[",$B9,"].mapping[",$A9,"].comment = """,E9,""""),"")</f>
        <v/>
      </c>
      <c r="M9" s="18" t="str">
        <f t="shared" si="0"/>
        <v>* relatedRelapse -&gt; ".reasonReference"</v>
      </c>
    </row>
    <row r="10" spans="1:13" ht="29.5" x14ac:dyDescent="0.75">
      <c r="A10" s="20">
        <v>0</v>
      </c>
      <c r="B10" s="20">
        <f>'Rad-1'!A9</f>
        <v>3</v>
      </c>
      <c r="C10" s="20" t="str">
        <f>'Rad-1'!B9</f>
        <v>identifier</v>
      </c>
      <c r="D10" s="20" t="s">
        <v>74</v>
      </c>
      <c r="G10" s="18" t="b">
        <f t="shared" si="1"/>
        <v>1</v>
      </c>
      <c r="H10" s="19" t="str">
        <f t="shared" si="2"/>
        <v>* differential.element[3].mapping[0].identity = "fhir"</v>
      </c>
      <c r="I10" s="19" t="str">
        <f t="shared" si="3"/>
        <v>* differential.element[3].mapping[0].map = ".identifier"</v>
      </c>
      <c r="J10" s="19" t="str">
        <f t="shared" si="4"/>
        <v/>
      </c>
      <c r="M10" s="18" t="str">
        <f t="shared" si="0"/>
        <v>* identifier -&gt; ".identifier"</v>
      </c>
    </row>
    <row r="11" spans="1:13" ht="59" x14ac:dyDescent="0.75">
      <c r="A11" s="20">
        <v>0</v>
      </c>
      <c r="B11" s="20">
        <f>'Rad-1'!A10</f>
        <v>4</v>
      </c>
      <c r="C11" s="20" t="str">
        <f>'Rad-1'!B10</f>
        <v>istitutionOfTreatment</v>
      </c>
      <c r="D11" s="20" t="s">
        <v>1239</v>
      </c>
      <c r="G11" s="18" t="b">
        <f t="shared" si="1"/>
        <v>1</v>
      </c>
      <c r="H11" s="19" t="str">
        <f t="shared" si="2"/>
        <v>* differential.element[4].mapping[0].identity = "fhir"</v>
      </c>
      <c r="I11" s="19" t="str">
        <f t="shared" si="3"/>
        <v>* differential.element[4].mapping[0].map = ".location.resolve().conformsTo(http://hl7.eu/fhir/ig/pcsp/StructureDefinition/Location-eu-pcsp)"</v>
      </c>
      <c r="J11" s="19" t="str">
        <f t="shared" si="4"/>
        <v/>
      </c>
      <c r="M11" s="18" t="str">
        <f t="shared" si="0"/>
        <v>* istitutionOfTreatment -&gt; ".location.resolve().conformsTo(http://hl7.eu/fhir/ig/pcsp/StructureDefinition/Location-eu-pcsp)"</v>
      </c>
    </row>
    <row r="12" spans="1:13" ht="29.5" x14ac:dyDescent="0.75">
      <c r="A12" s="20">
        <v>0</v>
      </c>
      <c r="B12" s="20">
        <f>'Rad-1'!A11</f>
        <v>5</v>
      </c>
      <c r="C12" s="20" t="str">
        <f>'Rad-1'!B11</f>
        <v>istitutionOfTreatment.description</v>
      </c>
      <c r="D12" s="12" t="s">
        <v>1118</v>
      </c>
      <c r="G12" s="18" t="b">
        <f t="shared" si="1"/>
        <v>1</v>
      </c>
      <c r="H12" s="19" t="str">
        <f t="shared" si="2"/>
        <v>* differential.element[5].mapping[0].identity = "fhir"</v>
      </c>
      <c r="I12" s="19" t="str">
        <f t="shared" si="3"/>
        <v>* differential.element[5].mapping[0].map = "Location.description"</v>
      </c>
      <c r="J12" s="19" t="str">
        <f t="shared" si="4"/>
        <v/>
      </c>
      <c r="M12" s="18" t="str">
        <f t="shared" si="0"/>
        <v>* istitutionOfTreatment.description -&gt; "Location.description"</v>
      </c>
    </row>
    <row r="13" spans="1:13" ht="29.5" x14ac:dyDescent="0.75">
      <c r="A13" s="20">
        <v>0</v>
      </c>
      <c r="B13" s="20">
        <f>'Rad-1'!A12</f>
        <v>6</v>
      </c>
      <c r="C13" s="20" t="str">
        <f>'Rad-1'!B12</f>
        <v>istitutionOfTreatment.name</v>
      </c>
      <c r="D13" s="12" t="s">
        <v>1119</v>
      </c>
      <c r="G13" s="18" t="b">
        <f t="shared" si="1"/>
        <v>1</v>
      </c>
      <c r="H13" s="19" t="str">
        <f t="shared" si="2"/>
        <v>* differential.element[6].mapping[0].identity = "fhir"</v>
      </c>
      <c r="I13" s="19" t="str">
        <f t="shared" si="3"/>
        <v>* differential.element[6].mapping[0].map = "Location.name"</v>
      </c>
      <c r="J13" s="19" t="str">
        <f t="shared" si="4"/>
        <v/>
      </c>
      <c r="M13" s="18" t="str">
        <f t="shared" si="0"/>
        <v>* istitutionOfTreatment.name -&gt; "Location.name"</v>
      </c>
    </row>
    <row r="14" spans="1:13" ht="29.5" x14ac:dyDescent="0.75">
      <c r="A14" s="20">
        <v>0</v>
      </c>
      <c r="B14" s="20">
        <f>'Rad-1'!A13</f>
        <v>7</v>
      </c>
      <c r="C14" s="20" t="str">
        <f>'Rad-1'!B13</f>
        <v>istitutionOfTreatment.address</v>
      </c>
      <c r="D14" s="12" t="s">
        <v>1120</v>
      </c>
      <c r="G14" s="18" t="b">
        <f t="shared" si="1"/>
        <v>1</v>
      </c>
      <c r="H14" s="19" t="str">
        <f t="shared" si="2"/>
        <v>* differential.element[7].mapping[0].identity = "fhir"</v>
      </c>
      <c r="I14" s="19" t="str">
        <f t="shared" si="3"/>
        <v>* differential.element[7].mapping[0].map = "Location.address.city"</v>
      </c>
      <c r="J14" s="19" t="str">
        <f t="shared" si="4"/>
        <v/>
      </c>
      <c r="M14" s="18" t="str">
        <f t="shared" si="0"/>
        <v>* istitutionOfTreatment.address -&gt; "Location.address.city"</v>
      </c>
    </row>
    <row r="15" spans="1:13" x14ac:dyDescent="0.75">
      <c r="A15" s="20">
        <v>0</v>
      </c>
      <c r="B15" s="20">
        <f>'Rad-1'!A14</f>
        <v>8</v>
      </c>
      <c r="C15" s="20" t="str">
        <f>'Rad-1'!B14</f>
        <v>istitutionOfTreatment.address.name</v>
      </c>
      <c r="D15" s="12"/>
      <c r="G15" s="18" t="b">
        <f t="shared" si="1"/>
        <v>0</v>
      </c>
      <c r="H15" s="19" t="str">
        <f t="shared" si="2"/>
        <v/>
      </c>
      <c r="I15" s="19" t="str">
        <f t="shared" si="3"/>
        <v/>
      </c>
      <c r="J15" s="19" t="str">
        <f t="shared" si="4"/>
        <v/>
      </c>
      <c r="M15" s="18" t="str">
        <f t="shared" si="0"/>
        <v>* istitutionOfTreatment.address.name -&gt; ""</v>
      </c>
    </row>
    <row r="16" spans="1:13" ht="29.5" x14ac:dyDescent="0.75">
      <c r="A16" s="20">
        <v>0</v>
      </c>
      <c r="B16" s="20">
        <f>'Rad-1'!A15</f>
        <v>9</v>
      </c>
      <c r="C16" s="20" t="str">
        <f>'Rad-1'!B15</f>
        <v>istitutionOfTreatment.address.country</v>
      </c>
      <c r="D16" s="12" t="s">
        <v>1121</v>
      </c>
      <c r="G16" s="18" t="b">
        <f t="shared" si="1"/>
        <v>1</v>
      </c>
      <c r="H16" s="19" t="str">
        <f t="shared" si="2"/>
        <v>* differential.element[9].mapping[0].identity = "fhir"</v>
      </c>
      <c r="I16" s="19" t="str">
        <f t="shared" si="3"/>
        <v>* differential.element[9].mapping[0].map = "Location.address.country"</v>
      </c>
      <c r="J16" s="19" t="str">
        <f t="shared" si="4"/>
        <v/>
      </c>
      <c r="M16" s="18" t="str">
        <f t="shared" si="0"/>
        <v>* istitutionOfTreatment.address.country -&gt; "Location.address.country"</v>
      </c>
    </row>
    <row r="17" spans="1:13" ht="29.5" x14ac:dyDescent="0.75">
      <c r="A17" s="20">
        <v>0</v>
      </c>
      <c r="B17" s="20">
        <f>'Rad-1'!A16</f>
        <v>10</v>
      </c>
      <c r="C17" s="20" t="str">
        <f>'Rad-1'!B16</f>
        <v>startDate</v>
      </c>
      <c r="D17" s="12" t="s">
        <v>1240</v>
      </c>
      <c r="G17" s="18" t="b">
        <f t="shared" si="1"/>
        <v>1</v>
      </c>
      <c r="H17" s="19" t="str">
        <f t="shared" si="2"/>
        <v>* differential.element[10].mapping[0].identity = "fhir"</v>
      </c>
      <c r="I17" s="19" t="str">
        <f t="shared" si="3"/>
        <v>* differential.element[10].mapping[0].map = ".performedPeriod.start"</v>
      </c>
      <c r="J17" s="19" t="str">
        <f t="shared" si="4"/>
        <v/>
      </c>
      <c r="M17" s="18" t="str">
        <f t="shared" si="0"/>
        <v>* startDate -&gt; ".performedPeriod.start"</v>
      </c>
    </row>
    <row r="18" spans="1:13" ht="29.5" x14ac:dyDescent="0.75">
      <c r="A18" s="20">
        <v>0</v>
      </c>
      <c r="B18" s="20">
        <f>'Rad-1'!A17</f>
        <v>11</v>
      </c>
      <c r="C18" s="20" t="str">
        <f>'Rad-1'!B17</f>
        <v>enddate</v>
      </c>
      <c r="D18" s="12" t="s">
        <v>1241</v>
      </c>
      <c r="G18" s="18" t="b">
        <f t="shared" si="1"/>
        <v>1</v>
      </c>
      <c r="H18" s="19" t="str">
        <f t="shared" si="2"/>
        <v>* differential.element[11].mapping[0].identity = "fhir"</v>
      </c>
      <c r="I18" s="19" t="str">
        <f t="shared" si="3"/>
        <v>* differential.element[11].mapping[0].map = ".performedPeriod.end"</v>
      </c>
      <c r="J18" s="19" t="str">
        <f t="shared" si="4"/>
        <v/>
      </c>
      <c r="M18" s="18" t="str">
        <f t="shared" si="0"/>
        <v>* enddate -&gt; ".performedPeriod.end"</v>
      </c>
    </row>
    <row r="19" spans="1:13" ht="29.5" x14ac:dyDescent="0.75">
      <c r="A19" s="20">
        <v>0</v>
      </c>
      <c r="B19" s="20">
        <f>'Rad-1'!A18</f>
        <v>12</v>
      </c>
      <c r="C19" s="20" t="str">
        <f>'Rad-1'!B18</f>
        <v>type</v>
      </c>
      <c r="D19" s="20" t="s">
        <v>1242</v>
      </c>
      <c r="G19" s="18" t="b">
        <f t="shared" si="1"/>
        <v>1</v>
      </c>
      <c r="H19" s="19" t="str">
        <f t="shared" si="2"/>
        <v>* differential.element[12].mapping[0].identity = "fhir"</v>
      </c>
      <c r="I19" s="19" t="str">
        <f t="shared" si="3"/>
        <v>* differential.element[12].mapping[0].map = ".code"</v>
      </c>
      <c r="J19" s="19" t="str">
        <f t="shared" si="4"/>
        <v/>
      </c>
      <c r="M19" s="18" t="str">
        <f t="shared" si="0"/>
        <v>* type -&gt; ".code"</v>
      </c>
    </row>
    <row r="20" spans="1:13" ht="29.5" x14ac:dyDescent="0.75">
      <c r="A20" s="20">
        <v>0</v>
      </c>
      <c r="B20" s="20">
        <f>'Rad-1'!A19</f>
        <v>13</v>
      </c>
      <c r="C20" s="20" t="str">
        <f>'Rad-1'!B19</f>
        <v>deviceType</v>
      </c>
      <c r="D20" s="20" t="s">
        <v>1243</v>
      </c>
      <c r="G20" s="18" t="b">
        <f t="shared" si="1"/>
        <v>1</v>
      </c>
      <c r="H20" s="19" t="str">
        <f t="shared" si="2"/>
        <v>* differential.element[13].mapping[0].identity = "fhir"</v>
      </c>
      <c r="I20" s="19" t="str">
        <f t="shared" si="3"/>
        <v>* differential.element[13].mapping[0].map = ".usedCode"</v>
      </c>
      <c r="J20" s="19" t="str">
        <f t="shared" si="4"/>
        <v/>
      </c>
      <c r="M20" s="18" t="str">
        <f t="shared" si="0"/>
        <v>* deviceType -&gt; ".usedCode"</v>
      </c>
    </row>
    <row r="21" spans="1:13" ht="59" x14ac:dyDescent="0.75">
      <c r="A21" s="20">
        <v>0</v>
      </c>
      <c r="B21" s="20">
        <f>'Rad-1'!A20</f>
        <v>14</v>
      </c>
      <c r="C21" s="20" t="str">
        <f>'Rad-1'!B20</f>
        <v>brachytherapyType</v>
      </c>
      <c r="D21" s="20" t="s">
        <v>1244</v>
      </c>
      <c r="G21" s="18" t="b">
        <f t="shared" si="1"/>
        <v>1</v>
      </c>
      <c r="H21" s="19" t="str">
        <f t="shared" si="2"/>
        <v>* differential.element[14].mapping[0].identity = "fhir"</v>
      </c>
      <c r="I21" s="19" t="str">
        <f t="shared" si="3"/>
        <v>* differential.element[14].mapping[0].map = ".extension('http://hl7.org/fhir/StructureDefinition/procedure-method').valueCodeableConcept"</v>
      </c>
      <c r="J21" s="19" t="str">
        <f t="shared" si="4"/>
        <v/>
      </c>
      <c r="M21" s="18" t="str">
        <f t="shared" si="0"/>
        <v>* brachytherapyType -&gt; ".extension('http://hl7.org/fhir/StructureDefinition/procedure-method').valueCodeableConcept"</v>
      </c>
    </row>
    <row r="22" spans="1:13" ht="59" x14ac:dyDescent="0.75">
      <c r="A22" s="20">
        <v>0</v>
      </c>
      <c r="B22" s="20">
        <f>'Rad-1'!A21</f>
        <v>15</v>
      </c>
      <c r="C22" s="20" t="str">
        <f>'Rad-1'!B21</f>
        <v>isotopes</v>
      </c>
      <c r="D22" s="20" t="s">
        <v>1245</v>
      </c>
      <c r="G22" s="18" t="b">
        <f t="shared" si="1"/>
        <v>1</v>
      </c>
      <c r="H22" s="19" t="str">
        <f t="shared" si="2"/>
        <v>* differential.element[15].mapping[0].identity = "fhir"</v>
      </c>
      <c r="I22" s="19" t="str">
        <f t="shared" si="3"/>
        <v>* differential.element[15].mapping[0].map = ".extension('http://hl7.eu/fhir/ig/pcsp/StructureDefinition/radiotherapy-energy-or-isotope').valueCodeableConcept"</v>
      </c>
      <c r="J22" s="19" t="str">
        <f t="shared" si="4"/>
        <v/>
      </c>
      <c r="M22" s="18" t="str">
        <f t="shared" si="0"/>
        <v>* isotopes -&gt; ".extension('http://hl7.eu/fhir/ig/pcsp/StructureDefinition/radiotherapy-energy-or-isotope').valueCodeableConcept"</v>
      </c>
    </row>
    <row r="23" spans="1:13" ht="59" x14ac:dyDescent="0.75">
      <c r="A23" s="20">
        <v>0</v>
      </c>
      <c r="B23" s="20">
        <f>'Rad-1'!A22</f>
        <v>16</v>
      </c>
      <c r="C23" s="20" t="str">
        <f>'Rad-1'!B22</f>
        <v>radionuclides</v>
      </c>
      <c r="D23" s="20" t="s">
        <v>1245</v>
      </c>
      <c r="G23" s="18" t="b">
        <f t="shared" si="1"/>
        <v>1</v>
      </c>
      <c r="H23" s="19" t="str">
        <f t="shared" si="2"/>
        <v>* differential.element[16].mapping[0].identity = "fhir"</v>
      </c>
      <c r="I23" s="19" t="str">
        <f t="shared" si="3"/>
        <v>* differential.element[16].mapping[0].map = ".extension('http://hl7.eu/fhir/ig/pcsp/StructureDefinition/radiotherapy-energy-or-isotope').valueCodeableConcept"</v>
      </c>
      <c r="J23" s="19" t="str">
        <f t="shared" si="4"/>
        <v/>
      </c>
      <c r="M23" s="18" t="str">
        <f t="shared" si="0"/>
        <v>* radionuclides -&gt; ".extension('http://hl7.eu/fhir/ig/pcsp/StructureDefinition/radiotherapy-energy-or-isotope').valueCodeableConcept"</v>
      </c>
    </row>
    <row r="24" spans="1:13" ht="59" x14ac:dyDescent="0.75">
      <c r="A24" s="20">
        <v>0</v>
      </c>
      <c r="B24" s="20">
        <f>'Rad-1'!A23</f>
        <v>17</v>
      </c>
      <c r="C24" s="20" t="str">
        <f>'Rad-1'!B23</f>
        <v>numberOfCourses</v>
      </c>
      <c r="D24" s="20" t="s">
        <v>1246</v>
      </c>
      <c r="G24" s="18" t="b">
        <f t="shared" si="1"/>
        <v>1</v>
      </c>
      <c r="H24" s="19" t="str">
        <f t="shared" si="2"/>
        <v>* differential.element[17].mapping[0].identity = "fhir"</v>
      </c>
      <c r="I24" s="19" t="str">
        <f t="shared" si="3"/>
        <v>* differential.element[17].mapping[0].map = ".extension(http://hl7.eu/fhir/ig/pcsp/StructureDefinition/procedure-performedTiming).valueTiming.repeat.count"</v>
      </c>
      <c r="J24" s="19" t="str">
        <f t="shared" si="4"/>
        <v/>
      </c>
      <c r="M24" s="18" t="str">
        <f t="shared" si="0"/>
        <v>* numberOfCourses -&gt; ".extension(http://hl7.eu/fhir/ig/pcsp/StructureDefinition/procedure-performedTiming).valueTiming.repeat.count"</v>
      </c>
    </row>
    <row r="25" spans="1:13" x14ac:dyDescent="0.75">
      <c r="A25" s="20"/>
      <c r="B25" s="20"/>
      <c r="C25" s="20"/>
      <c r="D25" s="20"/>
      <c r="H25" s="19"/>
    </row>
    <row r="26" spans="1:13" ht="29.5" x14ac:dyDescent="0.75">
      <c r="A26" s="20">
        <v>0</v>
      </c>
      <c r="B26" s="20">
        <f>'Rad-1'!A24</f>
        <v>18</v>
      </c>
      <c r="C26" s="20" t="str">
        <f>'Rad-1'!B24</f>
        <v>target</v>
      </c>
      <c r="D26" s="20" t="s">
        <v>75</v>
      </c>
      <c r="G26" s="18" t="b">
        <f t="shared" si="1"/>
        <v>1</v>
      </c>
      <c r="H26" s="19" t="str">
        <f t="shared" si="2"/>
        <v>* differential.element[18].mapping[0].identity = "fhir"</v>
      </c>
      <c r="I26" s="19" t="str">
        <f t="shared" si="3"/>
        <v>* differential.element[18].mapping[0].map = ".bodySite"</v>
      </c>
      <c r="J26" s="19" t="str">
        <f t="shared" si="4"/>
        <v/>
      </c>
      <c r="M26" s="18" t="str">
        <f t="shared" si="0"/>
        <v>* target -&gt; ".bodySite"</v>
      </c>
    </row>
    <row r="27" spans="1:13" ht="88.5" x14ac:dyDescent="0.75">
      <c r="A27" s="20">
        <v>1</v>
      </c>
      <c r="B27" s="20">
        <f>'Rad-1'!A24</f>
        <v>18</v>
      </c>
      <c r="C27" s="20" t="str">
        <f>'Rad-1'!B24</f>
        <v>target</v>
      </c>
      <c r="D27" s="21" t="s">
        <v>1247</v>
      </c>
      <c r="G27" s="18" t="b">
        <f t="shared" si="1"/>
        <v>1</v>
      </c>
      <c r="H27" s="19" t="str">
        <f t="shared" si="2"/>
        <v>* differential.element[18].mapping[1].identity = "fhir"</v>
      </c>
      <c r="I27" s="19" t="str">
        <f t="shared" si="3"/>
        <v>* differential.element[18].mapping[1].map = ".extension(http://hl7.eu/fhir/ig/pcsp/StructureDefinition/ResourceRelatedInfo-eu-pcsp).resolve().conformsTo(http://hl7.eu/fhir/ig/pcsp/StructureDefinition/Observation-cumulativeDoseRad-eu-pcsp)"</v>
      </c>
      <c r="J27" s="19" t="str">
        <f t="shared" si="4"/>
        <v/>
      </c>
      <c r="M27" s="18" t="str">
        <f t="shared" si="0"/>
        <v>* target -&gt; ".extension(http://hl7.eu/fhir/ig/pcsp/StructureDefinition/ResourceRelatedInfo-eu-pcsp).resolve().conformsTo(http://hl7.eu/fhir/ig/pcsp/StructureDefinition/Observation-cumulativeDoseRad-eu-pcsp)"</v>
      </c>
    </row>
    <row r="28" spans="1:13" ht="29.5" x14ac:dyDescent="0.75">
      <c r="A28" s="20">
        <v>0</v>
      </c>
      <c r="B28" s="20">
        <f>'Rad-1'!A25</f>
        <v>19</v>
      </c>
      <c r="C28" s="20" t="str">
        <f>'Rad-1'!B25</f>
        <v>target.site</v>
      </c>
      <c r="D28" s="135" t="s">
        <v>75</v>
      </c>
      <c r="G28" s="18" t="b">
        <f t="shared" si="1"/>
        <v>1</v>
      </c>
      <c r="H28" s="19" t="str">
        <f t="shared" si="2"/>
        <v>* differential.element[19].mapping[0].identity = "fhir"</v>
      </c>
      <c r="I28" s="19" t="str">
        <f t="shared" si="3"/>
        <v>* differential.element[19].mapping[0].map = ".bodySite"</v>
      </c>
      <c r="J28" s="19" t="str">
        <f t="shared" si="4"/>
        <v/>
      </c>
      <c r="M28" s="18" t="str">
        <f t="shared" si="0"/>
        <v>* target.site -&gt; ".bodySite"</v>
      </c>
    </row>
    <row r="29" spans="1:13" ht="59" x14ac:dyDescent="0.75">
      <c r="A29" s="20">
        <v>0</v>
      </c>
      <c r="B29" s="20">
        <f>'Rad-1'!A26</f>
        <v>20</v>
      </c>
      <c r="C29" s="20" t="str">
        <f>'Rad-1'!B26</f>
        <v>target.laterality</v>
      </c>
      <c r="D29" s="20" t="s">
        <v>1248</v>
      </c>
      <c r="G29" s="18" t="b">
        <f t="shared" si="1"/>
        <v>1</v>
      </c>
      <c r="H29" s="19" t="str">
        <f t="shared" si="2"/>
        <v>* differential.element[20].mapping[0].identity = "fhir"</v>
      </c>
      <c r="I29" s="19" t="str">
        <f t="shared" si="3"/>
        <v>* differential.element[20].mapping[0].map = ".extension(http://hl7.eu/fhir/ig/pcsp/StructureDefinition/mcode-laterality-qualifier).valueCodeableConcept"</v>
      </c>
      <c r="J29" s="19" t="str">
        <f t="shared" si="4"/>
        <v/>
      </c>
    </row>
    <row r="30" spans="1:13" ht="29.5" x14ac:dyDescent="0.75">
      <c r="A30" s="20">
        <v>0</v>
      </c>
      <c r="B30" s="20">
        <f>'Rad-1'!A27</f>
        <v>21</v>
      </c>
      <c r="C30" s="20" t="str">
        <f>'Rad-1'!B27</f>
        <v>target.details</v>
      </c>
      <c r="D30" s="20" t="s">
        <v>1249</v>
      </c>
      <c r="G30" s="18" t="b">
        <f t="shared" si="1"/>
        <v>1</v>
      </c>
      <c r="H30" s="19" t="str">
        <f t="shared" si="2"/>
        <v>* differential.element[21].mapping[0].identity = "fhir"</v>
      </c>
      <c r="I30" s="19" t="str">
        <f t="shared" si="3"/>
        <v>* differential.element[21].mapping[0].map = ".text"</v>
      </c>
      <c r="J30" s="19" t="str">
        <f t="shared" si="4"/>
        <v/>
      </c>
      <c r="M30" s="18" t="str">
        <f t="shared" ref="M30:M38" si="5">CONCATENATE("* ",C30," -&gt; """,D30,"""")</f>
        <v>* target.details -&gt; ".text"</v>
      </c>
    </row>
    <row r="31" spans="1:13" ht="73.75" x14ac:dyDescent="0.75">
      <c r="A31" s="20">
        <v>0</v>
      </c>
      <c r="B31" s="20">
        <f>'Rad-1'!A28</f>
        <v>22</v>
      </c>
      <c r="C31" s="20" t="str">
        <f>'Rad-1'!B28</f>
        <v>target.from</v>
      </c>
      <c r="D31" s="136" t="s">
        <v>1250</v>
      </c>
      <c r="G31" s="18" t="b">
        <f t="shared" si="1"/>
        <v>1</v>
      </c>
      <c r="H31" s="19" t="str">
        <f t="shared" si="2"/>
        <v>* differential.element[22].mapping[0].identity = "fhir"</v>
      </c>
      <c r="I31" s="19" t="str">
        <f t="shared" si="3"/>
        <v>* differential.element[22].mapping[0].map = ".bodySite.where(extension('mcode-body-location-qualifier').valueCodeableConcept = http://snomed.info/sct#272488003 'From-structure')"</v>
      </c>
      <c r="J31" s="19" t="str">
        <f t="shared" si="4"/>
        <v/>
      </c>
      <c r="M31" s="18" t="str">
        <f t="shared" si="5"/>
        <v>* target.from -&gt; ".bodySite.where(extension('mcode-body-location-qualifier').valueCodeableConcept = http://snomed.info/sct#272488003 'From-structure')"</v>
      </c>
    </row>
    <row r="32" spans="1:13" ht="73.75" x14ac:dyDescent="0.75">
      <c r="A32" s="20">
        <v>0</v>
      </c>
      <c r="B32" s="20">
        <f>'Rad-1'!A29</f>
        <v>23</v>
      </c>
      <c r="C32" s="20" t="str">
        <f>'Rad-1'!B29</f>
        <v>target.to</v>
      </c>
      <c r="D32" s="136" t="s">
        <v>1251</v>
      </c>
      <c r="G32" s="18" t="b">
        <f t="shared" si="1"/>
        <v>1</v>
      </c>
      <c r="H32" s="19" t="str">
        <f t="shared" si="2"/>
        <v>* differential.element[23].mapping[0].identity = "fhir"</v>
      </c>
      <c r="I32" s="19" t="str">
        <f t="shared" si="3"/>
        <v>* differential.element[23].mapping[0].map = ".bodySite.where(extension('mcode-body-location-qualifier').valueCodeableConcept = http://hl7.eu/fhir/ig/pcsp/CodeSystem/cs-generic-eu-pcsp#to-structure 'To-structure')"</v>
      </c>
      <c r="J32" s="19" t="str">
        <f t="shared" si="4"/>
        <v/>
      </c>
      <c r="M32" s="18" t="str">
        <f t="shared" si="5"/>
        <v>* target.to -&gt; ".bodySite.where(extension('mcode-body-location-qualifier').valueCodeableConcept = http://hl7.eu/fhir/ig/pcsp/CodeSystem/cs-generic-eu-pcsp#to-structure 'To-structure')"</v>
      </c>
    </row>
    <row r="33" spans="1:13" ht="59" x14ac:dyDescent="0.75">
      <c r="A33" s="20">
        <v>0</v>
      </c>
      <c r="B33" s="20">
        <f>'Rad-1'!A30</f>
        <v>24</v>
      </c>
      <c r="C33" s="20" t="str">
        <f>'Rad-1'!B30</f>
        <v>target.position</v>
      </c>
      <c r="D33" s="20" t="s">
        <v>1252</v>
      </c>
      <c r="G33" s="18" t="b">
        <f t="shared" si="1"/>
        <v>1</v>
      </c>
      <c r="H33" s="19" t="str">
        <f t="shared" si="2"/>
        <v>* differential.element[24].mapping[0].identity = "fhir"</v>
      </c>
      <c r="I33" s="19" t="str">
        <f t="shared" si="3"/>
        <v>* differential.element[24].mapping[0].map = ".extension('http://hl7.org/fhir/us/mcode/StructureDefinition/mcode-body-location-qualifier').valueCodeableConcept"</v>
      </c>
      <c r="J33" s="19" t="str">
        <f t="shared" si="4"/>
        <v/>
      </c>
      <c r="M33" s="18" t="str">
        <f t="shared" si="5"/>
        <v>* target.position -&gt; ".extension('http://hl7.org/fhir/us/mcode/StructureDefinition/mcode-body-location-qualifier').valueCodeableConcept"</v>
      </c>
    </row>
    <row r="34" spans="1:13" ht="88.5" x14ac:dyDescent="0.75">
      <c r="A34" s="20">
        <v>0</v>
      </c>
      <c r="B34" s="20">
        <f>'Rad-1'!A31</f>
        <v>25</v>
      </c>
      <c r="C34" s="20" t="str">
        <f>'Rad-1'!B31</f>
        <v>target.totalDose</v>
      </c>
      <c r="D34" s="21" t="s">
        <v>1247</v>
      </c>
      <c r="G34" s="18" t="b">
        <f t="shared" si="1"/>
        <v>1</v>
      </c>
      <c r="H34" s="19" t="str">
        <f t="shared" si="2"/>
        <v>* differential.element[25].mapping[0].identity = "fhir"</v>
      </c>
      <c r="I34" s="19" t="str">
        <f t="shared" si="3"/>
        <v>* differential.element[25].mapping[0].map = ".extension(http://hl7.eu/fhir/ig/pcsp/StructureDefinition/ResourceRelatedInfo-eu-pcsp).resolve().conformsTo(http://hl7.eu/fhir/ig/pcsp/StructureDefinition/Observation-cumulativeDoseRad-eu-pcsp)"</v>
      </c>
      <c r="J34" s="19" t="str">
        <f t="shared" si="4"/>
        <v/>
      </c>
      <c r="M34" s="18" t="str">
        <f t="shared" si="5"/>
        <v>* target.totalDose -&gt; ".extension(http://hl7.eu/fhir/ig/pcsp/StructureDefinition/ResourceRelatedInfo-eu-pcsp).resolve().conformsTo(http://hl7.eu/fhir/ig/pcsp/StructureDefinition/Observation-cumulativeDoseRad-eu-pcsp)"</v>
      </c>
    </row>
    <row r="35" spans="1:13" ht="29.5" x14ac:dyDescent="0.75">
      <c r="A35" s="20">
        <v>0</v>
      </c>
      <c r="B35" s="20">
        <f>'Rad-1'!A32</f>
        <v>26</v>
      </c>
      <c r="C35" s="20" t="str">
        <f>'Rad-1'!B32</f>
        <v>target.totalDose.completionStatus</v>
      </c>
      <c r="D35" s="20" t="s">
        <v>1129</v>
      </c>
      <c r="G35" s="18" t="b">
        <f t="shared" si="1"/>
        <v>1</v>
      </c>
      <c r="H35" s="19" t="str">
        <f t="shared" si="2"/>
        <v>* differential.element[26].mapping[0].identity = "fhir"</v>
      </c>
      <c r="I35" s="19" t="str">
        <f t="shared" si="3"/>
        <v>* differential.element[26].mapping[0].map = ".status = #preliminary"</v>
      </c>
      <c r="J35" s="19" t="str">
        <f t="shared" si="4"/>
        <v/>
      </c>
      <c r="M35" s="18" t="str">
        <f t="shared" si="5"/>
        <v>* target.totalDose.completionStatus -&gt; ".status = #preliminary"</v>
      </c>
    </row>
    <row r="36" spans="1:13" ht="44.25" x14ac:dyDescent="0.75">
      <c r="A36" s="20">
        <v>0</v>
      </c>
      <c r="B36" s="20">
        <f>'Rad-1'!A33</f>
        <v>27</v>
      </c>
      <c r="C36" s="20" t="str">
        <f>'Rad-1'!B33</f>
        <v>target.totalDose.statusReason</v>
      </c>
      <c r="D36" s="18" t="s">
        <v>1130</v>
      </c>
      <c r="G36" s="18" t="b">
        <f t="shared" si="1"/>
        <v>1</v>
      </c>
      <c r="H36" s="19" t="str">
        <f t="shared" si="2"/>
        <v>* differential.element[27].mapping[0].identity = "fhir"</v>
      </c>
      <c r="I36" s="19" t="str">
        <f t="shared" si="3"/>
        <v>* differential.element[27].mapping[0].map = ".extension('http://hl7.org/fhir/StructureDefinition/event-statusReason')"</v>
      </c>
      <c r="J36" s="19" t="str">
        <f t="shared" si="4"/>
        <v/>
      </c>
      <c r="M36" s="18" t="str">
        <f t="shared" si="5"/>
        <v>* target.totalDose.statusReason -&gt; ".extension('http://hl7.org/fhir/StructureDefinition/event-statusReason')"</v>
      </c>
    </row>
    <row r="37" spans="1:13" ht="59" x14ac:dyDescent="0.75">
      <c r="A37" s="20">
        <v>0</v>
      </c>
      <c r="B37" s="20">
        <f>'Rad-1'!A34</f>
        <v>28</v>
      </c>
      <c r="C37" s="20" t="str">
        <f>'Rad-1'!B34</f>
        <v>target.totalDose.notKnown</v>
      </c>
      <c r="D37" s="20" t="s">
        <v>1126</v>
      </c>
      <c r="G37" s="18" t="b">
        <f t="shared" si="1"/>
        <v>1</v>
      </c>
      <c r="H37" s="19" t="str">
        <f t="shared" si="2"/>
        <v>* differential.element[28].mapping[0].identity = "fhir"</v>
      </c>
      <c r="I37" s="19" t="str">
        <f t="shared" si="3"/>
        <v>* differential.element[28].mapping[0].map = ".valueCodeableConcept = http://terminology.hl7.org/CodeSystem/data-absent-reason#unknown"</v>
      </c>
      <c r="J37" s="19" t="str">
        <f t="shared" si="4"/>
        <v/>
      </c>
      <c r="M37" s="18" t="str">
        <f t="shared" si="5"/>
        <v>* target.totalDose.notKnown -&gt; ".valueCodeableConcept = http://terminology.hl7.org/CodeSystem/data-absent-reason#unknown"</v>
      </c>
    </row>
    <row r="38" spans="1:13" ht="29.5" x14ac:dyDescent="0.75">
      <c r="A38" s="20">
        <v>0</v>
      </c>
      <c r="B38" s="20">
        <f>'Rad-1'!A35</f>
        <v>29</v>
      </c>
      <c r="C38" s="20" t="str">
        <f>'Rad-1'!B35</f>
        <v>target.totalDose.dose</v>
      </c>
      <c r="D38" s="20" t="s">
        <v>1131</v>
      </c>
      <c r="G38" s="18" t="b">
        <f t="shared" si="1"/>
        <v>1</v>
      </c>
      <c r="H38" s="19" t="str">
        <f t="shared" si="2"/>
        <v>* differential.element[29].mapping[0].identity = "fhir"</v>
      </c>
      <c r="I38" s="19" t="str">
        <f t="shared" si="3"/>
        <v>* differential.element[29].mapping[0].map = ".valueQuantity.value"</v>
      </c>
      <c r="J38" s="19" t="str">
        <f t="shared" si="4"/>
        <v/>
      </c>
      <c r="M38" s="18" t="str">
        <f t="shared" si="5"/>
        <v>* target.totalDose.dose -&gt; ".valueQuantity.value"</v>
      </c>
    </row>
    <row r="39" spans="1:13" ht="29.5" x14ac:dyDescent="0.75">
      <c r="A39" s="20">
        <v>0</v>
      </c>
      <c r="B39" s="20">
        <f>'Rad-1'!A36</f>
        <v>30</v>
      </c>
      <c r="C39" s="20" t="str">
        <f>'Rad-1'!B36</f>
        <v>target.totalDose.unit</v>
      </c>
      <c r="D39" s="20" t="s">
        <v>1253</v>
      </c>
      <c r="G39" s="18" t="b">
        <f t="shared" si="1"/>
        <v>1</v>
      </c>
      <c r="H39" s="19" t="str">
        <f t="shared" si="2"/>
        <v>* differential.element[30].mapping[0].identity = "fhir"</v>
      </c>
      <c r="I39" s="19" t="str">
        <f t="shared" si="3"/>
        <v>* differential.element[30].mapping[0].map = ".valueQuantity.code"</v>
      </c>
      <c r="J39" s="19" t="str">
        <f t="shared" si="4"/>
        <v/>
      </c>
    </row>
    <row r="40" spans="1:13" ht="59" x14ac:dyDescent="0.75">
      <c r="A40" s="20">
        <v>0</v>
      </c>
      <c r="B40" s="20">
        <f>'Rad-1'!A37</f>
        <v>31</v>
      </c>
      <c r="C40" s="20" t="str">
        <f>'Rad-1'!B37</f>
        <v>target.totalDose.fractions</v>
      </c>
      <c r="D40" s="20" t="s">
        <v>1246</v>
      </c>
      <c r="G40" s="18" t="b">
        <f t="shared" si="1"/>
        <v>1</v>
      </c>
      <c r="H40" s="19" t="str">
        <f t="shared" si="2"/>
        <v>* differential.element[31].mapping[0].identity = "fhir"</v>
      </c>
      <c r="I40" s="19" t="str">
        <f t="shared" si="3"/>
        <v>* differential.element[31].mapping[0].map = ".extension(http://hl7.eu/fhir/ig/pcsp/StructureDefinition/procedure-performedTiming).valueTiming.repeat.count"</v>
      </c>
      <c r="J40" s="19" t="str">
        <f t="shared" si="4"/>
        <v/>
      </c>
    </row>
    <row r="41" spans="1:13" ht="59" x14ac:dyDescent="0.75">
      <c r="A41" s="20">
        <v>0</v>
      </c>
      <c r="B41" s="20">
        <f>'Rad-1'!A38</f>
        <v>32</v>
      </c>
      <c r="C41" s="20" t="str">
        <f>'Rad-1'!B38</f>
        <v>target.boost</v>
      </c>
      <c r="D41" s="20" t="s">
        <v>1254</v>
      </c>
      <c r="G41" s="18" t="b">
        <f t="shared" si="1"/>
        <v>1</v>
      </c>
      <c r="H41" s="19" t="str">
        <f t="shared" si="2"/>
        <v>* differential.element[32].mapping[0].identity = "fhir"</v>
      </c>
      <c r="I41" s="19" t="str">
        <f t="shared" si="3"/>
        <v>* differential.element[32].mapping[0].map = "Procedure.conformsTo('http://hl7.eu/fhir/ig/pcsp/StructureDefinition/Procedure-radiotheraphyBoost-eu-pcsp')"</v>
      </c>
      <c r="J41" s="19" t="str">
        <f t="shared" si="4"/>
        <v/>
      </c>
    </row>
    <row r="42" spans="1:13" ht="29.5" x14ac:dyDescent="0.75">
      <c r="A42" s="20">
        <v>0</v>
      </c>
      <c r="B42" s="20">
        <f>'Rad-1'!A39</f>
        <v>33</v>
      </c>
      <c r="C42" s="20" t="str">
        <f>'Rad-1'!B39</f>
        <v>target.boost.type</v>
      </c>
      <c r="D42" s="20" t="s">
        <v>1255</v>
      </c>
      <c r="G42" s="18" t="b">
        <f t="shared" si="1"/>
        <v>1</v>
      </c>
      <c r="H42" s="19" t="str">
        <f t="shared" si="2"/>
        <v>* differential.element[33].mapping[0].identity = "fhir"</v>
      </c>
      <c r="I42" s="19" t="str">
        <f t="shared" si="3"/>
        <v>* differential.element[33].mapping[0].map = ".partOf.resolve().code"</v>
      </c>
      <c r="J42" s="19" t="str">
        <f t="shared" si="4"/>
        <v/>
      </c>
    </row>
    <row r="43" spans="1:13" ht="29.5" x14ac:dyDescent="0.75">
      <c r="A43" s="20">
        <v>0</v>
      </c>
      <c r="B43" s="20">
        <f>'Rad-1'!A40</f>
        <v>34</v>
      </c>
      <c r="C43" s="20" t="str">
        <f>'Rad-1'!B40</f>
        <v>target.boost.given</v>
      </c>
      <c r="D43" s="18" t="s">
        <v>1256</v>
      </c>
      <c r="G43" s="18" t="b">
        <f t="shared" si="1"/>
        <v>1</v>
      </c>
      <c r="H43" s="19" t="str">
        <f t="shared" si="2"/>
        <v>* differential.element[34].mapping[0].identity = "fhir"</v>
      </c>
      <c r="I43" s="19" t="str">
        <f t="shared" si="3"/>
        <v>* differential.element[34].mapping[0].map = ".status"</v>
      </c>
      <c r="J43" s="19" t="str">
        <f t="shared" si="4"/>
        <v/>
      </c>
    </row>
    <row r="44" spans="1:13" ht="29.5" x14ac:dyDescent="0.75">
      <c r="A44" s="20">
        <v>0</v>
      </c>
      <c r="B44" s="20">
        <f>'Rad-1'!A41</f>
        <v>35</v>
      </c>
      <c r="C44" s="20" t="str">
        <f>'Rad-1'!B41</f>
        <v>target.boost.site</v>
      </c>
      <c r="D44" s="20" t="s">
        <v>75</v>
      </c>
      <c r="G44" s="18" t="b">
        <f t="shared" si="1"/>
        <v>1</v>
      </c>
      <c r="H44" s="19" t="str">
        <f t="shared" si="2"/>
        <v>* differential.element[35].mapping[0].identity = "fhir"</v>
      </c>
      <c r="I44" s="19" t="str">
        <f t="shared" si="3"/>
        <v>* differential.element[35].mapping[0].map = ".bodySite"</v>
      </c>
      <c r="J44" s="19" t="str">
        <f t="shared" si="4"/>
        <v/>
      </c>
    </row>
    <row r="45" spans="1:13" ht="88.5" x14ac:dyDescent="0.75">
      <c r="A45" s="20">
        <v>1</v>
      </c>
      <c r="B45" s="20">
        <f>'Rad-1'!A41</f>
        <v>35</v>
      </c>
      <c r="C45" s="20" t="str">
        <f>'Rad-1'!B41</f>
        <v>target.boost.site</v>
      </c>
      <c r="D45" s="21" t="s">
        <v>1257</v>
      </c>
      <c r="G45" s="18" t="b">
        <f t="shared" si="1"/>
        <v>1</v>
      </c>
      <c r="H45" s="19" t="str">
        <f t="shared" si="2"/>
        <v>* differential.element[35].mapping[1].identity = "fhir"</v>
      </c>
      <c r="I45" s="19" t="str">
        <f t="shared" si="3"/>
        <v>* differential.element[35].mapping[1].map = ".extension(http://hl7.eu/fhir/ig/pcsp/StructureDefinition/ResourceRelatedInfo-eu-pcsp).resolve().conformsTo(http://hl7.eu/fhir/ig/pcsp/StructureDefinition/Observation-cumulativeDoseRad-eu-pcsp).bodySite"</v>
      </c>
      <c r="J45" s="19" t="str">
        <f t="shared" si="4"/>
        <v/>
      </c>
    </row>
    <row r="46" spans="1:13" ht="59" x14ac:dyDescent="0.75">
      <c r="A46" s="20">
        <v>0</v>
      </c>
      <c r="B46" s="20">
        <f>'Rad-1'!A42</f>
        <v>36</v>
      </c>
      <c r="C46" s="20" t="str">
        <f>'Rad-1'!B42</f>
        <v>target.boost.laterality</v>
      </c>
      <c r="D46" s="20" t="s">
        <v>1248</v>
      </c>
      <c r="G46" s="18" t="b">
        <f t="shared" si="1"/>
        <v>1</v>
      </c>
      <c r="H46" s="19" t="str">
        <f t="shared" si="2"/>
        <v>* differential.element[36].mapping[0].identity = "fhir"</v>
      </c>
      <c r="I46" s="19" t="str">
        <f t="shared" si="3"/>
        <v>* differential.element[36].mapping[0].map = ".extension(http://hl7.eu/fhir/ig/pcsp/StructureDefinition/mcode-laterality-qualifier).valueCodeableConcept"</v>
      </c>
      <c r="J46" s="19" t="str">
        <f t="shared" si="4"/>
        <v/>
      </c>
    </row>
    <row r="47" spans="1:13" ht="29.5" x14ac:dyDescent="0.75">
      <c r="A47" s="20">
        <v>0</v>
      </c>
      <c r="B47" s="20">
        <f>'Rad-1'!A43</f>
        <v>37</v>
      </c>
      <c r="C47" s="20" t="str">
        <f>'Rad-1'!B43</f>
        <v>target.boost.details</v>
      </c>
      <c r="D47" s="20" t="s">
        <v>1258</v>
      </c>
      <c r="G47" s="18" t="b">
        <f t="shared" si="1"/>
        <v>1</v>
      </c>
      <c r="H47" s="19" t="str">
        <f t="shared" si="2"/>
        <v>* differential.element[37].mapping[0].identity = "fhir"</v>
      </c>
      <c r="I47" s="19" t="str">
        <f t="shared" si="3"/>
        <v>* differential.element[37].mapping[0].map = ".note"</v>
      </c>
      <c r="J47" s="19" t="str">
        <f t="shared" si="4"/>
        <v/>
      </c>
    </row>
    <row r="48" spans="1:13" ht="88.5" x14ac:dyDescent="0.75">
      <c r="A48" s="20">
        <v>0</v>
      </c>
      <c r="B48" s="20">
        <f>'Rad-1'!A44</f>
        <v>38</v>
      </c>
      <c r="C48" s="3" t="str">
        <f>'Rad-1'!B44</f>
        <v>target.boost.from</v>
      </c>
      <c r="D48" s="21" t="s">
        <v>1259</v>
      </c>
      <c r="G48" s="18" t="b">
        <f t="shared" si="1"/>
        <v>1</v>
      </c>
      <c r="H48" s="19" t="str">
        <f t="shared" si="2"/>
        <v>* differential.element[38].mapping[0].identity = "fhir"</v>
      </c>
      <c r="I48" s="19" t="str">
        <f t="shared" si="3"/>
        <v>* differential.element[38].mapping[0].map = ".bodySite.where(extension(http://hl7.org/fhir/us/mcode/StructureDefinition/mcode-body-location-qualifier).valueCodeableConcept = http://snomed.info/sct#272488003 'From-structure')"</v>
      </c>
      <c r="J48" s="19" t="str">
        <f t="shared" si="4"/>
        <v/>
      </c>
    </row>
    <row r="49" spans="1:10" ht="88.5" x14ac:dyDescent="0.75">
      <c r="A49" s="20">
        <v>0</v>
      </c>
      <c r="B49" s="20">
        <f>'Rad-1'!A45</f>
        <v>39</v>
      </c>
      <c r="C49" s="20" t="str">
        <f>'Rad-1'!B45</f>
        <v>target.boost.to</v>
      </c>
      <c r="D49" s="21" t="s">
        <v>1260</v>
      </c>
      <c r="E49" s="20"/>
      <c r="G49" s="18" t="b">
        <f t="shared" si="1"/>
        <v>1</v>
      </c>
      <c r="H49" s="19" t="str">
        <f t="shared" si="2"/>
        <v>* differential.element[39].mapping[0].identity = "fhir"</v>
      </c>
      <c r="I49" s="19" t="str">
        <f t="shared" si="3"/>
        <v>* differential.element[39].mapping[0].map = ".bodySite.where(extension(http://hl7.org/fhir/us/mcode/StructureDefinition/mcode-body-location-qualifier).valueCodeableConcept = http://hl7.eu/fhir/ig/pcsp/CodeSystem/cs-generic-eu-pcsp#to-structure 'To-structure')"</v>
      </c>
      <c r="J49" s="19" t="str">
        <f t="shared" si="4"/>
        <v/>
      </c>
    </row>
    <row r="50" spans="1:10" ht="59" x14ac:dyDescent="0.75">
      <c r="A50" s="20">
        <v>0</v>
      </c>
      <c r="B50" s="20">
        <f>'Rad-1'!A46</f>
        <v>40</v>
      </c>
      <c r="C50" s="20" t="str">
        <f>'Rad-1'!B46</f>
        <v>target.boost.position</v>
      </c>
      <c r="D50" s="20" t="s">
        <v>1261</v>
      </c>
      <c r="E50" s="20"/>
      <c r="G50" s="18" t="b">
        <f t="shared" si="1"/>
        <v>1</v>
      </c>
      <c r="H50" s="19" t="str">
        <f t="shared" si="2"/>
        <v>* differential.element[40].mapping[0].identity = "fhir"</v>
      </c>
      <c r="I50" s="19" t="str">
        <f t="shared" si="3"/>
        <v>* differential.element[40].mapping[0].map = ".extension(http://hl7.org/fhir/us/mcode/StructureDefinition/mcode-body-location-qualifier).valueCodeableConcept"</v>
      </c>
      <c r="J50" s="19" t="str">
        <f t="shared" si="4"/>
        <v/>
      </c>
    </row>
    <row r="51" spans="1:10" ht="88.5" x14ac:dyDescent="0.75">
      <c r="A51" s="20">
        <v>0</v>
      </c>
      <c r="B51" s="20">
        <f>'Rad-1'!A47</f>
        <v>41</v>
      </c>
      <c r="C51" s="20" t="str">
        <f>'Rad-1'!B47</f>
        <v>target.boost.totalDose</v>
      </c>
      <c r="D51" s="21" t="s">
        <v>1247</v>
      </c>
      <c r="E51" s="20"/>
      <c r="G51" s="18" t="b">
        <f t="shared" si="1"/>
        <v>1</v>
      </c>
      <c r="H51" s="19" t="str">
        <f t="shared" si="2"/>
        <v>* differential.element[41].mapping[0].identity = "fhir"</v>
      </c>
      <c r="I51" s="19" t="str">
        <f t="shared" si="3"/>
        <v>* differential.element[41].mapping[0].map = ".extension(http://hl7.eu/fhir/ig/pcsp/StructureDefinition/ResourceRelatedInfo-eu-pcsp).resolve().conformsTo(http://hl7.eu/fhir/ig/pcsp/StructureDefinition/Observation-cumulativeDoseRad-eu-pcsp)"</v>
      </c>
      <c r="J51" s="19" t="str">
        <f t="shared" si="4"/>
        <v/>
      </c>
    </row>
    <row r="52" spans="1:10" ht="29.5" x14ac:dyDescent="0.75">
      <c r="A52" s="20">
        <v>0</v>
      </c>
      <c r="B52" s="20">
        <f>'Rad-1'!A48</f>
        <v>42</v>
      </c>
      <c r="C52" s="20" t="str">
        <f>'Rad-1'!B48</f>
        <v>target.boost.totalDose.completionStatus</v>
      </c>
      <c r="D52" s="20" t="s">
        <v>1129</v>
      </c>
      <c r="E52" s="20"/>
      <c r="G52" s="18" t="b">
        <f t="shared" si="1"/>
        <v>1</v>
      </c>
      <c r="H52" s="19" t="str">
        <f t="shared" si="2"/>
        <v>* differential.element[42].mapping[0].identity = "fhir"</v>
      </c>
      <c r="I52" s="19" t="str">
        <f t="shared" si="3"/>
        <v>* differential.element[42].mapping[0].map = ".status = #preliminary"</v>
      </c>
      <c r="J52" s="19" t="str">
        <f t="shared" si="4"/>
        <v/>
      </c>
    </row>
    <row r="53" spans="1:10" ht="44.25" x14ac:dyDescent="0.75">
      <c r="A53" s="20">
        <v>0</v>
      </c>
      <c r="B53" s="20">
        <f>'Rad-1'!A49</f>
        <v>43</v>
      </c>
      <c r="C53" s="20" t="str">
        <f>'Rad-1'!B49</f>
        <v>target.boost.totalDose.statusReason</v>
      </c>
      <c r="D53" s="20" t="s">
        <v>1130</v>
      </c>
      <c r="E53" s="20"/>
      <c r="G53" s="18" t="b">
        <f t="shared" si="1"/>
        <v>1</v>
      </c>
      <c r="H53" s="19" t="str">
        <f t="shared" si="2"/>
        <v>* differential.element[43].mapping[0].identity = "fhir"</v>
      </c>
      <c r="I53" s="19" t="str">
        <f t="shared" si="3"/>
        <v>* differential.element[43].mapping[0].map = ".extension('http://hl7.org/fhir/StructureDefinition/event-statusReason')"</v>
      </c>
      <c r="J53" s="19" t="str">
        <f t="shared" si="4"/>
        <v/>
      </c>
    </row>
    <row r="54" spans="1:10" ht="59" x14ac:dyDescent="0.75">
      <c r="A54" s="20">
        <v>0</v>
      </c>
      <c r="B54" s="20">
        <f>'Rad-1'!A50</f>
        <v>44</v>
      </c>
      <c r="C54" s="20" t="str">
        <f>'Rad-1'!B50</f>
        <v>target.boost.totalDose.notKnown</v>
      </c>
      <c r="D54" s="20" t="s">
        <v>1126</v>
      </c>
      <c r="E54" s="20"/>
      <c r="G54" s="18" t="b">
        <f t="shared" si="1"/>
        <v>1</v>
      </c>
      <c r="H54" s="19" t="str">
        <f t="shared" si="2"/>
        <v>* differential.element[44].mapping[0].identity = "fhir"</v>
      </c>
      <c r="I54" s="19" t="str">
        <f t="shared" si="3"/>
        <v>* differential.element[44].mapping[0].map = ".valueCodeableConcept = http://terminology.hl7.org/CodeSystem/data-absent-reason#unknown"</v>
      </c>
      <c r="J54" s="19" t="str">
        <f t="shared" si="4"/>
        <v/>
      </c>
    </row>
    <row r="55" spans="1:10" ht="29.5" x14ac:dyDescent="0.75">
      <c r="A55" s="20">
        <v>0</v>
      </c>
      <c r="B55" s="20">
        <f>'Rad-1'!A51</f>
        <v>45</v>
      </c>
      <c r="C55" s="20" t="str">
        <f>'Rad-1'!B51</f>
        <v>target.boost.totalDose.dose</v>
      </c>
      <c r="D55" s="20" t="s">
        <v>1131</v>
      </c>
      <c r="E55" s="20"/>
      <c r="G55" s="18" t="b">
        <f t="shared" si="1"/>
        <v>1</v>
      </c>
      <c r="H55" s="19" t="str">
        <f t="shared" si="2"/>
        <v>* differential.element[45].mapping[0].identity = "fhir"</v>
      </c>
      <c r="I55" s="19" t="str">
        <f t="shared" si="3"/>
        <v>* differential.element[45].mapping[0].map = ".valueQuantity.value"</v>
      </c>
      <c r="J55" s="19" t="str">
        <f t="shared" si="4"/>
        <v/>
      </c>
    </row>
    <row r="56" spans="1:10" ht="29.5" x14ac:dyDescent="0.75">
      <c r="A56" s="20">
        <v>0</v>
      </c>
      <c r="B56" s="20">
        <f>'Rad-1'!A52</f>
        <v>46</v>
      </c>
      <c r="C56" s="20" t="str">
        <f>'Rad-1'!B52</f>
        <v>target.boost.totalDose.unit</v>
      </c>
      <c r="D56" s="20" t="s">
        <v>1253</v>
      </c>
      <c r="E56" s="20"/>
      <c r="G56" s="18" t="b">
        <f t="shared" si="1"/>
        <v>1</v>
      </c>
      <c r="H56" s="19" t="str">
        <f t="shared" si="2"/>
        <v>* differential.element[46].mapping[0].identity = "fhir"</v>
      </c>
      <c r="I56" s="19" t="str">
        <f t="shared" si="3"/>
        <v>* differential.element[46].mapping[0].map = ".valueQuantity.code"</v>
      </c>
      <c r="J56" s="19" t="str">
        <f t="shared" si="4"/>
        <v/>
      </c>
    </row>
    <row r="57" spans="1:10" ht="59" x14ac:dyDescent="0.75">
      <c r="A57" s="20">
        <v>0</v>
      </c>
      <c r="B57" s="20">
        <f>'Rad-1'!A53</f>
        <v>47</v>
      </c>
      <c r="C57" s="20" t="str">
        <f>'Rad-1'!B53</f>
        <v>target.boost.totalDose.fractions</v>
      </c>
      <c r="D57" s="20" t="s">
        <v>1246</v>
      </c>
      <c r="E57" s="20"/>
      <c r="G57" s="18" t="b">
        <f t="shared" si="1"/>
        <v>1</v>
      </c>
      <c r="H57" s="19" t="str">
        <f t="shared" si="2"/>
        <v>* differential.element[47].mapping[0].identity = "fhir"</v>
      </c>
      <c r="I57" s="19" t="str">
        <f t="shared" si="3"/>
        <v>* differential.element[47].mapping[0].map = ".extension(http://hl7.eu/fhir/ig/pcsp/StructureDefinition/procedure-performedTiming).valueTiming.repeat.count"</v>
      </c>
      <c r="J57" s="19" t="str">
        <f t="shared" si="4"/>
        <v/>
      </c>
    </row>
    <row r="58" spans="1:10" ht="59" x14ac:dyDescent="0.75">
      <c r="A58" s="20">
        <v>0</v>
      </c>
      <c r="B58" s="20">
        <f>'Rad-1'!A54</f>
        <v>48</v>
      </c>
      <c r="C58" s="20" t="str">
        <f>'Rad-1'!B54</f>
        <v>target.shielding</v>
      </c>
      <c r="D58" s="20" t="s">
        <v>1262</v>
      </c>
      <c r="E58" s="20"/>
      <c r="G58" s="18" t="b">
        <f t="shared" si="1"/>
        <v>1</v>
      </c>
      <c r="H58" s="19" t="str">
        <f t="shared" si="2"/>
        <v>* differential.element[48].mapping[0].identity = "fhir"</v>
      </c>
      <c r="I58" s="19" t="str">
        <f t="shared" si="3"/>
        <v>* differential.element[48].mapping[0].map = "Procedure.conformsTo('http://hl7.eu/fhir/ig/pcsp/StructureDefinition/Procedure-radiotheraphyShield-eu-pcsp')"</v>
      </c>
      <c r="J58" s="19" t="str">
        <f t="shared" si="4"/>
        <v/>
      </c>
    </row>
    <row r="59" spans="1:10" ht="29.5" x14ac:dyDescent="0.75">
      <c r="A59" s="20">
        <v>0</v>
      </c>
      <c r="B59" s="20">
        <f>'Rad-1'!A55</f>
        <v>49</v>
      </c>
      <c r="C59" s="20" t="str">
        <f>'Rad-1'!B55</f>
        <v>target.shielding.status</v>
      </c>
      <c r="D59" s="20" t="s">
        <v>1256</v>
      </c>
      <c r="E59" s="20"/>
      <c r="G59" s="18" t="b">
        <f t="shared" si="1"/>
        <v>1</v>
      </c>
      <c r="H59" s="19" t="str">
        <f t="shared" si="2"/>
        <v>* differential.element[49].mapping[0].identity = "fhir"</v>
      </c>
      <c r="I59" s="19" t="str">
        <f t="shared" si="3"/>
        <v>* differential.element[49].mapping[0].map = ".status"</v>
      </c>
      <c r="J59" s="19" t="str">
        <f t="shared" si="4"/>
        <v/>
      </c>
    </row>
    <row r="60" spans="1:10" ht="29.5" x14ac:dyDescent="0.75">
      <c r="A60" s="20">
        <v>0</v>
      </c>
      <c r="B60" s="20">
        <f>'Rad-1'!A56</f>
        <v>50</v>
      </c>
      <c r="C60" s="20" t="str">
        <f>'Rad-1'!B56</f>
        <v>target.shielding.position</v>
      </c>
      <c r="D60" s="20" t="s">
        <v>75</v>
      </c>
      <c r="E60" s="20"/>
      <c r="G60" s="18" t="b">
        <f t="shared" si="1"/>
        <v>1</v>
      </c>
      <c r="H60" s="19" t="str">
        <f t="shared" si="2"/>
        <v>* differential.element[50].mapping[0].identity = "fhir"</v>
      </c>
      <c r="I60" s="19" t="str">
        <f t="shared" si="3"/>
        <v>* differential.element[50].mapping[0].map = ".bodySite"</v>
      </c>
      <c r="J60" s="19" t="str">
        <f t="shared" si="4"/>
        <v/>
      </c>
    </row>
    <row r="61" spans="1:10" ht="29.5" x14ac:dyDescent="0.75">
      <c r="A61" s="20">
        <v>0</v>
      </c>
      <c r="B61" s="20">
        <f>'Rad-1'!A57</f>
        <v>51</v>
      </c>
      <c r="C61" s="20" t="str">
        <f>'Rad-1'!B57</f>
        <v>target.site.notes</v>
      </c>
      <c r="D61" s="20" t="s">
        <v>1258</v>
      </c>
      <c r="E61" s="20"/>
      <c r="G61" s="18" t="b">
        <f t="shared" si="1"/>
        <v>1</v>
      </c>
      <c r="H61" s="19" t="str">
        <f t="shared" si="2"/>
        <v>* differential.element[51].mapping[0].identity = "fhir"</v>
      </c>
      <c r="I61" s="19" t="str">
        <f t="shared" si="3"/>
        <v>* differential.element[51].mapping[0].map = ".note"</v>
      </c>
      <c r="J61" s="19" t="str">
        <f t="shared" si="4"/>
        <v/>
      </c>
    </row>
    <row r="62" spans="1:10" ht="59" x14ac:dyDescent="0.75">
      <c r="A62" s="20">
        <v>0</v>
      </c>
      <c r="B62" s="20">
        <f>'Rad-1'!A58</f>
        <v>52</v>
      </c>
      <c r="C62" s="20" t="str">
        <f>'Rad-1'!B58</f>
        <v>organAtRisk</v>
      </c>
      <c r="D62" s="20" t="s">
        <v>1263</v>
      </c>
      <c r="E62" s="20"/>
      <c r="G62" s="18" t="b">
        <f t="shared" si="1"/>
        <v>1</v>
      </c>
      <c r="H62" s="19" t="str">
        <f t="shared" si="2"/>
        <v>* differential.element[52].mapping[0].identity = "fhir"</v>
      </c>
      <c r="I62" s="19" t="str">
        <f t="shared" si="3"/>
        <v>* differential.element[52].mapping[0].map = ".extension(http://hl7.org/fhir/StructureDefinition/workflow-supportingInfo).ofType(DocumentReference)"</v>
      </c>
      <c r="J62" s="19" t="str">
        <f t="shared" si="4"/>
        <v/>
      </c>
    </row>
    <row r="63" spans="1:10" ht="29.5" x14ac:dyDescent="0.75">
      <c r="A63" s="20">
        <v>0</v>
      </c>
      <c r="B63" s="20">
        <f>'Rad-1'!A59</f>
        <v>53</v>
      </c>
      <c r="C63" s="20" t="str">
        <f>'Rad-1'!B59</f>
        <v>organAtRisk.dosimetry</v>
      </c>
      <c r="D63" s="137" t="s">
        <v>1136</v>
      </c>
      <c r="E63" s="20"/>
      <c r="G63" s="18" t="b">
        <f t="shared" si="1"/>
        <v>1</v>
      </c>
      <c r="H63" s="19" t="str">
        <f t="shared" si="2"/>
        <v>* differential.element[53].mapping[0].identity = "fhir"</v>
      </c>
      <c r="I63" s="19" t="str">
        <f t="shared" si="3"/>
        <v>* differential.element[53].mapping[0].map = ".exists()"</v>
      </c>
    </row>
    <row r="64" spans="1:10" ht="29.5" x14ac:dyDescent="0.75">
      <c r="A64" s="20">
        <v>0</v>
      </c>
      <c r="B64" s="20">
        <f>'Rad-1'!A60</f>
        <v>54</v>
      </c>
      <c r="C64" s="20" t="str">
        <f>'Rad-1'!B60</f>
        <v>organAtRisk.dosimetryDocument</v>
      </c>
      <c r="D64" s="137" t="s">
        <v>1264</v>
      </c>
      <c r="E64" s="20"/>
      <c r="G64" s="18" t="b">
        <f t="shared" si="1"/>
        <v>1</v>
      </c>
      <c r="H64" s="19" t="str">
        <f t="shared" si="2"/>
        <v>* differential.element[54].mapping[0].identity = "fhir"</v>
      </c>
      <c r="I64" s="19" t="str">
        <f t="shared" si="3"/>
        <v>* differential.element[54].mapping[0].map = "."</v>
      </c>
    </row>
    <row r="65" spans="1:9" ht="59" x14ac:dyDescent="0.75">
      <c r="A65" s="20">
        <v>0</v>
      </c>
      <c r="B65" s="20">
        <f>'Rad-1'!A61</f>
        <v>55</v>
      </c>
      <c r="C65" s="20" t="str">
        <f>'Rad-1'!B61</f>
        <v>files</v>
      </c>
      <c r="D65" s="20" t="s">
        <v>1263</v>
      </c>
      <c r="E65" s="20"/>
      <c r="G65" s="18" t="b">
        <f t="shared" si="1"/>
        <v>1</v>
      </c>
      <c r="H65" s="19" t="str">
        <f t="shared" si="2"/>
        <v>* differential.element[55].mapping[0].identity = "fhir"</v>
      </c>
      <c r="I65" s="19" t="str">
        <f t="shared" si="3"/>
        <v>* differential.element[55].mapping[0].map = ".extension(http://hl7.org/fhir/StructureDefinition/workflow-supportingInfo).ofType(DocumentReference)"</v>
      </c>
    </row>
    <row r="66" spans="1:9" ht="29.5" x14ac:dyDescent="0.75">
      <c r="A66" s="20">
        <v>0</v>
      </c>
      <c r="B66" s="20">
        <f>'Rad-1'!A62</f>
        <v>56</v>
      </c>
      <c r="C66" s="20" t="str">
        <f>'Rad-1'!B62</f>
        <v>notes</v>
      </c>
      <c r="D66" s="20" t="s">
        <v>1258</v>
      </c>
      <c r="E66" s="20"/>
      <c r="G66" s="18" t="b">
        <f t="shared" si="1"/>
        <v>1</v>
      </c>
      <c r="H66" s="19" t="str">
        <f t="shared" si="2"/>
        <v>* differential.element[56].mapping[0].identity = "fhir"</v>
      </c>
      <c r="I66" s="19" t="str">
        <f t="shared" si="3"/>
        <v>* differential.element[56].mapping[0].map = ".note"</v>
      </c>
    </row>
    <row r="67" spans="1:9" x14ac:dyDescent="0.75">
      <c r="A67" s="20"/>
      <c r="B67" s="20"/>
      <c r="C67" s="20"/>
      <c r="D67" s="20"/>
      <c r="E67" s="20"/>
      <c r="G67" s="18" t="b">
        <f t="shared" si="1"/>
        <v>0</v>
      </c>
      <c r="H67" s="19" t="str">
        <f t="shared" si="2"/>
        <v/>
      </c>
      <c r="I67" s="19" t="str">
        <f t="shared" si="3"/>
        <v/>
      </c>
    </row>
    <row r="68" spans="1:9" x14ac:dyDescent="0.75">
      <c r="A68" s="20"/>
      <c r="B68" s="20"/>
      <c r="C68" s="20"/>
      <c r="D68" s="20"/>
      <c r="E68" s="20"/>
      <c r="G68" s="18" t="b">
        <f t="shared" si="1"/>
        <v>0</v>
      </c>
      <c r="H68" s="19" t="str">
        <f t="shared" si="2"/>
        <v/>
      </c>
      <c r="I68" s="19" t="str">
        <f t="shared" si="3"/>
        <v/>
      </c>
    </row>
    <row r="69" spans="1:9" x14ac:dyDescent="0.75">
      <c r="A69" s="20"/>
      <c r="B69" s="20"/>
      <c r="C69" s="20"/>
      <c r="D69" s="20"/>
      <c r="E69" s="20"/>
      <c r="G69" s="18" t="b">
        <f t="shared" si="1"/>
        <v>0</v>
      </c>
      <c r="H69" s="19" t="str">
        <f t="shared" si="2"/>
        <v/>
      </c>
      <c r="I69" s="19" t="str">
        <f t="shared" si="3"/>
        <v/>
      </c>
    </row>
    <row r="70" spans="1:9" x14ac:dyDescent="0.75">
      <c r="A70" s="20"/>
      <c r="B70" s="20"/>
      <c r="C70" s="138"/>
      <c r="G70" s="18" t="b">
        <f t="shared" si="1"/>
        <v>0</v>
      </c>
      <c r="H70" s="19" t="str">
        <f t="shared" si="2"/>
        <v/>
      </c>
      <c r="I70" s="19" t="str">
        <f t="shared" si="3"/>
        <v/>
      </c>
    </row>
    <row r="71" spans="1:9" x14ac:dyDescent="0.75">
      <c r="A71" s="20"/>
      <c r="B71" s="20"/>
      <c r="C71" s="20"/>
    </row>
    <row r="72" spans="1:9" x14ac:dyDescent="0.75">
      <c r="A72" s="20"/>
      <c r="B72" s="20"/>
      <c r="C72" s="20"/>
    </row>
    <row r="73" spans="1:9" x14ac:dyDescent="0.75">
      <c r="A73" s="20"/>
      <c r="B73" s="20"/>
      <c r="C73" s="20"/>
    </row>
    <row r="74" spans="1:9" x14ac:dyDescent="0.75">
      <c r="A74" s="20"/>
      <c r="B74" s="20"/>
      <c r="C74" s="20"/>
    </row>
    <row r="75" spans="1:9" x14ac:dyDescent="0.75">
      <c r="A75" s="20"/>
      <c r="B75" s="20"/>
      <c r="C75" s="20"/>
    </row>
    <row r="76" spans="1:9" x14ac:dyDescent="0.75">
      <c r="A76" s="20"/>
      <c r="B76" s="20"/>
      <c r="C76" s="20"/>
    </row>
    <row r="77" spans="1:9" x14ac:dyDescent="0.75">
      <c r="A77" s="20"/>
      <c r="B77" s="20"/>
      <c r="C77" s="20"/>
    </row>
    <row r="78" spans="1:9" x14ac:dyDescent="0.75">
      <c r="A78" s="20"/>
      <c r="B78" s="20"/>
      <c r="C78" s="20"/>
    </row>
    <row r="79" spans="1:9" x14ac:dyDescent="0.75">
      <c r="A79" s="20"/>
      <c r="B79" s="20"/>
      <c r="C79" s="20"/>
    </row>
    <row r="80" spans="1:9" x14ac:dyDescent="0.75">
      <c r="A80" s="20"/>
      <c r="B80" s="20"/>
      <c r="C80" s="20"/>
    </row>
    <row r="81" spans="1:3" x14ac:dyDescent="0.75">
      <c r="A81" s="20"/>
      <c r="B81" s="20"/>
      <c r="C81" s="20"/>
    </row>
    <row r="82" spans="1:3" x14ac:dyDescent="0.75">
      <c r="A82" s="20"/>
      <c r="B82" s="20"/>
      <c r="C82" s="20"/>
    </row>
    <row r="83" spans="1:3" x14ac:dyDescent="0.75">
      <c r="A83" s="20"/>
      <c r="B83" s="20"/>
      <c r="C83" s="20"/>
    </row>
    <row r="84" spans="1:3" x14ac:dyDescent="0.75">
      <c r="A84" s="20"/>
      <c r="B84" s="20"/>
      <c r="C84" s="20"/>
    </row>
    <row r="85" spans="1:3" x14ac:dyDescent="0.75">
      <c r="A85" s="20"/>
      <c r="B85" s="20"/>
      <c r="C85" s="20"/>
    </row>
    <row r="86" spans="1:3" x14ac:dyDescent="0.75">
      <c r="A86" s="20"/>
      <c r="B86" s="20"/>
      <c r="C86" s="20"/>
    </row>
    <row r="87" spans="1:3" x14ac:dyDescent="0.75">
      <c r="A87" s="20"/>
      <c r="B87" s="20"/>
      <c r="C87" s="20"/>
    </row>
    <row r="88" spans="1:3" x14ac:dyDescent="0.75">
      <c r="A88" s="20"/>
      <c r="B88" s="20"/>
      <c r="C88" s="20"/>
    </row>
    <row r="89" spans="1:3" x14ac:dyDescent="0.75">
      <c r="A89" s="20"/>
      <c r="B89" s="20"/>
      <c r="C89" s="20"/>
    </row>
    <row r="90" spans="1:3" x14ac:dyDescent="0.75">
      <c r="A90" s="20"/>
      <c r="B90" s="20"/>
      <c r="C90" s="20"/>
    </row>
    <row r="91" spans="1:3" x14ac:dyDescent="0.75">
      <c r="A91" s="20"/>
      <c r="B91" s="20"/>
      <c r="C91" s="20"/>
    </row>
    <row r="92" spans="1:3" x14ac:dyDescent="0.75">
      <c r="A92" s="20"/>
      <c r="B92" s="20"/>
      <c r="C92" s="20"/>
    </row>
    <row r="93" spans="1:3" x14ac:dyDescent="0.75">
      <c r="A93" s="20"/>
      <c r="B93" s="20"/>
      <c r="C93" s="20"/>
    </row>
    <row r="94" spans="1:3" x14ac:dyDescent="0.75">
      <c r="A94" s="20"/>
      <c r="B94" s="20"/>
      <c r="C94" s="20"/>
    </row>
    <row r="95" spans="1:3" x14ac:dyDescent="0.75">
      <c r="A95" s="20"/>
      <c r="B95" s="20"/>
      <c r="C95" s="20"/>
    </row>
    <row r="96" spans="1:3" x14ac:dyDescent="0.75">
      <c r="A96" s="20"/>
      <c r="B96" s="20"/>
      <c r="C96" s="20"/>
    </row>
    <row r="97" spans="1:2" x14ac:dyDescent="0.75">
      <c r="A97" s="20"/>
      <c r="B97" s="20"/>
    </row>
    <row r="98" spans="1:2" x14ac:dyDescent="0.75">
      <c r="A98" s="20"/>
      <c r="B98" s="20"/>
    </row>
    <row r="99" spans="1:2" x14ac:dyDescent="0.75">
      <c r="A99" s="20"/>
      <c r="B99" s="20"/>
    </row>
    <row r="100" spans="1:2" x14ac:dyDescent="0.75">
      <c r="A100" s="20"/>
      <c r="B100" s="20"/>
    </row>
    <row r="101" spans="1:2" x14ac:dyDescent="0.75">
      <c r="A101" s="20"/>
      <c r="B101" s="20"/>
    </row>
    <row r="102" spans="1:2" x14ac:dyDescent="0.75">
      <c r="A102" s="20"/>
      <c r="B102" s="20"/>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68836-7618-4BE4-937B-0CB81DB3F766}">
  <sheetPr codeName="Foglio43">
    <tabColor rgb="FFFFFF00"/>
  </sheetPr>
  <dimension ref="E1:E202"/>
  <sheetViews>
    <sheetView workbookViewId="0">
      <selection activeCell="E1" sqref="E1"/>
    </sheetView>
  </sheetViews>
  <sheetFormatPr defaultRowHeight="14.75" x14ac:dyDescent="0.75"/>
  <cols>
    <col min="5" max="5" width="96.86328125" customWidth="1"/>
  </cols>
  <sheetData>
    <row r="1" spans="5:5" x14ac:dyDescent="0.75">
      <c r="E1" s="18" t="str">
        <f>'RelAftFlt-fsh'!C3</f>
        <v>// -------------------------------------------------------------------------------</v>
      </c>
    </row>
    <row r="2" spans="5:5" x14ac:dyDescent="0.75">
      <c r="E2" s="18" t="str">
        <f>'RelAftFlt-fsh'!C4</f>
        <v>Logical: RelapseAfterFLTPcsp</v>
      </c>
    </row>
    <row r="3" spans="5:5" x14ac:dyDescent="0.75">
      <c r="E3" s="18" t="str">
        <f>'RelAftFlt-fsh'!C5</f>
        <v>Id: RelapseAfterFLT</v>
      </c>
    </row>
    <row r="4" spans="5:5" x14ac:dyDescent="0.75">
      <c r="E4" s="18" t="str">
        <f>'RelAftFlt-fsh'!C6</f>
        <v>Title: ##34#Progression-Relapse after FLT##34#</v>
      </c>
    </row>
    <row r="5" spans="5:5" x14ac:dyDescent="0.75">
      <c r="E5" s="18" t="str">
        <f>'RelAftFlt-fsh'!C7</f>
        <v>Description:  ##334#Progression-Relapse after FLT
Maturity Level: 2 - Ready for Review##334#</v>
      </c>
    </row>
    <row r="6" spans="5:5" x14ac:dyDescent="0.75">
      <c r="E6" s="18" t="str">
        <f>'RelAftFlt-fsh'!C8</f>
        <v>* identifier 0..1 Identifier ##34#Progression-relapse after FLT number##34# ##334#Progressive number of progression/relapse (1=first; 2= second; 3 = third; …) after the end of treatment.
In this field must be reported the ordinal number of the progression/relapse after the end of treatment.##334#</v>
      </c>
    </row>
    <row r="7" spans="5:5" x14ac:dyDescent="0.75">
      <c r="E7" s="18" t="str">
        <f>'RelAftFlt-fsh'!C9</f>
        <v>* relatedDiagnosis 0..1 Identifier ##34#Progressive number of diagnosis##34# ##334#Progressive number of diagnosis (1=first; 2= second; 3 = third; …).  
In this field must be reported the ordinal number of the tumor diagnosis in which progression/relapse ocuured during front line treatment.##334#</v>
      </c>
    </row>
    <row r="8" spans="5:5" x14ac:dyDescent="0.75">
      <c r="E8" s="18" t="str">
        <f>'RelAftFlt-fsh'!C10</f>
        <v>* date 0..1 date ##34#date of relapse##34# ##334#Report here the date (dd/mm/yyyy ) of the relapse/progression. If the date is unkown or partially missed insert the year at the best of your knowledge.##334#</v>
      </c>
    </row>
    <row r="9" spans="5:5" x14ac:dyDescent="0.75">
      <c r="E9" s="18" t="str">
        <f>'RelAftFlt-fsh'!C11</f>
        <v>* relapseOrProgression 0..1 CodeableConcept ##34#relapse | progression##34# ##334#Report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NK##334#</v>
      </c>
    </row>
    <row r="10" spans="5:5" x14ac:dyDescent="0.75">
      <c r="E10" s="18" t="str">
        <f>'RelAftFlt-fsh'!C12</f>
        <v>* type 0..1 CodeableConcept ##34#local | distant | combined##34# ##334#Please define if the relapse/progression was local, distant or combined.
##334#</v>
      </c>
    </row>
    <row r="11" spans="5:5" x14ac:dyDescent="0.75">
      <c r="E11" s="18" t="str">
        <f>'RelAftFlt-fsh'!C13</f>
        <v>* site 0..1 string ##34#If distant, site of metastases##34# ##334#Please define if the relapse/progression was local, distant or combined.
##334#</v>
      </c>
    </row>
    <row r="12" spans="5:5" x14ac:dyDescent="0.75">
      <c r="E12" s="18" t="str">
        <f>'RelAftFlt-fsh'!C14</f>
        <v>//--- END</v>
      </c>
    </row>
    <row r="13" spans="5:5" x14ac:dyDescent="0.75">
      <c r="E13" s="18" t="str">
        <f>'RelAftFlt-fsh'!C15</f>
        <v>//--- END</v>
      </c>
    </row>
    <row r="14" spans="5:5" x14ac:dyDescent="0.75">
      <c r="E14" s="18" t="str">
        <f>'RelAftFlt-fsh'!C16</f>
        <v>//--- END</v>
      </c>
    </row>
    <row r="15" spans="5:5" x14ac:dyDescent="0.75">
      <c r="E15" s="18" t="str">
        <f>'RelAftFlt-fsh'!C17</f>
        <v>//--- END</v>
      </c>
    </row>
    <row r="16" spans="5:5" x14ac:dyDescent="0.75">
      <c r="E16" s="18" t="str">
        <f>'RelAftFlt-fsh'!C18</f>
        <v>//--- END</v>
      </c>
    </row>
    <row r="17" spans="5:5" x14ac:dyDescent="0.75">
      <c r="E17" s="18">
        <f>'RelAftFlt-fsh'!C19</f>
        <v>0</v>
      </c>
    </row>
    <row r="18" spans="5:5" x14ac:dyDescent="0.75">
      <c r="E18" s="18">
        <f>'RelAftFlt-fsh'!C20</f>
        <v>0</v>
      </c>
    </row>
    <row r="19" spans="5:5" x14ac:dyDescent="0.75">
      <c r="E19" s="18">
        <f>'RelAftFlt-fsh'!C21</f>
        <v>0</v>
      </c>
    </row>
    <row r="20" spans="5:5" x14ac:dyDescent="0.75">
      <c r="E20" s="18">
        <f>'RelAftFlt-fsh'!C22</f>
        <v>0</v>
      </c>
    </row>
    <row r="21" spans="5:5" x14ac:dyDescent="0.75">
      <c r="E21" s="18">
        <f>'RelAftFlt-fsh'!C23</f>
        <v>0</v>
      </c>
    </row>
    <row r="22" spans="5:5" x14ac:dyDescent="0.75">
      <c r="E22" s="18">
        <f>'RelAftFlt-fsh'!C24</f>
        <v>0</v>
      </c>
    </row>
    <row r="23" spans="5:5" x14ac:dyDescent="0.75">
      <c r="E23" s="18">
        <f>'RelAftFlt-fsh'!C25</f>
        <v>0</v>
      </c>
    </row>
    <row r="24" spans="5:5" x14ac:dyDescent="0.75">
      <c r="E24" s="18">
        <f>'RelAftFlt-fsh'!C26</f>
        <v>0</v>
      </c>
    </row>
    <row r="25" spans="5:5" x14ac:dyDescent="0.75">
      <c r="E25" s="18">
        <f>'RelAftFlt-fsh'!C27</f>
        <v>0</v>
      </c>
    </row>
    <row r="26" spans="5:5" x14ac:dyDescent="0.75">
      <c r="E26" s="18">
        <f>'RelAftFlt-fsh'!C28</f>
        <v>0</v>
      </c>
    </row>
    <row r="27" spans="5:5" x14ac:dyDescent="0.75">
      <c r="E27" s="18">
        <f>'RelAftFlt-fsh'!C29</f>
        <v>0</v>
      </c>
    </row>
    <row r="28" spans="5:5" x14ac:dyDescent="0.75">
      <c r="E28" s="18" t="str">
        <f>'RelAftFlt-fsh'!C30</f>
        <v>// -------------------------------------------------------------------------------</v>
      </c>
    </row>
    <row r="29" spans="5:5" x14ac:dyDescent="0.75">
      <c r="E29" s="18" t="str">
        <f>'RelAftFlt-fsh'!C31</f>
        <v>//  Map to FHIR R4</v>
      </c>
    </row>
    <row r="30" spans="5:5" x14ac:dyDescent="0.75">
      <c r="E30" s="18" t="str">
        <f>'RelAftFlt-fsh'!C32</f>
        <v>// -------------------------------------------------------------------------------</v>
      </c>
    </row>
    <row r="31" spans="5:5" x14ac:dyDescent="0.75">
      <c r="E31" s="18" t="str">
        <f>'RelAftFlt-fsh'!C33</f>
        <v>Mapping: RelAfterFLT2Fhir</v>
      </c>
    </row>
    <row r="32" spans="5:5" x14ac:dyDescent="0.75">
      <c r="E32" s="18" t="str">
        <f>'RelAftFlt-fsh'!C34</f>
        <v>Id: fhir</v>
      </c>
    </row>
    <row r="33" spans="5:5" x14ac:dyDescent="0.75">
      <c r="E33" s="18" t="str">
        <f>'RelAftFlt-fsh'!C35</f>
        <v>Title: ##34#RelapseAfterFLT model to PCSP HL7 FHIR R4 Profiles##34#</v>
      </c>
    </row>
    <row r="34" spans="5:5" x14ac:dyDescent="0.75">
      <c r="E34" s="18" t="str">
        <f>'RelAftFlt-fsh'!C36</f>
        <v>Source: RelapseAfterFLT</v>
      </c>
    </row>
    <row r="35" spans="5:5" x14ac:dyDescent="0.75">
      <c r="E35" s="18" t="str">
        <f>'RelAftFlt-fsh'!C37</f>
        <v>Target: ##34#hl7.org/fhir/r4##34#</v>
      </c>
    </row>
    <row r="36" spans="5:5" x14ac:dyDescent="0.75">
      <c r="E36" s="18">
        <f>'RelAftFlt-fsh'!C38</f>
        <v>0</v>
      </c>
    </row>
    <row r="37" spans="5:5" x14ac:dyDescent="0.75">
      <c r="E37" s="18" t="str">
        <f>'RelAftFlt-fsh'!C39</f>
        <v>* . -&gt; ##34#Condition.conformsTo('http://hl7.eu/fhir/ig/pcsp/StructureDefinition/Condition-primaryCancer-eu-pcsp').where(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)##34#</v>
      </c>
    </row>
    <row r="38" spans="5:5" x14ac:dyDescent="0.75">
      <c r="E38" s="18" t="str">
        <f>'RelAftFlt-fsh'!C40</f>
        <v>* identifier -&gt; ##34#.identifier##34#</v>
      </c>
    </row>
    <row r="39" spans="5:5" x14ac:dyDescent="0.75">
      <c r="E39" s="18" t="str">
        <f>'RelAftFlt-fsh'!C41</f>
        <v>* relatedDiagnosis -&gt; ##34#.extension('http://hl7.org/fhir/StructureDefinition/condition-occurredFollowing')##34#</v>
      </c>
    </row>
    <row r="40" spans="5:5" x14ac:dyDescent="0.75">
      <c r="E40" s="18" t="str">
        <f>'RelAftFlt-fsh'!C42</f>
        <v>* date -&gt; ##34#.extension('http://hl7.org/fhir/StructureDefinition/condition-assertedDate')##34#</v>
      </c>
    </row>
    <row r="41" spans="5:5" x14ac:dyDescent="0.75">
      <c r="E41" s="18" t="str">
        <f>'RelAftFlt-fsh'!C43</f>
        <v>* relapseOrProgression -&gt; ##34#.extension('http://hl7.eu/fhir/ig/pcsp/StructureDefinition/condition-previousStatus').valueCodeableConcept OR Condition.where( clinicalStatus = #relapse or clinicalStatus = #recurrence).clinicalStatus##34#</v>
      </c>
    </row>
    <row r="42" spans="5:5" x14ac:dyDescent="0.75">
      <c r="E42" s="18" t="str">
        <f>'RelAftFlt-fsh'!C44</f>
        <v>* type -&gt; ##34#.extension('http://hl7.eu/fhir/ig/pcsp/StructureDefinition/condition-relapseType').valueCodeableConcept##34#</v>
      </c>
    </row>
    <row r="43" spans="5:5" x14ac:dyDescent="0.75">
      <c r="E43" s="18" t="str">
        <f>'RelAftFlt-fsh'!C45</f>
        <v>* site -&gt; ##34#.bodySite##34#</v>
      </c>
    </row>
    <row r="44" spans="5:5" x14ac:dyDescent="0.75">
      <c r="E44" s="18" t="str">
        <f>'RelAftFlt-fsh'!C46</f>
        <v>*  -&gt; ##34###34#</v>
      </c>
    </row>
    <row r="45" spans="5:5" x14ac:dyDescent="0.75">
      <c r="E45" s="18" t="str">
        <f>'RelAftFlt-fsh'!C47</f>
        <v>// --END</v>
      </c>
    </row>
    <row r="46" spans="5:5" x14ac:dyDescent="0.75">
      <c r="E46" s="18" t="str">
        <f>'RelAftFlt-fsh'!C48</f>
        <v>// --END</v>
      </c>
    </row>
    <row r="47" spans="5:5" x14ac:dyDescent="0.75">
      <c r="E47" s="18" t="str">
        <f>'RelAftFlt-fsh'!C49</f>
        <v>// --END</v>
      </c>
    </row>
    <row r="48" spans="5:5" x14ac:dyDescent="0.75">
      <c r="E48" s="18" t="str">
        <f>'RelAftFlt-fsh'!C50</f>
        <v>// --END</v>
      </c>
    </row>
    <row r="49" spans="5:5" x14ac:dyDescent="0.75">
      <c r="E49" s="18">
        <f>'RelAftFlt-fsh'!C51</f>
        <v>0</v>
      </c>
    </row>
    <row r="50" spans="5:5" x14ac:dyDescent="0.75">
      <c r="E50" s="18">
        <f>'RelAftFlt-fsh'!C52</f>
        <v>0</v>
      </c>
    </row>
    <row r="51" spans="5:5" x14ac:dyDescent="0.75">
      <c r="E51" s="18">
        <f>'RelAftFlt-fsh'!C53</f>
        <v>0</v>
      </c>
    </row>
    <row r="52" spans="5:5" x14ac:dyDescent="0.75">
      <c r="E52" s="18">
        <f>'RelAftFlt-fsh'!C54</f>
        <v>0</v>
      </c>
    </row>
    <row r="53" spans="5:5" x14ac:dyDescent="0.75">
      <c r="E53" s="18">
        <f>'RelAftFlt-fsh'!C55</f>
        <v>0</v>
      </c>
    </row>
    <row r="54" spans="5:5" x14ac:dyDescent="0.75">
      <c r="E54" s="18">
        <f>'RelAftFlt-fsh'!C56</f>
        <v>0</v>
      </c>
    </row>
    <row r="55" spans="5:5" x14ac:dyDescent="0.75">
      <c r="E55" s="18">
        <f>'RelAftFlt-fsh'!C57</f>
        <v>0</v>
      </c>
    </row>
    <row r="56" spans="5:5" x14ac:dyDescent="0.75">
      <c r="E56" s="18">
        <f>'RelAftFlt-fsh'!C58</f>
        <v>0</v>
      </c>
    </row>
    <row r="57" spans="5:5" x14ac:dyDescent="0.75">
      <c r="E57" s="18">
        <f>'RelAftFlt-fsh'!C59</f>
        <v>0</v>
      </c>
    </row>
    <row r="58" spans="5:5" x14ac:dyDescent="0.75">
      <c r="E58" s="18">
        <f>'RelAftFlt-fsh'!C60</f>
        <v>0</v>
      </c>
    </row>
    <row r="59" spans="5:5" x14ac:dyDescent="0.75">
      <c r="E59" s="18">
        <f>'RelAftFlt-fsh'!C61</f>
        <v>0</v>
      </c>
    </row>
    <row r="60" spans="5:5" x14ac:dyDescent="0.75">
      <c r="E60" s="18">
        <f>'RelAftFlt-fsh'!C62</f>
        <v>0</v>
      </c>
    </row>
    <row r="61" spans="5:5" x14ac:dyDescent="0.75">
      <c r="E61" s="18">
        <f>'RelAftFlt-fsh'!C63</f>
        <v>0</v>
      </c>
    </row>
    <row r="62" spans="5:5" x14ac:dyDescent="0.75">
      <c r="E62" s="18">
        <f>'RelAftFlt-fsh'!C64</f>
        <v>0</v>
      </c>
    </row>
    <row r="63" spans="5:5" x14ac:dyDescent="0.75">
      <c r="E63" s="18">
        <f>'RelAftFlt-fsh'!C65</f>
        <v>0</v>
      </c>
    </row>
    <row r="64" spans="5:5" x14ac:dyDescent="0.75">
      <c r="E64" s="18">
        <f>'RelAftFlt-fsh'!C66</f>
        <v>0</v>
      </c>
    </row>
    <row r="65" spans="5:5" x14ac:dyDescent="0.75">
      <c r="E65" s="18">
        <f>'RelAftFlt-fsh'!C67</f>
        <v>0</v>
      </c>
    </row>
    <row r="66" spans="5:5" x14ac:dyDescent="0.75">
      <c r="E66" s="18">
        <f>'RelAftFlt-fsh'!C68</f>
        <v>0</v>
      </c>
    </row>
    <row r="67" spans="5:5" x14ac:dyDescent="0.75">
      <c r="E67" s="18">
        <f>'RelAftFlt-fsh'!C69</f>
        <v>0</v>
      </c>
    </row>
    <row r="68" spans="5:5" x14ac:dyDescent="0.75">
      <c r="E68" s="18">
        <f>'RelAftFlt-fsh'!C70</f>
        <v>0</v>
      </c>
    </row>
    <row r="69" spans="5:5" x14ac:dyDescent="0.75">
      <c r="E69" s="18">
        <f>'RelAftFlt-fsh'!C71</f>
        <v>0</v>
      </c>
    </row>
    <row r="70" spans="5:5" x14ac:dyDescent="0.75">
      <c r="E70" s="18">
        <f>'RelAftFlt-fsh'!C72</f>
        <v>0</v>
      </c>
    </row>
    <row r="71" spans="5:5" x14ac:dyDescent="0.75">
      <c r="E71" s="18">
        <f>'RelAftFlt-fsh'!C73</f>
        <v>0</v>
      </c>
    </row>
    <row r="72" spans="5:5" x14ac:dyDescent="0.75">
      <c r="E72" s="18">
        <f>'RelAftFlt-fsh'!C74</f>
        <v>0</v>
      </c>
    </row>
    <row r="73" spans="5:5" x14ac:dyDescent="0.75">
      <c r="E73" s="18">
        <f>'RelAftFlt-fsh'!C75</f>
        <v>0</v>
      </c>
    </row>
    <row r="74" spans="5:5" x14ac:dyDescent="0.75">
      <c r="E74" s="18">
        <f>'RelAftFlt-fsh'!C76</f>
        <v>0</v>
      </c>
    </row>
    <row r="75" spans="5:5" x14ac:dyDescent="0.75">
      <c r="E75" s="18" t="e">
        <f>'RelAftFlt-fsh'!#REF!</f>
        <v>#REF!</v>
      </c>
    </row>
    <row r="76" spans="5:5" x14ac:dyDescent="0.75">
      <c r="E76" s="18" t="e">
        <f>'RelAftFlt-fsh'!#REF!</f>
        <v>#REF!</v>
      </c>
    </row>
    <row r="77" spans="5:5" x14ac:dyDescent="0.75">
      <c r="E77" s="18" t="e">
        <f>'RelAftFlt-fsh'!#REF!</f>
        <v>#REF!</v>
      </c>
    </row>
    <row r="78" spans="5:5" x14ac:dyDescent="0.75">
      <c r="E78" s="18" t="e">
        <f>'RelAftFlt-fsh'!#REF!</f>
        <v>#REF!</v>
      </c>
    </row>
    <row r="79" spans="5:5" x14ac:dyDescent="0.75">
      <c r="E79" s="18" t="e">
        <f>'RelAftFlt-fsh'!#REF!</f>
        <v>#REF!</v>
      </c>
    </row>
    <row r="80" spans="5:5" x14ac:dyDescent="0.75">
      <c r="E80" s="18" t="e">
        <f>'RelAftFlt-fsh'!#REF!</f>
        <v>#REF!</v>
      </c>
    </row>
    <row r="81" spans="5:5" x14ac:dyDescent="0.75">
      <c r="E81" s="18" t="e">
        <f>'RelAftFlt-fsh'!#REF!</f>
        <v>#REF!</v>
      </c>
    </row>
    <row r="82" spans="5:5" x14ac:dyDescent="0.75">
      <c r="E82" s="18" t="e">
        <f>'RelAftFlt-fsh'!#REF!</f>
        <v>#REF!</v>
      </c>
    </row>
    <row r="83" spans="5:5" x14ac:dyDescent="0.75">
      <c r="E83" s="18" t="e">
        <f>'RelAftFlt-fsh'!#REF!</f>
        <v>#REF!</v>
      </c>
    </row>
    <row r="84" spans="5:5" x14ac:dyDescent="0.75">
      <c r="E84" s="18" t="e">
        <f>'RelAftFlt-fsh'!#REF!</f>
        <v>#REF!</v>
      </c>
    </row>
    <row r="85" spans="5:5" x14ac:dyDescent="0.75">
      <c r="E85" s="18" t="e">
        <f>'RelAftFlt-fsh'!#REF!</f>
        <v>#REF!</v>
      </c>
    </row>
    <row r="86" spans="5:5" x14ac:dyDescent="0.75">
      <c r="E86" s="18" t="e">
        <f>'RelAftFlt-fsh'!#REF!</f>
        <v>#REF!</v>
      </c>
    </row>
    <row r="87" spans="5:5" x14ac:dyDescent="0.75">
      <c r="E87" s="18" t="e">
        <f>'RelAftFlt-fsh'!#REF!</f>
        <v>#REF!</v>
      </c>
    </row>
    <row r="88" spans="5:5" x14ac:dyDescent="0.75">
      <c r="E88" s="18" t="e">
        <f>'RelAftFlt-fsh'!#REF!</f>
        <v>#REF!</v>
      </c>
    </row>
    <row r="89" spans="5:5" x14ac:dyDescent="0.75">
      <c r="E89" s="18" t="e">
        <f>'RelAftFlt-fsh'!#REF!</f>
        <v>#REF!</v>
      </c>
    </row>
    <row r="90" spans="5:5" x14ac:dyDescent="0.75">
      <c r="E90" s="18" t="e">
        <f>'RelAftFlt-fsh'!#REF!</f>
        <v>#REF!</v>
      </c>
    </row>
    <row r="91" spans="5:5" x14ac:dyDescent="0.75">
      <c r="E91" s="18" t="e">
        <f>'RelAftFlt-fsh'!#REF!</f>
        <v>#REF!</v>
      </c>
    </row>
    <row r="92" spans="5:5" x14ac:dyDescent="0.75">
      <c r="E92" s="18" t="e">
        <f>'RelAftFlt-fsh'!#REF!</f>
        <v>#REF!</v>
      </c>
    </row>
    <row r="93" spans="5:5" x14ac:dyDescent="0.75">
      <c r="E93" s="18" t="e">
        <f>'RelAftFlt-fsh'!#REF!</f>
        <v>#REF!</v>
      </c>
    </row>
    <row r="94" spans="5:5" x14ac:dyDescent="0.75">
      <c r="E94" s="18" t="e">
        <f>'RelAftFlt-fsh'!#REF!</f>
        <v>#REF!</v>
      </c>
    </row>
    <row r="95" spans="5:5" x14ac:dyDescent="0.75">
      <c r="E95" s="18" t="e">
        <f>'RelAftFlt-fsh'!#REF!</f>
        <v>#REF!</v>
      </c>
    </row>
    <row r="96" spans="5:5" x14ac:dyDescent="0.75">
      <c r="E96" s="18" t="e">
        <f>'RelAftFlt-fsh'!#REF!</f>
        <v>#REF!</v>
      </c>
    </row>
    <row r="97" spans="5:5" x14ac:dyDescent="0.75">
      <c r="E97" s="18" t="e">
        <f>'RelAftFlt-fsh'!#REF!</f>
        <v>#REF!</v>
      </c>
    </row>
    <row r="98" spans="5:5" x14ac:dyDescent="0.75">
      <c r="E98" s="18" t="e">
        <f>'RelAftFlt-fsh'!#REF!</f>
        <v>#REF!</v>
      </c>
    </row>
    <row r="99" spans="5:5" x14ac:dyDescent="0.75">
      <c r="E99" s="18" t="e">
        <f>'RelAftFlt-fsh'!#REF!</f>
        <v>#REF!</v>
      </c>
    </row>
    <row r="100" spans="5:5" x14ac:dyDescent="0.75">
      <c r="E100" s="18" t="e">
        <f>'RelAftFlt-fsh'!#REF!</f>
        <v>#REF!</v>
      </c>
    </row>
    <row r="101" spans="5:5" x14ac:dyDescent="0.75">
      <c r="E101" s="18" t="e">
        <f>'RelAftFlt-fsh'!#REF!</f>
        <v>#REF!</v>
      </c>
    </row>
    <row r="102" spans="5:5" x14ac:dyDescent="0.75">
      <c r="E102" s="18" t="e">
        <f>'RelAftFlt-fsh'!#REF!</f>
        <v>#REF!</v>
      </c>
    </row>
    <row r="103" spans="5:5" x14ac:dyDescent="0.75">
      <c r="E103" s="18" t="e">
        <f>'RelAftFlt-fsh'!#REF!</f>
        <v>#REF!</v>
      </c>
    </row>
    <row r="104" spans="5:5" x14ac:dyDescent="0.75">
      <c r="E104" s="18" t="e">
        <f>'RelAftFlt-fsh'!#REF!</f>
        <v>#REF!</v>
      </c>
    </row>
    <row r="105" spans="5:5" x14ac:dyDescent="0.75">
      <c r="E105" s="18" t="e">
        <f>'RelAftFlt-fsh'!#REF!</f>
        <v>#REF!</v>
      </c>
    </row>
    <row r="106" spans="5:5" x14ac:dyDescent="0.75">
      <c r="E106" s="18" t="e">
        <f>'RelAftFlt-fsh'!#REF!</f>
        <v>#REF!</v>
      </c>
    </row>
    <row r="107" spans="5:5" x14ac:dyDescent="0.75">
      <c r="E107" s="18" t="e">
        <f>'RelAftFlt-fsh'!#REF!</f>
        <v>#REF!</v>
      </c>
    </row>
    <row r="108" spans="5:5" x14ac:dyDescent="0.75">
      <c r="E108" s="18" t="e">
        <f>'RelAftFlt-fsh'!#REF!</f>
        <v>#REF!</v>
      </c>
    </row>
    <row r="109" spans="5:5" x14ac:dyDescent="0.75">
      <c r="E109" s="18" t="e">
        <f>'RelAftFlt-fsh'!#REF!</f>
        <v>#REF!</v>
      </c>
    </row>
    <row r="110" spans="5:5" x14ac:dyDescent="0.75">
      <c r="E110" s="18" t="e">
        <f>'RelAftFlt-fsh'!#REF!</f>
        <v>#REF!</v>
      </c>
    </row>
    <row r="111" spans="5:5" x14ac:dyDescent="0.75">
      <c r="E111" s="18" t="e">
        <f>'RelAftFlt-fsh'!#REF!</f>
        <v>#REF!</v>
      </c>
    </row>
    <row r="112" spans="5:5" x14ac:dyDescent="0.75">
      <c r="E112" s="18" t="e">
        <f>'RelAftFlt-fsh'!#REF!</f>
        <v>#REF!</v>
      </c>
    </row>
    <row r="113" spans="5:5" x14ac:dyDescent="0.75">
      <c r="E113" s="18" t="e">
        <f>'RelAftFlt-fsh'!#REF!</f>
        <v>#REF!</v>
      </c>
    </row>
    <row r="114" spans="5:5" x14ac:dyDescent="0.75">
      <c r="E114" s="18" t="e">
        <f>'RelAftFlt-fsh'!#REF!</f>
        <v>#REF!</v>
      </c>
    </row>
    <row r="115" spans="5:5" x14ac:dyDescent="0.75">
      <c r="E115" s="18" t="e">
        <f>'RelAftFlt-fsh'!#REF!</f>
        <v>#REF!</v>
      </c>
    </row>
    <row r="116" spans="5:5" x14ac:dyDescent="0.75">
      <c r="E116" s="18" t="e">
        <f>'RelAftFlt-fsh'!#REF!</f>
        <v>#REF!</v>
      </c>
    </row>
    <row r="117" spans="5:5" x14ac:dyDescent="0.75">
      <c r="E117" s="18" t="e">
        <f>'RelAftFlt-fsh'!#REF!</f>
        <v>#REF!</v>
      </c>
    </row>
    <row r="118" spans="5:5" x14ac:dyDescent="0.75">
      <c r="E118" s="18" t="e">
        <f>'RelAftFlt-fsh'!#REF!</f>
        <v>#REF!</v>
      </c>
    </row>
    <row r="119" spans="5:5" x14ac:dyDescent="0.75">
      <c r="E119" s="18" t="e">
        <f>'RelAftFlt-fsh'!#REF!</f>
        <v>#REF!</v>
      </c>
    </row>
    <row r="120" spans="5:5" x14ac:dyDescent="0.75">
      <c r="E120" s="18" t="e">
        <f>'RelAftFlt-fsh'!#REF!</f>
        <v>#REF!</v>
      </c>
    </row>
    <row r="121" spans="5:5" x14ac:dyDescent="0.75">
      <c r="E121" s="18" t="e">
        <f>'RelAftFlt-fsh'!#REF!</f>
        <v>#REF!</v>
      </c>
    </row>
    <row r="122" spans="5:5" x14ac:dyDescent="0.75">
      <c r="E122" s="18" t="e">
        <f>'RelAftFlt-fsh'!#REF!</f>
        <v>#REF!</v>
      </c>
    </row>
    <row r="123" spans="5:5" x14ac:dyDescent="0.75">
      <c r="E123" s="18" t="e">
        <f>'RelAftFlt-fsh'!#REF!</f>
        <v>#REF!</v>
      </c>
    </row>
    <row r="124" spans="5:5" x14ac:dyDescent="0.75">
      <c r="E124" s="18" t="e">
        <f>'RelAftFlt-fsh'!#REF!</f>
        <v>#REF!</v>
      </c>
    </row>
    <row r="125" spans="5:5" x14ac:dyDescent="0.75">
      <c r="E125" s="18" t="e">
        <f>'RelAftFlt-fsh'!#REF!</f>
        <v>#REF!</v>
      </c>
    </row>
    <row r="126" spans="5:5" x14ac:dyDescent="0.75">
      <c r="E126" s="18" t="e">
        <f>'RelAftFlt-fsh'!#REF!</f>
        <v>#REF!</v>
      </c>
    </row>
    <row r="127" spans="5:5" x14ac:dyDescent="0.75">
      <c r="E127" s="18" t="e">
        <f>'RelAftFlt-fsh'!#REF!</f>
        <v>#REF!</v>
      </c>
    </row>
    <row r="128" spans="5:5" x14ac:dyDescent="0.75">
      <c r="E128" s="18" t="e">
        <f>'RelAftFlt-fsh'!#REF!</f>
        <v>#REF!</v>
      </c>
    </row>
    <row r="129" spans="5:5" x14ac:dyDescent="0.75">
      <c r="E129" s="18" t="e">
        <f>'RelAftFlt-fsh'!#REF!</f>
        <v>#REF!</v>
      </c>
    </row>
    <row r="130" spans="5:5" x14ac:dyDescent="0.75">
      <c r="E130" s="18" t="e">
        <f>'RelAftFlt-fsh'!#REF!</f>
        <v>#REF!</v>
      </c>
    </row>
    <row r="131" spans="5:5" x14ac:dyDescent="0.75">
      <c r="E131" s="18" t="e">
        <f>'RelAftFlt-fsh'!#REF!</f>
        <v>#REF!</v>
      </c>
    </row>
    <row r="132" spans="5:5" x14ac:dyDescent="0.75">
      <c r="E132" s="18" t="e">
        <f>'RelAftFlt-fsh'!#REF!</f>
        <v>#REF!</v>
      </c>
    </row>
    <row r="133" spans="5:5" x14ac:dyDescent="0.75">
      <c r="E133" s="18" t="e">
        <f>'RelAftFlt-fsh'!#REF!</f>
        <v>#REF!</v>
      </c>
    </row>
    <row r="134" spans="5:5" x14ac:dyDescent="0.75">
      <c r="E134" s="18" t="e">
        <f>'RelAftFlt-fsh'!#REF!</f>
        <v>#REF!</v>
      </c>
    </row>
    <row r="135" spans="5:5" x14ac:dyDescent="0.75">
      <c r="E135" s="18" t="e">
        <f>'RelAftFlt-fsh'!#REF!</f>
        <v>#REF!</v>
      </c>
    </row>
    <row r="136" spans="5:5" x14ac:dyDescent="0.75">
      <c r="E136" s="18" t="e">
        <f>'RelAftFlt-fsh'!#REF!</f>
        <v>#REF!</v>
      </c>
    </row>
    <row r="137" spans="5:5" x14ac:dyDescent="0.75">
      <c r="E137" s="18" t="e">
        <f>'RelAftFlt-fsh'!#REF!</f>
        <v>#REF!</v>
      </c>
    </row>
    <row r="138" spans="5:5" x14ac:dyDescent="0.75">
      <c r="E138" s="18" t="e">
        <f>'RelAftFlt-fsh'!#REF!</f>
        <v>#REF!</v>
      </c>
    </row>
    <row r="139" spans="5:5" x14ac:dyDescent="0.75">
      <c r="E139" s="18" t="e">
        <f>'RelAftFlt-fsh'!#REF!</f>
        <v>#REF!</v>
      </c>
    </row>
    <row r="140" spans="5:5" x14ac:dyDescent="0.75">
      <c r="E140" s="18" t="e">
        <f>'RelAftFlt-fsh'!#REF!</f>
        <v>#REF!</v>
      </c>
    </row>
    <row r="141" spans="5:5" x14ac:dyDescent="0.75">
      <c r="E141" s="18" t="e">
        <f>'RelAftFlt-fsh'!#REF!</f>
        <v>#REF!</v>
      </c>
    </row>
    <row r="142" spans="5:5" x14ac:dyDescent="0.75">
      <c r="E142" s="18" t="e">
        <f>'RelAftFlt-fsh'!#REF!</f>
        <v>#REF!</v>
      </c>
    </row>
    <row r="143" spans="5:5" x14ac:dyDescent="0.75">
      <c r="E143" s="18" t="e">
        <f>'RelAftFlt-fsh'!#REF!</f>
        <v>#REF!</v>
      </c>
    </row>
    <row r="144" spans="5:5" x14ac:dyDescent="0.75">
      <c r="E144" s="18" t="e">
        <f>'RelAftFlt-fsh'!#REF!</f>
        <v>#REF!</v>
      </c>
    </row>
    <row r="145" spans="5:5" x14ac:dyDescent="0.75">
      <c r="E145" s="18" t="e">
        <f>'RelAftFlt-fsh'!#REF!</f>
        <v>#REF!</v>
      </c>
    </row>
    <row r="146" spans="5:5" x14ac:dyDescent="0.75">
      <c r="E146" s="18" t="e">
        <f>'RelAftFlt-fsh'!#REF!</f>
        <v>#REF!</v>
      </c>
    </row>
    <row r="147" spans="5:5" x14ac:dyDescent="0.75">
      <c r="E147" s="18" t="e">
        <f>'RelAftFlt-fsh'!#REF!</f>
        <v>#REF!</v>
      </c>
    </row>
    <row r="148" spans="5:5" x14ac:dyDescent="0.75">
      <c r="E148" s="18" t="e">
        <f>'RelAftFlt-fsh'!#REF!</f>
        <v>#REF!</v>
      </c>
    </row>
    <row r="149" spans="5:5" x14ac:dyDescent="0.75">
      <c r="E149" s="18" t="e">
        <f>'RelAftFlt-fsh'!#REF!</f>
        <v>#REF!</v>
      </c>
    </row>
    <row r="150" spans="5:5" x14ac:dyDescent="0.75">
      <c r="E150" s="18" t="e">
        <f>'RelAftFlt-fsh'!#REF!</f>
        <v>#REF!</v>
      </c>
    </row>
    <row r="151" spans="5:5" x14ac:dyDescent="0.75">
      <c r="E151" s="18" t="e">
        <f>'RelAftFlt-fsh'!#REF!</f>
        <v>#REF!</v>
      </c>
    </row>
    <row r="152" spans="5:5" x14ac:dyDescent="0.75">
      <c r="E152" s="18" t="e">
        <f>'RelAftFlt-fsh'!#REF!</f>
        <v>#REF!</v>
      </c>
    </row>
    <row r="153" spans="5:5" x14ac:dyDescent="0.75">
      <c r="E153" s="18" t="e">
        <f>'RelAftFlt-fsh'!#REF!</f>
        <v>#REF!</v>
      </c>
    </row>
    <row r="154" spans="5:5" x14ac:dyDescent="0.75">
      <c r="E154" s="18" t="e">
        <f>'RelAftFlt-fsh'!#REF!</f>
        <v>#REF!</v>
      </c>
    </row>
    <row r="155" spans="5:5" x14ac:dyDescent="0.75">
      <c r="E155" s="18" t="e">
        <f>'RelAftFlt-fsh'!#REF!</f>
        <v>#REF!</v>
      </c>
    </row>
    <row r="156" spans="5:5" x14ac:dyDescent="0.75">
      <c r="E156" s="18" t="e">
        <f>'RelAftFlt-fsh'!#REF!</f>
        <v>#REF!</v>
      </c>
    </row>
    <row r="157" spans="5:5" x14ac:dyDescent="0.75">
      <c r="E157" s="18" t="e">
        <f>'RelAftFlt-fsh'!#REF!</f>
        <v>#REF!</v>
      </c>
    </row>
    <row r="158" spans="5:5" x14ac:dyDescent="0.75">
      <c r="E158" s="18" t="e">
        <f>'RelAftFlt-fsh'!#REF!</f>
        <v>#REF!</v>
      </c>
    </row>
    <row r="159" spans="5:5" x14ac:dyDescent="0.75">
      <c r="E159" s="18" t="e">
        <f>'RelAftFlt-fsh'!#REF!</f>
        <v>#REF!</v>
      </c>
    </row>
    <row r="160" spans="5:5" x14ac:dyDescent="0.75">
      <c r="E160" s="18" t="e">
        <f>'RelAftFlt-fsh'!#REF!</f>
        <v>#REF!</v>
      </c>
    </row>
    <row r="161" spans="5:5" x14ac:dyDescent="0.75">
      <c r="E161" s="18" t="e">
        <f>'RelAftFlt-fsh'!#REF!</f>
        <v>#REF!</v>
      </c>
    </row>
    <row r="162" spans="5:5" x14ac:dyDescent="0.75">
      <c r="E162" s="18" t="e">
        <f>'RelAftFlt-fsh'!#REF!</f>
        <v>#REF!</v>
      </c>
    </row>
    <row r="163" spans="5:5" x14ac:dyDescent="0.75">
      <c r="E163" s="18" t="e">
        <f>'RelAftFlt-fsh'!#REF!</f>
        <v>#REF!</v>
      </c>
    </row>
    <row r="164" spans="5:5" x14ac:dyDescent="0.75">
      <c r="E164" s="18" t="e">
        <f>'RelAftFlt-fsh'!#REF!</f>
        <v>#REF!</v>
      </c>
    </row>
    <row r="165" spans="5:5" x14ac:dyDescent="0.75">
      <c r="E165" s="18" t="e">
        <f>'RelAftFlt-fsh'!#REF!</f>
        <v>#REF!</v>
      </c>
    </row>
    <row r="166" spans="5:5" x14ac:dyDescent="0.75">
      <c r="E166" s="18" t="e">
        <f>'RelAftFlt-fsh'!#REF!</f>
        <v>#REF!</v>
      </c>
    </row>
    <row r="167" spans="5:5" x14ac:dyDescent="0.75">
      <c r="E167" s="18" t="e">
        <f>'RelAftFlt-fsh'!#REF!</f>
        <v>#REF!</v>
      </c>
    </row>
    <row r="168" spans="5:5" x14ac:dyDescent="0.75">
      <c r="E168" s="18" t="e">
        <f>'RelAftFlt-fsh'!#REF!</f>
        <v>#REF!</v>
      </c>
    </row>
    <row r="169" spans="5:5" x14ac:dyDescent="0.75">
      <c r="E169" s="18" t="e">
        <f>'RelAftFlt-fsh'!#REF!</f>
        <v>#REF!</v>
      </c>
    </row>
    <row r="170" spans="5:5" x14ac:dyDescent="0.75">
      <c r="E170" s="18" t="e">
        <f>'RelAftFlt-fsh'!#REF!</f>
        <v>#REF!</v>
      </c>
    </row>
    <row r="171" spans="5:5" x14ac:dyDescent="0.75">
      <c r="E171" s="18" t="e">
        <f>'RelAftFlt-fsh'!#REF!</f>
        <v>#REF!</v>
      </c>
    </row>
    <row r="172" spans="5:5" x14ac:dyDescent="0.75">
      <c r="E172" s="18" t="e">
        <f>'RelAftFlt-fsh'!#REF!</f>
        <v>#REF!</v>
      </c>
    </row>
    <row r="173" spans="5:5" x14ac:dyDescent="0.75">
      <c r="E173" s="18" t="e">
        <f>'RelAftFlt-fsh'!#REF!</f>
        <v>#REF!</v>
      </c>
    </row>
    <row r="174" spans="5:5" x14ac:dyDescent="0.75">
      <c r="E174" s="18" t="e">
        <f>'RelAftFlt-fsh'!#REF!</f>
        <v>#REF!</v>
      </c>
    </row>
    <row r="175" spans="5:5" x14ac:dyDescent="0.75">
      <c r="E175" s="18" t="e">
        <f>'RelAftFlt-fsh'!#REF!</f>
        <v>#REF!</v>
      </c>
    </row>
    <row r="176" spans="5:5" x14ac:dyDescent="0.75">
      <c r="E176" s="18" t="e">
        <f>'RelAftFlt-fsh'!#REF!</f>
        <v>#REF!</v>
      </c>
    </row>
    <row r="177" spans="5:5" x14ac:dyDescent="0.75">
      <c r="E177" s="18" t="e">
        <f>'RelAftFlt-fsh'!#REF!</f>
        <v>#REF!</v>
      </c>
    </row>
    <row r="178" spans="5:5" x14ac:dyDescent="0.75">
      <c r="E178" s="18" t="e">
        <f>'RelAftFlt-fsh'!#REF!</f>
        <v>#REF!</v>
      </c>
    </row>
    <row r="179" spans="5:5" x14ac:dyDescent="0.75">
      <c r="E179" s="18" t="e">
        <f>'RelAftFlt-fsh'!#REF!</f>
        <v>#REF!</v>
      </c>
    </row>
    <row r="180" spans="5:5" x14ac:dyDescent="0.75">
      <c r="E180" s="18" t="e">
        <f>'RelAftFlt-fsh'!#REF!</f>
        <v>#REF!</v>
      </c>
    </row>
    <row r="181" spans="5:5" x14ac:dyDescent="0.75">
      <c r="E181" s="18" t="e">
        <f>'RelAftFlt-fsh'!#REF!</f>
        <v>#REF!</v>
      </c>
    </row>
    <row r="182" spans="5:5" x14ac:dyDescent="0.75">
      <c r="E182" s="18" t="e">
        <f>'RelAftFlt-fsh'!#REF!</f>
        <v>#REF!</v>
      </c>
    </row>
    <row r="183" spans="5:5" x14ac:dyDescent="0.75">
      <c r="E183" s="18" t="e">
        <f>'RelAftFlt-fsh'!#REF!</f>
        <v>#REF!</v>
      </c>
    </row>
    <row r="184" spans="5:5" x14ac:dyDescent="0.75">
      <c r="E184" s="18" t="e">
        <f>'RelAftFlt-fsh'!#REF!</f>
        <v>#REF!</v>
      </c>
    </row>
    <row r="185" spans="5:5" x14ac:dyDescent="0.75">
      <c r="E185" s="18" t="e">
        <f>'RelAftFlt-fsh'!#REF!</f>
        <v>#REF!</v>
      </c>
    </row>
    <row r="186" spans="5:5" x14ac:dyDescent="0.75">
      <c r="E186" s="18" t="e">
        <f>'RelAftFlt-fsh'!#REF!</f>
        <v>#REF!</v>
      </c>
    </row>
    <row r="187" spans="5:5" x14ac:dyDescent="0.75">
      <c r="E187" s="18" t="e">
        <f>'RelAftFlt-fsh'!#REF!</f>
        <v>#REF!</v>
      </c>
    </row>
    <row r="188" spans="5:5" x14ac:dyDescent="0.75">
      <c r="E188" s="18" t="e">
        <f>'RelAftFlt-fsh'!#REF!</f>
        <v>#REF!</v>
      </c>
    </row>
    <row r="189" spans="5:5" x14ac:dyDescent="0.75">
      <c r="E189" s="18" t="e">
        <f>'RelAftFlt-fsh'!#REF!</f>
        <v>#REF!</v>
      </c>
    </row>
    <row r="190" spans="5:5" x14ac:dyDescent="0.75">
      <c r="E190" s="18" t="e">
        <f>'RelAftFlt-fsh'!#REF!</f>
        <v>#REF!</v>
      </c>
    </row>
    <row r="191" spans="5:5" x14ac:dyDescent="0.75">
      <c r="E191" s="18" t="e">
        <f>'RelAftFlt-fsh'!#REF!</f>
        <v>#REF!</v>
      </c>
    </row>
    <row r="192" spans="5:5" x14ac:dyDescent="0.75">
      <c r="E192" s="18" t="e">
        <f>'RelAftFlt-fsh'!#REF!</f>
        <v>#REF!</v>
      </c>
    </row>
    <row r="193" spans="5:5" x14ac:dyDescent="0.75">
      <c r="E193" s="18" t="e">
        <f>'RelAftFlt-fsh'!#REF!</f>
        <v>#REF!</v>
      </c>
    </row>
    <row r="194" spans="5:5" x14ac:dyDescent="0.75">
      <c r="E194" s="18" t="e">
        <f>'RelAftFlt-fsh'!#REF!</f>
        <v>#REF!</v>
      </c>
    </row>
    <row r="195" spans="5:5" x14ac:dyDescent="0.75">
      <c r="E195" s="18" t="e">
        <f>'RelAftFlt-fsh'!#REF!</f>
        <v>#REF!</v>
      </c>
    </row>
    <row r="196" spans="5:5" x14ac:dyDescent="0.75">
      <c r="E196" s="18" t="e">
        <f>'RelAftFlt-fsh'!#REF!</f>
        <v>#REF!</v>
      </c>
    </row>
    <row r="197" spans="5:5" x14ac:dyDescent="0.75">
      <c r="E197" s="18" t="e">
        <f>'RelAftFlt-fsh'!#REF!</f>
        <v>#REF!</v>
      </c>
    </row>
    <row r="198" spans="5:5" x14ac:dyDescent="0.75">
      <c r="E198" s="18" t="e">
        <f>'RelAftFlt-fsh'!#REF!</f>
        <v>#REF!</v>
      </c>
    </row>
    <row r="199" spans="5:5" x14ac:dyDescent="0.75">
      <c r="E199" s="18" t="e">
        <f>'RelAftFlt-fsh'!#REF!</f>
        <v>#REF!</v>
      </c>
    </row>
    <row r="200" spans="5:5" x14ac:dyDescent="0.75">
      <c r="E200" s="18" t="e">
        <f>'RelAftFlt-fsh'!#REF!</f>
        <v>#REF!</v>
      </c>
    </row>
    <row r="201" spans="5:5" x14ac:dyDescent="0.75">
      <c r="E201" s="18" t="e">
        <f>'RelAftFlt-fsh'!#REF!</f>
        <v>#REF!</v>
      </c>
    </row>
    <row r="202" spans="5:5" x14ac:dyDescent="0.75">
      <c r="E202" s="18" t="e">
        <f>'RelAftFlt-fsh'!#REF!</f>
        <v>#REF!</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common.salvaBase">
                <anchor moveWithCells="1">
                  <from>
                    <xdr:col>0</xdr:col>
                    <xdr:colOff>158750</xdr:colOff>
                    <xdr:row>0</xdr:row>
                    <xdr:rowOff>0</xdr:rowOff>
                  </from>
                  <to>
                    <xdr:col>1</xdr:col>
                    <xdr:colOff>222250</xdr:colOff>
                    <xdr:row>1</xdr:row>
                    <xdr:rowOff>101600</xdr:rowOff>
                  </to>
                </anchor>
              </controlPr>
            </control>
          </mc:Choice>
        </mc:AlternateContent>
        <mc:AlternateContent xmlns:mc="http://schemas.openxmlformats.org/markup-compatibility/2006">
          <mc:Choice Requires="x14">
            <control shapeId="6152" r:id="rId5" name="Button 8">
              <controlPr defaultSize="0" print="0" autoFill="0" autoPict="0" macro="[0]!salvaSubject">
                <anchor moveWithCells="1">
                  <from>
                    <xdr:col>1</xdr:col>
                    <xdr:colOff>273050</xdr:colOff>
                    <xdr:row>0</xdr:row>
                    <xdr:rowOff>0</xdr:rowOff>
                  </from>
                  <to>
                    <xdr:col>2</xdr:col>
                    <xdr:colOff>336550</xdr:colOff>
                    <xdr:row>1</xdr:row>
                    <xdr:rowOff>101600</xdr:rowOff>
                  </to>
                </anchor>
              </controlPr>
            </control>
          </mc:Choice>
        </mc:AlternateContent>
        <mc:AlternateContent xmlns:mc="http://schemas.openxmlformats.org/markup-compatibility/2006">
          <mc:Choice Requires="x14">
            <control shapeId="6153" r:id="rId6" name="Button 9">
              <controlPr defaultSize="0" print="0" autoFill="0" autoPict="0" macro="[0]!salvaSubjectMap">
                <anchor moveWithCells="1">
                  <from>
                    <xdr:col>11</xdr:col>
                    <xdr:colOff>511175</xdr:colOff>
                    <xdr:row>0</xdr:row>
                    <xdr:rowOff>0</xdr:rowOff>
                  </from>
                  <to>
                    <xdr:col>13</xdr:col>
                    <xdr:colOff>361950</xdr:colOff>
                    <xdr:row>1</xdr:row>
                    <xdr:rowOff>101600</xdr:rowOff>
                  </to>
                </anchor>
              </controlPr>
            </control>
          </mc:Choice>
        </mc:AlternateContent>
        <mc:AlternateContent xmlns:mc="http://schemas.openxmlformats.org/markup-compatibility/2006">
          <mc:Choice Requires="x14">
            <control shapeId="6154" r:id="rId7" name="Button 10">
              <controlPr defaultSize="0" print="0" autoFill="0" autoPict="0" macro="[0]!salvaChemo">
                <anchor moveWithCells="1">
                  <from>
                    <xdr:col>2</xdr:col>
                    <xdr:colOff>403225</xdr:colOff>
                    <xdr:row>0</xdr:row>
                    <xdr:rowOff>0</xdr:rowOff>
                  </from>
                  <to>
                    <xdr:col>4</xdr:col>
                    <xdr:colOff>0</xdr:colOff>
                    <xdr:row>1</xdr:row>
                    <xdr:rowOff>95250</xdr:rowOff>
                  </to>
                </anchor>
              </controlPr>
            </control>
          </mc:Choice>
        </mc:AlternateContent>
        <mc:AlternateContent xmlns:mc="http://schemas.openxmlformats.org/markup-compatibility/2006">
          <mc:Choice Requires="x14">
            <control shapeId="6155" r:id="rId8" name="Button 11">
              <controlPr defaultSize="0" print="0" autoFill="0" autoPict="0" macro="[0]!common.salvaSimpleOrg">
                <anchor moveWithCells="1">
                  <from>
                    <xdr:col>8</xdr:col>
                    <xdr:colOff>257175</xdr:colOff>
                    <xdr:row>0</xdr:row>
                    <xdr:rowOff>0</xdr:rowOff>
                  </from>
                  <to>
                    <xdr:col>9</xdr:col>
                    <xdr:colOff>387350</xdr:colOff>
                    <xdr:row>1</xdr:row>
                    <xdr:rowOff>101600</xdr:rowOff>
                  </to>
                </anchor>
              </controlPr>
            </control>
          </mc:Choice>
        </mc:AlternateContent>
        <mc:AlternateContent xmlns:mc="http://schemas.openxmlformats.org/markup-compatibility/2006">
          <mc:Choice Requires="x14">
            <control shapeId="6157" r:id="rId9" name="Button 13">
              <controlPr defaultSize="0" print="0" autoFill="0" autoPict="0" macro="[0]!salvaDiag">
                <anchor moveWithCells="1">
                  <from>
                    <xdr:col>5</xdr:col>
                    <xdr:colOff>60325</xdr:colOff>
                    <xdr:row>0</xdr:row>
                    <xdr:rowOff>0</xdr:rowOff>
                  </from>
                  <to>
                    <xdr:col>6</xdr:col>
                    <xdr:colOff>266700</xdr:colOff>
                    <xdr:row>1</xdr:row>
                    <xdr:rowOff>95250</xdr:rowOff>
                  </to>
                </anchor>
              </controlPr>
            </control>
          </mc:Choice>
        </mc:AlternateContent>
        <mc:AlternateContent xmlns:mc="http://schemas.openxmlformats.org/markup-compatibility/2006">
          <mc:Choice Requires="x14">
            <control shapeId="6159" r:id="rId10" name="Button 15">
              <controlPr defaultSize="0" print="0" autoFill="0" autoPict="0" macro="[0]!salvaDiagnosisMap">
                <anchor moveWithCells="1">
                  <from>
                    <xdr:col>6</xdr:col>
                    <xdr:colOff>355600</xdr:colOff>
                    <xdr:row>0</xdr:row>
                    <xdr:rowOff>0</xdr:rowOff>
                  </from>
                  <to>
                    <xdr:col>8</xdr:col>
                    <xdr:colOff>209550</xdr:colOff>
                    <xdr:row>1</xdr:row>
                    <xdr:rowOff>101600</xdr:rowOff>
                  </to>
                </anchor>
              </controlPr>
            </control>
          </mc:Choice>
        </mc:AlternateContent>
        <mc:AlternateContent xmlns:mc="http://schemas.openxmlformats.org/markup-compatibility/2006">
          <mc:Choice Requires="x14">
            <control shapeId="6161" r:id="rId11" name="Button 17">
              <controlPr defaultSize="0" print="0" autoFill="0" autoPict="0" macro="[0]!salvaRadio">
                <anchor moveWithCells="1">
                  <from>
                    <xdr:col>10</xdr:col>
                    <xdr:colOff>190500</xdr:colOff>
                    <xdr:row>0</xdr:row>
                    <xdr:rowOff>0</xdr:rowOff>
                  </from>
                  <to>
                    <xdr:col>11</xdr:col>
                    <xdr:colOff>400050</xdr:colOff>
                    <xdr:row>1</xdr:row>
                    <xdr:rowOff>95250</xdr:rowOff>
                  </to>
                </anchor>
              </controlPr>
            </control>
          </mc:Choice>
        </mc:AlternateContent>
        <mc:AlternateContent xmlns:mc="http://schemas.openxmlformats.org/markup-compatibility/2006">
          <mc:Choice Requires="x14">
            <control shapeId="6162" r:id="rId12" name="Button 18">
              <controlPr defaultSize="0" print="0" autoFill="0" autoPict="0" macro="[0]!salvaChemoMap">
                <anchor moveWithCells="1">
                  <from>
                    <xdr:col>14</xdr:col>
                    <xdr:colOff>511175</xdr:colOff>
                    <xdr:row>0</xdr:row>
                    <xdr:rowOff>0</xdr:rowOff>
                  </from>
                  <to>
                    <xdr:col>16</xdr:col>
                    <xdr:colOff>361950</xdr:colOff>
                    <xdr:row>1</xdr:row>
                    <xdr:rowOff>101600</xdr:rowOff>
                  </to>
                </anchor>
              </controlPr>
            </control>
          </mc:Choice>
        </mc:AlternateContent>
        <mc:AlternateContent xmlns:mc="http://schemas.openxmlformats.org/markup-compatibility/2006">
          <mc:Choice Requires="x14">
            <control shapeId="6164" r:id="rId13" name="Button 20">
              <controlPr defaultSize="0" print="0" autoFill="0" autoPict="0" macro="[0]!salvaRadioMap">
                <anchor moveWithCells="1">
                  <from>
                    <xdr:col>17</xdr:col>
                    <xdr:colOff>511175</xdr:colOff>
                    <xdr:row>0</xdr:row>
                    <xdr:rowOff>0</xdr:rowOff>
                  </from>
                  <to>
                    <xdr:col>19</xdr:col>
                    <xdr:colOff>361950</xdr:colOff>
                    <xdr:row>1</xdr:row>
                    <xdr:rowOff>101600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162C38-0AAA-4F44-AA8F-14A685EA8CF4}">
  <sheetPr codeName="Foglio27">
    <tabColor theme="4" tint="0.59999389629810485"/>
  </sheetPr>
  <dimension ref="A1:L41"/>
  <sheetViews>
    <sheetView topLeftCell="A34" workbookViewId="0">
      <selection activeCell="I46" sqref="I46"/>
    </sheetView>
  </sheetViews>
  <sheetFormatPr defaultRowHeight="14.75" x14ac:dyDescent="0.75"/>
  <cols>
    <col min="1" max="1" width="16.54296875" style="18" customWidth="1"/>
    <col min="2" max="2" width="59.5" style="18" customWidth="1"/>
    <col min="3" max="3" width="44.6328125" style="18" customWidth="1"/>
    <col min="4" max="4" width="71.58984375" style="18" bestFit="1" customWidth="1"/>
    <col min="5" max="5" width="10.81640625" style="18" customWidth="1"/>
    <col min="6" max="6" width="9" style="18" customWidth="1"/>
    <col min="7" max="8" width="21.76953125" style="18" customWidth="1"/>
    <col min="9" max="9" width="67.1796875" style="19" customWidth="1"/>
    <col min="10" max="10" width="19.31640625" style="18" customWidth="1"/>
    <col min="11" max="11" width="8.7265625" style="18"/>
    <col min="12" max="12" width="45.81640625" style="19" customWidth="1"/>
    <col min="13" max="13" width="8.7265625" style="18" customWidth="1"/>
    <col min="14" max="16384" width="8.7265625" style="18"/>
  </cols>
  <sheetData>
    <row r="1" spans="1:11" x14ac:dyDescent="0.75">
      <c r="B1" s="22"/>
      <c r="C1" s="22"/>
      <c r="D1" s="22"/>
      <c r="I1" s="40" t="s">
        <v>80</v>
      </c>
    </row>
    <row r="2" spans="1:11" x14ac:dyDescent="0.75">
      <c r="B2" s="22"/>
      <c r="C2" s="22"/>
      <c r="D2" s="22"/>
      <c r="I2" s="41" t="s">
        <v>79</v>
      </c>
    </row>
    <row r="3" spans="1:11" ht="15.5" thickBot="1" x14ac:dyDescent="0.9">
      <c r="B3" s="22"/>
      <c r="C3" s="22"/>
      <c r="D3" s="22"/>
      <c r="I3" s="41" t="str">
        <f>I1</f>
        <v>// -------------------------------------------------------------------------------</v>
      </c>
    </row>
    <row r="4" spans="1:11" ht="15.5" thickBot="1" x14ac:dyDescent="0.9">
      <c r="A4" s="6" t="s">
        <v>13</v>
      </c>
      <c r="B4" s="24" t="s">
        <v>1020</v>
      </c>
      <c r="C4" s="22"/>
      <c r="D4" s="22"/>
      <c r="I4" s="33" t="str">
        <f>CONCATENATE("Logical: ",B4)</f>
        <v>Logical: DiagnosisPcsp</v>
      </c>
    </row>
    <row r="5" spans="1:11" x14ac:dyDescent="0.75">
      <c r="A5" s="27" t="s">
        <v>76</v>
      </c>
      <c r="B5" s="43" t="s">
        <v>18</v>
      </c>
      <c r="C5" s="22"/>
      <c r="D5" s="22"/>
      <c r="I5" s="33" t="str">
        <f>CONCATENATE("Id: ",B5)</f>
        <v>Id: Diagnosis</v>
      </c>
    </row>
    <row r="6" spans="1:11" ht="15.5" thickBot="1" x14ac:dyDescent="0.9">
      <c r="A6" s="28" t="s">
        <v>11</v>
      </c>
      <c r="B6" s="87" t="s">
        <v>18</v>
      </c>
      <c r="C6" s="22"/>
      <c r="D6" s="22"/>
      <c r="I6" s="34" t="str">
        <f>CONCATENATE("Title: ##34#",B6,"##34#")</f>
        <v>Title: ##34#Diagnosis##34#</v>
      </c>
    </row>
    <row r="7" spans="1:11" ht="30.25" thickBot="1" x14ac:dyDescent="0.9">
      <c r="A7" s="29" t="s">
        <v>4</v>
      </c>
      <c r="B7" s="87" t="s">
        <v>18</v>
      </c>
      <c r="C7" s="13" t="s">
        <v>5</v>
      </c>
      <c r="D7" s="2" t="s">
        <v>6</v>
      </c>
      <c r="E7" s="3" t="s">
        <v>7</v>
      </c>
      <c r="F7" s="3" t="s">
        <v>8</v>
      </c>
      <c r="G7" s="3" t="s">
        <v>9</v>
      </c>
      <c r="I7" s="34" t="str">
        <f>CONCATENATE("Description: "," ##334#",B7,"##334#",)</f>
        <v>Description:  ##334#Diagnosis##334#</v>
      </c>
    </row>
    <row r="8" spans="1:11" x14ac:dyDescent="0.75">
      <c r="A8" s="20">
        <v>1</v>
      </c>
      <c r="B8" s="20" t="s">
        <v>12</v>
      </c>
      <c r="C8" s="20" t="s">
        <v>10</v>
      </c>
      <c r="D8" s="21" t="s">
        <v>899</v>
      </c>
      <c r="E8" s="20">
        <v>1</v>
      </c>
      <c r="F8" s="20" t="s">
        <v>861</v>
      </c>
      <c r="G8" s="20" t="s">
        <v>0</v>
      </c>
      <c r="H8" s="31"/>
      <c r="I8" s="42" t="str">
        <f>CONCATENATE("* ",B8, " ",E8,"..",F8," ",G8," ##34#",C8,"##34# ##334#",D8,"##334#")</f>
        <v>* identifier 1..* Identifier ##34#ID##34# ##334#diagnosis identifier##334#</v>
      </c>
    </row>
    <row r="9" spans="1:11" ht="103.25" x14ac:dyDescent="0.75">
      <c r="A9" s="20">
        <v>2</v>
      </c>
      <c r="B9" s="20" t="s">
        <v>900</v>
      </c>
      <c r="C9" s="20" t="s">
        <v>901</v>
      </c>
      <c r="D9" s="21" t="s">
        <v>902</v>
      </c>
      <c r="E9" s="20">
        <v>0</v>
      </c>
      <c r="F9" s="20" t="s">
        <v>861</v>
      </c>
      <c r="G9" s="20" t="s">
        <v>850</v>
      </c>
      <c r="H9" s="31"/>
      <c r="I9" s="42" t="str">
        <f t="shared" ref="I9:I41" si="0">CONCATENATE("* ",B9, " ",E9,"..",F9," ",G9," ##34#",C9,"##34# ##334#",D9,"##334#")</f>
        <v>* dateOfDiagnosis 0..* BackboneElement ##34#Date of diagnosis##34# ##334#Official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knowledge.##334#</v>
      </c>
    </row>
    <row r="10" spans="1:11" ht="132.75" x14ac:dyDescent="0.75">
      <c r="A10" s="20">
        <v>3</v>
      </c>
      <c r="B10" s="20" t="s">
        <v>903</v>
      </c>
      <c r="C10" s="21" t="s">
        <v>904</v>
      </c>
      <c r="D10" s="21" t="s">
        <v>905</v>
      </c>
      <c r="E10" s="20">
        <v>0</v>
      </c>
      <c r="F10" s="20" t="s">
        <v>861</v>
      </c>
      <c r="G10" s="20" t="s">
        <v>850</v>
      </c>
      <c r="H10" s="31"/>
      <c r="I10" s="42" t="str">
        <f t="shared" si="0"/>
        <v>* centerOfDiagnosis 0..* BackboneElement ##34#Center of diagnosis##34# ##334#Institution in which the diagnosis was made.##334#</v>
      </c>
    </row>
    <row r="11" spans="1:11" ht="132.75" x14ac:dyDescent="0.75">
      <c r="A11" s="20">
        <v>4</v>
      </c>
      <c r="B11" s="20" t="s">
        <v>906</v>
      </c>
      <c r="C11" s="20" t="s">
        <v>907</v>
      </c>
      <c r="D11" s="21" t="s">
        <v>24</v>
      </c>
      <c r="E11" s="20">
        <v>0</v>
      </c>
      <c r="F11" s="20">
        <v>1</v>
      </c>
      <c r="G11" s="20" t="s">
        <v>0</v>
      </c>
      <c r="H11" s="31"/>
      <c r="I11" s="42" t="str">
        <f t="shared" si="0"/>
        <v>* centerOfDiagnosis.identifier 0..1 Identifier ##34#Center code##34# ##334#Code of the institution in which the diagnosis was made.
IN AIEOP thus information is retrievable from the Mod.1.01 database##334#</v>
      </c>
    </row>
    <row r="12" spans="1:11" ht="132.75" x14ac:dyDescent="0.75">
      <c r="A12" s="20">
        <v>5</v>
      </c>
      <c r="B12" s="20" t="s">
        <v>908</v>
      </c>
      <c r="C12" s="20" t="s">
        <v>909</v>
      </c>
      <c r="D12" s="21" t="s">
        <v>909</v>
      </c>
      <c r="E12" s="20">
        <v>0</v>
      </c>
      <c r="F12" s="20">
        <v>1</v>
      </c>
      <c r="G12" s="111" t="s">
        <v>2</v>
      </c>
      <c r="H12" s="31"/>
      <c r="I12" s="42" t="str">
        <f t="shared" si="0"/>
        <v>* centerOfDiagnosis.name 0..1 string ##34#Center name##34# ##334#Center name##334#</v>
      </c>
    </row>
    <row r="13" spans="1:11" ht="132.75" x14ac:dyDescent="0.75">
      <c r="A13" s="20">
        <v>6</v>
      </c>
      <c r="B13" s="20" t="s">
        <v>910</v>
      </c>
      <c r="C13" s="20" t="s">
        <v>911</v>
      </c>
      <c r="D13" s="21" t="s">
        <v>911</v>
      </c>
      <c r="E13" s="20">
        <v>0</v>
      </c>
      <c r="F13" s="20">
        <v>1</v>
      </c>
      <c r="G13" s="20" t="s">
        <v>2</v>
      </c>
      <c r="H13" s="31"/>
      <c r="I13" s="42" t="str">
        <f t="shared" si="0"/>
        <v>* centerOfDiagnosis.city 0..1 string ##34#Center city##34# ##334#Center city##334#</v>
      </c>
    </row>
    <row r="14" spans="1:11" ht="132.75" x14ac:dyDescent="0.75">
      <c r="A14" s="20">
        <v>7</v>
      </c>
      <c r="B14" s="20" t="s">
        <v>912</v>
      </c>
      <c r="C14" s="20" t="s">
        <v>913</v>
      </c>
      <c r="D14" s="21" t="s">
        <v>913</v>
      </c>
      <c r="E14" s="20">
        <v>1</v>
      </c>
      <c r="F14" s="20">
        <v>1</v>
      </c>
      <c r="G14" s="20" t="s">
        <v>2</v>
      </c>
      <c r="H14" s="31"/>
      <c r="I14" s="42" t="str">
        <f t="shared" si="0"/>
        <v>* centerOfDiagnosis.country 1..1 string ##34#Center country##34# ##334#Center country##334#</v>
      </c>
    </row>
    <row r="15" spans="1:11" ht="132.75" x14ac:dyDescent="0.75">
      <c r="A15" s="20">
        <v>8</v>
      </c>
      <c r="B15" s="20" t="s">
        <v>914</v>
      </c>
      <c r="C15" s="20" t="s">
        <v>915</v>
      </c>
      <c r="D15" s="21" t="s">
        <v>25</v>
      </c>
      <c r="E15" s="20">
        <v>0</v>
      </c>
      <c r="F15" s="20">
        <v>1</v>
      </c>
      <c r="G15" s="20" t="s">
        <v>850</v>
      </c>
      <c r="H15" s="31"/>
      <c r="I15" s="42" t="str">
        <f t="shared" si="0"/>
        <v>* primaryTreatmentCenter 0..1 BackboneElement ##34#Primary treatment center##34# ##334#Report here the institution in which most of the treatment was given##334#</v>
      </c>
      <c r="J15" s="26"/>
      <c r="K15" s="20"/>
    </row>
    <row r="16" spans="1:11" ht="132.75" x14ac:dyDescent="0.75">
      <c r="A16" s="20">
        <v>9</v>
      </c>
      <c r="B16" s="20" t="s">
        <v>916</v>
      </c>
      <c r="C16" s="20" t="s">
        <v>917</v>
      </c>
      <c r="D16" s="21" t="s">
        <v>917</v>
      </c>
      <c r="E16" s="111">
        <v>0</v>
      </c>
      <c r="F16" s="20">
        <v>1</v>
      </c>
      <c r="G16" s="20" t="s">
        <v>2</v>
      </c>
      <c r="I16" s="42" t="str">
        <f t="shared" si="0"/>
        <v>* primaryTreatmentCenter.name 0..1 string ##34#Primary treatment center name##34# ##334#Primary treatment center name##334#</v>
      </c>
    </row>
    <row r="17" spans="1:9" ht="132.75" x14ac:dyDescent="0.75">
      <c r="A17" s="20">
        <v>10</v>
      </c>
      <c r="B17" s="20" t="s">
        <v>918</v>
      </c>
      <c r="C17" s="20" t="s">
        <v>919</v>
      </c>
      <c r="D17" s="21" t="s">
        <v>919</v>
      </c>
      <c r="E17" s="20">
        <v>0</v>
      </c>
      <c r="F17" s="20">
        <v>1</v>
      </c>
      <c r="G17" s="20" t="s">
        <v>2</v>
      </c>
      <c r="I17" s="42" t="str">
        <f t="shared" si="0"/>
        <v>* primaryTreatmentCenter.city 0..1 string ##34#Primary treatment center city##34# ##334#Primary treatment center city##334#</v>
      </c>
    </row>
    <row r="18" spans="1:9" ht="132.75" x14ac:dyDescent="0.75">
      <c r="A18" s="20">
        <v>11</v>
      </c>
      <c r="B18" s="20" t="s">
        <v>920</v>
      </c>
      <c r="C18" s="20" t="s">
        <v>921</v>
      </c>
      <c r="D18" s="21" t="s">
        <v>921</v>
      </c>
      <c r="E18" s="20">
        <v>0</v>
      </c>
      <c r="F18" s="20">
        <v>1</v>
      </c>
      <c r="G18" s="20" t="s">
        <v>2</v>
      </c>
      <c r="I18" s="42" t="str">
        <f t="shared" si="0"/>
        <v>* primaryTreatmentCenter.country 0..1 string ##34#Primary treatment center country##34# ##334#Primary treatment center country##334#</v>
      </c>
    </row>
    <row r="19" spans="1:9" ht="132.75" x14ac:dyDescent="0.75">
      <c r="A19" s="20">
        <v>12</v>
      </c>
      <c r="B19" s="20" t="s">
        <v>922</v>
      </c>
      <c r="C19" s="20" t="s">
        <v>26</v>
      </c>
      <c r="D19" s="21" t="s">
        <v>26</v>
      </c>
      <c r="E19" s="20">
        <v>1</v>
      </c>
      <c r="F19" s="20" t="s">
        <v>861</v>
      </c>
      <c r="G19" s="20" t="s">
        <v>923</v>
      </c>
      <c r="I19" s="42" t="str">
        <f t="shared" si="0"/>
        <v>* dateOfArrivalAtCenter 1..* dateTime ##34#Date of arrival to our institution##34# ##334#Date of arrival to our institution##334#</v>
      </c>
    </row>
    <row r="20" spans="1:9" ht="132.75" x14ac:dyDescent="0.75">
      <c r="A20" s="20">
        <v>13</v>
      </c>
      <c r="B20" s="20" t="s">
        <v>924</v>
      </c>
      <c r="C20" s="20" t="s">
        <v>27</v>
      </c>
      <c r="D20" s="21" t="s">
        <v>925</v>
      </c>
      <c r="E20" s="20">
        <v>0</v>
      </c>
      <c r="F20" s="20" t="s">
        <v>861</v>
      </c>
      <c r="G20" s="20" t="s">
        <v>1</v>
      </c>
      <c r="I20" s="42" t="str">
        <f t="shared" si="0"/>
        <v>* diagnosticGroup 0..* CodeableConcept ##34#Diagnostic Group##34# ##334#Diagnostic Group. ICCC-3 Classification (Main and Extended classification tables)##334#</v>
      </c>
    </row>
    <row r="21" spans="1:9" ht="132.75" x14ac:dyDescent="0.75">
      <c r="A21" s="20">
        <v>14</v>
      </c>
      <c r="B21" s="20" t="s">
        <v>926</v>
      </c>
      <c r="C21" s="20" t="s">
        <v>18</v>
      </c>
      <c r="D21" s="21" t="s">
        <v>927</v>
      </c>
      <c r="E21" s="20">
        <v>0</v>
      </c>
      <c r="F21" s="20" t="s">
        <v>861</v>
      </c>
      <c r="G21" s="20" t="s">
        <v>1</v>
      </c>
      <c r="I21" s="42" t="str">
        <f t="shared" si="0"/>
        <v>* morphologyCode 0..* CodeableConcept ##34#Diagnosis##34# ##334#Report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reported##334#</v>
      </c>
    </row>
    <row r="22" spans="1:9" ht="132.75" x14ac:dyDescent="0.75">
      <c r="A22" s="20">
        <v>15</v>
      </c>
      <c r="B22" s="20" t="s">
        <v>928</v>
      </c>
      <c r="C22" s="20" t="s">
        <v>929</v>
      </c>
      <c r="D22" s="21" t="s">
        <v>930</v>
      </c>
      <c r="E22" s="20">
        <v>0</v>
      </c>
      <c r="F22" s="20" t="s">
        <v>861</v>
      </c>
      <c r="G22" s="20" t="s">
        <v>1</v>
      </c>
      <c r="I22" s="42" t="str">
        <f t="shared" si="0"/>
        <v>* tumorBehaviour 0..* CodeableConcept ##34#Tumour behaviour (ICD-O-3 type)##34# ##334#Tumour behaviour. Automatically generated by the system for benign tumors##334#</v>
      </c>
    </row>
    <row r="23" spans="1:9" ht="132.75" x14ac:dyDescent="0.75">
      <c r="A23" s="20">
        <v>16</v>
      </c>
      <c r="B23" s="20" t="s">
        <v>931</v>
      </c>
      <c r="C23" s="20" t="s">
        <v>932</v>
      </c>
      <c r="D23" s="21" t="s">
        <v>932</v>
      </c>
      <c r="E23" s="20">
        <v>0</v>
      </c>
      <c r="F23" s="20">
        <v>1</v>
      </c>
      <c r="G23" s="20" t="s">
        <v>2</v>
      </c>
      <c r="I23" s="42" t="str">
        <f t="shared" si="0"/>
        <v>* description 0..1 string ##34#Diagnosis description##34# ##334#Diagnosis description##334#</v>
      </c>
    </row>
    <row r="24" spans="1:9" ht="132.75" x14ac:dyDescent="0.75">
      <c r="A24" s="20">
        <v>17</v>
      </c>
      <c r="B24" s="20" t="s">
        <v>71</v>
      </c>
      <c r="C24" s="20" t="s">
        <v>933</v>
      </c>
      <c r="D24" s="21" t="s">
        <v>934</v>
      </c>
      <c r="E24" s="20">
        <v>0</v>
      </c>
      <c r="F24" s="20" t="s">
        <v>861</v>
      </c>
      <c r="G24" s="20" t="s">
        <v>850</v>
      </c>
      <c r="I24" s="42" t="str">
        <f t="shared" si="0"/>
        <v>* site 0..* BackboneElement ##34#Site##34# ##334#Site of the tumor##334#</v>
      </c>
    </row>
    <row r="25" spans="1:9" ht="132.75" x14ac:dyDescent="0.75">
      <c r="A25" s="20">
        <v>18</v>
      </c>
      <c r="B25" s="20" t="s">
        <v>935</v>
      </c>
      <c r="C25" s="20" t="s">
        <v>936</v>
      </c>
      <c r="D25" s="21" t="s">
        <v>937</v>
      </c>
      <c r="E25" s="20">
        <v>0</v>
      </c>
      <c r="F25" s="20" t="s">
        <v>861</v>
      </c>
      <c r="G25" s="20" t="s">
        <v>1</v>
      </c>
      <c r="I25" s="42" t="str">
        <f t="shared" si="0"/>
        <v>* site.code 0..* CodeableConcept ##34#Site(ICD-O-3 topography)##34# ##334#Site . Report the site of the tumor using the ICD-O-3 Topography (an help tool is built into the system). If also ICD-O-3 Morphology data have been reported, the system will automatically define the tumor also according to ICCC-3 classic pediatric classification (see: Cancer category)##334#</v>
      </c>
    </row>
    <row r="26" spans="1:9" ht="132.75" x14ac:dyDescent="0.75">
      <c r="A26" s="20">
        <v>19</v>
      </c>
      <c r="B26" s="20" t="s">
        <v>938</v>
      </c>
      <c r="C26" s="20" t="s">
        <v>939</v>
      </c>
      <c r="D26" s="21" t="s">
        <v>940</v>
      </c>
      <c r="E26" s="20">
        <v>0</v>
      </c>
      <c r="F26" s="20" t="s">
        <v>861</v>
      </c>
      <c r="G26" s="20" t="s">
        <v>2</v>
      </c>
      <c r="I26" s="42" t="str">
        <f t="shared" si="0"/>
        <v>* site.description 0..* string ##34#Site description##34# ##334#Site description . Free text to report the site of the tumor##334#</v>
      </c>
    </row>
    <row r="27" spans="1:9" ht="132.75" x14ac:dyDescent="0.75">
      <c r="A27" s="20">
        <v>20</v>
      </c>
      <c r="B27" s="20" t="s">
        <v>941</v>
      </c>
      <c r="C27" s="20" t="s">
        <v>942</v>
      </c>
      <c r="D27" s="21" t="s">
        <v>942</v>
      </c>
      <c r="E27" s="20">
        <v>0</v>
      </c>
      <c r="F27" s="20" t="s">
        <v>861</v>
      </c>
      <c r="G27" s="20" t="s">
        <v>1</v>
      </c>
      <c r="I27" s="42" t="str">
        <f t="shared" si="0"/>
        <v>* laterality 0..* CodeableConcept ##34#Laterality##34# ##334#Laterality##334#</v>
      </c>
    </row>
    <row r="28" spans="1:9" ht="132.75" x14ac:dyDescent="0.75">
      <c r="A28" s="20">
        <v>21</v>
      </c>
      <c r="B28" s="20" t="s">
        <v>943</v>
      </c>
      <c r="C28" s="20" t="s">
        <v>28</v>
      </c>
      <c r="D28" s="21" t="s">
        <v>29</v>
      </c>
      <c r="E28" s="20">
        <v>0</v>
      </c>
      <c r="F28" s="20" t="s">
        <v>861</v>
      </c>
      <c r="G28" s="20" t="s">
        <v>850</v>
      </c>
      <c r="I28" s="42" t="str">
        <f t="shared" si="0"/>
        <v>* metastasis 0..* BackboneElement ##34#Metastatic##34# ##334#Some tumors may be either localized (e.g. stage III neuroblastoma) or metastatic. Please specify.##334#</v>
      </c>
    </row>
    <row r="29" spans="1:9" ht="132.75" x14ac:dyDescent="0.75">
      <c r="A29" s="20">
        <v>22</v>
      </c>
      <c r="B29" s="20" t="s">
        <v>944</v>
      </c>
      <c r="C29" s="20" t="s">
        <v>945</v>
      </c>
      <c r="D29" s="21" t="s">
        <v>30</v>
      </c>
      <c r="E29" s="20">
        <v>0</v>
      </c>
      <c r="F29" s="20" t="s">
        <v>861</v>
      </c>
      <c r="G29" s="20" t="s">
        <v>946</v>
      </c>
      <c r="I29" s="42" t="str">
        <f t="shared" si="0"/>
        <v>* metastasis.identifier 0..* integer ##34#Metastasis id##34# ##334#Number of metastases##334#</v>
      </c>
    </row>
    <row r="30" spans="1:9" ht="132.75" x14ac:dyDescent="0.75">
      <c r="A30" s="20">
        <v>23</v>
      </c>
      <c r="B30" s="20" t="s">
        <v>947</v>
      </c>
      <c r="C30" s="20" t="s">
        <v>948</v>
      </c>
      <c r="D30" s="21" t="s">
        <v>949</v>
      </c>
      <c r="E30" s="20">
        <v>0</v>
      </c>
      <c r="F30" s="20" t="s">
        <v>861</v>
      </c>
      <c r="G30" s="20" t="s">
        <v>850</v>
      </c>
      <c r="I30" s="42" t="str">
        <f t="shared" si="0"/>
        <v>* metastasis.site 0..* BackboneElement ##34#Metastasis site##34# ##334#Please report here the site(s) of metastases detected at diagnosis.##334#</v>
      </c>
    </row>
    <row r="31" spans="1:9" ht="132.75" x14ac:dyDescent="0.75">
      <c r="A31" s="20">
        <v>24</v>
      </c>
      <c r="B31" s="20" t="s">
        <v>950</v>
      </c>
      <c r="C31" s="20" t="s">
        <v>951</v>
      </c>
      <c r="D31" s="21" t="s">
        <v>952</v>
      </c>
      <c r="E31" s="20">
        <v>0</v>
      </c>
      <c r="F31" s="20" t="s">
        <v>861</v>
      </c>
      <c r="G31" s="20" t="s">
        <v>1</v>
      </c>
      <c r="I31" s="42" t="str">
        <f t="shared" si="0"/>
        <v>* metastasis.site.code 0..* CodeableConcept ##34#Metastasis site code##34# ##334#Metastases detected at diagnosis (using ICD-O-3 Topography). If site(s) is unknown, code C80.9##334#</v>
      </c>
    </row>
    <row r="32" spans="1:9" ht="132.75" x14ac:dyDescent="0.75">
      <c r="A32" s="20">
        <v>25</v>
      </c>
      <c r="B32" s="20" t="s">
        <v>953</v>
      </c>
      <c r="C32" s="20" t="s">
        <v>31</v>
      </c>
      <c r="D32" s="21" t="s">
        <v>31</v>
      </c>
      <c r="E32" s="20">
        <v>0</v>
      </c>
      <c r="F32" s="20" t="s">
        <v>861</v>
      </c>
      <c r="G32" s="20" t="s">
        <v>2</v>
      </c>
      <c r="I32" s="42" t="str">
        <f t="shared" si="0"/>
        <v>* metastasis.site.description 0..* string ##34#Additional description of sites of metastatis##34# ##334#Additional description of sites of metastatis##334#</v>
      </c>
    </row>
    <row r="33" spans="1:9" ht="132.75" x14ac:dyDescent="0.75">
      <c r="A33" s="20">
        <v>26</v>
      </c>
      <c r="B33" s="20" t="s">
        <v>954</v>
      </c>
      <c r="C33" s="20" t="s">
        <v>955</v>
      </c>
      <c r="D33" s="21" t="s">
        <v>32</v>
      </c>
      <c r="E33" s="20">
        <v>0</v>
      </c>
      <c r="F33" s="20">
        <v>1</v>
      </c>
      <c r="G33" s="20" t="s">
        <v>2</v>
      </c>
      <c r="I33" s="42" t="str">
        <f t="shared" si="0"/>
        <v>* geneticMarkers 0..1 string ##34#Genetic markers(text)##34# ##334#Please report here any genetic marker: chromosomal alterations (e.g. translocation, deletions, duplications); or other types of genetic alterations (amplification, deletion, mutation)##334#</v>
      </c>
    </row>
    <row r="34" spans="1:9" ht="132.75" x14ac:dyDescent="0.75">
      <c r="A34" s="20">
        <v>27</v>
      </c>
      <c r="B34" s="20" t="s">
        <v>956</v>
      </c>
      <c r="C34" s="20" t="s">
        <v>33</v>
      </c>
      <c r="D34" s="21" t="s">
        <v>957</v>
      </c>
      <c r="E34" s="20">
        <v>0</v>
      </c>
      <c r="F34" s="20">
        <v>1</v>
      </c>
      <c r="G34" s="20" t="s">
        <v>2</v>
      </c>
      <c r="I34" s="42" t="str">
        <f t="shared" si="0"/>
        <v>* stage 0..1 string ##34#Stage/Risk##34# ##334#Stage/Risk.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'NK'##334#</v>
      </c>
    </row>
    <row r="35" spans="1:9" ht="132.75" x14ac:dyDescent="0.75">
      <c r="A35" s="20">
        <v>28</v>
      </c>
      <c r="B35" s="20" t="s">
        <v>958</v>
      </c>
      <c r="C35" s="20" t="s">
        <v>959</v>
      </c>
      <c r="D35" s="21" t="s">
        <v>960</v>
      </c>
      <c r="E35" s="20">
        <v>0</v>
      </c>
      <c r="F35" s="20" t="s">
        <v>861</v>
      </c>
      <c r="G35" s="20" t="s">
        <v>1</v>
      </c>
      <c r="I35" s="42" t="str">
        <f t="shared" si="0"/>
        <v>* immunology 0..* CodeableConcept ##34#Immunology##34# ##334#Immunology . This is a free text field. Report here, if applicable (e.g. leukemias) the immunophenotype of the disease (sometimes already reported in the ICD-O-3 Morphology coding). If immunology is unknown, specify 'NK'##334#</v>
      </c>
    </row>
    <row r="36" spans="1:9" ht="132.75" x14ac:dyDescent="0.75">
      <c r="A36" s="20">
        <v>29</v>
      </c>
      <c r="B36" s="20" t="s">
        <v>961</v>
      </c>
      <c r="C36" s="20" t="s">
        <v>962</v>
      </c>
      <c r="D36" s="21" t="s">
        <v>963</v>
      </c>
      <c r="E36" s="20">
        <v>0</v>
      </c>
      <c r="F36" s="20" t="s">
        <v>861</v>
      </c>
      <c r="G36" s="20" t="s">
        <v>1</v>
      </c>
      <c r="I36" s="42" t="str">
        <f t="shared" si="0"/>
        <v>* hereditaryPredisposition 0..* CodeableConcept ##34#Hereditary Cancer Predisposition##34# ##334#Hereditary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'Specify'##334#</v>
      </c>
    </row>
    <row r="37" spans="1:9" x14ac:dyDescent="0.75">
      <c r="A37" s="20">
        <v>30</v>
      </c>
      <c r="B37" s="20" t="s">
        <v>964</v>
      </c>
      <c r="C37" s="112" t="s">
        <v>35</v>
      </c>
      <c r="D37" s="112" t="s">
        <v>35</v>
      </c>
      <c r="E37" s="20">
        <v>0</v>
      </c>
      <c r="F37" s="20" t="s">
        <v>861</v>
      </c>
      <c r="G37" s="20" t="s">
        <v>2</v>
      </c>
      <c r="I37" s="42" t="str">
        <f t="shared" si="0"/>
        <v>* notes 0..* string ##34#Notes##34# ##334#Notes##334#</v>
      </c>
    </row>
    <row r="38" spans="1:9" x14ac:dyDescent="0.75">
      <c r="B38" s="20"/>
      <c r="C38" s="112"/>
      <c r="D38" s="112"/>
      <c r="E38" s="20"/>
      <c r="F38" s="20"/>
      <c r="G38" s="20"/>
      <c r="I38" s="42" t="str">
        <f t="shared" si="0"/>
        <v>*  ..  ##34###34# ##334###334#</v>
      </c>
    </row>
    <row r="39" spans="1:9" x14ac:dyDescent="0.75">
      <c r="I39" s="42" t="str">
        <f t="shared" si="0"/>
        <v>*  ..  ##34###34# ##334###334#</v>
      </c>
    </row>
    <row r="40" spans="1:9" x14ac:dyDescent="0.75">
      <c r="I40" s="42" t="str">
        <f t="shared" si="0"/>
        <v>*  ..  ##34###34# ##334###334#</v>
      </c>
    </row>
    <row r="41" spans="1:9" x14ac:dyDescent="0.75">
      <c r="I41" s="42" t="str">
        <f t="shared" si="0"/>
        <v>*  ..  ##34###34# ##334###334#</v>
      </c>
    </row>
  </sheetData>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F5E0E-95FB-4D73-B3CA-F4CBA7CB89FC}">
  <sheetPr codeName="Foglio31"/>
  <dimension ref="A1:O52"/>
  <sheetViews>
    <sheetView workbookViewId="0">
      <selection activeCell="C6" sqref="C6"/>
    </sheetView>
  </sheetViews>
  <sheetFormatPr defaultRowHeight="14.75" x14ac:dyDescent="0.75"/>
  <cols>
    <col min="1" max="1" width="8.7265625" style="18"/>
    <col min="2" max="2" width="31.6796875" style="18" bestFit="1" customWidth="1"/>
    <col min="3" max="3" width="77.2265625" style="19" customWidth="1"/>
    <col min="4" max="4" width="8.04296875" style="18" customWidth="1"/>
    <col min="5" max="5" width="71.58984375" style="19" customWidth="1"/>
    <col min="6" max="6" width="10.76953125" style="18" customWidth="1"/>
    <col min="7" max="7" width="45.26953125" style="18" customWidth="1"/>
    <col min="8" max="16384" width="8.7265625" style="18"/>
  </cols>
  <sheetData>
    <row r="1" spans="1:15" x14ac:dyDescent="0.75">
      <c r="B1" s="22"/>
      <c r="C1" s="113"/>
      <c r="E1" s="32" t="s">
        <v>80</v>
      </c>
      <c r="H1" s="10"/>
      <c r="I1" s="10"/>
      <c r="J1" s="10"/>
      <c r="K1" s="10"/>
      <c r="L1" s="10"/>
      <c r="M1" s="10"/>
      <c r="N1" s="10"/>
      <c r="O1" s="10"/>
    </row>
    <row r="2" spans="1:15" x14ac:dyDescent="0.75">
      <c r="B2" s="22"/>
      <c r="C2" s="113"/>
      <c r="E2" s="39" t="s">
        <v>81</v>
      </c>
      <c r="H2" s="10"/>
      <c r="I2" s="10"/>
      <c r="J2" s="10"/>
      <c r="K2" s="10"/>
      <c r="L2" s="10"/>
      <c r="M2" s="10"/>
      <c r="N2" s="10"/>
      <c r="O2" s="10"/>
    </row>
    <row r="3" spans="1:15" ht="15.5" thickBot="1" x14ac:dyDescent="0.9">
      <c r="B3" s="22"/>
      <c r="C3" s="113"/>
      <c r="E3" s="39" t="str">
        <f>E1</f>
        <v>// -------------------------------------------------------------------------------</v>
      </c>
      <c r="H3" s="10"/>
      <c r="I3" s="10"/>
      <c r="J3" s="10"/>
      <c r="K3" s="10"/>
      <c r="L3" s="10"/>
      <c r="M3" s="10"/>
      <c r="N3" s="10"/>
      <c r="O3" s="10"/>
    </row>
    <row r="4" spans="1:15" ht="15.5" thickBot="1" x14ac:dyDescent="0.9">
      <c r="B4" s="17" t="s">
        <v>77</v>
      </c>
      <c r="C4" s="114" t="s">
        <v>1040</v>
      </c>
      <c r="E4" s="36" t="str">
        <f>CONCATENATE("Mapping: ",C4)</f>
        <v>Mapping: Diagnosis2Fhir</v>
      </c>
      <c r="H4" s="10"/>
      <c r="I4" s="10"/>
      <c r="J4" s="10"/>
      <c r="K4" s="10"/>
      <c r="L4" s="10"/>
      <c r="M4" s="10"/>
      <c r="N4" s="10"/>
      <c r="O4" s="10"/>
    </row>
    <row r="5" spans="1:15" ht="15.5" thickBot="1" x14ac:dyDescent="0.9">
      <c r="B5" s="17" t="s">
        <v>76</v>
      </c>
      <c r="C5" s="117" t="s">
        <v>15</v>
      </c>
      <c r="E5" s="37" t="str">
        <f>CONCATENATE("Id: ",C5)</f>
        <v>Id: fhir</v>
      </c>
      <c r="G5" s="19"/>
      <c r="H5" s="10"/>
      <c r="I5" s="10"/>
      <c r="J5" s="10"/>
      <c r="K5" s="10"/>
      <c r="L5" s="10"/>
      <c r="M5" s="10"/>
      <c r="N5" s="10"/>
      <c r="O5" s="10"/>
    </row>
    <row r="6" spans="1:15" ht="15.5" thickBot="1" x14ac:dyDescent="0.9">
      <c r="B6" s="17" t="s">
        <v>11</v>
      </c>
      <c r="C6" s="140" t="str">
        <f>C7 &amp;  " model to PCSP HL7 FHIR R4 Profiles"</f>
        <v>Diagnosis model to PCSP HL7 FHIR R4 Profiles</v>
      </c>
      <c r="E6" s="37" t="str">
        <f>CONCATENATE("Title: ##34#",C6,"##34#")</f>
        <v>Title: ##34#Diagnosis model to PCSP HL7 FHIR R4 Profiles##34#</v>
      </c>
      <c r="G6" s="19"/>
      <c r="H6" s="10"/>
      <c r="I6" s="10"/>
      <c r="J6" s="10"/>
      <c r="K6" s="10"/>
      <c r="L6" s="10"/>
      <c r="M6" s="10"/>
      <c r="N6" s="10"/>
      <c r="O6" s="10"/>
    </row>
    <row r="7" spans="1:15" ht="15.5" thickBot="1" x14ac:dyDescent="0.9">
      <c r="B7" s="17" t="s">
        <v>78</v>
      </c>
      <c r="C7" s="115" t="str">
        <f>B9</f>
        <v>Diagnosis</v>
      </c>
      <c r="E7" s="37" t="str">
        <f>CONCATENATE("Source: ",C7)</f>
        <v>Source: Diagnosis</v>
      </c>
      <c r="G7" s="19"/>
      <c r="H7" s="10"/>
      <c r="I7" s="10"/>
      <c r="J7" s="10"/>
      <c r="K7" s="10"/>
      <c r="L7" s="10"/>
      <c r="M7" s="10"/>
      <c r="N7" s="10"/>
      <c r="O7" s="10"/>
    </row>
    <row r="8" spans="1:15" ht="15.5" thickBot="1" x14ac:dyDescent="0.9">
      <c r="B8" s="35" t="s">
        <v>73</v>
      </c>
      <c r="C8" s="19" t="s">
        <v>14</v>
      </c>
      <c r="E8" s="38" t="str">
        <f>CONCATENATE("Target: ##34#",C8,"##34#")</f>
        <v>Target: ##34#hl7.org/fhir/r4##34#</v>
      </c>
      <c r="G8" s="19"/>
      <c r="H8" s="10"/>
      <c r="I8" s="10"/>
      <c r="J8" s="10"/>
      <c r="K8" s="10"/>
      <c r="L8" s="10"/>
      <c r="M8" s="10"/>
      <c r="N8" s="10"/>
      <c r="O8" s="10"/>
    </row>
    <row r="9" spans="1:15" ht="44.25" x14ac:dyDescent="0.75">
      <c r="A9" s="20"/>
      <c r="B9" s="20" t="str">
        <f>Diag!B5</f>
        <v>Diagnosis</v>
      </c>
      <c r="C9" s="4" t="s">
        <v>965</v>
      </c>
      <c r="E9" s="4" t="str">
        <f>CONCATENATE("* . -&gt; ##34#",C9,"##34#")</f>
        <v>* . -&gt; ##34#Condition.conformsTo('http://hl7.eu/fhir/ig/pcsp/StructureDefinition/Condition-primaryCancer-eu-pcsp')##34#</v>
      </c>
      <c r="H9" s="10"/>
      <c r="I9" s="10"/>
      <c r="J9" s="10"/>
      <c r="K9" s="10"/>
      <c r="L9" s="10"/>
      <c r="M9" s="10"/>
      <c r="N9" s="10"/>
      <c r="O9" s="10"/>
    </row>
    <row r="10" spans="1:15" x14ac:dyDescent="0.75">
      <c r="A10" s="20"/>
      <c r="B10" s="20" t="str">
        <f>Diag!B8</f>
        <v>identifier</v>
      </c>
      <c r="C10" s="25" t="s">
        <v>74</v>
      </c>
      <c r="E10" s="21" t="str">
        <f>CONCATENATE("* ",B10," -&gt; ##34#",C10,"##34#")</f>
        <v>* identifier -&gt; ##34#.identifier##34#</v>
      </c>
      <c r="G10" s="19"/>
      <c r="H10" s="10"/>
      <c r="I10" s="10"/>
      <c r="J10" s="10"/>
      <c r="K10" s="10"/>
      <c r="L10" s="10"/>
      <c r="M10" s="10"/>
      <c r="N10" s="10"/>
      <c r="O10" s="10"/>
    </row>
    <row r="11" spans="1:15" x14ac:dyDescent="0.75">
      <c r="A11" s="20"/>
      <c r="B11" s="20" t="str">
        <f>Diag!B9</f>
        <v>dateOfDiagnosis</v>
      </c>
      <c r="C11" s="25" t="s">
        <v>966</v>
      </c>
      <c r="E11" s="21" t="str">
        <f t="shared" ref="E11:E52" si="0">CONCATENATE("* ",B11," -&gt; ##34#",C11,"##34#")</f>
        <v>* dateOfDiagnosis -&gt; ##34#.extension('condition-assertedDate').valueDateTime##34#</v>
      </c>
      <c r="G11" s="19"/>
      <c r="H11" s="10"/>
      <c r="I11" s="10"/>
      <c r="J11" s="10"/>
      <c r="K11" s="10"/>
      <c r="L11" s="10"/>
      <c r="M11" s="10"/>
      <c r="N11" s="10"/>
      <c r="O11" s="10"/>
    </row>
    <row r="12" spans="1:15" ht="29.5" x14ac:dyDescent="0.75">
      <c r="A12" s="20"/>
      <c r="B12" s="20" t="str">
        <f>Diag!B10</f>
        <v>centerOfDiagnosis</v>
      </c>
      <c r="C12" s="25" t="s">
        <v>967</v>
      </c>
      <c r="E12" s="21" t="str">
        <f t="shared" si="0"/>
        <v>* centerOfDiagnosis -&gt; ##34#Observation.conformsTo('http://hl7.eu/fhir/ig/pcsp/StructureDefinition/Observation-diagnosis-eu-pcsp').performer##34#</v>
      </c>
      <c r="G12" s="19"/>
      <c r="H12" s="10"/>
      <c r="I12" s="10"/>
      <c r="J12" s="10"/>
      <c r="K12" s="10"/>
      <c r="L12" s="10"/>
      <c r="M12" s="10"/>
      <c r="N12" s="10"/>
      <c r="O12" s="10"/>
    </row>
    <row r="13" spans="1:15" x14ac:dyDescent="0.75">
      <c r="A13" s="20"/>
      <c r="B13" s="20" t="str">
        <f>Diag!B11</f>
        <v>centerOfDiagnosis.identifier</v>
      </c>
      <c r="C13" s="25" t="s">
        <v>1025</v>
      </c>
      <c r="E13" s="21" t="str">
        <f t="shared" si="0"/>
        <v>* centerOfDiagnosis.identifier -&gt; ##34#Observation.performer.resolve().identifier##34#</v>
      </c>
      <c r="G13" s="19"/>
      <c r="H13" s="10"/>
      <c r="I13" s="10"/>
      <c r="J13" s="10"/>
      <c r="K13" s="10"/>
      <c r="L13" s="10"/>
      <c r="M13" s="10"/>
      <c r="N13" s="10"/>
      <c r="O13" s="10"/>
    </row>
    <row r="14" spans="1:15" x14ac:dyDescent="0.75">
      <c r="A14" s="20"/>
      <c r="B14" s="20" t="str">
        <f>Diag!B11</f>
        <v>centerOfDiagnosis.identifier</v>
      </c>
      <c r="C14" s="25" t="s">
        <v>1026</v>
      </c>
      <c r="E14" s="21" t="str">
        <f t="shared" si="0"/>
        <v>* centerOfDiagnosis.identifier -&gt; ##34#Observation.performer.identifier##34#</v>
      </c>
      <c r="G14" s="19"/>
      <c r="H14" s="10"/>
      <c r="I14" s="10"/>
      <c r="J14" s="10"/>
      <c r="K14" s="10"/>
      <c r="L14" s="10"/>
      <c r="M14" s="10"/>
      <c r="N14" s="10"/>
      <c r="O14" s="10"/>
    </row>
    <row r="15" spans="1:15" x14ac:dyDescent="0.75">
      <c r="A15" s="20"/>
      <c r="B15" s="20" t="str">
        <f>Diag!B12</f>
        <v>centerOfDiagnosis.name</v>
      </c>
      <c r="C15" s="25" t="s">
        <v>1023</v>
      </c>
      <c r="E15" s="21" t="str">
        <f t="shared" si="0"/>
        <v>* centerOfDiagnosis.name -&gt; ##34#Observation.performer.resolve().name##34#</v>
      </c>
      <c r="G15" s="19"/>
      <c r="H15" s="10"/>
      <c r="I15" s="10"/>
      <c r="J15" s="10"/>
      <c r="K15" s="10"/>
      <c r="L15" s="10"/>
      <c r="M15" s="10"/>
      <c r="N15" s="10"/>
      <c r="O15" s="10"/>
    </row>
    <row r="16" spans="1:15" x14ac:dyDescent="0.75">
      <c r="A16" s="20"/>
      <c r="B16" s="20" t="str">
        <f>Diag!B12</f>
        <v>centerOfDiagnosis.name</v>
      </c>
      <c r="C16" s="25" t="s">
        <v>1024</v>
      </c>
      <c r="E16" s="21" t="str">
        <f t="shared" si="0"/>
        <v>* centerOfDiagnosis.name -&gt; ##34#Observation.performer.display##34#</v>
      </c>
      <c r="G16" s="19"/>
      <c r="H16" s="10"/>
      <c r="I16" s="10"/>
      <c r="J16" s="10"/>
      <c r="K16" s="10"/>
      <c r="L16" s="10"/>
      <c r="M16" s="10"/>
      <c r="N16" s="10"/>
      <c r="O16" s="10"/>
    </row>
    <row r="17" spans="1:15" x14ac:dyDescent="0.75">
      <c r="A17" s="20"/>
      <c r="B17" s="20" t="str">
        <f>Diag!B13</f>
        <v>centerOfDiagnosis.city</v>
      </c>
      <c r="C17" s="25" t="s">
        <v>968</v>
      </c>
      <c r="E17" s="21" t="str">
        <f t="shared" si="0"/>
        <v>* centerOfDiagnosis.city -&gt; ##34#Observation.performer.resolve().address.city##34#</v>
      </c>
      <c r="G17" s="19"/>
      <c r="H17" s="10"/>
      <c r="I17" s="10"/>
      <c r="J17" s="10"/>
      <c r="K17" s="10"/>
      <c r="L17" s="10"/>
      <c r="M17" s="10"/>
      <c r="N17" s="10"/>
      <c r="O17" s="10"/>
    </row>
    <row r="18" spans="1:15" ht="29.5" x14ac:dyDescent="0.75">
      <c r="A18" s="20"/>
      <c r="B18" s="20" t="str">
        <f>Diag!B14</f>
        <v>centerOfDiagnosis.country</v>
      </c>
      <c r="C18" s="25" t="s">
        <v>969</v>
      </c>
      <c r="E18" s="21" t="str">
        <f t="shared" si="0"/>
        <v>* centerOfDiagnosis.country -&gt; ##34#Observation.performer.resolve().address.country##34#</v>
      </c>
      <c r="G18" s="19"/>
      <c r="H18" s="10"/>
      <c r="I18" s="10"/>
      <c r="J18" s="10"/>
      <c r="K18" s="10"/>
      <c r="L18" s="10"/>
      <c r="M18" s="10"/>
      <c r="N18" s="10"/>
      <c r="O18" s="10"/>
    </row>
    <row r="19" spans="1:15" x14ac:dyDescent="0.75">
      <c r="A19" s="20"/>
      <c r="B19" s="20" t="str">
        <f>Diag!B15</f>
        <v>primaryTreatmentCenter</v>
      </c>
      <c r="C19" s="21" t="s">
        <v>1027</v>
      </c>
      <c r="E19" s="21" t="str">
        <f t="shared" si="0"/>
        <v>* primaryTreatmentCenter -&gt; ##34#Patient.generalPractitioner##34#</v>
      </c>
      <c r="G19" s="19"/>
    </row>
    <row r="20" spans="1:15" x14ac:dyDescent="0.75">
      <c r="A20" s="20"/>
      <c r="B20" s="20" t="str">
        <f>Diag!B15</f>
        <v>primaryTreatmentCenter</v>
      </c>
      <c r="C20" s="21" t="s">
        <v>1028</v>
      </c>
      <c r="E20" s="21" t="str">
        <f t="shared" si="0"/>
        <v>* primaryTreatmentCenter -&gt; ##34#Encounter.serviceProvider##34#</v>
      </c>
      <c r="G20" s="19"/>
    </row>
    <row r="21" spans="1:15" x14ac:dyDescent="0.75">
      <c r="A21" s="20"/>
      <c r="B21" s="20" t="str">
        <f>Diag!B16</f>
        <v>primaryTreatmentCenter.name</v>
      </c>
      <c r="C21" s="21" t="s">
        <v>1029</v>
      </c>
      <c r="E21" s="21" t="str">
        <f t="shared" si="0"/>
        <v>* primaryTreatmentCenter.name -&gt; ##34#Patient.generalPractitioner.display##34#</v>
      </c>
      <c r="G21" s="19"/>
    </row>
    <row r="22" spans="1:15" ht="29.5" x14ac:dyDescent="0.75">
      <c r="A22" s="20"/>
      <c r="B22" s="20" t="str">
        <f>Diag!B16</f>
        <v>primaryTreatmentCenter.name</v>
      </c>
      <c r="C22" s="21" t="s">
        <v>1032</v>
      </c>
      <c r="E22" s="21" t="str">
        <f t="shared" si="0"/>
        <v>* primaryTreatmentCenter.name -&gt; ##34#Patient.generalPractitioner.resolve().name##34#</v>
      </c>
      <c r="G22" s="19"/>
    </row>
    <row r="23" spans="1:15" x14ac:dyDescent="0.75">
      <c r="A23" s="20"/>
      <c r="B23" s="20" t="str">
        <f>Diag!B16</f>
        <v>primaryTreatmentCenter.name</v>
      </c>
      <c r="C23" s="21" t="s">
        <v>1031</v>
      </c>
      <c r="E23" s="21" t="str">
        <f t="shared" si="0"/>
        <v>* primaryTreatmentCenter.name -&gt; ##34#Encounter.serviceProvider.display##34#</v>
      </c>
      <c r="G23" s="19"/>
    </row>
    <row r="24" spans="1:15" ht="29.5" x14ac:dyDescent="0.75">
      <c r="A24" s="20"/>
      <c r="B24" s="20" t="str">
        <f>Diag!B16</f>
        <v>primaryTreatmentCenter.name</v>
      </c>
      <c r="C24" s="21" t="s">
        <v>1030</v>
      </c>
      <c r="E24" s="21" t="str">
        <f t="shared" si="0"/>
        <v>* primaryTreatmentCenter.name -&gt; ##34#Encounter.serviceProvider.resolve().name##34#</v>
      </c>
      <c r="G24" s="19"/>
    </row>
    <row r="25" spans="1:15" ht="29.5" x14ac:dyDescent="0.75">
      <c r="A25" s="20"/>
      <c r="B25" s="20" t="str">
        <f>Diag!B17</f>
        <v>primaryTreatmentCenter.city</v>
      </c>
      <c r="C25" s="21" t="s">
        <v>1033</v>
      </c>
      <c r="E25" s="21" t="str">
        <f t="shared" si="0"/>
        <v>* primaryTreatmentCenter.city -&gt; ##34#Patient.generalPractitioner.resolve().address.city##34#</v>
      </c>
    </row>
    <row r="26" spans="1:15" ht="29.5" x14ac:dyDescent="0.75">
      <c r="A26" s="20"/>
      <c r="B26" s="20" t="str">
        <f>Diag!B17</f>
        <v>primaryTreatmentCenter.city</v>
      </c>
      <c r="C26" s="21" t="s">
        <v>1034</v>
      </c>
      <c r="E26" s="21" t="str">
        <f t="shared" si="0"/>
        <v>* primaryTreatmentCenter.city -&gt; ##34#Encounter.serviceProvider.resolve().address.city##34#</v>
      </c>
    </row>
    <row r="27" spans="1:15" ht="29.5" x14ac:dyDescent="0.75">
      <c r="A27" s="20"/>
      <c r="B27" s="20" t="str">
        <f>Diag!B18</f>
        <v>primaryTreatmentCenter.country</v>
      </c>
      <c r="C27" s="21" t="s">
        <v>1036</v>
      </c>
      <c r="E27" s="21" t="str">
        <f t="shared" si="0"/>
        <v>* primaryTreatmentCenter.country -&gt; ##34#Patient.generalPractitioner.resolve().address.country##34#</v>
      </c>
    </row>
    <row r="28" spans="1:15" ht="29.5" x14ac:dyDescent="0.75">
      <c r="A28" s="22"/>
      <c r="B28" s="20" t="str">
        <f>Diag!B18</f>
        <v>primaryTreatmentCenter.country</v>
      </c>
      <c r="C28" s="21" t="s">
        <v>1035</v>
      </c>
      <c r="E28" s="21" t="str">
        <f t="shared" si="0"/>
        <v>* primaryTreatmentCenter.country -&gt; ##34#Encounter.serviceProvider.resolve().address.country##34#</v>
      </c>
    </row>
    <row r="29" spans="1:15" x14ac:dyDescent="0.75">
      <c r="B29" s="20" t="str">
        <f>Diag!B19</f>
        <v>dateOfArrivalAtCenter</v>
      </c>
      <c r="C29" s="21" t="s">
        <v>970</v>
      </c>
      <c r="E29" s="21" t="str">
        <f t="shared" si="0"/>
        <v>* dateOfArrivalAtCenter -&gt; ##34#Encounter.period.start##34#</v>
      </c>
    </row>
    <row r="30" spans="1:15" x14ac:dyDescent="0.75">
      <c r="B30" s="20" t="str">
        <f>Diag!B20</f>
        <v>diagnosticGroup</v>
      </c>
      <c r="C30" s="25" t="s">
        <v>971</v>
      </c>
      <c r="E30" s="21" t="str">
        <f t="shared" si="0"/>
        <v>* diagnosticGroup -&gt; ##34#Condition.code.coding##34#</v>
      </c>
    </row>
    <row r="31" spans="1:15" ht="29.5" x14ac:dyDescent="0.75">
      <c r="B31" s="20" t="str">
        <f>Diag!B21</f>
        <v>morphologyCode</v>
      </c>
      <c r="C31" s="25" t="s">
        <v>972</v>
      </c>
      <c r="E31" s="21" t="str">
        <f t="shared" si="0"/>
        <v>* morphologyCode -&gt; ##34#Condition.extension('mcode-histology-morphology-behavior').valueCodeableConcept##34#</v>
      </c>
    </row>
    <row r="32" spans="1:15" ht="29.5" x14ac:dyDescent="0.75">
      <c r="B32" s="20" t="str">
        <f>Diag!B22</f>
        <v>tumorBehaviour</v>
      </c>
      <c r="C32" s="25" t="s">
        <v>972</v>
      </c>
      <c r="E32" s="21" t="str">
        <f t="shared" si="0"/>
        <v>* tumorBehaviour -&gt; ##34#Condition.extension('mcode-histology-morphology-behavior').valueCodeableConcept##34#</v>
      </c>
    </row>
    <row r="33" spans="2:5" x14ac:dyDescent="0.75">
      <c r="B33" s="20" t="str">
        <f>Diag!B23</f>
        <v>description</v>
      </c>
      <c r="C33" s="21" t="s">
        <v>1037</v>
      </c>
      <c r="E33" s="21" t="str">
        <f t="shared" si="0"/>
        <v>* description -&gt; ##34#Condition.text##34#</v>
      </c>
    </row>
    <row r="34" spans="2:5" x14ac:dyDescent="0.75">
      <c r="B34" s="20" t="str">
        <f>Diag!B23</f>
        <v>description</v>
      </c>
      <c r="C34" s="21" t="s">
        <v>1038</v>
      </c>
      <c r="E34" s="21" t="str">
        <f t="shared" si="0"/>
        <v>* description -&gt; ##34#Condition.code.text##34#</v>
      </c>
    </row>
    <row r="35" spans="2:5" x14ac:dyDescent="0.75">
      <c r="B35" s="20" t="str">
        <f>Diag!B24</f>
        <v>site</v>
      </c>
      <c r="C35" s="21" t="s">
        <v>973</v>
      </c>
      <c r="E35" s="21" t="str">
        <f t="shared" si="0"/>
        <v>* site -&gt; ##34#Condition.bodySite##34#</v>
      </c>
    </row>
    <row r="36" spans="2:5" x14ac:dyDescent="0.75">
      <c r="B36" s="20" t="str">
        <f>Diag!B25</f>
        <v>site.code</v>
      </c>
      <c r="C36" s="21" t="s">
        <v>974</v>
      </c>
      <c r="E36" s="21" t="str">
        <f t="shared" si="0"/>
        <v>* site.code -&gt; ##34#Condition.bodySite.coding##34#</v>
      </c>
    </row>
    <row r="37" spans="2:5" x14ac:dyDescent="0.75">
      <c r="B37" s="20" t="str">
        <f>Diag!B26</f>
        <v>site.description</v>
      </c>
      <c r="C37" s="21" t="s">
        <v>975</v>
      </c>
      <c r="E37" s="21" t="str">
        <f t="shared" si="0"/>
        <v>* site.description -&gt; ##34#Condition.bodySite.text##34#</v>
      </c>
    </row>
    <row r="38" spans="2:5" ht="29.5" x14ac:dyDescent="0.75">
      <c r="B38" s="20" t="str">
        <f>Diag!B27</f>
        <v>laterality</v>
      </c>
      <c r="C38" s="21" t="s">
        <v>976</v>
      </c>
      <c r="E38" s="21" t="str">
        <f t="shared" si="0"/>
        <v>* laterality -&gt; ##34#Condition.bodySite.extension('mcode-laterality-qualifier').valueCodeableConcept##34#</v>
      </c>
    </row>
    <row r="39" spans="2:5" ht="44.25" x14ac:dyDescent="0.75">
      <c r="B39" s="20" t="str">
        <f>Diag!B28</f>
        <v>metastasis</v>
      </c>
      <c r="C39" s="21" t="s">
        <v>977</v>
      </c>
      <c r="E39" s="21" t="str">
        <f t="shared" si="0"/>
        <v>* metastasis -&gt; ##34#Condition.conformsTo('http://hl7.eu/fhir/ig/pcsp/StructureDefinition/Condition-secondaryCancer-eu-pcsp')##34#</v>
      </c>
    </row>
    <row r="40" spans="2:5" x14ac:dyDescent="0.75">
      <c r="B40" s="20" t="str">
        <f>Diag!B29</f>
        <v>metastasis.identifier</v>
      </c>
      <c r="C40" s="21" t="s">
        <v>74</v>
      </c>
      <c r="E40" s="21" t="str">
        <f t="shared" si="0"/>
        <v>* metastasis.identifier -&gt; ##34#.identifier##34#</v>
      </c>
    </row>
    <row r="41" spans="2:5" x14ac:dyDescent="0.75">
      <c r="B41" s="20" t="str">
        <f>Diag!B30</f>
        <v>metastasis.site</v>
      </c>
      <c r="C41" s="21" t="s">
        <v>75</v>
      </c>
      <c r="E41" s="21" t="str">
        <f t="shared" si="0"/>
        <v>* metastasis.site -&gt; ##34#.bodySite##34#</v>
      </c>
    </row>
    <row r="42" spans="2:5" x14ac:dyDescent="0.75">
      <c r="B42" s="20" t="str">
        <f>Diag!B31</f>
        <v>metastasis.site.code</v>
      </c>
      <c r="C42" s="21" t="s">
        <v>978</v>
      </c>
      <c r="E42" s="21" t="str">
        <f t="shared" si="0"/>
        <v>* metastasis.site.code -&gt; ##34#.bodySite.coding##34#</v>
      </c>
    </row>
    <row r="43" spans="2:5" x14ac:dyDescent="0.75">
      <c r="B43" s="20" t="str">
        <f>Diag!B32</f>
        <v>metastasis.site.description</v>
      </c>
      <c r="C43" s="21" t="s">
        <v>979</v>
      </c>
      <c r="E43" s="21" t="str">
        <f t="shared" si="0"/>
        <v>* metastasis.site.description -&gt; ##34#.bodySite.text##34#</v>
      </c>
    </row>
    <row r="44" spans="2:5" ht="29.5" x14ac:dyDescent="0.75">
      <c r="B44" s="20" t="str">
        <f>Diag!B33</f>
        <v>geneticMarkers</v>
      </c>
      <c r="C44" s="21" t="s">
        <v>980</v>
      </c>
      <c r="E44" s="21" t="str">
        <f t="shared" si="0"/>
        <v>* geneticMarkers -&gt; ##34#Condition.evidence.where(code = http://snomed.info/sct#106221001 'Genetic finding')##34#</v>
      </c>
    </row>
    <row r="45" spans="2:5" x14ac:dyDescent="0.75">
      <c r="B45" s="20" t="str">
        <f>Diag!B34</f>
        <v>stage</v>
      </c>
      <c r="C45" s="21" t="s">
        <v>981</v>
      </c>
      <c r="E45" s="21" t="str">
        <f t="shared" si="0"/>
        <v>* stage -&gt; ##34#Condition.stage##34#</v>
      </c>
    </row>
    <row r="46" spans="2:5" ht="29.5" x14ac:dyDescent="0.75">
      <c r="B46" s="20" t="str">
        <f>Diag!B35</f>
        <v>immunology</v>
      </c>
      <c r="C46" s="21" t="s">
        <v>982</v>
      </c>
      <c r="E46" s="21" t="str">
        <f t="shared" si="0"/>
        <v>* immunology -&gt; ##34#Condition.evidence.where(code = http://snomed.info/sct#365861007 'Finding of immune status')##34#</v>
      </c>
    </row>
    <row r="47" spans="2:5" ht="29.5" x14ac:dyDescent="0.75">
      <c r="B47" s="20" t="str">
        <f>Diag!B36</f>
        <v>hereditaryPredisposition</v>
      </c>
      <c r="C47" s="21" t="s">
        <v>983</v>
      </c>
      <c r="E47" s="21" t="str">
        <f t="shared" si="0"/>
        <v>* hereditaryPredisposition -&gt; ##34#Condition.evidence.where(code = http://snomed.info/sct#32895009 'Hereditary disease')##34#</v>
      </c>
    </row>
    <row r="48" spans="2:5" x14ac:dyDescent="0.75">
      <c r="B48" s="20" t="str">
        <f>Diag!B37</f>
        <v>notes</v>
      </c>
      <c r="C48" s="21" t="s">
        <v>984</v>
      </c>
      <c r="E48" s="21" t="str">
        <f t="shared" si="0"/>
        <v>* notes -&gt; ##34#Condition.note##34#</v>
      </c>
    </row>
    <row r="49" spans="5:5" x14ac:dyDescent="0.75">
      <c r="E49" s="21" t="str">
        <f t="shared" si="0"/>
        <v>*  -&gt; ##34###34#</v>
      </c>
    </row>
    <row r="50" spans="5:5" x14ac:dyDescent="0.75">
      <c r="E50" s="21" t="str">
        <f t="shared" si="0"/>
        <v>*  -&gt; ##34###34#</v>
      </c>
    </row>
    <row r="51" spans="5:5" x14ac:dyDescent="0.75">
      <c r="E51" s="21" t="str">
        <f t="shared" si="0"/>
        <v>*  -&gt; ##34###34#</v>
      </c>
    </row>
    <row r="52" spans="5:5" x14ac:dyDescent="0.75">
      <c r="E52" s="21" t="str">
        <f t="shared" si="0"/>
        <v>*  -&gt; ##34###34#</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679CA2-E6F3-46FB-B975-2B94C72AA67C}">
  <sheetPr codeName="Foglio9">
    <tabColor theme="9" tint="0.39997558519241921"/>
  </sheetPr>
  <dimension ref="C1:G95"/>
  <sheetViews>
    <sheetView workbookViewId="0">
      <selection activeCell="I46" sqref="I46"/>
    </sheetView>
  </sheetViews>
  <sheetFormatPr defaultRowHeight="14.75" x14ac:dyDescent="0.75"/>
  <cols>
    <col min="1" max="2" width="8.7265625" style="18"/>
    <col min="3" max="3" width="108.2265625" style="21" customWidth="1"/>
    <col min="4" max="6" width="8.7265625" style="18"/>
    <col min="7" max="7" width="33.26953125" style="18" customWidth="1"/>
    <col min="8" max="16384" width="8.7265625" style="18"/>
  </cols>
  <sheetData>
    <row r="1" spans="3:7" ht="15.5" thickBot="1" x14ac:dyDescent="0.9">
      <c r="C1" s="40" t="str">
        <f>Diag!I1</f>
        <v>// -------------------------------------------------------------------------------</v>
      </c>
    </row>
    <row r="2" spans="3:7" ht="16.75" thickBot="1" x14ac:dyDescent="0.9">
      <c r="C2" s="41" t="str">
        <f>Diag!I2</f>
        <v>//  Logical Model</v>
      </c>
      <c r="G2" s="116" t="s">
        <v>1022</v>
      </c>
    </row>
    <row r="3" spans="3:7" x14ac:dyDescent="0.75">
      <c r="C3" s="41" t="str">
        <f>Diag!I3</f>
        <v>// -------------------------------------------------------------------------------</v>
      </c>
    </row>
    <row r="4" spans="3:7" x14ac:dyDescent="0.75">
      <c r="C4" s="33" t="str">
        <f>Diag!I4</f>
        <v>Logical: DiagnosisPcsp</v>
      </c>
    </row>
    <row r="5" spans="3:7" x14ac:dyDescent="0.75">
      <c r="C5" s="33" t="str">
        <f>Diag!I5</f>
        <v>Id: Diagnosis</v>
      </c>
    </row>
    <row r="6" spans="3:7" x14ac:dyDescent="0.75">
      <c r="C6" s="33" t="str">
        <f>Diag!I6</f>
        <v>Title: ##34#Diagnosis##34#</v>
      </c>
    </row>
    <row r="7" spans="3:7" ht="29.5" x14ac:dyDescent="0.75">
      <c r="C7" s="33" t="str">
        <f>Diag!I7</f>
        <v>Description:  ##334#Diagnosis##334#</v>
      </c>
    </row>
    <row r="8" spans="3:7" ht="88.5" x14ac:dyDescent="0.75">
      <c r="C8" s="21" t="str">
        <f>IF(Diag!I8="*  ..  ##34###34# ##334###334#","//--- END",Diag!I8)</f>
        <v>* identifier 1..* Identifier ##34#ID##34# ##334#diagnosis identifier##334#</v>
      </c>
    </row>
    <row r="9" spans="3:7" x14ac:dyDescent="0.75">
      <c r="C9" s="21" t="str">
        <f>IF(Diag!I9="*  ..  ##34###34# ##334###334#","//--- END",Diag!I9)</f>
        <v>* dateOfDiagnosis 0..* BackboneElement ##34#Date of diagnosis##34# ##334#Official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knowledge.##334#</v>
      </c>
    </row>
    <row r="10" spans="3:7" x14ac:dyDescent="0.75">
      <c r="C10" s="21" t="str">
        <f>IF(Diag!I10="*  ..  ##34###34# ##334###334#","//--- END",Diag!I10)</f>
        <v>* centerOfDiagnosis 0..* BackboneElement ##34#Center of diagnosis##34# ##334#Institution in which the diagnosis was made.##334#</v>
      </c>
    </row>
    <row r="11" spans="3:7" x14ac:dyDescent="0.75">
      <c r="C11" s="21" t="str">
        <f>IF(Diag!I11="*  ..  ##34###34# ##334###334#","//--- END",Diag!I11)</f>
        <v>* centerOfDiagnosis.identifier 0..1 Identifier ##34#Center code##34# ##334#Code of the institution in which the diagnosis was made.
IN AIEOP thus information is retrievable from the Mod.1.01 database##334#</v>
      </c>
    </row>
    <row r="12" spans="3:7" x14ac:dyDescent="0.75">
      <c r="C12" s="21" t="str">
        <f>IF(Diag!I12="*  ..  ##34###34# ##334###334#","//--- END",Diag!I12)</f>
        <v>* centerOfDiagnosis.name 0..1 string ##34#Center name##34# ##334#Center name##334#</v>
      </c>
    </row>
    <row r="13" spans="3:7" x14ac:dyDescent="0.75">
      <c r="C13" s="21" t="str">
        <f>IF(Diag!I13="*  ..  ##34###34# ##334###334#","//--- END",Diag!I13)</f>
        <v>* centerOfDiagnosis.city 0..1 string ##34#Center city##34# ##334#Center city##334#</v>
      </c>
    </row>
    <row r="14" spans="3:7" x14ac:dyDescent="0.75">
      <c r="C14" s="21" t="str">
        <f>IF(Diag!I14="*  ..  ##34###34# ##334###334#","//--- END",Diag!I14)</f>
        <v>* centerOfDiagnosis.country 1..1 string ##34#Center country##34# ##334#Center country##334#</v>
      </c>
    </row>
    <row r="15" spans="3:7" ht="29.5" x14ac:dyDescent="0.75">
      <c r="C15" s="21" t="str">
        <f>IF(Diag!I15="*  ..  ##34###34# ##334###334#","//--- END",Diag!I15)</f>
        <v>* primaryTreatmentCenter 0..1 BackboneElement ##34#Primary treatment center##34# ##334#Report here the institution in which most of the treatment was given##334#</v>
      </c>
    </row>
    <row r="16" spans="3:7" ht="29.5" x14ac:dyDescent="0.75">
      <c r="C16" s="21" t="str">
        <f>IF(Diag!I16="*  ..  ##34###34# ##334###334#","//--- END",Diag!I16)</f>
        <v>* primaryTreatmentCenter.name 0..1 string ##34#Primary treatment center name##34# ##334#Primary treatment center name##334#</v>
      </c>
    </row>
    <row r="17" spans="3:3" ht="29.5" x14ac:dyDescent="0.75">
      <c r="C17" s="21" t="str">
        <f>IF(Diag!I17="*  ..  ##34###34# ##334###334#","//--- END",Diag!I17)</f>
        <v>* primaryTreatmentCenter.city 0..1 string ##34#Primary treatment center city##34# ##334#Primary treatment center city##334#</v>
      </c>
    </row>
    <row r="18" spans="3:3" ht="29.5" x14ac:dyDescent="0.75">
      <c r="C18" s="21" t="str">
        <f>IF(Diag!I18="*  ..  ##34###34# ##334###334#","//--- END",Diag!I18)</f>
        <v>* primaryTreatmentCenter.country 0..1 string ##34#Primary treatment center country##34# ##334#Primary treatment center country##334#</v>
      </c>
    </row>
    <row r="19" spans="3:3" ht="29.5" x14ac:dyDescent="0.75">
      <c r="C19" s="21" t="str">
        <f>IF(Diag!I19="*  ..  ##34###34# ##334###334#","//--- END",Diag!I19)</f>
        <v>* dateOfArrivalAtCenter 1..* dateTime ##34#Date of arrival to our institution##34# ##334#Date of arrival to our institution##334#</v>
      </c>
    </row>
    <row r="20" spans="3:3" ht="29.5" x14ac:dyDescent="0.75">
      <c r="C20" s="21" t="str">
        <f>IF(Diag!I20="*  ..  ##34###34# ##334###334#","//--- END",Diag!I20)</f>
        <v>* diagnosticGroup 0..* CodeableConcept ##34#Diagnostic Group##34# ##334#Diagnostic Group. ICCC-3 Classification (Main and Extended classification tables)##334#</v>
      </c>
    </row>
    <row r="21" spans="3:3" ht="73.75" x14ac:dyDescent="0.75">
      <c r="C21" s="21" t="str">
        <f>IF(Diag!I21="*  ..  ##34###34# ##334###334#","//--- END",Diag!I21)</f>
        <v>* morphologyCode 0..* CodeableConcept ##34#Diagnosis##34# ##334#Report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reported##334#</v>
      </c>
    </row>
    <row r="22" spans="3:3" ht="29.5" x14ac:dyDescent="0.75">
      <c r="C22" s="21" t="str">
        <f>IF(Diag!I22="*  ..  ##34###34# ##334###334#","//--- END",Diag!I22)</f>
        <v>* tumorBehaviour 0..* CodeableConcept ##34#Tumour behaviour (ICD-O-3 type)##34# ##334#Tumour behaviour. Automatically generated by the system for benign tumors##334#</v>
      </c>
    </row>
    <row r="23" spans="3:3" x14ac:dyDescent="0.75">
      <c r="C23" s="21" t="str">
        <f>IF(Diag!I23="*  ..  ##34###34# ##334###334#","//--- END",Diag!I23)</f>
        <v>* description 0..1 string ##34#Diagnosis description##34# ##334#Diagnosis description##334#</v>
      </c>
    </row>
    <row r="24" spans="3:3" x14ac:dyDescent="0.75">
      <c r="C24" s="21" t="str">
        <f>IF(Diag!I24="*  ..  ##34###34# ##334###334#","//--- END",Diag!I24)</f>
        <v>* site 0..* BackboneElement ##34#Site##34# ##334#Site of the tumor##334#</v>
      </c>
    </row>
    <row r="25" spans="3:3" ht="44.25" x14ac:dyDescent="0.75">
      <c r="C25" s="21" t="str">
        <f>IF(Diag!I25="*  ..  ##34###34# ##334###334#","//--- END",Diag!I25)</f>
        <v>* site.code 0..* CodeableConcept ##34#Site(ICD-O-3 topography)##34# ##334#Site . Report the site of the tumor using the ICD-O-3 Topography (an help tool is built into the system). If also ICD-O-3 Morphology data have been reported, the system will automatically define the tumor also according to ICCC-3 classic pediatric classification (see: Cancer category)##334#</v>
      </c>
    </row>
    <row r="26" spans="3:3" ht="29.5" x14ac:dyDescent="0.75">
      <c r="C26" s="21" t="str">
        <f>IF(Diag!I26="*  ..  ##34###34# ##334###334#","//--- END",Diag!I26)</f>
        <v>* site.description 0..* string ##34#Site description##34# ##334#Site description . Free text to report the site of the tumor##334#</v>
      </c>
    </row>
    <row r="27" spans="3:3" x14ac:dyDescent="0.75">
      <c r="C27" s="21" t="str">
        <f>IF(Diag!I27="*  ..  ##34###34# ##334###334#","//--- END",Diag!I27)</f>
        <v>* laterality 0..* CodeableConcept ##34#Laterality##34# ##334#Laterality##334#</v>
      </c>
    </row>
    <row r="28" spans="3:3" ht="29.5" x14ac:dyDescent="0.75">
      <c r="C28" s="21" t="str">
        <f>IF(Diag!I28="*  ..  ##34###34# ##334###334#","//--- END",Diag!I28)</f>
        <v>* metastasis 0..* BackboneElement ##34#Metastatic##34# ##334#Some tumors may be either localized (e.g. stage III neuroblastoma) or metastatic. Please specify.##334#</v>
      </c>
    </row>
    <row r="29" spans="3:3" x14ac:dyDescent="0.75">
      <c r="C29" s="21" t="str">
        <f>IF(Diag!I29="*  ..  ##34###34# ##334###334#","//--- END",Diag!I29)</f>
        <v>* metastasis.identifier 0..* integer ##34#Metastasis id##34# ##334#Number of metastases##334#</v>
      </c>
    </row>
    <row r="30" spans="3:3" ht="29.5" x14ac:dyDescent="0.75">
      <c r="C30" s="21" t="str">
        <f>IF(Diag!I30="*  ..  ##34###34# ##334###334#","//--- END",Diag!I30)</f>
        <v>* metastasis.site 0..* BackboneElement ##34#Metastasis site##34# ##334#Please report here the site(s) of metastases detected at diagnosis.##334#</v>
      </c>
    </row>
    <row r="31" spans="3:3" ht="29.5" x14ac:dyDescent="0.75">
      <c r="C31" s="21" t="str">
        <f>IF(Diag!I31="*  ..  ##34###34# ##334###334#","//--- END",Diag!I31)</f>
        <v>* metastasis.site.code 0..* CodeableConcept ##34#Metastasis site code##34# ##334#Metastases detected at diagnosis (using ICD-O-3 Topography). If site(s) is unknown, code C80.9##334#</v>
      </c>
    </row>
    <row r="32" spans="3:3" ht="29.5" x14ac:dyDescent="0.75">
      <c r="C32" s="21" t="str">
        <f>IF(Diag!I32="*  ..  ##34###34# ##334###334#","//--- END",Diag!I32)</f>
        <v>* metastasis.site.description 0..* string ##34#Additional description of sites of metastatis##34# ##334#Additional description of sites of metastatis##334#</v>
      </c>
    </row>
    <row r="33" spans="3:3" ht="44.25" x14ac:dyDescent="0.75">
      <c r="C33" s="21" t="str">
        <f>IF(Diag!I33="*  ..  ##34###34# ##334###334#","//--- END",Diag!I33)</f>
        <v>* geneticMarkers 0..1 string ##34#Genetic markers(text)##34# ##334#Please report here any genetic marker: chromosomal alterations (e.g. translocation, deletions, duplications); or other types of genetic alterations (amplification, deletion, mutation)##334#</v>
      </c>
    </row>
    <row r="34" spans="3:3" ht="59" x14ac:dyDescent="0.75">
      <c r="C34" s="21" t="str">
        <f>IF(Diag!I34="*  ..  ##34###34# ##334###334#","//--- END",Diag!I34)</f>
        <v>* stage 0..1 string ##34#Stage/Risk##34# ##334#Stage/Risk.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'NK'##334#</v>
      </c>
    </row>
    <row r="35" spans="3:3" ht="44.25" x14ac:dyDescent="0.75">
      <c r="C35" s="21" t="str">
        <f>IF(Diag!I35="*  ..  ##34###34# ##334###334#","//--- END",Diag!I35)</f>
        <v>* immunology 0..* CodeableConcept ##34#Immunology##34# ##334#Immunology . This is a free text field. Report here, if applicable (e.g. leukemias) the immunophenotype of the disease (sometimes already reported in the ICD-O-3 Morphology coding). If immunology is unknown, specify 'NK'##334#</v>
      </c>
    </row>
    <row r="36" spans="3:3" ht="88.5" x14ac:dyDescent="0.75">
      <c r="C36" s="21" t="str">
        <f>IF(Diag!I36="*  ..  ##34###34# ##334###334#","//--- END",Diag!I36)</f>
        <v>* hereditaryPredisposition 0..* CodeableConcept ##34#Hereditary Cancer Predisposition##34# ##334#Hereditary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'Specify'##334#</v>
      </c>
    </row>
    <row r="37" spans="3:3" x14ac:dyDescent="0.75">
      <c r="C37" s="21" t="str">
        <f>IF(Diag!I37="*  ..  ##34###34# ##334###334#","//--- END",Diag!I37)</f>
        <v>* notes 0..* string ##34#Notes##34# ##334#Notes##334#</v>
      </c>
    </row>
    <row r="38" spans="3:3" x14ac:dyDescent="0.75">
      <c r="C38" s="21" t="str">
        <f>IF(Diag!I38="*  ..  ##34###34# ##334###334#","//--- END",Diag!I38)</f>
        <v>//--- END</v>
      </c>
    </row>
    <row r="39" spans="3:3" x14ac:dyDescent="0.75">
      <c r="C39" s="21" t="str">
        <f>IF(Diag!I39="*  ..  ##34###34# ##334###334#","//--- END",Diag!I39)</f>
        <v>//--- END</v>
      </c>
    </row>
    <row r="40" spans="3:3" x14ac:dyDescent="0.75">
      <c r="C40" s="21" t="str">
        <f>IF(Diag!I40="*  ..  ##34###34# ##334###334#","//--- END",Diag!I40)</f>
        <v>//--- END</v>
      </c>
    </row>
    <row r="41" spans="3:3" x14ac:dyDescent="0.75">
      <c r="C41" s="21" t="str">
        <f>IF(Diag!I41="*  ..  ##34###34# ##334###334#","//--- END",Diag!I41)</f>
        <v>//--- END</v>
      </c>
    </row>
    <row r="44" spans="3:3" x14ac:dyDescent="0.75">
      <c r="C44" s="40" t="str">
        <f>'Diag-Map'!E1</f>
        <v>// -------------------------------------------------------------------------------</v>
      </c>
    </row>
    <row r="45" spans="3:3" x14ac:dyDescent="0.75">
      <c r="C45" s="41" t="str">
        <f>'Diag-Map'!E2</f>
        <v>//  Map to FHIR R4</v>
      </c>
    </row>
    <row r="46" spans="3:3" x14ac:dyDescent="0.75">
      <c r="C46" s="41" t="str">
        <f>'Diag-Map'!E3</f>
        <v>// -------------------------------------------------------------------------------</v>
      </c>
    </row>
    <row r="47" spans="3:3" x14ac:dyDescent="0.75">
      <c r="C47" s="21" t="str">
        <f>'Diag-Map'!E4</f>
        <v>Mapping: Diagnosis2Fhir</v>
      </c>
    </row>
    <row r="48" spans="3:3" x14ac:dyDescent="0.75">
      <c r="C48" s="21" t="str">
        <f>'Diag-Map'!E5</f>
        <v>Id: fhir</v>
      </c>
    </row>
    <row r="49" spans="3:3" x14ac:dyDescent="0.75">
      <c r="C49" s="21" t="str">
        <f>'Diag-Map'!E6</f>
        <v>Title: ##34#Diagnosis model to PCSP HL7 FHIR R4 Profiles##34#</v>
      </c>
    </row>
    <row r="50" spans="3:3" x14ac:dyDescent="0.75">
      <c r="C50" s="21" t="str">
        <f>'Diag-Map'!E7</f>
        <v>Source: Diagnosis</v>
      </c>
    </row>
    <row r="51" spans="3:3" x14ac:dyDescent="0.75">
      <c r="C51" s="21" t="str">
        <f>'Diag-Map'!E8</f>
        <v>Target: ##34#hl7.org/fhir/r4##34#</v>
      </c>
    </row>
    <row r="53" spans="3:3" x14ac:dyDescent="0.75">
      <c r="C53" s="21" t="str">
        <f>IF('Diag-Map'!E9="*  -&gt; ##34###34#","// --END",'Diag-Map'!E9)</f>
        <v>* . -&gt; ##34#Condition.conformsTo('http://hl7.eu/fhir/ig/pcsp/StructureDefinition/Condition-primaryCancer-eu-pcsp')##34#</v>
      </c>
    </row>
    <row r="54" spans="3:3" x14ac:dyDescent="0.75">
      <c r="C54" s="21" t="str">
        <f>IF('Diag-Map'!E10="*  -&gt; ##34###34#","// --END",'Diag-Map'!E10)</f>
        <v>* identifier -&gt; ##34#.identifier##34#</v>
      </c>
    </row>
    <row r="55" spans="3:3" x14ac:dyDescent="0.75">
      <c r="C55" s="21" t="str">
        <f>IF('Diag-Map'!E11="*  -&gt; ##34###34#","// --END",'Diag-Map'!E11)</f>
        <v>* dateOfDiagnosis -&gt; ##34#.extension('condition-assertedDate').valueDateTime##34#</v>
      </c>
    </row>
    <row r="56" spans="3:3" ht="29.5" x14ac:dyDescent="0.75">
      <c r="C56" s="21" t="str">
        <f>IF('Diag-Map'!E12="*  -&gt; ##34###34#","// --END",'Diag-Map'!E12)</f>
        <v>* centerOfDiagnosis -&gt; ##34#Observation.conformsTo('http://hl7.eu/fhir/ig/pcsp/StructureDefinition/Observation-diagnosis-eu-pcsp').performer##34#</v>
      </c>
    </row>
    <row r="57" spans="3:3" x14ac:dyDescent="0.75">
      <c r="C57" s="21" t="str">
        <f>IF('Diag-Map'!E13="*  -&gt; ##34###34#","// --END",'Diag-Map'!E13)</f>
        <v>* centerOfDiagnosis.identifier -&gt; ##34#Observation.performer.resolve().identifier##34#</v>
      </c>
    </row>
    <row r="58" spans="3:3" x14ac:dyDescent="0.75">
      <c r="C58" s="21" t="str">
        <f>IF('Diag-Map'!E14="*  -&gt; ##34###34#","// --END",'Diag-Map'!E14)</f>
        <v>* centerOfDiagnosis.identifier -&gt; ##34#Observation.performer.identifier##34#</v>
      </c>
    </row>
    <row r="59" spans="3:3" x14ac:dyDescent="0.75">
      <c r="C59" s="21" t="str">
        <f>IF('Diag-Map'!E15="*  -&gt; ##34###34#","// --END",'Diag-Map'!E15)</f>
        <v>* centerOfDiagnosis.name -&gt; ##34#Observation.performer.resolve().name##34#</v>
      </c>
    </row>
    <row r="60" spans="3:3" x14ac:dyDescent="0.75">
      <c r="C60" s="21" t="str">
        <f>IF('Diag-Map'!E16="*  -&gt; ##34###34#","// --END",'Diag-Map'!E16)</f>
        <v>* centerOfDiagnosis.name -&gt; ##34#Observation.performer.display##34#</v>
      </c>
    </row>
    <row r="61" spans="3:3" x14ac:dyDescent="0.75">
      <c r="C61" s="21" t="str">
        <f>IF('Diag-Map'!E17="*  -&gt; ##34###34#","// --END",'Diag-Map'!E17)</f>
        <v>* centerOfDiagnosis.city -&gt; ##34#Observation.performer.resolve().address.city##34#</v>
      </c>
    </row>
    <row r="62" spans="3:3" x14ac:dyDescent="0.75">
      <c r="C62" s="21" t="str">
        <f>IF('Diag-Map'!E18="*  -&gt; ##34###34#","// --END",'Diag-Map'!E18)</f>
        <v>* centerOfDiagnosis.country -&gt; ##34#Observation.performer.resolve().address.country##34#</v>
      </c>
    </row>
    <row r="63" spans="3:3" x14ac:dyDescent="0.75">
      <c r="C63" s="21" t="str">
        <f>IF('Diag-Map'!E19="*  -&gt; ##34###34#","// --END",'Diag-Map'!E19)</f>
        <v>* primaryTreatmentCenter -&gt; ##34#Patient.generalPractitioner##34#</v>
      </c>
    </row>
    <row r="64" spans="3:3" x14ac:dyDescent="0.75">
      <c r="C64" s="21" t="str">
        <f>IF('Diag-Map'!E20="*  -&gt; ##34###34#","// --END",'Diag-Map'!E20)</f>
        <v>* primaryTreatmentCenter -&gt; ##34#Encounter.serviceProvider##34#</v>
      </c>
    </row>
    <row r="65" spans="3:3" x14ac:dyDescent="0.75">
      <c r="C65" s="21" t="str">
        <f>IF('Diag-Map'!E21="*  -&gt; ##34###34#","// --END",'Diag-Map'!E21)</f>
        <v>* primaryTreatmentCenter.name -&gt; ##34#Patient.generalPractitioner.display##34#</v>
      </c>
    </row>
    <row r="66" spans="3:3" x14ac:dyDescent="0.75">
      <c r="C66" s="21" t="str">
        <f>IF('Diag-Map'!E22="*  -&gt; ##34###34#","// --END",'Diag-Map'!E22)</f>
        <v>* primaryTreatmentCenter.name -&gt; ##34#Patient.generalPractitioner.resolve().name##34#</v>
      </c>
    </row>
    <row r="67" spans="3:3" x14ac:dyDescent="0.75">
      <c r="C67" s="21" t="str">
        <f>IF('Diag-Map'!E23="*  -&gt; ##34###34#","// --END",'Diag-Map'!E23)</f>
        <v>* primaryTreatmentCenter.name -&gt; ##34#Encounter.serviceProvider.display##34#</v>
      </c>
    </row>
    <row r="68" spans="3:3" x14ac:dyDescent="0.75">
      <c r="C68" s="21" t="str">
        <f>IF('Diag-Map'!E24="*  -&gt; ##34###34#","// --END",'Diag-Map'!E24)</f>
        <v>* primaryTreatmentCenter.name -&gt; ##34#Encounter.serviceProvider.resolve().name##34#</v>
      </c>
    </row>
    <row r="69" spans="3:3" x14ac:dyDescent="0.75">
      <c r="C69" s="21" t="str">
        <f>IF('Diag-Map'!E25="*  -&gt; ##34###34#","// --END",'Diag-Map'!E25)</f>
        <v>* primaryTreatmentCenter.city -&gt; ##34#Patient.generalPractitioner.resolve().address.city##34#</v>
      </c>
    </row>
    <row r="70" spans="3:3" x14ac:dyDescent="0.75">
      <c r="C70" s="21" t="str">
        <f>IF('Diag-Map'!E26="*  -&gt; ##34###34#","// --END",'Diag-Map'!E26)</f>
        <v>* primaryTreatmentCenter.city -&gt; ##34#Encounter.serviceProvider.resolve().address.city##34#</v>
      </c>
    </row>
    <row r="71" spans="3:3" x14ac:dyDescent="0.75">
      <c r="C71" s="21" t="str">
        <f>IF('Diag-Map'!E27="*  -&gt; ##34###34#","// --END",'Diag-Map'!E27)</f>
        <v>* primaryTreatmentCenter.country -&gt; ##34#Patient.generalPractitioner.resolve().address.country##34#</v>
      </c>
    </row>
    <row r="72" spans="3:3" x14ac:dyDescent="0.75">
      <c r="C72" s="21" t="str">
        <f>IF('Diag-Map'!E28="*  -&gt; ##34###34#","// --END",'Diag-Map'!E28)</f>
        <v>* primaryTreatmentCenter.country -&gt; ##34#Encounter.serviceProvider.resolve().address.country##34#</v>
      </c>
    </row>
    <row r="73" spans="3:3" x14ac:dyDescent="0.75">
      <c r="C73" s="21" t="str">
        <f>IF('Diag-Map'!E29="*  -&gt; ##34###34#","// --END",'Diag-Map'!E29)</f>
        <v>* dateOfArrivalAtCenter -&gt; ##34#Encounter.period.start##34#</v>
      </c>
    </row>
    <row r="74" spans="3:3" x14ac:dyDescent="0.75">
      <c r="C74" s="21" t="str">
        <f>IF('Diag-Map'!E30="*  -&gt; ##34###34#","// --END",'Diag-Map'!E30)</f>
        <v>* diagnosticGroup -&gt; ##34#Condition.code.coding##34#</v>
      </c>
    </row>
    <row r="75" spans="3:3" x14ac:dyDescent="0.75">
      <c r="C75" s="21" t="str">
        <f>IF('Diag-Map'!E31="*  -&gt; ##34###34#","// --END",'Diag-Map'!E31)</f>
        <v>* morphologyCode -&gt; ##34#Condition.extension('mcode-histology-morphology-behavior').valueCodeableConcept##34#</v>
      </c>
    </row>
    <row r="76" spans="3:3" x14ac:dyDescent="0.75">
      <c r="C76" s="21" t="str">
        <f>IF('Diag-Map'!E32="*  -&gt; ##34###34#","// --END",'Diag-Map'!E32)</f>
        <v>* tumorBehaviour -&gt; ##34#Condition.extension('mcode-histology-morphology-behavior').valueCodeableConcept##34#</v>
      </c>
    </row>
    <row r="77" spans="3:3" x14ac:dyDescent="0.75">
      <c r="C77" s="21" t="str">
        <f>IF('Diag-Map'!E33="*  -&gt; ##34###34#","// --END",'Diag-Map'!E33)</f>
        <v>* description -&gt; ##34#Condition.text##34#</v>
      </c>
    </row>
    <row r="78" spans="3:3" x14ac:dyDescent="0.75">
      <c r="C78" s="21" t="str">
        <f>IF('Diag-Map'!E34="*  -&gt; ##34###34#","// --END",'Diag-Map'!E34)</f>
        <v>* description -&gt; ##34#Condition.code.text##34#</v>
      </c>
    </row>
    <row r="79" spans="3:3" x14ac:dyDescent="0.75">
      <c r="C79" s="21" t="str">
        <f>IF('Diag-Map'!E35="*  -&gt; ##34###34#","// --END",'Diag-Map'!E35)</f>
        <v>* site -&gt; ##34#Condition.bodySite##34#</v>
      </c>
    </row>
    <row r="80" spans="3:3" x14ac:dyDescent="0.75">
      <c r="C80" s="21" t="str">
        <f>IF('Diag-Map'!E36="*  -&gt; ##34###34#","// --END",'Diag-Map'!E36)</f>
        <v>* site.code -&gt; ##34#Condition.bodySite.coding##34#</v>
      </c>
    </row>
    <row r="81" spans="3:3" x14ac:dyDescent="0.75">
      <c r="C81" s="21" t="str">
        <f>IF('Diag-Map'!E37="*  -&gt; ##34###34#","// --END",'Diag-Map'!E37)</f>
        <v>* site.description -&gt; ##34#Condition.bodySite.text##34#</v>
      </c>
    </row>
    <row r="82" spans="3:3" x14ac:dyDescent="0.75">
      <c r="C82" s="21" t="str">
        <f>IF('Diag-Map'!E38="*  -&gt; ##34###34#","// --END",'Diag-Map'!E38)</f>
        <v>* laterality -&gt; ##34#Condition.bodySite.extension('mcode-laterality-qualifier').valueCodeableConcept##34#</v>
      </c>
    </row>
    <row r="83" spans="3:3" ht="29.5" x14ac:dyDescent="0.75">
      <c r="C83" s="21" t="str">
        <f>IF('Diag-Map'!E39="*  -&gt; ##34###34#","// --END",'Diag-Map'!E39)</f>
        <v>* metastasis -&gt; ##34#Condition.conformsTo('http://hl7.eu/fhir/ig/pcsp/StructureDefinition/Condition-secondaryCancer-eu-pcsp')##34#</v>
      </c>
    </row>
    <row r="84" spans="3:3" x14ac:dyDescent="0.75">
      <c r="C84" s="21" t="str">
        <f>IF('Diag-Map'!E40="*  -&gt; ##34###34#","// --END",'Diag-Map'!E40)</f>
        <v>* metastasis.identifier -&gt; ##34#.identifier##34#</v>
      </c>
    </row>
    <row r="85" spans="3:3" x14ac:dyDescent="0.75">
      <c r="C85" s="21" t="str">
        <f>IF('Diag-Map'!E41="*  -&gt; ##34###34#","// --END",'Diag-Map'!E41)</f>
        <v>* metastasis.site -&gt; ##34#.bodySite##34#</v>
      </c>
    </row>
    <row r="86" spans="3:3" x14ac:dyDescent="0.75">
      <c r="C86" s="21" t="str">
        <f>IF('Diag-Map'!E42="*  -&gt; ##34###34#","// --END",'Diag-Map'!E42)</f>
        <v>* metastasis.site.code -&gt; ##34#.bodySite.coding##34#</v>
      </c>
    </row>
    <row r="87" spans="3:3" x14ac:dyDescent="0.75">
      <c r="C87" s="21" t="str">
        <f>IF('Diag-Map'!E43="*  -&gt; ##34###34#","// --END",'Diag-Map'!E43)</f>
        <v>* metastasis.site.description -&gt; ##34#.bodySite.text##34#</v>
      </c>
    </row>
    <row r="88" spans="3:3" x14ac:dyDescent="0.75">
      <c r="C88" s="21" t="str">
        <f>IF('Diag-Map'!E44="*  -&gt; ##34###34#","// --END",'Diag-Map'!E44)</f>
        <v>* geneticMarkers -&gt; ##34#Condition.evidence.where(code = http://snomed.info/sct#106221001 'Genetic finding')##34#</v>
      </c>
    </row>
    <row r="89" spans="3:3" x14ac:dyDescent="0.75">
      <c r="C89" s="21" t="str">
        <f>IF('Diag-Map'!E45="*  -&gt; ##34###34#","// --END",'Diag-Map'!E45)</f>
        <v>* stage -&gt; ##34#Condition.stage##34#</v>
      </c>
    </row>
    <row r="90" spans="3:3" x14ac:dyDescent="0.75">
      <c r="C90" s="21" t="str">
        <f>IF('Diag-Map'!E46="*  -&gt; ##34###34#","// --END",'Diag-Map'!E46)</f>
        <v>* immunology -&gt; ##34#Condition.evidence.where(code = http://snomed.info/sct#365861007 'Finding of immune status')##34#</v>
      </c>
    </row>
    <row r="91" spans="3:3" ht="29.5" x14ac:dyDescent="0.75">
      <c r="C91" s="21" t="str">
        <f>IF('Diag-Map'!E47="*  -&gt; ##34###34#","// --END",'Diag-Map'!E47)</f>
        <v>* hereditaryPredisposition -&gt; ##34#Condition.evidence.where(code = http://snomed.info/sct#32895009 'Hereditary disease')##34#</v>
      </c>
    </row>
    <row r="92" spans="3:3" x14ac:dyDescent="0.75">
      <c r="C92" s="21" t="str">
        <f>IF('Diag-Map'!E48="*  -&gt; ##34###34#","// --END",'Diag-Map'!E48)</f>
        <v>* notes -&gt; ##34#Condition.note##34#</v>
      </c>
    </row>
    <row r="93" spans="3:3" x14ac:dyDescent="0.75">
      <c r="C93" s="21" t="str">
        <f>IF('Diag-Map'!E49="*  -&gt; ##34###34#","// --END",'Diag-Map'!E49)</f>
        <v>// --END</v>
      </c>
    </row>
    <row r="94" spans="3:3" x14ac:dyDescent="0.75">
      <c r="C94" s="21" t="str">
        <f>IF('Diag-Map'!E50="*  -&gt; ##34###34#","// --END",'Diag-Map'!E50)</f>
        <v>// --END</v>
      </c>
    </row>
    <row r="95" spans="3:3" x14ac:dyDescent="0.75">
      <c r="C95" s="21" t="str">
        <f>IF('Diag-Map'!E51="*  -&gt; ##34###34#","// --END",'Diag-Map'!E51)</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4" r:id="rId3" name="Button 2">
              <controlPr defaultSize="0" print="0" autoFill="0" autoPict="0" macro="[0]!export">
                <anchor moveWithCells="1">
                  <from>
                    <xdr:col>4</xdr:col>
                    <xdr:colOff>254000</xdr:colOff>
                    <xdr:row>1</xdr:row>
                    <xdr:rowOff>0</xdr:rowOff>
                  </from>
                  <to>
                    <xdr:col>5</xdr:col>
                    <xdr:colOff>317500</xdr:colOff>
                    <xdr:row>2</xdr:row>
                    <xdr:rowOff>76200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EEDD3F-9353-48F2-8048-C5592192C581}">
  <sheetPr codeName="Foglio30">
    <tabColor theme="4" tint="0.59999389629810485"/>
  </sheetPr>
  <dimension ref="A1:L41"/>
  <sheetViews>
    <sheetView workbookViewId="0">
      <selection activeCell="I6" sqref="I6"/>
    </sheetView>
  </sheetViews>
  <sheetFormatPr defaultRowHeight="14.75" x14ac:dyDescent="0.75"/>
  <cols>
    <col min="1" max="1" width="16.54296875" style="18" customWidth="1"/>
    <col min="2" max="2" width="59.5" style="18" customWidth="1"/>
    <col min="3" max="3" width="44.6328125" style="18" customWidth="1"/>
    <col min="4" max="4" width="71.58984375" style="18" bestFit="1" customWidth="1"/>
    <col min="5" max="5" width="10.81640625" style="18" customWidth="1"/>
    <col min="6" max="6" width="9" style="18" customWidth="1"/>
    <col min="7" max="8" width="21.76953125" style="18" customWidth="1"/>
    <col min="9" max="9" width="67.1796875" style="19" customWidth="1"/>
    <col min="10" max="10" width="19.31640625" style="18" customWidth="1"/>
    <col min="11" max="11" width="8.7265625" style="18"/>
    <col min="12" max="12" width="45.81640625" style="19" customWidth="1"/>
    <col min="13" max="13" width="8.7265625" style="18" customWidth="1"/>
    <col min="14" max="16384" width="8.7265625" style="18"/>
  </cols>
  <sheetData>
    <row r="1" spans="1:11" x14ac:dyDescent="0.75">
      <c r="B1" s="22"/>
      <c r="C1" s="22"/>
      <c r="D1" s="22"/>
      <c r="I1" s="40" t="s">
        <v>80</v>
      </c>
    </row>
    <row r="2" spans="1:11" x14ac:dyDescent="0.75">
      <c r="B2" s="22"/>
      <c r="C2" s="22"/>
      <c r="D2" s="22"/>
      <c r="I2" s="41" t="s">
        <v>79</v>
      </c>
    </row>
    <row r="3" spans="1:11" ht="15.5" thickBot="1" x14ac:dyDescent="0.9">
      <c r="B3" s="22"/>
      <c r="C3" s="22"/>
      <c r="D3" s="22"/>
      <c r="I3" s="41" t="str">
        <f>I1</f>
        <v>// -------------------------------------------------------------------------------</v>
      </c>
    </row>
    <row r="4" spans="1:11" ht="15.5" thickBot="1" x14ac:dyDescent="0.9">
      <c r="A4" s="6" t="s">
        <v>13</v>
      </c>
      <c r="B4" s="24" t="s">
        <v>1041</v>
      </c>
      <c r="C4" s="22"/>
      <c r="D4" s="22"/>
      <c r="I4" s="33" t="str">
        <f>CONCATENATE("Logical: ",B4)</f>
        <v>Logical: SubjectPcsp</v>
      </c>
    </row>
    <row r="5" spans="1:11" ht="15.5" thickBot="1" x14ac:dyDescent="0.9">
      <c r="A5" s="27" t="s">
        <v>76</v>
      </c>
      <c r="B5" s="110" t="s">
        <v>847</v>
      </c>
      <c r="C5" s="22"/>
      <c r="D5" s="22"/>
      <c r="I5" s="33" t="str">
        <f>CONCATENATE("Id: ",B5)</f>
        <v>Id: Subject</v>
      </c>
    </row>
    <row r="6" spans="1:11" ht="15.5" thickBot="1" x14ac:dyDescent="0.9">
      <c r="A6" s="28" t="s">
        <v>11</v>
      </c>
      <c r="B6" s="87" t="s">
        <v>985</v>
      </c>
      <c r="C6" s="22"/>
      <c r="D6" s="22"/>
      <c r="I6" s="34" t="str">
        <f>CONCATENATE("Title: ##34#",B6,"##34#")</f>
        <v>Title: ##34#Subject of care##34#</v>
      </c>
    </row>
    <row r="7" spans="1:11" ht="15.5" thickBot="1" x14ac:dyDescent="0.9">
      <c r="A7" s="29" t="s">
        <v>4</v>
      </c>
      <c r="B7" s="22" t="s">
        <v>986</v>
      </c>
      <c r="C7" s="13" t="s">
        <v>5</v>
      </c>
      <c r="D7" s="2" t="s">
        <v>6</v>
      </c>
      <c r="E7" s="3" t="s">
        <v>7</v>
      </c>
      <c r="F7" s="3" t="s">
        <v>8</v>
      </c>
      <c r="G7" s="3" t="s">
        <v>9</v>
      </c>
      <c r="I7" s="34" t="str">
        <f>CONCATENATE("Description: "," ##334#",B7,"##334#",)</f>
        <v>Description:  ##334#Subject of care
Maturity Level: 2 - Ready for Review##334#</v>
      </c>
    </row>
    <row r="8" spans="1:11" x14ac:dyDescent="0.75">
      <c r="A8" s="20">
        <v>1</v>
      </c>
      <c r="B8" s="20" t="s">
        <v>12</v>
      </c>
      <c r="C8" s="20" t="s">
        <v>10</v>
      </c>
      <c r="D8" s="20" t="s">
        <v>10</v>
      </c>
      <c r="E8" s="20">
        <v>1</v>
      </c>
      <c r="F8" s="20" t="s">
        <v>861</v>
      </c>
      <c r="G8" s="20" t="s">
        <v>0</v>
      </c>
      <c r="H8" s="31"/>
      <c r="I8" s="42" t="str">
        <f>CONCATENATE("* ",B8, " ",E8,"..",F8," ",G8," ##34#",C8,"##34# ##334#",D8,"##334#")</f>
        <v>* identifier 1..* Identifier ##34#ID##34# ##334#ID##334#</v>
      </c>
    </row>
    <row r="9" spans="1:11" x14ac:dyDescent="0.75">
      <c r="A9" s="20">
        <v>2</v>
      </c>
      <c r="B9" s="20" t="s">
        <v>987</v>
      </c>
      <c r="C9" s="20" t="s">
        <v>988</v>
      </c>
      <c r="D9" s="20" t="s">
        <v>988</v>
      </c>
      <c r="E9" s="20">
        <v>1</v>
      </c>
      <c r="F9" s="20" t="s">
        <v>861</v>
      </c>
      <c r="G9" s="20" t="s">
        <v>850</v>
      </c>
      <c r="H9" s="31"/>
      <c r="I9" s="42" t="str">
        <f t="shared" ref="I9:I41" si="0">CONCATENATE("* ",B9, " ",E9,"..",F9," ",G9," ##34#",C9,"##34# ##334#",D9,"##334#")</f>
        <v>* name 1..* BackboneElement ##34#Subject Name##34# ##334#Subject Name##334#</v>
      </c>
    </row>
    <row r="10" spans="1:11" x14ac:dyDescent="0.75">
      <c r="A10" s="20">
        <v>3</v>
      </c>
      <c r="B10" s="20" t="s">
        <v>989</v>
      </c>
      <c r="C10" s="20" t="s">
        <v>990</v>
      </c>
      <c r="D10" s="20" t="s">
        <v>990</v>
      </c>
      <c r="E10" s="20">
        <v>1</v>
      </c>
      <c r="F10" s="20" t="s">
        <v>861</v>
      </c>
      <c r="G10" s="20" t="s">
        <v>2</v>
      </c>
      <c r="H10" s="31"/>
      <c r="I10" s="42" t="str">
        <f t="shared" si="0"/>
        <v>* name.lastname 1..* string ##34#Lastname##34# ##334#Lastname##334#</v>
      </c>
    </row>
    <row r="11" spans="1:11" x14ac:dyDescent="0.75">
      <c r="A11" s="20">
        <v>4</v>
      </c>
      <c r="B11" s="20" t="s">
        <v>991</v>
      </c>
      <c r="C11" s="20" t="s">
        <v>992</v>
      </c>
      <c r="D11" s="20" t="s">
        <v>992</v>
      </c>
      <c r="E11" s="20">
        <v>0</v>
      </c>
      <c r="F11" s="20" t="s">
        <v>861</v>
      </c>
      <c r="G11" s="20" t="s">
        <v>2</v>
      </c>
      <c r="H11" s="31"/>
      <c r="I11" s="42" t="str">
        <f t="shared" si="0"/>
        <v>* name.middleName 0..* string ##34#Middlename##34# ##334#Middlename##334#</v>
      </c>
    </row>
    <row r="12" spans="1:11" x14ac:dyDescent="0.75">
      <c r="A12" s="20">
        <v>5</v>
      </c>
      <c r="B12" s="20" t="s">
        <v>993</v>
      </c>
      <c r="C12" s="20" t="s">
        <v>994</v>
      </c>
      <c r="D12" s="20" t="s">
        <v>994</v>
      </c>
      <c r="E12" s="20">
        <v>1</v>
      </c>
      <c r="F12" s="20" t="s">
        <v>861</v>
      </c>
      <c r="G12" s="20" t="s">
        <v>2</v>
      </c>
      <c r="H12" s="31"/>
      <c r="I12" s="42" t="str">
        <f t="shared" si="0"/>
        <v>* name.firstName 1..* string ##34#Firstname##34# ##334#Firstname##334#</v>
      </c>
    </row>
    <row r="13" spans="1:11" x14ac:dyDescent="0.75">
      <c r="A13" s="20">
        <v>6</v>
      </c>
      <c r="B13" s="20" t="s">
        <v>995</v>
      </c>
      <c r="C13" s="20" t="s">
        <v>996</v>
      </c>
      <c r="D13" s="20" t="s">
        <v>996</v>
      </c>
      <c r="E13" s="20">
        <v>0</v>
      </c>
      <c r="F13" s="20" t="s">
        <v>861</v>
      </c>
      <c r="G13" s="20" t="s">
        <v>2</v>
      </c>
      <c r="H13" s="31"/>
      <c r="I13" s="42" t="str">
        <f t="shared" si="0"/>
        <v>* lastnameAtDiagnosis 0..* string ##34#Lastname at diagnosis (if different from the actual one)##34# ##334#Lastname at diagnosis (if different from the actual one)##334#</v>
      </c>
    </row>
    <row r="14" spans="1:11" x14ac:dyDescent="0.75">
      <c r="A14" s="20">
        <v>7</v>
      </c>
      <c r="B14" s="20" t="s">
        <v>997</v>
      </c>
      <c r="C14" s="20" t="s">
        <v>17</v>
      </c>
      <c r="D14" s="20" t="s">
        <v>17</v>
      </c>
      <c r="E14" s="20">
        <v>1</v>
      </c>
      <c r="F14" s="20" t="s">
        <v>861</v>
      </c>
      <c r="G14" s="20" t="s">
        <v>1</v>
      </c>
      <c r="H14" s="31"/>
      <c r="I14" s="42" t="str">
        <f t="shared" si="0"/>
        <v>* gender 1..* CodeableConcept ##34#Gender/Sex##34# ##334#Gender/Sex##334#</v>
      </c>
    </row>
    <row r="15" spans="1:11" x14ac:dyDescent="0.75">
      <c r="A15" s="20">
        <v>8</v>
      </c>
      <c r="B15" s="20" t="s">
        <v>998</v>
      </c>
      <c r="C15" s="20" t="s">
        <v>999</v>
      </c>
      <c r="D15" s="20" t="s">
        <v>999</v>
      </c>
      <c r="E15" s="20">
        <v>0</v>
      </c>
      <c r="F15" s="20" t="s">
        <v>861</v>
      </c>
      <c r="G15" s="20" t="s">
        <v>923</v>
      </c>
      <c r="H15" s="31"/>
      <c r="I15" s="42" t="str">
        <f t="shared" si="0"/>
        <v>* dateOfBirth 0..* dateTime ##34#Date of birth##34# ##334#Date of birth##334#</v>
      </c>
      <c r="J15" s="26"/>
      <c r="K15" s="20"/>
    </row>
    <row r="16" spans="1:11" x14ac:dyDescent="0.75">
      <c r="A16" s="20">
        <v>9</v>
      </c>
      <c r="B16" s="20" t="s">
        <v>1000</v>
      </c>
      <c r="C16" s="20" t="s">
        <v>1001</v>
      </c>
      <c r="D16" s="20" t="s">
        <v>1001</v>
      </c>
      <c r="E16" s="20">
        <v>0</v>
      </c>
      <c r="F16" s="20" t="s">
        <v>861</v>
      </c>
      <c r="G16" s="20" t="s">
        <v>1002</v>
      </c>
      <c r="I16" s="42" t="str">
        <f t="shared" si="0"/>
        <v>* placeOfBirth 0..* Address ##34#Place of birth##34# ##334#Place of birth##334#</v>
      </c>
    </row>
    <row r="17" spans="1:9" x14ac:dyDescent="0.75">
      <c r="A17" s="20">
        <v>10</v>
      </c>
      <c r="B17" s="20" t="s">
        <v>1003</v>
      </c>
      <c r="C17" s="20" t="s">
        <v>1004</v>
      </c>
      <c r="D17" s="20" t="s">
        <v>1004</v>
      </c>
      <c r="E17" s="20">
        <v>0</v>
      </c>
      <c r="F17" s="20" t="s">
        <v>861</v>
      </c>
      <c r="G17" s="20" t="s">
        <v>850</v>
      </c>
      <c r="I17" s="42" t="str">
        <f t="shared" si="0"/>
        <v>* contact 0..* BackboneElement ##34#Contact - receiver of the passport##34# ##334#Contact - receiver of the passport##334#</v>
      </c>
    </row>
    <row r="18" spans="1:9" x14ac:dyDescent="0.75">
      <c r="A18" s="20">
        <v>11</v>
      </c>
      <c r="B18" s="20" t="s">
        <v>1005</v>
      </c>
      <c r="C18" s="20" t="s">
        <v>1006</v>
      </c>
      <c r="D18" s="20" t="s">
        <v>1006</v>
      </c>
      <c r="E18" s="20">
        <v>0</v>
      </c>
      <c r="F18" s="20" t="s">
        <v>861</v>
      </c>
      <c r="G18" s="20" t="s">
        <v>1007</v>
      </c>
      <c r="I18" s="42" t="str">
        <f t="shared" si="0"/>
        <v>* contact.email 0..* uri ##34#E-mail##34# ##334#E-mail##334#</v>
      </c>
    </row>
    <row r="19" spans="1:9" ht="29.5" x14ac:dyDescent="0.75">
      <c r="A19" s="20">
        <v>12</v>
      </c>
      <c r="B19" s="20" t="s">
        <v>1008</v>
      </c>
      <c r="C19" s="20" t="s">
        <v>1009</v>
      </c>
      <c r="D19" s="20" t="s">
        <v>1009</v>
      </c>
      <c r="E19" s="20">
        <v>0</v>
      </c>
      <c r="F19" s="20" t="s">
        <v>861</v>
      </c>
      <c r="G19" s="20" t="s">
        <v>1007</v>
      </c>
      <c r="I19" s="42" t="str">
        <f t="shared" si="0"/>
        <v>* contact.mobile 0..* uri ##34#Mobile phone##34# ##334#Mobile phone##334#</v>
      </c>
    </row>
    <row r="20" spans="1:9" ht="29.5" x14ac:dyDescent="0.75">
      <c r="A20" s="20">
        <v>13</v>
      </c>
      <c r="B20" s="20" t="s">
        <v>1010</v>
      </c>
      <c r="C20" s="20" t="s">
        <v>1011</v>
      </c>
      <c r="D20" s="20" t="s">
        <v>1011</v>
      </c>
      <c r="E20" s="20">
        <v>0</v>
      </c>
      <c r="F20" s="20">
        <v>1</v>
      </c>
      <c r="G20" s="20" t="s">
        <v>1</v>
      </c>
      <c r="I20" s="42" t="str">
        <f t="shared" si="0"/>
        <v>* contact.relationship 0..1 CodeableConcept ##34#Relationship with the subject##34# ##334#Relationship with the subject##334#</v>
      </c>
    </row>
    <row r="21" spans="1:9" x14ac:dyDescent="0.75">
      <c r="A21" s="20">
        <v>14</v>
      </c>
      <c r="B21" s="20"/>
      <c r="C21" s="20"/>
      <c r="D21" s="21"/>
      <c r="E21" s="20"/>
      <c r="F21" s="20"/>
      <c r="G21" s="20"/>
      <c r="I21" s="42" t="str">
        <f t="shared" si="0"/>
        <v>*  ..  ##34###34# ##334###334#</v>
      </c>
    </row>
    <row r="22" spans="1:9" x14ac:dyDescent="0.75">
      <c r="A22" s="20">
        <v>15</v>
      </c>
      <c r="B22" s="20"/>
      <c r="C22" s="20"/>
      <c r="D22" s="21"/>
      <c r="E22" s="20"/>
      <c r="F22" s="20"/>
      <c r="G22" s="20"/>
      <c r="I22" s="42" t="str">
        <f t="shared" si="0"/>
        <v>*  ..  ##34###34# ##334###334#</v>
      </c>
    </row>
    <row r="23" spans="1:9" x14ac:dyDescent="0.75">
      <c r="A23" s="20">
        <v>16</v>
      </c>
      <c r="B23" s="20"/>
      <c r="C23" s="20"/>
      <c r="D23" s="21"/>
      <c r="E23" s="20"/>
      <c r="F23" s="20"/>
      <c r="G23" s="20"/>
      <c r="I23" s="42" t="str">
        <f t="shared" si="0"/>
        <v>*  ..  ##34###34# ##334###334#</v>
      </c>
    </row>
    <row r="24" spans="1:9" x14ac:dyDescent="0.75">
      <c r="A24" s="20">
        <v>17</v>
      </c>
      <c r="B24" s="20"/>
      <c r="C24" s="20"/>
      <c r="D24" s="21"/>
      <c r="E24" s="20"/>
      <c r="F24" s="20"/>
      <c r="G24" s="20"/>
      <c r="I24" s="42" t="str">
        <f t="shared" si="0"/>
        <v>*  ..  ##34###34# ##334###334#</v>
      </c>
    </row>
    <row r="25" spans="1:9" x14ac:dyDescent="0.75">
      <c r="A25" s="20">
        <v>18</v>
      </c>
      <c r="B25" s="20"/>
      <c r="C25" s="20"/>
      <c r="D25" s="21"/>
      <c r="E25" s="20"/>
      <c r="F25" s="20"/>
      <c r="G25" s="20"/>
      <c r="I25" s="42" t="str">
        <f t="shared" si="0"/>
        <v>*  ..  ##34###34# ##334###334#</v>
      </c>
    </row>
    <row r="26" spans="1:9" x14ac:dyDescent="0.75">
      <c r="A26" s="20">
        <v>19</v>
      </c>
      <c r="B26" s="20"/>
      <c r="C26" s="20"/>
      <c r="D26" s="21"/>
      <c r="E26" s="20"/>
      <c r="F26" s="20"/>
      <c r="G26" s="20"/>
      <c r="I26" s="42" t="str">
        <f t="shared" si="0"/>
        <v>*  ..  ##34###34# ##334###334#</v>
      </c>
    </row>
    <row r="27" spans="1:9" x14ac:dyDescent="0.75">
      <c r="A27" s="20">
        <v>20</v>
      </c>
      <c r="B27" s="20"/>
      <c r="C27" s="20"/>
      <c r="D27" s="21"/>
      <c r="E27" s="20"/>
      <c r="F27" s="20"/>
      <c r="G27" s="20"/>
      <c r="I27" s="42" t="str">
        <f t="shared" si="0"/>
        <v>*  ..  ##34###34# ##334###334#</v>
      </c>
    </row>
    <row r="28" spans="1:9" x14ac:dyDescent="0.75">
      <c r="A28" s="20">
        <v>21</v>
      </c>
      <c r="B28" s="20"/>
      <c r="C28" s="20"/>
      <c r="D28" s="21"/>
      <c r="E28" s="20"/>
      <c r="F28" s="20"/>
      <c r="G28" s="20"/>
      <c r="I28" s="42" t="str">
        <f t="shared" si="0"/>
        <v>*  ..  ##34###34# ##334###334#</v>
      </c>
    </row>
    <row r="29" spans="1:9" x14ac:dyDescent="0.75">
      <c r="A29" s="20">
        <v>22</v>
      </c>
      <c r="B29" s="20"/>
      <c r="C29" s="20"/>
      <c r="D29" s="21"/>
      <c r="E29" s="20"/>
      <c r="F29" s="20"/>
      <c r="G29" s="20"/>
      <c r="I29" s="42" t="str">
        <f t="shared" si="0"/>
        <v>*  ..  ##34###34# ##334###334#</v>
      </c>
    </row>
    <row r="30" spans="1:9" x14ac:dyDescent="0.75">
      <c r="A30" s="20">
        <v>23</v>
      </c>
      <c r="B30" s="20"/>
      <c r="C30" s="20"/>
      <c r="D30" s="21"/>
      <c r="E30" s="20"/>
      <c r="F30" s="20"/>
      <c r="G30" s="20"/>
      <c r="I30" s="42" t="str">
        <f t="shared" si="0"/>
        <v>*  ..  ##34###34# ##334###334#</v>
      </c>
    </row>
    <row r="31" spans="1:9" x14ac:dyDescent="0.75">
      <c r="A31" s="20">
        <v>24</v>
      </c>
      <c r="B31" s="20"/>
      <c r="C31" s="20"/>
      <c r="D31" s="21"/>
      <c r="E31" s="20"/>
      <c r="F31" s="20"/>
      <c r="G31" s="20"/>
      <c r="I31" s="42" t="str">
        <f t="shared" si="0"/>
        <v>*  ..  ##34###34# ##334###334#</v>
      </c>
    </row>
    <row r="32" spans="1:9" x14ac:dyDescent="0.75">
      <c r="A32" s="20">
        <v>25</v>
      </c>
      <c r="B32" s="20"/>
      <c r="C32" s="20"/>
      <c r="D32" s="21"/>
      <c r="E32" s="20"/>
      <c r="F32" s="20"/>
      <c r="G32" s="20"/>
      <c r="I32" s="42" t="str">
        <f t="shared" si="0"/>
        <v>*  ..  ##34###34# ##334###334#</v>
      </c>
    </row>
    <row r="33" spans="1:9" x14ac:dyDescent="0.75">
      <c r="A33" s="20">
        <v>26</v>
      </c>
      <c r="B33" s="20"/>
      <c r="C33" s="20"/>
      <c r="D33" s="21"/>
      <c r="E33" s="20"/>
      <c r="F33" s="20"/>
      <c r="G33" s="20"/>
      <c r="I33" s="42" t="str">
        <f t="shared" si="0"/>
        <v>*  ..  ##34###34# ##334###334#</v>
      </c>
    </row>
    <row r="34" spans="1:9" x14ac:dyDescent="0.75">
      <c r="A34" s="20">
        <v>27</v>
      </c>
      <c r="B34" s="20"/>
      <c r="C34" s="20"/>
      <c r="D34" s="21"/>
      <c r="E34" s="20"/>
      <c r="F34" s="20"/>
      <c r="G34" s="20"/>
      <c r="I34" s="42" t="str">
        <f t="shared" si="0"/>
        <v>*  ..  ##34###34# ##334###334#</v>
      </c>
    </row>
    <row r="35" spans="1:9" x14ac:dyDescent="0.75">
      <c r="A35" s="20">
        <v>28</v>
      </c>
      <c r="B35" s="20"/>
      <c r="C35" s="20"/>
      <c r="D35" s="21"/>
      <c r="E35" s="20"/>
      <c r="F35" s="20"/>
      <c r="G35" s="20"/>
      <c r="I35" s="42" t="str">
        <f t="shared" si="0"/>
        <v>*  ..  ##34###34# ##334###334#</v>
      </c>
    </row>
    <row r="36" spans="1:9" x14ac:dyDescent="0.75">
      <c r="A36" s="20">
        <v>29</v>
      </c>
      <c r="B36" s="20"/>
      <c r="C36" s="20"/>
      <c r="D36" s="21"/>
      <c r="E36" s="20"/>
      <c r="F36" s="20"/>
      <c r="G36" s="20"/>
      <c r="I36" s="42" t="str">
        <f t="shared" si="0"/>
        <v>*  ..  ##34###34# ##334###334#</v>
      </c>
    </row>
    <row r="37" spans="1:9" x14ac:dyDescent="0.75">
      <c r="A37" s="20">
        <v>30</v>
      </c>
      <c r="B37" s="20"/>
      <c r="C37" s="112"/>
      <c r="D37" s="112"/>
      <c r="E37" s="20"/>
      <c r="F37" s="20"/>
      <c r="G37" s="20"/>
      <c r="I37" s="42" t="str">
        <f t="shared" si="0"/>
        <v>*  ..  ##34###34# ##334###334#</v>
      </c>
    </row>
    <row r="38" spans="1:9" x14ac:dyDescent="0.75">
      <c r="B38" s="20"/>
      <c r="C38" s="112"/>
      <c r="D38" s="112"/>
      <c r="E38" s="20"/>
      <c r="F38" s="20"/>
      <c r="G38" s="20"/>
      <c r="I38" s="42" t="str">
        <f t="shared" si="0"/>
        <v>*  ..  ##34###34# ##334###334#</v>
      </c>
    </row>
    <row r="39" spans="1:9" x14ac:dyDescent="0.75">
      <c r="I39" s="42" t="str">
        <f t="shared" si="0"/>
        <v>*  ..  ##34###34# ##334###334#</v>
      </c>
    </row>
    <row r="40" spans="1:9" x14ac:dyDescent="0.75">
      <c r="I40" s="42" t="str">
        <f t="shared" si="0"/>
        <v>*  ..  ##34###34# ##334###334#</v>
      </c>
    </row>
    <row r="41" spans="1:9" x14ac:dyDescent="0.75">
      <c r="I41" s="42" t="str">
        <f t="shared" si="0"/>
        <v>*  ..  ##34###34# ##334###334#</v>
      </c>
    </row>
  </sheetData>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7429C5-C996-47FD-B3DA-DE99B138220E}">
  <sheetPr codeName="Foglio32"/>
  <dimension ref="A1:O58"/>
  <sheetViews>
    <sheetView workbookViewId="0">
      <selection activeCell="C6" sqref="C6"/>
    </sheetView>
  </sheetViews>
  <sheetFormatPr defaultRowHeight="14.75" x14ac:dyDescent="0.75"/>
  <cols>
    <col min="1" max="1" width="8.7265625" style="18"/>
    <col min="2" max="2" width="31.6796875" style="18" bestFit="1" customWidth="1"/>
    <col min="3" max="3" width="77.2265625" style="19" customWidth="1"/>
    <col min="4" max="4" width="8.04296875" style="18" customWidth="1"/>
    <col min="5" max="5" width="71.58984375" style="19" customWidth="1"/>
    <col min="6" max="6" width="10.76953125" style="18" customWidth="1"/>
    <col min="7" max="7" width="45.26953125" style="18" customWidth="1"/>
    <col min="8" max="16384" width="8.7265625" style="18"/>
  </cols>
  <sheetData>
    <row r="1" spans="1:15" x14ac:dyDescent="0.75">
      <c r="B1" s="22"/>
      <c r="C1" s="113"/>
      <c r="E1" s="32" t="s">
        <v>80</v>
      </c>
      <c r="H1" s="10"/>
      <c r="I1" s="10"/>
      <c r="J1" s="10"/>
      <c r="K1" s="10"/>
      <c r="L1" s="10"/>
      <c r="M1" s="10"/>
      <c r="N1" s="10"/>
      <c r="O1" s="10"/>
    </row>
    <row r="2" spans="1:15" x14ac:dyDescent="0.75">
      <c r="B2" s="22"/>
      <c r="C2" s="113"/>
      <c r="E2" s="39" t="s">
        <v>81</v>
      </c>
      <c r="H2" s="10"/>
      <c r="I2" s="10"/>
      <c r="J2" s="10"/>
      <c r="K2" s="10"/>
      <c r="L2" s="10"/>
      <c r="M2" s="10"/>
      <c r="N2" s="10"/>
      <c r="O2" s="10"/>
    </row>
    <row r="3" spans="1:15" ht="15.5" thickBot="1" x14ac:dyDescent="0.9">
      <c r="B3" s="22"/>
      <c r="C3" s="113"/>
      <c r="E3" s="39" t="str">
        <f>E1</f>
        <v>// -------------------------------------------------------------------------------</v>
      </c>
      <c r="H3" s="10"/>
      <c r="I3" s="10"/>
      <c r="J3" s="10"/>
      <c r="K3" s="10"/>
      <c r="L3" s="10"/>
      <c r="M3" s="10"/>
      <c r="N3" s="10"/>
      <c r="O3" s="10"/>
    </row>
    <row r="4" spans="1:15" ht="15.5" thickBot="1" x14ac:dyDescent="0.9">
      <c r="B4" s="17" t="s">
        <v>77</v>
      </c>
      <c r="C4" s="114" t="s">
        <v>1051</v>
      </c>
      <c r="E4" s="36" t="str">
        <f>CONCATENATE("Mapping: ",C4)</f>
        <v>Mapping: Subject2Fhir</v>
      </c>
      <c r="H4" s="10"/>
      <c r="I4" s="10"/>
      <c r="J4" s="10"/>
      <c r="K4" s="10"/>
      <c r="L4" s="10"/>
      <c r="M4" s="10"/>
      <c r="N4" s="10"/>
      <c r="O4" s="10"/>
    </row>
    <row r="5" spans="1:15" ht="15.5" thickBot="1" x14ac:dyDescent="0.9">
      <c r="B5" s="17" t="s">
        <v>76</v>
      </c>
      <c r="C5" s="117" t="s">
        <v>15</v>
      </c>
      <c r="E5" s="37" t="str">
        <f>CONCATENATE("Id: ",C5)</f>
        <v>Id: fhir</v>
      </c>
      <c r="G5" s="19"/>
      <c r="H5" s="10"/>
      <c r="I5" s="10"/>
      <c r="J5" s="10"/>
      <c r="K5" s="10"/>
      <c r="L5" s="10"/>
      <c r="M5" s="10"/>
      <c r="N5" s="10"/>
      <c r="O5" s="10"/>
    </row>
    <row r="6" spans="1:15" ht="15.5" thickBot="1" x14ac:dyDescent="0.9">
      <c r="B6" s="17" t="s">
        <v>11</v>
      </c>
      <c r="C6" s="140" t="str">
        <f>C7 &amp;  " model to PCSP HL7 FHIR R4 Profiles"</f>
        <v>Subject model to PCSP HL7 FHIR R4 Profiles</v>
      </c>
      <c r="E6" s="37" t="str">
        <f>CONCATENATE("Title: ##34#",C6,"##34#")</f>
        <v>Title: ##34#Subject model to PCSP HL7 FHIR R4 Profiles##34#</v>
      </c>
      <c r="G6" s="19"/>
      <c r="H6" s="10"/>
      <c r="I6" s="10"/>
      <c r="J6" s="10"/>
      <c r="K6" s="10"/>
      <c r="L6" s="10"/>
      <c r="M6" s="10"/>
      <c r="N6" s="10"/>
      <c r="O6" s="10"/>
    </row>
    <row r="7" spans="1:15" ht="15.5" thickBot="1" x14ac:dyDescent="0.9">
      <c r="B7" s="17" t="s">
        <v>78</v>
      </c>
      <c r="C7" s="115" t="str">
        <f>B9</f>
        <v>Subject</v>
      </c>
      <c r="E7" s="37" t="str">
        <f>CONCATENATE("Source: ",C7)</f>
        <v>Source: Subject</v>
      </c>
      <c r="G7" s="19"/>
      <c r="H7" s="10"/>
      <c r="I7" s="10"/>
      <c r="J7" s="10"/>
      <c r="K7" s="10"/>
      <c r="L7" s="10"/>
      <c r="M7" s="10"/>
      <c r="N7" s="10"/>
      <c r="O7" s="10"/>
    </row>
    <row r="8" spans="1:15" ht="15.5" thickBot="1" x14ac:dyDescent="0.9">
      <c r="B8" s="35" t="s">
        <v>73</v>
      </c>
      <c r="C8" s="19" t="s">
        <v>14</v>
      </c>
      <c r="E8" s="38" t="str">
        <f>CONCATENATE("Target: ##34#",C8,"##34#")</f>
        <v>Target: ##34#hl7.org/fhir/r4##34#</v>
      </c>
      <c r="G8" s="19"/>
      <c r="H8" s="10"/>
      <c r="I8" s="10"/>
      <c r="J8" s="10"/>
      <c r="K8" s="10"/>
      <c r="L8" s="10"/>
      <c r="M8" s="10"/>
      <c r="N8" s="10"/>
      <c r="O8" s="10"/>
    </row>
    <row r="9" spans="1:15" x14ac:dyDescent="0.75">
      <c r="A9" s="20"/>
      <c r="B9" s="98" t="str">
        <f>Subj!B5</f>
        <v>Subject</v>
      </c>
      <c r="C9" s="4" t="s">
        <v>1012</v>
      </c>
      <c r="E9" s="4" t="str">
        <f>CONCATENATE("* . -&gt; ##34#",C9,"##34#")</f>
        <v>* . -&gt; ##34#Patient##34#</v>
      </c>
      <c r="H9" s="10"/>
      <c r="I9" s="10"/>
      <c r="J9" s="10"/>
      <c r="K9" s="10"/>
      <c r="L9" s="10"/>
      <c r="M9" s="10"/>
      <c r="N9" s="10"/>
      <c r="O9" s="10"/>
    </row>
    <row r="10" spans="1:15" x14ac:dyDescent="0.75">
      <c r="A10" s="20"/>
      <c r="B10" s="20" t="str">
        <f>Subj!B8</f>
        <v>identifier</v>
      </c>
      <c r="C10" s="25" t="s">
        <v>1013</v>
      </c>
      <c r="E10" s="21" t="str">
        <f>CONCATENATE("* ",B10," -&gt; ##34#",C10,"##34#")</f>
        <v>* identifier -&gt; ##34#Patient.identifier##34#</v>
      </c>
      <c r="G10" s="19"/>
      <c r="H10" s="10"/>
      <c r="I10" s="10"/>
      <c r="J10" s="10"/>
      <c r="K10" s="10"/>
      <c r="L10" s="10"/>
      <c r="M10" s="10"/>
      <c r="N10" s="10"/>
      <c r="O10" s="10"/>
    </row>
    <row r="11" spans="1:15" x14ac:dyDescent="0.75">
      <c r="A11" s="20"/>
      <c r="B11" s="20" t="str">
        <f>Subj!B9</f>
        <v>name</v>
      </c>
      <c r="C11" s="25" t="s">
        <v>1014</v>
      </c>
      <c r="E11" s="21" t="str">
        <f t="shared" ref="E11:E32" si="0">CONCATENATE("* ",B11," -&gt; ##34#",C11,"##34#")</f>
        <v>* name -&gt; ##34#Patient.name##34#</v>
      </c>
      <c r="G11" s="19"/>
      <c r="H11" s="10"/>
      <c r="I11" s="10"/>
      <c r="J11" s="10"/>
      <c r="K11" s="10"/>
      <c r="L11" s="10"/>
      <c r="M11" s="10"/>
      <c r="N11" s="10"/>
      <c r="O11" s="10"/>
    </row>
    <row r="12" spans="1:15" x14ac:dyDescent="0.75">
      <c r="A12" s="20"/>
      <c r="B12" s="20" t="str">
        <f>Subj!B10</f>
        <v>name.lastname</v>
      </c>
      <c r="C12" s="25" t="s">
        <v>1015</v>
      </c>
      <c r="E12" s="21" t="str">
        <f t="shared" si="0"/>
        <v>* name.lastname -&gt; ##34#Patient.name.given##34#</v>
      </c>
      <c r="G12" s="19"/>
      <c r="H12" s="10"/>
      <c r="I12" s="10"/>
      <c r="J12" s="10"/>
      <c r="K12" s="10"/>
      <c r="L12" s="10"/>
      <c r="M12" s="10"/>
      <c r="N12" s="10"/>
      <c r="O12" s="10"/>
    </row>
    <row r="13" spans="1:15" x14ac:dyDescent="0.75">
      <c r="A13" s="20"/>
      <c r="B13" s="20" t="str">
        <f>Subj!B11</f>
        <v>name.middleName</v>
      </c>
      <c r="C13" s="25" t="s">
        <v>1015</v>
      </c>
      <c r="E13" s="21" t="str">
        <f t="shared" si="0"/>
        <v>* name.middleName -&gt; ##34#Patient.name.given##34#</v>
      </c>
      <c r="G13" s="19"/>
      <c r="H13" s="10"/>
      <c r="I13" s="10"/>
      <c r="J13" s="10"/>
      <c r="K13" s="10"/>
      <c r="L13" s="10"/>
      <c r="M13" s="10"/>
      <c r="N13" s="10"/>
      <c r="O13" s="10"/>
    </row>
    <row r="14" spans="1:15" x14ac:dyDescent="0.75">
      <c r="A14" s="20"/>
      <c r="B14" s="20" t="str">
        <f>Subj!B12</f>
        <v>name.firstName</v>
      </c>
      <c r="C14" s="25" t="s">
        <v>1016</v>
      </c>
      <c r="E14" s="21" t="str">
        <f t="shared" si="0"/>
        <v>* name.firstName -&gt; ##34#Patient.name.family##34#</v>
      </c>
      <c r="G14" s="19"/>
      <c r="H14" s="10"/>
      <c r="I14" s="10"/>
      <c r="J14" s="10"/>
      <c r="K14" s="10"/>
      <c r="L14" s="10"/>
      <c r="M14" s="10"/>
      <c r="N14" s="10"/>
      <c r="O14" s="10"/>
    </row>
    <row r="15" spans="1:15" x14ac:dyDescent="0.75">
      <c r="A15" s="20"/>
      <c r="B15" s="20" t="str">
        <f>Subj!B13</f>
        <v>lastnameAtDiagnosis</v>
      </c>
      <c r="C15" s="25" t="s">
        <v>1016</v>
      </c>
      <c r="E15" s="21" t="str">
        <f t="shared" si="0"/>
        <v>* lastnameAtDiagnosis -&gt; ##34#Patient.name.family##34#</v>
      </c>
      <c r="G15" s="19"/>
      <c r="H15" s="10"/>
      <c r="I15" s="10"/>
      <c r="J15" s="10"/>
      <c r="K15" s="10"/>
      <c r="L15" s="10"/>
      <c r="M15" s="10"/>
      <c r="N15" s="10"/>
      <c r="O15" s="10"/>
    </row>
    <row r="16" spans="1:15" x14ac:dyDescent="0.75">
      <c r="A16" s="20"/>
      <c r="B16" s="20" t="str">
        <f>Subj!B14</f>
        <v>gender</v>
      </c>
      <c r="C16" s="25" t="s">
        <v>1017</v>
      </c>
      <c r="E16" s="21" t="str">
        <f t="shared" si="0"/>
        <v>* gender -&gt; ##34#Patient.gender##34#</v>
      </c>
      <c r="G16" s="19"/>
      <c r="H16" s="10"/>
      <c r="I16" s="10"/>
      <c r="J16" s="10"/>
      <c r="K16" s="10"/>
      <c r="L16" s="10"/>
      <c r="M16" s="10"/>
      <c r="N16" s="10"/>
      <c r="O16" s="10"/>
    </row>
    <row r="17" spans="1:15" x14ac:dyDescent="0.75">
      <c r="A17" s="20"/>
      <c r="B17" s="20" t="str">
        <f>Subj!B15</f>
        <v>dateOfBirth</v>
      </c>
      <c r="C17" s="25" t="s">
        <v>1018</v>
      </c>
      <c r="E17" s="21" t="str">
        <f t="shared" si="0"/>
        <v>* dateOfBirth -&gt; ##34#Patient.birthDate##34#</v>
      </c>
      <c r="G17" s="19"/>
      <c r="H17" s="10"/>
      <c r="I17" s="10"/>
      <c r="J17" s="10"/>
      <c r="K17" s="10"/>
      <c r="L17" s="10"/>
      <c r="M17" s="10"/>
      <c r="N17" s="10"/>
      <c r="O17" s="10"/>
    </row>
    <row r="18" spans="1:15" x14ac:dyDescent="0.75">
      <c r="A18" s="20"/>
      <c r="B18" s="20" t="str">
        <f>Subj!B16</f>
        <v>placeOfBirth</v>
      </c>
      <c r="C18" s="25" t="s">
        <v>1019</v>
      </c>
      <c r="E18" s="21" t="str">
        <f t="shared" si="0"/>
        <v>* placeOfBirth -&gt; ##34#Patient.extension(http://hl7.org/fhir/StructureDefinition/patient-birthPlace')##34#</v>
      </c>
      <c r="G18" s="19"/>
      <c r="H18" s="10"/>
      <c r="I18" s="10"/>
      <c r="J18" s="10"/>
      <c r="K18" s="10"/>
      <c r="L18" s="10"/>
      <c r="M18" s="10"/>
      <c r="N18" s="10"/>
      <c r="O18" s="10"/>
    </row>
    <row r="19" spans="1:15" x14ac:dyDescent="0.75">
      <c r="A19" s="20"/>
      <c r="B19" s="20" t="str">
        <f>Subj!B17</f>
        <v>contact</v>
      </c>
      <c r="C19" s="21" t="s">
        <v>1042</v>
      </c>
      <c r="E19" s="21" t="str">
        <f t="shared" si="0"/>
        <v>* contact -&gt; ##34#Patient.contact (if not the patient)##34#</v>
      </c>
      <c r="G19" s="19"/>
    </row>
    <row r="20" spans="1:15" x14ac:dyDescent="0.75">
      <c r="A20" s="20"/>
      <c r="B20" s="20" t="str">
        <f>Subj!B17</f>
        <v>contact</v>
      </c>
      <c r="C20" s="21" t="s">
        <v>1044</v>
      </c>
      <c r="E20" s="21" t="str">
        <f t="shared" si="0"/>
        <v>* contact -&gt; ##34#Patient.telecom (if the patient)##34#</v>
      </c>
      <c r="G20" s="19"/>
    </row>
    <row r="21" spans="1:15" x14ac:dyDescent="0.75">
      <c r="A21" s="20"/>
      <c r="B21" s="20" t="str">
        <f>Subj!B17</f>
        <v>contact</v>
      </c>
      <c r="C21" s="21" t="s">
        <v>1043</v>
      </c>
      <c r="E21" s="21" t="str">
        <f t="shared" si="0"/>
        <v>* contact -&gt; ##34#DocumentManifest.recipient (if intended recipient)##34#</v>
      </c>
      <c r="G21" s="19"/>
    </row>
    <row r="22" spans="1:15" x14ac:dyDescent="0.75">
      <c r="A22" s="20"/>
      <c r="B22" s="20" t="str">
        <f>Subj!B18</f>
        <v>contact.email</v>
      </c>
      <c r="C22" s="21" t="s">
        <v>1045</v>
      </c>
      <c r="E22" s="21" t="str">
        <f t="shared" si="0"/>
        <v>* contact.email -&gt; ##34#Patient.contact.telecom (if not the patient)##34#</v>
      </c>
      <c r="G22" s="19"/>
    </row>
    <row r="23" spans="1:15" x14ac:dyDescent="0.75">
      <c r="A23" s="20"/>
      <c r="B23" s="20" t="str">
        <f>Subj!B18</f>
        <v>contact.email</v>
      </c>
      <c r="C23" s="21" t="s">
        <v>1044</v>
      </c>
      <c r="E23" s="21" t="str">
        <f t="shared" si="0"/>
        <v>* contact.email -&gt; ##34#Patient.telecom (if the patient)##34#</v>
      </c>
      <c r="G23" s="19"/>
    </row>
    <row r="24" spans="1:15" ht="29.5" x14ac:dyDescent="0.75">
      <c r="A24" s="20"/>
      <c r="B24" s="20" t="str">
        <f>Subj!B18</f>
        <v>contact.email</v>
      </c>
      <c r="C24" s="21" t="s">
        <v>1046</v>
      </c>
      <c r="E24" s="21" t="str">
        <f t="shared" si="0"/>
        <v>* contact.email -&gt; ##34#DocumentManifest.recipient.resolve().telecom (if intended recipient)##34#</v>
      </c>
      <c r="G24" s="19"/>
    </row>
    <row r="25" spans="1:15" x14ac:dyDescent="0.75">
      <c r="A25" s="20"/>
      <c r="B25" s="20" t="str">
        <f>Subj!B19</f>
        <v>contact.mobile</v>
      </c>
      <c r="C25" s="21" t="s">
        <v>1045</v>
      </c>
      <c r="E25" s="21" t="str">
        <f t="shared" si="0"/>
        <v>* contact.mobile -&gt; ##34#Patient.contact.telecom (if not the patient)##34#</v>
      </c>
      <c r="G25" s="19"/>
    </row>
    <row r="26" spans="1:15" x14ac:dyDescent="0.75">
      <c r="A26" s="20"/>
      <c r="B26" s="20" t="str">
        <f>Subj!B19</f>
        <v>contact.mobile</v>
      </c>
      <c r="C26" s="21" t="s">
        <v>1044</v>
      </c>
      <c r="E26" s="21" t="str">
        <f t="shared" si="0"/>
        <v>* contact.mobile -&gt; ##34#Patient.telecom (if the patient)##34#</v>
      </c>
      <c r="G26" s="19"/>
    </row>
    <row r="27" spans="1:15" ht="29.5" x14ac:dyDescent="0.75">
      <c r="A27" s="20"/>
      <c r="B27" s="20" t="str">
        <f>Subj!B19</f>
        <v>contact.mobile</v>
      </c>
      <c r="C27" s="21" t="s">
        <v>1046</v>
      </c>
      <c r="E27" s="21" t="str">
        <f t="shared" si="0"/>
        <v>* contact.mobile -&gt; ##34#DocumentManifest.recipient.resolve().telecom (if intended recipient)##34#</v>
      </c>
      <c r="G27" s="19"/>
    </row>
    <row r="28" spans="1:15" x14ac:dyDescent="0.75">
      <c r="A28" s="20"/>
      <c r="B28" s="20" t="str">
        <f>Subj!B20</f>
        <v>contact.relationship</v>
      </c>
      <c r="C28" s="21" t="s">
        <v>1048</v>
      </c>
      <c r="E28" s="21" t="str">
        <f t="shared" si="0"/>
        <v>* contact.relationship -&gt; ##34#Patient.contact.relationship (if not the patient)##34#</v>
      </c>
      <c r="G28" s="19"/>
    </row>
    <row r="29" spans="1:15" x14ac:dyDescent="0.75">
      <c r="A29" s="20"/>
      <c r="B29" s="20" t="str">
        <f>Subj!B20</f>
        <v>contact.relationship</v>
      </c>
      <c r="C29" s="21" t="s">
        <v>1049</v>
      </c>
      <c r="E29" s="21" t="str">
        <f t="shared" si="0"/>
        <v>* contact.relationship -&gt; ##34#N/A (if the patient)##34#</v>
      </c>
      <c r="G29" s="19"/>
    </row>
    <row r="30" spans="1:15" ht="29.5" x14ac:dyDescent="0.75">
      <c r="A30" s="20"/>
      <c r="B30" s="20" t="str">
        <f>Subj!B20</f>
        <v>contact.relationship</v>
      </c>
      <c r="C30" s="21" t="s">
        <v>1047</v>
      </c>
      <c r="E30" s="21" t="str">
        <f t="shared" si="0"/>
        <v>* contact.relationship -&gt; ##34#DocumentManifest.recipient.resolve().relationship (if intended recipient - not patient)##34#</v>
      </c>
      <c r="G30" s="19"/>
    </row>
    <row r="31" spans="1:15" x14ac:dyDescent="0.75">
      <c r="A31" s="20"/>
      <c r="B31" s="20"/>
      <c r="C31" s="21"/>
      <c r="E31" s="21" t="str">
        <f t="shared" si="0"/>
        <v>*  -&gt; ##34###34#</v>
      </c>
    </row>
    <row r="32" spans="1:15" x14ac:dyDescent="0.75">
      <c r="A32" s="20"/>
      <c r="B32" s="20"/>
      <c r="C32" s="21"/>
      <c r="E32" s="21" t="str">
        <f t="shared" si="0"/>
        <v>*  -&gt; ##34###34#</v>
      </c>
    </row>
    <row r="33" spans="1:5" x14ac:dyDescent="0.75">
      <c r="A33" s="20"/>
      <c r="B33" s="20"/>
      <c r="C33" s="21"/>
      <c r="E33" s="21" t="str">
        <f t="shared" ref="E33:E58" si="1">CONCATENATE("* ",B33," -&gt; ##34#",C33,"##34#")</f>
        <v>*  -&gt; ##34###34#</v>
      </c>
    </row>
    <row r="34" spans="1:5" x14ac:dyDescent="0.75">
      <c r="A34" s="22"/>
      <c r="B34" s="20"/>
      <c r="C34" s="21"/>
      <c r="E34" s="21" t="str">
        <f t="shared" si="1"/>
        <v>*  -&gt; ##34###34#</v>
      </c>
    </row>
    <row r="35" spans="1:5" x14ac:dyDescent="0.75">
      <c r="B35" s="20"/>
      <c r="C35" s="21"/>
      <c r="E35" s="21" t="str">
        <f t="shared" si="1"/>
        <v>*  -&gt; ##34###34#</v>
      </c>
    </row>
    <row r="36" spans="1:5" x14ac:dyDescent="0.75">
      <c r="B36" s="20"/>
      <c r="C36" s="25"/>
      <c r="E36" s="21" t="str">
        <f t="shared" si="1"/>
        <v>*  -&gt; ##34###34#</v>
      </c>
    </row>
    <row r="37" spans="1:5" x14ac:dyDescent="0.75">
      <c r="B37" s="20"/>
      <c r="C37" s="25"/>
      <c r="E37" s="21" t="str">
        <f t="shared" si="1"/>
        <v>*  -&gt; ##34###34#</v>
      </c>
    </row>
    <row r="38" spans="1:5" x14ac:dyDescent="0.75">
      <c r="B38" s="20"/>
      <c r="C38" s="25"/>
      <c r="E38" s="21" t="str">
        <f t="shared" si="1"/>
        <v>*  -&gt; ##34###34#</v>
      </c>
    </row>
    <row r="39" spans="1:5" x14ac:dyDescent="0.75">
      <c r="B39" s="20"/>
      <c r="C39" s="21"/>
      <c r="E39" s="21" t="str">
        <f t="shared" si="1"/>
        <v>*  -&gt; ##34###34#</v>
      </c>
    </row>
    <row r="40" spans="1:5" x14ac:dyDescent="0.75">
      <c r="B40" s="20"/>
      <c r="C40" s="21"/>
      <c r="E40" s="21" t="str">
        <f t="shared" si="1"/>
        <v>*  -&gt; ##34###34#</v>
      </c>
    </row>
    <row r="41" spans="1:5" x14ac:dyDescent="0.75">
      <c r="B41" s="20"/>
      <c r="C41" s="21"/>
      <c r="E41" s="21" t="str">
        <f t="shared" si="1"/>
        <v>*  -&gt; ##34###34#</v>
      </c>
    </row>
    <row r="42" spans="1:5" x14ac:dyDescent="0.75">
      <c r="B42" s="20"/>
      <c r="C42" s="21"/>
      <c r="E42" s="21" t="str">
        <f t="shared" si="1"/>
        <v>*  -&gt; ##34###34#</v>
      </c>
    </row>
    <row r="43" spans="1:5" x14ac:dyDescent="0.75">
      <c r="B43" s="20"/>
      <c r="C43" s="21"/>
      <c r="E43" s="21" t="str">
        <f t="shared" si="1"/>
        <v>*  -&gt; ##34###34#</v>
      </c>
    </row>
    <row r="44" spans="1:5" x14ac:dyDescent="0.75">
      <c r="B44" s="20"/>
      <c r="C44" s="21"/>
      <c r="E44" s="21" t="str">
        <f t="shared" si="1"/>
        <v>*  -&gt; ##34###34#</v>
      </c>
    </row>
    <row r="45" spans="1:5" x14ac:dyDescent="0.75">
      <c r="B45" s="20"/>
      <c r="C45" s="21"/>
      <c r="E45" s="21" t="str">
        <f t="shared" si="1"/>
        <v>*  -&gt; ##34###34#</v>
      </c>
    </row>
    <row r="46" spans="1:5" x14ac:dyDescent="0.75">
      <c r="B46" s="20"/>
      <c r="C46" s="21"/>
      <c r="E46" s="21" t="str">
        <f t="shared" si="1"/>
        <v>*  -&gt; ##34###34#</v>
      </c>
    </row>
    <row r="47" spans="1:5" x14ac:dyDescent="0.75">
      <c r="B47" s="20"/>
      <c r="C47" s="21"/>
      <c r="E47" s="21" t="str">
        <f t="shared" si="1"/>
        <v>*  -&gt; ##34###34#</v>
      </c>
    </row>
    <row r="48" spans="1:5" x14ac:dyDescent="0.75">
      <c r="B48" s="20"/>
      <c r="C48" s="21"/>
      <c r="E48" s="21" t="str">
        <f t="shared" si="1"/>
        <v>*  -&gt; ##34###34#</v>
      </c>
    </row>
    <row r="49" spans="2:5" x14ac:dyDescent="0.75">
      <c r="B49" s="20"/>
      <c r="C49" s="21"/>
      <c r="E49" s="21" t="str">
        <f t="shared" si="1"/>
        <v>*  -&gt; ##34###34#</v>
      </c>
    </row>
    <row r="50" spans="2:5" x14ac:dyDescent="0.75">
      <c r="B50" s="20"/>
      <c r="C50" s="21"/>
      <c r="E50" s="21" t="str">
        <f t="shared" si="1"/>
        <v>*  -&gt; ##34###34#</v>
      </c>
    </row>
    <row r="51" spans="2:5" x14ac:dyDescent="0.75">
      <c r="B51" s="20"/>
      <c r="C51" s="21"/>
      <c r="E51" s="21" t="str">
        <f t="shared" si="1"/>
        <v>*  -&gt; ##34###34#</v>
      </c>
    </row>
    <row r="52" spans="2:5" x14ac:dyDescent="0.75">
      <c r="B52" s="20"/>
      <c r="C52" s="21"/>
      <c r="E52" s="21" t="str">
        <f t="shared" si="1"/>
        <v>*  -&gt; ##34###34#</v>
      </c>
    </row>
    <row r="53" spans="2:5" x14ac:dyDescent="0.75">
      <c r="B53" s="20"/>
      <c r="C53" s="21"/>
      <c r="E53" s="21" t="str">
        <f t="shared" si="1"/>
        <v>*  -&gt; ##34###34#</v>
      </c>
    </row>
    <row r="54" spans="2:5" x14ac:dyDescent="0.75">
      <c r="B54" s="20">
        <f>Subj!B37</f>
        <v>0</v>
      </c>
      <c r="C54" s="21"/>
      <c r="E54" s="21" t="str">
        <f t="shared" si="1"/>
        <v>* 0 -&gt; ##34###34#</v>
      </c>
    </row>
    <row r="55" spans="2:5" x14ac:dyDescent="0.75">
      <c r="E55" s="21" t="str">
        <f t="shared" si="1"/>
        <v>*  -&gt; ##34###34#</v>
      </c>
    </row>
    <row r="56" spans="2:5" x14ac:dyDescent="0.75">
      <c r="E56" s="21" t="str">
        <f t="shared" si="1"/>
        <v>*  -&gt; ##34###34#</v>
      </c>
    </row>
    <row r="57" spans="2:5" x14ac:dyDescent="0.75">
      <c r="E57" s="21" t="str">
        <f t="shared" si="1"/>
        <v>*  -&gt; ##34###34#</v>
      </c>
    </row>
    <row r="58" spans="2:5" x14ac:dyDescent="0.75">
      <c r="E58" s="21" t="str">
        <f t="shared" si="1"/>
        <v>*  -&gt; ##34###34#</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93D14F-488B-44C1-8E3B-FD8EFA31FEA1}">
  <sheetPr codeName="Foglio10">
    <tabColor theme="9" tint="0.39997558519241921"/>
  </sheetPr>
  <dimension ref="C1:G66"/>
  <sheetViews>
    <sheetView workbookViewId="0">
      <selection activeCell="B4" sqref="B4"/>
    </sheetView>
  </sheetViews>
  <sheetFormatPr defaultRowHeight="14.75" x14ac:dyDescent="0.75"/>
  <cols>
    <col min="1" max="2" width="8.7265625" style="18"/>
    <col min="3" max="3" width="108.2265625" style="21" customWidth="1"/>
    <col min="4" max="6" width="8.7265625" style="18"/>
    <col min="7" max="7" width="33.26953125" style="18" customWidth="1"/>
    <col min="8" max="16384" width="8.7265625" style="18"/>
  </cols>
  <sheetData>
    <row r="1" spans="3:7" ht="15.5" thickBot="1" x14ac:dyDescent="0.9">
      <c r="C1" s="40" t="str">
        <f>Subj!I1</f>
        <v>// -------------------------------------------------------------------------------</v>
      </c>
    </row>
    <row r="2" spans="3:7" ht="16.75" thickBot="1" x14ac:dyDescent="0.9">
      <c r="C2" s="41" t="str">
        <f>Subj!I2</f>
        <v>//  Logical Model</v>
      </c>
      <c r="G2" s="116" t="s">
        <v>1050</v>
      </c>
    </row>
    <row r="3" spans="3:7" x14ac:dyDescent="0.75">
      <c r="C3" s="41" t="str">
        <f>Subj!I3</f>
        <v>// -------------------------------------------------------------------------------</v>
      </c>
    </row>
    <row r="4" spans="3:7" x14ac:dyDescent="0.75">
      <c r="C4" s="33" t="str">
        <f>Subj!I4</f>
        <v>Logical: SubjectPcsp</v>
      </c>
    </row>
    <row r="5" spans="3:7" x14ac:dyDescent="0.75">
      <c r="C5" s="33" t="str">
        <f>Subj!I5</f>
        <v>Id: Subject</v>
      </c>
    </row>
    <row r="6" spans="3:7" x14ac:dyDescent="0.75">
      <c r="C6" s="33" t="str">
        <f>Subj!I6</f>
        <v>Title: ##34#Subject of care##34#</v>
      </c>
    </row>
    <row r="7" spans="3:7" x14ac:dyDescent="0.75">
      <c r="C7" s="33" t="str">
        <f>Subj!I7</f>
        <v>Description:  ##334#Subject of care
Maturity Level: 2 - Ready for Review##334#</v>
      </c>
    </row>
    <row r="8" spans="3:7" x14ac:dyDescent="0.75">
      <c r="C8" s="21" t="str">
        <f>IF(Subj!I8="*  ..  ##34###34# ##334###334#","//--- END",Subj!I8)</f>
        <v>* identifier 1..* Identifier ##34#ID##34# ##334#ID##334#</v>
      </c>
    </row>
    <row r="9" spans="3:7" x14ac:dyDescent="0.75">
      <c r="C9" s="21" t="str">
        <f>IF(Subj!I9="*  ..  ##34###34# ##334###334#","//--- END",Subj!I9)</f>
        <v>* name 1..* BackboneElement ##34#Subject Name##34# ##334#Subject Name##334#</v>
      </c>
    </row>
    <row r="10" spans="3:7" x14ac:dyDescent="0.75">
      <c r="C10" s="21" t="str">
        <f>IF(Subj!I10="*  ..  ##34###34# ##334###334#","//--- END",Subj!I10)</f>
        <v>* name.lastname 1..* string ##34#Lastname##34# ##334#Lastname##334#</v>
      </c>
    </row>
    <row r="11" spans="3:7" x14ac:dyDescent="0.75">
      <c r="C11" s="21" t="str">
        <f>IF(Subj!I11="*  ..  ##34###34# ##334###334#","//--- END",Subj!I11)</f>
        <v>* name.middleName 0..* string ##34#Middlename##34# ##334#Middlename##334#</v>
      </c>
    </row>
    <row r="12" spans="3:7" x14ac:dyDescent="0.75">
      <c r="C12" s="21" t="str">
        <f>IF(Subj!I12="*  ..  ##34###34# ##334###334#","//--- END",Subj!I12)</f>
        <v>* name.firstName 1..* string ##34#Firstname##34# ##334#Firstname##334#</v>
      </c>
    </row>
    <row r="13" spans="3:7" ht="29.5" x14ac:dyDescent="0.75">
      <c r="C13" s="21" t="str">
        <f>IF(Subj!I13="*  ..  ##34###34# ##334###334#","//--- END",Subj!I13)</f>
        <v>* lastnameAtDiagnosis 0..* string ##34#Lastname at diagnosis (if different from the actual one)##34# ##334#Lastname at diagnosis (if different from the actual one)##334#</v>
      </c>
    </row>
    <row r="14" spans="3:7" x14ac:dyDescent="0.75">
      <c r="C14" s="21" t="str">
        <f>IF(Subj!I14="*  ..  ##34###34# ##334###334#","//--- END",Subj!I14)</f>
        <v>* gender 1..* CodeableConcept ##34#Gender/Sex##34# ##334#Gender/Sex##334#</v>
      </c>
    </row>
    <row r="15" spans="3:7" x14ac:dyDescent="0.75">
      <c r="C15" s="21" t="str">
        <f>IF(Subj!I15="*  ..  ##34###34# ##334###334#","//--- END",Subj!I15)</f>
        <v>* dateOfBirth 0..* dateTime ##34#Date of birth##34# ##334#Date of birth##334#</v>
      </c>
    </row>
    <row r="16" spans="3:7" x14ac:dyDescent="0.75">
      <c r="C16" s="21" t="str">
        <f>IF(Subj!I16="*  ..  ##34###34# ##334###334#","//--- END",Subj!I16)</f>
        <v>* placeOfBirth 0..* Address ##34#Place of birth##34# ##334#Place of birth##334#</v>
      </c>
    </row>
    <row r="17" spans="3:3" x14ac:dyDescent="0.75">
      <c r="C17" s="21" t="str">
        <f>IF(Subj!I17="*  ..  ##34###34# ##334###334#","//--- END",Subj!I17)</f>
        <v>* contact 0..* BackboneElement ##34#Contact - receiver of the passport##34# ##334#Contact - receiver of the passport##334#</v>
      </c>
    </row>
    <row r="18" spans="3:3" x14ac:dyDescent="0.75">
      <c r="C18" s="21" t="str">
        <f>IF(Subj!I18="*  ..  ##34###34# ##334###334#","//--- END",Subj!I18)</f>
        <v>* contact.email 0..* uri ##34#E-mail##34# ##334#E-mail##334#</v>
      </c>
    </row>
    <row r="19" spans="3:3" x14ac:dyDescent="0.75">
      <c r="C19" s="21" t="str">
        <f>IF(Subj!I19="*  ..  ##34###34# ##334###334#","//--- END",Subj!I19)</f>
        <v>* contact.mobile 0..* uri ##34#Mobile phone##34# ##334#Mobile phone##334#</v>
      </c>
    </row>
    <row r="20" spans="3:3" ht="29.5" x14ac:dyDescent="0.75">
      <c r="C20" s="21" t="str">
        <f>IF(Subj!I20="*  ..  ##34###34# ##334###334#","//--- END",Subj!I20)</f>
        <v>* contact.relationship 0..1 CodeableConcept ##34#Relationship with the subject##34# ##334#Relationship with the subject##334#</v>
      </c>
    </row>
    <row r="21" spans="3:3" x14ac:dyDescent="0.75">
      <c r="C21" s="21" t="str">
        <f>IF(Subj!I21="*  ..  ##34###34# ##334###334#","//--- END",Subj!I21)</f>
        <v>//--- END</v>
      </c>
    </row>
    <row r="22" spans="3:3" x14ac:dyDescent="0.75">
      <c r="C22" s="21" t="str">
        <f>IF(Subj!I22="*  ..  ##34###34# ##334###334#","//--- END",Subj!I22)</f>
        <v>//--- END</v>
      </c>
    </row>
    <row r="23" spans="3:3" x14ac:dyDescent="0.75">
      <c r="C23" s="21" t="str">
        <f>IF(Subj!I23="*  ..  ##34###34# ##334###334#","//--- END",Subj!I23)</f>
        <v>//--- END</v>
      </c>
    </row>
    <row r="32" spans="3:3" x14ac:dyDescent="0.75">
      <c r="C32" s="40" t="str">
        <f>'Subj-Map'!E1</f>
        <v>// -------------------------------------------------------------------------------</v>
      </c>
    </row>
    <row r="33" spans="3:3" x14ac:dyDescent="0.75">
      <c r="C33" s="41" t="str">
        <f>'Subj-Map'!E2</f>
        <v>//  Map to FHIR R4</v>
      </c>
    </row>
    <row r="34" spans="3:3" x14ac:dyDescent="0.75">
      <c r="C34" s="41" t="str">
        <f>'Subj-Map'!E3</f>
        <v>// -------------------------------------------------------------------------------</v>
      </c>
    </row>
    <row r="35" spans="3:3" x14ac:dyDescent="0.75">
      <c r="C35" s="21" t="str">
        <f>'Subj-Map'!E4</f>
        <v>Mapping: Subject2Fhir</v>
      </c>
    </row>
    <row r="36" spans="3:3" x14ac:dyDescent="0.75">
      <c r="C36" s="21" t="str">
        <f>'Subj-Map'!E5</f>
        <v>Id: fhir</v>
      </c>
    </row>
    <row r="37" spans="3:3" x14ac:dyDescent="0.75">
      <c r="C37" s="21" t="str">
        <f>'Subj-Map'!E6</f>
        <v>Title: ##34#Subject model to PCSP HL7 FHIR R4 Profiles##34#</v>
      </c>
    </row>
    <row r="38" spans="3:3" x14ac:dyDescent="0.75">
      <c r="C38" s="21" t="str">
        <f>'Subj-Map'!E7</f>
        <v>Source: Subject</v>
      </c>
    </row>
    <row r="39" spans="3:3" x14ac:dyDescent="0.75">
      <c r="C39" s="21" t="str">
        <f>'Subj-Map'!E8</f>
        <v>Target: ##34#hl7.org/fhir/r4##34#</v>
      </c>
    </row>
    <row r="41" spans="3:3" x14ac:dyDescent="0.75">
      <c r="C41" s="21" t="str">
        <f>IF('Subj-Map'!E9="*  -&gt; ##34###34#","// --END",'Subj-Map'!E9)</f>
        <v>* . -&gt; ##34#Patient##34#</v>
      </c>
    </row>
    <row r="42" spans="3:3" x14ac:dyDescent="0.75">
      <c r="C42" s="21" t="str">
        <f>IF('Subj-Map'!E10="*  -&gt; ##34###34#","// --END",'Subj-Map'!E10)</f>
        <v>* identifier -&gt; ##34#Patient.identifier##34#</v>
      </c>
    </row>
    <row r="43" spans="3:3" x14ac:dyDescent="0.75">
      <c r="C43" s="21" t="str">
        <f>IF('Subj-Map'!E11="*  -&gt; ##34###34#","// --END",'Subj-Map'!E11)</f>
        <v>* name -&gt; ##34#Patient.name##34#</v>
      </c>
    </row>
    <row r="44" spans="3:3" x14ac:dyDescent="0.75">
      <c r="C44" s="21" t="str">
        <f>IF('Subj-Map'!E12="*  -&gt; ##34###34#","// --END",'Subj-Map'!E12)</f>
        <v>* name.lastname -&gt; ##34#Patient.name.given##34#</v>
      </c>
    </row>
    <row r="45" spans="3:3" x14ac:dyDescent="0.75">
      <c r="C45" s="21" t="str">
        <f>IF('Subj-Map'!E13="*  -&gt; ##34###34#","// --END",'Subj-Map'!E13)</f>
        <v>* name.middleName -&gt; ##34#Patient.name.given##34#</v>
      </c>
    </row>
    <row r="46" spans="3:3" x14ac:dyDescent="0.75">
      <c r="C46" s="21" t="str">
        <f>IF('Subj-Map'!E14="*  -&gt; ##34###34#","// --END",'Subj-Map'!E14)</f>
        <v>* name.firstName -&gt; ##34#Patient.name.family##34#</v>
      </c>
    </row>
    <row r="47" spans="3:3" x14ac:dyDescent="0.75">
      <c r="C47" s="21" t="str">
        <f>IF('Subj-Map'!E15="*  -&gt; ##34###34#","// --END",'Subj-Map'!E15)</f>
        <v>* lastnameAtDiagnosis -&gt; ##34#Patient.name.family##34#</v>
      </c>
    </row>
    <row r="48" spans="3:3" x14ac:dyDescent="0.75">
      <c r="C48" s="21" t="str">
        <f>IF('Subj-Map'!E16="*  -&gt; ##34###34#","// --END",'Subj-Map'!E16)</f>
        <v>* gender -&gt; ##34#Patient.gender##34#</v>
      </c>
    </row>
    <row r="49" spans="3:3" x14ac:dyDescent="0.75">
      <c r="C49" s="21" t="str">
        <f>IF('Subj-Map'!E17="*  -&gt; ##34###34#","// --END",'Subj-Map'!E17)</f>
        <v>* dateOfBirth -&gt; ##34#Patient.birthDate##34#</v>
      </c>
    </row>
    <row r="50" spans="3:3" x14ac:dyDescent="0.75">
      <c r="C50" s="21" t="str">
        <f>IF('Subj-Map'!E18="*  -&gt; ##34###34#","// --END",'Subj-Map'!E18)</f>
        <v>* placeOfBirth -&gt; ##34#Patient.extension(http://hl7.org/fhir/StructureDefinition/patient-birthPlace')##34#</v>
      </c>
    </row>
    <row r="51" spans="3:3" x14ac:dyDescent="0.75">
      <c r="C51" s="21" t="str">
        <f>IF('Subj-Map'!E19="*  -&gt; ##34###34#","// --END",'Subj-Map'!E19)</f>
        <v>* contact -&gt; ##34#Patient.contact (if not the patient)##34#</v>
      </c>
    </row>
    <row r="52" spans="3:3" x14ac:dyDescent="0.75">
      <c r="C52" s="21" t="str">
        <f>IF('Subj-Map'!E20="*  -&gt; ##34###34#","// --END",'Subj-Map'!E20)</f>
        <v>* contact -&gt; ##34#Patient.telecom (if the patient)##34#</v>
      </c>
    </row>
    <row r="53" spans="3:3" x14ac:dyDescent="0.75">
      <c r="C53" s="21" t="str">
        <f>IF('Subj-Map'!E21="*  -&gt; ##34###34#","// --END",'Subj-Map'!E21)</f>
        <v>* contact -&gt; ##34#DocumentManifest.recipient (if intended recipient)##34#</v>
      </c>
    </row>
    <row r="54" spans="3:3" x14ac:dyDescent="0.75">
      <c r="C54" s="21" t="str">
        <f>IF('Subj-Map'!E22="*  -&gt; ##34###34#","// --END",'Subj-Map'!E22)</f>
        <v>* contact.email -&gt; ##34#Patient.contact.telecom (if not the patient)##34#</v>
      </c>
    </row>
    <row r="55" spans="3:3" x14ac:dyDescent="0.75">
      <c r="C55" s="21" t="str">
        <f>IF('Subj-Map'!E23="*  -&gt; ##34###34#","// --END",'Subj-Map'!E23)</f>
        <v>* contact.email -&gt; ##34#Patient.telecom (if the patient)##34#</v>
      </c>
    </row>
    <row r="56" spans="3:3" x14ac:dyDescent="0.75">
      <c r="C56" s="21" t="str">
        <f>IF('Subj-Map'!E24="*  -&gt; ##34###34#","// --END",'Subj-Map'!E24)</f>
        <v>* contact.email -&gt; ##34#DocumentManifest.recipient.resolve().telecom (if intended recipient)##34#</v>
      </c>
    </row>
    <row r="57" spans="3:3" x14ac:dyDescent="0.75">
      <c r="C57" s="21" t="str">
        <f>IF('Subj-Map'!E25="*  -&gt; ##34###34#","// --END",'Subj-Map'!E25)</f>
        <v>* contact.mobile -&gt; ##34#Patient.contact.telecom (if not the patient)##34#</v>
      </c>
    </row>
    <row r="58" spans="3:3" x14ac:dyDescent="0.75">
      <c r="C58" s="21" t="str">
        <f>IF('Subj-Map'!E26="*  -&gt; ##34###34#","// --END",'Subj-Map'!E26)</f>
        <v>* contact.mobile -&gt; ##34#Patient.telecom (if the patient)##34#</v>
      </c>
    </row>
    <row r="59" spans="3:3" x14ac:dyDescent="0.75">
      <c r="C59" s="21" t="str">
        <f>IF('Subj-Map'!E27="*  -&gt; ##34###34#","// --END",'Subj-Map'!E27)</f>
        <v>* contact.mobile -&gt; ##34#DocumentManifest.recipient.resolve().telecom (if intended recipient)##34#</v>
      </c>
    </row>
    <row r="60" spans="3:3" x14ac:dyDescent="0.75">
      <c r="C60" s="21" t="str">
        <f>IF('Subj-Map'!E28="*  -&gt; ##34###34#","// --END",'Subj-Map'!E28)</f>
        <v>* contact.relationship -&gt; ##34#Patient.contact.relationship (if not the patient)##34#</v>
      </c>
    </row>
    <row r="61" spans="3:3" x14ac:dyDescent="0.75">
      <c r="C61" s="21" t="str">
        <f>IF('Subj-Map'!E29="*  -&gt; ##34###34#","// --END",'Subj-Map'!E29)</f>
        <v>* contact.relationship -&gt; ##34#N/A (if the patient)##34#</v>
      </c>
    </row>
    <row r="62" spans="3:3" x14ac:dyDescent="0.75">
      <c r="C62" s="21" t="str">
        <f>IF('Subj-Map'!E30="*  -&gt; ##34###34#","// --END",'Subj-Map'!E30)</f>
        <v>* contact.relationship -&gt; ##34#DocumentManifest.recipient.resolve().relationship (if intended recipient - not patient)##34#</v>
      </c>
    </row>
    <row r="63" spans="3:3" x14ac:dyDescent="0.75">
      <c r="C63" s="21" t="str">
        <f>IF('Subj-Map'!E31="*  -&gt; ##34###34#","// --END",'Subj-Map'!E31)</f>
        <v>// --END</v>
      </c>
    </row>
    <row r="64" spans="3:3" x14ac:dyDescent="0.75">
      <c r="C64" s="21" t="str">
        <f>IF('Subj-Map'!E32="*  -&gt; ##34###34#","// --END",'Subj-Map'!E32)</f>
        <v>// --END</v>
      </c>
    </row>
    <row r="65" spans="3:3" x14ac:dyDescent="0.75">
      <c r="C65" s="21" t="str">
        <f>IF('Subj-Map'!E33="*  -&gt; ##34###34#","// --END",'Subj-Map'!E33)</f>
        <v>// --END</v>
      </c>
    </row>
    <row r="66" spans="3:3" x14ac:dyDescent="0.75">
      <c r="C66" s="21" t="str">
        <f>IF('Subj-Map'!E34="*  -&gt; ##34###34#","// --END",'Subj-Map'!E34)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3009" r:id="rId3" name="Button 1">
              <controlPr defaultSize="0" print="0" autoFill="0" autoPict="0" macro="[0]!export">
                <anchor moveWithCells="1">
                  <from>
                    <xdr:col>4</xdr:col>
                    <xdr:colOff>254000</xdr:colOff>
                    <xdr:row>1</xdr:row>
                    <xdr:rowOff>0</xdr:rowOff>
                  </from>
                  <to>
                    <xdr:col>5</xdr:col>
                    <xdr:colOff>317500</xdr:colOff>
                    <xdr:row>2</xdr:row>
                    <xdr:rowOff>76200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62036A-7936-4E19-AFD7-97227E18B46D}">
  <sheetPr codeName="Foglio34">
    <tabColor theme="4" tint="0.59999389629810485"/>
  </sheetPr>
  <dimension ref="A1:L41"/>
  <sheetViews>
    <sheetView topLeftCell="A24" workbookViewId="0">
      <selection activeCell="I9" sqref="I9:I39"/>
    </sheetView>
  </sheetViews>
  <sheetFormatPr defaultRowHeight="14.75" x14ac:dyDescent="0.75"/>
  <cols>
    <col min="1" max="1" width="16.54296875" style="18" customWidth="1"/>
    <col min="2" max="2" width="59.5" style="18" customWidth="1"/>
    <col min="3" max="3" width="44.6328125" style="18" customWidth="1"/>
    <col min="4" max="4" width="71.58984375" style="18" bestFit="1" customWidth="1"/>
    <col min="5" max="5" width="10.81640625" style="18" customWidth="1"/>
    <col min="6" max="6" width="9" style="18" customWidth="1"/>
    <col min="7" max="8" width="21.76953125" style="18" customWidth="1"/>
    <col min="9" max="9" width="67.1796875" style="19" customWidth="1"/>
    <col min="10" max="10" width="19.31640625" style="18" customWidth="1"/>
    <col min="11" max="11" width="8.7265625" style="18"/>
    <col min="12" max="12" width="45.81640625" style="19" customWidth="1"/>
    <col min="13" max="13" width="8.7265625" style="18" customWidth="1"/>
    <col min="14" max="16384" width="8.7265625" style="18"/>
  </cols>
  <sheetData>
    <row r="1" spans="1:11" x14ac:dyDescent="0.75">
      <c r="B1" s="22"/>
      <c r="C1" s="22"/>
      <c r="D1" s="22"/>
      <c r="I1" s="40" t="s">
        <v>80</v>
      </c>
    </row>
    <row r="2" spans="1:11" x14ac:dyDescent="0.75">
      <c r="B2" s="22"/>
      <c r="C2" s="22"/>
      <c r="D2" s="22"/>
      <c r="I2" s="41" t="s">
        <v>79</v>
      </c>
    </row>
    <row r="3" spans="1:11" ht="15.5" thickBot="1" x14ac:dyDescent="0.9">
      <c r="B3" s="22"/>
      <c r="C3" s="22"/>
      <c r="D3" s="22"/>
      <c r="I3" s="41" t="str">
        <f>I1</f>
        <v>// -------------------------------------------------------------------------------</v>
      </c>
    </row>
    <row r="4" spans="1:11" ht="15.5" thickBot="1" x14ac:dyDescent="0.9">
      <c r="A4" s="6" t="s">
        <v>13</v>
      </c>
      <c r="B4" s="24" t="s">
        <v>1265</v>
      </c>
      <c r="C4" s="22"/>
      <c r="D4" s="22"/>
      <c r="I4" s="33" t="str">
        <f>CONCATENATE("Logical: ",B4)</f>
        <v>Logical: ChemotherapyPcsp</v>
      </c>
    </row>
    <row r="5" spans="1:11" ht="15.5" thickBot="1" x14ac:dyDescent="0.9">
      <c r="A5" s="27" t="s">
        <v>76</v>
      </c>
      <c r="B5" s="110" t="s">
        <v>857</v>
      </c>
      <c r="D5" s="22"/>
      <c r="I5" s="33" t="str">
        <f>CONCATENATE("Id: ",B5)</f>
        <v>Id: Chemotherapy</v>
      </c>
    </row>
    <row r="6" spans="1:11" x14ac:dyDescent="0.75">
      <c r="A6" s="28" t="s">
        <v>11</v>
      </c>
      <c r="B6" s="22" t="s">
        <v>857</v>
      </c>
      <c r="C6" s="22"/>
      <c r="D6" s="22"/>
      <c r="I6" s="34" t="str">
        <f>CONCATENATE("Title: ##34#",B6,"##34#")</f>
        <v>Title: ##34#Chemotherapy##34#</v>
      </c>
    </row>
    <row r="7" spans="1:11" ht="30.25" thickBot="1" x14ac:dyDescent="0.9">
      <c r="A7" s="29" t="s">
        <v>4</v>
      </c>
      <c r="B7" s="23" t="s">
        <v>1052</v>
      </c>
      <c r="C7" s="13" t="s">
        <v>5</v>
      </c>
      <c r="D7" s="2" t="s">
        <v>6</v>
      </c>
      <c r="E7" s="3" t="s">
        <v>7</v>
      </c>
      <c r="F7" s="3" t="s">
        <v>8</v>
      </c>
      <c r="G7" s="3" t="s">
        <v>9</v>
      </c>
      <c r="I7" s="34" t="str">
        <f>CONCATENATE("Description: "," ##334#",B7,"##334#",)</f>
        <v>Description:  ##334#Chemotherapy 
Maturity Level: 2 - Ready for Review##334#</v>
      </c>
    </row>
    <row r="8" spans="1:11" x14ac:dyDescent="0.75">
      <c r="A8" s="20">
        <v>1</v>
      </c>
      <c r="B8" s="20" t="s">
        <v>72</v>
      </c>
      <c r="C8" s="21" t="s">
        <v>1053</v>
      </c>
      <c r="D8" s="21" t="s">
        <v>1054</v>
      </c>
      <c r="E8" s="20">
        <v>1</v>
      </c>
      <c r="F8" s="20">
        <v>1</v>
      </c>
      <c r="G8" s="20" t="s">
        <v>0</v>
      </c>
      <c r="H8" s="31"/>
      <c r="I8" s="42" t="str">
        <f>CONCATENATE("* ",B8, " ",E8,"..",F8," ",G8," ##34#",C8,"##34# ##334#",D8,"##334#")</f>
        <v>* relatedDiagnosis 1..1 Identifier ##34#Related Diagnosis##34# ##334#Identifier of the diagnosis for which this chemotherapy is performed##334#</v>
      </c>
    </row>
    <row r="9" spans="1:11" ht="29.5" x14ac:dyDescent="0.75">
      <c r="A9" s="20">
        <v>2</v>
      </c>
      <c r="B9" s="20" t="s">
        <v>1055</v>
      </c>
      <c r="C9" s="21" t="s">
        <v>1056</v>
      </c>
      <c r="D9" s="21" t="s">
        <v>37</v>
      </c>
      <c r="E9" s="20">
        <v>1</v>
      </c>
      <c r="F9" s="20">
        <v>1</v>
      </c>
      <c r="G9" s="20" t="s">
        <v>923</v>
      </c>
      <c r="H9" s="31"/>
      <c r="I9" s="42" t="str">
        <f t="shared" ref="I9:I41" si="0">CONCATENATE("* ",B9, " ",E9,"..",F9," ",G9," ##34#",C9,"##34# ##334#",D9,"##334#")</f>
        <v>* startDate 1..1 dateTime ##34#Start date##34# ##334#Please report the date of the first chemotherapy given. If the date is unkown or partially missed insert the year at the best of your knowledge.##334#</v>
      </c>
    </row>
    <row r="10" spans="1:11" ht="44.25" x14ac:dyDescent="0.75">
      <c r="A10" s="20">
        <v>3</v>
      </c>
      <c r="B10" s="20" t="s">
        <v>1057</v>
      </c>
      <c r="C10" s="21" t="s">
        <v>1058</v>
      </c>
      <c r="D10" s="21" t="s">
        <v>38</v>
      </c>
      <c r="E10" s="20">
        <v>1</v>
      </c>
      <c r="F10" s="20">
        <v>1</v>
      </c>
      <c r="G10" s="20" t="s">
        <v>923</v>
      </c>
      <c r="H10" s="31"/>
      <c r="I10" s="42" t="str">
        <f t="shared" si="0"/>
        <v>* endDate 1..1 dateTime ##34#End date##34# ##334#Please report the date of the last chemotherapy given. If the date is unkown or partially missed insert the year at the best of your knowledge.##334#</v>
      </c>
    </row>
    <row r="11" spans="1:11" ht="44.25" x14ac:dyDescent="0.75">
      <c r="A11" s="20">
        <v>4</v>
      </c>
      <c r="B11" s="21" t="s">
        <v>1059</v>
      </c>
      <c r="C11" s="21" t="s">
        <v>1060</v>
      </c>
      <c r="D11" s="21" t="s">
        <v>36</v>
      </c>
      <c r="E11" s="20">
        <v>0</v>
      </c>
      <c r="F11" s="20">
        <v>1</v>
      </c>
      <c r="G11" s="20" t="s">
        <v>850</v>
      </c>
      <c r="H11" s="31"/>
      <c r="I11" s="42" t="str">
        <f t="shared" si="0"/>
        <v>* istitutionOfTreatment 0..1 BackboneElement ##34#Institution of treatment##34# ##334#Please indicate the institution in which all or most of the chemotherapeutic treatment was given##334#</v>
      </c>
    </row>
    <row r="12" spans="1:11" ht="44.25" x14ac:dyDescent="0.75">
      <c r="A12" s="20">
        <v>5</v>
      </c>
      <c r="B12" s="21" t="s">
        <v>1061</v>
      </c>
      <c r="C12" s="21" t="s">
        <v>1062</v>
      </c>
      <c r="D12" s="21" t="s">
        <v>1063</v>
      </c>
      <c r="E12" s="20">
        <v>0</v>
      </c>
      <c r="F12" s="20">
        <v>1</v>
      </c>
      <c r="G12" s="20" t="s">
        <v>2</v>
      </c>
      <c r="H12" s="31"/>
      <c r="I12" s="42" t="str">
        <f t="shared" si="0"/>
        <v>* istitutionOfTreatment.description 0..1 string ##34#Institution description##34# ##334#Please provide name, city and countryof the institution##334#</v>
      </c>
    </row>
    <row r="13" spans="1:11" ht="44.25" x14ac:dyDescent="0.75">
      <c r="A13" s="20">
        <v>6</v>
      </c>
      <c r="B13" s="21" t="s">
        <v>1064</v>
      </c>
      <c r="C13" s="21" t="s">
        <v>1065</v>
      </c>
      <c r="D13" s="21" t="s">
        <v>1065</v>
      </c>
      <c r="E13" s="20">
        <v>0</v>
      </c>
      <c r="F13" s="20">
        <v>1</v>
      </c>
      <c r="G13" s="20" t="s">
        <v>2</v>
      </c>
      <c r="H13" s="31"/>
      <c r="I13" s="42" t="str">
        <f t="shared" si="0"/>
        <v>* istitutionOfTreatment.name 0..1 string ##34#Institution name##34# ##334#Institution name##334#</v>
      </c>
    </row>
    <row r="14" spans="1:11" ht="44.25" x14ac:dyDescent="0.75">
      <c r="A14" s="20">
        <v>7</v>
      </c>
      <c r="B14" s="21" t="s">
        <v>1066</v>
      </c>
      <c r="C14" s="21" t="s">
        <v>1067</v>
      </c>
      <c r="D14" s="21" t="s">
        <v>1067</v>
      </c>
      <c r="E14" s="20">
        <v>0</v>
      </c>
      <c r="F14" s="20">
        <v>1</v>
      </c>
      <c r="G14" s="20" t="s">
        <v>850</v>
      </c>
      <c r="H14" s="31"/>
      <c r="I14" s="42" t="str">
        <f t="shared" si="0"/>
        <v>* istitutionOfTreatment.address 0..1 BackboneElement ##34#Institution address##34# ##334#Institution address##334#</v>
      </c>
    </row>
    <row r="15" spans="1:11" ht="44.25" x14ac:dyDescent="0.75">
      <c r="A15" s="20">
        <v>8</v>
      </c>
      <c r="B15" s="21" t="s">
        <v>1068</v>
      </c>
      <c r="C15" s="21" t="s">
        <v>1069</v>
      </c>
      <c r="D15" s="21" t="s">
        <v>1069</v>
      </c>
      <c r="E15" s="20">
        <v>0</v>
      </c>
      <c r="F15" s="20">
        <v>1</v>
      </c>
      <c r="G15" s="20" t="s">
        <v>2</v>
      </c>
      <c r="H15" s="31"/>
      <c r="I15" s="42" t="str">
        <f t="shared" si="0"/>
        <v>* istitutionOfTreatment.address.name 0..1 string ##34#Institution city##34# ##334#Institution city##334#</v>
      </c>
      <c r="J15" s="26"/>
      <c r="K15" s="20"/>
    </row>
    <row r="16" spans="1:11" ht="44.25" x14ac:dyDescent="0.75">
      <c r="A16" s="20">
        <v>9</v>
      </c>
      <c r="B16" s="21" t="s">
        <v>1070</v>
      </c>
      <c r="C16" s="21" t="s">
        <v>1071</v>
      </c>
      <c r="D16" s="21" t="s">
        <v>1071</v>
      </c>
      <c r="E16" s="20">
        <v>0</v>
      </c>
      <c r="F16" s="20">
        <v>1</v>
      </c>
      <c r="G16" s="20" t="s">
        <v>2</v>
      </c>
      <c r="I16" s="42" t="str">
        <f t="shared" si="0"/>
        <v>* istitutionOfTreatment.address.country 0..1 string ##34#Institution country##34# ##334#Institution country##334#</v>
      </c>
    </row>
    <row r="17" spans="1:9" ht="44.25" x14ac:dyDescent="0.75">
      <c r="A17" s="20">
        <v>10</v>
      </c>
      <c r="B17" s="21" t="s">
        <v>1072</v>
      </c>
      <c r="C17" s="21" t="s">
        <v>1073</v>
      </c>
      <c r="D17" s="21" t="s">
        <v>1074</v>
      </c>
      <c r="E17" s="20">
        <v>1</v>
      </c>
      <c r="F17" s="20">
        <v>20</v>
      </c>
      <c r="G17" s="20" t="s">
        <v>850</v>
      </c>
      <c r="I17" s="42" t="str">
        <f t="shared" si="0"/>
        <v>* productAdministration 1..20 BackboneElement ##34#Product(s) administartion data##34# ##334#Information about the product(s) administered##334#</v>
      </c>
    </row>
    <row r="18" spans="1:9" ht="147.5" x14ac:dyDescent="0.75">
      <c r="A18" s="20">
        <v>11</v>
      </c>
      <c r="B18" s="21" t="s">
        <v>1075</v>
      </c>
      <c r="C18" s="21" t="s">
        <v>1076</v>
      </c>
      <c r="D18" s="21" t="s">
        <v>1077</v>
      </c>
      <c r="E18" s="20">
        <v>1</v>
      </c>
      <c r="F18" s="20">
        <v>1</v>
      </c>
      <c r="G18" s="20" t="s">
        <v>1</v>
      </c>
      <c r="I18" s="42" t="str">
        <f t="shared" si="0"/>
        <v>* productAdministration.agent 1..1 CodeableConcept ##34#Antineoplastic and immunostimulating agents##34# ##334#In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…)##334#</v>
      </c>
    </row>
    <row r="19" spans="1:9" ht="44.25" x14ac:dyDescent="0.75">
      <c r="A19" s="20">
        <v>12</v>
      </c>
      <c r="B19" s="21" t="s">
        <v>1078</v>
      </c>
      <c r="C19" s="21" t="s">
        <v>1079</v>
      </c>
      <c r="D19" s="21" t="s">
        <v>1080</v>
      </c>
      <c r="E19" s="20">
        <v>0</v>
      </c>
      <c r="F19" s="20">
        <v>1</v>
      </c>
      <c r="G19" s="20" t="s">
        <v>1081</v>
      </c>
      <c r="I19" s="42" t="str">
        <f t="shared" si="0"/>
        <v>* productAdministration.dose 0..1 Quantity ##34#Dose (NOT in PCSP DB)##34# ##334#Dose received of each drug for this administration##334#</v>
      </c>
    </row>
    <row r="20" spans="1:9" ht="44.25" x14ac:dyDescent="0.75">
      <c r="A20" s="20">
        <v>13</v>
      </c>
      <c r="B20" s="21" t="s">
        <v>1082</v>
      </c>
      <c r="C20" s="21" t="s">
        <v>1083</v>
      </c>
      <c r="D20" s="21" t="s">
        <v>1084</v>
      </c>
      <c r="E20" s="20">
        <v>0</v>
      </c>
      <c r="F20" s="20">
        <v>1</v>
      </c>
      <c r="G20" s="20" t="s">
        <v>850</v>
      </c>
      <c r="I20" s="42" t="str">
        <f t="shared" si="0"/>
        <v>* productAdministration.cumulativeDose 0..1 BackboneElement ##34#Cumulative Dose##34# ##334#Report the total cumulative dose received of each drug. ##334#</v>
      </c>
    </row>
    <row r="21" spans="1:9" ht="44.25" x14ac:dyDescent="0.75">
      <c r="A21" s="20">
        <v>14</v>
      </c>
      <c r="B21" s="21" t="s">
        <v>1085</v>
      </c>
      <c r="C21" s="21" t="s">
        <v>1086</v>
      </c>
      <c r="D21" s="20" t="s">
        <v>1087</v>
      </c>
      <c r="E21" s="20">
        <v>0</v>
      </c>
      <c r="F21" s="20">
        <v>1</v>
      </c>
      <c r="G21" s="20" t="s">
        <v>1</v>
      </c>
      <c r="I21" s="42" t="str">
        <f t="shared" si="0"/>
        <v>* productAdministration.cumulativeDose.notAvailable 0..1 CodeableConcept ##34#Not calculated or not known dose##34# ##334#Flag indicating if the dose was not calculated or it was not known##334#</v>
      </c>
    </row>
    <row r="22" spans="1:9" ht="44.25" x14ac:dyDescent="0.75">
      <c r="A22" s="20">
        <v>15</v>
      </c>
      <c r="B22" s="21" t="s">
        <v>1088</v>
      </c>
      <c r="C22" s="21" t="s">
        <v>1089</v>
      </c>
      <c r="D22" s="21" t="s">
        <v>1090</v>
      </c>
      <c r="E22" s="20">
        <v>0</v>
      </c>
      <c r="F22" s="20">
        <v>1</v>
      </c>
      <c r="G22" s="20" t="s">
        <v>1</v>
      </c>
      <c r="I22" s="42" t="str">
        <f t="shared" si="0"/>
        <v>* productAdministration.cumulativeDose.measureType 0..1 CodeableConcept ##34#How the dose was determined (estimation or calculation)##34# ##334#Specify if the cumulative dose reported has been all calculated on real data or  estimated based on the expected dose prescribed by the protocol.  If some part of the calculation was based on estimated values, the whole field should be 'estimated'##334#</v>
      </c>
    </row>
    <row r="23" spans="1:9" ht="44.25" x14ac:dyDescent="0.75">
      <c r="A23" s="20">
        <v>16</v>
      </c>
      <c r="B23" s="21" t="s">
        <v>1091</v>
      </c>
      <c r="C23" s="21" t="s">
        <v>40</v>
      </c>
      <c r="D23" s="21" t="s">
        <v>41</v>
      </c>
      <c r="E23" s="20">
        <v>0</v>
      </c>
      <c r="F23" s="20">
        <v>1</v>
      </c>
      <c r="G23" s="20" t="s">
        <v>1</v>
      </c>
      <c r="I23" s="42" t="str">
        <f t="shared" si="0"/>
        <v>* productAdministration.cumulativeDose.completionStatus 0..1 CodeableConcept ##34#The reported doses are incomplete (either under- or over-estimated)##34# ##334#Check in case of incomplete doses##334#</v>
      </c>
    </row>
    <row r="24" spans="1:9" ht="44.25" x14ac:dyDescent="0.75">
      <c r="A24" s="20">
        <v>17</v>
      </c>
      <c r="B24" s="21" t="s">
        <v>1092</v>
      </c>
      <c r="C24" s="21" t="s">
        <v>42</v>
      </c>
      <c r="D24" s="21" t="s">
        <v>43</v>
      </c>
      <c r="E24" s="20">
        <v>0</v>
      </c>
      <c r="F24" s="20">
        <v>1</v>
      </c>
      <c r="G24" s="20" t="s">
        <v>2</v>
      </c>
      <c r="I24" s="42" t="str">
        <f t="shared" si="0"/>
        <v>* productAdministration.cumulativeDose.statusReason 0..1 string ##34#Specify reasons why##34# ##334#Specify reasons of incomplete estimated doses##334#</v>
      </c>
    </row>
    <row r="25" spans="1:9" ht="44.25" x14ac:dyDescent="0.75">
      <c r="A25" s="20">
        <v>18</v>
      </c>
      <c r="B25" s="21" t="s">
        <v>1093</v>
      </c>
      <c r="C25" s="21" t="s">
        <v>1094</v>
      </c>
      <c r="D25" s="21" t="s">
        <v>1095</v>
      </c>
      <c r="E25" s="20">
        <v>0</v>
      </c>
      <c r="F25" s="20">
        <v>1</v>
      </c>
      <c r="G25" s="20" t="s">
        <v>1096</v>
      </c>
      <c r="I25" s="42" t="str">
        <f t="shared" si="0"/>
        <v>* productAdministration.cumulativeDose.value 0..1 decimal ##34#Total cumulative dose##34# ##334#Report the total cumulative dose received of each drug.##334#</v>
      </c>
    </row>
    <row r="26" spans="1:9" ht="88.5" x14ac:dyDescent="0.75">
      <c r="A26" s="20">
        <v>19</v>
      </c>
      <c r="B26" s="21" t="s">
        <v>1097</v>
      </c>
      <c r="C26" s="21" t="s">
        <v>59</v>
      </c>
      <c r="D26" s="21" t="s">
        <v>1098</v>
      </c>
      <c r="E26" s="20">
        <v>0</v>
      </c>
      <c r="F26" s="20">
        <v>1</v>
      </c>
      <c r="G26" s="20" t="s">
        <v>1</v>
      </c>
      <c r="I26" s="42" t="str">
        <f t="shared" si="0"/>
        <v>* productAdministration.cumulativeDose.unit 0..1 CodeableConcept ##34#Measure unit##34# ##334#If the dose was calculated, please report the measure unit of the calculation
1 =&gt; mg/m2
2 =&gt; gr/m2
3 =&gt; UI/m2
4 =&gt; NK
5 =&gt; NC (not calculated)##334#</v>
      </c>
    </row>
    <row r="27" spans="1:9" ht="73.75" x14ac:dyDescent="0.75">
      <c r="A27" s="20">
        <v>20</v>
      </c>
      <c r="B27" s="21" t="s">
        <v>1099</v>
      </c>
      <c r="C27" s="21" t="s">
        <v>39</v>
      </c>
      <c r="D27" s="21" t="s">
        <v>1100</v>
      </c>
      <c r="E27" s="20">
        <v>0</v>
      </c>
      <c r="F27" s="20">
        <v>1</v>
      </c>
      <c r="G27" s="20" t="s">
        <v>1</v>
      </c>
      <c r="I27" s="42" t="str">
        <f t="shared" si="0"/>
        <v>* corticosteroids 0..1 CodeableConcept ##34#Prolonged corticosteroids as anti-cancer treatment at least 4 weeks continuously##34# ##334#Report 'yes' if the survivor was treated with steroids for at least 4 weeks continuously
1 =&gt; Yes
2 =&gt; No
-9922 =&gt; NK##334#</v>
      </c>
    </row>
    <row r="28" spans="1:9" ht="44.25" x14ac:dyDescent="0.75">
      <c r="A28" s="20">
        <v>21</v>
      </c>
      <c r="B28" s="4" t="s">
        <v>1101</v>
      </c>
      <c r="C28" s="21" t="s">
        <v>1102</v>
      </c>
      <c r="D28" s="21" t="s">
        <v>1102</v>
      </c>
      <c r="E28" s="20">
        <v>0</v>
      </c>
      <c r="F28" s="20">
        <v>1</v>
      </c>
      <c r="G28" s="20" t="s">
        <v>850</v>
      </c>
      <c r="I28" s="42" t="str">
        <f t="shared" si="0"/>
        <v>* intrathecalInjections 0..1 BackboneElement ##34#Intrathecal injections##34# ##334#Intrathecal injections##334#</v>
      </c>
    </row>
    <row r="29" spans="1:9" ht="88.5" x14ac:dyDescent="0.75">
      <c r="A29" s="20">
        <v>22</v>
      </c>
      <c r="B29" s="20" t="s">
        <v>1103</v>
      </c>
      <c r="C29" s="21" t="s">
        <v>1104</v>
      </c>
      <c r="D29" s="21" t="s">
        <v>1105</v>
      </c>
      <c r="E29" s="20">
        <v>0</v>
      </c>
      <c r="F29" s="20">
        <v>1</v>
      </c>
      <c r="G29" s="20" t="s">
        <v>1</v>
      </c>
      <c r="I29" s="42" t="str">
        <f t="shared" si="0"/>
        <v>* intrathecalInjections.status 0..1 CodeableConcept ##34#Did the survivor receive therapeutic intrathecal injections ?##34# ##334#Please state if the survivor received any therapeutic intrathecal injections
1 =&gt; Yes
2 =&gt; No
-9922 =&gt; NK##334#</v>
      </c>
    </row>
    <row r="30" spans="1:9" ht="29.5" x14ac:dyDescent="0.75">
      <c r="A30" s="20">
        <v>23</v>
      </c>
      <c r="B30" s="20" t="s">
        <v>1106</v>
      </c>
      <c r="C30" s="21" t="s">
        <v>1107</v>
      </c>
      <c r="D30" s="21" t="s">
        <v>44</v>
      </c>
      <c r="E30" s="20">
        <v>0</v>
      </c>
      <c r="F30" s="20">
        <v>1</v>
      </c>
      <c r="G30" s="20" t="s">
        <v>946</v>
      </c>
      <c r="I30" s="42" t="str">
        <f t="shared" si="0"/>
        <v>* intrathecalInjections.number 0..1 integer ##34#Total number##34# ##334#Report the total number of injections##334#</v>
      </c>
    </row>
    <row r="31" spans="1:9" ht="44.25" x14ac:dyDescent="0.75">
      <c r="A31" s="20">
        <v>24</v>
      </c>
      <c r="B31" s="20" t="s">
        <v>1108</v>
      </c>
      <c r="C31" s="21" t="s">
        <v>1109</v>
      </c>
      <c r="D31" s="21" t="s">
        <v>45</v>
      </c>
      <c r="E31" s="20">
        <v>0</v>
      </c>
      <c r="F31" s="20" t="s">
        <v>861</v>
      </c>
      <c r="G31" s="20" t="s">
        <v>2</v>
      </c>
      <c r="I31" s="42" t="str">
        <f t="shared" si="0"/>
        <v>* intrathecalInjections.productName 0..* string ##34#Drug(s) administered##34# ##334#Please report the names of drugs injected intrathecal##334#</v>
      </c>
    </row>
    <row r="32" spans="1:9" ht="44.25" x14ac:dyDescent="0.75">
      <c r="A32" s="20">
        <v>25</v>
      </c>
      <c r="B32" s="20" t="s">
        <v>1110</v>
      </c>
      <c r="C32" s="21" t="s">
        <v>1111</v>
      </c>
      <c r="D32" s="21" t="s">
        <v>46</v>
      </c>
      <c r="E32" s="20">
        <v>0</v>
      </c>
      <c r="F32" s="20">
        <v>1</v>
      </c>
      <c r="G32" s="20" t="s">
        <v>850</v>
      </c>
      <c r="I32" s="42" t="str">
        <f t="shared" si="0"/>
        <v>* otherTreatments 0..1 BackboneElement ##34#Other chemothrapeutic treatments##34# ##334#Report any other chemothrapeutic treatments that are not included in the ATC code##334#</v>
      </c>
    </row>
    <row r="33" spans="1:9" ht="29.5" x14ac:dyDescent="0.75">
      <c r="A33" s="20">
        <v>26</v>
      </c>
      <c r="B33" s="20" t="s">
        <v>1112</v>
      </c>
      <c r="C33" s="21" t="s">
        <v>47</v>
      </c>
      <c r="D33" s="21" t="s">
        <v>48</v>
      </c>
      <c r="E33" s="20">
        <v>1</v>
      </c>
      <c r="F33" s="20" t="s">
        <v>861</v>
      </c>
      <c r="G33" s="20" t="s">
        <v>2</v>
      </c>
      <c r="I33" s="42" t="str">
        <f t="shared" si="0"/>
        <v>* otherTreatments.productName 1..* string ##34#Drugs name##34# ##334#If yes, describe treatments##334#</v>
      </c>
    </row>
    <row r="34" spans="1:9" x14ac:dyDescent="0.75">
      <c r="A34" s="20">
        <v>27</v>
      </c>
      <c r="B34" s="20"/>
      <c r="C34" s="20"/>
      <c r="D34" s="21"/>
      <c r="E34" s="20"/>
      <c r="F34" s="20"/>
      <c r="G34" s="20"/>
      <c r="I34" s="42" t="str">
        <f t="shared" si="0"/>
        <v>*  ..  ##34###34# ##334###334#</v>
      </c>
    </row>
    <row r="35" spans="1:9" x14ac:dyDescent="0.75">
      <c r="A35" s="20">
        <v>28</v>
      </c>
      <c r="B35" s="20"/>
      <c r="C35" s="20"/>
      <c r="D35" s="21"/>
      <c r="E35" s="20"/>
      <c r="F35" s="20"/>
      <c r="G35" s="20"/>
      <c r="I35" s="42" t="str">
        <f t="shared" si="0"/>
        <v>*  ..  ##34###34# ##334###334#</v>
      </c>
    </row>
    <row r="36" spans="1:9" x14ac:dyDescent="0.75">
      <c r="A36" s="20">
        <v>29</v>
      </c>
      <c r="B36" s="20"/>
      <c r="C36" s="20"/>
      <c r="D36" s="21"/>
      <c r="E36" s="20"/>
      <c r="F36" s="20"/>
      <c r="G36" s="20"/>
      <c r="I36" s="42" t="str">
        <f t="shared" si="0"/>
        <v>*  ..  ##34###34# ##334###334#</v>
      </c>
    </row>
    <row r="37" spans="1:9" x14ac:dyDescent="0.75">
      <c r="A37" s="20">
        <v>30</v>
      </c>
      <c r="B37" s="20"/>
      <c r="C37" s="112"/>
      <c r="D37" s="112"/>
      <c r="E37" s="20"/>
      <c r="F37" s="20"/>
      <c r="G37" s="20"/>
      <c r="I37" s="42" t="str">
        <f t="shared" si="0"/>
        <v>*  ..  ##34###34# ##334###334#</v>
      </c>
    </row>
    <row r="38" spans="1:9" x14ac:dyDescent="0.75">
      <c r="B38" s="20"/>
      <c r="C38" s="112"/>
      <c r="D38" s="112"/>
      <c r="E38" s="20"/>
      <c r="F38" s="20"/>
      <c r="G38" s="20"/>
      <c r="I38" s="42" t="str">
        <f t="shared" si="0"/>
        <v>*  ..  ##34###34# ##334###334#</v>
      </c>
    </row>
    <row r="39" spans="1:9" x14ac:dyDescent="0.75">
      <c r="I39" s="42" t="str">
        <f t="shared" si="0"/>
        <v>*  ..  ##34###34# ##334###334#</v>
      </c>
    </row>
    <row r="40" spans="1:9" x14ac:dyDescent="0.75">
      <c r="I40" s="42" t="str">
        <f t="shared" si="0"/>
        <v>*  ..  ##34###34# ##334###334#</v>
      </c>
    </row>
    <row r="41" spans="1:9" x14ac:dyDescent="0.75">
      <c r="I41" s="42" t="str">
        <f t="shared" si="0"/>
        <v>*  ..  ##34###34# ##334###334#</v>
      </c>
    </row>
  </sheetData>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1F0290-6358-4F3C-BA25-1E622541EEFC}">
  <sheetPr codeName="Foglio36"/>
  <dimension ref="A1:O58"/>
  <sheetViews>
    <sheetView workbookViewId="0">
      <selection activeCell="C6" sqref="C6"/>
    </sheetView>
  </sheetViews>
  <sheetFormatPr defaultRowHeight="14.75" x14ac:dyDescent="0.75"/>
  <cols>
    <col min="1" max="1" width="8.7265625" style="18"/>
    <col min="2" max="2" width="31.6796875" style="19" customWidth="1"/>
    <col min="3" max="3" width="77.2265625" style="19" customWidth="1"/>
    <col min="4" max="4" width="8.04296875" style="18" customWidth="1"/>
    <col min="5" max="5" width="71.58984375" style="19" customWidth="1"/>
    <col min="6" max="6" width="10.76953125" style="18" customWidth="1"/>
    <col min="7" max="7" width="45.26953125" style="18" customWidth="1"/>
    <col min="8" max="16384" width="8.7265625" style="18"/>
  </cols>
  <sheetData>
    <row r="1" spans="1:15" x14ac:dyDescent="0.75">
      <c r="B1" s="113"/>
      <c r="C1" s="113"/>
      <c r="E1" s="32" t="s">
        <v>80</v>
      </c>
      <c r="H1" s="10"/>
      <c r="I1" s="10"/>
      <c r="J1" s="10"/>
      <c r="K1" s="10"/>
      <c r="L1" s="10"/>
      <c r="M1" s="10"/>
      <c r="N1" s="10"/>
      <c r="O1" s="10"/>
    </row>
    <row r="2" spans="1:15" x14ac:dyDescent="0.75">
      <c r="B2" s="113"/>
      <c r="C2" s="113"/>
      <c r="E2" s="39" t="s">
        <v>81</v>
      </c>
      <c r="H2" s="10"/>
      <c r="I2" s="10"/>
      <c r="J2" s="10"/>
      <c r="K2" s="10"/>
      <c r="L2" s="10"/>
      <c r="M2" s="10"/>
      <c r="N2" s="10"/>
      <c r="O2" s="10"/>
    </row>
    <row r="3" spans="1:15" ht="15.5" thickBot="1" x14ac:dyDescent="0.9">
      <c r="B3" s="113"/>
      <c r="C3" s="113"/>
      <c r="E3" s="39" t="str">
        <f>E1</f>
        <v>// -------------------------------------------------------------------------------</v>
      </c>
      <c r="H3" s="10"/>
      <c r="I3" s="10"/>
      <c r="J3" s="10"/>
      <c r="K3" s="10"/>
      <c r="L3" s="10"/>
      <c r="M3" s="10"/>
      <c r="N3" s="10"/>
      <c r="O3" s="10"/>
    </row>
    <row r="4" spans="1:15" ht="15.5" thickBot="1" x14ac:dyDescent="0.9">
      <c r="B4" s="123" t="s">
        <v>77</v>
      </c>
      <c r="C4" s="114" t="s">
        <v>1266</v>
      </c>
      <c r="E4" s="36" t="str">
        <f>CONCATENATE("Mapping: ",C4)</f>
        <v>Mapping: Chemo2Fhir</v>
      </c>
      <c r="H4" s="10"/>
      <c r="I4" s="10"/>
      <c r="J4" s="10"/>
      <c r="K4" s="10"/>
      <c r="L4" s="10"/>
      <c r="M4" s="10"/>
      <c r="N4" s="10"/>
      <c r="O4" s="10"/>
    </row>
    <row r="5" spans="1:15" ht="15.5" thickBot="1" x14ac:dyDescent="0.9">
      <c r="B5" s="123" t="s">
        <v>76</v>
      </c>
      <c r="C5" s="117" t="s">
        <v>15</v>
      </c>
      <c r="E5" s="37" t="str">
        <f>CONCATENATE("Id: ",C5)</f>
        <v>Id: fhir</v>
      </c>
      <c r="G5" s="19"/>
      <c r="H5" s="10"/>
      <c r="I5" s="10"/>
      <c r="J5" s="10"/>
      <c r="K5" s="10"/>
      <c r="L5" s="10"/>
      <c r="M5" s="10"/>
      <c r="N5" s="10"/>
      <c r="O5" s="10"/>
    </row>
    <row r="6" spans="1:15" ht="15.5" thickBot="1" x14ac:dyDescent="0.9">
      <c r="B6" s="123" t="s">
        <v>11</v>
      </c>
      <c r="C6" s="140" t="str">
        <f>C7 &amp;  " model to PCSP HL7 FHIR R4 Profiles"</f>
        <v>Chemotherapy model to PCSP HL7 FHIR R4 Profiles</v>
      </c>
      <c r="E6" s="37" t="str">
        <f>CONCATENATE("Title: ##34#",C6,"##34#")</f>
        <v>Title: ##34#Chemotherapy model to PCSP HL7 FHIR R4 Profiles##34#</v>
      </c>
      <c r="G6" s="19"/>
      <c r="H6" s="10"/>
      <c r="I6" s="10"/>
      <c r="J6" s="10"/>
      <c r="K6" s="10"/>
      <c r="L6" s="10"/>
      <c r="M6" s="10"/>
      <c r="N6" s="10"/>
      <c r="O6" s="10"/>
    </row>
    <row r="7" spans="1:15" ht="15.5" thickBot="1" x14ac:dyDescent="0.9">
      <c r="B7" s="123" t="s">
        <v>78</v>
      </c>
      <c r="C7" s="115" t="str">
        <f>B9</f>
        <v>Chemotherapy</v>
      </c>
      <c r="E7" s="37" t="str">
        <f>CONCATENATE("Source: ",C7)</f>
        <v>Source: Chemotherapy</v>
      </c>
      <c r="G7" s="19"/>
      <c r="H7" s="10"/>
      <c r="I7" s="10"/>
      <c r="J7" s="10"/>
      <c r="K7" s="10"/>
      <c r="L7" s="10"/>
      <c r="M7" s="10"/>
      <c r="N7" s="10"/>
      <c r="O7" s="10"/>
    </row>
    <row r="8" spans="1:15" ht="15.5" thickBot="1" x14ac:dyDescent="0.9">
      <c r="B8" s="139" t="s">
        <v>73</v>
      </c>
      <c r="C8" s="19" t="s">
        <v>14</v>
      </c>
      <c r="E8" s="38" t="str">
        <f>CONCATENATE("Target: ##34#",C8,"##34#")</f>
        <v>Target: ##34#hl7.org/fhir/r4##34#</v>
      </c>
      <c r="G8" s="19"/>
      <c r="H8" s="10"/>
      <c r="I8" s="10"/>
      <c r="J8" s="10"/>
      <c r="K8" s="10"/>
      <c r="L8" s="10"/>
      <c r="M8" s="10"/>
      <c r="N8" s="10"/>
      <c r="O8" s="10"/>
    </row>
    <row r="9" spans="1:15" ht="44.25" x14ac:dyDescent="0.75">
      <c r="A9" s="20"/>
      <c r="B9" s="4" t="str">
        <f>Chemo!B5</f>
        <v>Chemotherapy</v>
      </c>
      <c r="C9" s="4" t="s">
        <v>1113</v>
      </c>
      <c r="E9" s="4" t="str">
        <f>CONCATENATE("* . -&gt; ##34#",C9,"##34#")</f>
        <v>* . -&gt; ##34#MedicationAdministration.conformsTo('http://hl7.eu/fhir/ig/pcsp/StructureDefinition/MedicationAdministration-eu-pcsp')##34#</v>
      </c>
      <c r="H9" s="10"/>
      <c r="I9" s="10"/>
      <c r="J9" s="10"/>
      <c r="K9" s="10"/>
      <c r="L9" s="10"/>
      <c r="M9" s="10"/>
      <c r="N9" s="10"/>
      <c r="O9" s="10"/>
    </row>
    <row r="10" spans="1:15" x14ac:dyDescent="0.75">
      <c r="A10" s="20"/>
      <c r="B10" s="21" t="str">
        <f>Chemo!B8</f>
        <v>relatedDiagnosis</v>
      </c>
      <c r="C10" s="25" t="s">
        <v>1114</v>
      </c>
      <c r="E10" s="21" t="str">
        <f>CONCATENATE("* ",B10," -&gt; ##34#",C10,"##34#")</f>
        <v>* relatedDiagnosis -&gt; ##34#.reasonReference##34#</v>
      </c>
      <c r="G10" s="19"/>
      <c r="H10" s="10"/>
      <c r="I10" s="10"/>
      <c r="J10" s="10"/>
      <c r="K10" s="10"/>
      <c r="L10" s="10"/>
      <c r="M10" s="10"/>
      <c r="N10" s="10"/>
      <c r="O10" s="10"/>
    </row>
    <row r="11" spans="1:15" x14ac:dyDescent="0.75">
      <c r="A11" s="20"/>
      <c r="B11" s="21" t="str">
        <f>Chemo!B9</f>
        <v>startDate</v>
      </c>
      <c r="C11" s="25" t="s">
        <v>1115</v>
      </c>
      <c r="E11" s="21" t="str">
        <f t="shared" ref="E11:E42" si="0">CONCATENATE("* ",B11," -&gt; ##34#",C11,"##34#")</f>
        <v>* startDate -&gt; ##34#.effectivePeriod.start##34#</v>
      </c>
      <c r="G11" s="19"/>
      <c r="H11" s="10"/>
      <c r="I11" s="10"/>
      <c r="J11" s="10"/>
      <c r="K11" s="10"/>
      <c r="L11" s="10"/>
      <c r="M11" s="10"/>
      <c r="N11" s="10"/>
      <c r="O11" s="10"/>
    </row>
    <row r="12" spans="1:15" x14ac:dyDescent="0.75">
      <c r="A12" s="20"/>
      <c r="B12" s="21" t="str">
        <f>Chemo!B10</f>
        <v>endDate</v>
      </c>
      <c r="C12" s="25" t="s">
        <v>1116</v>
      </c>
      <c r="E12" s="21" t="str">
        <f t="shared" si="0"/>
        <v>* endDate -&gt; ##34#.effectivePeriod.end##34#</v>
      </c>
      <c r="G12" s="19"/>
      <c r="H12" s="10"/>
      <c r="I12" s="10"/>
      <c r="J12" s="10"/>
      <c r="K12" s="10"/>
      <c r="L12" s="10"/>
      <c r="M12" s="10"/>
      <c r="N12" s="10"/>
      <c r="O12" s="10"/>
    </row>
    <row r="13" spans="1:15" ht="29.5" x14ac:dyDescent="0.75">
      <c r="A13" s="20"/>
      <c r="B13" s="21" t="str">
        <f>Chemo!B11</f>
        <v>istitutionOfTreatment</v>
      </c>
      <c r="C13" s="25" t="s">
        <v>1117</v>
      </c>
      <c r="E13" s="21" t="str">
        <f t="shared" si="0"/>
        <v>* istitutionOfTreatment -&gt; ##34#.extension(http://hl7.eu/fhir/ig/pcsp/StructureDefinition/ActLocation-eu-pcsp).conformsTo(http://hl7.eu/fhir/ig/pcsp/StructureDefinition/Location-eu-pcsp)##34#</v>
      </c>
      <c r="G13" s="19"/>
      <c r="H13" s="10"/>
      <c r="I13" s="10"/>
      <c r="J13" s="10"/>
      <c r="K13" s="10"/>
      <c r="L13" s="10"/>
      <c r="M13" s="10"/>
      <c r="N13" s="10"/>
      <c r="O13" s="10"/>
    </row>
    <row r="14" spans="1:15" x14ac:dyDescent="0.75">
      <c r="A14" s="20"/>
      <c r="B14" s="21" t="str">
        <f>Chemo!B12</f>
        <v>istitutionOfTreatment.description</v>
      </c>
      <c r="C14" s="25" t="s">
        <v>1118</v>
      </c>
      <c r="E14" s="21" t="str">
        <f t="shared" si="0"/>
        <v>* istitutionOfTreatment.description -&gt; ##34#Location.description##34#</v>
      </c>
      <c r="G14" s="19"/>
      <c r="H14" s="10"/>
      <c r="I14" s="10"/>
      <c r="J14" s="10"/>
      <c r="K14" s="10"/>
      <c r="L14" s="10"/>
      <c r="M14" s="10"/>
      <c r="N14" s="10"/>
      <c r="O14" s="10"/>
    </row>
    <row r="15" spans="1:15" x14ac:dyDescent="0.75">
      <c r="A15" s="20"/>
      <c r="B15" s="21" t="str">
        <f>Chemo!B13</f>
        <v>istitutionOfTreatment.name</v>
      </c>
      <c r="C15" s="25" t="s">
        <v>1119</v>
      </c>
      <c r="E15" s="21" t="str">
        <f t="shared" si="0"/>
        <v>* istitutionOfTreatment.name -&gt; ##34#Location.name##34#</v>
      </c>
      <c r="G15" s="19"/>
      <c r="H15" s="10"/>
      <c r="I15" s="10"/>
      <c r="J15" s="10"/>
      <c r="K15" s="10"/>
      <c r="L15" s="10"/>
      <c r="M15" s="10"/>
      <c r="N15" s="10"/>
      <c r="O15" s="10"/>
    </row>
    <row r="16" spans="1:15" x14ac:dyDescent="0.75">
      <c r="A16" s="20"/>
      <c r="B16" s="21" t="str">
        <f>Chemo!B14</f>
        <v>istitutionOfTreatment.address</v>
      </c>
      <c r="C16" s="25" t="s">
        <v>1120</v>
      </c>
      <c r="E16" s="21" t="str">
        <f t="shared" si="0"/>
        <v>* istitutionOfTreatment.address -&gt; ##34#Location.address.city##34#</v>
      </c>
      <c r="G16" s="19"/>
      <c r="H16" s="10"/>
      <c r="I16" s="10"/>
      <c r="J16" s="10"/>
      <c r="K16" s="10"/>
      <c r="L16" s="10"/>
      <c r="M16" s="10"/>
      <c r="N16" s="10"/>
      <c r="O16" s="10"/>
    </row>
    <row r="17" spans="1:15" x14ac:dyDescent="0.75">
      <c r="A17" s="20"/>
      <c r="B17" s="21" t="str">
        <f>Chemo!B15</f>
        <v>istitutionOfTreatment.address.name</v>
      </c>
      <c r="C17" s="25"/>
      <c r="E17" s="21" t="str">
        <f t="shared" si="0"/>
        <v>* istitutionOfTreatment.address.name -&gt; ##34###34#</v>
      </c>
      <c r="G17" s="19"/>
      <c r="H17" s="10"/>
      <c r="I17" s="10"/>
      <c r="J17" s="10"/>
      <c r="K17" s="10"/>
      <c r="L17" s="10"/>
      <c r="M17" s="10"/>
      <c r="N17" s="10"/>
      <c r="O17" s="10"/>
    </row>
    <row r="18" spans="1:15" ht="29.5" x14ac:dyDescent="0.75">
      <c r="A18" s="20"/>
      <c r="B18" s="21" t="str">
        <f>Chemo!B16</f>
        <v>istitutionOfTreatment.address.country</v>
      </c>
      <c r="C18" s="21" t="s">
        <v>1121</v>
      </c>
      <c r="E18" s="21" t="str">
        <f t="shared" si="0"/>
        <v>* istitutionOfTreatment.address.country -&gt; ##34#Location.address.country##34#</v>
      </c>
      <c r="G18" s="19"/>
      <c r="H18" s="10"/>
      <c r="I18" s="10"/>
      <c r="J18" s="10"/>
      <c r="K18" s="10"/>
      <c r="L18" s="10"/>
      <c r="M18" s="10"/>
      <c r="N18" s="10"/>
      <c r="O18" s="10"/>
    </row>
    <row r="19" spans="1:15" x14ac:dyDescent="0.75">
      <c r="A19" s="20"/>
      <c r="B19" s="21" t="str">
        <f>Chemo!B17</f>
        <v>productAdministration</v>
      </c>
      <c r="C19" s="21" t="s">
        <v>1122</v>
      </c>
      <c r="E19" s="21" t="str">
        <f t="shared" si="0"/>
        <v>* productAdministration -&gt; ##34#.medication[x]##34#</v>
      </c>
      <c r="G19" s="19"/>
    </row>
    <row r="20" spans="1:15" x14ac:dyDescent="0.75">
      <c r="A20" s="20"/>
      <c r="B20" s="21" t="str">
        <f>Chemo!B18</f>
        <v>productAdministration.agent</v>
      </c>
      <c r="C20" s="21" t="s">
        <v>1123</v>
      </c>
      <c r="E20" s="21" t="str">
        <f t="shared" si="0"/>
        <v>* productAdministration.agent -&gt; ##34#.medicationCodeableConcept##34#</v>
      </c>
      <c r="G20" s="19"/>
    </row>
    <row r="21" spans="1:15" x14ac:dyDescent="0.75">
      <c r="A21" s="20"/>
      <c r="B21" s="21" t="str">
        <f>Chemo!B19</f>
        <v>productAdministration.dose</v>
      </c>
      <c r="C21" s="21" t="s">
        <v>1124</v>
      </c>
      <c r="E21" s="21" t="str">
        <f t="shared" si="0"/>
        <v>* productAdministration.dose -&gt; ##34#.dosage.dose##34#</v>
      </c>
      <c r="G21" s="19"/>
    </row>
    <row r="22" spans="1:15" ht="59" x14ac:dyDescent="0.75">
      <c r="A22" s="20"/>
      <c r="B22" s="21" t="str">
        <f>Chemo!B20</f>
        <v>productAdministration.cumulativeDose</v>
      </c>
      <c r="C22" s="21" t="s">
        <v>1125</v>
      </c>
      <c r="E22" s="21" t="str">
        <f t="shared" si="0"/>
        <v>* productAdministration.cumulativeDose -&gt; ##34#.extension(http://hl7.eu/fhir/ig/pcsp/StructureDefinition/ResourceRelatedInfo-eu-pcsp).conformsTo(http://hl7.eu/fhir/ig/pcsp/StructureDefinition/Observation-cumulativeDoseChemo-eu-pcsp)##34#</v>
      </c>
      <c r="G22" s="19"/>
    </row>
    <row r="23" spans="1:15" ht="44.25" x14ac:dyDescent="0.75">
      <c r="A23" s="20"/>
      <c r="B23" s="21" t="str">
        <f>Chemo!B21</f>
        <v>productAdministration.cumulativeDose.notAvailable</v>
      </c>
      <c r="C23" s="21" t="s">
        <v>1126</v>
      </c>
      <c r="E23" s="21" t="str">
        <f t="shared" si="0"/>
        <v>* productAdministration.cumulativeDose.notAvailable -&gt; ##34#.valueCodeableConcept = http://terminology.hl7.org/CodeSystem/data-absent-reason#unknown##34#</v>
      </c>
      <c r="G23" s="19"/>
    </row>
    <row r="24" spans="1:15" ht="29.5" x14ac:dyDescent="0.75">
      <c r="A24" s="20"/>
      <c r="B24" s="21" t="str">
        <f>Chemo!B21</f>
        <v>productAdministration.cumulativeDose.notAvailable</v>
      </c>
      <c r="C24" s="21" t="s">
        <v>1127</v>
      </c>
      <c r="E24" s="21" t="str">
        <f t="shared" si="0"/>
        <v>* productAdministration.cumulativeDose.notAvailable -&gt; ##34#.dataAbsentReason##34#</v>
      </c>
      <c r="G24" s="19"/>
    </row>
    <row r="25" spans="1:15" ht="29.5" x14ac:dyDescent="0.75">
      <c r="A25" s="20"/>
      <c r="B25" s="21" t="str">
        <f>Chemo!B22</f>
        <v>productAdministration.cumulativeDose.measureType</v>
      </c>
      <c r="C25" s="21" t="s">
        <v>1128</v>
      </c>
      <c r="E25" s="21" t="str">
        <f t="shared" si="0"/>
        <v>* productAdministration.cumulativeDose.measureType -&gt; ##34#.method##34#</v>
      </c>
      <c r="G25" s="19"/>
    </row>
    <row r="26" spans="1:15" ht="29.5" x14ac:dyDescent="0.75">
      <c r="A26" s="20"/>
      <c r="B26" s="21" t="str">
        <f>Chemo!B23</f>
        <v>productAdministration.cumulativeDose.completionStatus</v>
      </c>
      <c r="C26" s="21" t="s">
        <v>1129</v>
      </c>
      <c r="E26" s="21" t="str">
        <f t="shared" si="0"/>
        <v>* productAdministration.cumulativeDose.completionStatus -&gt; ##34#.status = #preliminary##34#</v>
      </c>
      <c r="G26" s="19"/>
    </row>
    <row r="27" spans="1:15" ht="29.5" x14ac:dyDescent="0.75">
      <c r="A27" s="20"/>
      <c r="B27" s="21" t="str">
        <f>Chemo!B24</f>
        <v>productAdministration.cumulativeDose.statusReason</v>
      </c>
      <c r="C27" s="21" t="s">
        <v>1130</v>
      </c>
      <c r="E27" s="21" t="str">
        <f t="shared" si="0"/>
        <v>* productAdministration.cumulativeDose.statusReason -&gt; ##34#.extension('http://hl7.org/fhir/StructureDefinition/event-statusReason')##34#</v>
      </c>
      <c r="G27" s="19"/>
    </row>
    <row r="28" spans="1:15" ht="29.5" x14ac:dyDescent="0.75">
      <c r="A28" s="20"/>
      <c r="B28" s="21" t="str">
        <f>Chemo!B25</f>
        <v>productAdministration.cumulativeDose.value</v>
      </c>
      <c r="C28" s="21" t="s">
        <v>1131</v>
      </c>
      <c r="E28" s="21" t="str">
        <f t="shared" si="0"/>
        <v>* productAdministration.cumulativeDose.value -&gt; ##34#.valueQuantity.value##34#</v>
      </c>
      <c r="G28" s="19"/>
    </row>
    <row r="29" spans="1:15" ht="29.5" x14ac:dyDescent="0.75">
      <c r="A29" s="20"/>
      <c r="B29" s="21" t="str">
        <f>Chemo!B26</f>
        <v>productAdministration.cumulativeDose.unit</v>
      </c>
      <c r="C29" s="21" t="s">
        <v>1132</v>
      </c>
      <c r="E29" s="21" t="str">
        <f t="shared" si="0"/>
        <v>* productAdministration.cumulativeDose.unit -&gt; ##34#.valueQuantity.unit (human readeable)##34#</v>
      </c>
      <c r="G29" s="19"/>
    </row>
    <row r="30" spans="1:15" ht="29.5" x14ac:dyDescent="0.75">
      <c r="A30" s="20"/>
      <c r="B30" s="21" t="str">
        <f>Chemo!B26</f>
        <v>productAdministration.cumulativeDose.unit</v>
      </c>
      <c r="C30" s="21" t="s">
        <v>1133</v>
      </c>
      <c r="E30" s="21" t="str">
        <f t="shared" si="0"/>
        <v>* productAdministration.cumulativeDose.unit -&gt; ##34#.valueQuantity.code (code)##34#</v>
      </c>
      <c r="G30" s="19"/>
    </row>
    <row r="31" spans="1:15" ht="59" x14ac:dyDescent="0.75">
      <c r="A31" s="20"/>
      <c r="B31" s="21" t="str">
        <f>Chemo!B27</f>
        <v>corticosteroids</v>
      </c>
      <c r="C31" s="21" t="s">
        <v>1134</v>
      </c>
      <c r="E31" s="21" t="str">
        <f t="shared" si="0"/>
        <v>* corticosteroids -&gt; ##34#MedicationStatement.where(medicationCodeableConcept = 'http://www.whocc.no/atc|H02' and dosage.timing.repeat.boundsDuration.where( value='4' and code = 'w' and comparator ='&gt;' )##34#</v>
      </c>
    </row>
    <row r="32" spans="1:15" ht="29.5" x14ac:dyDescent="0.75">
      <c r="A32" s="20"/>
      <c r="B32" s="21" t="str">
        <f>Chemo!B28</f>
        <v>intrathecalInjections</v>
      </c>
      <c r="C32" s="21" t="s">
        <v>1135</v>
      </c>
      <c r="E32" s="21" t="str">
        <f t="shared" si="0"/>
        <v>* intrathecalInjections -&gt; ##34#MedicationStatement.where(dosage.route = https://standardterms.edqm.eu|20042000)##34#</v>
      </c>
    </row>
    <row r="33" spans="1:5" x14ac:dyDescent="0.75">
      <c r="A33" s="20"/>
      <c r="B33" s="21" t="str">
        <f>Chemo!B29</f>
        <v>intrathecalInjections.status</v>
      </c>
      <c r="C33" s="21" t="s">
        <v>1136</v>
      </c>
      <c r="E33" s="21" t="str">
        <f t="shared" si="0"/>
        <v>* intrathecalInjections.status -&gt; ##34#.exists()##34#</v>
      </c>
    </row>
    <row r="34" spans="1:5" x14ac:dyDescent="0.75">
      <c r="A34" s="22"/>
      <c r="B34" s="21" t="str">
        <f>Chemo!B30</f>
        <v>intrathecalInjections.number</v>
      </c>
      <c r="C34" s="21" t="s">
        <v>1137</v>
      </c>
      <c r="E34" s="21" t="str">
        <f t="shared" si="0"/>
        <v>* intrathecalInjections.number -&gt; ##34#.dosage.timing.repeat.count##34#</v>
      </c>
    </row>
    <row r="35" spans="1:5" x14ac:dyDescent="0.75">
      <c r="B35" s="21" t="str">
        <f>Chemo!B30</f>
        <v>intrathecalInjections.number</v>
      </c>
      <c r="C35" s="25" t="s">
        <v>1138</v>
      </c>
      <c r="E35" s="21" t="str">
        <f t="shared" si="0"/>
        <v>* intrathecalInjections.number -&gt; ##34#.count()##34#</v>
      </c>
    </row>
    <row r="36" spans="1:5" ht="29.5" x14ac:dyDescent="0.75">
      <c r="B36" s="21" t="str">
        <f>Chemo!B31</f>
        <v>intrathecalInjections.productName</v>
      </c>
      <c r="C36" s="25" t="s">
        <v>1139</v>
      </c>
      <c r="E36" s="21" t="str">
        <f t="shared" si="0"/>
        <v>* intrathecalInjections.productName -&gt; ##34#.medicationCodeableConcept.text##34#</v>
      </c>
    </row>
    <row r="37" spans="1:5" x14ac:dyDescent="0.75">
      <c r="B37" s="21" t="str">
        <f>Chemo!B32</f>
        <v>otherTreatments</v>
      </c>
      <c r="C37" s="25" t="s">
        <v>1140</v>
      </c>
      <c r="E37" s="21" t="str">
        <f t="shared" si="0"/>
        <v>* otherTreatments -&gt; ##34#MedicationStatement##34#</v>
      </c>
    </row>
    <row r="38" spans="1:5" x14ac:dyDescent="0.75">
      <c r="B38" s="21" t="str">
        <f>Chemo!B33</f>
        <v>otherTreatments.productName</v>
      </c>
      <c r="C38" s="21" t="s">
        <v>1139</v>
      </c>
      <c r="E38" s="21" t="str">
        <f t="shared" si="0"/>
        <v>* otherTreatments.productName -&gt; ##34#.medicationCodeableConcept.text##34#</v>
      </c>
    </row>
    <row r="39" spans="1:5" x14ac:dyDescent="0.75">
      <c r="B39" s="21"/>
      <c r="C39" s="21"/>
      <c r="E39" s="21" t="str">
        <f t="shared" si="0"/>
        <v>*  -&gt; ##34###34#</v>
      </c>
    </row>
    <row r="40" spans="1:5" x14ac:dyDescent="0.75">
      <c r="B40" s="21"/>
      <c r="C40" s="21"/>
      <c r="E40" s="21" t="str">
        <f t="shared" si="0"/>
        <v>*  -&gt; ##34###34#</v>
      </c>
    </row>
    <row r="41" spans="1:5" x14ac:dyDescent="0.75">
      <c r="B41" s="21"/>
      <c r="C41" s="21"/>
      <c r="E41" s="21" t="str">
        <f t="shared" si="0"/>
        <v>*  -&gt; ##34###34#</v>
      </c>
    </row>
    <row r="42" spans="1:5" x14ac:dyDescent="0.75">
      <c r="B42" s="21"/>
      <c r="C42" s="21"/>
      <c r="E42" s="21" t="str">
        <f t="shared" si="0"/>
        <v>*  -&gt; ##34###34#</v>
      </c>
    </row>
    <row r="43" spans="1:5" x14ac:dyDescent="0.75">
      <c r="B43" s="21"/>
      <c r="C43" s="21"/>
      <c r="E43" s="21" t="str">
        <f t="shared" ref="E43:E58" si="1">CONCATENATE("* ",B43," -&gt; ##34#",C43,"##34#")</f>
        <v>*  -&gt; ##34###34#</v>
      </c>
    </row>
    <row r="44" spans="1:5" x14ac:dyDescent="0.75">
      <c r="B44" s="21"/>
      <c r="C44" s="21"/>
      <c r="E44" s="21" t="str">
        <f t="shared" si="1"/>
        <v>*  -&gt; ##34###34#</v>
      </c>
    </row>
    <row r="45" spans="1:5" x14ac:dyDescent="0.75">
      <c r="B45" s="21"/>
      <c r="C45" s="21"/>
      <c r="E45" s="21" t="str">
        <f t="shared" si="1"/>
        <v>*  -&gt; ##34###34#</v>
      </c>
    </row>
    <row r="46" spans="1:5" x14ac:dyDescent="0.75">
      <c r="B46" s="21"/>
      <c r="C46" s="21"/>
      <c r="E46" s="21" t="str">
        <f t="shared" si="1"/>
        <v>*  -&gt; ##34###34#</v>
      </c>
    </row>
    <row r="47" spans="1:5" x14ac:dyDescent="0.75">
      <c r="B47" s="21"/>
      <c r="C47" s="21"/>
      <c r="E47" s="21" t="str">
        <f t="shared" si="1"/>
        <v>*  -&gt; ##34###34#</v>
      </c>
    </row>
    <row r="48" spans="1:5" x14ac:dyDescent="0.75">
      <c r="B48" s="21"/>
      <c r="C48" s="21"/>
      <c r="E48" s="21" t="str">
        <f t="shared" si="1"/>
        <v>*  -&gt; ##34###34#</v>
      </c>
    </row>
    <row r="49" spans="2:5" x14ac:dyDescent="0.75">
      <c r="B49" s="21"/>
      <c r="C49" s="21"/>
      <c r="E49" s="21" t="str">
        <f t="shared" si="1"/>
        <v>*  -&gt; ##34###34#</v>
      </c>
    </row>
    <row r="50" spans="2:5" x14ac:dyDescent="0.75">
      <c r="B50" s="21"/>
      <c r="C50" s="21"/>
      <c r="E50" s="21" t="str">
        <f t="shared" si="1"/>
        <v>*  -&gt; ##34###34#</v>
      </c>
    </row>
    <row r="51" spans="2:5" x14ac:dyDescent="0.75">
      <c r="B51" s="21"/>
      <c r="C51" s="21"/>
      <c r="E51" s="21" t="str">
        <f t="shared" si="1"/>
        <v>*  -&gt; ##34###34#</v>
      </c>
    </row>
    <row r="52" spans="2:5" x14ac:dyDescent="0.75">
      <c r="B52" s="21"/>
      <c r="C52" s="21"/>
      <c r="E52" s="21" t="str">
        <f t="shared" si="1"/>
        <v>*  -&gt; ##34###34#</v>
      </c>
    </row>
    <row r="53" spans="2:5" x14ac:dyDescent="0.75">
      <c r="B53" s="21"/>
      <c r="C53" s="21"/>
      <c r="E53" s="21" t="str">
        <f t="shared" si="1"/>
        <v>*  -&gt; ##34###34#</v>
      </c>
    </row>
    <row r="54" spans="2:5" x14ac:dyDescent="0.75">
      <c r="B54" s="21"/>
      <c r="C54" s="21"/>
      <c r="E54" s="21" t="str">
        <f t="shared" si="1"/>
        <v>*  -&gt; ##34###34#</v>
      </c>
    </row>
    <row r="55" spans="2:5" x14ac:dyDescent="0.75">
      <c r="E55" s="21" t="str">
        <f t="shared" si="1"/>
        <v>*  -&gt; ##34###34#</v>
      </c>
    </row>
    <row r="56" spans="2:5" x14ac:dyDescent="0.75">
      <c r="E56" s="21" t="str">
        <f t="shared" si="1"/>
        <v>*  -&gt; ##34###34#</v>
      </c>
    </row>
    <row r="57" spans="2:5" x14ac:dyDescent="0.75">
      <c r="E57" s="21" t="str">
        <f t="shared" si="1"/>
        <v>*  -&gt; ##34###34#</v>
      </c>
    </row>
    <row r="58" spans="2:5" x14ac:dyDescent="0.75">
      <c r="E58" s="21" t="str">
        <f t="shared" si="1"/>
        <v>*  -&gt; ##34###34#</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F60CC7-11AB-4F48-9720-EE3E0C65A750}">
  <sheetPr codeName="Foglio13">
    <tabColor theme="9" tint="0.39997558519241921"/>
  </sheetPr>
  <dimension ref="C1:G80"/>
  <sheetViews>
    <sheetView tabSelected="1" workbookViewId="0">
      <selection activeCell="C81" sqref="C81:C83"/>
    </sheetView>
  </sheetViews>
  <sheetFormatPr defaultRowHeight="14.75" x14ac:dyDescent="0.75"/>
  <cols>
    <col min="1" max="2" width="8.7265625" style="18"/>
    <col min="3" max="3" width="108.2265625" style="21" customWidth="1"/>
    <col min="4" max="6" width="8.7265625" style="18"/>
    <col min="7" max="7" width="33.26953125" style="18" customWidth="1"/>
    <col min="8" max="16384" width="8.7265625" style="18"/>
  </cols>
  <sheetData>
    <row r="1" spans="3:7" ht="15.5" thickBot="1" x14ac:dyDescent="0.9">
      <c r="C1" s="40" t="str">
        <f>Chemo!I1</f>
        <v>// -------------------------------------------------------------------------------</v>
      </c>
    </row>
    <row r="2" spans="3:7" ht="16.75" thickBot="1" x14ac:dyDescent="0.9">
      <c r="C2" s="41" t="str">
        <f>Chemo!I2</f>
        <v>//  Logical Model</v>
      </c>
      <c r="G2" s="116" t="s">
        <v>1267</v>
      </c>
    </row>
    <row r="3" spans="3:7" x14ac:dyDescent="0.75">
      <c r="C3" s="41" t="str">
        <f>Chemo!I3</f>
        <v>// -------------------------------------------------------------------------------</v>
      </c>
    </row>
    <row r="4" spans="3:7" x14ac:dyDescent="0.75">
      <c r="C4" s="33" t="str">
        <f>Chemo!I4</f>
        <v>Logical: ChemotherapyPcsp</v>
      </c>
    </row>
    <row r="5" spans="3:7" x14ac:dyDescent="0.75">
      <c r="C5" s="33" t="str">
        <f>Chemo!I5</f>
        <v>Id: Chemotherapy</v>
      </c>
    </row>
    <row r="6" spans="3:7" x14ac:dyDescent="0.75">
      <c r="C6" s="33" t="str">
        <f>Chemo!I6</f>
        <v>Title: ##34#Chemotherapy##34#</v>
      </c>
    </row>
    <row r="7" spans="3:7" ht="29.5" x14ac:dyDescent="0.75">
      <c r="C7" s="33" t="str">
        <f>Chemo!I7</f>
        <v>Description:  ##334#Chemotherapy 
Maturity Level: 2 - Ready for Review##334#</v>
      </c>
    </row>
    <row r="8" spans="3:7" x14ac:dyDescent="0.75">
      <c r="C8" s="21" t="str">
        <f>IF(Chemo!I8="*  ..  ##34###34# ##334###334#","//--- END",Chemo!I8)</f>
        <v>* relatedDiagnosis 1..1 Identifier ##34#Related Diagnosis##34# ##334#Identifier of the diagnosis for which this chemotherapy is performed##334#</v>
      </c>
    </row>
    <row r="9" spans="3:7" ht="29.5" x14ac:dyDescent="0.75">
      <c r="C9" s="21" t="str">
        <f>IF(Chemo!I9="*  ..  ##34###34# ##334###334#","//--- END",Chemo!I9)</f>
        <v>* startDate 1..1 dateTime ##34#Start date##34# ##334#Please report the date of the first chemotherapy given. If the date is unkown or partially missed insert the year at the best of your knowledge.##334#</v>
      </c>
    </row>
    <row r="10" spans="3:7" ht="29.5" x14ac:dyDescent="0.75">
      <c r="C10" s="21" t="str">
        <f>IF(Chemo!I10="*  ..  ##34###34# ##334###334#","//--- END",Chemo!I10)</f>
        <v>* endDate 1..1 dateTime ##34#End date##34# ##334#Please report the date of the last chemotherapy given. If the date is unkown or partially missed insert the year at the best of your knowledge.##334#</v>
      </c>
    </row>
    <row r="11" spans="3:7" ht="29.5" x14ac:dyDescent="0.75">
      <c r="C11" s="21" t="str">
        <f>IF(Chemo!I11="*  ..  ##34###34# ##334###334#","//--- END",Chemo!I11)</f>
        <v>* istitutionOfTreatment 0..1 BackboneElement ##34#Institution of treatment##34# ##334#Please indicate the institution in which all or most of the chemotherapeutic treatment was given##334#</v>
      </c>
    </row>
    <row r="12" spans="3:7" ht="29.5" x14ac:dyDescent="0.75">
      <c r="C12" s="21" t="str">
        <f>IF(Chemo!I12="*  ..  ##34###34# ##334###334#","//--- END",Chemo!I12)</f>
        <v>* istitutionOfTreatment.description 0..1 string ##34#Institution description##34# ##334#Please provide name, city and countryof the institution##334#</v>
      </c>
    </row>
    <row r="13" spans="3:7" ht="29.5" x14ac:dyDescent="0.75">
      <c r="C13" s="21" t="str">
        <f>IF(Chemo!I13="*  ..  ##34###34# ##334###334#","//--- END",Chemo!I13)</f>
        <v>* istitutionOfTreatment.name 0..1 string ##34#Institution name##34# ##334#Institution name##334#</v>
      </c>
    </row>
    <row r="14" spans="3:7" ht="29.5" x14ac:dyDescent="0.75">
      <c r="C14" s="21" t="str">
        <f>IF(Chemo!I14="*  ..  ##34###34# ##334###334#","//--- END",Chemo!I14)</f>
        <v>* istitutionOfTreatment.address 0..1 BackboneElement ##34#Institution address##34# ##334#Institution address##334#</v>
      </c>
    </row>
    <row r="15" spans="3:7" ht="29.5" x14ac:dyDescent="0.75">
      <c r="C15" s="21" t="str">
        <f>IF(Chemo!I15="*  ..  ##34###34# ##334###334#","//--- END",Chemo!I15)</f>
        <v>* istitutionOfTreatment.address.name 0..1 string ##34#Institution city##34# ##334#Institution city##334#</v>
      </c>
    </row>
    <row r="16" spans="3:7" ht="29.5" x14ac:dyDescent="0.75">
      <c r="C16" s="21" t="str">
        <f>IF(Chemo!I16="*  ..  ##34###34# ##334###334#","//--- END",Chemo!I16)</f>
        <v>* istitutionOfTreatment.address.country 0..1 string ##34#Institution country##34# ##334#Institution country##334#</v>
      </c>
    </row>
    <row r="17" spans="3:3" ht="29.5" x14ac:dyDescent="0.75">
      <c r="C17" s="21" t="str">
        <f>IF(Chemo!I17="*  ..  ##34###34# ##334###334#","//--- END",Chemo!I17)</f>
        <v>* productAdministration 1..20 BackboneElement ##34#Product(s) administartion data##34# ##334#Information about the product(s) administered##334#</v>
      </c>
    </row>
    <row r="18" spans="3:3" ht="29.5" x14ac:dyDescent="0.75">
      <c r="C18" s="21" t="str">
        <f>IF(Chemo!I18="*  ..  ##34###34# ##334###334#","//--- END",Chemo!I18)</f>
        <v>* productAdministration.agent 1..1 CodeableConcept ##34#Antineoplastic and immunostimulating agents##34# ##334#In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…)##334#</v>
      </c>
    </row>
    <row r="19" spans="3:3" ht="29.5" x14ac:dyDescent="0.75">
      <c r="C19" s="21" t="str">
        <f>IF(Chemo!I19="*  ..  ##34###34# ##334###334#","//--- END",Chemo!I19)</f>
        <v>* productAdministration.dose 0..1 Quantity ##34#Dose (NOT in PCSP DB)##34# ##334#Dose received of each drug for this administration##334#</v>
      </c>
    </row>
    <row r="20" spans="3:3" ht="29.5" x14ac:dyDescent="0.75">
      <c r="C20" s="21" t="str">
        <f>IF(Chemo!I20="*  ..  ##34###34# ##334###334#","//--- END",Chemo!I20)</f>
        <v>* productAdministration.cumulativeDose 0..1 BackboneElement ##34#Cumulative Dose##34# ##334#Report the total cumulative dose received of each drug. ##334#</v>
      </c>
    </row>
    <row r="21" spans="3:3" ht="29.5" x14ac:dyDescent="0.75">
      <c r="C21" s="21" t="str">
        <f>IF(Chemo!I21="*  ..  ##34###34# ##334###334#","//--- END",Chemo!I21)</f>
        <v>* productAdministration.cumulativeDose.notAvailable 0..1 CodeableConcept ##34#Not calculated or not known dose##34# ##334#Flag indicating if the dose was not calculated or it was not known##334#</v>
      </c>
    </row>
    <row r="22" spans="3:3" ht="29.5" x14ac:dyDescent="0.75">
      <c r="C22" s="21" t="str">
        <f>IF(Chemo!I22="*  ..  ##34###34# ##334###334#","//--- END",Chemo!I22)</f>
        <v>* productAdministration.cumulativeDose.measureType 0..1 CodeableConcept ##34#How the dose was determined (estimation or calculation)##34# ##334#Specify if the cumulative dose reported has been all calculated on real data or  estimated based on the expected dose prescribed by the protocol.  If some part of the calculation was based on estimated values, the whole field should be 'estimated'##334#</v>
      </c>
    </row>
    <row r="23" spans="3:3" ht="29.5" x14ac:dyDescent="0.75">
      <c r="C23" s="21" t="str">
        <f>IF(Chemo!I23="*  ..  ##34###34# ##334###334#","//--- END",Chemo!I23)</f>
        <v>* productAdministration.cumulativeDose.completionStatus 0..1 CodeableConcept ##34#The reported doses are incomplete (either under- or over-estimated)##34# ##334#Check in case of incomplete doses##334#</v>
      </c>
    </row>
    <row r="24" spans="3:3" ht="29.5" x14ac:dyDescent="0.75">
      <c r="C24" s="21" t="str">
        <f>IF(Chemo!I24="*  ..  ##34###34# ##334###334#","//--- END",Chemo!I24)</f>
        <v>* productAdministration.cumulativeDose.statusReason 0..1 string ##34#Specify reasons why##34# ##334#Specify reasons of incomplete estimated doses##334#</v>
      </c>
    </row>
    <row r="25" spans="3:3" ht="29.5" x14ac:dyDescent="0.75">
      <c r="C25" s="21" t="str">
        <f>IF(Chemo!I25="*  ..  ##34###34# ##334###334#","//--- END",Chemo!I25)</f>
        <v>* productAdministration.cumulativeDose.value 0..1 decimal ##34#Total cumulative dose##34# ##334#Report the total cumulative dose received of each drug.##334#</v>
      </c>
    </row>
    <row r="26" spans="3:3" ht="29.5" x14ac:dyDescent="0.75">
      <c r="C26" s="21" t="str">
        <f>IF(Chemo!I26="*  ..  ##34###34# ##334###334#","//--- END",Chemo!I26)</f>
        <v>* productAdministration.cumulativeDose.unit 0..1 CodeableConcept ##34#Measure unit##34# ##334#If the dose was calculated, please report the measure unit of the calculation
1 =&gt; mg/m2
2 =&gt; gr/m2
3 =&gt; UI/m2
4 =&gt; NK
5 =&gt; NC (not calculated)##334#</v>
      </c>
    </row>
    <row r="27" spans="3:3" ht="29.5" x14ac:dyDescent="0.75">
      <c r="C27" s="21" t="str">
        <f>IF(Chemo!I27="*  ..  ##34###34# ##334###334#","//--- END",Chemo!I27)</f>
        <v>* corticosteroids 0..1 CodeableConcept ##34#Prolonged corticosteroids as anti-cancer treatment at least 4 weeks continuously##34# ##334#Report 'yes' if the survivor was treated with steroids for at least 4 weeks continuously
1 =&gt; Yes
2 =&gt; No
-9922 =&gt; NK##334#</v>
      </c>
    </row>
    <row r="28" spans="3:3" ht="73.75" x14ac:dyDescent="0.75">
      <c r="C28" s="21" t="str">
        <f>IF(Chemo!I28="*  ..  ##34###34# ##334###334#","//--- END",Chemo!I28)</f>
        <v>* intrathecalInjections 0..1 BackboneElement ##34#Intrathecal injections##34# ##334#Intrathecal injections##334#</v>
      </c>
    </row>
    <row r="29" spans="3:3" ht="73.75" x14ac:dyDescent="0.75">
      <c r="C29" s="21" t="str">
        <f>IF(Chemo!I29="*  ..  ##34###34# ##334###334#","//--- END",Chemo!I29)</f>
        <v>* intrathecalInjections.status 0..1 CodeableConcept ##34#Did the survivor receive therapeutic intrathecal injections ?##34# ##334#Please state if the survivor received any therapeutic intrathecal injections
1 =&gt; Yes
2 =&gt; No
-9922 =&gt; NK##334#</v>
      </c>
    </row>
    <row r="30" spans="3:3" ht="73.75" x14ac:dyDescent="0.75">
      <c r="C30" s="21" t="str">
        <f>IF(Chemo!I30="*  ..  ##34###34# ##334###334#","//--- END",Chemo!I30)</f>
        <v>* intrathecalInjections.number 0..1 integer ##34#Total number##34# ##334#Report the total number of injections##334#</v>
      </c>
    </row>
    <row r="31" spans="3:3" ht="29.5" x14ac:dyDescent="0.75">
      <c r="C31" s="21" t="str">
        <f>IF(Chemo!I31="*  ..  ##34###34# ##334###334#","//--- END",Chemo!I31)</f>
        <v>* intrathecalInjections.productName 0..* string ##34#Drug(s) administered##34# ##334#Please report the names of drugs injected intrathecal##334#</v>
      </c>
    </row>
    <row r="32" spans="3:3" ht="29.5" x14ac:dyDescent="0.75">
      <c r="C32" s="21" t="str">
        <f>IF(Chemo!I32="*  ..  ##34###34# ##334###334#","//--- END",Chemo!I32)</f>
        <v>* otherTreatments 0..1 BackboneElement ##34#Other chemothrapeutic treatments##34# ##334#Report any other chemothrapeutic treatments that are not included in the ATC code##334#</v>
      </c>
    </row>
    <row r="33" spans="3:3" ht="29.5" x14ac:dyDescent="0.75">
      <c r="C33" s="21" t="str">
        <f>IF(Chemo!I33="*  ..  ##34###34# ##334###334#","//--- END",Chemo!I33)</f>
        <v>* otherTreatments.productName 1..* string ##34#Drugs name##34# ##334#If yes, describe treatments##334#</v>
      </c>
    </row>
    <row r="34" spans="3:3" ht="29.5" x14ac:dyDescent="0.75">
      <c r="C34" s="21" t="str">
        <f>IF(Chemo!I34="*  ..  ##34###34# ##334###334#","//--- END",Chemo!I34)</f>
        <v>//--- END</v>
      </c>
    </row>
    <row r="35" spans="3:3" ht="29.5" x14ac:dyDescent="0.75">
      <c r="C35" s="21" t="str">
        <f>IF(Chemo!I35="*  ..  ##34###34# ##334###334#","//--- END",Chemo!I35)</f>
        <v>//--- END</v>
      </c>
    </row>
    <row r="36" spans="3:3" ht="29.5" x14ac:dyDescent="0.75">
      <c r="C36" s="21" t="str">
        <f>IF(Chemo!I36="*  ..  ##34###34# ##334###334#","//--- END",Chemo!I36)</f>
        <v>//--- END</v>
      </c>
    </row>
    <row r="39" spans="3:3" x14ac:dyDescent="0.75">
      <c r="C39" s="40" t="str">
        <f>'Chemo-Map'!E1</f>
        <v>// -------------------------------------------------------------------------------</v>
      </c>
    </row>
    <row r="40" spans="3:3" x14ac:dyDescent="0.75">
      <c r="C40" s="41" t="str">
        <f>'Chemo-Map'!E2</f>
        <v>//  Map to FHIR R4</v>
      </c>
    </row>
    <row r="41" spans="3:3" x14ac:dyDescent="0.75">
      <c r="C41" s="41" t="str">
        <f>'Chemo-Map'!E3</f>
        <v>// -------------------------------------------------------------------------------</v>
      </c>
    </row>
    <row r="42" spans="3:3" x14ac:dyDescent="0.75">
      <c r="C42" s="21" t="str">
        <f>'Chemo-Map'!E4</f>
        <v>Mapping: Chemo2Fhir</v>
      </c>
    </row>
    <row r="43" spans="3:3" x14ac:dyDescent="0.75">
      <c r="C43" s="21" t="str">
        <f>'Chemo-Map'!E5</f>
        <v>Id: fhir</v>
      </c>
    </row>
    <row r="44" spans="3:3" x14ac:dyDescent="0.75">
      <c r="C44" s="21" t="str">
        <f>'Chemo-Map'!E6</f>
        <v>Title: ##34#Chemotherapy model to PCSP HL7 FHIR R4 Profiles##34#</v>
      </c>
    </row>
    <row r="45" spans="3:3" x14ac:dyDescent="0.75">
      <c r="C45" s="21" t="str">
        <f>'Chemo-Map'!E7</f>
        <v>Source: Chemotherapy</v>
      </c>
    </row>
    <row r="46" spans="3:3" x14ac:dyDescent="0.75">
      <c r="C46" s="21" t="str">
        <f>'Chemo-Map'!E8</f>
        <v>Target: ##34#hl7.org/fhir/r4##34#</v>
      </c>
    </row>
    <row r="48" spans="3:3" ht="29.5" x14ac:dyDescent="0.75">
      <c r="C48" s="21" t="str">
        <f>IF('Chemo-Map'!E9="*  -&gt; ##34###34#","// --END",'Chemo-Map'!E9)</f>
        <v>* . -&gt; ##34#MedicationAdministration.conformsTo('http://hl7.eu/fhir/ig/pcsp/StructureDefinition/MedicationAdministration-eu-pcsp')##34#</v>
      </c>
    </row>
    <row r="49" spans="3:3" x14ac:dyDescent="0.75">
      <c r="C49" s="21" t="str">
        <f>IF('Chemo-Map'!E10="*  -&gt; ##34###34#","// --END",'Chemo-Map'!E10)</f>
        <v>* relatedDiagnosis -&gt; ##34#.reasonReference##34#</v>
      </c>
    </row>
    <row r="50" spans="3:3" x14ac:dyDescent="0.75">
      <c r="C50" s="21" t="str">
        <f>IF('Chemo-Map'!E11="*  -&gt; ##34###34#","// --END",'Chemo-Map'!E11)</f>
        <v>* startDate -&gt; ##34#.effectivePeriod.start##34#</v>
      </c>
    </row>
    <row r="51" spans="3:3" x14ac:dyDescent="0.75">
      <c r="C51" s="21" t="str">
        <f>IF('Chemo-Map'!E12="*  -&gt; ##34###34#","// --END",'Chemo-Map'!E12)</f>
        <v>* endDate -&gt; ##34#.effectivePeriod.end##34#</v>
      </c>
    </row>
    <row r="52" spans="3:3" ht="29.5" x14ac:dyDescent="0.75">
      <c r="C52" s="21" t="str">
        <f>IF('Chemo-Map'!E13="*  -&gt; ##34###34#","// --END",'Chemo-Map'!E13)</f>
        <v>* istitutionOfTreatment -&gt; ##34#.extension(http://hl7.eu/fhir/ig/pcsp/StructureDefinition/ActLocation-eu-pcsp).conformsTo(http://hl7.eu/fhir/ig/pcsp/StructureDefinition/Location-eu-pcsp)##34#</v>
      </c>
    </row>
    <row r="53" spans="3:3" x14ac:dyDescent="0.75">
      <c r="C53" s="21" t="str">
        <f>IF('Chemo-Map'!E14="*  -&gt; ##34###34#","// --END",'Chemo-Map'!E14)</f>
        <v>* istitutionOfTreatment.description -&gt; ##34#Location.description##34#</v>
      </c>
    </row>
    <row r="54" spans="3:3" x14ac:dyDescent="0.75">
      <c r="C54" s="21" t="str">
        <f>IF('Chemo-Map'!E15="*  -&gt; ##34###34#","// --END",'Chemo-Map'!E15)</f>
        <v>* istitutionOfTreatment.name -&gt; ##34#Location.name##34#</v>
      </c>
    </row>
    <row r="55" spans="3:3" x14ac:dyDescent="0.75">
      <c r="C55" s="21" t="str">
        <f>IF('Chemo-Map'!E16="*  -&gt; ##34###34#","// --END",'Chemo-Map'!E16)</f>
        <v>* istitutionOfTreatment.address -&gt; ##34#Location.address.city##34#</v>
      </c>
    </row>
    <row r="56" spans="3:3" x14ac:dyDescent="0.75">
      <c r="C56" s="21" t="str">
        <f>IF('Chemo-Map'!E17="*  -&gt; ##34###34#","// --END",'Chemo-Map'!E17)</f>
        <v>* istitutionOfTreatment.address.name -&gt; ##34###34#</v>
      </c>
    </row>
    <row r="57" spans="3:3" x14ac:dyDescent="0.75">
      <c r="C57" s="21" t="str">
        <f>IF('Chemo-Map'!E18="*  -&gt; ##34###34#","// --END",'Chemo-Map'!E18)</f>
        <v>* istitutionOfTreatment.address.country -&gt; ##34#Location.address.country##34#</v>
      </c>
    </row>
    <row r="58" spans="3:3" x14ac:dyDescent="0.75">
      <c r="C58" s="21" t="str">
        <f>IF('Chemo-Map'!E19="*  -&gt; ##34###34#","// --END",'Chemo-Map'!E19)</f>
        <v>* productAdministration -&gt; ##34#.medication[x]##34#</v>
      </c>
    </row>
    <row r="59" spans="3:3" x14ac:dyDescent="0.75">
      <c r="C59" s="21" t="str">
        <f>IF('Chemo-Map'!E20="*  -&gt; ##34###34#","// --END",'Chemo-Map'!E20)</f>
        <v>* productAdministration.agent -&gt; ##34#.medicationCodeableConcept##34#</v>
      </c>
    </row>
    <row r="60" spans="3:3" x14ac:dyDescent="0.75">
      <c r="C60" s="21" t="str">
        <f>IF('Chemo-Map'!E21="*  -&gt; ##34###34#","// --END",'Chemo-Map'!E21)</f>
        <v>* productAdministration.dose -&gt; ##34#.dosage.dose##34#</v>
      </c>
    </row>
    <row r="61" spans="3:3" ht="44.25" x14ac:dyDescent="0.75">
      <c r="C61" s="21" t="str">
        <f>IF('Chemo-Map'!E22="*  -&gt; ##34###34#","// --END",'Chemo-Map'!E22)</f>
        <v>* productAdministration.cumulativeDose -&gt; ##34#.extension(http://hl7.eu/fhir/ig/pcsp/StructureDefinition/ResourceRelatedInfo-eu-pcsp).conformsTo(http://hl7.eu/fhir/ig/pcsp/StructureDefinition/Observation-cumulativeDoseChemo-eu-pcsp)##34#</v>
      </c>
    </row>
    <row r="62" spans="3:3" ht="29.5" x14ac:dyDescent="0.75">
      <c r="C62" s="21" t="str">
        <f>IF('Chemo-Map'!E23="*  -&gt; ##34###34#","// --END",'Chemo-Map'!E23)</f>
        <v>* productAdministration.cumulativeDose.notAvailable -&gt; ##34#.valueCodeableConcept = http://terminology.hl7.org/CodeSystem/data-absent-reason#unknown##34#</v>
      </c>
    </row>
    <row r="63" spans="3:3" x14ac:dyDescent="0.75">
      <c r="C63" s="21" t="str">
        <f>IF('Chemo-Map'!E24="*  -&gt; ##34###34#","// --END",'Chemo-Map'!E24)</f>
        <v>* productAdministration.cumulativeDose.notAvailable -&gt; ##34#.dataAbsentReason##34#</v>
      </c>
    </row>
    <row r="64" spans="3:3" x14ac:dyDescent="0.75">
      <c r="C64" s="21" t="str">
        <f>IF('Chemo-Map'!E25="*  -&gt; ##34###34#","// --END",'Chemo-Map'!E25)</f>
        <v>* productAdministration.cumulativeDose.measureType -&gt; ##34#.method##34#</v>
      </c>
    </row>
    <row r="65" spans="3:3" x14ac:dyDescent="0.75">
      <c r="C65" s="21" t="str">
        <f>IF('Chemo-Map'!E26="*  -&gt; ##34###34#","// --END",'Chemo-Map'!E26)</f>
        <v>* productAdministration.cumulativeDose.completionStatus -&gt; ##34#.status = #preliminary##34#</v>
      </c>
    </row>
    <row r="66" spans="3:3" ht="29.5" x14ac:dyDescent="0.75">
      <c r="C66" s="21" t="str">
        <f>IF('Chemo-Map'!E27="*  -&gt; ##34###34#","// --END",'Chemo-Map'!E27)</f>
        <v>* productAdministration.cumulativeDose.statusReason -&gt; ##34#.extension('http://hl7.org/fhir/StructureDefinition/event-statusReason')##34#</v>
      </c>
    </row>
    <row r="67" spans="3:3" x14ac:dyDescent="0.75">
      <c r="C67" s="21" t="str">
        <f>IF('Chemo-Map'!E28="*  -&gt; ##34###34#","// --END",'Chemo-Map'!E28)</f>
        <v>* productAdministration.cumulativeDose.value -&gt; ##34#.valueQuantity.value##34#</v>
      </c>
    </row>
    <row r="68" spans="3:3" x14ac:dyDescent="0.75">
      <c r="C68" s="21" t="str">
        <f>IF('Chemo-Map'!E29="*  -&gt; ##34###34#","// --END",'Chemo-Map'!E29)</f>
        <v>* productAdministration.cumulativeDose.unit -&gt; ##34#.valueQuantity.unit (human readeable)##34#</v>
      </c>
    </row>
    <row r="69" spans="3:3" x14ac:dyDescent="0.75">
      <c r="C69" s="21" t="str">
        <f>IF('Chemo-Map'!E30="*  -&gt; ##34###34#","// --END",'Chemo-Map'!E30)</f>
        <v>* productAdministration.cumulativeDose.unit -&gt; ##34#.valueQuantity.code (code)##34#</v>
      </c>
    </row>
    <row r="70" spans="3:3" ht="29.5" x14ac:dyDescent="0.75">
      <c r="C70" s="21" t="str">
        <f>IF('Chemo-Map'!E31="*  -&gt; ##34###34#","// --END",'Chemo-Map'!E31)</f>
        <v>* corticosteroids -&gt; ##34#MedicationStatement.where(medicationCodeableConcept = 'http://www.whocc.no/atc|H02' and dosage.timing.repeat.boundsDuration.where( value='4' and code = 'w' and comparator ='&gt;' )##34#</v>
      </c>
    </row>
    <row r="71" spans="3:3" x14ac:dyDescent="0.75">
      <c r="C71" s="21" t="str">
        <f>IF('Chemo-Map'!E32="*  -&gt; ##34###34#","// --END",'Chemo-Map'!E32)</f>
        <v>* intrathecalInjections -&gt; ##34#MedicationStatement.where(dosage.route = https://standardterms.edqm.eu|20042000)##34#</v>
      </c>
    </row>
    <row r="72" spans="3:3" x14ac:dyDescent="0.75">
      <c r="C72" s="21" t="str">
        <f>IF('Chemo-Map'!E33="*  -&gt; ##34###34#","// --END",'Chemo-Map'!E33)</f>
        <v>* intrathecalInjections.status -&gt; ##34#.exists()##34#</v>
      </c>
    </row>
    <row r="73" spans="3:3" x14ac:dyDescent="0.75">
      <c r="C73" s="21" t="str">
        <f>IF('Chemo-Map'!E34="*  -&gt; ##34###34#","// --END",'Chemo-Map'!E34)</f>
        <v>* intrathecalInjections.number -&gt; ##34#.dosage.timing.repeat.count##34#</v>
      </c>
    </row>
    <row r="74" spans="3:3" x14ac:dyDescent="0.75">
      <c r="C74" s="21" t="str">
        <f>IF('Chemo-Map'!E35="*  -&gt; ##34###34#","// --END",'Chemo-Map'!E35)</f>
        <v>* intrathecalInjections.number -&gt; ##34#.count()##34#</v>
      </c>
    </row>
    <row r="75" spans="3:3" x14ac:dyDescent="0.75">
      <c r="C75" s="21" t="str">
        <f>IF('Chemo-Map'!E36="*  -&gt; ##34###34#","// --END",'Chemo-Map'!E36)</f>
        <v>* intrathecalInjections.productName -&gt; ##34#.medicationCodeableConcept.text##34#</v>
      </c>
    </row>
    <row r="76" spans="3:3" x14ac:dyDescent="0.75">
      <c r="C76" s="21" t="str">
        <f>IF('Chemo-Map'!E37="*  -&gt; ##34###34#","// --END",'Chemo-Map'!E37)</f>
        <v>* otherTreatments -&gt; ##34#MedicationStatement##34#</v>
      </c>
    </row>
    <row r="77" spans="3:3" x14ac:dyDescent="0.75">
      <c r="C77" s="21" t="str">
        <f>IF('Chemo-Map'!E38="*  -&gt; ##34###34#","// --END",'Chemo-Map'!E38)</f>
        <v>* otherTreatments.productName -&gt; ##34#.medicationCodeableConcept.text##34#</v>
      </c>
    </row>
    <row r="78" spans="3:3" x14ac:dyDescent="0.75">
      <c r="C78" s="21" t="str">
        <f>IF('Chemo-Map'!E39="*  -&gt; ##34###34#","// --END",'Chemo-Map'!E39)</f>
        <v>// --END</v>
      </c>
    </row>
    <row r="79" spans="3:3" x14ac:dyDescent="0.75">
      <c r="C79" s="21" t="str">
        <f>IF('Chemo-Map'!E40="*  -&gt; ##34###34#","// --END",'Chemo-Map'!E40)</f>
        <v>// --END</v>
      </c>
    </row>
    <row r="80" spans="3:3" x14ac:dyDescent="0.75">
      <c r="C80" s="21" t="str">
        <f>IF('Chemo-Map'!E41="*  -&gt; ##34###34#","// --END",'Chemo-Map'!E41)</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export">
                <anchor moveWithCells="1">
                  <from>
                    <xdr:col>4</xdr:col>
                    <xdr:colOff>254000</xdr:colOff>
                    <xdr:row>1</xdr:row>
                    <xdr:rowOff>0</xdr:rowOff>
                  </from>
                  <to>
                    <xdr:col>5</xdr:col>
                    <xdr:colOff>317500</xdr:colOff>
                    <xdr:row>2</xdr:row>
                    <xdr:rowOff>76200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4" tint="0.59999389629810485"/>
  </sheetPr>
  <dimension ref="A1:L34"/>
  <sheetViews>
    <sheetView workbookViewId="0">
      <selection activeCell="B4" sqref="B4"/>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21.76953125" customWidth="1"/>
    <col min="8" max="8" width="21.76953125" style="18" customWidth="1"/>
    <col min="9" max="9" width="67.1796875" style="19" customWidth="1"/>
    <col min="10" max="10" width="19.31640625" customWidth="1"/>
    <col min="12" max="12" width="45.81640625" style="19" customWidth="1"/>
    <col min="13" max="13" width="8.7265625" customWidth="1"/>
  </cols>
  <sheetData>
    <row r="1" spans="1:12" s="18" customFormat="1" x14ac:dyDescent="0.75">
      <c r="B1" s="22"/>
      <c r="C1" s="22"/>
      <c r="D1" s="22"/>
      <c r="I1" s="40" t="s">
        <v>80</v>
      </c>
      <c r="L1" s="19"/>
    </row>
    <row r="2" spans="1:12" s="18" customFormat="1" x14ac:dyDescent="0.75">
      <c r="B2" s="22"/>
      <c r="C2" s="22"/>
      <c r="D2" s="22"/>
      <c r="I2" s="41" t="s">
        <v>79</v>
      </c>
      <c r="L2" s="19"/>
    </row>
    <row r="3" spans="1:12" s="18" customFormat="1" ht="15.5" thickBot="1" x14ac:dyDescent="0.9">
      <c r="B3" s="22"/>
      <c r="C3" s="22"/>
      <c r="D3" s="22"/>
      <c r="I3" s="41" t="str">
        <f>I1</f>
        <v>// -------------------------------------------------------------------------------</v>
      </c>
      <c r="L3" s="19"/>
    </row>
    <row r="4" spans="1:12" s="18" customFormat="1" ht="15.5" thickBot="1" x14ac:dyDescent="0.9">
      <c r="A4" s="6" t="s">
        <v>13</v>
      </c>
      <c r="B4" s="24" t="s">
        <v>836</v>
      </c>
      <c r="C4" s="22"/>
      <c r="D4" s="22"/>
      <c r="I4" s="33" t="str">
        <f>CONCATENATE("Logical: ",B4)</f>
        <v>Logical: RelapseAfterFLTPcsp</v>
      </c>
      <c r="L4" s="19"/>
    </row>
    <row r="5" spans="1:12" s="18" customFormat="1" x14ac:dyDescent="0.75">
      <c r="A5" s="27" t="s">
        <v>76</v>
      </c>
      <c r="B5" s="43" t="s">
        <v>824</v>
      </c>
      <c r="C5" s="22"/>
      <c r="D5" s="22"/>
      <c r="I5" s="33" t="str">
        <f>CONCATENATE("Id: ",B5)</f>
        <v>Id: RelapseAfterFLT</v>
      </c>
      <c r="L5" s="19"/>
    </row>
    <row r="6" spans="1:12" s="18" customFormat="1" ht="15.5" thickBot="1" x14ac:dyDescent="0.9">
      <c r="A6" s="28" t="s">
        <v>11</v>
      </c>
      <c r="B6" s="87" t="s">
        <v>823</v>
      </c>
      <c r="C6" s="22"/>
      <c r="D6" s="22"/>
      <c r="I6" s="34" t="str">
        <f>CONCATENATE("Title: ##34#",B6,"##34#")</f>
        <v>Title: ##34#Progression-Relapse after FLT##34#</v>
      </c>
      <c r="L6" s="19"/>
    </row>
    <row r="7" spans="1:12" s="18" customFormat="1" ht="30.25" thickBot="1" x14ac:dyDescent="0.9">
      <c r="A7" s="29" t="s">
        <v>4</v>
      </c>
      <c r="B7" s="87" t="s">
        <v>835</v>
      </c>
      <c r="C7" s="13" t="s">
        <v>5</v>
      </c>
      <c r="D7" s="2" t="s">
        <v>6</v>
      </c>
      <c r="E7" s="3" t="s">
        <v>7</v>
      </c>
      <c r="F7" s="3" t="s">
        <v>8</v>
      </c>
      <c r="G7" s="3" t="s">
        <v>9</v>
      </c>
      <c r="I7" s="34" t="str">
        <f>CONCATENATE("Description: "," ##334#",B7,"##334#",)</f>
        <v>Description:  ##334#Progression-Relapse after FLT
Maturity Level: 2 - Ready for Review##334#</v>
      </c>
      <c r="L7" s="19"/>
    </row>
    <row r="8" spans="1:12" s="18" customFormat="1" ht="73.75" x14ac:dyDescent="0.75">
      <c r="A8" s="20">
        <v>1</v>
      </c>
      <c r="B8" s="20" t="s">
        <v>12</v>
      </c>
      <c r="C8" s="21" t="s">
        <v>796</v>
      </c>
      <c r="D8" s="21" t="s">
        <v>798</v>
      </c>
      <c r="E8" s="20">
        <v>0</v>
      </c>
      <c r="F8" s="20">
        <v>1</v>
      </c>
      <c r="G8" s="20" t="s">
        <v>0</v>
      </c>
      <c r="H8" s="31"/>
      <c r="I8" s="42" t="str">
        <f>CONCATENATE("* ",B8, " ",E8,"..",F8," ",G8," ##34#",C8,"##34# ##334#",D8,"##334#")</f>
        <v>* identifier 0..1 Identifier ##34#Progression-relapse after FLT number##34# ##334#Progressive number of progression/relapse (1=first; 2= second; 3 = third; …) after the end of treatment.
In this field must be reported the ordinal number of the progression/relapse after the end of treatment.##334#</v>
      </c>
      <c r="L8" s="19"/>
    </row>
    <row r="9" spans="1:12" ht="59" x14ac:dyDescent="0.75">
      <c r="A9" s="20">
        <v>2</v>
      </c>
      <c r="B9" s="20" t="s">
        <v>72</v>
      </c>
      <c r="C9" s="21" t="s">
        <v>149</v>
      </c>
      <c r="D9" s="23" t="s">
        <v>681</v>
      </c>
      <c r="E9" s="20">
        <v>0</v>
      </c>
      <c r="F9" s="20">
        <v>1</v>
      </c>
      <c r="G9" s="20" t="s">
        <v>0</v>
      </c>
      <c r="H9" s="31"/>
      <c r="I9" s="42" t="str">
        <f t="shared" ref="I9:I20" si="0">CONCATENATE("* ",B9, " ",E9,"..",F9," ",G9," ##34#",C9,"##34# ##334#",D9,"##334#")</f>
        <v>* relatedDiagnosis 0..1 Identifier ##34#Progressive number of diagnosis##34# ##334#Progressive number of diagnosis (1=first; 2= second; 3 = third; …).  
In this field must be reported the ordinal number of the tumor diagnosis in which progression/relapse ocuured during front line treatment.##334#</v>
      </c>
    </row>
    <row r="10" spans="1:12" ht="59" x14ac:dyDescent="0.75">
      <c r="A10" s="20">
        <v>3</v>
      </c>
      <c r="B10" s="20" t="s">
        <v>3</v>
      </c>
      <c r="C10" s="21" t="s">
        <v>825</v>
      </c>
      <c r="D10" s="21" t="s">
        <v>801</v>
      </c>
      <c r="E10" s="20">
        <v>0</v>
      </c>
      <c r="F10" s="20">
        <v>1</v>
      </c>
      <c r="G10" s="20" t="s">
        <v>3</v>
      </c>
      <c r="H10" s="31"/>
      <c r="I10" s="42" t="str">
        <f t="shared" si="0"/>
        <v>* date 0..1 date ##34#date of relapse##34# ##334#Report here the date (dd/mm/yyyy ) of the relapse/progression. If the date is unkown or partially missed insert the year at the best of your knowledge.##334#</v>
      </c>
    </row>
    <row r="11" spans="1:12" s="18" customFormat="1" ht="132.75" x14ac:dyDescent="0.75">
      <c r="A11" s="20">
        <v>4</v>
      </c>
      <c r="B11" s="20" t="s">
        <v>826</v>
      </c>
      <c r="C11" s="21" t="s">
        <v>827</v>
      </c>
      <c r="D11" s="21" t="s">
        <v>828</v>
      </c>
      <c r="E11" s="20">
        <v>0</v>
      </c>
      <c r="F11" s="20">
        <v>1</v>
      </c>
      <c r="G11" s="20" t="s">
        <v>1</v>
      </c>
      <c r="H11" s="31"/>
      <c r="I11" s="42" t="str">
        <f t="shared" si="0"/>
        <v>* relapseOrProgression 0..1 CodeableConcept ##34#relapse | progression##34# ##334#Report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NK##334#</v>
      </c>
      <c r="L11" s="19"/>
    </row>
    <row r="12" spans="1:12" ht="44.25" x14ac:dyDescent="0.75">
      <c r="A12" s="20">
        <v>5</v>
      </c>
      <c r="B12" s="20" t="s">
        <v>16</v>
      </c>
      <c r="C12" s="21" t="s">
        <v>829</v>
      </c>
      <c r="D12" s="21" t="s">
        <v>803</v>
      </c>
      <c r="E12" s="20">
        <v>0</v>
      </c>
      <c r="F12" s="20">
        <v>1</v>
      </c>
      <c r="G12" s="20" t="s">
        <v>1</v>
      </c>
      <c r="H12" s="31"/>
      <c r="I12" s="42" t="str">
        <f t="shared" si="0"/>
        <v>* type 0..1 CodeableConcept ##34#local | distant | combined##34# ##334#Please define if the relapse/progression was local, distant or combined.
##334#</v>
      </c>
    </row>
    <row r="13" spans="1:12" ht="44.25" x14ac:dyDescent="0.75">
      <c r="A13" s="20">
        <v>6</v>
      </c>
      <c r="B13" s="20" t="s">
        <v>71</v>
      </c>
      <c r="C13" s="21" t="s">
        <v>697</v>
      </c>
      <c r="D13" s="21" t="s">
        <v>803</v>
      </c>
      <c r="E13" s="20">
        <v>0</v>
      </c>
      <c r="F13" s="20">
        <v>1</v>
      </c>
      <c r="G13" s="20" t="s">
        <v>2</v>
      </c>
      <c r="H13" s="31"/>
      <c r="I13" s="42" t="str">
        <f t="shared" si="0"/>
        <v>* site 0..1 string ##34#If distant, site of metastases##34# ##334#Please define if the relapse/progression was local, distant or combined.
##334#</v>
      </c>
    </row>
    <row r="14" spans="1:12" x14ac:dyDescent="0.75">
      <c r="A14" s="20"/>
      <c r="B14" s="20"/>
      <c r="C14" s="21"/>
      <c r="D14" s="21"/>
      <c r="E14" s="20"/>
      <c r="F14" s="20"/>
      <c r="G14" s="20"/>
      <c r="H14" s="31"/>
      <c r="I14" s="42" t="str">
        <f t="shared" si="0"/>
        <v>*  ..  ##34###34# ##334###334#</v>
      </c>
    </row>
    <row r="15" spans="1:12" x14ac:dyDescent="0.75">
      <c r="A15" s="20"/>
      <c r="B15" s="20"/>
      <c r="C15" s="20"/>
      <c r="D15" s="20"/>
      <c r="E15" s="20"/>
      <c r="F15" s="20"/>
      <c r="G15" s="20"/>
      <c r="H15" s="31"/>
      <c r="I15" s="42" t="str">
        <f t="shared" si="0"/>
        <v>*  ..  ##34###34# ##334###334#</v>
      </c>
      <c r="J15" s="26"/>
      <c r="K15" s="20"/>
    </row>
    <row r="16" spans="1:12" x14ac:dyDescent="0.75">
      <c r="A16" s="18"/>
      <c r="B16" s="18"/>
      <c r="C16" s="18"/>
      <c r="D16" s="18"/>
      <c r="E16" s="18"/>
      <c r="F16" s="18"/>
      <c r="G16" s="18"/>
      <c r="I16" s="42" t="str">
        <f t="shared" si="0"/>
        <v>*  ..  ##34###34# ##334###334#</v>
      </c>
    </row>
    <row r="17" spans="1:10" x14ac:dyDescent="0.75">
      <c r="A17" s="18"/>
      <c r="B17" s="18"/>
      <c r="C17" s="18"/>
      <c r="D17" s="18"/>
      <c r="E17" s="18"/>
      <c r="F17" s="18"/>
      <c r="G17" s="18"/>
      <c r="I17" s="42" t="str">
        <f t="shared" si="0"/>
        <v>*  ..  ##34###34# ##334###334#</v>
      </c>
      <c r="J17" s="18"/>
    </row>
    <row r="18" spans="1:10" x14ac:dyDescent="0.75">
      <c r="A18" s="18"/>
      <c r="B18" s="18"/>
      <c r="C18" s="18"/>
      <c r="D18" s="18"/>
      <c r="E18" s="18"/>
      <c r="F18" s="18"/>
      <c r="G18" s="18"/>
      <c r="I18" s="42" t="str">
        <f t="shared" si="0"/>
        <v>*  ..  ##34###34# ##334###334#</v>
      </c>
      <c r="J18" s="18"/>
    </row>
    <row r="19" spans="1:10" x14ac:dyDescent="0.75">
      <c r="A19" s="18"/>
      <c r="B19" s="20"/>
      <c r="C19" s="26"/>
      <c r="D19" s="21"/>
      <c r="E19" s="20"/>
      <c r="F19" s="20"/>
      <c r="G19" s="20"/>
      <c r="I19" s="42" t="str">
        <f t="shared" si="0"/>
        <v>*  ..  ##34###34# ##334###334#</v>
      </c>
      <c r="J19" s="18"/>
    </row>
    <row r="20" spans="1:10" x14ac:dyDescent="0.75">
      <c r="A20" s="18"/>
      <c r="B20" s="18"/>
      <c r="C20" s="18"/>
      <c r="D20" s="18"/>
      <c r="E20" s="18"/>
      <c r="F20" s="18"/>
      <c r="G20" s="18"/>
      <c r="I20" s="42" t="str">
        <f t="shared" si="0"/>
        <v>*  ..  ##34###34# ##334###334#</v>
      </c>
      <c r="J20" s="18"/>
    </row>
    <row r="21" spans="1:10" x14ac:dyDescent="0.75">
      <c r="A21" s="18"/>
      <c r="B21" s="18"/>
      <c r="C21" s="18"/>
      <c r="D21" s="18"/>
      <c r="E21" s="18"/>
      <c r="F21" s="18"/>
      <c r="G21" s="18"/>
      <c r="I21" s="18"/>
      <c r="J21" s="18"/>
    </row>
    <row r="22" spans="1:10" x14ac:dyDescent="0.75">
      <c r="A22" s="18"/>
      <c r="B22" s="18"/>
      <c r="C22" s="18"/>
      <c r="D22" s="18"/>
      <c r="E22" s="18"/>
      <c r="F22" s="18"/>
      <c r="G22" s="18"/>
      <c r="I22" s="18"/>
      <c r="J22" s="18"/>
    </row>
    <row r="23" spans="1:10" x14ac:dyDescent="0.75">
      <c r="A23" s="18"/>
      <c r="B23" s="18"/>
      <c r="C23" s="18"/>
      <c r="D23" s="18"/>
      <c r="E23" s="18"/>
      <c r="F23" s="18"/>
      <c r="G23" s="18"/>
      <c r="I23" s="18"/>
      <c r="J23" s="18"/>
    </row>
    <row r="24" spans="1:10" x14ac:dyDescent="0.75">
      <c r="A24" s="18"/>
      <c r="B24" s="18"/>
      <c r="C24" s="18"/>
      <c r="D24" s="18"/>
      <c r="E24" s="18"/>
      <c r="F24" s="18"/>
      <c r="G24" s="18"/>
      <c r="I24" s="18"/>
      <c r="J24" s="18"/>
    </row>
    <row r="25" spans="1:10" x14ac:dyDescent="0.75">
      <c r="A25" s="18"/>
      <c r="B25" s="18"/>
      <c r="C25" s="18"/>
      <c r="D25" s="18"/>
      <c r="E25" s="18"/>
      <c r="F25" s="18"/>
      <c r="G25" s="18"/>
      <c r="I25" s="18"/>
      <c r="J25" s="18"/>
    </row>
    <row r="26" spans="1:10" x14ac:dyDescent="0.75">
      <c r="A26" s="18"/>
      <c r="B26" s="18"/>
      <c r="C26" s="18"/>
      <c r="D26" s="18"/>
      <c r="E26" s="18"/>
      <c r="F26" s="18"/>
      <c r="G26" s="18"/>
      <c r="I26" s="18"/>
      <c r="J26" s="18"/>
    </row>
    <row r="27" spans="1:10" x14ac:dyDescent="0.75">
      <c r="A27" s="18"/>
      <c r="B27" s="18"/>
      <c r="C27" s="18"/>
      <c r="D27" s="18"/>
      <c r="E27" s="18"/>
      <c r="F27" s="18"/>
      <c r="G27" s="18"/>
      <c r="I27" s="18"/>
      <c r="J27" s="18"/>
    </row>
    <row r="28" spans="1:10" x14ac:dyDescent="0.75">
      <c r="A28" s="18"/>
      <c r="B28" s="18"/>
      <c r="C28" s="18"/>
      <c r="D28" s="18"/>
      <c r="E28" s="18"/>
      <c r="F28" s="18"/>
      <c r="G28" s="18"/>
      <c r="I28" s="18"/>
      <c r="J28" s="18"/>
    </row>
    <row r="29" spans="1:10" x14ac:dyDescent="0.75">
      <c r="A29" s="18"/>
      <c r="B29" s="18"/>
      <c r="C29" s="18"/>
      <c r="D29" s="18"/>
      <c r="E29" s="18"/>
      <c r="F29" s="18"/>
      <c r="G29" s="18"/>
      <c r="I29" s="18"/>
      <c r="J29" s="18"/>
    </row>
    <row r="30" spans="1:10" x14ac:dyDescent="0.75">
      <c r="A30" s="18"/>
      <c r="B30" s="18"/>
      <c r="C30" s="18"/>
      <c r="D30" s="18"/>
      <c r="E30" s="18"/>
      <c r="F30" s="18"/>
      <c r="G30" s="18"/>
      <c r="I30" s="18"/>
      <c r="J30" s="18"/>
    </row>
    <row r="31" spans="1:10" x14ac:dyDescent="0.75">
      <c r="A31" s="18"/>
      <c r="B31" s="18"/>
      <c r="C31" s="18"/>
      <c r="D31" s="18"/>
      <c r="E31" s="18"/>
      <c r="F31" s="18"/>
      <c r="G31" s="18"/>
      <c r="I31" s="18"/>
      <c r="J31" s="18"/>
    </row>
    <row r="32" spans="1:10" x14ac:dyDescent="0.75">
      <c r="A32" s="18"/>
      <c r="B32" s="18"/>
      <c r="C32" s="18"/>
      <c r="D32" s="18"/>
      <c r="E32" s="18"/>
      <c r="F32" s="18"/>
      <c r="G32" s="18"/>
      <c r="I32" s="18"/>
      <c r="J32" s="18"/>
    </row>
    <row r="33" spans="1:10" x14ac:dyDescent="0.75">
      <c r="A33" s="18"/>
      <c r="B33" s="18"/>
      <c r="C33" s="18"/>
      <c r="D33" s="18"/>
      <c r="E33" s="18"/>
      <c r="F33" s="18"/>
      <c r="G33" s="18"/>
      <c r="I33" s="18"/>
      <c r="J33" s="18"/>
    </row>
    <row r="34" spans="1:10" x14ac:dyDescent="0.75">
      <c r="A34" s="18"/>
      <c r="B34" s="18"/>
      <c r="C34" s="18"/>
      <c r="D34" s="18"/>
      <c r="E34" s="18"/>
      <c r="F34" s="18"/>
      <c r="G34" s="18"/>
      <c r="I34" s="18"/>
      <c r="J34" s="18"/>
    </row>
  </sheetData>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O24"/>
  <sheetViews>
    <sheetView workbookViewId="0">
      <selection activeCell="C7" sqref="C7"/>
    </sheetView>
  </sheetViews>
  <sheetFormatPr defaultRowHeight="14.75" x14ac:dyDescent="0.75"/>
  <cols>
    <col min="1" max="1" width="8.7265625" style="8"/>
    <col min="2" max="2" width="31.6796875" style="8" bestFit="1" customWidth="1"/>
    <col min="3" max="3" width="72.1328125" style="8" customWidth="1"/>
    <col min="4" max="4" width="8.04296875" style="8" customWidth="1"/>
    <col min="5" max="5" width="71.58984375" style="19" customWidth="1"/>
    <col min="6" max="6" width="10.76953125" style="8" customWidth="1"/>
    <col min="7" max="7" width="45.26953125" style="8" customWidth="1"/>
    <col min="8" max="16384" width="8.7265625" style="8"/>
  </cols>
  <sheetData>
    <row r="1" spans="1:15" s="18" customFormat="1" x14ac:dyDescent="0.75">
      <c r="B1" s="22"/>
      <c r="C1" s="22"/>
      <c r="E1" s="32" t="s">
        <v>80</v>
      </c>
      <c r="H1" s="10"/>
      <c r="I1" s="10"/>
      <c r="J1" s="10"/>
      <c r="K1" s="10"/>
      <c r="L1" s="10"/>
      <c r="M1" s="10"/>
      <c r="N1" s="10"/>
      <c r="O1" s="10"/>
    </row>
    <row r="2" spans="1:15" s="18" customFormat="1" x14ac:dyDescent="0.75">
      <c r="B2" s="22"/>
      <c r="C2" s="22"/>
      <c r="E2" s="39" t="s">
        <v>81</v>
      </c>
      <c r="H2" s="10"/>
      <c r="I2" s="10"/>
      <c r="J2" s="10"/>
      <c r="K2" s="10"/>
      <c r="L2" s="10"/>
      <c r="M2" s="10"/>
      <c r="N2" s="10"/>
      <c r="O2" s="10"/>
    </row>
    <row r="3" spans="1:15" s="18" customFormat="1" ht="15.5" thickBot="1" x14ac:dyDescent="0.9">
      <c r="B3" s="22"/>
      <c r="C3" s="22"/>
      <c r="E3" s="39" t="str">
        <f>E1</f>
        <v>// -------------------------------------------------------------------------------</v>
      </c>
      <c r="H3" s="10"/>
      <c r="I3" s="10"/>
      <c r="J3" s="10"/>
      <c r="K3" s="10"/>
      <c r="L3" s="10"/>
      <c r="M3" s="10"/>
      <c r="N3" s="10"/>
      <c r="O3" s="10"/>
    </row>
    <row r="4" spans="1:15" ht="15.5" thickBot="1" x14ac:dyDescent="0.9">
      <c r="B4" s="17" t="s">
        <v>77</v>
      </c>
      <c r="C4" s="7" t="s">
        <v>1039</v>
      </c>
      <c r="E4" s="36" t="str">
        <f>CONCATENATE("Mapping: ",C4)</f>
        <v>Mapping: RelAfterFLT2Fhir</v>
      </c>
      <c r="H4" s="10"/>
      <c r="I4" s="10"/>
      <c r="J4" s="10"/>
      <c r="K4" s="10"/>
      <c r="L4" s="10"/>
      <c r="M4" s="10"/>
      <c r="N4" s="10"/>
      <c r="O4" s="10"/>
    </row>
    <row r="5" spans="1:15" ht="15.5" thickBot="1" x14ac:dyDescent="0.9">
      <c r="B5" s="17" t="s">
        <v>76</v>
      </c>
      <c r="C5" s="5" t="s">
        <v>15</v>
      </c>
      <c r="E5" s="37" t="str">
        <f>CONCATENATE("Id: ",C5)</f>
        <v>Id: fhir</v>
      </c>
      <c r="G5" s="1"/>
      <c r="H5" s="10"/>
      <c r="I5" s="10"/>
      <c r="J5" s="10"/>
      <c r="K5" s="10"/>
      <c r="L5" s="10"/>
      <c r="M5" s="10"/>
      <c r="N5" s="10"/>
      <c r="O5" s="10"/>
    </row>
    <row r="6" spans="1:15" ht="15.5" thickBot="1" x14ac:dyDescent="0.9">
      <c r="B6" s="17" t="s">
        <v>11</v>
      </c>
      <c r="C6" s="140" t="str">
        <f>C7 &amp;  " model to PCSP HL7 FHIR R4 Profiles"</f>
        <v>RelapseAfterFLT model to PCSP HL7 FHIR R4 Profiles</v>
      </c>
      <c r="E6" s="37" t="str">
        <f>CONCATENATE("Title: ##34#",C6,"##34#")</f>
        <v>Title: ##34#RelapseAfterFLT model to PCSP HL7 FHIR R4 Profiles##34#</v>
      </c>
      <c r="G6" s="1"/>
      <c r="H6" s="10"/>
      <c r="I6" s="10"/>
      <c r="J6" s="10"/>
      <c r="K6" s="10"/>
      <c r="L6" s="10"/>
      <c r="M6" s="10"/>
      <c r="N6" s="10"/>
      <c r="O6" s="10"/>
    </row>
    <row r="7" spans="1:15" ht="15.5" thickBot="1" x14ac:dyDescent="0.9">
      <c r="B7" s="17" t="s">
        <v>78</v>
      </c>
      <c r="C7" s="11" t="str">
        <f>B9</f>
        <v>RelapseAfterFLT</v>
      </c>
      <c r="E7" s="37" t="str">
        <f>CONCATENATE("Source: ",C7)</f>
        <v>Source: RelapseAfterFLT</v>
      </c>
      <c r="G7" s="1"/>
      <c r="H7" s="10"/>
      <c r="I7" s="10"/>
      <c r="J7" s="10"/>
      <c r="K7" s="10"/>
      <c r="L7" s="10"/>
      <c r="M7" s="10"/>
      <c r="N7" s="10"/>
      <c r="O7" s="10"/>
    </row>
    <row r="8" spans="1:15" ht="15.5" thickBot="1" x14ac:dyDescent="0.9">
      <c r="B8" s="35" t="s">
        <v>73</v>
      </c>
      <c r="C8" s="8" t="s">
        <v>14</v>
      </c>
      <c r="E8" s="38" t="str">
        <f>CONCATENATE("Target: ##34#",C8,"##34#")</f>
        <v>Target: ##34#hl7.org/fhir/r4##34#</v>
      </c>
      <c r="G8" s="1"/>
      <c r="H8" s="10"/>
      <c r="I8" s="10"/>
      <c r="J8" s="10"/>
      <c r="K8" s="10"/>
      <c r="L8" s="10"/>
      <c r="M8" s="10"/>
      <c r="N8" s="10"/>
      <c r="O8" s="10"/>
    </row>
    <row r="9" spans="1:15" ht="88.5" x14ac:dyDescent="0.75">
      <c r="A9" s="9"/>
      <c r="B9" s="9" t="str">
        <f>RelAftFlt!B5</f>
        <v>RelapseAfterFLT</v>
      </c>
      <c r="C9" s="4" t="s">
        <v>830</v>
      </c>
      <c r="E9" s="4" t="str">
        <f>CONCATENATE("* . -&gt; ##34#",C9,"##34#")</f>
        <v>* . -&gt; ##34#Condition.conformsTo('http://hl7.eu/fhir/ig/pcsp/StructureDefinition/Condition-primaryCancer-eu-pcsp').where(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)##34#</v>
      </c>
      <c r="F9" s="18"/>
      <c r="H9" s="10"/>
      <c r="I9" s="10"/>
      <c r="J9" s="10"/>
      <c r="K9" s="10"/>
      <c r="L9" s="10"/>
      <c r="M9" s="10"/>
      <c r="N9" s="10"/>
      <c r="O9" s="10"/>
    </row>
    <row r="10" spans="1:15" x14ac:dyDescent="0.75">
      <c r="A10" s="9"/>
      <c r="B10" s="20" t="str">
        <f>RelAftFlt!B8</f>
        <v>identifier</v>
      </c>
      <c r="C10" s="12" t="s">
        <v>74</v>
      </c>
      <c r="E10" s="21" t="str">
        <f>CONCATENATE("* ",B10," -&gt; ##34#",C10,"##34#")</f>
        <v>* identifier -&gt; ##34#.identifier##34#</v>
      </c>
      <c r="F10" s="18"/>
      <c r="G10" s="1"/>
      <c r="H10" s="10"/>
      <c r="I10" s="10"/>
      <c r="J10" s="10"/>
      <c r="K10" s="10"/>
      <c r="L10" s="10"/>
      <c r="M10" s="10"/>
      <c r="N10" s="10"/>
      <c r="O10" s="10"/>
    </row>
    <row r="11" spans="1:15" ht="44.25" x14ac:dyDescent="0.75">
      <c r="A11" s="9"/>
      <c r="B11" s="20" t="str">
        <f>RelAftFlt!B9</f>
        <v>relatedDiagnosis</v>
      </c>
      <c r="C11" s="25" t="s">
        <v>831</v>
      </c>
      <c r="E11" s="21" t="str">
        <f t="shared" ref="E11:E21" si="0">CONCATENATE("* ",B11," -&gt; ##34#",C11,"##34#")</f>
        <v>* relatedDiagnosis -&gt; ##34#.extension('http://hl7.org/fhir/StructureDefinition/condition-occurredFollowing')##34#</v>
      </c>
      <c r="F11" s="18"/>
      <c r="G11" s="19"/>
      <c r="H11" s="10"/>
      <c r="I11" s="10"/>
      <c r="J11" s="10"/>
      <c r="K11" s="10"/>
      <c r="L11" s="10"/>
      <c r="M11" s="10"/>
      <c r="N11" s="10"/>
      <c r="O11" s="10"/>
    </row>
    <row r="12" spans="1:15" ht="29.5" x14ac:dyDescent="0.75">
      <c r="A12" s="9"/>
      <c r="B12" s="20" t="str">
        <f>RelAftFlt!B10</f>
        <v>date</v>
      </c>
      <c r="C12" s="20" t="s">
        <v>832</v>
      </c>
      <c r="E12" s="21" t="str">
        <f t="shared" si="0"/>
        <v>* date -&gt; ##34#.extension('http://hl7.org/fhir/StructureDefinition/condition-assertedDate')##34#</v>
      </c>
      <c r="F12" s="18"/>
      <c r="G12" s="19"/>
      <c r="H12" s="10"/>
      <c r="I12" s="10"/>
      <c r="J12" s="10"/>
      <c r="K12" s="10"/>
      <c r="L12" s="10"/>
      <c r="M12" s="10"/>
      <c r="N12" s="10"/>
      <c r="O12" s="10"/>
    </row>
    <row r="13" spans="1:15" ht="59" x14ac:dyDescent="0.75">
      <c r="A13" s="9"/>
      <c r="B13" s="20" t="str">
        <f>RelAftFlt!B11</f>
        <v>relapseOrProgression</v>
      </c>
      <c r="C13" s="21" t="s">
        <v>833</v>
      </c>
      <c r="E13" s="21" t="str">
        <f t="shared" si="0"/>
        <v>* relapseOrProgression -&gt; ##34#.extension('http://hl7.eu/fhir/ig/pcsp/StructureDefinition/condition-previousStatus').valueCodeableConcept OR Condition.where( clinicalStatus = #relapse or clinicalStatus = #recurrence).clinicalStatus##34#</v>
      </c>
      <c r="F13" s="18"/>
      <c r="G13" s="19"/>
      <c r="H13" s="10"/>
      <c r="I13" s="10"/>
      <c r="J13" s="10"/>
      <c r="K13" s="10"/>
      <c r="L13" s="10"/>
      <c r="M13" s="10"/>
      <c r="N13" s="10"/>
      <c r="O13" s="10"/>
    </row>
    <row r="14" spans="1:15" ht="29.5" x14ac:dyDescent="0.75">
      <c r="A14" s="9"/>
      <c r="B14" s="20" t="str">
        <f>RelAftFlt!B12</f>
        <v>type</v>
      </c>
      <c r="C14" s="21" t="s">
        <v>834</v>
      </c>
      <c r="E14" s="21" t="str">
        <f t="shared" si="0"/>
        <v>* type -&gt; ##34#.extension('http://hl7.eu/fhir/ig/pcsp/StructureDefinition/condition-relapseType').valueCodeableConcept##34#</v>
      </c>
      <c r="F14" s="18"/>
      <c r="G14" s="19"/>
      <c r="H14" s="10"/>
      <c r="I14" s="10"/>
      <c r="J14" s="10"/>
      <c r="K14" s="10"/>
      <c r="L14" s="10"/>
      <c r="M14" s="10"/>
      <c r="N14" s="10"/>
      <c r="O14" s="10"/>
    </row>
    <row r="15" spans="1:15" x14ac:dyDescent="0.75">
      <c r="A15" s="20"/>
      <c r="B15" s="20" t="str">
        <f>RelAftFlt!B13</f>
        <v>site</v>
      </c>
      <c r="C15" s="21" t="s">
        <v>75</v>
      </c>
      <c r="E15" s="21" t="str">
        <f t="shared" si="0"/>
        <v>* site -&gt; ##34#.bodySite##34#</v>
      </c>
      <c r="F15" s="18"/>
      <c r="G15" s="19"/>
      <c r="H15" s="10"/>
      <c r="I15" s="10"/>
      <c r="J15" s="10"/>
      <c r="K15" s="10"/>
      <c r="L15" s="10"/>
      <c r="M15" s="10"/>
      <c r="N15" s="10"/>
      <c r="O15" s="10"/>
    </row>
    <row r="16" spans="1:15" x14ac:dyDescent="0.75">
      <c r="A16" s="20"/>
      <c r="B16" s="20"/>
      <c r="C16" s="20"/>
      <c r="E16" s="21" t="str">
        <f t="shared" si="0"/>
        <v>*  -&gt; ##34###34#</v>
      </c>
      <c r="F16" s="18"/>
      <c r="G16" s="19"/>
      <c r="H16" s="10"/>
      <c r="I16" s="10"/>
      <c r="J16" s="10"/>
      <c r="K16" s="10"/>
      <c r="L16" s="10"/>
      <c r="M16" s="10"/>
      <c r="N16" s="10"/>
      <c r="O16" s="10"/>
    </row>
    <row r="17" spans="1:7" x14ac:dyDescent="0.75">
      <c r="A17" s="20"/>
      <c r="B17" s="20"/>
      <c r="C17" s="20"/>
      <c r="E17" s="21" t="str">
        <f t="shared" si="0"/>
        <v>*  -&gt; ##34###34#</v>
      </c>
      <c r="F17" s="18"/>
      <c r="G17" s="19"/>
    </row>
    <row r="18" spans="1:7" x14ac:dyDescent="0.75">
      <c r="A18" s="20"/>
      <c r="B18" s="20"/>
      <c r="C18" s="20"/>
      <c r="E18" s="21" t="str">
        <f t="shared" si="0"/>
        <v>*  -&gt; ##34###34#</v>
      </c>
      <c r="F18" s="18"/>
      <c r="G18" s="19"/>
    </row>
    <row r="19" spans="1:7" x14ac:dyDescent="0.75">
      <c r="A19" s="20"/>
      <c r="B19" s="20"/>
      <c r="C19" s="20"/>
      <c r="E19" s="21" t="str">
        <f t="shared" si="0"/>
        <v>*  -&gt; ##34###34#</v>
      </c>
      <c r="F19" s="18"/>
    </row>
    <row r="20" spans="1:7" x14ac:dyDescent="0.75">
      <c r="A20" s="20"/>
      <c r="B20" s="20"/>
      <c r="C20" s="21"/>
      <c r="E20" s="21" t="str">
        <f t="shared" si="0"/>
        <v>*  -&gt; ##34###34#</v>
      </c>
      <c r="F20" s="18"/>
    </row>
    <row r="21" spans="1:7" x14ac:dyDescent="0.75">
      <c r="E21" s="21" t="str">
        <f t="shared" si="0"/>
        <v>*  -&gt; ##34###34#</v>
      </c>
    </row>
    <row r="24" spans="1:7" x14ac:dyDescent="0.75">
      <c r="E24" s="30"/>
    </row>
  </sheetData>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9" tint="0.39997558519241921"/>
  </sheetPr>
  <dimension ref="C1:G50"/>
  <sheetViews>
    <sheetView workbookViewId="0">
      <selection activeCell="G30" sqref="G30"/>
    </sheetView>
  </sheetViews>
  <sheetFormatPr defaultRowHeight="14.75" x14ac:dyDescent="0.75"/>
  <cols>
    <col min="3" max="3" width="108.2265625" style="21" customWidth="1"/>
    <col min="7" max="7" width="37.26953125" customWidth="1"/>
  </cols>
  <sheetData>
    <row r="1" spans="3:7" ht="15.5" thickBot="1" x14ac:dyDescent="0.9">
      <c r="C1" s="40" t="str">
        <f>RelAftFlt!I1</f>
        <v>// -------------------------------------------------------------------------------</v>
      </c>
    </row>
    <row r="2" spans="3:7" ht="16.75" thickBot="1" x14ac:dyDescent="0.9">
      <c r="C2" s="41" t="str">
        <f>RelAftFlt!I2</f>
        <v>//  Logical Model</v>
      </c>
      <c r="G2" s="116" t="s">
        <v>1021</v>
      </c>
    </row>
    <row r="3" spans="3:7" x14ac:dyDescent="0.75">
      <c r="C3" s="41" t="str">
        <f>RelAftFlt!I3</f>
        <v>// -------------------------------------------------------------------------------</v>
      </c>
    </row>
    <row r="4" spans="3:7" x14ac:dyDescent="0.75">
      <c r="C4" s="33" t="str">
        <f>RelAftFlt!I4</f>
        <v>Logical: RelapseAfterFLTPcsp</v>
      </c>
    </row>
    <row r="5" spans="3:7" x14ac:dyDescent="0.75">
      <c r="C5" s="33" t="str">
        <f>RelAftFlt!I5</f>
        <v>Id: RelapseAfterFLT</v>
      </c>
    </row>
    <row r="6" spans="3:7" x14ac:dyDescent="0.75">
      <c r="C6" s="33" t="str">
        <f>RelAftFlt!I6</f>
        <v>Title: ##34#Progression-Relapse after FLT##34#</v>
      </c>
    </row>
    <row r="7" spans="3:7" ht="29.5" x14ac:dyDescent="0.75">
      <c r="C7" s="33" t="str">
        <f>RelAftFlt!I7</f>
        <v>Description:  ##334#Progression-Relapse after FLT
Maturity Level: 2 - Ready for Review##334#</v>
      </c>
    </row>
    <row r="8" spans="3:7" ht="44.25" x14ac:dyDescent="0.75">
      <c r="C8" s="21" t="str">
        <f>IF(RelAftFlt!I8="*  ..  ##34###34# ##334###334#","//--- END",RelAftFlt!I8)</f>
        <v>* identifier 0..1 Identifier ##34#Progression-relapse after FLT number##34# ##334#Progressive number of progression/relapse (1=first; 2= second; 3 = third; …) after the end of treatment.
In this field must be reported the ordinal number of the progression/relapse after the end of treatment.##334#</v>
      </c>
    </row>
    <row r="9" spans="3:7" ht="59" x14ac:dyDescent="0.75">
      <c r="C9" s="21" t="str">
        <f>IF(RelAftFlt!I9="*  ..  ##34###34# ##334###334#","//--- END",RelAftFlt!I9)</f>
        <v>* relatedDiagnosis 0..1 Identifier ##34#Progressive number of diagnosis##34# ##334#Progressive number of diagnosis (1=first; 2= second; 3 = third; …).  
In this field must be reported the ordinal number of the tumor diagnosis in which progression/relapse ocuured during front line treatment.##334#</v>
      </c>
    </row>
    <row r="10" spans="3:7" ht="29.5" x14ac:dyDescent="0.75">
      <c r="C10" s="21" t="str">
        <f>IF(RelAftFlt!I10="*  ..  ##34###34# ##334###334#","//--- END",RelAftFlt!I10)</f>
        <v>* date 0..1 date ##34#date of relapse##34# ##334#Report here the date (dd/mm/yyyy ) of the relapse/progression. If the date is unkown or partially missed insert the year at the best of your knowledge.##334#</v>
      </c>
    </row>
    <row r="11" spans="3:7" ht="103.25" x14ac:dyDescent="0.75">
      <c r="C11" s="21" t="str">
        <f>IF(RelAftFlt!I11="*  ..  ##34###34# ##334###334#","//--- END",RelAftFlt!I11)</f>
        <v>* relapseOrProgression 0..1 CodeableConcept ##34#relapse | progression##34# ##334#Report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NK##334#</v>
      </c>
    </row>
    <row r="12" spans="3:7" ht="44.25" x14ac:dyDescent="0.75">
      <c r="C12" s="21" t="str">
        <f>IF(RelAftFlt!I12="*  ..  ##34###34# ##334###334#","//--- END",RelAftFlt!I12)</f>
        <v>* type 0..1 CodeableConcept ##34#local | distant | combined##34# ##334#Please define if the relapse/progression was local, distant or combined.
##334#</v>
      </c>
    </row>
    <row r="13" spans="3:7" ht="44.25" x14ac:dyDescent="0.75">
      <c r="C13" s="21" t="str">
        <f>IF(RelAftFlt!I13="*  ..  ##34###34# ##334###334#","//--- END",RelAftFlt!I13)</f>
        <v>* site 0..1 string ##34#If distant, site of metastases##34# ##334#Please define if the relapse/progression was local, distant or combined.
##334#</v>
      </c>
    </row>
    <row r="14" spans="3:7" x14ac:dyDescent="0.75">
      <c r="C14" s="21" t="str">
        <f>IF(RelAftFlt!I14="*  ..  ##34###34# ##334###334#","//--- END",RelAftFlt!I14)</f>
        <v>//--- END</v>
      </c>
    </row>
    <row r="15" spans="3:7" x14ac:dyDescent="0.75">
      <c r="C15" s="21" t="str">
        <f>IF(RelAftFlt!I15="*  ..  ##34###34# ##334###334#","//--- END",RelAftFlt!I15)</f>
        <v>//--- END</v>
      </c>
    </row>
    <row r="16" spans="3:7" x14ac:dyDescent="0.75">
      <c r="C16" s="21" t="str">
        <f>IF(RelAftFlt!I16="*  ..  ##34###34# ##334###334#","//--- END",RelAftFlt!I16)</f>
        <v>//--- END</v>
      </c>
    </row>
    <row r="17" spans="3:3" x14ac:dyDescent="0.75">
      <c r="C17" s="21" t="str">
        <f>IF(RelAftFlt!I17="*  ..  ##34###34# ##334###334#","//--- END",RelAftFlt!I17)</f>
        <v>//--- END</v>
      </c>
    </row>
    <row r="18" spans="3:3" x14ac:dyDescent="0.75">
      <c r="C18" s="21" t="str">
        <f>IF(RelAftFlt!I18="*  ..  ##34###34# ##334###334#","//--- END",RelAftFlt!I18)</f>
        <v>//--- END</v>
      </c>
    </row>
    <row r="30" spans="3:3" x14ac:dyDescent="0.75">
      <c r="C30" s="40" t="str">
        <f>'RelAftFlt-Map'!E1</f>
        <v>// -------------------------------------------------------------------------------</v>
      </c>
    </row>
    <row r="31" spans="3:3" x14ac:dyDescent="0.75">
      <c r="C31" s="41" t="str">
        <f>'RelAftFlt-Map'!E2</f>
        <v>//  Map to FHIR R4</v>
      </c>
    </row>
    <row r="32" spans="3:3" x14ac:dyDescent="0.75">
      <c r="C32" s="41" t="str">
        <f>'RelAftFlt-Map'!E3</f>
        <v>// -------------------------------------------------------------------------------</v>
      </c>
    </row>
    <row r="33" spans="3:3" x14ac:dyDescent="0.75">
      <c r="C33" s="21" t="str">
        <f>'RelAftFlt-Map'!E4</f>
        <v>Mapping: RelAfterFLT2Fhir</v>
      </c>
    </row>
    <row r="34" spans="3:3" x14ac:dyDescent="0.75">
      <c r="C34" s="21" t="str">
        <f>'RelAftFlt-Map'!E5</f>
        <v>Id: fhir</v>
      </c>
    </row>
    <row r="35" spans="3:3" x14ac:dyDescent="0.75">
      <c r="C35" s="21" t="str">
        <f>'RelAftFlt-Map'!E6</f>
        <v>Title: ##34#RelapseAfterFLT model to PCSP HL7 FHIR R4 Profiles##34#</v>
      </c>
    </row>
    <row r="36" spans="3:3" x14ac:dyDescent="0.75">
      <c r="C36" s="21" t="str">
        <f>'RelAftFlt-Map'!E7</f>
        <v>Source: RelapseAfterFLT</v>
      </c>
    </row>
    <row r="37" spans="3:3" x14ac:dyDescent="0.75">
      <c r="C37" s="21" t="str">
        <f>'RelAftFlt-Map'!E8</f>
        <v>Target: ##34#hl7.org/fhir/r4##34#</v>
      </c>
    </row>
    <row r="39" spans="3:3" ht="59" x14ac:dyDescent="0.75">
      <c r="C39" s="21" t="str">
        <f>IF('RelAftFlt-Map'!E8="*  -&gt; ##34###34#","// --END",'RelAftFlt-Map'!E9)</f>
        <v>* . -&gt; ##34#Condition.conformsTo('http://hl7.eu/fhir/ig/pcsp/StructureDefinition/Condition-primaryCancer-eu-pcsp').where(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)##34#</v>
      </c>
    </row>
    <row r="40" spans="3:3" x14ac:dyDescent="0.75">
      <c r="C40" s="21" t="str">
        <f>IF('RelAftFlt-Map'!E9="*  -&gt; ##34###34#","// --END",'RelAftFlt-Map'!E10)</f>
        <v>* identifier -&gt; ##34#.identifier##34#</v>
      </c>
    </row>
    <row r="41" spans="3:3" x14ac:dyDescent="0.75">
      <c r="C41" s="21" t="str">
        <f>IF('RelAftFlt-Map'!E10="*  -&gt; ##34###34#","// --END",'RelAftFlt-Map'!E11)</f>
        <v>* relatedDiagnosis -&gt; ##34#.extension('http://hl7.org/fhir/StructureDefinition/condition-occurredFollowing')##34#</v>
      </c>
    </row>
    <row r="42" spans="3:3" x14ac:dyDescent="0.75">
      <c r="C42" s="21" t="str">
        <f>IF('RelAftFlt-Map'!E11="*  -&gt; ##34###34#","// --END",'RelAftFlt-Map'!E12)</f>
        <v>* date -&gt; ##34#.extension('http://hl7.org/fhir/StructureDefinition/condition-assertedDate')##34#</v>
      </c>
    </row>
    <row r="43" spans="3:3" ht="44.25" x14ac:dyDescent="0.75">
      <c r="C43" s="21" t="str">
        <f>IF('RelAftFlt-Map'!E12="*  -&gt; ##34###34#","// --END",'RelAftFlt-Map'!E13)</f>
        <v>* relapseOrProgression -&gt; ##34#.extension('http://hl7.eu/fhir/ig/pcsp/StructureDefinition/condition-previousStatus').valueCodeableConcept OR Condition.where( clinicalStatus = #relapse or clinicalStatus = #recurrence).clinicalStatus##34#</v>
      </c>
    </row>
    <row r="44" spans="3:3" x14ac:dyDescent="0.75">
      <c r="C44" s="21" t="str">
        <f>IF('RelAftFlt-Map'!E13="*  -&gt; ##34###34#","// --END",'RelAftFlt-Map'!E14)</f>
        <v>* type -&gt; ##34#.extension('http://hl7.eu/fhir/ig/pcsp/StructureDefinition/condition-relapseType').valueCodeableConcept##34#</v>
      </c>
    </row>
    <row r="45" spans="3:3" x14ac:dyDescent="0.75">
      <c r="C45" s="21" t="str">
        <f>IF('RelAftFlt-Map'!E14="*  -&gt; ##34###34#","// --END",'RelAftFlt-Map'!E15)</f>
        <v>* site -&gt; ##34#.bodySite##34#</v>
      </c>
    </row>
    <row r="46" spans="3:3" x14ac:dyDescent="0.75">
      <c r="C46" s="21" t="str">
        <f>IF('RelAftFlt-Map'!E15="*  -&gt; ##34###34#","// --END",'RelAftFlt-Map'!E16)</f>
        <v>*  -&gt; ##34###34#</v>
      </c>
    </row>
    <row r="47" spans="3:3" x14ac:dyDescent="0.75">
      <c r="C47" s="21" t="str">
        <f>IF('RelAftFlt-Map'!E16="*  -&gt; ##34###34#","// --END",'RelAftFlt-Map'!E17)</f>
        <v>// --END</v>
      </c>
    </row>
    <row r="48" spans="3:3" x14ac:dyDescent="0.75">
      <c r="C48" s="21" t="str">
        <f>IF('RelAftFlt-Map'!E17="*  -&gt; ##34###34#","// --END",'RelAftFlt-Map'!E18)</f>
        <v>// --END</v>
      </c>
    </row>
    <row r="49" spans="3:3" x14ac:dyDescent="0.75">
      <c r="C49" s="21" t="str">
        <f>IF('RelAftFlt-Map'!E18="*  -&gt; ##34###34#","// --END",'RelAftFlt-Map'!E19)</f>
        <v>// --END</v>
      </c>
    </row>
    <row r="50" spans="3:3" x14ac:dyDescent="0.75">
      <c r="C50" s="21" t="str">
        <f>IF('RelAftFlt-Map'!E19="*  -&gt; ##34###34#","// --END",'RelAftFlt-Map'!E20)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374650</xdr:colOff>
                    <xdr:row>0</xdr:row>
                    <xdr:rowOff>171450</xdr:rowOff>
                  </from>
                  <to>
                    <xdr:col>5</xdr:col>
                    <xdr:colOff>438150</xdr:colOff>
                    <xdr:row>2</xdr:row>
                    <xdr:rowOff>50800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20</vt:i4>
      </vt:variant>
      <vt:variant>
        <vt:lpstr>Intervalli denominati</vt:lpstr>
      </vt:variant>
      <vt:variant>
        <vt:i4>2</vt:i4>
      </vt:variant>
    </vt:vector>
  </HeadingPairs>
  <TitlesOfParts>
    <vt:vector size="22" baseType="lpstr">
      <vt:lpstr>VariablesList</vt:lpstr>
      <vt:lpstr>Base-1</vt:lpstr>
      <vt:lpstr>BaseMap-1</vt:lpstr>
      <vt:lpstr>Chemo-1</vt:lpstr>
      <vt:lpstr>Chemo-Map-1</vt:lpstr>
      <vt:lpstr>Rad-1</vt:lpstr>
      <vt:lpstr>Radio-Map-1</vt:lpstr>
      <vt:lpstr>Common</vt:lpstr>
      <vt:lpstr>Diag</vt:lpstr>
      <vt:lpstr>Diag-Map</vt:lpstr>
      <vt:lpstr>Diag-fsh</vt:lpstr>
      <vt:lpstr>Subj</vt:lpstr>
      <vt:lpstr>Subj-Map</vt:lpstr>
      <vt:lpstr>Subj-fsh</vt:lpstr>
      <vt:lpstr>Chemo</vt:lpstr>
      <vt:lpstr>Chemo-Map</vt:lpstr>
      <vt:lpstr>Chemo-fsh</vt:lpstr>
      <vt:lpstr>RelAftFlt</vt:lpstr>
      <vt:lpstr>RelAftFlt-Map</vt:lpstr>
      <vt:lpstr>RelAftFlt-fsh</vt:lpstr>
      <vt:lpstr>'Chemo-Map-1'!MedicationStatement.medication_x_</vt:lpstr>
      <vt:lpstr>VariablesList!Titoli_stampa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2022-12-05T16:44:34Z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